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A16C" lockStructure="1"/>
  <bookViews>
    <workbookView xWindow="240" yWindow="405" windowWidth="17400" windowHeight="6720" tabRatio="877"/>
  </bookViews>
  <sheets>
    <sheet name="Tariff 9" sheetId="1" r:id="rId1"/>
    <sheet name="Language" sheetId="4" state="hidden" r:id="rId2"/>
    <sheet name="Tariff Info" sheetId="14" state="hidden" r:id="rId3"/>
    <sheet name="Licensee details section" sheetId="6" state="hidden" r:id="rId4"/>
    <sheet name="Province &amp; tax rates" sheetId="7" state="hidden" r:id="rId5"/>
    <sheet name="PostalCode validation" sheetId="8" state="hidden" r:id="rId6"/>
    <sheet name="page2 translations" sheetId="10" state="hidden" r:id="rId7"/>
    <sheet name="page4 translations" sheetId="11" state="hidden" r:id="rId8"/>
  </sheets>
  <definedNames>
    <definedName name="_xlnm._FilterDatabase" localSheetId="0" hidden="1">'Tariff 9'!$C$19:$F$21</definedName>
    <definedName name="Language">Language!$B$4:$B$5</definedName>
    <definedName name="LicenseeField1">'Licensee details section'!$B$4</definedName>
    <definedName name="LicenseeField2">'Licensee details section'!$B$5</definedName>
    <definedName name="Prov">'Province &amp; tax rates'!$A$3:$A$16</definedName>
    <definedName name="termsconditions">'Tariff 9'!$A$98:$BB$119</definedName>
  </definedNames>
  <calcPr calcId="145621"/>
</workbook>
</file>

<file path=xl/calcChain.xml><?xml version="1.0" encoding="utf-8"?>
<calcChain xmlns="http://schemas.openxmlformats.org/spreadsheetml/2006/main">
  <c r="BC25" i="1" l="1"/>
  <c r="H22" i="1" l="1"/>
  <c r="F30" i="1"/>
  <c r="BF82" i="1" l="1"/>
  <c r="BE82" i="1"/>
  <c r="BD82" i="1"/>
  <c r="BF81" i="1"/>
  <c r="BE81" i="1"/>
  <c r="BD81" i="1"/>
  <c r="BG81" i="1" s="1"/>
  <c r="AX81" i="1" s="1"/>
  <c r="BF80" i="1"/>
  <c r="BE80" i="1"/>
  <c r="BD80" i="1"/>
  <c r="BG80" i="1" s="1"/>
  <c r="AX80" i="1" s="1"/>
  <c r="BF79" i="1"/>
  <c r="BE79" i="1"/>
  <c r="BD79" i="1"/>
  <c r="BF78" i="1"/>
  <c r="BG78" i="1" s="1"/>
  <c r="AX78" i="1" s="1"/>
  <c r="BE78" i="1"/>
  <c r="BD78" i="1"/>
  <c r="BF77" i="1"/>
  <c r="BG77" i="1" s="1"/>
  <c r="AX77" i="1" s="1"/>
  <c r="BE77" i="1"/>
  <c r="BD77" i="1"/>
  <c r="BF76" i="1"/>
  <c r="BG76" i="1" s="1"/>
  <c r="AX76" i="1" s="1"/>
  <c r="BE76" i="1"/>
  <c r="BD76" i="1"/>
  <c r="BF75" i="1"/>
  <c r="BG75" i="1" s="1"/>
  <c r="AX75" i="1" s="1"/>
  <c r="BE75" i="1"/>
  <c r="BD75" i="1"/>
  <c r="BF74" i="1"/>
  <c r="BG74" i="1" s="1"/>
  <c r="AX74" i="1" s="1"/>
  <c r="BE74" i="1"/>
  <c r="BD74" i="1"/>
  <c r="BF73" i="1"/>
  <c r="BG73" i="1" s="1"/>
  <c r="AX73" i="1" s="1"/>
  <c r="BE73" i="1"/>
  <c r="BD73" i="1"/>
  <c r="BF72" i="1"/>
  <c r="BG72" i="1" s="1"/>
  <c r="AX72" i="1" s="1"/>
  <c r="BE72" i="1"/>
  <c r="BD72" i="1"/>
  <c r="BF71" i="1"/>
  <c r="BE71" i="1"/>
  <c r="BD71" i="1"/>
  <c r="BF70" i="1"/>
  <c r="BE70" i="1"/>
  <c r="BD70" i="1"/>
  <c r="BG70" i="1" s="1"/>
  <c r="AX70" i="1" s="1"/>
  <c r="BF69" i="1"/>
  <c r="BE69" i="1"/>
  <c r="BD69" i="1"/>
  <c r="BG69" i="1" s="1"/>
  <c r="AX69" i="1" s="1"/>
  <c r="BF68" i="1"/>
  <c r="BE68" i="1"/>
  <c r="BD68" i="1"/>
  <c r="BG68" i="1" s="1"/>
  <c r="AX68" i="1" s="1"/>
  <c r="BF67" i="1"/>
  <c r="BE67" i="1"/>
  <c r="BD67" i="1"/>
  <c r="BF66" i="1"/>
  <c r="BE66" i="1"/>
  <c r="BD66" i="1"/>
  <c r="BF65" i="1"/>
  <c r="BE65" i="1"/>
  <c r="BD65" i="1"/>
  <c r="BG65" i="1" s="1"/>
  <c r="AX65" i="1" s="1"/>
  <c r="BF64" i="1"/>
  <c r="BE64" i="1"/>
  <c r="BD64" i="1"/>
  <c r="BF58" i="1"/>
  <c r="BE58" i="1"/>
  <c r="BD58" i="1"/>
  <c r="BG58" i="1" s="1"/>
  <c r="AX58" i="1" s="1"/>
  <c r="BF57" i="1"/>
  <c r="BE57" i="1"/>
  <c r="BD57" i="1"/>
  <c r="BG57" i="1" s="1"/>
  <c r="AX57" i="1" s="1"/>
  <c r="BF56" i="1"/>
  <c r="BE56" i="1"/>
  <c r="BD56" i="1"/>
  <c r="BF55" i="1"/>
  <c r="BE55" i="1"/>
  <c r="BD55" i="1"/>
  <c r="BF54" i="1"/>
  <c r="BE54" i="1"/>
  <c r="BD54" i="1"/>
  <c r="BG54" i="1" s="1"/>
  <c r="AX54" i="1" s="1"/>
  <c r="BF53" i="1"/>
  <c r="BE53" i="1"/>
  <c r="BD53" i="1"/>
  <c r="BG53" i="1" s="1"/>
  <c r="AX53" i="1" s="1"/>
  <c r="BF52" i="1"/>
  <c r="BE52" i="1"/>
  <c r="BD52" i="1"/>
  <c r="BF51" i="1"/>
  <c r="BG51" i="1" s="1"/>
  <c r="AX51" i="1" s="1"/>
  <c r="BE51" i="1"/>
  <c r="BD51" i="1"/>
  <c r="BF50" i="1"/>
  <c r="BE50" i="1"/>
  <c r="BD50" i="1"/>
  <c r="BF49" i="1"/>
  <c r="BE49" i="1"/>
  <c r="BD49" i="1"/>
  <c r="BG49" i="1" s="1"/>
  <c r="AX49" i="1" s="1"/>
  <c r="BF48" i="1"/>
  <c r="BE48" i="1"/>
  <c r="BD48" i="1"/>
  <c r="BG48" i="1" s="1"/>
  <c r="AX48" i="1" s="1"/>
  <c r="BF47" i="1"/>
  <c r="BE47" i="1"/>
  <c r="BD47" i="1"/>
  <c r="BG47" i="1" s="1"/>
  <c r="AX47" i="1" s="1"/>
  <c r="BF46" i="1"/>
  <c r="BE46" i="1"/>
  <c r="BD46" i="1"/>
  <c r="BF45" i="1"/>
  <c r="BE45" i="1"/>
  <c r="BD45" i="1"/>
  <c r="BF44" i="1"/>
  <c r="BE44" i="1"/>
  <c r="BD44" i="1"/>
  <c r="BF43" i="1"/>
  <c r="BE43" i="1"/>
  <c r="BD43" i="1"/>
  <c r="P30" i="1"/>
  <c r="N30" i="1"/>
  <c r="M30" i="1"/>
  <c r="L30" i="1"/>
  <c r="K30" i="1"/>
  <c r="J30" i="1"/>
  <c r="I30" i="1"/>
  <c r="H30" i="1"/>
  <c r="G30" i="1"/>
  <c r="E30" i="1"/>
  <c r="D30" i="1"/>
  <c r="C30" i="1"/>
  <c r="BG66" i="1" l="1"/>
  <c r="AX66" i="1" s="1"/>
  <c r="BG46" i="1"/>
  <c r="AX46" i="1" s="1"/>
  <c r="BG52" i="1"/>
  <c r="AX52" i="1" s="1"/>
  <c r="BG56" i="1"/>
  <c r="AX56" i="1" s="1"/>
  <c r="BG67" i="1"/>
  <c r="AX67" i="1" s="1"/>
  <c r="BG79" i="1"/>
  <c r="AX79" i="1" s="1"/>
  <c r="BG45" i="1"/>
  <c r="AX45" i="1" s="1"/>
  <c r="BG50" i="1"/>
  <c r="AX50" i="1" s="1"/>
  <c r="BG55" i="1"/>
  <c r="AX55" i="1" s="1"/>
  <c r="BG71" i="1"/>
  <c r="AX71" i="1" s="1"/>
  <c r="BG82" i="1"/>
  <c r="AX82" i="1" s="1"/>
  <c r="BG44" i="1"/>
  <c r="AX44" i="1" s="1"/>
  <c r="BG64" i="1"/>
  <c r="AX64" i="1" s="1"/>
  <c r="BG43" i="1"/>
  <c r="AN82" i="1" l="1"/>
  <c r="AN81" i="1"/>
  <c r="AN80" i="1"/>
  <c r="AN79" i="1"/>
  <c r="AN78" i="1"/>
  <c r="AN77" i="1"/>
  <c r="AN76" i="1"/>
  <c r="AN75" i="1"/>
  <c r="AN74" i="1"/>
  <c r="AN73" i="1"/>
  <c r="AN72" i="1"/>
  <c r="AN71" i="1"/>
  <c r="AN70" i="1"/>
  <c r="AN69" i="1"/>
  <c r="AN68" i="1"/>
  <c r="AN67" i="1"/>
  <c r="AN66" i="1"/>
  <c r="AN65" i="1"/>
  <c r="AN64" i="1"/>
  <c r="AN58" i="1"/>
  <c r="AN57" i="1"/>
  <c r="AN56" i="1"/>
  <c r="AN55" i="1"/>
  <c r="AN54" i="1"/>
  <c r="AN53" i="1"/>
  <c r="AN52" i="1"/>
  <c r="AN51" i="1"/>
  <c r="AN50" i="1"/>
  <c r="AN49" i="1"/>
  <c r="AN48" i="1"/>
  <c r="AN47" i="1"/>
  <c r="AN46" i="1"/>
  <c r="AN45" i="1"/>
  <c r="AN44" i="1"/>
  <c r="AN43" i="1"/>
  <c r="C2" i="4"/>
  <c r="D2" i="4" s="1"/>
  <c r="A1" i="1"/>
  <c r="O30" i="1"/>
  <c r="Q30" i="1" s="1"/>
  <c r="E2" i="7"/>
  <c r="D2" i="7"/>
  <c r="C2" i="8"/>
  <c r="C11" i="8" s="1"/>
  <c r="C5" i="8"/>
  <c r="D5" i="8" s="1"/>
  <c r="C6" i="8"/>
  <c r="C4" i="8"/>
  <c r="A37" i="1" l="1"/>
  <c r="A36" i="1"/>
  <c r="A122" i="1" s="1"/>
  <c r="E29" i="1"/>
  <c r="A13" i="1"/>
  <c r="A24" i="1"/>
  <c r="A123" i="1"/>
  <c r="U25" i="1"/>
  <c r="C33" i="1"/>
  <c r="C24" i="1"/>
  <c r="C3" i="8"/>
  <c r="E6" i="8" s="1"/>
  <c r="F6" i="8" s="1"/>
  <c r="C9" i="8"/>
  <c r="D9" i="8" s="1"/>
  <c r="C8" i="8"/>
  <c r="C7" i="8"/>
  <c r="D7" i="8" s="1"/>
  <c r="C35" i="1"/>
  <c r="B1" i="10"/>
  <c r="B5" i="4"/>
  <c r="B4" i="4"/>
  <c r="C2" i="7"/>
  <c r="B1" i="6"/>
  <c r="B21" i="6" s="1"/>
  <c r="AR13" i="1" s="1"/>
  <c r="B2" i="7"/>
  <c r="B1" i="11"/>
  <c r="B13" i="11" s="1"/>
  <c r="C111" i="1" s="1"/>
  <c r="M25" i="1"/>
  <c r="X32" i="1"/>
  <c r="D11" i="1"/>
  <c r="C26" i="1"/>
  <c r="Q25" i="1"/>
  <c r="C25" i="1"/>
  <c r="C1" i="14"/>
  <c r="B6" i="10" l="1"/>
  <c r="C41" i="1" s="1"/>
  <c r="C62" i="1" s="1"/>
  <c r="AX43" i="1"/>
  <c r="E9" i="8"/>
  <c r="F9" i="8" s="1"/>
  <c r="E5" i="8"/>
  <c r="F5" i="8" s="1"/>
  <c r="E8" i="8"/>
  <c r="F8" i="8" s="1"/>
  <c r="B10" i="10"/>
  <c r="AB42" i="1" s="1"/>
  <c r="AB63" i="1" s="1"/>
  <c r="E4" i="8"/>
  <c r="F4" i="8" s="1"/>
  <c r="E3" i="8"/>
  <c r="F3" i="8" s="1"/>
  <c r="E7" i="8"/>
  <c r="F7" i="8" s="1"/>
  <c r="B7" i="10"/>
  <c r="C42" i="1" s="1"/>
  <c r="C63" i="1" s="1"/>
  <c r="B6" i="6"/>
  <c r="C15" i="1" s="1"/>
  <c r="B20" i="6"/>
  <c r="C34" i="1" s="1"/>
  <c r="B12" i="10"/>
  <c r="AN42" i="1" s="1"/>
  <c r="AN63" i="1" s="1"/>
  <c r="B13" i="10"/>
  <c r="C83" i="1" s="1"/>
  <c r="B8" i="11"/>
  <c r="A98" i="1" s="1"/>
  <c r="B11" i="10"/>
  <c r="AN41" i="1" s="1"/>
  <c r="AN62" i="1" s="1"/>
  <c r="B9" i="10"/>
  <c r="AB41" i="1" s="1"/>
  <c r="AB62" i="1" s="1"/>
  <c r="B8" i="10"/>
  <c r="K41" i="1" s="1"/>
  <c r="K62" i="1" s="1"/>
  <c r="B11" i="6"/>
  <c r="AR17" i="1" s="1"/>
  <c r="B4" i="6"/>
  <c r="C13" i="1" s="1"/>
  <c r="B19" i="11"/>
  <c r="B92" i="1" s="1"/>
  <c r="B15" i="11"/>
  <c r="C116" i="1" s="1"/>
  <c r="B16" i="11"/>
  <c r="C118" i="1" s="1"/>
  <c r="B14" i="11"/>
  <c r="C114" i="1" s="1"/>
  <c r="B17" i="11"/>
  <c r="B89" i="1" s="1"/>
  <c r="B11" i="11"/>
  <c r="C106" i="1" s="1"/>
  <c r="B18" i="11"/>
  <c r="B91" i="1" s="1"/>
  <c r="B12" i="11"/>
  <c r="C108" i="1" s="1"/>
  <c r="B6" i="11"/>
  <c r="B87" i="1" s="1"/>
  <c r="B17" i="6"/>
  <c r="C21" i="1" s="1"/>
  <c r="B8" i="6"/>
  <c r="C16" i="1" s="1"/>
  <c r="B5" i="6"/>
  <c r="AC13" i="1" s="1"/>
  <c r="B14" i="6"/>
  <c r="AG19" i="1" s="1"/>
  <c r="B7" i="6"/>
  <c r="AA15" i="1" s="1"/>
  <c r="B16" i="6"/>
  <c r="AS19" i="1" s="1"/>
  <c r="B9" i="6"/>
  <c r="B19" i="6"/>
  <c r="AJ21" i="1" s="1"/>
  <c r="B15" i="6"/>
  <c r="AN19" i="1" s="1"/>
  <c r="B12" i="6"/>
  <c r="C19" i="1" s="1"/>
  <c r="B10" i="6"/>
  <c r="AF17" i="1" s="1"/>
  <c r="B18" i="6"/>
  <c r="I21" i="1" s="1"/>
  <c r="B10" i="11"/>
  <c r="C103" i="1" s="1"/>
  <c r="B13" i="6"/>
  <c r="P19" i="1" s="1"/>
  <c r="B9" i="11"/>
  <c r="A100" i="1" s="1"/>
  <c r="B7" i="11"/>
  <c r="W89" i="1" s="1"/>
  <c r="C9" i="14"/>
  <c r="C6" i="1" s="1"/>
  <c r="C11" i="14"/>
  <c r="C8" i="1" s="1"/>
  <c r="C10" i="14"/>
  <c r="C7" i="1" s="1"/>
  <c r="C5" i="14"/>
  <c r="J1" i="1" s="1"/>
  <c r="C7" i="14"/>
  <c r="C4" i="1" s="1"/>
  <c r="C6" i="14"/>
  <c r="J2" i="1" s="1"/>
  <c r="C8" i="14"/>
  <c r="C5" i="1" s="1"/>
  <c r="F2" i="8" l="1"/>
  <c r="AN83" i="1"/>
  <c r="C27" i="1" s="1"/>
  <c r="M27" i="1" s="1"/>
  <c r="V17" i="1"/>
  <c r="AQ32" i="1"/>
  <c r="A38" i="1"/>
  <c r="A60" i="1"/>
  <c r="Q27" i="1" l="1"/>
  <c r="U27" i="1" s="1"/>
</calcChain>
</file>

<file path=xl/sharedStrings.xml><?xml version="1.0" encoding="utf-8"?>
<sst xmlns="http://schemas.openxmlformats.org/spreadsheetml/2006/main" count="229" uniqueCount="166">
  <si>
    <t xml:space="preserve">We are committed to handling your personal information responsibly. For more information about SOCAN’s Privacy Policy, please visit www.socan.ca </t>
  </si>
  <si>
    <t>You will keep records of all information required to calculate the licence fees.</t>
  </si>
  <si>
    <t>The licence fee, plus applicable taxes for the year, will be calculated in accordance with the terms of the tariff based on the information set out in the most recently filed report form or audit form, subject to adjustment to reflect any updated reports or audits pursuant to the tariff.</t>
  </si>
  <si>
    <t>If the tariff for a year has not been approved by January 1st of that year, the last approved tariff will govern until the new tariff is approved, at which time the licence fees will be adjusted to reflect the approved tariff for the year.</t>
  </si>
  <si>
    <t>A copy of any SOCAN tariff may be obtained by emailing licence@socan.ca or calling 1.866.944.6223.</t>
  </si>
  <si>
    <t xml:space="preserve">Terms &amp; Conditions </t>
  </si>
  <si>
    <t>Important Information</t>
  </si>
  <si>
    <t>Title</t>
  </si>
  <si>
    <t>Date</t>
  </si>
  <si>
    <t>Signature</t>
  </si>
  <si>
    <t>Tax exemption number (if applicable)</t>
  </si>
  <si>
    <t>Postal code</t>
  </si>
  <si>
    <t>ON</t>
  </si>
  <si>
    <t>Province</t>
  </si>
  <si>
    <t>City</t>
  </si>
  <si>
    <t>Street address</t>
  </si>
  <si>
    <t>Email</t>
  </si>
  <si>
    <t>Phone number</t>
  </si>
  <si>
    <t>Contact name</t>
  </si>
  <si>
    <t>Legal name of organization or owner</t>
  </si>
  <si>
    <t>Business name</t>
  </si>
  <si>
    <t>Account number</t>
  </si>
  <si>
    <t>SK</t>
  </si>
  <si>
    <t>QC</t>
  </si>
  <si>
    <t>NU</t>
  </si>
  <si>
    <t>NT</t>
  </si>
  <si>
    <t>NS</t>
  </si>
  <si>
    <t>NL</t>
  </si>
  <si>
    <t>NB</t>
  </si>
  <si>
    <t>MB</t>
  </si>
  <si>
    <t>BC</t>
  </si>
  <si>
    <t>AB</t>
  </si>
  <si>
    <t>English</t>
  </si>
  <si>
    <t>French</t>
  </si>
  <si>
    <t>Desc1</t>
  </si>
  <si>
    <t>Desc2</t>
  </si>
  <si>
    <t>Desc3</t>
  </si>
  <si>
    <t>Desc4</t>
  </si>
  <si>
    <t>Desc5</t>
  </si>
  <si>
    <t>Selected Language</t>
  </si>
  <si>
    <t>Language Selected</t>
  </si>
  <si>
    <t>Ref row</t>
  </si>
  <si>
    <t>Description Selected</t>
  </si>
  <si>
    <t>Field1</t>
  </si>
  <si>
    <t>Field2</t>
  </si>
  <si>
    <t>Field3</t>
  </si>
  <si>
    <t>Field4</t>
  </si>
  <si>
    <t>Field5</t>
  </si>
  <si>
    <t>Field6</t>
  </si>
  <si>
    <t>Field7</t>
  </si>
  <si>
    <t>Field8</t>
  </si>
  <si>
    <t>Field9</t>
  </si>
  <si>
    <t>Field10</t>
  </si>
  <si>
    <t>Field11</t>
  </si>
  <si>
    <t>Field12</t>
  </si>
  <si>
    <t>Field13</t>
  </si>
  <si>
    <t>Field14</t>
  </si>
  <si>
    <t>Field15</t>
  </si>
  <si>
    <t>Selected Desc</t>
  </si>
  <si>
    <t>Numéro de compte</t>
  </si>
  <si>
    <t>Field16</t>
  </si>
  <si>
    <t>Nom de l’entreprise</t>
  </si>
  <si>
    <t>Nom légal de l’organisation ou nom du propriétaire</t>
  </si>
  <si>
    <t>Titre</t>
  </si>
  <si>
    <t>Courriel</t>
  </si>
  <si>
    <t>Adresse civique</t>
  </si>
  <si>
    <t>Ville</t>
  </si>
  <si>
    <t>Code postal</t>
  </si>
  <si>
    <t>(or if you are a new licensee, check here)</t>
  </si>
  <si>
    <t>Mailing address</t>
  </si>
  <si>
    <t>Adresse postale</t>
  </si>
  <si>
    <t>(check here if same as above)</t>
  </si>
  <si>
    <t>@</t>
  </si>
  <si>
    <t>Check # of characters</t>
  </si>
  <si>
    <t>Correct value</t>
  </si>
  <si>
    <t>Condition met</t>
  </si>
  <si>
    <t>Check 1st char is letter</t>
  </si>
  <si>
    <t>Check 3rd char is letter</t>
  </si>
  <si>
    <t>Check 5th char is letter</t>
  </si>
  <si>
    <t>Check 2nd char is number</t>
  </si>
  <si>
    <t>Check 4th char is number</t>
  </si>
  <si>
    <t>Check 6th char is number</t>
  </si>
  <si>
    <t>Value on form</t>
  </si>
  <si>
    <t>1</t>
  </si>
  <si>
    <t>2</t>
  </si>
  <si>
    <t>3</t>
  </si>
  <si>
    <t>4</t>
  </si>
  <si>
    <t>5</t>
  </si>
  <si>
    <t>6</t>
  </si>
  <si>
    <t>7</t>
  </si>
  <si>
    <t>8</t>
  </si>
  <si>
    <t>9</t>
  </si>
  <si>
    <t>0</t>
  </si>
  <si>
    <t>Is there as space at 4th char</t>
  </si>
  <si>
    <t>Min</t>
  </si>
  <si>
    <t>Fee%</t>
  </si>
  <si>
    <t>Renseignement important</t>
  </si>
  <si>
    <t>Conditions générales</t>
  </si>
  <si>
    <t>The legal terms that govern your licence include those set out herein as well as those found in the approved tariff including the General Provisions, as approved by the Copyright Board of Canada for each year (collectively, the “tariff”). If you have any questions regarding the terms, please contact us.</t>
  </si>
  <si>
    <t xml:space="preserve">Les dispositions qui régissent votre licence incluent celles décrites ci-dessous et celles apparaissant dans le tarif approuvé, dont les dispositions générales, tel qu’homologué par la Commission du droit d’auteur du Canada chaque année (collectivement le « tarif »). Pour toute question au sujet de ces conditions, veuillez nous contacter.  </t>
  </si>
  <si>
    <t>In this form, you, your and licensee means the person or company applying for a licence or filing an annual report. We, our, us and SOCAN means the Society of Composers, Authors and Music Publishers of Canada. Works means any or all of the musical works in SOCAN’s repertoire.</t>
  </si>
  <si>
    <t>Dans ce formulaire, vous, votre et le titulaire de licence désignent la personne ou l’entreprise qui présente une demande de licence ou une déclaration annuelle. Nous, notre et la SOCAN désignent la Société canadienne des auteurs, compositeurs et éditeurs de musique. Le mot œuvre désigne toute œuvre musicale du répertoire de la SOCAN.</t>
  </si>
  <si>
    <t>Vous pouvez obtenir un exemplaire de tout tarif de la SOCAN en écrivant à licence@socan.ca ou en appelant au 1.866.944.6224.</t>
  </si>
  <si>
    <t>Si le tarif d’une année n’a pas été homologué au 1er janvier de cette même année, le dernier tarif en vigueur s’appliquera jusqu’à l’approbation de sa nouvelle version, date à laquelle les droits de licence seront corrigés afin de refléter la version homologuée pour l’année.</t>
  </si>
  <si>
    <t>Les droits de licence, plus les taxes en vigueur pour l’année, seront calculés conformément aux dispositions du tarif d’après les renseignements figurant sur le formulaire de déclaration annuelle ou de vérification le plus récent, sous réserve de correction afin de refléter toute mise à jour de ces renseignements conformément au tarif.</t>
  </si>
  <si>
    <t>Vous devez conserver toute information nécessaire au calcul des droits de licence.</t>
  </si>
  <si>
    <t>Nous nous engageons à traiter vos renseignements personnels de façon responsable. Pour de plus amples informations sur la Politique de confidentialité de la SOCAN, veuillez visiter www.socan.ca.</t>
  </si>
  <si>
    <t>Where does you license fee go?</t>
  </si>
  <si>
    <t>2011 royalties distribution</t>
  </si>
  <si>
    <t>Operating costs</t>
  </si>
  <si>
    <t>PE</t>
  </si>
  <si>
    <t>YT</t>
  </si>
  <si>
    <t>Existing Rates</t>
  </si>
  <si>
    <t>new rates</t>
  </si>
  <si>
    <t>•</t>
  </si>
  <si>
    <r>
      <t>O</t>
    </r>
    <r>
      <rPr>
        <sz val="11"/>
        <color theme="1"/>
        <rFont val="Calibri"/>
        <family val="2"/>
      </rPr>
      <t>ù</t>
    </r>
    <r>
      <rPr>
        <sz val="11"/>
        <color theme="1"/>
        <rFont val="Calibri"/>
        <family val="2"/>
        <scheme val="minor"/>
      </rPr>
      <t xml:space="preserve"> vont vos redevances?</t>
    </r>
  </si>
  <si>
    <t>Frais d'exploitation</t>
  </si>
  <si>
    <t xml:space="preserve">You will submit to SOCAN your licence application and payment on the first day of the licensed month.  </t>
  </si>
  <si>
    <t>Vous devez soumettre à la SOCAN votre demande de licence ainsi que votre paiement le premier jour du mois couvert par la licence.</t>
  </si>
  <si>
    <t>Répartition des redevances 2011</t>
  </si>
  <si>
    <t xml:space="preserve">MUSIC LICENCE FORM - TARIFF 9 - SPORTS EVENTS </t>
  </si>
  <si>
    <t>FORMULAIRE DE LICENCE DE MUSIQUE - TARIF 9 - ÉVÉNEMENTS SPORTIFS</t>
  </si>
  <si>
    <t>Grants you permission to play (publicly perform) live or recorded musical works at sports events</t>
  </si>
  <si>
    <t>Does not cover music performances at opening/closing events for which an additional admission is charged (see Tariff 4)</t>
  </si>
  <si>
    <t xml:space="preserve">Deadline for SOCAN to receive forms and payments is no later than 30 days after the end of each quarter. </t>
  </si>
  <si>
    <t xml:space="preserve">For more information, read the Tariff 9 Infocard  </t>
  </si>
  <si>
    <t>Cette licence vous autorise à jouer (exécuter publiquement) des œuvres musicales enregistrées ou en direct lors d'événements sportifs</t>
  </si>
  <si>
    <t>Elle ne couvre pas les exécutions musicales lors d'événements d'ouverture ou de clôture pour lesquels un prix d'entrée distinct est exigé (voir le tarif 4)</t>
  </si>
  <si>
    <t xml:space="preserve">La SOCAN doit recevoir le formulaire et le paiement au plus tard 30 jours après la fin de chaque trimestre.                                               
</t>
  </si>
  <si>
    <t>Pour de plus amples informations, lisez l'Info carte du tarif 9</t>
  </si>
  <si>
    <t>Event date</t>
  </si>
  <si>
    <t>Event name</t>
  </si>
  <si>
    <t>Gross receipts (A)</t>
  </si>
  <si>
    <t>(DD/MM/YYYY)</t>
  </si>
  <si>
    <t>TOTAL DUE</t>
  </si>
  <si>
    <t>Date de l'événement</t>
  </si>
  <si>
    <t>(JJ/MM/AAAA)</t>
  </si>
  <si>
    <t>Nom de l'événement</t>
  </si>
  <si>
    <t>Recettes brutes (A)</t>
  </si>
  <si>
    <t>TOTAL À PAYER</t>
  </si>
  <si>
    <t>Total licence fee</t>
  </si>
  <si>
    <t>Total des droits de licence</t>
  </si>
  <si>
    <t>= $0 if the event is free</t>
  </si>
  <si>
    <t>= 0 $ si gratuit</t>
  </si>
  <si>
    <t xml:space="preserve">Fee is 0.1% of the gross receipts from ticket sales (a complimentary ticket is valued at half the lowest price paid for a sold ticket from the same category in the same event) net of sales and amusement taxes (minimum fee for admission to free events is $5) + taxes </t>
  </si>
  <si>
    <t xml:space="preserve">Les droits par événement sont de 0,1 % des recettes brutes des ventes de billets (un billet gratuit est considéré comme valant la moitié du prix du billet le moins cher de la même catégorie pour le même événement) excluant les taxes de vente et d'amusement (les droits minimums pour les événements gratuits sont de 5 $) + taxes </t>
  </si>
  <si>
    <t>= (A) x 0.1% (or $5 if free event)</t>
  </si>
  <si>
    <t>'= (A) x 0,1 % (ou 5 $ si gratuit)</t>
  </si>
  <si>
    <t>Field17</t>
  </si>
  <si>
    <t>Please return this form by email or mail, and send your payment by cheque made payable to SOCAN or contact SOCAN to pay by credit card.  Or visit eSOCAN to submit online.</t>
  </si>
  <si>
    <t>Veuillez retourner ce formulaire par courriel ou par la poste et envoyer votre paiement à l’ordre de la SOCAN ou contacter-nous pour payer par carte de crédit.  Ou visitez eSOCAN pour soumettre votre formulaire en ligne. Pour toute autre utilisation de musique, contactez-nous ou essayez le Sélecteur de licence sur www.socan.ca</t>
  </si>
  <si>
    <t>Baseball, football, hockey, compétitions de patinage, courses, rencontres d'athlétisme et autres événements sportifs</t>
  </si>
  <si>
    <t>Baseball, football, hockey, skating competitions, races, track meets and other sports events</t>
  </si>
  <si>
    <t>Numéro de tél.</t>
  </si>
  <si>
    <t>Numéro de téléc.</t>
  </si>
  <si>
    <t>(si différente de l’adresse physiques)</t>
  </si>
  <si>
    <t>Numéro d’exemption fiscale (si applicable)</t>
  </si>
  <si>
    <t>(ou si vous n’êtes pas encore licencié, cliquez ici)</t>
  </si>
  <si>
    <t>Personne contact</t>
  </si>
  <si>
    <t>nil</t>
  </si>
  <si>
    <t>Fax number</t>
  </si>
  <si>
    <t xml:space="preserve">SOCAN is a not-for-profit, member-based organization that represents the Canadian performing rights of more than three-million Canadian and international music creators and publishers. SOCAN is proud to play a leading role in supporting the long-term success of its more than 110,000 Canadian members, and the Canadian music industry overall. SOCAN licenses more than 125,000 businesses in Canada, and distributes royalties to its members and music rights organizations around the world. SOCAN also distributes royalties to its members for the use of their music internationally in collaboration with its peer societies. </t>
  </si>
  <si>
    <t>La SOCAN est une organisation sans but lucratif qui représente les droits d’exécution musicale canadiens de plus de trois millions de créateurs et d’éditeurs de musique au pays et à travers le monde. La SOCAN est fière de jouer un rôle d’avant-garde pour assurer le bien-être à long terme de ses plus de 110 000 membres canadiens et de l’industrie musicale canadienne dans son ensemble. La SOCAN perçoit des droits de licences de plus de 125 000 entreprises au pays et distribue ces redevances à ses membres et affiliées internationales. La SOCAN distribue également à ses membres les redevances qu’elle reçoit des organisations affiliées internationales pour l’utilisation de leur musique à travers le monde.</t>
  </si>
  <si>
    <t>Website</t>
  </si>
  <si>
    <t>Field18</t>
  </si>
  <si>
    <t>Site web</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</si>
</sst>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43" formatCode="_(* #,##0.00_);_(* \(#,##0.00\);_(* &quot;-&quot;??_);_(@_)"/>
    <numFmt numFmtId="164" formatCode="_-&quot;$&quot;* #,##0.00_-;\-&quot;$&quot;* #,##0.00_-;_-&quot;$&quot;* &quot;-&quot;??_-;_-@_-"/>
    <numFmt numFmtId="165" formatCode="0.000%"/>
    <numFmt numFmtId="166" formatCode="dd\-mm\-yyyy;@"/>
  </numFmts>
  <fonts count="41" x14ac:knownFonts="1">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sz val="11"/>
      <color theme="1"/>
      <name val="Arial Narrow"/>
      <family val="2"/>
    </font>
    <font>
      <sz val="10"/>
      <color theme="2" tint="-0.499984740745262"/>
      <name val="Arial Narrow"/>
      <family val="2"/>
    </font>
    <font>
      <sz val="12"/>
      <color theme="1"/>
      <name val="Arial Narrow"/>
      <family val="2"/>
    </font>
    <font>
      <sz val="10"/>
      <color theme="1"/>
      <name val="Arial Narrow"/>
      <family val="2"/>
    </font>
    <font>
      <sz val="10"/>
      <color rgb="FFFF0000"/>
      <name val="Arial Narrow"/>
      <family val="2"/>
    </font>
    <font>
      <i/>
      <sz val="12"/>
      <color theme="1"/>
      <name val="Arial Narrow"/>
      <family val="2"/>
    </font>
    <font>
      <b/>
      <u/>
      <sz val="12"/>
      <color theme="1"/>
      <name val="Arial Narrow"/>
      <family val="2"/>
    </font>
    <font>
      <b/>
      <u/>
      <sz val="12"/>
      <name val="Arial Narrow"/>
      <family val="2"/>
    </font>
    <font>
      <b/>
      <sz val="10"/>
      <color theme="1"/>
      <name val="Arial Narrow"/>
      <family val="2"/>
    </font>
    <font>
      <b/>
      <u/>
      <sz val="14"/>
      <color theme="1"/>
      <name val="Arial Narrow"/>
      <family val="2"/>
    </font>
    <font>
      <sz val="10"/>
      <color theme="1"/>
      <name val="Calibri"/>
      <family val="2"/>
      <scheme val="minor"/>
    </font>
    <font>
      <sz val="10"/>
      <name val="Arial Narrow"/>
      <family val="2"/>
    </font>
    <font>
      <sz val="9"/>
      <color theme="1"/>
      <name val="Arial Narrow"/>
      <family val="2"/>
    </font>
    <font>
      <sz val="10"/>
      <color rgb="FFFF0000"/>
      <name val="Calibri"/>
      <family val="2"/>
      <scheme val="minor"/>
    </font>
    <font>
      <i/>
      <sz val="10"/>
      <color theme="1"/>
      <name val="Arial Narrow"/>
      <family val="2"/>
    </font>
    <font>
      <i/>
      <sz val="10"/>
      <color rgb="FFFF0000"/>
      <name val="Arial Narrow"/>
      <family val="2"/>
    </font>
    <font>
      <b/>
      <sz val="12"/>
      <color theme="1"/>
      <name val="Arial Narrow"/>
      <family val="2"/>
    </font>
    <font>
      <b/>
      <sz val="11"/>
      <color theme="0"/>
      <name val="Arial Narrow"/>
      <family val="2"/>
    </font>
    <font>
      <sz val="11"/>
      <color theme="1"/>
      <name val="Calibri"/>
      <family val="2"/>
    </font>
    <font>
      <sz val="11"/>
      <name val="Calibri"/>
      <family val="2"/>
      <scheme val="minor"/>
    </font>
    <font>
      <u/>
      <sz val="11"/>
      <color theme="10"/>
      <name val="Calibri"/>
      <family val="2"/>
      <scheme val="minor"/>
    </font>
    <font>
      <sz val="10"/>
      <color theme="0"/>
      <name val="Calibri"/>
      <family val="2"/>
      <scheme val="minor"/>
    </font>
    <font>
      <sz val="10"/>
      <name val="Calibri"/>
      <family val="2"/>
      <scheme val="minor"/>
    </font>
    <font>
      <b/>
      <sz val="12"/>
      <color theme="9"/>
      <name val="Arial Narrow"/>
      <family val="2"/>
    </font>
    <font>
      <sz val="11"/>
      <color theme="9"/>
      <name val="Calibri"/>
      <family val="2"/>
      <scheme val="minor"/>
    </font>
    <font>
      <b/>
      <sz val="14"/>
      <color theme="9"/>
      <name val="Arial Narrow"/>
      <family val="2"/>
    </font>
    <font>
      <b/>
      <sz val="10"/>
      <name val="Arial Narrow"/>
      <family val="2"/>
    </font>
    <font>
      <sz val="11"/>
      <name val="Arial Narrow"/>
      <family val="2"/>
    </font>
    <font>
      <sz val="10"/>
      <color theme="0"/>
      <name val="Arial Narrow"/>
      <family val="2"/>
    </font>
    <font>
      <sz val="8"/>
      <color theme="1"/>
      <name val="Arial Narrow"/>
      <family val="2"/>
    </font>
    <font>
      <b/>
      <sz val="10"/>
      <color theme="3"/>
      <name val="Arial Narrow"/>
      <family val="2"/>
    </font>
    <font>
      <sz val="9.5"/>
      <color theme="1"/>
      <name val="Arial Narrow"/>
      <family val="2"/>
    </font>
    <font>
      <sz val="12"/>
      <color theme="0"/>
      <name val="Arial Narrow"/>
      <family val="2"/>
    </font>
    <font>
      <sz val="6.3"/>
      <color theme="1"/>
      <name val="Arial Narrow"/>
      <family val="2"/>
    </font>
    <font>
      <b/>
      <sz val="11"/>
      <color theme="0"/>
      <name val="Calibri"/>
      <family val="2"/>
      <scheme val="minor"/>
    </font>
    <font>
      <sz val="11"/>
      <color theme="0"/>
      <name val="Arial Narrow"/>
      <family val="2"/>
    </font>
    <font>
      <sz val="9.25"/>
      <name val="Arial Narrow"/>
      <family val="2"/>
    </font>
  </fonts>
  <fills count="7">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rgb="FFFFFF66"/>
        <bgColor indexed="64"/>
      </patternFill>
    </fill>
    <fill>
      <patternFill patternType="solid">
        <fgColor theme="1"/>
        <bgColor indexed="64"/>
      </patternFill>
    </fill>
    <fill>
      <patternFill patternType="solid">
        <fgColor rgb="FFFF0000"/>
        <bgColor indexed="64"/>
      </patternFill>
    </fill>
  </fills>
  <borders count="12">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
      <left style="thin">
        <color indexed="64"/>
      </left>
      <right/>
      <top/>
      <bottom/>
      <diagonal/>
    </border>
  </borders>
  <cellStyleXfs count="6">
    <xf numFmtId="0" fontId="0" fillId="0" borderId="0"/>
    <xf numFmtId="16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24" fillId="0" borderId="0" applyNumberFormat="0" applyFill="0" applyBorder="0" applyAlignment="0" applyProtection="0"/>
    <xf numFmtId="9" fontId="1" fillId="0" borderId="0" applyFont="0" applyFill="0" applyBorder="0" applyAlignment="0" applyProtection="0"/>
  </cellStyleXfs>
  <cellXfs count="224">
    <xf numFmtId="0" fontId="0" fillId="0" borderId="0" xfId="0"/>
    <xf numFmtId="0" fontId="0" fillId="0" borderId="0" xfId="0" applyFill="1"/>
    <xf numFmtId="0" fontId="7" fillId="0" borderId="0" xfId="0" applyFont="1"/>
    <xf numFmtId="0" fontId="0" fillId="0" borderId="0" xfId="0" applyNumberFormat="1" applyProtection="1"/>
    <xf numFmtId="0" fontId="7" fillId="0" borderId="0" xfId="0" applyFont="1" applyAlignment="1"/>
    <xf numFmtId="0" fontId="14" fillId="0" borderId="0" xfId="0" applyFont="1" applyAlignment="1"/>
    <xf numFmtId="0" fontId="7" fillId="0" borderId="0" xfId="0" applyFont="1" applyBorder="1" applyAlignment="1" applyProtection="1">
      <protection locked="0"/>
    </xf>
    <xf numFmtId="0" fontId="0" fillId="0" borderId="0" xfId="0" applyFont="1" applyAlignment="1">
      <alignment wrapText="1"/>
    </xf>
    <xf numFmtId="0" fontId="0" fillId="3" borderId="0" xfId="0" applyFill="1"/>
    <xf numFmtId="0" fontId="16" fillId="0" borderId="0" xfId="0" applyFont="1"/>
    <xf numFmtId="0" fontId="0" fillId="0" borderId="0" xfId="0" applyProtection="1"/>
    <xf numFmtId="0" fontId="2" fillId="0" borderId="0" xfId="0" applyFont="1" applyProtection="1"/>
    <xf numFmtId="0" fontId="20" fillId="0" borderId="0" xfId="0" applyFont="1" applyAlignment="1" applyProtection="1"/>
    <xf numFmtId="0" fontId="0" fillId="0" borderId="0" xfId="0" applyAlignment="1" applyProtection="1">
      <alignment vertical="center"/>
    </xf>
    <xf numFmtId="0" fontId="4" fillId="0" borderId="0" xfId="0" applyFont="1" applyProtection="1"/>
    <xf numFmtId="0" fontId="0" fillId="0" borderId="0" xfId="0" applyFill="1" applyAlignment="1" applyProtection="1">
      <alignment vertical="center"/>
    </xf>
    <xf numFmtId="0" fontId="9" fillId="0" borderId="0" xfId="0" applyFont="1" applyAlignment="1" applyProtection="1"/>
    <xf numFmtId="0" fontId="18" fillId="0" borderId="0" xfId="0" applyFont="1" applyAlignment="1" applyProtection="1"/>
    <xf numFmtId="0" fontId="19" fillId="0" borderId="0" xfId="0" applyFont="1" applyAlignment="1" applyProtection="1"/>
    <xf numFmtId="0" fontId="14" fillId="0" borderId="0" xfId="0" applyFont="1" applyProtection="1"/>
    <xf numFmtId="0" fontId="17" fillId="0" borderId="0" xfId="0" applyFont="1" applyProtection="1"/>
    <xf numFmtId="0" fontId="7" fillId="0" borderId="0" xfId="0" applyFont="1" applyAlignment="1" applyProtection="1"/>
    <xf numFmtId="0" fontId="14" fillId="0" borderId="0" xfId="0" applyFont="1" applyAlignment="1" applyProtection="1"/>
    <xf numFmtId="0" fontId="7" fillId="0" borderId="0" xfId="0" applyFont="1" applyBorder="1" applyProtection="1"/>
    <xf numFmtId="0" fontId="14" fillId="0" borderId="0" xfId="0" applyFont="1" applyBorder="1" applyProtection="1"/>
    <xf numFmtId="0" fontId="17" fillId="0" borderId="0" xfId="0" applyFont="1" applyBorder="1" applyProtection="1"/>
    <xf numFmtId="164" fontId="0" fillId="0" borderId="0" xfId="0" applyNumberFormat="1" applyBorder="1" applyProtection="1"/>
    <xf numFmtId="0" fontId="0" fillId="0" borderId="0" xfId="0" applyFill="1" applyBorder="1" applyProtection="1"/>
    <xf numFmtId="0" fontId="4" fillId="0" borderId="0" xfId="0" applyFont="1" applyAlignment="1" applyProtection="1">
      <alignment horizontal="right"/>
    </xf>
    <xf numFmtId="0" fontId="0" fillId="0" borderId="0" xfId="0" applyFill="1" applyProtection="1"/>
    <xf numFmtId="0" fontId="12" fillId="0" borderId="0" xfId="0" applyFont="1" applyFill="1" applyBorder="1" applyAlignment="1" applyProtection="1"/>
    <xf numFmtId="0" fontId="0" fillId="0" borderId="0" xfId="0" applyFill="1" applyBorder="1" applyAlignment="1" applyProtection="1"/>
    <xf numFmtId="0" fontId="7" fillId="0" borderId="0" xfId="0" applyFont="1" applyAlignment="1" applyProtection="1">
      <alignment horizontal="justify" vertical="center" wrapText="1"/>
    </xf>
    <xf numFmtId="0" fontId="8" fillId="0" borderId="0" xfId="0" applyFont="1" applyAlignment="1" applyProtection="1">
      <alignment horizontal="justify" vertical="center" wrapText="1"/>
    </xf>
    <xf numFmtId="0" fontId="4" fillId="0" borderId="0" xfId="0" applyFont="1" applyAlignment="1" applyProtection="1">
      <alignment horizontal="justify" vertical="top" wrapText="1"/>
    </xf>
    <xf numFmtId="0" fontId="11" fillId="0" borderId="0" xfId="0" applyFont="1" applyAlignment="1" applyProtection="1"/>
    <xf numFmtId="0" fontId="7" fillId="0" borderId="0" xfId="0" applyFont="1" applyAlignment="1" applyProtection="1">
      <alignment horizontal="justify" vertical="top"/>
    </xf>
    <xf numFmtId="0" fontId="8" fillId="0" borderId="0" xfId="0" applyFont="1" applyAlignment="1" applyProtection="1">
      <alignment horizontal="justify" vertical="top"/>
    </xf>
    <xf numFmtId="0" fontId="7" fillId="0" borderId="0" xfId="0" applyFont="1" applyAlignment="1" applyProtection="1">
      <alignment horizontal="justify" vertical="top" wrapText="1"/>
    </xf>
    <xf numFmtId="0" fontId="8" fillId="0" borderId="0" xfId="0" applyFont="1" applyAlignment="1" applyProtection="1">
      <alignment horizontal="justify" vertical="top" wrapText="1"/>
    </xf>
    <xf numFmtId="0" fontId="6" fillId="0" borderId="0" xfId="0" applyFont="1" applyAlignment="1" applyProtection="1">
      <alignment vertical="center"/>
    </xf>
    <xf numFmtId="49" fontId="7" fillId="0" borderId="0" xfId="0" applyNumberFormat="1" applyFont="1" applyAlignment="1" applyProtection="1">
      <alignment horizontal="justify" vertical="top"/>
    </xf>
    <xf numFmtId="0" fontId="7" fillId="0" borderId="0" xfId="0" applyFont="1" applyFill="1" applyAlignment="1" applyProtection="1">
      <alignment horizontal="justify" vertical="top"/>
    </xf>
    <xf numFmtId="0" fontId="8" fillId="0" borderId="0" xfId="0" applyFont="1" applyFill="1" applyAlignment="1" applyProtection="1">
      <alignment horizontal="justify" vertical="top"/>
    </xf>
    <xf numFmtId="49" fontId="0" fillId="0" borderId="0" xfId="0" applyNumberFormat="1" applyAlignment="1" applyProtection="1"/>
    <xf numFmtId="0" fontId="4" fillId="0" borderId="0" xfId="0" applyFont="1" applyAlignment="1" applyProtection="1">
      <alignment vertical="center"/>
    </xf>
    <xf numFmtId="0" fontId="7" fillId="0" borderId="0" xfId="0" applyNumberFormat="1" applyFont="1" applyAlignment="1" applyProtection="1">
      <alignment horizontal="justify" vertical="top"/>
    </xf>
    <xf numFmtId="0" fontId="0" fillId="0" borderId="0" xfId="0" applyNumberFormat="1" applyFont="1" applyFill="1" applyBorder="1" applyAlignment="1" applyProtection="1">
      <alignment horizontal="center"/>
      <protection locked="0"/>
    </xf>
    <xf numFmtId="0" fontId="7" fillId="0" borderId="0" xfId="0" applyNumberFormat="1" applyFont="1" applyFill="1" applyBorder="1" applyAlignment="1" applyProtection="1">
      <alignment horizontal="center"/>
      <protection locked="0"/>
    </xf>
    <xf numFmtId="0" fontId="0" fillId="0" borderId="0" xfId="0" applyNumberFormat="1" applyFont="1" applyFill="1"/>
    <xf numFmtId="0" fontId="7" fillId="0" borderId="0" xfId="0" applyFont="1" applyAlignment="1" applyProtection="1">
      <alignment shrinkToFit="1"/>
    </xf>
    <xf numFmtId="0" fontId="25" fillId="0" borderId="0" xfId="0" applyFont="1" applyProtection="1"/>
    <xf numFmtId="49" fontId="0" fillId="0" borderId="0" xfId="0" applyNumberFormat="1"/>
    <xf numFmtId="2" fontId="0" fillId="3" borderId="0" xfId="0" applyNumberFormat="1" applyFill="1"/>
    <xf numFmtId="0" fontId="0" fillId="0" borderId="0" xfId="0" applyAlignment="1">
      <alignment wrapText="1"/>
    </xf>
    <xf numFmtId="0" fontId="0" fillId="0" borderId="0" xfId="0" applyAlignment="1"/>
    <xf numFmtId="0" fontId="20" fillId="0" borderId="0" xfId="0" applyFont="1" applyProtection="1"/>
    <xf numFmtId="10" fontId="0" fillId="0" borderId="0" xfId="5" applyNumberFormat="1" applyFont="1"/>
    <xf numFmtId="10" fontId="1" fillId="0" borderId="0" xfId="5" applyNumberFormat="1" applyFont="1"/>
    <xf numFmtId="10" fontId="1" fillId="0" borderId="0" xfId="5" applyNumberFormat="1" applyFont="1" applyFill="1"/>
    <xf numFmtId="165" fontId="0" fillId="0" borderId="0" xfId="5" applyNumberFormat="1" applyFont="1"/>
    <xf numFmtId="0" fontId="21" fillId="0" borderId="0" xfId="0" applyFont="1" applyProtection="1">
      <protection locked="0"/>
    </xf>
    <xf numFmtId="0" fontId="0" fillId="0" borderId="0" xfId="0" applyAlignment="1">
      <alignment horizontal="center"/>
    </xf>
    <xf numFmtId="0" fontId="4" fillId="0" borderId="0" xfId="0" applyFont="1" applyBorder="1" applyAlignment="1" applyProtection="1">
      <alignment horizontal="right"/>
    </xf>
    <xf numFmtId="1" fontId="26" fillId="0" borderId="0" xfId="0" applyNumberFormat="1" applyFont="1" applyFill="1" applyBorder="1" applyAlignment="1" applyProtection="1"/>
    <xf numFmtId="0" fontId="27" fillId="0" borderId="0" xfId="0" applyFont="1" applyAlignment="1" applyProtection="1"/>
    <xf numFmtId="0" fontId="28" fillId="0" borderId="0" xfId="0" applyFont="1" applyProtection="1"/>
    <xf numFmtId="0" fontId="22" fillId="0" borderId="0" xfId="0" applyFont="1" applyAlignment="1">
      <alignment wrapText="1"/>
    </xf>
    <xf numFmtId="0" fontId="0" fillId="0" borderId="0" xfId="0" applyAlignment="1">
      <alignment horizontal="center" wrapText="1"/>
    </xf>
    <xf numFmtId="0" fontId="30" fillId="0" borderId="0" xfId="0" applyFont="1" applyProtection="1"/>
    <xf numFmtId="0" fontId="15" fillId="0" borderId="0" xfId="0" applyFont="1" applyProtection="1"/>
    <xf numFmtId="1" fontId="23" fillId="0" borderId="0" xfId="0" applyNumberFormat="1" applyFont="1" applyFill="1" applyBorder="1" applyAlignment="1" applyProtection="1">
      <alignment horizontal="center"/>
    </xf>
    <xf numFmtId="0" fontId="23" fillId="0" borderId="0" xfId="0" applyFont="1" applyFill="1" applyBorder="1" applyProtection="1"/>
    <xf numFmtId="164" fontId="31" fillId="0" borderId="0" xfId="0" applyNumberFormat="1" applyFont="1" applyFill="1" applyBorder="1" applyAlignment="1" applyProtection="1"/>
    <xf numFmtId="164" fontId="31" fillId="0" borderId="0" xfId="1" applyFont="1" applyFill="1" applyBorder="1" applyAlignment="1" applyProtection="1"/>
    <xf numFmtId="164" fontId="31" fillId="0" borderId="0" xfId="1" applyFont="1" applyFill="1" applyBorder="1" applyProtection="1"/>
    <xf numFmtId="164" fontId="31" fillId="0" borderId="0" xfId="0" applyNumberFormat="1" applyFont="1" applyFill="1" applyBorder="1" applyProtection="1"/>
    <xf numFmtId="0" fontId="4" fillId="0" borderId="0" xfId="0" applyFont="1" applyBorder="1" applyAlignment="1" applyProtection="1">
      <alignment wrapText="1"/>
    </xf>
    <xf numFmtId="0" fontId="29" fillId="0" borderId="0" xfId="0" applyFont="1" applyBorder="1" applyAlignment="1" applyProtection="1">
      <alignment horizontal="left"/>
    </xf>
    <xf numFmtId="17" fontId="31" fillId="0" borderId="0" xfId="1" applyNumberFormat="1" applyFont="1" applyFill="1" applyBorder="1" applyAlignment="1" applyProtection="1"/>
    <xf numFmtId="0" fontId="0" fillId="0" borderId="0" xfId="0" applyBorder="1" applyProtection="1"/>
    <xf numFmtId="0" fontId="0" fillId="0" borderId="0" xfId="0" applyAlignment="1" applyProtection="1"/>
    <xf numFmtId="0" fontId="7" fillId="0" borderId="0" xfId="0" applyFont="1" applyProtection="1"/>
    <xf numFmtId="0" fontId="4" fillId="0" borderId="0" xfId="0" applyFont="1" applyAlignment="1" applyProtection="1"/>
    <xf numFmtId="0" fontId="7" fillId="0" borderId="0" xfId="0" applyFont="1" applyAlignment="1" applyProtection="1">
      <alignment horizontal="left"/>
    </xf>
    <xf numFmtId="0" fontId="15" fillId="0" borderId="0" xfId="0" applyFont="1" applyFill="1" applyAlignment="1" applyProtection="1"/>
    <xf numFmtId="0" fontId="0" fillId="0" borderId="0" xfId="0" applyFill="1" applyAlignment="1"/>
    <xf numFmtId="0" fontId="0" fillId="0" borderId="0" xfId="0" quotePrefix="1" applyAlignment="1"/>
    <xf numFmtId="0" fontId="4" fillId="0" borderId="0" xfId="0" applyFont="1" applyAlignment="1" applyProtection="1">
      <alignment horizontal="left"/>
    </xf>
    <xf numFmtId="0" fontId="7" fillId="0" borderId="8" xfId="0" quotePrefix="1" applyNumberFormat="1" applyFont="1" applyBorder="1" applyAlignment="1" applyProtection="1">
      <alignment horizontal="center"/>
    </xf>
    <xf numFmtId="0" fontId="7" fillId="0" borderId="4" xfId="0" quotePrefix="1" applyNumberFormat="1" applyFont="1" applyBorder="1" applyAlignment="1" applyProtection="1">
      <alignment horizontal="center"/>
    </xf>
    <xf numFmtId="0" fontId="7" fillId="0" borderId="0" xfId="0" quotePrefix="1" applyNumberFormat="1" applyFont="1" applyBorder="1" applyAlignment="1" applyProtection="1">
      <alignment horizontal="center"/>
    </xf>
    <xf numFmtId="0" fontId="32" fillId="0" borderId="0" xfId="0" applyFont="1" applyProtection="1"/>
    <xf numFmtId="0" fontId="0" fillId="4" borderId="0" xfId="0" applyFill="1" applyProtection="1"/>
    <xf numFmtId="0" fontId="4" fillId="0" borderId="0" xfId="0" applyFont="1" applyFill="1" applyBorder="1" applyAlignment="1" applyProtection="1">
      <alignment vertical="center"/>
    </xf>
    <xf numFmtId="0" fontId="0" fillId="0" borderId="0" xfId="0" applyAlignment="1" applyProtection="1"/>
    <xf numFmtId="0" fontId="4" fillId="0" borderId="0" xfId="0" applyFont="1" applyAlignment="1" applyProtection="1"/>
    <xf numFmtId="0" fontId="31" fillId="0" borderId="0" xfId="0" applyFont="1" applyFill="1" applyAlignment="1" applyProtection="1">
      <alignment vertical="top" wrapText="1"/>
    </xf>
    <xf numFmtId="0" fontId="7" fillId="0" borderId="0" xfId="0" applyFont="1" applyBorder="1" applyAlignment="1" applyProtection="1">
      <alignment wrapText="1"/>
    </xf>
    <xf numFmtId="0" fontId="7" fillId="0" borderId="0" xfId="0" applyFont="1" applyProtection="1">
      <protection locked="0"/>
    </xf>
    <xf numFmtId="166" fontId="7" fillId="0" borderId="8" xfId="0" applyNumberFormat="1" applyFont="1" applyBorder="1" applyAlignment="1" applyProtection="1">
      <alignment horizontal="center"/>
    </xf>
    <xf numFmtId="0" fontId="7" fillId="0" borderId="0" xfId="1" applyNumberFormat="1" applyFont="1" applyBorder="1" applyAlignment="1" applyProtection="1">
      <alignment horizontal="center"/>
    </xf>
    <xf numFmtId="166" fontId="7" fillId="0" borderId="0" xfId="0" applyNumberFormat="1" applyFont="1" applyBorder="1" applyAlignment="1" applyProtection="1">
      <alignment horizontal="center"/>
    </xf>
    <xf numFmtId="166" fontId="7" fillId="0" borderId="4" xfId="0" applyNumberFormat="1" applyFont="1" applyBorder="1" applyAlignment="1" applyProtection="1">
      <alignment horizontal="center"/>
    </xf>
    <xf numFmtId="0" fontId="7" fillId="0" borderId="4" xfId="1" applyNumberFormat="1" applyFont="1" applyBorder="1" applyAlignment="1" applyProtection="1">
      <alignment horizontal="center"/>
    </xf>
    <xf numFmtId="0" fontId="0" fillId="0" borderId="0" xfId="0" applyAlignment="1" applyProtection="1"/>
    <xf numFmtId="0" fontId="7" fillId="0" borderId="0" xfId="0" applyFont="1" applyAlignment="1" applyProtection="1">
      <alignment horizontal="left"/>
    </xf>
    <xf numFmtId="0" fontId="3" fillId="0" borderId="0" xfId="0" applyFont="1" applyProtection="1"/>
    <xf numFmtId="0" fontId="25" fillId="0" borderId="0" xfId="0" applyFont="1" applyAlignment="1" applyProtection="1">
      <alignment wrapText="1"/>
    </xf>
    <xf numFmtId="0" fontId="2" fillId="0" borderId="0" xfId="0" applyFont="1" applyAlignment="1" applyProtection="1"/>
    <xf numFmtId="0" fontId="12" fillId="4" borderId="0" xfId="0" applyFont="1" applyFill="1" applyAlignment="1" applyProtection="1">
      <alignment vertical="center"/>
    </xf>
    <xf numFmtId="0" fontId="34" fillId="4" borderId="0" xfId="0" applyFont="1" applyFill="1" applyProtection="1"/>
    <xf numFmtId="0" fontId="7" fillId="4" borderId="0" xfId="0" applyFont="1" applyFill="1" applyProtection="1"/>
    <xf numFmtId="0" fontId="12" fillId="4" borderId="0" xfId="0" applyFont="1" applyFill="1" applyProtection="1"/>
    <xf numFmtId="0" fontId="35" fillId="0" borderId="0" xfId="0" applyFont="1" applyAlignment="1" applyProtection="1"/>
    <xf numFmtId="0" fontId="35" fillId="0" borderId="0" xfId="0" applyFont="1" applyProtection="1"/>
    <xf numFmtId="0" fontId="22" fillId="0" borderId="0" xfId="0" applyFont="1" applyFill="1" applyAlignment="1" applyProtection="1">
      <alignment horizontal="right" vertical="center"/>
    </xf>
    <xf numFmtId="0" fontId="22" fillId="0" borderId="0" xfId="0" applyFont="1" applyFill="1" applyAlignment="1" applyProtection="1">
      <alignment horizontal="right" vertical="top"/>
    </xf>
    <xf numFmtId="0" fontId="23" fillId="0" borderId="0" xfId="0" applyFont="1" applyProtection="1"/>
    <xf numFmtId="0" fontId="31" fillId="0" borderId="0" xfId="0" applyFont="1" applyFill="1" applyAlignment="1" applyProtection="1">
      <protection locked="0"/>
    </xf>
    <xf numFmtId="0" fontId="23" fillId="0" borderId="0" xfId="0" applyFont="1" applyAlignment="1" applyProtection="1"/>
    <xf numFmtId="0" fontId="39" fillId="0" borderId="0" xfId="0" applyFont="1" applyFill="1" applyAlignment="1" applyProtection="1">
      <alignment vertical="top" wrapText="1"/>
    </xf>
    <xf numFmtId="0" fontId="7" fillId="0" borderId="0" xfId="0" applyFont="1" applyFill="1" applyAlignment="1" applyProtection="1"/>
    <xf numFmtId="0" fontId="4" fillId="0" borderId="0" xfId="0" applyFont="1" applyFill="1" applyAlignment="1"/>
    <xf numFmtId="0" fontId="7" fillId="0" borderId="11" xfId="0" applyFont="1" applyBorder="1" applyAlignment="1" applyProtection="1">
      <alignment horizontal="left" wrapText="1"/>
    </xf>
    <xf numFmtId="0" fontId="7" fillId="0" borderId="0" xfId="0" applyFont="1" applyBorder="1" applyAlignment="1" applyProtection="1">
      <alignment horizontal="left" wrapText="1"/>
    </xf>
    <xf numFmtId="166" fontId="7" fillId="0" borderId="3" xfId="0" applyNumberFormat="1" applyFont="1" applyBorder="1" applyAlignment="1" applyProtection="1">
      <alignment horizontal="center"/>
      <protection locked="0"/>
    </xf>
    <xf numFmtId="166" fontId="7" fillId="0" borderId="2" xfId="0" applyNumberFormat="1" applyFont="1" applyBorder="1" applyAlignment="1" applyProtection="1">
      <alignment horizontal="center"/>
      <protection locked="0"/>
    </xf>
    <xf numFmtId="166" fontId="7" fillId="0" borderId="1" xfId="0" applyNumberFormat="1" applyFont="1" applyBorder="1" applyAlignment="1" applyProtection="1">
      <alignment horizontal="center"/>
      <protection locked="0"/>
    </xf>
    <xf numFmtId="0" fontId="4" fillId="0" borderId="6" xfId="1" applyNumberFormat="1" applyFont="1" applyBorder="1" applyAlignment="1" applyProtection="1">
      <alignment horizontal="right"/>
      <protection locked="0"/>
    </xf>
    <xf numFmtId="0" fontId="4" fillId="0" borderId="4" xfId="1" applyNumberFormat="1" applyFont="1" applyBorder="1" applyAlignment="1" applyProtection="1">
      <alignment horizontal="right"/>
      <protection locked="0"/>
    </xf>
    <xf numFmtId="0" fontId="4" fillId="0" borderId="5" xfId="1" applyNumberFormat="1" applyFont="1" applyBorder="1" applyAlignment="1" applyProtection="1">
      <alignment horizontal="right"/>
      <protection locked="0"/>
    </xf>
    <xf numFmtId="0" fontId="4" fillId="0" borderId="3" xfId="0" quotePrefix="1" applyNumberFormat="1" applyFont="1" applyBorder="1" applyAlignment="1" applyProtection="1">
      <alignment horizontal="right"/>
    </xf>
    <xf numFmtId="0" fontId="4" fillId="0" borderId="2" xfId="0" quotePrefix="1" applyNumberFormat="1" applyFont="1" applyBorder="1" applyAlignment="1" applyProtection="1">
      <alignment horizontal="right"/>
    </xf>
    <xf numFmtId="0" fontId="4" fillId="0" borderId="1" xfId="0" quotePrefix="1" applyNumberFormat="1" applyFont="1" applyBorder="1" applyAlignment="1" applyProtection="1">
      <alignment horizontal="right"/>
    </xf>
    <xf numFmtId="166" fontId="7" fillId="0" borderId="10" xfId="0" applyNumberFormat="1" applyFont="1" applyBorder="1" applyAlignment="1" applyProtection="1">
      <alignment horizontal="center"/>
      <protection locked="0"/>
    </xf>
    <xf numFmtId="0" fontId="7" fillId="0" borderId="0" xfId="0" applyFont="1" applyBorder="1" applyAlignment="1" applyProtection="1"/>
    <xf numFmtId="0" fontId="0" fillId="0" borderId="0" xfId="0" applyBorder="1" applyAlignment="1"/>
    <xf numFmtId="0" fontId="12" fillId="2" borderId="3" xfId="0" applyFont="1" applyFill="1" applyBorder="1" applyAlignment="1" applyProtection="1">
      <alignment horizontal="right"/>
    </xf>
    <xf numFmtId="0" fontId="12" fillId="2" borderId="2" xfId="0" applyFont="1" applyFill="1" applyBorder="1" applyAlignment="1" applyProtection="1">
      <alignment horizontal="right"/>
    </xf>
    <xf numFmtId="0" fontId="12" fillId="2" borderId="1" xfId="0" applyFont="1" applyFill="1" applyBorder="1" applyAlignment="1" applyProtection="1">
      <alignment horizontal="right"/>
    </xf>
    <xf numFmtId="0" fontId="20" fillId="0" borderId="0" xfId="0" applyFont="1"/>
    <xf numFmtId="0" fontId="12" fillId="2" borderId="9" xfId="0" applyFont="1" applyFill="1" applyBorder="1" applyAlignment="1" applyProtection="1">
      <alignment horizontal="center"/>
    </xf>
    <xf numFmtId="0" fontId="12" fillId="2" borderId="8" xfId="0" applyFont="1" applyFill="1" applyBorder="1" applyAlignment="1" applyProtection="1">
      <alignment horizontal="center"/>
    </xf>
    <xf numFmtId="0" fontId="12" fillId="2" borderId="7" xfId="0" applyFont="1" applyFill="1" applyBorder="1" applyAlignment="1" applyProtection="1">
      <alignment horizontal="center"/>
    </xf>
    <xf numFmtId="0" fontId="7" fillId="0" borderId="0" xfId="0" applyFont="1" applyAlignment="1" applyProtection="1">
      <alignment horizontal="center" shrinkToFit="1"/>
    </xf>
    <xf numFmtId="0" fontId="7" fillId="0" borderId="0" xfId="0" applyFont="1" applyAlignment="1">
      <alignment vertical="top"/>
    </xf>
    <xf numFmtId="0" fontId="15" fillId="0" borderId="4" xfId="0" applyFont="1" applyBorder="1" applyAlignment="1" applyProtection="1">
      <alignment horizontal="center"/>
      <protection locked="0"/>
    </xf>
    <xf numFmtId="0" fontId="7" fillId="0" borderId="4" xfId="0" applyFont="1" applyBorder="1" applyProtection="1">
      <protection locked="0"/>
    </xf>
    <xf numFmtId="0" fontId="36" fillId="0" borderId="0" xfId="0" applyFont="1" applyFill="1" applyAlignment="1" applyProtection="1">
      <alignment horizontal="left" vertical="top"/>
    </xf>
    <xf numFmtId="0" fontId="40" fillId="0" borderId="0" xfId="0" applyFont="1"/>
    <xf numFmtId="0" fontId="7" fillId="0" borderId="4" xfId="0" applyFont="1" applyBorder="1" applyAlignment="1" applyProtection="1">
      <alignment horizontal="center"/>
      <protection locked="0"/>
    </xf>
    <xf numFmtId="0" fontId="7" fillId="0" borderId="0" xfId="0" applyFont="1" applyBorder="1" applyAlignment="1" applyProtection="1">
      <alignment horizontal="center"/>
    </xf>
    <xf numFmtId="0" fontId="6" fillId="0" borderId="0" xfId="0" applyFont="1" applyAlignment="1">
      <alignment vertical="top" wrapText="1"/>
    </xf>
    <xf numFmtId="1" fontId="26" fillId="0" borderId="4" xfId="0" applyNumberFormat="1" applyFont="1" applyFill="1" applyBorder="1" applyAlignment="1" applyProtection="1">
      <alignment horizontal="center"/>
      <protection locked="0"/>
    </xf>
    <xf numFmtId="0" fontId="7" fillId="0" borderId="0" xfId="0" applyFont="1" applyAlignment="1" applyProtection="1">
      <alignment horizontal="left" shrinkToFit="1"/>
    </xf>
    <xf numFmtId="0" fontId="7" fillId="2" borderId="6" xfId="0" applyFont="1" applyFill="1" applyBorder="1" applyAlignment="1" applyProtection="1">
      <alignment horizontal="center"/>
    </xf>
    <xf numFmtId="0" fontId="7" fillId="2" borderId="4" xfId="0" applyFont="1" applyFill="1" applyBorder="1" applyAlignment="1" applyProtection="1">
      <alignment horizontal="center"/>
    </xf>
    <xf numFmtId="0" fontId="7" fillId="2" borderId="5" xfId="0" applyFont="1" applyFill="1" applyBorder="1" applyAlignment="1" applyProtection="1">
      <alignment horizontal="center"/>
    </xf>
    <xf numFmtId="0" fontId="37" fillId="0" borderId="11" xfId="0" applyFont="1" applyBorder="1" applyAlignment="1" applyProtection="1">
      <alignment horizontal="left" wrapText="1"/>
    </xf>
    <xf numFmtId="0" fontId="37" fillId="0" borderId="0" xfId="0" applyFont="1" applyBorder="1" applyAlignment="1" applyProtection="1">
      <alignment horizontal="left" wrapText="1"/>
    </xf>
    <xf numFmtId="0" fontId="6" fillId="0" borderId="0" xfId="0" applyFont="1" applyFill="1" applyAlignment="1" applyProtection="1">
      <alignment horizontal="justify" vertical="top" wrapText="1"/>
    </xf>
    <xf numFmtId="0" fontId="0" fillId="0" borderId="0" xfId="0" applyAlignment="1" applyProtection="1">
      <alignment wrapText="1"/>
    </xf>
    <xf numFmtId="0" fontId="13" fillId="0" borderId="0" xfId="0" applyFont="1" applyAlignment="1" applyProtection="1">
      <alignment horizontal="center"/>
    </xf>
    <xf numFmtId="0" fontId="0" fillId="0" borderId="0" xfId="0" applyAlignment="1" applyProtection="1">
      <alignment horizontal="center"/>
    </xf>
    <xf numFmtId="0" fontId="30" fillId="2" borderId="9" xfId="0" applyFont="1" applyFill="1" applyBorder="1" applyAlignment="1" applyProtection="1">
      <alignment horizontal="center"/>
    </xf>
    <xf numFmtId="0" fontId="30" fillId="2" borderId="8" xfId="0" applyFont="1" applyFill="1" applyBorder="1" applyAlignment="1" applyProtection="1">
      <alignment horizontal="center"/>
    </xf>
    <xf numFmtId="0" fontId="30" fillId="2" borderId="7" xfId="0" applyFont="1" applyFill="1" applyBorder="1" applyAlignment="1" applyProtection="1">
      <alignment horizontal="center"/>
    </xf>
    <xf numFmtId="0" fontId="15" fillId="2" borderId="6" xfId="0" applyFont="1" applyFill="1" applyBorder="1" applyAlignment="1" applyProtection="1">
      <alignment horizontal="center"/>
    </xf>
    <xf numFmtId="0" fontId="15" fillId="2" borderId="4" xfId="0" applyFont="1" applyFill="1" applyBorder="1" applyAlignment="1" applyProtection="1">
      <alignment horizontal="center"/>
    </xf>
    <xf numFmtId="0" fontId="15" fillId="2" borderId="5" xfId="0" applyFont="1" applyFill="1" applyBorder="1" applyAlignment="1" applyProtection="1">
      <alignment horizontal="center"/>
    </xf>
    <xf numFmtId="0" fontId="31" fillId="0" borderId="3" xfId="0" applyNumberFormat="1" applyFont="1" applyBorder="1" applyAlignment="1" applyProtection="1">
      <alignment horizontal="center"/>
    </xf>
    <xf numFmtId="0" fontId="31" fillId="0" borderId="2" xfId="0" applyNumberFormat="1" applyFont="1" applyBorder="1" applyAlignment="1" applyProtection="1">
      <alignment horizontal="center"/>
    </xf>
    <xf numFmtId="0" fontId="31" fillId="0" borderId="1" xfId="0" applyNumberFormat="1" applyFont="1" applyBorder="1" applyAlignment="1" applyProtection="1">
      <alignment horizontal="center"/>
    </xf>
    <xf numFmtId="0" fontId="7" fillId="0" borderId="4" xfId="0" applyFont="1" applyBorder="1" applyAlignment="1" applyProtection="1">
      <alignment horizontal="left"/>
      <protection locked="0"/>
    </xf>
    <xf numFmtId="0" fontId="6" fillId="0" borderId="0" xfId="0" applyFont="1" applyAlignment="1" applyProtection="1">
      <alignment vertical="top" wrapText="1"/>
    </xf>
    <xf numFmtId="2" fontId="6" fillId="0" borderId="0" xfId="0" applyNumberFormat="1" applyFont="1" applyFill="1" applyAlignment="1" applyProtection="1">
      <alignment horizontal="justify" vertical="top" wrapText="1"/>
    </xf>
    <xf numFmtId="0" fontId="6" fillId="0" borderId="0" xfId="0" applyFont="1" applyAlignment="1" applyProtection="1">
      <alignment wrapText="1"/>
    </xf>
    <xf numFmtId="0" fontId="6" fillId="0" borderId="0" xfId="0" applyFont="1"/>
    <xf numFmtId="0" fontId="38" fillId="5" borderId="0" xfId="0" applyFont="1" applyFill="1" applyAlignment="1" applyProtection="1">
      <alignment horizontal="center" vertical="center" textRotation="90"/>
    </xf>
    <xf numFmtId="0" fontId="30" fillId="2" borderId="9" xfId="0" applyFont="1" applyFill="1" applyBorder="1" applyAlignment="1" applyProtection="1">
      <alignment horizontal="center" vertical="center"/>
    </xf>
    <xf numFmtId="0" fontId="30" fillId="2" borderId="8" xfId="0" applyFont="1" applyFill="1" applyBorder="1" applyAlignment="1" applyProtection="1">
      <alignment horizontal="center" vertical="center"/>
    </xf>
    <xf numFmtId="0" fontId="30" fillId="2" borderId="7" xfId="0" applyFont="1" applyFill="1" applyBorder="1" applyAlignment="1" applyProtection="1">
      <alignment horizontal="center" vertical="center"/>
    </xf>
    <xf numFmtId="0" fontId="30" fillId="2" borderId="6" xfId="0" applyFont="1" applyFill="1" applyBorder="1" applyAlignment="1" applyProtection="1">
      <alignment horizontal="center" vertical="center"/>
    </xf>
    <xf numFmtId="0" fontId="30" fillId="2" borderId="4" xfId="0" applyFont="1" applyFill="1" applyBorder="1" applyAlignment="1" applyProtection="1">
      <alignment horizontal="center" vertical="center"/>
    </xf>
    <xf numFmtId="0" fontId="30" fillId="2" borderId="5" xfId="0" applyFont="1" applyFill="1" applyBorder="1" applyAlignment="1" applyProtection="1">
      <alignment horizontal="center" vertical="center"/>
    </xf>
    <xf numFmtId="0" fontId="31" fillId="0" borderId="10" xfId="1" applyNumberFormat="1" applyFont="1" applyBorder="1" applyAlignment="1" applyProtection="1">
      <alignment horizontal="right"/>
    </xf>
    <xf numFmtId="0" fontId="31" fillId="0" borderId="10" xfId="0" applyNumberFormat="1" applyFont="1" applyBorder="1" applyAlignment="1" applyProtection="1">
      <alignment horizontal="right"/>
    </xf>
    <xf numFmtId="0" fontId="38" fillId="6" borderId="0" xfId="0" applyFont="1" applyFill="1" applyAlignment="1" applyProtection="1">
      <alignment horizontal="center" vertical="center" textRotation="90"/>
    </xf>
    <xf numFmtId="14" fontId="15" fillId="0" borderId="4" xfId="0" applyNumberFormat="1" applyFont="1" applyBorder="1" applyAlignment="1" applyProtection="1">
      <alignment horizontal="center"/>
      <protection locked="0"/>
    </xf>
    <xf numFmtId="0" fontId="5" fillId="0" borderId="0" xfId="0" applyFont="1" applyAlignment="1" applyProtection="1"/>
    <xf numFmtId="0" fontId="0" fillId="0" borderId="0" xfId="0" applyAlignment="1" applyProtection="1"/>
    <xf numFmtId="0" fontId="6" fillId="0" borderId="0" xfId="0" applyFont="1" applyAlignment="1" applyProtection="1">
      <alignment horizontal="justify" vertical="top" wrapText="1"/>
    </xf>
    <xf numFmtId="0" fontId="0" fillId="0" borderId="0" xfId="0" applyAlignment="1" applyProtection="1">
      <alignment vertical="top"/>
    </xf>
    <xf numFmtId="0" fontId="10" fillId="0" borderId="0" xfId="0" applyFont="1" applyAlignment="1" applyProtection="1"/>
    <xf numFmtId="0" fontId="4" fillId="0" borderId="0" xfId="0" applyFont="1" applyAlignment="1" applyProtection="1"/>
    <xf numFmtId="0" fontId="29" fillId="0" borderId="0" xfId="0" applyFont="1" applyBorder="1" applyAlignment="1" applyProtection="1">
      <alignment horizontal="left" shrinkToFit="1"/>
    </xf>
    <xf numFmtId="0" fontId="15" fillId="0" borderId="4" xfId="4" applyFont="1" applyBorder="1" applyAlignment="1" applyProtection="1">
      <alignment horizontal="center"/>
      <protection locked="0"/>
    </xf>
    <xf numFmtId="0" fontId="14" fillId="0" borderId="4" xfId="0" applyFont="1" applyBorder="1" applyAlignment="1" applyProtection="1">
      <alignment horizontal="center"/>
      <protection locked="0"/>
    </xf>
    <xf numFmtId="0" fontId="7" fillId="0" borderId="0" xfId="0" applyFont="1" applyAlignment="1" applyProtection="1">
      <alignment horizontal="right" shrinkToFit="1"/>
    </xf>
    <xf numFmtId="0" fontId="6" fillId="0" borderId="0" xfId="0" applyFont="1" applyAlignment="1" applyProtection="1">
      <alignment horizontal="left"/>
    </xf>
    <xf numFmtId="0" fontId="16" fillId="0" borderId="0" xfId="0" applyFont="1" applyAlignment="1" applyProtection="1">
      <alignment horizontal="center"/>
    </xf>
    <xf numFmtId="0" fontId="7" fillId="0" borderId="0" xfId="0" applyFont="1" applyAlignment="1" applyProtection="1">
      <alignment horizontal="left"/>
    </xf>
    <xf numFmtId="0" fontId="24" fillId="0" borderId="4" xfId="4" applyBorder="1" applyAlignment="1" applyProtection="1">
      <alignment horizontal="center"/>
      <protection locked="0"/>
    </xf>
    <xf numFmtId="0" fontId="7" fillId="0" borderId="0" xfId="0" applyFont="1" applyAlignment="1" applyProtection="1">
      <alignment horizontal="center"/>
    </xf>
    <xf numFmtId="0" fontId="4" fillId="0" borderId="0" xfId="0" applyFont="1" applyAlignment="1" applyProtection="1">
      <alignment horizontal="left" wrapText="1"/>
    </xf>
    <xf numFmtId="0" fontId="4" fillId="0" borderId="0" xfId="0" applyNumberFormat="1" applyFont="1" applyAlignment="1" applyProtection="1">
      <alignment horizontal="left" vertical="top" wrapText="1"/>
    </xf>
    <xf numFmtId="0" fontId="4" fillId="0" borderId="0" xfId="0" applyFont="1"/>
    <xf numFmtId="0" fontId="12" fillId="2" borderId="6" xfId="0" applyFont="1" applyFill="1" applyBorder="1" applyAlignment="1" applyProtection="1">
      <alignment horizontal="center"/>
    </xf>
    <xf numFmtId="0" fontId="12" fillId="2" borderId="4" xfId="0" applyFont="1" applyFill="1" applyBorder="1" applyAlignment="1" applyProtection="1">
      <alignment horizontal="center"/>
    </xf>
    <xf numFmtId="0" fontId="12" fillId="2" borderId="5" xfId="0" applyFont="1" applyFill="1" applyBorder="1" applyAlignment="1" applyProtection="1">
      <alignment horizontal="center"/>
    </xf>
    <xf numFmtId="0" fontId="7" fillId="0" borderId="0" xfId="0" applyFont="1" applyBorder="1" applyAlignment="1" applyProtection="1">
      <alignment horizontal="center" wrapText="1"/>
    </xf>
    <xf numFmtId="0" fontId="33" fillId="0" borderId="0" xfId="0" applyFont="1" applyBorder="1" applyAlignment="1" applyProtection="1">
      <alignment horizontal="right" textRotation="90" wrapText="1"/>
    </xf>
    <xf numFmtId="0" fontId="7" fillId="0" borderId="0" xfId="0" applyFont="1" applyFill="1" applyBorder="1" applyAlignment="1" applyProtection="1">
      <alignment horizontal="left" wrapText="1"/>
    </xf>
    <xf numFmtId="0" fontId="7" fillId="2" borderId="6" xfId="0" quotePrefix="1" applyFont="1" applyFill="1" applyBorder="1" applyAlignment="1" applyProtection="1">
      <alignment horizontal="center"/>
    </xf>
    <xf numFmtId="0" fontId="7" fillId="2" borderId="4" xfId="0" quotePrefix="1" applyFont="1" applyFill="1" applyBorder="1" applyAlignment="1" applyProtection="1">
      <alignment horizontal="center"/>
    </xf>
    <xf numFmtId="0" fontId="7" fillId="2" borderId="5" xfId="0" quotePrefix="1" applyFont="1" applyFill="1" applyBorder="1" applyAlignment="1" applyProtection="1">
      <alignment horizontal="center"/>
    </xf>
    <xf numFmtId="0" fontId="7" fillId="0" borderId="0" xfId="0" applyFont="1" applyAlignment="1">
      <alignment horizontal="center"/>
    </xf>
    <xf numFmtId="0" fontId="4" fillId="2" borderId="3" xfId="1" applyNumberFormat="1" applyFont="1" applyFill="1" applyBorder="1" applyAlignment="1" applyProtection="1">
      <alignment horizontal="right"/>
    </xf>
    <xf numFmtId="0" fontId="4" fillId="2" borderId="2" xfId="1" applyNumberFormat="1" applyFont="1" applyFill="1" applyBorder="1" applyAlignment="1" applyProtection="1">
      <alignment horizontal="right"/>
    </xf>
    <xf numFmtId="0" fontId="4" fillId="2" borderId="1" xfId="1" applyNumberFormat="1" applyFont="1" applyFill="1" applyBorder="1" applyAlignment="1" applyProtection="1">
      <alignment horizontal="right"/>
    </xf>
    <xf numFmtId="0" fontId="4" fillId="0" borderId="4" xfId="0" applyFont="1" applyFill="1" applyBorder="1" applyAlignment="1"/>
    <xf numFmtId="0" fontId="0" fillId="0" borderId="4" xfId="0" applyBorder="1" applyAlignment="1"/>
    <xf numFmtId="0" fontId="0" fillId="0" borderId="0" xfId="0" applyAlignment="1">
      <alignment horizontal="center"/>
    </xf>
  </cellXfs>
  <cellStyles count="6">
    <cellStyle name="Comma 2" xfId="2"/>
    <cellStyle name="Currency" xfId="1" builtinId="4"/>
    <cellStyle name="Currency 2" xfId="3"/>
    <cellStyle name="Hyperlink" xfId="4" builtinId="8"/>
    <cellStyle name="Normal" xfId="0" builtinId="0"/>
    <cellStyle name="Percent" xfId="5" builtinId="5"/>
  </cellStyles>
  <dxfs count="133">
    <dxf>
      <numFmt numFmtId="167" formatCode="#,##0.00\ [$$-C0C]"/>
    </dxf>
    <dxf>
      <numFmt numFmtId="168" formatCode="[$$-1009]#,##0.00"/>
    </dxf>
    <dxf>
      <numFmt numFmtId="169" formatCode="&quot;$&quot;#,##0.00"/>
    </dxf>
    <dxf>
      <numFmt numFmtId="167" formatCode="#,##0.00\ [$$-C0C]"/>
    </dxf>
    <dxf>
      <fill>
        <patternFill>
          <bgColor rgb="FFFFFF66"/>
        </patternFill>
      </fill>
    </dxf>
    <dxf>
      <fill>
        <patternFill>
          <bgColor rgb="FFFFFF99"/>
        </patternFill>
      </fill>
      <border>
        <left style="hair">
          <color auto="1"/>
        </left>
        <right style="hair">
          <color auto="1"/>
        </right>
        <top style="hair">
          <color auto="1"/>
        </top>
        <bottom style="hair">
          <color auto="1"/>
        </bottom>
        <vertical/>
        <horizontal/>
      </border>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ont>
        <b/>
        <i val="0"/>
        <color rgb="FFFF0000"/>
      </font>
      <fill>
        <patternFill patternType="solid">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numFmt numFmtId="168" formatCode="[$$-1009]#,##0.00"/>
    </dxf>
    <dxf>
      <numFmt numFmtId="167" formatCode="#,##0.00\ [$$-C0C]"/>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
      <fill>
        <patternFill>
          <bgColor rgb="FFFFFF66"/>
        </patternFill>
      </fill>
    </dxf>
  </dxfs>
  <tableStyles count="0" defaultTableStyle="TableStyleMedium2" defaultPivotStyle="PivotStyleLight16"/>
  <colors>
    <mruColors>
      <color rgb="FFFFFF99"/>
      <color rgb="FF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List" dx="16" fmlaLink="$A$2" fmlaRange="Language" noThreeD="1" val="0"/>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fmlaLink="$H$21" lockText="1" noThreeD="1"/>
</file>

<file path=xl/ctrlProps/ctrlProp4.xml><?xml version="1.0" encoding="utf-8"?>
<formControlPr xmlns="http://schemas.microsoft.com/office/spreadsheetml/2009/9/main" objectType="CheckBox" fmlaLink="$D$29"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76200</xdr:colOff>
      <xdr:row>90</xdr:row>
      <xdr:rowOff>76201</xdr:rowOff>
    </xdr:from>
    <xdr:to>
      <xdr:col>0</xdr:col>
      <xdr:colOff>171450</xdr:colOff>
      <xdr:row>90</xdr:row>
      <xdr:rowOff>152401</xdr:rowOff>
    </xdr:to>
    <xdr:sp macro="" textlink="">
      <xdr:nvSpPr>
        <xdr:cNvPr id="14" name="Flowchart: Process 13"/>
        <xdr:cNvSpPr/>
      </xdr:nvSpPr>
      <xdr:spPr>
        <a:xfrm>
          <a:off x="76200" y="21974176"/>
          <a:ext cx="95250" cy="76200"/>
        </a:xfrm>
        <a:prstGeom prst="flowChartProcess">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76200</xdr:colOff>
      <xdr:row>91</xdr:row>
      <xdr:rowOff>76201</xdr:rowOff>
    </xdr:from>
    <xdr:to>
      <xdr:col>0</xdr:col>
      <xdr:colOff>171450</xdr:colOff>
      <xdr:row>91</xdr:row>
      <xdr:rowOff>152401</xdr:rowOff>
    </xdr:to>
    <xdr:sp macro="" textlink="">
      <xdr:nvSpPr>
        <xdr:cNvPr id="15" name="Flowchart: Process 14"/>
        <xdr:cNvSpPr/>
      </xdr:nvSpPr>
      <xdr:spPr>
        <a:xfrm>
          <a:off x="76200" y="22164676"/>
          <a:ext cx="95250" cy="76200"/>
        </a:xfrm>
        <a:prstGeom prst="flowChartProcess">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oneCell">
    <xdr:from>
      <xdr:col>11</xdr:col>
      <xdr:colOff>114300</xdr:colOff>
      <xdr:row>88</xdr:row>
      <xdr:rowOff>142875</xdr:rowOff>
    </xdr:from>
    <xdr:to>
      <xdr:col>17</xdr:col>
      <xdr:colOff>152400</xdr:colOff>
      <xdr:row>94</xdr:row>
      <xdr:rowOff>95250</xdr:rowOff>
    </xdr:to>
    <xdr:pic>
      <xdr:nvPicPr>
        <xdr:cNvPr id="16" name="Picture 1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57400" y="22231350"/>
          <a:ext cx="1066800" cy="1143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19050</xdr:colOff>
          <xdr:row>0</xdr:row>
          <xdr:rowOff>219075</xdr:rowOff>
        </xdr:from>
        <xdr:to>
          <xdr:col>4</xdr:col>
          <xdr:colOff>76200</xdr:colOff>
          <xdr:row>2</xdr:row>
          <xdr:rowOff>85725</xdr:rowOff>
        </xdr:to>
        <xdr:sp macro="" textlink="">
          <xdr:nvSpPr>
            <xdr:cNvPr id="1027" name="List Box 3" hidden="1">
              <a:extLst>
                <a:ext uri="{63B3BB69-23CF-44E3-9099-C40C66FF867C}">
                  <a14:compatExt spid="_x0000_s10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133350</xdr:colOff>
          <xdr:row>11</xdr:row>
          <xdr:rowOff>114300</xdr:rowOff>
        </xdr:from>
        <xdr:to>
          <xdr:col>28</xdr:col>
          <xdr:colOff>76200</xdr:colOff>
          <xdr:row>13</xdr:row>
          <xdr:rowOff>38100</xdr:rowOff>
        </xdr:to>
        <xdr:sp macro="" textlink="">
          <xdr:nvSpPr>
            <xdr:cNvPr id="1034" name="Check Box 10" hidden="1">
              <a:extLst>
                <a:ext uri="{63B3BB69-23CF-44E3-9099-C40C66FF867C}">
                  <a14:compatExt spid="_x0000_s1034"/>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19</xdr:row>
          <xdr:rowOff>38100</xdr:rowOff>
        </xdr:from>
        <xdr:to>
          <xdr:col>9</xdr:col>
          <xdr:colOff>38100</xdr:colOff>
          <xdr:row>21</xdr:row>
          <xdr:rowOff>47625</xdr:rowOff>
        </xdr:to>
        <xdr:sp macro="" textlink="">
          <xdr:nvSpPr>
            <xdr:cNvPr id="1038" name="Check Box 14" hidden="1">
              <a:extLst>
                <a:ext uri="{63B3BB69-23CF-44E3-9099-C40C66FF867C}">
                  <a14:compatExt spid="_x0000_s1038"/>
                </a:ext>
              </a:extLst>
            </xdr:cNvPr>
            <xdr:cNvSpPr/>
          </xdr:nvSpPr>
          <xdr:spPr>
            <a:xfrm>
              <a:off x="0" y="0"/>
              <a:ext cx="0" cy="0"/>
            </a:xfrm>
            <a:prstGeom prst="rect">
              <a:avLst/>
            </a:prstGeom>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180975</xdr:colOff>
          <xdr:row>27</xdr:row>
          <xdr:rowOff>238125</xdr:rowOff>
        </xdr:from>
        <xdr:to>
          <xdr:col>4</xdr:col>
          <xdr:colOff>28575</xdr:colOff>
          <xdr:row>29</xdr:row>
          <xdr:rowOff>19050</xdr:rowOff>
        </xdr:to>
        <xdr:sp macro="" textlink="">
          <xdr:nvSpPr>
            <xdr:cNvPr id="1055" name="Check Box 31" hidden="1">
              <a:extLst>
                <a:ext uri="{63B3BB69-23CF-44E3-9099-C40C66FF867C}">
                  <a14:compatExt spid="_x0000_s1055"/>
                </a:ext>
              </a:extLst>
            </xdr:cNvPr>
            <xdr:cNvSpPr/>
          </xdr:nvSpPr>
          <xdr:spPr>
            <a:xfrm>
              <a:off x="0" y="0"/>
              <a:ext cx="0" cy="0"/>
            </a:xfrm>
            <a:prstGeom prst="rect">
              <a:avLst/>
            </a:prstGeom>
          </xdr:spPr>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vmlDrawing" Target="../drawings/vmlDrawing1.vml"/><Relationship Id="rId7" Type="http://schemas.openxmlformats.org/officeDocument/2006/relationships/ctrlProp" Target="../ctrlProps/ctrlProp3.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0"/>
  </sheetPr>
  <dimension ref="A1:BG123"/>
  <sheetViews>
    <sheetView showGridLines="0" tabSelected="1" showOutlineSymbols="0" view="pageLayout" zoomScaleNormal="100" zoomScaleSheetLayoutView="100" workbookViewId="0">
      <selection activeCell="AU22" sqref="AU22:AU24"/>
    </sheetView>
  </sheetViews>
  <sheetFormatPr defaultColWidth="8.5703125" defaultRowHeight="15" x14ac:dyDescent="0.25"/>
  <cols>
    <col min="1" max="1" width="1.85546875" style="13" customWidth="1"/>
    <col min="2" max="2" width="3.140625" style="10" customWidth="1"/>
    <col min="3" max="3" width="2.85546875" style="10" customWidth="1"/>
    <col min="4" max="5" width="2.42578125" style="10" customWidth="1"/>
    <col min="6" max="8" width="1.42578125" style="10" customWidth="1"/>
    <col min="9" max="9" width="0.42578125" style="10" customWidth="1"/>
    <col min="10" max="26" width="2.42578125" style="10" customWidth="1"/>
    <col min="27" max="27" width="2.28515625" style="10" customWidth="1"/>
    <col min="28" max="31" width="2.42578125" style="10" customWidth="1"/>
    <col min="32" max="32" width="3" style="10" customWidth="1"/>
    <col min="33" max="50" width="2.42578125" style="10" customWidth="1"/>
    <col min="51" max="51" width="2.85546875" style="10" customWidth="1"/>
    <col min="52" max="52" width="2.42578125" style="11" customWidth="1"/>
    <col min="53" max="53" width="4.140625" style="10" customWidth="1"/>
    <col min="54" max="54" width="3.7109375" style="10" customWidth="1"/>
    <col min="55" max="55" width="4.140625" style="10" customWidth="1"/>
    <col min="56" max="56" width="2" style="10" hidden="1" customWidth="1"/>
    <col min="57" max="59" width="0" style="10" hidden="1" customWidth="1"/>
    <col min="60" max="16384" width="8.5703125" style="10"/>
  </cols>
  <sheetData>
    <row r="1" spans="1:54" ht="18" x14ac:dyDescent="0.25">
      <c r="A1" s="110" t="str">
        <f>IF(A2=1,"Select Language","Selectionnez la langue")</f>
        <v>Select Language</v>
      </c>
      <c r="B1" s="111"/>
      <c r="C1" s="112"/>
      <c r="D1" s="113"/>
      <c r="E1" s="113"/>
      <c r="F1" s="113"/>
      <c r="G1" s="112"/>
      <c r="H1" s="93"/>
      <c r="J1" s="196" t="str">
        <f>'Tariff Info'!C5</f>
        <v xml:space="preserve">MUSIC LICENCE FORM - TARIFF 9 - SPORTS EVENTS </v>
      </c>
      <c r="K1" s="196"/>
      <c r="L1" s="196"/>
      <c r="M1" s="196"/>
      <c r="N1" s="196"/>
      <c r="O1" s="196"/>
      <c r="P1" s="196"/>
      <c r="Q1" s="196"/>
      <c r="R1" s="196"/>
      <c r="S1" s="196"/>
      <c r="T1" s="196"/>
      <c r="U1" s="196"/>
      <c r="V1" s="196"/>
      <c r="W1" s="196"/>
      <c r="X1" s="196"/>
      <c r="Y1" s="196"/>
      <c r="Z1" s="196"/>
      <c r="AA1" s="196"/>
      <c r="AB1" s="196"/>
      <c r="AC1" s="196"/>
      <c r="AD1" s="196"/>
      <c r="AE1" s="196"/>
      <c r="AF1" s="196"/>
      <c r="AG1" s="196"/>
      <c r="AH1" s="196"/>
      <c r="AI1" s="196"/>
      <c r="AJ1" s="196"/>
      <c r="AK1" s="196"/>
      <c r="AL1" s="196"/>
      <c r="AM1" s="196"/>
      <c r="AN1" s="196"/>
      <c r="AO1" s="196"/>
      <c r="AP1" s="196"/>
      <c r="AQ1" s="196"/>
      <c r="AR1" s="196"/>
      <c r="AS1" s="196"/>
      <c r="AT1" s="196"/>
      <c r="AU1" s="196"/>
      <c r="AV1" s="196"/>
      <c r="AW1" s="196"/>
      <c r="AX1" s="78"/>
      <c r="AY1" s="78"/>
      <c r="AZ1" s="78"/>
    </row>
    <row r="2" spans="1:54" ht="16.5" customHeight="1" x14ac:dyDescent="0.3">
      <c r="A2" s="61">
        <v>1</v>
      </c>
      <c r="D2" s="12"/>
      <c r="E2" s="12"/>
      <c r="F2" s="12"/>
      <c r="I2" s="12"/>
      <c r="J2" s="65" t="str">
        <f>'Tariff Info'!C6</f>
        <v>Baseball, football, hockey, skating competitions, races, track meets and other sports events</v>
      </c>
      <c r="K2" s="12"/>
      <c r="L2" s="12"/>
      <c r="M2" s="12"/>
      <c r="O2" s="65"/>
      <c r="P2" s="65"/>
      <c r="Q2" s="65"/>
      <c r="R2" s="65"/>
      <c r="S2" s="65"/>
      <c r="T2" s="65"/>
      <c r="U2" s="65"/>
      <c r="V2" s="65"/>
      <c r="W2" s="65"/>
      <c r="X2" s="65"/>
      <c r="Y2" s="65"/>
      <c r="Z2" s="65"/>
      <c r="AA2" s="65"/>
      <c r="AB2" s="65"/>
      <c r="AC2" s="65"/>
      <c r="AD2" s="65"/>
      <c r="AE2" s="65"/>
      <c r="AF2" s="65"/>
      <c r="AG2" s="65"/>
      <c r="AH2" s="65"/>
      <c r="AI2" s="65"/>
      <c r="AJ2" s="66"/>
      <c r="AK2" s="66"/>
      <c r="AL2" s="66"/>
      <c r="AM2" s="66"/>
      <c r="AN2" s="66"/>
      <c r="AO2" s="66"/>
      <c r="AP2" s="66"/>
      <c r="AQ2" s="66"/>
      <c r="AR2" s="66"/>
      <c r="AS2" s="66"/>
    </row>
    <row r="3" spans="1:54" ht="13.5" customHeight="1" x14ac:dyDescent="0.25">
      <c r="C3" s="12"/>
      <c r="D3" s="12"/>
      <c r="E3" s="12"/>
      <c r="F3" s="12"/>
      <c r="G3" s="12"/>
    </row>
    <row r="4" spans="1:54" s="14" customFormat="1" ht="15.75" customHeight="1" x14ac:dyDescent="0.3">
      <c r="A4" s="45"/>
      <c r="B4" s="116" t="s">
        <v>114</v>
      </c>
      <c r="C4" s="205" t="str">
        <f>'Tariff Info'!C7</f>
        <v>Grants you permission to play (publicly perform) live or recorded musical works at sports events</v>
      </c>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c r="AU4" s="205"/>
      <c r="AV4" s="205"/>
      <c r="AW4" s="205"/>
      <c r="AX4" s="205"/>
      <c r="AY4" s="205"/>
      <c r="AZ4" s="205"/>
      <c r="BA4" s="205"/>
      <c r="BB4" s="205"/>
    </row>
    <row r="5" spans="1:54" s="14" customFormat="1" ht="16.5" x14ac:dyDescent="0.3">
      <c r="A5" s="45"/>
      <c r="B5" s="117" t="s">
        <v>114</v>
      </c>
      <c r="C5" s="205" t="str">
        <f>'Tariff Info'!C8</f>
        <v>Does not cover music performances at opening/closing events for which an additional admission is charged (see Tariff 4)</v>
      </c>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row>
    <row r="6" spans="1:54" s="14" customFormat="1" ht="47.25" customHeight="1" x14ac:dyDescent="0.3">
      <c r="A6" s="45"/>
      <c r="B6" s="117" t="s">
        <v>114</v>
      </c>
      <c r="C6" s="206" t="str">
        <f>'Tariff Info'!C9</f>
        <v xml:space="preserve">Fee is 0.1% of the gross receipts from ticket sales (a complimentary ticket is valued at half the lowest price paid for a sold ticket from the same category in the same event) net of sales and amusement taxes (minimum fee for admission to free events is $5) + taxes </v>
      </c>
      <c r="D6" s="206"/>
      <c r="E6" s="206"/>
      <c r="F6" s="206"/>
      <c r="G6" s="206"/>
      <c r="H6" s="206"/>
      <c r="I6" s="206"/>
      <c r="J6" s="206"/>
      <c r="K6" s="206"/>
      <c r="L6" s="206"/>
      <c r="M6" s="206"/>
      <c r="N6" s="206"/>
      <c r="O6" s="206"/>
      <c r="P6" s="206"/>
      <c r="Q6" s="206"/>
      <c r="R6" s="206"/>
      <c r="S6" s="206"/>
      <c r="T6" s="206"/>
      <c r="U6" s="206"/>
      <c r="V6" s="206"/>
      <c r="W6" s="206"/>
      <c r="X6" s="206"/>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row>
    <row r="7" spans="1:54" s="14" customFormat="1" ht="15.75" customHeight="1" x14ac:dyDescent="0.3">
      <c r="A7" s="45"/>
      <c r="B7" s="117" t="s">
        <v>114</v>
      </c>
      <c r="C7" s="207" t="str">
        <f>'Tariff Info'!C10</f>
        <v xml:space="preserve">Deadline for SOCAN to receive forms and payments is no later than 30 days after the end of each quarter. </v>
      </c>
      <c r="D7" s="207"/>
      <c r="E7" s="207"/>
      <c r="F7" s="207"/>
      <c r="G7" s="207"/>
      <c r="H7" s="207"/>
      <c r="I7" s="207"/>
      <c r="J7" s="207"/>
      <c r="K7" s="207"/>
      <c r="L7" s="207"/>
      <c r="M7" s="207"/>
      <c r="N7" s="207"/>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c r="BB7" s="207"/>
    </row>
    <row r="8" spans="1:54" s="14" customFormat="1" ht="16.5" x14ac:dyDescent="0.3">
      <c r="A8" s="45"/>
      <c r="B8" s="117" t="s">
        <v>114</v>
      </c>
      <c r="C8" s="207" t="str">
        <f>'Tariff Info'!C11</f>
        <v xml:space="preserve">For more information, read the Tariff 9 Infocard  </v>
      </c>
      <c r="D8" s="207"/>
      <c r="E8" s="207"/>
      <c r="F8" s="207"/>
      <c r="G8" s="207"/>
      <c r="H8" s="207"/>
      <c r="I8" s="207"/>
      <c r="J8" s="207"/>
      <c r="K8" s="207"/>
      <c r="L8" s="207"/>
      <c r="M8" s="207"/>
      <c r="N8" s="207"/>
      <c r="O8" s="207"/>
      <c r="P8" s="207"/>
      <c r="Q8" s="207"/>
      <c r="R8" s="207"/>
      <c r="S8" s="207"/>
      <c r="T8" s="207"/>
      <c r="U8" s="207"/>
      <c r="V8" s="207"/>
      <c r="W8" s="207"/>
      <c r="X8" s="207"/>
      <c r="Y8" s="207"/>
      <c r="Z8" s="207"/>
      <c r="AA8" s="207"/>
      <c r="AB8" s="207"/>
      <c r="AC8" s="207"/>
      <c r="AD8" s="207"/>
      <c r="AE8" s="207"/>
      <c r="AF8" s="207"/>
      <c r="AG8" s="207"/>
      <c r="AH8" s="207"/>
      <c r="AI8" s="207"/>
      <c r="AJ8" s="207"/>
      <c r="AK8" s="207"/>
      <c r="AL8" s="207"/>
      <c r="AM8" s="207"/>
      <c r="AN8" s="207"/>
      <c r="AO8" s="207"/>
      <c r="AP8" s="207"/>
      <c r="AQ8" s="207"/>
      <c r="AR8" s="207"/>
      <c r="AS8" s="207"/>
      <c r="AT8" s="207"/>
      <c r="AU8" s="207"/>
      <c r="AV8" s="207"/>
      <c r="AW8" s="207"/>
      <c r="AX8" s="207"/>
      <c r="AY8" s="207"/>
      <c r="AZ8" s="207"/>
      <c r="BA8" s="207"/>
      <c r="BB8" s="207"/>
    </row>
    <row r="9" spans="1:54" ht="16.5" x14ac:dyDescent="0.3">
      <c r="B9" s="14"/>
      <c r="C9" s="28"/>
      <c r="D9" s="200"/>
      <c r="E9" s="200"/>
      <c r="F9" s="200"/>
      <c r="G9" s="200"/>
      <c r="H9" s="200"/>
      <c r="I9" s="200"/>
      <c r="J9" s="200"/>
      <c r="K9" s="200"/>
      <c r="L9" s="200"/>
      <c r="M9" s="200"/>
      <c r="N9" s="200"/>
      <c r="O9" s="200"/>
      <c r="P9" s="200"/>
      <c r="Q9" s="200"/>
      <c r="R9" s="200"/>
      <c r="S9" s="200"/>
      <c r="T9" s="200"/>
      <c r="U9" s="200"/>
      <c r="V9" s="200"/>
      <c r="W9" s="200"/>
      <c r="X9" s="200"/>
      <c r="Y9" s="200"/>
      <c r="Z9" s="200"/>
      <c r="AA9" s="200"/>
      <c r="AB9" s="200"/>
      <c r="AC9" s="200"/>
      <c r="AD9" s="200"/>
      <c r="AE9" s="200"/>
      <c r="AF9" s="200"/>
      <c r="AG9" s="200"/>
      <c r="AH9" s="200"/>
      <c r="AI9" s="200"/>
      <c r="AJ9" s="200"/>
      <c r="AK9" s="200"/>
      <c r="AL9" s="200"/>
      <c r="AM9" s="200"/>
      <c r="AN9" s="200"/>
      <c r="AO9" s="200"/>
      <c r="AP9" s="200"/>
      <c r="AQ9" s="200"/>
      <c r="AR9" s="200"/>
      <c r="AS9" s="200"/>
      <c r="AT9" s="200"/>
      <c r="AU9" s="200"/>
      <c r="AV9" s="200"/>
      <c r="AW9" s="200"/>
      <c r="AX9" s="200"/>
      <c r="AY9" s="200"/>
      <c r="AZ9" s="200"/>
      <c r="BA9" s="200"/>
      <c r="BB9" s="200"/>
    </row>
    <row r="10" spans="1:54" ht="14.1" customHeight="1" x14ac:dyDescent="0.25">
      <c r="A10" s="1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7"/>
      <c r="AI10" s="17"/>
      <c r="AJ10" s="17"/>
      <c r="AK10" s="17"/>
      <c r="AL10" s="17"/>
      <c r="AM10" s="17"/>
      <c r="AN10" s="17"/>
      <c r="AO10" s="17"/>
      <c r="AP10" s="17"/>
      <c r="AQ10" s="17"/>
      <c r="AR10" s="17"/>
      <c r="AS10" s="17"/>
      <c r="AT10" s="17"/>
      <c r="AU10" s="17"/>
      <c r="AV10" s="17"/>
      <c r="AW10" s="17"/>
      <c r="AX10" s="17"/>
      <c r="AY10" s="17"/>
      <c r="AZ10" s="18"/>
      <c r="BA10" s="17"/>
      <c r="BB10" s="17"/>
    </row>
    <row r="11" spans="1:54" ht="14.1" customHeight="1" x14ac:dyDescent="0.25">
      <c r="A11" s="15"/>
      <c r="C11" s="17"/>
      <c r="D11" s="141" t="str">
        <f>IF(Language!D2="English","Tired of printing? Would you rather submit your Music Licence online? Now you can with eSOCAN!","Vous en avez assez d’imprimer? Vous aimeriez soumettre votre formulaire de licence en ligne? Vous le pouvez avec eSOCAN!")</f>
        <v>Tired of printing? Would you rather submit your Music Licence online? Now you can with eSOCAN!</v>
      </c>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41"/>
      <c r="AV11" s="141"/>
      <c r="AW11" s="141"/>
      <c r="AX11" s="17"/>
      <c r="AY11" s="17"/>
      <c r="AZ11" s="18"/>
      <c r="BA11" s="17"/>
      <c r="BB11" s="17"/>
    </row>
    <row r="12" spans="1:54" ht="14.1" customHeight="1" x14ac:dyDescent="0.3">
      <c r="A12" s="15"/>
      <c r="B12" s="14"/>
      <c r="C12" s="14"/>
      <c r="D12" s="14"/>
      <c r="E12" s="14"/>
      <c r="F12" s="14"/>
      <c r="G12" s="14"/>
      <c r="H12" s="14"/>
      <c r="I12" s="14"/>
      <c r="T12" s="14"/>
      <c r="U12" s="14"/>
      <c r="V12" s="14"/>
      <c r="W12" s="14"/>
      <c r="X12" s="14"/>
      <c r="Y12" s="14"/>
      <c r="Z12" s="14"/>
      <c r="AA12" s="14"/>
      <c r="AB12" s="14"/>
      <c r="AD12" s="14"/>
      <c r="AE12" s="14"/>
      <c r="AF12" s="14"/>
      <c r="AG12" s="14"/>
      <c r="AH12" s="14"/>
      <c r="AI12" s="14"/>
      <c r="AJ12" s="14"/>
      <c r="AK12" s="14"/>
      <c r="AL12" s="14"/>
      <c r="AM12" s="14"/>
      <c r="AN12" s="14"/>
      <c r="AO12" s="14"/>
      <c r="AP12" s="14"/>
    </row>
    <row r="13" spans="1:54" ht="14.1" customHeight="1" x14ac:dyDescent="0.3">
      <c r="A13" s="179" t="str">
        <f>IF(Language!D2="English","Licensee","Licencié")</f>
        <v>Licensee</v>
      </c>
      <c r="B13" s="14"/>
      <c r="C13" s="155" t="str">
        <f>LicenseeField1</f>
        <v>Account number</v>
      </c>
      <c r="D13" s="155"/>
      <c r="E13" s="155"/>
      <c r="F13" s="155"/>
      <c r="G13" s="155"/>
      <c r="H13" s="155"/>
      <c r="I13" s="155"/>
      <c r="J13" s="155"/>
      <c r="K13" s="151"/>
      <c r="L13" s="151"/>
      <c r="M13" s="151"/>
      <c r="N13" s="151"/>
      <c r="O13" s="151"/>
      <c r="P13" s="151"/>
      <c r="Q13" s="151"/>
      <c r="R13" s="151"/>
      <c r="S13" s="151"/>
      <c r="T13" s="151"/>
      <c r="U13" s="151"/>
      <c r="V13" s="151"/>
      <c r="W13" s="151"/>
      <c r="X13" s="151"/>
      <c r="Y13" s="151"/>
      <c r="Z13" s="82"/>
      <c r="AA13" s="82"/>
      <c r="AB13" s="82"/>
      <c r="AC13" s="82" t="str">
        <f>LicenseeField2</f>
        <v>(or if you are a new licensee, check here)</v>
      </c>
      <c r="AD13" s="82"/>
      <c r="AE13" s="82"/>
      <c r="AF13" s="84"/>
      <c r="AG13" s="82"/>
      <c r="AH13" s="82"/>
      <c r="AI13" s="82"/>
      <c r="AJ13" s="82"/>
      <c r="AK13" s="82"/>
      <c r="AL13" s="82"/>
      <c r="AM13" s="82"/>
      <c r="AN13" s="136"/>
      <c r="AO13" s="137"/>
      <c r="AP13" s="137"/>
      <c r="AQ13" s="122"/>
      <c r="AR13" s="123" t="str">
        <f>'Licensee details section'!B21</f>
        <v>Website</v>
      </c>
      <c r="AS13" s="123"/>
      <c r="AT13" s="123"/>
      <c r="AU13" s="221"/>
      <c r="AV13" s="222"/>
      <c r="AW13" s="222"/>
      <c r="AX13" s="222"/>
      <c r="AY13" s="222"/>
      <c r="AZ13" s="222"/>
      <c r="BA13" s="222"/>
      <c r="BB13" s="222"/>
    </row>
    <row r="14" spans="1:54" ht="6.75" customHeight="1" x14ac:dyDescent="0.3">
      <c r="A14" s="179"/>
      <c r="B14" s="14"/>
      <c r="C14" s="106"/>
      <c r="D14" s="106"/>
      <c r="E14" s="106"/>
      <c r="F14" s="106"/>
      <c r="G14" s="106"/>
      <c r="H14" s="106"/>
      <c r="I14" s="84"/>
      <c r="J14" s="84"/>
      <c r="K14" s="82"/>
      <c r="L14" s="82"/>
      <c r="M14" s="82"/>
      <c r="N14" s="82"/>
      <c r="O14" s="82"/>
      <c r="P14" s="82"/>
      <c r="Q14" s="82"/>
      <c r="R14" s="82"/>
      <c r="S14" s="82"/>
      <c r="T14" s="82"/>
      <c r="U14" s="82"/>
      <c r="V14" s="82"/>
      <c r="X14" s="50"/>
      <c r="Y14" s="50"/>
      <c r="AN14" s="82"/>
      <c r="AO14" s="82"/>
      <c r="AP14" s="82"/>
      <c r="AQ14" s="19"/>
      <c r="AR14" s="19"/>
      <c r="AS14" s="19"/>
      <c r="AT14" s="19"/>
      <c r="AU14" s="19"/>
      <c r="AV14" s="19"/>
      <c r="AW14" s="19"/>
      <c r="AX14" s="19"/>
      <c r="AY14" s="19"/>
      <c r="AZ14" s="20"/>
      <c r="BA14" s="19"/>
      <c r="BB14" s="19"/>
    </row>
    <row r="15" spans="1:54" ht="14.1" customHeight="1" x14ac:dyDescent="0.3">
      <c r="A15" s="179"/>
      <c r="B15" s="14"/>
      <c r="C15" s="155" t="str">
        <f>'Licensee details section'!B6</f>
        <v>Business name</v>
      </c>
      <c r="D15" s="155"/>
      <c r="E15" s="155"/>
      <c r="F15" s="155"/>
      <c r="G15" s="155"/>
      <c r="H15" s="155"/>
      <c r="I15" s="151"/>
      <c r="J15" s="151"/>
      <c r="K15" s="151"/>
      <c r="L15" s="151"/>
      <c r="M15" s="151"/>
      <c r="N15" s="151"/>
      <c r="O15" s="151"/>
      <c r="P15" s="151"/>
      <c r="Q15" s="151"/>
      <c r="R15" s="151"/>
      <c r="S15" s="151"/>
      <c r="T15" s="151"/>
      <c r="U15" s="151"/>
      <c r="V15" s="151"/>
      <c r="W15" s="151"/>
      <c r="X15" s="151"/>
      <c r="Y15" s="151"/>
      <c r="Z15" s="151"/>
      <c r="AA15" s="199" t="str">
        <f>'Licensee details section'!B7</f>
        <v>Legal name of organization or owner</v>
      </c>
      <c r="AB15" s="199"/>
      <c r="AC15" s="199"/>
      <c r="AD15" s="199"/>
      <c r="AE15" s="199"/>
      <c r="AF15" s="199"/>
      <c r="AG15" s="199"/>
      <c r="AH15" s="199"/>
      <c r="AI15" s="199"/>
      <c r="AJ15" s="199"/>
      <c r="AK15" s="199"/>
      <c r="AL15" s="199"/>
      <c r="AM15" s="199"/>
      <c r="AN15" s="151"/>
      <c r="AO15" s="151"/>
      <c r="AP15" s="151"/>
      <c r="AQ15" s="151"/>
      <c r="AR15" s="151"/>
      <c r="AS15" s="151"/>
      <c r="AT15" s="151"/>
      <c r="AU15" s="151"/>
      <c r="AV15" s="151"/>
      <c r="AW15" s="151"/>
      <c r="AX15" s="151"/>
      <c r="AY15" s="151"/>
      <c r="AZ15" s="151"/>
      <c r="BA15" s="151"/>
      <c r="BB15" s="151"/>
    </row>
    <row r="16" spans="1:54" ht="6.75" customHeight="1" x14ac:dyDescent="0.3">
      <c r="A16" s="179"/>
      <c r="B16" s="14"/>
      <c r="C16" s="155" t="str">
        <f>'Licensee details section'!B8</f>
        <v>Contact name</v>
      </c>
      <c r="D16" s="155"/>
      <c r="E16" s="155"/>
      <c r="F16" s="155"/>
      <c r="G16" s="155"/>
      <c r="H16" s="155"/>
      <c r="I16" s="155"/>
      <c r="J16" s="155"/>
      <c r="K16" s="155"/>
      <c r="AL16" s="82"/>
      <c r="AM16" s="82"/>
      <c r="AN16" s="82"/>
      <c r="AO16" s="82"/>
      <c r="AP16" s="82"/>
      <c r="AQ16" s="19"/>
      <c r="AR16" s="19"/>
      <c r="AS16" s="19"/>
      <c r="AT16" s="19"/>
      <c r="AU16" s="19"/>
      <c r="AV16" s="19"/>
      <c r="AW16" s="19"/>
      <c r="AX16" s="19"/>
      <c r="AY16" s="19"/>
      <c r="AZ16" s="20"/>
      <c r="BA16" s="19"/>
      <c r="BB16" s="19"/>
    </row>
    <row r="17" spans="1:55" ht="14.1" customHeight="1" x14ac:dyDescent="0.3">
      <c r="A17" s="179"/>
      <c r="B17" s="14"/>
      <c r="C17" s="155"/>
      <c r="D17" s="155"/>
      <c r="E17" s="155"/>
      <c r="F17" s="155"/>
      <c r="G17" s="155"/>
      <c r="H17" s="155"/>
      <c r="I17" s="155"/>
      <c r="J17" s="155"/>
      <c r="K17" s="155"/>
      <c r="L17" s="151"/>
      <c r="M17" s="151"/>
      <c r="N17" s="151"/>
      <c r="O17" s="151"/>
      <c r="P17" s="151"/>
      <c r="Q17" s="151"/>
      <c r="R17" s="151"/>
      <c r="S17" s="151"/>
      <c r="T17" s="151"/>
      <c r="U17" s="151"/>
      <c r="V17" s="21" t="str">
        <f>'Licensee details section'!B9</f>
        <v>Title</v>
      </c>
      <c r="X17" s="151"/>
      <c r="Y17" s="151"/>
      <c r="Z17" s="151"/>
      <c r="AA17" s="151"/>
      <c r="AB17" s="151"/>
      <c r="AC17" s="151"/>
      <c r="AD17" s="151"/>
      <c r="AE17" s="151"/>
      <c r="AF17" s="199" t="str">
        <f>'Licensee details section'!B10</f>
        <v>Phone number</v>
      </c>
      <c r="AG17" s="199"/>
      <c r="AH17" s="199"/>
      <c r="AI17" s="199"/>
      <c r="AJ17" s="199"/>
      <c r="AK17" s="199"/>
      <c r="AL17" s="174"/>
      <c r="AM17" s="174"/>
      <c r="AN17" s="174"/>
      <c r="AO17" s="174"/>
      <c r="AP17" s="174"/>
      <c r="AQ17" s="174"/>
      <c r="AR17" s="201" t="str">
        <f>'Licensee details section'!B11</f>
        <v>Fax number</v>
      </c>
      <c r="AS17" s="201"/>
      <c r="AT17" s="201"/>
      <c r="AU17" s="201"/>
      <c r="AV17" s="198"/>
      <c r="AW17" s="198"/>
      <c r="AX17" s="198"/>
      <c r="AY17" s="198"/>
      <c r="AZ17" s="198"/>
      <c r="BA17" s="198"/>
      <c r="BB17" s="198"/>
    </row>
    <row r="18" spans="1:55" ht="6.95" customHeight="1" x14ac:dyDescent="0.3">
      <c r="A18" s="179"/>
      <c r="B18" s="14"/>
      <c r="C18" s="22"/>
      <c r="D18" s="22"/>
      <c r="E18" s="19"/>
      <c r="F18" s="19"/>
      <c r="G18" s="19"/>
      <c r="H18" s="19"/>
      <c r="I18" s="19"/>
      <c r="J18" s="19"/>
      <c r="AV18" s="19"/>
      <c r="AW18" s="19"/>
      <c r="AX18" s="19"/>
      <c r="AY18" s="19"/>
      <c r="AZ18" s="20"/>
      <c r="BA18" s="19"/>
      <c r="BB18" s="19"/>
    </row>
    <row r="19" spans="1:55" ht="13.5" customHeight="1" x14ac:dyDescent="0.3">
      <c r="A19" s="179"/>
      <c r="B19" s="14"/>
      <c r="C19" s="202" t="str">
        <f>'Licensee details section'!B12</f>
        <v>Email</v>
      </c>
      <c r="D19" s="202"/>
      <c r="E19" s="202"/>
      <c r="F19" s="203"/>
      <c r="G19" s="203"/>
      <c r="H19" s="203"/>
      <c r="I19" s="203"/>
      <c r="J19" s="203"/>
      <c r="K19" s="203"/>
      <c r="L19" s="203"/>
      <c r="M19" s="203"/>
      <c r="N19" s="203"/>
      <c r="O19" s="203"/>
      <c r="P19" s="21" t="str">
        <f>'Licensee details section'!B13</f>
        <v>Street address</v>
      </c>
      <c r="Q19" s="21"/>
      <c r="R19" s="21"/>
      <c r="S19" s="21"/>
      <c r="U19" s="174"/>
      <c r="V19" s="174"/>
      <c r="W19" s="174"/>
      <c r="X19" s="174"/>
      <c r="Y19" s="174"/>
      <c r="Z19" s="174"/>
      <c r="AA19" s="174"/>
      <c r="AB19" s="174"/>
      <c r="AC19" s="174"/>
      <c r="AD19" s="174"/>
      <c r="AE19" s="174"/>
      <c r="AF19" s="174"/>
      <c r="AG19" s="152" t="str">
        <f>'Licensee details section'!B14</f>
        <v>City</v>
      </c>
      <c r="AH19" s="152"/>
      <c r="AI19" s="174"/>
      <c r="AJ19" s="174"/>
      <c r="AK19" s="174"/>
      <c r="AL19" s="174"/>
      <c r="AM19" s="174"/>
      <c r="AN19" s="21" t="str">
        <f>'Licensee details section'!B15</f>
        <v>Province</v>
      </c>
      <c r="AO19" s="21"/>
      <c r="AQ19" s="174"/>
      <c r="AR19" s="174"/>
      <c r="AS19" s="204" t="str">
        <f>'Licensee details section'!B16</f>
        <v>Postal code</v>
      </c>
      <c r="AT19" s="204"/>
      <c r="AU19" s="204"/>
      <c r="AV19" s="204"/>
      <c r="AW19" s="197"/>
      <c r="AX19" s="197"/>
      <c r="AY19" s="197"/>
      <c r="AZ19" s="197"/>
      <c r="BA19" s="197"/>
      <c r="BB19" s="197"/>
    </row>
    <row r="20" spans="1:55" ht="6.95" customHeight="1" x14ac:dyDescent="0.3">
      <c r="A20" s="179"/>
      <c r="B20" s="14"/>
      <c r="C20" s="22"/>
      <c r="D20" s="21"/>
      <c r="E20" s="51" t="s">
        <v>72</v>
      </c>
      <c r="F20" s="82"/>
      <c r="G20" s="19"/>
      <c r="H20" s="82"/>
      <c r="I20" s="19"/>
      <c r="J20" s="82"/>
      <c r="K20" s="82"/>
      <c r="L20" s="82"/>
      <c r="M20" s="82"/>
      <c r="N20" s="82"/>
      <c r="O20" s="82"/>
      <c r="P20" s="82"/>
      <c r="Q20" s="82"/>
      <c r="R20" s="82"/>
      <c r="S20" s="82"/>
      <c r="T20" s="82"/>
      <c r="AG20" s="82"/>
      <c r="AR20" s="19"/>
      <c r="AT20" s="19"/>
      <c r="AU20" s="19"/>
      <c r="AV20" s="19"/>
      <c r="AX20" s="19"/>
      <c r="AY20" s="19"/>
      <c r="AZ20" s="20"/>
      <c r="BA20" s="19"/>
      <c r="BB20" s="19"/>
    </row>
    <row r="21" spans="1:55" ht="14.1" customHeight="1" x14ac:dyDescent="0.3">
      <c r="A21" s="179"/>
      <c r="B21" s="14"/>
      <c r="C21" s="114" t="str">
        <f>'Licensee details section'!B17</f>
        <v>Mailing address</v>
      </c>
      <c r="D21" s="114"/>
      <c r="E21" s="115"/>
      <c r="F21" s="115"/>
      <c r="G21" s="115"/>
      <c r="H21" s="99" t="b">
        <v>0</v>
      </c>
      <c r="I21" s="199" t="str">
        <f>'Licensee details section'!B18</f>
        <v>(check here if same as above)</v>
      </c>
      <c r="J21" s="199"/>
      <c r="K21" s="199"/>
      <c r="L21" s="199"/>
      <c r="M21" s="199"/>
      <c r="N21" s="199"/>
      <c r="O21" s="199"/>
      <c r="P21" s="199"/>
      <c r="Q21" s="199"/>
      <c r="R21" s="199"/>
      <c r="S21" s="199"/>
      <c r="T21" s="151"/>
      <c r="U21" s="151"/>
      <c r="V21" s="151"/>
      <c r="W21" s="151"/>
      <c r="X21" s="151"/>
      <c r="Y21" s="151"/>
      <c r="Z21" s="151"/>
      <c r="AA21" s="151"/>
      <c r="AB21" s="151"/>
      <c r="AC21" s="151"/>
      <c r="AD21" s="151"/>
      <c r="AE21" s="151"/>
      <c r="AF21" s="151"/>
      <c r="AG21" s="151"/>
      <c r="AH21" s="151"/>
      <c r="AI21" s="151"/>
      <c r="AJ21" s="145" t="str">
        <f>'Licensee details section'!B19</f>
        <v>Tax exemption number (if applicable)</v>
      </c>
      <c r="AK21" s="145"/>
      <c r="AL21" s="145"/>
      <c r="AM21" s="145"/>
      <c r="AN21" s="145"/>
      <c r="AO21" s="145"/>
      <c r="AP21" s="145"/>
      <c r="AQ21" s="145"/>
      <c r="AR21" s="145"/>
      <c r="AS21" s="145"/>
      <c r="AT21" s="145"/>
      <c r="AU21" s="151"/>
      <c r="AV21" s="151"/>
      <c r="AW21" s="151"/>
      <c r="AX21" s="151"/>
      <c r="AY21" s="151"/>
      <c r="AZ21" s="151"/>
      <c r="BA21" s="151"/>
      <c r="BB21" s="151"/>
    </row>
    <row r="22" spans="1:55" ht="14.1" customHeight="1" x14ac:dyDescent="0.3">
      <c r="B22" s="14"/>
      <c r="C22" s="21"/>
      <c r="D22" s="21"/>
      <c r="E22" s="82"/>
      <c r="F22" s="82"/>
      <c r="G22" s="82"/>
      <c r="H22" s="92" t="str">
        <f>IF(H21=TRUE,1,"")</f>
        <v/>
      </c>
      <c r="I22" s="82"/>
      <c r="J22" s="82"/>
      <c r="K22" s="82"/>
      <c r="L22" s="82"/>
      <c r="M22" s="82"/>
      <c r="N22" s="82"/>
      <c r="O22" s="82"/>
      <c r="P22" s="82"/>
      <c r="R22" s="82"/>
      <c r="S22" s="23"/>
      <c r="T22" s="23"/>
      <c r="U22" s="23"/>
      <c r="V22" s="23"/>
      <c r="W22" s="23"/>
      <c r="X22" s="23"/>
      <c r="Y22" s="23"/>
      <c r="Z22" s="23"/>
      <c r="AA22" s="23"/>
      <c r="AB22" s="23"/>
      <c r="AC22" s="23"/>
      <c r="AD22" s="23"/>
      <c r="AE22" s="23"/>
      <c r="AF22" s="23"/>
      <c r="AG22" s="23"/>
      <c r="AH22" s="24"/>
      <c r="AI22" s="23"/>
      <c r="AJ22" s="82"/>
      <c r="AK22" s="82"/>
      <c r="AL22" s="82"/>
      <c r="AM22" s="82"/>
      <c r="AN22" s="19"/>
      <c r="AO22" s="82"/>
      <c r="AP22" s="82"/>
      <c r="AQ22" s="19"/>
      <c r="AR22" s="19"/>
      <c r="AS22" s="19"/>
      <c r="AT22" s="24"/>
      <c r="AU22" s="24"/>
      <c r="AV22" s="24"/>
      <c r="AW22" s="24"/>
      <c r="AX22" s="24"/>
      <c r="AY22" s="24"/>
      <c r="AZ22" s="25"/>
      <c r="BA22" s="24"/>
      <c r="BB22" s="24"/>
    </row>
    <row r="23" spans="1:55" ht="13.5" customHeight="1" x14ac:dyDescent="0.3">
      <c r="B23" s="14"/>
      <c r="C23" s="14"/>
      <c r="E23" s="14"/>
      <c r="F23" s="14"/>
      <c r="G23" s="14"/>
      <c r="H23" s="14"/>
      <c r="I23" s="14"/>
      <c r="J23" s="14"/>
      <c r="K23" s="14"/>
      <c r="L23" s="14"/>
      <c r="M23" s="14"/>
      <c r="N23" s="14"/>
      <c r="O23" s="14"/>
      <c r="P23" s="14"/>
      <c r="Q23" s="14"/>
      <c r="R23" s="14"/>
      <c r="S23" s="14"/>
      <c r="T23" s="14"/>
      <c r="U23" s="14"/>
      <c r="V23" s="14"/>
      <c r="X23" s="14"/>
      <c r="Y23" s="14"/>
      <c r="Z23" s="14"/>
      <c r="AA23" s="14"/>
      <c r="AB23" s="14"/>
    </row>
    <row r="24" spans="1:55" ht="14.1" customHeight="1" x14ac:dyDescent="0.3">
      <c r="A24" s="188" t="str">
        <f>IF(Language!D2="English","Licence fee","Redevance")</f>
        <v>Licence fee</v>
      </c>
      <c r="C24" s="14" t="str">
        <f>IF(Language!D2="English","Licence fee = [gross receipt] × 0.1% or $5 for a free event","Droits de licence  = [recettes brutes] × 0,1 % ou 5 $ si l'événement est gratuit")</f>
        <v>Licence fee = [gross receipt] × 0.1% or $5 for a free event</v>
      </c>
      <c r="D24" s="69"/>
      <c r="E24" s="69"/>
      <c r="F24" s="69"/>
      <c r="G24" s="69"/>
      <c r="I24" s="69"/>
      <c r="J24" s="69"/>
      <c r="K24" s="70"/>
      <c r="L24" s="70"/>
      <c r="M24" s="70"/>
      <c r="N24" s="70"/>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row>
    <row r="25" spans="1:55" ht="21" customHeight="1" x14ac:dyDescent="0.3">
      <c r="A25" s="188"/>
      <c r="B25" s="14"/>
      <c r="C25" s="165" t="str">
        <f>IF(Language!D2="English","Total licence fee","Total des droits de licence")</f>
        <v>Total licence fee</v>
      </c>
      <c r="D25" s="166"/>
      <c r="E25" s="166"/>
      <c r="F25" s="166"/>
      <c r="G25" s="166"/>
      <c r="H25" s="166"/>
      <c r="I25" s="166"/>
      <c r="J25" s="166"/>
      <c r="K25" s="166"/>
      <c r="L25" s="167"/>
      <c r="M25" s="180" t="str">
        <f>IF(Language!D2="English","GST/HST","TPS/TVH")</f>
        <v>GST/HST</v>
      </c>
      <c r="N25" s="181"/>
      <c r="O25" s="181"/>
      <c r="P25" s="182"/>
      <c r="Q25" s="180" t="str">
        <f>IF(Language!D2="English","QST","TVQ")</f>
        <v>QST</v>
      </c>
      <c r="R25" s="181"/>
      <c r="S25" s="181"/>
      <c r="T25" s="182"/>
      <c r="U25" s="181" t="str">
        <f>IF(Language!D2="English","Total due","Total à payer")</f>
        <v>Total due</v>
      </c>
      <c r="V25" s="181"/>
      <c r="W25" s="181"/>
      <c r="X25" s="181"/>
      <c r="Y25" s="182"/>
      <c r="AZ25" s="71"/>
      <c r="BA25" s="71"/>
      <c r="BC25" s="212" t="str">
        <f>IF(F2="English","ML-2013-01  (GST/HST N⁰ R101077931  QST N⁰ 1010390466)","ML-2013-04  (TPS/TVH N⁰ R101077931  TVQ N⁰ 1010390466)")</f>
        <v>ML-2013-04  (TPS/TVH N⁰ R101077931  TVQ N⁰ 1010390466)</v>
      </c>
    </row>
    <row r="26" spans="1:55" x14ac:dyDescent="0.25">
      <c r="A26" s="188"/>
      <c r="B26" s="82"/>
      <c r="C26" s="168" t="str">
        <f>IF(Language!D2="English","(see page 2 for calculation)","(voir le calcul à la page 2)")</f>
        <v>(see page 2 for calculation)</v>
      </c>
      <c r="D26" s="169"/>
      <c r="E26" s="169"/>
      <c r="F26" s="169"/>
      <c r="G26" s="169"/>
      <c r="H26" s="169"/>
      <c r="I26" s="169"/>
      <c r="J26" s="169"/>
      <c r="K26" s="169"/>
      <c r="L26" s="170"/>
      <c r="M26" s="183"/>
      <c r="N26" s="184"/>
      <c r="O26" s="184"/>
      <c r="P26" s="185"/>
      <c r="Q26" s="183"/>
      <c r="R26" s="184"/>
      <c r="S26" s="184"/>
      <c r="T26" s="185"/>
      <c r="U26" s="184"/>
      <c r="V26" s="184"/>
      <c r="W26" s="184"/>
      <c r="X26" s="184"/>
      <c r="Y26" s="185"/>
      <c r="BC26" s="212"/>
    </row>
    <row r="27" spans="1:55" ht="16.5" x14ac:dyDescent="0.3">
      <c r="A27" s="188"/>
      <c r="B27" s="82"/>
      <c r="C27" s="171">
        <f>AN83</f>
        <v>0</v>
      </c>
      <c r="D27" s="172"/>
      <c r="E27" s="172"/>
      <c r="F27" s="172"/>
      <c r="G27" s="172"/>
      <c r="H27" s="172"/>
      <c r="I27" s="172"/>
      <c r="J27" s="172"/>
      <c r="K27" s="172"/>
      <c r="L27" s="173"/>
      <c r="M27" s="186">
        <f>IF(ISERROR(C27*VLOOKUP(AQ19,'Province &amp; tax rates'!A:C,2,FALSE)),0,(C27*VLOOKUP(AQ19,'Province &amp; tax rates'!A:C,2,FALSE)))</f>
        <v>0</v>
      </c>
      <c r="N27" s="186"/>
      <c r="O27" s="186"/>
      <c r="P27" s="186"/>
      <c r="Q27" s="186">
        <f>IF(ISERROR(C27*VLOOKUP(AQ19,'Province &amp; tax rates'!A:C,3,FALSE)),0,(C27*VLOOKUP(AQ19,'Province &amp; tax rates'!A:C,3,FALSE)))</f>
        <v>0</v>
      </c>
      <c r="R27" s="186"/>
      <c r="S27" s="186"/>
      <c r="T27" s="186"/>
      <c r="U27" s="187">
        <f>SUM(C27:T27)</f>
        <v>0</v>
      </c>
      <c r="V27" s="187"/>
      <c r="W27" s="187"/>
      <c r="X27" s="187"/>
      <c r="Y27" s="187"/>
      <c r="BC27" s="212"/>
    </row>
    <row r="28" spans="1:55" ht="21.95" customHeight="1" x14ac:dyDescent="0.3">
      <c r="A28" s="188"/>
      <c r="B28" s="14"/>
      <c r="C28" s="79"/>
      <c r="D28" s="79"/>
      <c r="E28" s="79"/>
      <c r="F28" s="79"/>
      <c r="G28" s="79"/>
      <c r="H28" s="73"/>
      <c r="I28" s="73"/>
      <c r="J28" s="73"/>
      <c r="K28" s="73"/>
      <c r="L28" s="73"/>
      <c r="M28" s="73"/>
      <c r="N28" s="73"/>
      <c r="O28" s="74"/>
      <c r="P28" s="74"/>
      <c r="Q28" s="74"/>
      <c r="R28" s="74"/>
      <c r="S28" s="74"/>
      <c r="T28" s="74"/>
      <c r="U28" s="74"/>
      <c r="V28" s="74"/>
      <c r="W28" s="75"/>
      <c r="X28" s="76"/>
      <c r="Y28" s="74"/>
      <c r="Z28" s="74"/>
      <c r="AA28" s="74"/>
      <c r="AB28" s="74"/>
      <c r="AC28" s="74"/>
      <c r="AD28" s="74"/>
      <c r="AE28" s="72"/>
      <c r="AF28" s="72"/>
      <c r="AG28" s="118"/>
      <c r="AH28" s="118"/>
      <c r="AI28" s="118"/>
      <c r="AJ28" s="118"/>
      <c r="AK28" s="118"/>
      <c r="AL28" s="118"/>
      <c r="AM28" s="118"/>
      <c r="AN28" s="118"/>
      <c r="AO28" s="118"/>
      <c r="AP28" s="118"/>
      <c r="AQ28" s="118"/>
      <c r="AR28" s="118"/>
      <c r="AS28" s="118"/>
      <c r="AT28" s="118"/>
      <c r="AU28" s="118"/>
      <c r="AV28" s="118"/>
      <c r="AW28" s="118"/>
      <c r="AX28" s="118"/>
      <c r="AY28" s="118"/>
      <c r="AZ28" s="118"/>
      <c r="BA28" s="118"/>
      <c r="BC28" s="212"/>
    </row>
    <row r="29" spans="1:55" ht="16.5" customHeight="1" x14ac:dyDescent="0.3">
      <c r="A29" s="188"/>
      <c r="B29" s="14"/>
      <c r="C29" s="26"/>
      <c r="D29" s="119" t="b">
        <v>0</v>
      </c>
      <c r="E29" s="150" t="str">
        <f>IF(Language!D2="English","I have read and understand the Terms&amp;Conditions (see attached/reverse), all the information provided is correct and complete, and I have authority to bind the licensee.","J’ai pris connaissance des conditions générales (voir ci-joint/au verso), et je certifie que tous les renseignements fournis sont exacts et complets et que j’ai l’autorité requise pour lier le titulaire de licence.")</f>
        <v>I have read and understand the Terms&amp;Conditions (see attached/reverse), all the information provided is correct and complete, and I have authority to bind the licensee.</v>
      </c>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c r="AU29" s="150"/>
      <c r="AV29" s="150"/>
      <c r="AW29" s="150"/>
      <c r="AX29" s="150"/>
      <c r="AY29" s="150"/>
      <c r="AZ29" s="150"/>
      <c r="BA29" s="150"/>
      <c r="BB29" s="150"/>
      <c r="BC29" s="212"/>
    </row>
    <row r="30" spans="1:55" ht="16.5" customHeight="1" x14ac:dyDescent="0.25">
      <c r="A30" s="188"/>
      <c r="C30" s="107">
        <f>IF(ISBLANK(K13),1,0)</f>
        <v>1</v>
      </c>
      <c r="D30" s="107">
        <f>IF(ISBLANK(I15),1,0)</f>
        <v>1</v>
      </c>
      <c r="E30" s="107">
        <f>IF(ISBLANK(AN15),1,0)</f>
        <v>1</v>
      </c>
      <c r="F30" s="107">
        <f>IF(ISBLANK(L17),1,0)</f>
        <v>1</v>
      </c>
      <c r="G30" s="107">
        <f>IF(ISBLANK(X17),1,0)</f>
        <v>1</v>
      </c>
      <c r="H30" s="107">
        <f>IF(ISBLANK(AL17),1,0)</f>
        <v>1</v>
      </c>
      <c r="I30" s="107">
        <f>IF(ISBLANK(AV17),1,0)</f>
        <v>1</v>
      </c>
      <c r="J30" s="107">
        <f>IF(ISBLANK(F19),1,0)</f>
        <v>1</v>
      </c>
      <c r="K30" s="107">
        <f>IF(ISBLANK(U19),1,0)</f>
        <v>1</v>
      </c>
      <c r="L30" s="107">
        <f>IF(ISBLANK(AI19),1,0)</f>
        <v>1</v>
      </c>
      <c r="M30" s="107">
        <f>IF(ISBLANK(AQ19),1,0)</f>
        <v>1</v>
      </c>
      <c r="N30" s="107">
        <f>IF(ISBLANK(AW19),1,0)</f>
        <v>1</v>
      </c>
      <c r="O30" s="107">
        <f>IF(AND(ISBLANK(T21),H22=""),1,0)</f>
        <v>1</v>
      </c>
      <c r="P30" s="107">
        <f>IF((D29),0,1)</f>
        <v>1</v>
      </c>
      <c r="Q30" s="108">
        <f>SUM(C30:P30)</f>
        <v>14</v>
      </c>
      <c r="R30" s="121"/>
      <c r="S30" s="121"/>
      <c r="T30" s="97"/>
      <c r="U30" s="97"/>
      <c r="V30" s="97"/>
      <c r="W30" s="97"/>
      <c r="X30" s="97"/>
      <c r="Y30" s="97"/>
      <c r="Z30" s="97"/>
      <c r="AA30" s="97"/>
      <c r="AB30" s="97"/>
      <c r="AC30" s="97"/>
      <c r="AD30" s="97"/>
      <c r="AE30" s="97"/>
      <c r="AF30" s="97"/>
      <c r="AG30" s="97"/>
      <c r="AH30" s="97"/>
      <c r="AI30" s="97"/>
      <c r="AJ30" s="97"/>
      <c r="AK30" s="97"/>
      <c r="AL30" s="97"/>
      <c r="AM30" s="97"/>
      <c r="AN30" s="97"/>
      <c r="AO30" s="97"/>
      <c r="AP30" s="97"/>
      <c r="AQ30" s="97"/>
      <c r="AR30" s="97"/>
      <c r="AS30" s="97"/>
      <c r="AT30" s="97"/>
      <c r="AU30" s="97"/>
      <c r="AV30" s="97"/>
      <c r="AW30" s="97"/>
      <c r="AX30" s="97"/>
      <c r="AY30" s="97"/>
      <c r="AZ30" s="97"/>
      <c r="BA30" s="97"/>
      <c r="BC30" s="212"/>
    </row>
    <row r="31" spans="1:55" ht="18" customHeight="1" x14ac:dyDescent="0.3">
      <c r="A31" s="188"/>
      <c r="B31" s="14"/>
      <c r="C31" s="95"/>
      <c r="D31" s="120"/>
      <c r="E31" s="120"/>
      <c r="F31" s="120"/>
      <c r="G31" s="120"/>
      <c r="H31" s="120"/>
      <c r="I31" s="120"/>
      <c r="J31" s="120"/>
      <c r="K31" s="120"/>
      <c r="L31" s="120"/>
      <c r="M31" s="120"/>
      <c r="N31" s="120"/>
      <c r="O31" s="120"/>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C31" s="212"/>
    </row>
    <row r="32" spans="1:55" ht="14.1" customHeight="1" x14ac:dyDescent="0.3">
      <c r="A32" s="188"/>
      <c r="B32" s="14"/>
      <c r="C32" s="82" t="s">
        <v>9</v>
      </c>
      <c r="D32" s="14"/>
      <c r="E32" s="14"/>
      <c r="F32" s="148"/>
      <c r="G32" s="148"/>
      <c r="H32" s="148"/>
      <c r="I32" s="148"/>
      <c r="J32" s="148"/>
      <c r="K32" s="148"/>
      <c r="L32" s="148"/>
      <c r="M32" s="148"/>
      <c r="N32" s="148"/>
      <c r="P32" s="28" t="s">
        <v>8</v>
      </c>
      <c r="Q32" s="189"/>
      <c r="R32" s="189"/>
      <c r="S32" s="189"/>
      <c r="T32" s="189"/>
      <c r="U32" s="189"/>
      <c r="W32" s="14"/>
      <c r="X32" s="28" t="str">
        <f>IF(Language!D2="English","Name","Nom")</f>
        <v>Name</v>
      </c>
      <c r="Y32" s="147"/>
      <c r="Z32" s="147"/>
      <c r="AA32" s="147"/>
      <c r="AB32" s="147"/>
      <c r="AC32" s="147"/>
      <c r="AD32" s="147"/>
      <c r="AE32" s="147"/>
      <c r="AF32" s="147"/>
      <c r="AG32" s="147"/>
      <c r="AH32" s="147"/>
      <c r="AI32" s="147"/>
      <c r="AJ32" s="147"/>
      <c r="AK32" s="147"/>
      <c r="AL32" s="147"/>
      <c r="AM32" s="147"/>
      <c r="AN32" s="147"/>
      <c r="AO32" s="147"/>
      <c r="AP32" s="64"/>
      <c r="AQ32" s="63" t="str">
        <f>'Licensee details section'!B9</f>
        <v>Title</v>
      </c>
      <c r="AR32" s="154"/>
      <c r="AS32" s="154"/>
      <c r="AT32" s="154"/>
      <c r="AU32" s="154"/>
      <c r="AV32" s="154"/>
      <c r="AW32" s="154"/>
      <c r="AX32" s="154"/>
      <c r="AY32" s="154"/>
      <c r="AZ32" s="154"/>
      <c r="BA32" s="154"/>
      <c r="BB32" s="154"/>
      <c r="BC32" s="212"/>
    </row>
    <row r="33" spans="1:59" ht="16.5" x14ac:dyDescent="0.3">
      <c r="B33" s="14"/>
      <c r="C33" s="149" t="str">
        <f>IF(Q30&gt;0,IF(Language!D2="English","Please complete the information in the required-entry field of licensees before signing","Veuillez remplir les informations dans les champs requis avant de signer"),"1")</f>
        <v>Please complete the information in the required-entry field of licensees before signing</v>
      </c>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c r="AB33" s="149"/>
      <c r="AC33" s="149"/>
      <c r="AD33" s="149"/>
      <c r="AE33" s="149"/>
      <c r="AF33" s="149"/>
      <c r="AG33" s="149"/>
      <c r="AH33" s="149"/>
      <c r="BC33" s="212"/>
    </row>
    <row r="34" spans="1:59" ht="27.75" customHeight="1" x14ac:dyDescent="0.3">
      <c r="B34" s="14"/>
      <c r="C34" s="213" t="str">
        <f>'Licensee details section'!B20</f>
        <v>Please return this form by email or mail, and send your payment by cheque made payable to SOCAN or contact SOCAN to pay by credit card.  Or visit eSOCAN to submit online.</v>
      </c>
      <c r="D34" s="213"/>
      <c r="E34" s="213"/>
      <c r="F34" s="213"/>
      <c r="G34" s="213"/>
      <c r="H34" s="213"/>
      <c r="I34" s="213"/>
      <c r="J34" s="213"/>
      <c r="K34" s="213"/>
      <c r="L34" s="213"/>
      <c r="M34" s="213"/>
      <c r="N34" s="213"/>
      <c r="O34" s="213"/>
      <c r="P34" s="213"/>
      <c r="Q34" s="213"/>
      <c r="R34" s="213"/>
      <c r="S34" s="213"/>
      <c r="T34" s="213"/>
      <c r="U34" s="213"/>
      <c r="V34" s="213"/>
      <c r="W34" s="213"/>
      <c r="X34" s="213"/>
      <c r="Y34" s="213"/>
      <c r="Z34" s="213"/>
      <c r="AA34" s="213"/>
      <c r="AB34" s="213"/>
      <c r="AC34" s="213"/>
      <c r="AD34" s="213"/>
      <c r="AE34" s="213"/>
      <c r="AF34" s="213"/>
      <c r="AG34" s="213"/>
      <c r="AH34" s="213"/>
      <c r="AI34" s="213"/>
      <c r="AJ34" s="213"/>
      <c r="AK34" s="213"/>
      <c r="AL34" s="213"/>
      <c r="AM34" s="213"/>
      <c r="AN34" s="213"/>
      <c r="AO34" s="213"/>
      <c r="AP34" s="213"/>
      <c r="AQ34" s="213"/>
      <c r="AR34" s="213"/>
      <c r="AS34" s="213"/>
      <c r="AT34" s="213"/>
      <c r="AU34" s="213"/>
      <c r="AV34" s="213"/>
      <c r="AW34" s="213"/>
      <c r="AX34" s="213"/>
      <c r="AY34" s="213"/>
      <c r="AZ34" s="213"/>
      <c r="BA34" s="213"/>
      <c r="BC34" s="212"/>
    </row>
    <row r="35" spans="1:59" ht="13.5" customHeight="1" x14ac:dyDescent="0.3">
      <c r="B35" s="77"/>
      <c r="C35" s="146" t="str">
        <f>IF(Language!D2="English","If you have any additional uses(s) of music, contact us or try our Licence Finder tool at www.socan.ca","")</f>
        <v>If you have any additional uses(s) of music, contact us or try our Licence Finder tool at www.socan.ca</v>
      </c>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6"/>
      <c r="AB35" s="146"/>
      <c r="AC35" s="146"/>
      <c r="AD35" s="146"/>
      <c r="AE35" s="146"/>
      <c r="AF35" s="146"/>
      <c r="AG35" s="146"/>
      <c r="AH35" s="146"/>
      <c r="AI35" s="146"/>
      <c r="AJ35" s="146"/>
      <c r="AK35" s="146"/>
      <c r="AL35" s="146"/>
      <c r="AM35" s="146"/>
      <c r="AN35" s="146"/>
      <c r="AO35" s="98"/>
      <c r="AP35" s="98"/>
      <c r="AQ35" s="98"/>
      <c r="AR35" s="98"/>
      <c r="AS35" s="98"/>
      <c r="AT35" s="98"/>
      <c r="AU35" s="98"/>
      <c r="AV35" s="98"/>
      <c r="AW35" s="98"/>
      <c r="AX35" s="98"/>
      <c r="AY35" s="98"/>
      <c r="AZ35" s="98"/>
      <c r="BA35" s="98"/>
      <c r="BC35" s="212"/>
    </row>
    <row r="36" spans="1:59" ht="29.25" customHeight="1" x14ac:dyDescent="0.25">
      <c r="A36" s="217" t="str">
        <f>IF(Language!D2="English","SOCAN Licensing, 41 Valleybrook Drive, Toronto ON, M3B 2S6 | Current accounts t 1.866.944.6223 | f 416.442.3829 licence@socan.ca","Licenses SOCAN, 41 Valleybrook Drive, Toronto ON, M3B 2S6 | Licenciés actuels t 1.866.944.6224 | téléc. 416.442.3829 licence@socan.ca")</f>
        <v>SOCAN Licensing, 41 Valleybrook Drive, Toronto ON, M3B 2S6 | Current accounts t 1.866.944.6223 | f 416.442.3829 licence@socan.ca</v>
      </c>
      <c r="B36" s="217"/>
      <c r="C36" s="217"/>
      <c r="D36" s="217"/>
      <c r="E36" s="217"/>
      <c r="F36" s="217"/>
      <c r="G36" s="217"/>
      <c r="H36" s="217"/>
      <c r="I36" s="217"/>
      <c r="J36" s="217"/>
      <c r="K36" s="217"/>
      <c r="L36" s="217"/>
      <c r="M36" s="217"/>
      <c r="N36" s="217"/>
      <c r="O36" s="217"/>
      <c r="P36" s="217"/>
      <c r="Q36" s="217"/>
      <c r="R36" s="217"/>
      <c r="S36" s="217"/>
      <c r="T36" s="217"/>
      <c r="U36" s="217"/>
      <c r="V36" s="217"/>
      <c r="W36" s="217"/>
      <c r="X36" s="217"/>
      <c r="Y36" s="217"/>
      <c r="Z36" s="217"/>
      <c r="AA36" s="217"/>
      <c r="AB36" s="217"/>
      <c r="AC36" s="217"/>
      <c r="AD36" s="217"/>
      <c r="AE36" s="217"/>
      <c r="AF36" s="217"/>
      <c r="AG36" s="217"/>
      <c r="AH36" s="217"/>
      <c r="AI36" s="217"/>
      <c r="AJ36" s="217"/>
      <c r="AK36" s="217"/>
      <c r="AL36" s="217"/>
      <c r="AM36" s="217"/>
      <c r="AN36" s="217"/>
      <c r="AO36" s="217"/>
      <c r="AP36" s="217"/>
      <c r="AQ36" s="217"/>
      <c r="AR36" s="217"/>
      <c r="AS36" s="217"/>
      <c r="AT36" s="217"/>
      <c r="AU36" s="217"/>
      <c r="AV36" s="217"/>
      <c r="AW36" s="217"/>
      <c r="AX36" s="217"/>
      <c r="AY36" s="217"/>
      <c r="AZ36" s="217"/>
      <c r="BA36" s="217"/>
      <c r="BC36" s="212"/>
    </row>
    <row r="37" spans="1:59" ht="14.1" customHeight="1" x14ac:dyDescent="0.25">
      <c r="A37" s="211" t="str">
        <f>IF(Language!D2="English","First time licensees: t 1.866.944.6210 | f 514.844.4560","Nouveaux comptes: t 1.866.944.6211 | téléc. 514.844.4560")</f>
        <v>First time licensees: t 1.866.944.6210 | f 514.844.4560</v>
      </c>
      <c r="B37" s="211"/>
      <c r="C37" s="211"/>
      <c r="D37" s="211"/>
      <c r="E37" s="211"/>
      <c r="F37" s="211"/>
      <c r="G37" s="211"/>
      <c r="H37" s="211"/>
      <c r="I37" s="211"/>
      <c r="J37" s="211"/>
      <c r="K37" s="211"/>
      <c r="L37" s="211"/>
      <c r="M37" s="211"/>
      <c r="N37" s="211"/>
      <c r="O37" s="211"/>
      <c r="P37" s="211"/>
      <c r="Q37" s="211"/>
      <c r="R37" s="211"/>
      <c r="S37" s="211"/>
      <c r="T37" s="211"/>
      <c r="U37" s="211"/>
      <c r="V37" s="211"/>
      <c r="W37" s="211"/>
      <c r="X37" s="211"/>
      <c r="Y37" s="211"/>
      <c r="Z37" s="211"/>
      <c r="AA37" s="211"/>
      <c r="AB37" s="211"/>
      <c r="AC37" s="211"/>
      <c r="AD37" s="211"/>
      <c r="AE37" s="211"/>
      <c r="AF37" s="211"/>
      <c r="AG37" s="211"/>
      <c r="AH37" s="211"/>
      <c r="AI37" s="211"/>
      <c r="AJ37" s="211"/>
      <c r="AK37" s="211"/>
      <c r="AL37" s="211"/>
      <c r="AM37" s="211"/>
      <c r="AN37" s="211"/>
      <c r="AO37" s="211"/>
      <c r="AP37" s="211"/>
      <c r="AQ37" s="211"/>
      <c r="AR37" s="211"/>
      <c r="AS37" s="211"/>
      <c r="AT37" s="211"/>
      <c r="AU37" s="211"/>
      <c r="AV37" s="211"/>
      <c r="AW37" s="211"/>
      <c r="AX37" s="211"/>
      <c r="AY37" s="211"/>
      <c r="AZ37" s="211"/>
      <c r="BA37" s="211"/>
      <c r="BC37" s="212"/>
    </row>
    <row r="38" spans="1:59" s="29" customFormat="1" ht="25.5" customHeight="1" x14ac:dyDescent="0.25">
      <c r="A38" s="94" t="str">
        <f>J1</f>
        <v xml:space="preserve">MUSIC LICENCE FORM - TARIFF 9 - SPORTS EVENTS </v>
      </c>
      <c r="C38" s="30"/>
      <c r="D38" s="30"/>
      <c r="E38" s="30"/>
      <c r="F38" s="30"/>
      <c r="H38" s="30"/>
      <c r="I38" s="30"/>
      <c r="J38" s="30"/>
      <c r="K38" s="30"/>
      <c r="L38" s="30"/>
      <c r="M38" s="30"/>
      <c r="N38" s="30"/>
      <c r="O38" s="30"/>
      <c r="P38" s="30"/>
      <c r="Q38" s="30"/>
      <c r="R38" s="30"/>
      <c r="S38" s="27"/>
      <c r="T38" s="30"/>
      <c r="U38" s="30"/>
      <c r="V38" s="30"/>
      <c r="W38" s="30"/>
      <c r="X38" s="30"/>
      <c r="Y38" s="30"/>
      <c r="Z38" s="30"/>
      <c r="AA38" s="27"/>
      <c r="AB38" s="31"/>
      <c r="AC38" s="31"/>
      <c r="AD38" s="31"/>
      <c r="AE38" s="31"/>
      <c r="AF38" s="31"/>
      <c r="AG38" s="31"/>
      <c r="AH38" s="31"/>
      <c r="AI38" s="31"/>
      <c r="AK38" s="30"/>
      <c r="AL38" s="30"/>
      <c r="AM38" s="30"/>
      <c r="AQ38" s="31"/>
      <c r="AR38" s="31"/>
      <c r="AS38" s="31"/>
      <c r="AT38" s="31"/>
      <c r="AU38" s="31"/>
      <c r="AV38" s="31"/>
      <c r="AW38" s="27"/>
      <c r="AX38" s="31"/>
      <c r="AY38" s="31"/>
      <c r="AZ38" s="31"/>
      <c r="BA38" s="31"/>
      <c r="BB38" s="31"/>
    </row>
    <row r="39" spans="1:59" ht="13.5" customHeight="1" x14ac:dyDescent="0.3">
      <c r="A39" s="83"/>
      <c r="B39" s="83"/>
      <c r="C39" s="83"/>
      <c r="D39" s="83"/>
      <c r="E39" s="83"/>
      <c r="F39" s="83"/>
      <c r="G39" s="83"/>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row>
    <row r="40" spans="1:59" ht="13.5" customHeight="1" x14ac:dyDescent="0.3">
      <c r="A40" s="83"/>
      <c r="B40" s="83"/>
      <c r="C40" s="83"/>
      <c r="D40" s="83"/>
      <c r="E40" s="83"/>
      <c r="F40" s="83"/>
      <c r="G40" s="83"/>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row>
    <row r="41" spans="1:59" ht="16.5" x14ac:dyDescent="0.3">
      <c r="A41" s="83"/>
      <c r="B41" s="83"/>
      <c r="C41" s="142" t="str">
        <f>'page2 translations'!B6</f>
        <v>Event date</v>
      </c>
      <c r="D41" s="143"/>
      <c r="E41" s="143"/>
      <c r="F41" s="143"/>
      <c r="G41" s="143"/>
      <c r="H41" s="143"/>
      <c r="I41" s="143"/>
      <c r="J41" s="144"/>
      <c r="K41" s="142" t="str">
        <f>'page2 translations'!B8</f>
        <v>Event name</v>
      </c>
      <c r="L41" s="143"/>
      <c r="M41" s="143"/>
      <c r="N41" s="143"/>
      <c r="O41" s="143"/>
      <c r="P41" s="143"/>
      <c r="Q41" s="143"/>
      <c r="R41" s="143"/>
      <c r="S41" s="143"/>
      <c r="T41" s="143"/>
      <c r="U41" s="143"/>
      <c r="V41" s="143"/>
      <c r="W41" s="143"/>
      <c r="X41" s="143"/>
      <c r="Y41" s="143"/>
      <c r="Z41" s="143"/>
      <c r="AA41" s="144"/>
      <c r="AB41" s="142" t="str">
        <f>'page2 translations'!B9</f>
        <v>Gross receipts (A)</v>
      </c>
      <c r="AC41" s="143"/>
      <c r="AD41" s="143"/>
      <c r="AE41" s="143"/>
      <c r="AF41" s="143"/>
      <c r="AG41" s="143"/>
      <c r="AH41" s="143"/>
      <c r="AI41" s="143"/>
      <c r="AJ41" s="143"/>
      <c r="AK41" s="143"/>
      <c r="AL41" s="143"/>
      <c r="AM41" s="144"/>
      <c r="AN41" s="142" t="str">
        <f>'page2 translations'!B11</f>
        <v>Total licence fee</v>
      </c>
      <c r="AO41" s="143"/>
      <c r="AP41" s="143"/>
      <c r="AQ41" s="143"/>
      <c r="AR41" s="143"/>
      <c r="AS41" s="143"/>
      <c r="AT41" s="143"/>
      <c r="AU41" s="143"/>
      <c r="AV41" s="143"/>
      <c r="AW41" s="144"/>
      <c r="AZ41" s="10"/>
    </row>
    <row r="42" spans="1:59" ht="16.5" x14ac:dyDescent="0.3">
      <c r="A42" s="83"/>
      <c r="B42" s="83"/>
      <c r="C42" s="156" t="str">
        <f>'page2 translations'!B7</f>
        <v>(DD/MM/YYYY)</v>
      </c>
      <c r="D42" s="157"/>
      <c r="E42" s="157"/>
      <c r="F42" s="157"/>
      <c r="G42" s="157"/>
      <c r="H42" s="157"/>
      <c r="I42" s="157"/>
      <c r="J42" s="158"/>
      <c r="K42" s="156"/>
      <c r="L42" s="157"/>
      <c r="M42" s="157"/>
      <c r="N42" s="157"/>
      <c r="O42" s="157"/>
      <c r="P42" s="157"/>
      <c r="Q42" s="157"/>
      <c r="R42" s="157"/>
      <c r="S42" s="157"/>
      <c r="T42" s="157"/>
      <c r="U42" s="157"/>
      <c r="V42" s="157"/>
      <c r="W42" s="157"/>
      <c r="X42" s="157"/>
      <c r="Y42" s="157"/>
      <c r="Z42" s="157"/>
      <c r="AA42" s="158"/>
      <c r="AB42" s="156" t="str">
        <f>'page2 translations'!B10</f>
        <v>= $0 if the event is free</v>
      </c>
      <c r="AC42" s="157"/>
      <c r="AD42" s="157"/>
      <c r="AE42" s="157"/>
      <c r="AF42" s="157"/>
      <c r="AG42" s="157"/>
      <c r="AH42" s="157"/>
      <c r="AI42" s="157"/>
      <c r="AJ42" s="157"/>
      <c r="AK42" s="157"/>
      <c r="AL42" s="157"/>
      <c r="AM42" s="158"/>
      <c r="AN42" s="214" t="str">
        <f>'page2 translations'!B12</f>
        <v>= (A) x 0.1% (or $5 if free event)</v>
      </c>
      <c r="AO42" s="215"/>
      <c r="AP42" s="215"/>
      <c r="AQ42" s="215"/>
      <c r="AR42" s="215"/>
      <c r="AS42" s="215"/>
      <c r="AT42" s="215"/>
      <c r="AU42" s="215"/>
      <c r="AV42" s="215"/>
      <c r="AW42" s="216"/>
      <c r="AZ42" s="10"/>
    </row>
    <row r="43" spans="1:59" ht="25.5" customHeight="1" x14ac:dyDescent="0.3">
      <c r="A43" s="83"/>
      <c r="B43" s="88">
        <v>1</v>
      </c>
      <c r="C43" s="126"/>
      <c r="D43" s="127"/>
      <c r="E43" s="127"/>
      <c r="F43" s="127"/>
      <c r="G43" s="127"/>
      <c r="H43" s="127"/>
      <c r="I43" s="127"/>
      <c r="J43" s="128"/>
      <c r="K43" s="126"/>
      <c r="L43" s="127"/>
      <c r="M43" s="127"/>
      <c r="N43" s="127"/>
      <c r="O43" s="127"/>
      <c r="P43" s="127"/>
      <c r="Q43" s="127"/>
      <c r="R43" s="127"/>
      <c r="S43" s="127"/>
      <c r="T43" s="127"/>
      <c r="U43" s="127"/>
      <c r="V43" s="127"/>
      <c r="W43" s="127"/>
      <c r="X43" s="127"/>
      <c r="Y43" s="127"/>
      <c r="Z43" s="127"/>
      <c r="AA43" s="128"/>
      <c r="AB43" s="129"/>
      <c r="AC43" s="130"/>
      <c r="AD43" s="130"/>
      <c r="AE43" s="130"/>
      <c r="AF43" s="130"/>
      <c r="AG43" s="130"/>
      <c r="AH43" s="130"/>
      <c r="AI43" s="130"/>
      <c r="AJ43" s="130"/>
      <c r="AK43" s="130"/>
      <c r="AL43" s="130"/>
      <c r="AM43" s="131"/>
      <c r="AN43" s="132">
        <f>IF(AB43="",0,IF(AB43=0,5,AB43*0.1%))</f>
        <v>0</v>
      </c>
      <c r="AO43" s="133"/>
      <c r="AP43" s="133"/>
      <c r="AQ43" s="133"/>
      <c r="AR43" s="133"/>
      <c r="AS43" s="133"/>
      <c r="AT43" s="133"/>
      <c r="AU43" s="133"/>
      <c r="AV43" s="133"/>
      <c r="AW43" s="134"/>
      <c r="AX43" s="159" t="str">
        <f>IF(AND(BG43&lt;3,BG43&lt;&gt;0),IF('page2 translations'!B1="English","Please complete entries in the required entry fields","Veuillez entrer les informations complétes dans les champs requis"),"")</f>
        <v/>
      </c>
      <c r="AY43" s="160"/>
      <c r="AZ43" s="160"/>
      <c r="BA43" s="160"/>
      <c r="BB43" s="160"/>
      <c r="BC43" s="160"/>
      <c r="BD43" s="10">
        <f t="shared" ref="BD43:BD58" si="0">IF(ISBLANK(C43),1,0)</f>
        <v>1</v>
      </c>
      <c r="BE43" s="10">
        <f>IF(ISBLANK(K43),1,0)</f>
        <v>1</v>
      </c>
      <c r="BF43" s="10">
        <f>IF(ISBLANK(AB43),1,0)</f>
        <v>1</v>
      </c>
      <c r="BG43" s="10">
        <f>SUM(BD43:BF43)</f>
        <v>3</v>
      </c>
    </row>
    <row r="44" spans="1:59" ht="25.5" customHeight="1" x14ac:dyDescent="0.3">
      <c r="A44" s="83"/>
      <c r="B44" s="88">
        <v>2</v>
      </c>
      <c r="C44" s="126"/>
      <c r="D44" s="127"/>
      <c r="E44" s="127"/>
      <c r="F44" s="127"/>
      <c r="G44" s="127"/>
      <c r="H44" s="127"/>
      <c r="I44" s="127"/>
      <c r="J44" s="128"/>
      <c r="K44" s="126"/>
      <c r="L44" s="127"/>
      <c r="M44" s="127"/>
      <c r="N44" s="127"/>
      <c r="O44" s="127"/>
      <c r="P44" s="127"/>
      <c r="Q44" s="127"/>
      <c r="R44" s="127"/>
      <c r="S44" s="127"/>
      <c r="T44" s="127"/>
      <c r="U44" s="127"/>
      <c r="V44" s="127"/>
      <c r="W44" s="127"/>
      <c r="X44" s="127"/>
      <c r="Y44" s="127"/>
      <c r="Z44" s="127"/>
      <c r="AA44" s="128"/>
      <c r="AB44" s="129"/>
      <c r="AC44" s="130"/>
      <c r="AD44" s="130"/>
      <c r="AE44" s="130"/>
      <c r="AF44" s="130"/>
      <c r="AG44" s="130"/>
      <c r="AH44" s="130"/>
      <c r="AI44" s="130"/>
      <c r="AJ44" s="130"/>
      <c r="AK44" s="130"/>
      <c r="AL44" s="130"/>
      <c r="AM44" s="131"/>
      <c r="AN44" s="132">
        <f t="shared" ref="AN44:AN58" si="1">IF(AB44="",0,IF(AB44=0,5,AB44*0.1%))</f>
        <v>0</v>
      </c>
      <c r="AO44" s="133"/>
      <c r="AP44" s="133"/>
      <c r="AQ44" s="133"/>
      <c r="AR44" s="133"/>
      <c r="AS44" s="133"/>
      <c r="AT44" s="133"/>
      <c r="AU44" s="133"/>
      <c r="AV44" s="133"/>
      <c r="AW44" s="134"/>
      <c r="AX44" s="124" t="str">
        <f>IF(AND(BG44&lt;3,BG44&lt;&gt;0),IF('page2 translations'!B2="English","Please complete entries in the required entry fields","Veuillez entrer les informations complétes dans les champs requis"),"")</f>
        <v/>
      </c>
      <c r="AY44" s="125"/>
      <c r="AZ44" s="125"/>
      <c r="BA44" s="125"/>
      <c r="BB44" s="125"/>
      <c r="BC44" s="125"/>
      <c r="BD44" s="10">
        <f t="shared" si="0"/>
        <v>1</v>
      </c>
      <c r="BE44" s="10">
        <f t="shared" ref="BE44:BE58" si="2">IF(ISBLANK(K44),1,0)</f>
        <v>1</v>
      </c>
      <c r="BF44" s="10">
        <f t="shared" ref="BF44:BF58" si="3">IF(ISBLANK(AB44),1,0)</f>
        <v>1</v>
      </c>
      <c r="BG44" s="10">
        <f t="shared" ref="BG44:BG58" si="4">SUM(BD44:BF44)</f>
        <v>3</v>
      </c>
    </row>
    <row r="45" spans="1:59" ht="25.5" customHeight="1" x14ac:dyDescent="0.3">
      <c r="A45" s="83"/>
      <c r="B45" s="88">
        <v>3</v>
      </c>
      <c r="C45" s="126"/>
      <c r="D45" s="127"/>
      <c r="E45" s="127"/>
      <c r="F45" s="127"/>
      <c r="G45" s="127"/>
      <c r="H45" s="127"/>
      <c r="I45" s="127"/>
      <c r="J45" s="128"/>
      <c r="K45" s="126"/>
      <c r="L45" s="127"/>
      <c r="M45" s="127"/>
      <c r="N45" s="127"/>
      <c r="O45" s="127"/>
      <c r="P45" s="127"/>
      <c r="Q45" s="127"/>
      <c r="R45" s="127"/>
      <c r="S45" s="127"/>
      <c r="T45" s="127"/>
      <c r="U45" s="127"/>
      <c r="V45" s="127"/>
      <c r="W45" s="127"/>
      <c r="X45" s="127"/>
      <c r="Y45" s="127"/>
      <c r="Z45" s="127"/>
      <c r="AA45" s="128"/>
      <c r="AB45" s="129"/>
      <c r="AC45" s="130"/>
      <c r="AD45" s="130"/>
      <c r="AE45" s="130"/>
      <c r="AF45" s="130"/>
      <c r="AG45" s="130"/>
      <c r="AH45" s="130"/>
      <c r="AI45" s="130"/>
      <c r="AJ45" s="130"/>
      <c r="AK45" s="130"/>
      <c r="AL45" s="130"/>
      <c r="AM45" s="131"/>
      <c r="AN45" s="132">
        <f t="shared" si="1"/>
        <v>0</v>
      </c>
      <c r="AO45" s="133"/>
      <c r="AP45" s="133"/>
      <c r="AQ45" s="133"/>
      <c r="AR45" s="133"/>
      <c r="AS45" s="133"/>
      <c r="AT45" s="133"/>
      <c r="AU45" s="133"/>
      <c r="AV45" s="133"/>
      <c r="AW45" s="134"/>
      <c r="AX45" s="124" t="str">
        <f>IF(AND(BG45&lt;3,BG45&lt;&gt;0),IF('page2 translations'!B3="English","Please complete entries in the required entry fields","Veuillez entrer les informations complétes dans les champs requis"),"")</f>
        <v/>
      </c>
      <c r="AY45" s="125"/>
      <c r="AZ45" s="125"/>
      <c r="BA45" s="125"/>
      <c r="BB45" s="125"/>
      <c r="BC45" s="125"/>
      <c r="BD45" s="10">
        <f t="shared" si="0"/>
        <v>1</v>
      </c>
      <c r="BE45" s="10">
        <f t="shared" si="2"/>
        <v>1</v>
      </c>
      <c r="BF45" s="10">
        <f t="shared" si="3"/>
        <v>1</v>
      </c>
      <c r="BG45" s="10">
        <f t="shared" si="4"/>
        <v>3</v>
      </c>
    </row>
    <row r="46" spans="1:59" ht="25.5" customHeight="1" x14ac:dyDescent="0.3">
      <c r="A46" s="83"/>
      <c r="B46" s="88">
        <v>4</v>
      </c>
      <c r="C46" s="126"/>
      <c r="D46" s="127"/>
      <c r="E46" s="127"/>
      <c r="F46" s="127"/>
      <c r="G46" s="127"/>
      <c r="H46" s="127"/>
      <c r="I46" s="127"/>
      <c r="J46" s="128"/>
      <c r="K46" s="126"/>
      <c r="L46" s="127"/>
      <c r="M46" s="127"/>
      <c r="N46" s="127"/>
      <c r="O46" s="127"/>
      <c r="P46" s="127"/>
      <c r="Q46" s="127"/>
      <c r="R46" s="127"/>
      <c r="S46" s="127"/>
      <c r="T46" s="127"/>
      <c r="U46" s="127"/>
      <c r="V46" s="127"/>
      <c r="W46" s="127"/>
      <c r="X46" s="127"/>
      <c r="Y46" s="127"/>
      <c r="Z46" s="127"/>
      <c r="AA46" s="128"/>
      <c r="AB46" s="129"/>
      <c r="AC46" s="130"/>
      <c r="AD46" s="130"/>
      <c r="AE46" s="130"/>
      <c r="AF46" s="130"/>
      <c r="AG46" s="130"/>
      <c r="AH46" s="130"/>
      <c r="AI46" s="130"/>
      <c r="AJ46" s="130"/>
      <c r="AK46" s="130"/>
      <c r="AL46" s="130"/>
      <c r="AM46" s="131"/>
      <c r="AN46" s="132">
        <f t="shared" si="1"/>
        <v>0</v>
      </c>
      <c r="AO46" s="133"/>
      <c r="AP46" s="133"/>
      <c r="AQ46" s="133"/>
      <c r="AR46" s="133"/>
      <c r="AS46" s="133"/>
      <c r="AT46" s="133"/>
      <c r="AU46" s="133"/>
      <c r="AV46" s="133"/>
      <c r="AW46" s="134"/>
      <c r="AX46" s="124" t="str">
        <f>IF(AND(BG46&lt;3,BG46&lt;&gt;0),IF('page2 translations'!B4="English","Please complete entries in the required entry fields","Veuillez entrer les informations complétes dans les champs requis"),"")</f>
        <v/>
      </c>
      <c r="AY46" s="125"/>
      <c r="AZ46" s="125"/>
      <c r="BA46" s="125"/>
      <c r="BB46" s="125"/>
      <c r="BC46" s="125"/>
      <c r="BD46" s="10">
        <f t="shared" si="0"/>
        <v>1</v>
      </c>
      <c r="BE46" s="10">
        <f t="shared" si="2"/>
        <v>1</v>
      </c>
      <c r="BF46" s="10">
        <f t="shared" si="3"/>
        <v>1</v>
      </c>
      <c r="BG46" s="10">
        <f t="shared" si="4"/>
        <v>3</v>
      </c>
    </row>
    <row r="47" spans="1:59" ht="25.5" customHeight="1" x14ac:dyDescent="0.3">
      <c r="A47" s="83"/>
      <c r="B47" s="88">
        <v>5</v>
      </c>
      <c r="C47" s="135"/>
      <c r="D47" s="135"/>
      <c r="E47" s="135"/>
      <c r="F47" s="135"/>
      <c r="G47" s="135"/>
      <c r="H47" s="135"/>
      <c r="I47" s="135"/>
      <c r="J47" s="135"/>
      <c r="K47" s="126"/>
      <c r="L47" s="127"/>
      <c r="M47" s="127"/>
      <c r="N47" s="127"/>
      <c r="O47" s="127"/>
      <c r="P47" s="127"/>
      <c r="Q47" s="127"/>
      <c r="R47" s="127"/>
      <c r="S47" s="127"/>
      <c r="T47" s="127"/>
      <c r="U47" s="127"/>
      <c r="V47" s="127"/>
      <c r="W47" s="127"/>
      <c r="X47" s="127"/>
      <c r="Y47" s="127"/>
      <c r="Z47" s="127"/>
      <c r="AA47" s="128"/>
      <c r="AB47" s="129"/>
      <c r="AC47" s="130"/>
      <c r="AD47" s="130"/>
      <c r="AE47" s="130"/>
      <c r="AF47" s="130"/>
      <c r="AG47" s="130"/>
      <c r="AH47" s="130"/>
      <c r="AI47" s="130"/>
      <c r="AJ47" s="130"/>
      <c r="AK47" s="130"/>
      <c r="AL47" s="130"/>
      <c r="AM47" s="131"/>
      <c r="AN47" s="132">
        <f t="shared" si="1"/>
        <v>0</v>
      </c>
      <c r="AO47" s="133"/>
      <c r="AP47" s="133"/>
      <c r="AQ47" s="133"/>
      <c r="AR47" s="133"/>
      <c r="AS47" s="133"/>
      <c r="AT47" s="133"/>
      <c r="AU47" s="133"/>
      <c r="AV47" s="133"/>
      <c r="AW47" s="134"/>
      <c r="AX47" s="124" t="str">
        <f>IF(AND(BG47&lt;3,BG47&lt;&gt;0),IF('page2 translations'!B5="English","Please complete entries in the required entry fields","Veuillez entrer les informations complétes dans les champs requis"),"")</f>
        <v/>
      </c>
      <c r="AY47" s="125"/>
      <c r="AZ47" s="125"/>
      <c r="BA47" s="125"/>
      <c r="BB47" s="125"/>
      <c r="BC47" s="125"/>
      <c r="BD47" s="10">
        <f t="shared" si="0"/>
        <v>1</v>
      </c>
      <c r="BE47" s="10">
        <f t="shared" si="2"/>
        <v>1</v>
      </c>
      <c r="BF47" s="10">
        <f t="shared" si="3"/>
        <v>1</v>
      </c>
      <c r="BG47" s="10">
        <f t="shared" si="4"/>
        <v>3</v>
      </c>
    </row>
    <row r="48" spans="1:59" ht="25.5" customHeight="1" x14ac:dyDescent="0.3">
      <c r="A48" s="83"/>
      <c r="B48" s="88">
        <v>6</v>
      </c>
      <c r="C48" s="135"/>
      <c r="D48" s="135"/>
      <c r="E48" s="135"/>
      <c r="F48" s="135"/>
      <c r="G48" s="135"/>
      <c r="H48" s="135"/>
      <c r="I48" s="135"/>
      <c r="J48" s="135"/>
      <c r="K48" s="126"/>
      <c r="L48" s="127"/>
      <c r="M48" s="127"/>
      <c r="N48" s="127"/>
      <c r="O48" s="127"/>
      <c r="P48" s="127"/>
      <c r="Q48" s="127"/>
      <c r="R48" s="127"/>
      <c r="S48" s="127"/>
      <c r="T48" s="127"/>
      <c r="U48" s="127"/>
      <c r="V48" s="127"/>
      <c r="W48" s="127"/>
      <c r="X48" s="127"/>
      <c r="Y48" s="127"/>
      <c r="Z48" s="127"/>
      <c r="AA48" s="128"/>
      <c r="AB48" s="129"/>
      <c r="AC48" s="130"/>
      <c r="AD48" s="130"/>
      <c r="AE48" s="130"/>
      <c r="AF48" s="130"/>
      <c r="AG48" s="130"/>
      <c r="AH48" s="130"/>
      <c r="AI48" s="130"/>
      <c r="AJ48" s="130"/>
      <c r="AK48" s="130"/>
      <c r="AL48" s="130"/>
      <c r="AM48" s="131"/>
      <c r="AN48" s="132">
        <f t="shared" si="1"/>
        <v>0</v>
      </c>
      <c r="AO48" s="133"/>
      <c r="AP48" s="133"/>
      <c r="AQ48" s="133"/>
      <c r="AR48" s="133"/>
      <c r="AS48" s="133"/>
      <c r="AT48" s="133"/>
      <c r="AU48" s="133"/>
      <c r="AV48" s="133"/>
      <c r="AW48" s="134"/>
      <c r="AX48" s="124" t="str">
        <f>IF(AND(BG48&lt;3,BG48&lt;&gt;0),IF('page2 translations'!B6="English","Please complete entries in the required entry fields","Veuillez entrer les informations complétes dans les champs requis"),"")</f>
        <v/>
      </c>
      <c r="AY48" s="125"/>
      <c r="AZ48" s="125"/>
      <c r="BA48" s="125"/>
      <c r="BB48" s="125"/>
      <c r="BC48" s="125"/>
      <c r="BD48" s="10">
        <f t="shared" si="0"/>
        <v>1</v>
      </c>
      <c r="BE48" s="10">
        <f t="shared" si="2"/>
        <v>1</v>
      </c>
      <c r="BF48" s="10">
        <f t="shared" si="3"/>
        <v>1</v>
      </c>
      <c r="BG48" s="10">
        <f t="shared" si="4"/>
        <v>3</v>
      </c>
    </row>
    <row r="49" spans="1:59" ht="25.5" customHeight="1" x14ac:dyDescent="0.3">
      <c r="A49" s="83"/>
      <c r="B49" s="88">
        <v>7</v>
      </c>
      <c r="C49" s="135"/>
      <c r="D49" s="135"/>
      <c r="E49" s="135"/>
      <c r="F49" s="135"/>
      <c r="G49" s="135"/>
      <c r="H49" s="135"/>
      <c r="I49" s="135"/>
      <c r="J49" s="135"/>
      <c r="K49" s="126"/>
      <c r="L49" s="127"/>
      <c r="M49" s="127"/>
      <c r="N49" s="127"/>
      <c r="O49" s="127"/>
      <c r="P49" s="127"/>
      <c r="Q49" s="127"/>
      <c r="R49" s="127"/>
      <c r="S49" s="127"/>
      <c r="T49" s="127"/>
      <c r="U49" s="127"/>
      <c r="V49" s="127"/>
      <c r="W49" s="127"/>
      <c r="X49" s="127"/>
      <c r="Y49" s="127"/>
      <c r="Z49" s="127"/>
      <c r="AA49" s="128"/>
      <c r="AB49" s="129"/>
      <c r="AC49" s="130"/>
      <c r="AD49" s="130"/>
      <c r="AE49" s="130"/>
      <c r="AF49" s="130"/>
      <c r="AG49" s="130"/>
      <c r="AH49" s="130"/>
      <c r="AI49" s="130"/>
      <c r="AJ49" s="130"/>
      <c r="AK49" s="130"/>
      <c r="AL49" s="130"/>
      <c r="AM49" s="131"/>
      <c r="AN49" s="132">
        <f t="shared" si="1"/>
        <v>0</v>
      </c>
      <c r="AO49" s="133"/>
      <c r="AP49" s="133"/>
      <c r="AQ49" s="133"/>
      <c r="AR49" s="133"/>
      <c r="AS49" s="133"/>
      <c r="AT49" s="133"/>
      <c r="AU49" s="133"/>
      <c r="AV49" s="133"/>
      <c r="AW49" s="134"/>
      <c r="AX49" s="124" t="str">
        <f>IF(AND(BG49&lt;3,BG49&lt;&gt;0),IF('page2 translations'!B7="English","Please complete entries in the required entry fields","Veuillez entrer les informations complétes dans les champs requis"),"")</f>
        <v/>
      </c>
      <c r="AY49" s="125"/>
      <c r="AZ49" s="125"/>
      <c r="BA49" s="125"/>
      <c r="BB49" s="125"/>
      <c r="BC49" s="125"/>
      <c r="BD49" s="10">
        <f t="shared" si="0"/>
        <v>1</v>
      </c>
      <c r="BE49" s="10">
        <f t="shared" si="2"/>
        <v>1</v>
      </c>
      <c r="BF49" s="10">
        <f t="shared" si="3"/>
        <v>1</v>
      </c>
      <c r="BG49" s="10">
        <f t="shared" si="4"/>
        <v>3</v>
      </c>
    </row>
    <row r="50" spans="1:59" ht="25.5" customHeight="1" x14ac:dyDescent="0.3">
      <c r="A50" s="83"/>
      <c r="B50" s="88">
        <v>8</v>
      </c>
      <c r="C50" s="135"/>
      <c r="D50" s="135"/>
      <c r="E50" s="135"/>
      <c r="F50" s="135"/>
      <c r="G50" s="135"/>
      <c r="H50" s="135"/>
      <c r="I50" s="135"/>
      <c r="J50" s="135"/>
      <c r="K50" s="126"/>
      <c r="L50" s="127"/>
      <c r="M50" s="127"/>
      <c r="N50" s="127"/>
      <c r="O50" s="127"/>
      <c r="P50" s="127"/>
      <c r="Q50" s="127"/>
      <c r="R50" s="127"/>
      <c r="S50" s="127"/>
      <c r="T50" s="127"/>
      <c r="U50" s="127"/>
      <c r="V50" s="127"/>
      <c r="W50" s="127"/>
      <c r="X50" s="127"/>
      <c r="Y50" s="127"/>
      <c r="Z50" s="127"/>
      <c r="AA50" s="128"/>
      <c r="AB50" s="129"/>
      <c r="AC50" s="130"/>
      <c r="AD50" s="130"/>
      <c r="AE50" s="130"/>
      <c r="AF50" s="130"/>
      <c r="AG50" s="130"/>
      <c r="AH50" s="130"/>
      <c r="AI50" s="130"/>
      <c r="AJ50" s="130"/>
      <c r="AK50" s="130"/>
      <c r="AL50" s="130"/>
      <c r="AM50" s="131"/>
      <c r="AN50" s="132">
        <f t="shared" si="1"/>
        <v>0</v>
      </c>
      <c r="AO50" s="133"/>
      <c r="AP50" s="133"/>
      <c r="AQ50" s="133"/>
      <c r="AR50" s="133"/>
      <c r="AS50" s="133"/>
      <c r="AT50" s="133"/>
      <c r="AU50" s="133"/>
      <c r="AV50" s="133"/>
      <c r="AW50" s="134"/>
      <c r="AX50" s="124" t="str">
        <f>IF(AND(BG50&lt;3,BG50&lt;&gt;0),IF('page2 translations'!B8="English","Please complete entries in the required entry fields","Veuillez entrer les informations complétes dans les champs requis"),"")</f>
        <v/>
      </c>
      <c r="AY50" s="125"/>
      <c r="AZ50" s="125"/>
      <c r="BA50" s="125"/>
      <c r="BB50" s="125"/>
      <c r="BC50" s="125"/>
      <c r="BD50" s="10">
        <f t="shared" si="0"/>
        <v>1</v>
      </c>
      <c r="BE50" s="10">
        <f t="shared" si="2"/>
        <v>1</v>
      </c>
      <c r="BF50" s="10">
        <f t="shared" si="3"/>
        <v>1</v>
      </c>
      <c r="BG50" s="10">
        <f t="shared" si="4"/>
        <v>3</v>
      </c>
    </row>
    <row r="51" spans="1:59" ht="25.5" customHeight="1" x14ac:dyDescent="0.3">
      <c r="A51" s="83"/>
      <c r="B51" s="88">
        <v>9</v>
      </c>
      <c r="C51" s="135"/>
      <c r="D51" s="135"/>
      <c r="E51" s="135"/>
      <c r="F51" s="135"/>
      <c r="G51" s="135"/>
      <c r="H51" s="135"/>
      <c r="I51" s="135"/>
      <c r="J51" s="135"/>
      <c r="K51" s="126"/>
      <c r="L51" s="127"/>
      <c r="M51" s="127"/>
      <c r="N51" s="127"/>
      <c r="O51" s="127"/>
      <c r="P51" s="127"/>
      <c r="Q51" s="127"/>
      <c r="R51" s="127"/>
      <c r="S51" s="127"/>
      <c r="T51" s="127"/>
      <c r="U51" s="127"/>
      <c r="V51" s="127"/>
      <c r="W51" s="127"/>
      <c r="X51" s="127"/>
      <c r="Y51" s="127"/>
      <c r="Z51" s="127"/>
      <c r="AA51" s="128"/>
      <c r="AB51" s="129"/>
      <c r="AC51" s="130"/>
      <c r="AD51" s="130"/>
      <c r="AE51" s="130"/>
      <c r="AF51" s="130"/>
      <c r="AG51" s="130"/>
      <c r="AH51" s="130"/>
      <c r="AI51" s="130"/>
      <c r="AJ51" s="130"/>
      <c r="AK51" s="130"/>
      <c r="AL51" s="130"/>
      <c r="AM51" s="131"/>
      <c r="AN51" s="132">
        <f t="shared" si="1"/>
        <v>0</v>
      </c>
      <c r="AO51" s="133"/>
      <c r="AP51" s="133"/>
      <c r="AQ51" s="133"/>
      <c r="AR51" s="133"/>
      <c r="AS51" s="133"/>
      <c r="AT51" s="133"/>
      <c r="AU51" s="133"/>
      <c r="AV51" s="133"/>
      <c r="AW51" s="134"/>
      <c r="AX51" s="124" t="str">
        <f>IF(AND(BG51&lt;3,BG51&lt;&gt;0),IF('page2 translations'!B9="English","Please complete entries in the required entry fields","Veuillez entrer les informations complétes dans les champs requis"),"")</f>
        <v/>
      </c>
      <c r="AY51" s="125"/>
      <c r="AZ51" s="125"/>
      <c r="BA51" s="125"/>
      <c r="BB51" s="125"/>
      <c r="BC51" s="125"/>
      <c r="BD51" s="10">
        <f t="shared" si="0"/>
        <v>1</v>
      </c>
      <c r="BE51" s="10">
        <f t="shared" si="2"/>
        <v>1</v>
      </c>
      <c r="BF51" s="10">
        <f t="shared" si="3"/>
        <v>1</v>
      </c>
      <c r="BG51" s="10">
        <f t="shared" si="4"/>
        <v>3</v>
      </c>
    </row>
    <row r="52" spans="1:59" ht="25.5" customHeight="1" x14ac:dyDescent="0.3">
      <c r="A52" s="83"/>
      <c r="B52" s="88">
        <v>10</v>
      </c>
      <c r="C52" s="135"/>
      <c r="D52" s="135"/>
      <c r="E52" s="135"/>
      <c r="F52" s="135"/>
      <c r="G52" s="135"/>
      <c r="H52" s="135"/>
      <c r="I52" s="135"/>
      <c r="J52" s="135"/>
      <c r="K52" s="126"/>
      <c r="L52" s="127"/>
      <c r="M52" s="127"/>
      <c r="N52" s="127"/>
      <c r="O52" s="127"/>
      <c r="P52" s="127"/>
      <c r="Q52" s="127"/>
      <c r="R52" s="127"/>
      <c r="S52" s="127"/>
      <c r="T52" s="127"/>
      <c r="U52" s="127"/>
      <c r="V52" s="127"/>
      <c r="W52" s="127"/>
      <c r="X52" s="127"/>
      <c r="Y52" s="127"/>
      <c r="Z52" s="127"/>
      <c r="AA52" s="128"/>
      <c r="AB52" s="129"/>
      <c r="AC52" s="130"/>
      <c r="AD52" s="130"/>
      <c r="AE52" s="130"/>
      <c r="AF52" s="130"/>
      <c r="AG52" s="130"/>
      <c r="AH52" s="130"/>
      <c r="AI52" s="130"/>
      <c r="AJ52" s="130"/>
      <c r="AK52" s="130"/>
      <c r="AL52" s="130"/>
      <c r="AM52" s="131"/>
      <c r="AN52" s="132">
        <f t="shared" si="1"/>
        <v>0</v>
      </c>
      <c r="AO52" s="133"/>
      <c r="AP52" s="133"/>
      <c r="AQ52" s="133"/>
      <c r="AR52" s="133"/>
      <c r="AS52" s="133"/>
      <c r="AT52" s="133"/>
      <c r="AU52" s="133"/>
      <c r="AV52" s="133"/>
      <c r="AW52" s="134"/>
      <c r="AX52" s="124" t="str">
        <f>IF(AND(BG52&lt;3,BG52&lt;&gt;0),IF('page2 translations'!B10="English","Please complete entries in the required entry fields","Veuillez entrer les informations complétes dans les champs requis"),"")</f>
        <v/>
      </c>
      <c r="AY52" s="125"/>
      <c r="AZ52" s="125"/>
      <c r="BA52" s="125"/>
      <c r="BB52" s="125"/>
      <c r="BC52" s="125"/>
      <c r="BD52" s="10">
        <f t="shared" si="0"/>
        <v>1</v>
      </c>
      <c r="BE52" s="10">
        <f t="shared" si="2"/>
        <v>1</v>
      </c>
      <c r="BF52" s="10">
        <f t="shared" si="3"/>
        <v>1</v>
      </c>
      <c r="BG52" s="10">
        <f t="shared" si="4"/>
        <v>3</v>
      </c>
    </row>
    <row r="53" spans="1:59" ht="25.5" customHeight="1" x14ac:dyDescent="0.3">
      <c r="A53" s="83"/>
      <c r="B53" s="88">
        <v>11</v>
      </c>
      <c r="C53" s="135"/>
      <c r="D53" s="135"/>
      <c r="E53" s="135"/>
      <c r="F53" s="135"/>
      <c r="G53" s="135"/>
      <c r="H53" s="135"/>
      <c r="I53" s="135"/>
      <c r="J53" s="135"/>
      <c r="K53" s="126"/>
      <c r="L53" s="127"/>
      <c r="M53" s="127"/>
      <c r="N53" s="127"/>
      <c r="O53" s="127"/>
      <c r="P53" s="127"/>
      <c r="Q53" s="127"/>
      <c r="R53" s="127"/>
      <c r="S53" s="127"/>
      <c r="T53" s="127"/>
      <c r="U53" s="127"/>
      <c r="V53" s="127"/>
      <c r="W53" s="127"/>
      <c r="X53" s="127"/>
      <c r="Y53" s="127"/>
      <c r="Z53" s="127"/>
      <c r="AA53" s="128"/>
      <c r="AB53" s="129"/>
      <c r="AC53" s="130"/>
      <c r="AD53" s="130"/>
      <c r="AE53" s="130"/>
      <c r="AF53" s="130"/>
      <c r="AG53" s="130"/>
      <c r="AH53" s="130"/>
      <c r="AI53" s="130"/>
      <c r="AJ53" s="130"/>
      <c r="AK53" s="130"/>
      <c r="AL53" s="130"/>
      <c r="AM53" s="131"/>
      <c r="AN53" s="132">
        <f t="shared" si="1"/>
        <v>0</v>
      </c>
      <c r="AO53" s="133"/>
      <c r="AP53" s="133"/>
      <c r="AQ53" s="133"/>
      <c r="AR53" s="133"/>
      <c r="AS53" s="133"/>
      <c r="AT53" s="133"/>
      <c r="AU53" s="133"/>
      <c r="AV53" s="133"/>
      <c r="AW53" s="134"/>
      <c r="AX53" s="124" t="str">
        <f>IF(AND(BG53&lt;3,BG53&lt;&gt;0),IF('page2 translations'!B11="English","Please complete entries in the required entry fields","Veuillez entrer les informations complétes dans les champs requis"),"")</f>
        <v/>
      </c>
      <c r="AY53" s="125"/>
      <c r="AZ53" s="125"/>
      <c r="BA53" s="125"/>
      <c r="BB53" s="125"/>
      <c r="BC53" s="125"/>
      <c r="BD53" s="10">
        <f t="shared" si="0"/>
        <v>1</v>
      </c>
      <c r="BE53" s="10">
        <f t="shared" si="2"/>
        <v>1</v>
      </c>
      <c r="BF53" s="10">
        <f t="shared" si="3"/>
        <v>1</v>
      </c>
      <c r="BG53" s="10">
        <f t="shared" si="4"/>
        <v>3</v>
      </c>
    </row>
    <row r="54" spans="1:59" ht="25.5" customHeight="1" x14ac:dyDescent="0.3">
      <c r="A54" s="83"/>
      <c r="B54" s="88">
        <v>12</v>
      </c>
      <c r="C54" s="135"/>
      <c r="D54" s="135"/>
      <c r="E54" s="135"/>
      <c r="F54" s="135"/>
      <c r="G54" s="135"/>
      <c r="H54" s="135"/>
      <c r="I54" s="135"/>
      <c r="J54" s="135"/>
      <c r="K54" s="126"/>
      <c r="L54" s="127"/>
      <c r="M54" s="127"/>
      <c r="N54" s="127"/>
      <c r="O54" s="127"/>
      <c r="P54" s="127"/>
      <c r="Q54" s="127"/>
      <c r="R54" s="127"/>
      <c r="S54" s="127"/>
      <c r="T54" s="127"/>
      <c r="U54" s="127"/>
      <c r="V54" s="127"/>
      <c r="W54" s="127"/>
      <c r="X54" s="127"/>
      <c r="Y54" s="127"/>
      <c r="Z54" s="127"/>
      <c r="AA54" s="128"/>
      <c r="AB54" s="129"/>
      <c r="AC54" s="130"/>
      <c r="AD54" s="130"/>
      <c r="AE54" s="130"/>
      <c r="AF54" s="130"/>
      <c r="AG54" s="130"/>
      <c r="AH54" s="130"/>
      <c r="AI54" s="130"/>
      <c r="AJ54" s="130"/>
      <c r="AK54" s="130"/>
      <c r="AL54" s="130"/>
      <c r="AM54" s="131"/>
      <c r="AN54" s="132">
        <f t="shared" si="1"/>
        <v>0</v>
      </c>
      <c r="AO54" s="133"/>
      <c r="AP54" s="133"/>
      <c r="AQ54" s="133"/>
      <c r="AR54" s="133"/>
      <c r="AS54" s="133"/>
      <c r="AT54" s="133"/>
      <c r="AU54" s="133"/>
      <c r="AV54" s="133"/>
      <c r="AW54" s="134"/>
      <c r="AX54" s="124" t="str">
        <f>IF(AND(BG54&lt;3,BG54&lt;&gt;0),IF('page2 translations'!B12="English","Please complete entries in the required entry fields","Veuillez entrer les informations complétes dans les champs requis"),"")</f>
        <v/>
      </c>
      <c r="AY54" s="125"/>
      <c r="AZ54" s="125"/>
      <c r="BA54" s="125"/>
      <c r="BB54" s="125"/>
      <c r="BC54" s="125"/>
      <c r="BD54" s="10">
        <f t="shared" si="0"/>
        <v>1</v>
      </c>
      <c r="BE54" s="10">
        <f t="shared" si="2"/>
        <v>1</v>
      </c>
      <c r="BF54" s="10">
        <f t="shared" si="3"/>
        <v>1</v>
      </c>
      <c r="BG54" s="10">
        <f t="shared" si="4"/>
        <v>3</v>
      </c>
    </row>
    <row r="55" spans="1:59" ht="25.5" customHeight="1" x14ac:dyDescent="0.3">
      <c r="A55" s="83"/>
      <c r="B55" s="88">
        <v>13</v>
      </c>
      <c r="C55" s="135"/>
      <c r="D55" s="135"/>
      <c r="E55" s="135"/>
      <c r="F55" s="135"/>
      <c r="G55" s="135"/>
      <c r="H55" s="135"/>
      <c r="I55" s="135"/>
      <c r="J55" s="135"/>
      <c r="K55" s="126"/>
      <c r="L55" s="127"/>
      <c r="M55" s="127"/>
      <c r="N55" s="127"/>
      <c r="O55" s="127"/>
      <c r="P55" s="127"/>
      <c r="Q55" s="127"/>
      <c r="R55" s="127"/>
      <c r="S55" s="127"/>
      <c r="T55" s="127"/>
      <c r="U55" s="127"/>
      <c r="V55" s="127"/>
      <c r="W55" s="127"/>
      <c r="X55" s="127"/>
      <c r="Y55" s="127"/>
      <c r="Z55" s="127"/>
      <c r="AA55" s="128"/>
      <c r="AB55" s="129"/>
      <c r="AC55" s="130"/>
      <c r="AD55" s="130"/>
      <c r="AE55" s="130"/>
      <c r="AF55" s="130"/>
      <c r="AG55" s="130"/>
      <c r="AH55" s="130"/>
      <c r="AI55" s="130"/>
      <c r="AJ55" s="130"/>
      <c r="AK55" s="130"/>
      <c r="AL55" s="130"/>
      <c r="AM55" s="131"/>
      <c r="AN55" s="132">
        <f t="shared" si="1"/>
        <v>0</v>
      </c>
      <c r="AO55" s="133"/>
      <c r="AP55" s="133"/>
      <c r="AQ55" s="133"/>
      <c r="AR55" s="133"/>
      <c r="AS55" s="133"/>
      <c r="AT55" s="133"/>
      <c r="AU55" s="133"/>
      <c r="AV55" s="133"/>
      <c r="AW55" s="134"/>
      <c r="AX55" s="124" t="str">
        <f>IF(AND(BG55&lt;3,BG55&lt;&gt;0),IF('page2 translations'!B13="English","Please complete entries in the required entry fields","Veuillez entrer les informations complétes dans les champs requis"),"")</f>
        <v/>
      </c>
      <c r="AY55" s="125"/>
      <c r="AZ55" s="125"/>
      <c r="BA55" s="125"/>
      <c r="BB55" s="125"/>
      <c r="BC55" s="125"/>
      <c r="BD55" s="10">
        <f t="shared" si="0"/>
        <v>1</v>
      </c>
      <c r="BE55" s="10">
        <f t="shared" si="2"/>
        <v>1</v>
      </c>
      <c r="BF55" s="10">
        <f t="shared" si="3"/>
        <v>1</v>
      </c>
      <c r="BG55" s="10">
        <f t="shared" si="4"/>
        <v>3</v>
      </c>
    </row>
    <row r="56" spans="1:59" ht="25.5" customHeight="1" x14ac:dyDescent="0.3">
      <c r="A56" s="83"/>
      <c r="B56" s="88">
        <v>14</v>
      </c>
      <c r="C56" s="135"/>
      <c r="D56" s="135"/>
      <c r="E56" s="135"/>
      <c r="F56" s="135"/>
      <c r="G56" s="135"/>
      <c r="H56" s="135"/>
      <c r="I56" s="135"/>
      <c r="J56" s="135"/>
      <c r="K56" s="126"/>
      <c r="L56" s="127"/>
      <c r="M56" s="127"/>
      <c r="N56" s="127"/>
      <c r="O56" s="127"/>
      <c r="P56" s="127"/>
      <c r="Q56" s="127"/>
      <c r="R56" s="127"/>
      <c r="S56" s="127"/>
      <c r="T56" s="127"/>
      <c r="U56" s="127"/>
      <c r="V56" s="127"/>
      <c r="W56" s="127"/>
      <c r="X56" s="127"/>
      <c r="Y56" s="127"/>
      <c r="Z56" s="127"/>
      <c r="AA56" s="128"/>
      <c r="AB56" s="129"/>
      <c r="AC56" s="130"/>
      <c r="AD56" s="130"/>
      <c r="AE56" s="130"/>
      <c r="AF56" s="130"/>
      <c r="AG56" s="130"/>
      <c r="AH56" s="130"/>
      <c r="AI56" s="130"/>
      <c r="AJ56" s="130"/>
      <c r="AK56" s="130"/>
      <c r="AL56" s="130"/>
      <c r="AM56" s="131"/>
      <c r="AN56" s="132">
        <f t="shared" si="1"/>
        <v>0</v>
      </c>
      <c r="AO56" s="133"/>
      <c r="AP56" s="133"/>
      <c r="AQ56" s="133"/>
      <c r="AR56" s="133"/>
      <c r="AS56" s="133"/>
      <c r="AT56" s="133"/>
      <c r="AU56" s="133"/>
      <c r="AV56" s="133"/>
      <c r="AW56" s="134"/>
      <c r="AX56" s="124" t="str">
        <f>IF(AND(BG56&lt;3,BG56&lt;&gt;0),IF('page2 translations'!B14="English","Please complete entries in the required entry fields","Veuillez entrer les informations complétes dans les champs requis"),"")</f>
        <v/>
      </c>
      <c r="AY56" s="125"/>
      <c r="AZ56" s="125"/>
      <c r="BA56" s="125"/>
      <c r="BB56" s="125"/>
      <c r="BC56" s="125"/>
      <c r="BD56" s="10">
        <f t="shared" si="0"/>
        <v>1</v>
      </c>
      <c r="BE56" s="10">
        <f t="shared" si="2"/>
        <v>1</v>
      </c>
      <c r="BF56" s="10">
        <f t="shared" si="3"/>
        <v>1</v>
      </c>
      <c r="BG56" s="10">
        <f t="shared" si="4"/>
        <v>3</v>
      </c>
    </row>
    <row r="57" spans="1:59" ht="25.5" customHeight="1" x14ac:dyDescent="0.3">
      <c r="A57" s="83"/>
      <c r="B57" s="88">
        <v>15</v>
      </c>
      <c r="C57" s="135"/>
      <c r="D57" s="135"/>
      <c r="E57" s="135"/>
      <c r="F57" s="135"/>
      <c r="G57" s="135"/>
      <c r="H57" s="135"/>
      <c r="I57" s="135"/>
      <c r="J57" s="135"/>
      <c r="K57" s="126"/>
      <c r="L57" s="127"/>
      <c r="M57" s="127"/>
      <c r="N57" s="127"/>
      <c r="O57" s="127"/>
      <c r="P57" s="127"/>
      <c r="Q57" s="127"/>
      <c r="R57" s="127"/>
      <c r="S57" s="127"/>
      <c r="T57" s="127"/>
      <c r="U57" s="127"/>
      <c r="V57" s="127"/>
      <c r="W57" s="127"/>
      <c r="X57" s="127"/>
      <c r="Y57" s="127"/>
      <c r="Z57" s="127"/>
      <c r="AA57" s="128"/>
      <c r="AB57" s="129"/>
      <c r="AC57" s="130"/>
      <c r="AD57" s="130"/>
      <c r="AE57" s="130"/>
      <c r="AF57" s="130"/>
      <c r="AG57" s="130"/>
      <c r="AH57" s="130"/>
      <c r="AI57" s="130"/>
      <c r="AJ57" s="130"/>
      <c r="AK57" s="130"/>
      <c r="AL57" s="130"/>
      <c r="AM57" s="131"/>
      <c r="AN57" s="132">
        <f t="shared" si="1"/>
        <v>0</v>
      </c>
      <c r="AO57" s="133"/>
      <c r="AP57" s="133"/>
      <c r="AQ57" s="133"/>
      <c r="AR57" s="133"/>
      <c r="AS57" s="133"/>
      <c r="AT57" s="133"/>
      <c r="AU57" s="133"/>
      <c r="AV57" s="133"/>
      <c r="AW57" s="134"/>
      <c r="AX57" s="124" t="str">
        <f>IF(AND(BG57&lt;3,BG57&lt;&gt;0),IF('page2 translations'!B15="English","Please complete entries in the required entry fields","Veuillez entrer les informations complétes dans les champs requis"),"")</f>
        <v/>
      </c>
      <c r="AY57" s="125"/>
      <c r="AZ57" s="125"/>
      <c r="BA57" s="125"/>
      <c r="BB57" s="125"/>
      <c r="BC57" s="125"/>
      <c r="BD57" s="10">
        <f t="shared" si="0"/>
        <v>1</v>
      </c>
      <c r="BE57" s="10">
        <f t="shared" si="2"/>
        <v>1</v>
      </c>
      <c r="BF57" s="10">
        <f t="shared" si="3"/>
        <v>1</v>
      </c>
      <c r="BG57" s="10">
        <f t="shared" si="4"/>
        <v>3</v>
      </c>
    </row>
    <row r="58" spans="1:59" ht="25.5" customHeight="1" x14ac:dyDescent="0.3">
      <c r="A58" s="83"/>
      <c r="B58" s="88">
        <v>16</v>
      </c>
      <c r="C58" s="135"/>
      <c r="D58" s="135"/>
      <c r="E58" s="135"/>
      <c r="F58" s="135"/>
      <c r="G58" s="135"/>
      <c r="H58" s="135"/>
      <c r="I58" s="135"/>
      <c r="J58" s="135"/>
      <c r="K58" s="126"/>
      <c r="L58" s="127"/>
      <c r="M58" s="127"/>
      <c r="N58" s="127"/>
      <c r="O58" s="127"/>
      <c r="P58" s="127"/>
      <c r="Q58" s="127"/>
      <c r="R58" s="127"/>
      <c r="S58" s="127"/>
      <c r="T58" s="127"/>
      <c r="U58" s="127"/>
      <c r="V58" s="127"/>
      <c r="W58" s="127"/>
      <c r="X58" s="127"/>
      <c r="Y58" s="127"/>
      <c r="Z58" s="127"/>
      <c r="AA58" s="128"/>
      <c r="AB58" s="129"/>
      <c r="AC58" s="130"/>
      <c r="AD58" s="130"/>
      <c r="AE58" s="130"/>
      <c r="AF58" s="130"/>
      <c r="AG58" s="130"/>
      <c r="AH58" s="130"/>
      <c r="AI58" s="130"/>
      <c r="AJ58" s="130"/>
      <c r="AK58" s="130"/>
      <c r="AL58" s="130"/>
      <c r="AM58" s="131"/>
      <c r="AN58" s="132">
        <f t="shared" si="1"/>
        <v>0</v>
      </c>
      <c r="AO58" s="133"/>
      <c r="AP58" s="133"/>
      <c r="AQ58" s="133"/>
      <c r="AR58" s="133"/>
      <c r="AS58" s="133"/>
      <c r="AT58" s="133"/>
      <c r="AU58" s="133"/>
      <c r="AV58" s="133"/>
      <c r="AW58" s="134"/>
      <c r="AX58" s="124" t="str">
        <f>IF(AND(BG58&lt;3,BG58&lt;&gt;0),IF('page2 translations'!B16="English","Please complete entries in the required entry fields","Veuillez entrer les informations complétes dans les champs requis"),"")</f>
        <v/>
      </c>
      <c r="AY58" s="125"/>
      <c r="AZ58" s="125"/>
      <c r="BA58" s="125"/>
      <c r="BB58" s="125"/>
      <c r="BC58" s="125"/>
      <c r="BD58" s="10">
        <f t="shared" si="0"/>
        <v>1</v>
      </c>
      <c r="BE58" s="10">
        <f t="shared" si="2"/>
        <v>1</v>
      </c>
      <c r="BF58" s="10">
        <f t="shared" si="3"/>
        <v>1</v>
      </c>
      <c r="BG58" s="10">
        <f t="shared" si="4"/>
        <v>3</v>
      </c>
    </row>
    <row r="59" spans="1:59" ht="25.5" customHeight="1" x14ac:dyDescent="0.3">
      <c r="A59" s="96"/>
      <c r="B59" s="96"/>
      <c r="C59" s="88"/>
      <c r="D59" s="100"/>
      <c r="E59" s="100"/>
      <c r="F59" s="100"/>
      <c r="G59" s="100"/>
      <c r="H59" s="100"/>
      <c r="I59" s="100"/>
      <c r="J59" s="100"/>
      <c r="K59" s="100"/>
      <c r="L59" s="100"/>
      <c r="M59" s="100"/>
      <c r="N59" s="100"/>
      <c r="O59" s="100"/>
      <c r="P59" s="100"/>
      <c r="Q59" s="100"/>
      <c r="R59" s="100"/>
      <c r="S59" s="100"/>
      <c r="T59" s="100"/>
      <c r="U59" s="100"/>
      <c r="V59" s="100"/>
      <c r="W59" s="100"/>
      <c r="X59" s="100"/>
      <c r="Y59" s="100"/>
      <c r="Z59" s="100"/>
      <c r="AA59" s="100"/>
      <c r="AB59" s="101"/>
      <c r="AC59" s="101"/>
      <c r="AD59" s="101"/>
      <c r="AE59" s="101"/>
      <c r="AF59" s="101"/>
      <c r="AG59" s="101"/>
      <c r="AH59" s="101"/>
      <c r="AI59" s="101"/>
      <c r="AJ59" s="101"/>
      <c r="AK59" s="101"/>
      <c r="AL59" s="101"/>
      <c r="AM59" s="101"/>
      <c r="AN59" s="89"/>
      <c r="AO59" s="89"/>
      <c r="AP59" s="89"/>
      <c r="AQ59" s="89"/>
      <c r="AR59" s="89"/>
      <c r="AS59" s="89"/>
      <c r="AT59" s="89"/>
      <c r="AU59" s="89"/>
      <c r="AV59" s="89"/>
      <c r="AW59" s="89"/>
      <c r="AZ59" s="10"/>
    </row>
    <row r="60" spans="1:59" ht="25.5" customHeight="1" x14ac:dyDescent="0.3">
      <c r="A60" s="96" t="str">
        <f>J1</f>
        <v xml:space="preserve">MUSIC LICENCE FORM - TARIFF 9 - SPORTS EVENTS </v>
      </c>
      <c r="B60" s="96"/>
      <c r="C60" s="88"/>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1"/>
      <c r="AC60" s="101"/>
      <c r="AD60" s="101"/>
      <c r="AE60" s="101"/>
      <c r="AF60" s="101"/>
      <c r="AG60" s="101"/>
      <c r="AH60" s="101"/>
      <c r="AI60" s="101"/>
      <c r="AJ60" s="101"/>
      <c r="AK60" s="101"/>
      <c r="AL60" s="101"/>
      <c r="AM60" s="101"/>
      <c r="AN60" s="91"/>
      <c r="AO60" s="91"/>
      <c r="AP60" s="91"/>
      <c r="AQ60" s="91"/>
      <c r="AR60" s="91"/>
      <c r="AS60" s="91"/>
      <c r="AT60" s="91"/>
      <c r="AU60" s="91"/>
      <c r="AV60" s="91"/>
      <c r="AW60" s="91"/>
      <c r="AX60" s="80"/>
      <c r="AY60" s="80"/>
      <c r="AZ60" s="80"/>
    </row>
    <row r="61" spans="1:59" ht="25.5" customHeight="1" x14ac:dyDescent="0.3">
      <c r="A61" s="96"/>
      <c r="B61" s="96"/>
      <c r="C61" s="88"/>
      <c r="D61" s="102"/>
      <c r="E61" s="102"/>
      <c r="F61" s="102"/>
      <c r="G61" s="102"/>
      <c r="H61" s="102"/>
      <c r="I61" s="102"/>
      <c r="J61" s="102"/>
      <c r="K61" s="103"/>
      <c r="L61" s="103"/>
      <c r="M61" s="103"/>
      <c r="N61" s="103"/>
      <c r="O61" s="103"/>
      <c r="P61" s="103"/>
      <c r="Q61" s="103"/>
      <c r="R61" s="103"/>
      <c r="S61" s="103"/>
      <c r="T61" s="103"/>
      <c r="U61" s="103"/>
      <c r="V61" s="103"/>
      <c r="W61" s="103"/>
      <c r="X61" s="103"/>
      <c r="Y61" s="103"/>
      <c r="Z61" s="103"/>
      <c r="AA61" s="103"/>
      <c r="AB61" s="104"/>
      <c r="AC61" s="104"/>
      <c r="AD61" s="104"/>
      <c r="AE61" s="104"/>
      <c r="AF61" s="104"/>
      <c r="AG61" s="104"/>
      <c r="AH61" s="104"/>
      <c r="AI61" s="104"/>
      <c r="AJ61" s="104"/>
      <c r="AK61" s="104"/>
      <c r="AL61" s="104"/>
      <c r="AM61" s="104"/>
      <c r="AN61" s="90"/>
      <c r="AO61" s="90"/>
      <c r="AP61" s="90"/>
      <c r="AQ61" s="90"/>
      <c r="AR61" s="90"/>
      <c r="AS61" s="90"/>
      <c r="AT61" s="90"/>
      <c r="AU61" s="90"/>
      <c r="AV61" s="90"/>
      <c r="AW61" s="90"/>
      <c r="AX61" s="80"/>
      <c r="AY61" s="80"/>
      <c r="AZ61" s="80"/>
    </row>
    <row r="62" spans="1:59" ht="16.5" x14ac:dyDescent="0.3">
      <c r="A62" s="83"/>
      <c r="B62" s="83"/>
      <c r="C62" s="142" t="str">
        <f>C41</f>
        <v>Event date</v>
      </c>
      <c r="D62" s="143"/>
      <c r="E62" s="143"/>
      <c r="F62" s="143"/>
      <c r="G62" s="143"/>
      <c r="H62" s="143"/>
      <c r="I62" s="143"/>
      <c r="J62" s="144"/>
      <c r="K62" s="142" t="str">
        <f>K41</f>
        <v>Event name</v>
      </c>
      <c r="L62" s="143"/>
      <c r="M62" s="143"/>
      <c r="N62" s="143"/>
      <c r="O62" s="143"/>
      <c r="P62" s="143"/>
      <c r="Q62" s="143"/>
      <c r="R62" s="143"/>
      <c r="S62" s="143"/>
      <c r="T62" s="143"/>
      <c r="U62" s="143"/>
      <c r="V62" s="143"/>
      <c r="W62" s="143"/>
      <c r="X62" s="143"/>
      <c r="Y62" s="143"/>
      <c r="Z62" s="143"/>
      <c r="AA62" s="144"/>
      <c r="AB62" s="142" t="str">
        <f>AB41</f>
        <v>Gross receipts (A)</v>
      </c>
      <c r="AC62" s="143"/>
      <c r="AD62" s="143"/>
      <c r="AE62" s="143"/>
      <c r="AF62" s="143"/>
      <c r="AG62" s="143"/>
      <c r="AH62" s="143"/>
      <c r="AI62" s="143"/>
      <c r="AJ62" s="143"/>
      <c r="AK62" s="143"/>
      <c r="AL62" s="143"/>
      <c r="AM62" s="144"/>
      <c r="AN62" s="142" t="str">
        <f>AN41</f>
        <v>Total licence fee</v>
      </c>
      <c r="AO62" s="143"/>
      <c r="AP62" s="143"/>
      <c r="AQ62" s="143"/>
      <c r="AR62" s="143"/>
      <c r="AS62" s="143"/>
      <c r="AT62" s="143"/>
      <c r="AU62" s="143"/>
      <c r="AV62" s="143"/>
      <c r="AW62" s="144"/>
      <c r="AZ62" s="10"/>
    </row>
    <row r="63" spans="1:59" ht="16.5" x14ac:dyDescent="0.3">
      <c r="A63" s="83"/>
      <c r="B63" s="83"/>
      <c r="C63" s="208" t="str">
        <f>C42</f>
        <v>(DD/MM/YYYY)</v>
      </c>
      <c r="D63" s="209"/>
      <c r="E63" s="209"/>
      <c r="F63" s="209"/>
      <c r="G63" s="209"/>
      <c r="H63" s="209"/>
      <c r="I63" s="209"/>
      <c r="J63" s="210"/>
      <c r="K63" s="156"/>
      <c r="L63" s="157"/>
      <c r="M63" s="157"/>
      <c r="N63" s="157"/>
      <c r="O63" s="157"/>
      <c r="P63" s="157"/>
      <c r="Q63" s="157"/>
      <c r="R63" s="157"/>
      <c r="S63" s="157"/>
      <c r="T63" s="157"/>
      <c r="U63" s="157"/>
      <c r="V63" s="157"/>
      <c r="W63" s="157"/>
      <c r="X63" s="157"/>
      <c r="Y63" s="157"/>
      <c r="Z63" s="157"/>
      <c r="AA63" s="158"/>
      <c r="AB63" s="156" t="str">
        <f>AB42</f>
        <v>= $0 if the event is free</v>
      </c>
      <c r="AC63" s="157"/>
      <c r="AD63" s="157"/>
      <c r="AE63" s="157"/>
      <c r="AF63" s="157"/>
      <c r="AG63" s="157"/>
      <c r="AH63" s="157"/>
      <c r="AI63" s="157"/>
      <c r="AJ63" s="157"/>
      <c r="AK63" s="157"/>
      <c r="AL63" s="157"/>
      <c r="AM63" s="158"/>
      <c r="AN63" s="214" t="str">
        <f>AN42</f>
        <v>= (A) x 0.1% (or $5 if free event)</v>
      </c>
      <c r="AO63" s="215"/>
      <c r="AP63" s="215"/>
      <c r="AQ63" s="215"/>
      <c r="AR63" s="215"/>
      <c r="AS63" s="215"/>
      <c r="AT63" s="215"/>
      <c r="AU63" s="215"/>
      <c r="AV63" s="215"/>
      <c r="AW63" s="216"/>
      <c r="AZ63" s="10"/>
    </row>
    <row r="64" spans="1:59" ht="25.5" customHeight="1" x14ac:dyDescent="0.3">
      <c r="A64" s="83"/>
      <c r="B64" s="88">
        <v>17</v>
      </c>
      <c r="C64" s="135"/>
      <c r="D64" s="135"/>
      <c r="E64" s="135"/>
      <c r="F64" s="135"/>
      <c r="G64" s="135"/>
      <c r="H64" s="135"/>
      <c r="I64" s="135"/>
      <c r="J64" s="135"/>
      <c r="K64" s="126"/>
      <c r="L64" s="127"/>
      <c r="M64" s="127"/>
      <c r="N64" s="127"/>
      <c r="O64" s="127"/>
      <c r="P64" s="127"/>
      <c r="Q64" s="127"/>
      <c r="R64" s="127"/>
      <c r="S64" s="127"/>
      <c r="T64" s="127"/>
      <c r="U64" s="127"/>
      <c r="V64" s="127"/>
      <c r="W64" s="127"/>
      <c r="X64" s="127"/>
      <c r="Y64" s="127"/>
      <c r="Z64" s="127"/>
      <c r="AA64" s="128"/>
      <c r="AB64" s="129"/>
      <c r="AC64" s="130"/>
      <c r="AD64" s="130"/>
      <c r="AE64" s="130"/>
      <c r="AF64" s="130"/>
      <c r="AG64" s="130"/>
      <c r="AH64" s="130"/>
      <c r="AI64" s="130"/>
      <c r="AJ64" s="130"/>
      <c r="AK64" s="130"/>
      <c r="AL64" s="130"/>
      <c r="AM64" s="131"/>
      <c r="AN64" s="132">
        <f t="shared" ref="AN64:AN82" si="5">IF(AB64="",0,IF(AB64=0,5,AB64*0.1%))</f>
        <v>0</v>
      </c>
      <c r="AO64" s="133"/>
      <c r="AP64" s="133"/>
      <c r="AQ64" s="133"/>
      <c r="AR64" s="133"/>
      <c r="AS64" s="133"/>
      <c r="AT64" s="133"/>
      <c r="AU64" s="133"/>
      <c r="AV64" s="133"/>
      <c r="AW64" s="134"/>
      <c r="AX64" s="124" t="str">
        <f>IF(AND(BG64&lt;3,BG64&lt;&gt;0),IF('page2 translations'!B22="English","Please complete entries in the required entry fields","Veuillez entrer les informations complétes dans les champs requis"),"")</f>
        <v/>
      </c>
      <c r="AY64" s="125"/>
      <c r="AZ64" s="125"/>
      <c r="BA64" s="125"/>
      <c r="BB64" s="125"/>
      <c r="BC64" s="125"/>
      <c r="BD64" s="10">
        <f t="shared" ref="BD64:BD82" si="6">IF(ISBLANK(C64),1,0)</f>
        <v>1</v>
      </c>
      <c r="BE64" s="10">
        <f t="shared" ref="BE64" si="7">IF(ISBLANK(K64),1,0)</f>
        <v>1</v>
      </c>
      <c r="BF64" s="10">
        <f t="shared" ref="BF64" si="8">IF(ISBLANK(AB64),1,0)</f>
        <v>1</v>
      </c>
      <c r="BG64" s="10">
        <f t="shared" ref="BG64" si="9">SUM(BD64:BF64)</f>
        <v>3</v>
      </c>
    </row>
    <row r="65" spans="1:59" ht="25.5" customHeight="1" x14ac:dyDescent="0.3">
      <c r="A65" s="83"/>
      <c r="B65" s="88">
        <v>18</v>
      </c>
      <c r="C65" s="135"/>
      <c r="D65" s="135"/>
      <c r="E65" s="135"/>
      <c r="F65" s="135"/>
      <c r="G65" s="135"/>
      <c r="H65" s="135"/>
      <c r="I65" s="135"/>
      <c r="J65" s="135"/>
      <c r="K65" s="126"/>
      <c r="L65" s="127"/>
      <c r="M65" s="127"/>
      <c r="N65" s="127"/>
      <c r="O65" s="127"/>
      <c r="P65" s="127"/>
      <c r="Q65" s="127"/>
      <c r="R65" s="127"/>
      <c r="S65" s="127"/>
      <c r="T65" s="127"/>
      <c r="U65" s="127"/>
      <c r="V65" s="127"/>
      <c r="W65" s="127"/>
      <c r="X65" s="127"/>
      <c r="Y65" s="127"/>
      <c r="Z65" s="127"/>
      <c r="AA65" s="128"/>
      <c r="AB65" s="129"/>
      <c r="AC65" s="130"/>
      <c r="AD65" s="130"/>
      <c r="AE65" s="130"/>
      <c r="AF65" s="130"/>
      <c r="AG65" s="130"/>
      <c r="AH65" s="130"/>
      <c r="AI65" s="130"/>
      <c r="AJ65" s="130"/>
      <c r="AK65" s="130"/>
      <c r="AL65" s="130"/>
      <c r="AM65" s="131"/>
      <c r="AN65" s="132">
        <f t="shared" si="5"/>
        <v>0</v>
      </c>
      <c r="AO65" s="133"/>
      <c r="AP65" s="133"/>
      <c r="AQ65" s="133"/>
      <c r="AR65" s="133"/>
      <c r="AS65" s="133"/>
      <c r="AT65" s="133"/>
      <c r="AU65" s="133"/>
      <c r="AV65" s="133"/>
      <c r="AW65" s="134"/>
      <c r="AX65" s="124" t="str">
        <f>IF(AND(BG65&lt;3,BG65&lt;&gt;0),IF('page2 translations'!B23="English","Please complete entries in the required entry fields","Veuillez entrer les informations complétes dans les champs requis"),"")</f>
        <v/>
      </c>
      <c r="AY65" s="125"/>
      <c r="AZ65" s="125"/>
      <c r="BA65" s="125"/>
      <c r="BB65" s="125"/>
      <c r="BC65" s="125"/>
      <c r="BD65" s="10">
        <f t="shared" si="6"/>
        <v>1</v>
      </c>
      <c r="BE65" s="10">
        <f t="shared" ref="BE65:BE82" si="10">IF(ISBLANK(K65),1,0)</f>
        <v>1</v>
      </c>
      <c r="BF65" s="10">
        <f t="shared" ref="BF65:BF82" si="11">IF(ISBLANK(AB65),1,0)</f>
        <v>1</v>
      </c>
      <c r="BG65" s="10">
        <f t="shared" ref="BG65:BG82" si="12">SUM(BD65:BF65)</f>
        <v>3</v>
      </c>
    </row>
    <row r="66" spans="1:59" ht="25.5" customHeight="1" x14ac:dyDescent="0.3">
      <c r="A66" s="83"/>
      <c r="B66" s="88">
        <v>19</v>
      </c>
      <c r="C66" s="135"/>
      <c r="D66" s="135"/>
      <c r="E66" s="135"/>
      <c r="F66" s="135"/>
      <c r="G66" s="135"/>
      <c r="H66" s="135"/>
      <c r="I66" s="135"/>
      <c r="J66" s="135"/>
      <c r="K66" s="126"/>
      <c r="L66" s="127"/>
      <c r="M66" s="127"/>
      <c r="N66" s="127"/>
      <c r="O66" s="127"/>
      <c r="P66" s="127"/>
      <c r="Q66" s="127"/>
      <c r="R66" s="127"/>
      <c r="S66" s="127"/>
      <c r="T66" s="127"/>
      <c r="U66" s="127"/>
      <c r="V66" s="127"/>
      <c r="W66" s="127"/>
      <c r="X66" s="127"/>
      <c r="Y66" s="127"/>
      <c r="Z66" s="127"/>
      <c r="AA66" s="128"/>
      <c r="AB66" s="129"/>
      <c r="AC66" s="130"/>
      <c r="AD66" s="130"/>
      <c r="AE66" s="130"/>
      <c r="AF66" s="130"/>
      <c r="AG66" s="130"/>
      <c r="AH66" s="130"/>
      <c r="AI66" s="130"/>
      <c r="AJ66" s="130"/>
      <c r="AK66" s="130"/>
      <c r="AL66" s="130"/>
      <c r="AM66" s="131"/>
      <c r="AN66" s="132">
        <f t="shared" si="5"/>
        <v>0</v>
      </c>
      <c r="AO66" s="133"/>
      <c r="AP66" s="133"/>
      <c r="AQ66" s="133"/>
      <c r="AR66" s="133"/>
      <c r="AS66" s="133"/>
      <c r="AT66" s="133"/>
      <c r="AU66" s="133"/>
      <c r="AV66" s="133"/>
      <c r="AW66" s="134"/>
      <c r="AX66" s="124" t="str">
        <f>IF(AND(BG66&lt;3,BG66&lt;&gt;0),IF('page2 translations'!B24="English","Please complete entries in the required entry fields","Veuillez entrer les informations complétes dans les champs requis"),"")</f>
        <v/>
      </c>
      <c r="AY66" s="125"/>
      <c r="AZ66" s="125"/>
      <c r="BA66" s="125"/>
      <c r="BB66" s="125"/>
      <c r="BC66" s="125"/>
      <c r="BD66" s="10">
        <f t="shared" si="6"/>
        <v>1</v>
      </c>
      <c r="BE66" s="10">
        <f t="shared" si="10"/>
        <v>1</v>
      </c>
      <c r="BF66" s="10">
        <f t="shared" si="11"/>
        <v>1</v>
      </c>
      <c r="BG66" s="10">
        <f t="shared" si="12"/>
        <v>3</v>
      </c>
    </row>
    <row r="67" spans="1:59" ht="25.5" customHeight="1" x14ac:dyDescent="0.3">
      <c r="A67" s="83"/>
      <c r="B67" s="88">
        <v>20</v>
      </c>
      <c r="C67" s="135"/>
      <c r="D67" s="135"/>
      <c r="E67" s="135"/>
      <c r="F67" s="135"/>
      <c r="G67" s="135"/>
      <c r="H67" s="135"/>
      <c r="I67" s="135"/>
      <c r="J67" s="135"/>
      <c r="K67" s="126"/>
      <c r="L67" s="127"/>
      <c r="M67" s="127"/>
      <c r="N67" s="127"/>
      <c r="O67" s="127"/>
      <c r="P67" s="127"/>
      <c r="Q67" s="127"/>
      <c r="R67" s="127"/>
      <c r="S67" s="127"/>
      <c r="T67" s="127"/>
      <c r="U67" s="127"/>
      <c r="V67" s="127"/>
      <c r="W67" s="127"/>
      <c r="X67" s="127"/>
      <c r="Y67" s="127"/>
      <c r="Z67" s="127"/>
      <c r="AA67" s="128"/>
      <c r="AB67" s="129"/>
      <c r="AC67" s="130"/>
      <c r="AD67" s="130"/>
      <c r="AE67" s="130"/>
      <c r="AF67" s="130"/>
      <c r="AG67" s="130"/>
      <c r="AH67" s="130"/>
      <c r="AI67" s="130"/>
      <c r="AJ67" s="130"/>
      <c r="AK67" s="130"/>
      <c r="AL67" s="130"/>
      <c r="AM67" s="131"/>
      <c r="AN67" s="132">
        <f t="shared" si="5"/>
        <v>0</v>
      </c>
      <c r="AO67" s="133"/>
      <c r="AP67" s="133"/>
      <c r="AQ67" s="133"/>
      <c r="AR67" s="133"/>
      <c r="AS67" s="133"/>
      <c r="AT67" s="133"/>
      <c r="AU67" s="133"/>
      <c r="AV67" s="133"/>
      <c r="AW67" s="134"/>
      <c r="AX67" s="124" t="str">
        <f>IF(AND(BG67&lt;3,BG67&lt;&gt;0),IF('page2 translations'!B25="English","Please complete entries in the required entry fields","Veuillez entrer les informations complétes dans les champs requis"),"")</f>
        <v/>
      </c>
      <c r="AY67" s="125"/>
      <c r="AZ67" s="125"/>
      <c r="BA67" s="125"/>
      <c r="BB67" s="125"/>
      <c r="BC67" s="125"/>
      <c r="BD67" s="10">
        <f t="shared" si="6"/>
        <v>1</v>
      </c>
      <c r="BE67" s="10">
        <f t="shared" si="10"/>
        <v>1</v>
      </c>
      <c r="BF67" s="10">
        <f t="shared" si="11"/>
        <v>1</v>
      </c>
      <c r="BG67" s="10">
        <f t="shared" si="12"/>
        <v>3</v>
      </c>
    </row>
    <row r="68" spans="1:59" ht="25.5" customHeight="1" x14ac:dyDescent="0.3">
      <c r="A68" s="83"/>
      <c r="B68" s="88">
        <v>21</v>
      </c>
      <c r="C68" s="135"/>
      <c r="D68" s="135"/>
      <c r="E68" s="135"/>
      <c r="F68" s="135"/>
      <c r="G68" s="135"/>
      <c r="H68" s="135"/>
      <c r="I68" s="135"/>
      <c r="J68" s="135"/>
      <c r="K68" s="126"/>
      <c r="L68" s="127"/>
      <c r="M68" s="127"/>
      <c r="N68" s="127"/>
      <c r="O68" s="127"/>
      <c r="P68" s="127"/>
      <c r="Q68" s="127"/>
      <c r="R68" s="127"/>
      <c r="S68" s="127"/>
      <c r="T68" s="127"/>
      <c r="U68" s="127"/>
      <c r="V68" s="127"/>
      <c r="W68" s="127"/>
      <c r="X68" s="127"/>
      <c r="Y68" s="127"/>
      <c r="Z68" s="127"/>
      <c r="AA68" s="128"/>
      <c r="AB68" s="129"/>
      <c r="AC68" s="130"/>
      <c r="AD68" s="130"/>
      <c r="AE68" s="130"/>
      <c r="AF68" s="130"/>
      <c r="AG68" s="130"/>
      <c r="AH68" s="130"/>
      <c r="AI68" s="130"/>
      <c r="AJ68" s="130"/>
      <c r="AK68" s="130"/>
      <c r="AL68" s="130"/>
      <c r="AM68" s="131"/>
      <c r="AN68" s="132">
        <f t="shared" si="5"/>
        <v>0</v>
      </c>
      <c r="AO68" s="133"/>
      <c r="AP68" s="133"/>
      <c r="AQ68" s="133"/>
      <c r="AR68" s="133"/>
      <c r="AS68" s="133"/>
      <c r="AT68" s="133"/>
      <c r="AU68" s="133"/>
      <c r="AV68" s="133"/>
      <c r="AW68" s="134"/>
      <c r="AX68" s="124" t="str">
        <f>IF(AND(BG68&lt;3,BG68&lt;&gt;0),IF('page2 translations'!B26="English","Please complete entries in the required entry fields","Veuillez entrer les informations complétes dans les champs requis"),"")</f>
        <v/>
      </c>
      <c r="AY68" s="125"/>
      <c r="AZ68" s="125"/>
      <c r="BA68" s="125"/>
      <c r="BB68" s="125"/>
      <c r="BC68" s="125"/>
      <c r="BD68" s="10">
        <f t="shared" si="6"/>
        <v>1</v>
      </c>
      <c r="BE68" s="10">
        <f t="shared" si="10"/>
        <v>1</v>
      </c>
      <c r="BF68" s="10">
        <f t="shared" si="11"/>
        <v>1</v>
      </c>
      <c r="BG68" s="10">
        <f t="shared" si="12"/>
        <v>3</v>
      </c>
    </row>
    <row r="69" spans="1:59" ht="25.5" customHeight="1" x14ac:dyDescent="0.3">
      <c r="A69" s="83"/>
      <c r="B69" s="88">
        <v>22</v>
      </c>
      <c r="C69" s="135"/>
      <c r="D69" s="135"/>
      <c r="E69" s="135"/>
      <c r="F69" s="135"/>
      <c r="G69" s="135"/>
      <c r="H69" s="135"/>
      <c r="I69" s="135"/>
      <c r="J69" s="135"/>
      <c r="K69" s="126"/>
      <c r="L69" s="127"/>
      <c r="M69" s="127"/>
      <c r="N69" s="127"/>
      <c r="O69" s="127"/>
      <c r="P69" s="127"/>
      <c r="Q69" s="127"/>
      <c r="R69" s="127"/>
      <c r="S69" s="127"/>
      <c r="T69" s="127"/>
      <c r="U69" s="127"/>
      <c r="V69" s="127"/>
      <c r="W69" s="127"/>
      <c r="X69" s="127"/>
      <c r="Y69" s="127"/>
      <c r="Z69" s="127"/>
      <c r="AA69" s="128"/>
      <c r="AB69" s="129"/>
      <c r="AC69" s="130"/>
      <c r="AD69" s="130"/>
      <c r="AE69" s="130"/>
      <c r="AF69" s="130"/>
      <c r="AG69" s="130"/>
      <c r="AH69" s="130"/>
      <c r="AI69" s="130"/>
      <c r="AJ69" s="130"/>
      <c r="AK69" s="130"/>
      <c r="AL69" s="130"/>
      <c r="AM69" s="131"/>
      <c r="AN69" s="132">
        <f t="shared" si="5"/>
        <v>0</v>
      </c>
      <c r="AO69" s="133"/>
      <c r="AP69" s="133"/>
      <c r="AQ69" s="133"/>
      <c r="AR69" s="133"/>
      <c r="AS69" s="133"/>
      <c r="AT69" s="133"/>
      <c r="AU69" s="133"/>
      <c r="AV69" s="133"/>
      <c r="AW69" s="134"/>
      <c r="AX69" s="124" t="str">
        <f>IF(AND(BG69&lt;3,BG69&lt;&gt;0),IF('page2 translations'!B27="English","Please complete entries in the required entry fields","Veuillez entrer les informations complétes dans les champs requis"),"")</f>
        <v/>
      </c>
      <c r="AY69" s="125"/>
      <c r="AZ69" s="125"/>
      <c r="BA69" s="125"/>
      <c r="BB69" s="125"/>
      <c r="BC69" s="125"/>
      <c r="BD69" s="10">
        <f t="shared" si="6"/>
        <v>1</v>
      </c>
      <c r="BE69" s="10">
        <f t="shared" si="10"/>
        <v>1</v>
      </c>
      <c r="BF69" s="10">
        <f t="shared" si="11"/>
        <v>1</v>
      </c>
      <c r="BG69" s="10">
        <f t="shared" si="12"/>
        <v>3</v>
      </c>
    </row>
    <row r="70" spans="1:59" ht="25.5" customHeight="1" x14ac:dyDescent="0.3">
      <c r="A70" s="83"/>
      <c r="B70" s="88">
        <v>23</v>
      </c>
      <c r="C70" s="135"/>
      <c r="D70" s="135"/>
      <c r="E70" s="135"/>
      <c r="F70" s="135"/>
      <c r="G70" s="135"/>
      <c r="H70" s="135"/>
      <c r="I70" s="135"/>
      <c r="J70" s="135"/>
      <c r="K70" s="126"/>
      <c r="L70" s="127"/>
      <c r="M70" s="127"/>
      <c r="N70" s="127"/>
      <c r="O70" s="127"/>
      <c r="P70" s="127"/>
      <c r="Q70" s="127"/>
      <c r="R70" s="127"/>
      <c r="S70" s="127"/>
      <c r="T70" s="127"/>
      <c r="U70" s="127"/>
      <c r="V70" s="127"/>
      <c r="W70" s="127"/>
      <c r="X70" s="127"/>
      <c r="Y70" s="127"/>
      <c r="Z70" s="127"/>
      <c r="AA70" s="128"/>
      <c r="AB70" s="129"/>
      <c r="AC70" s="130"/>
      <c r="AD70" s="130"/>
      <c r="AE70" s="130"/>
      <c r="AF70" s="130"/>
      <c r="AG70" s="130"/>
      <c r="AH70" s="130"/>
      <c r="AI70" s="130"/>
      <c r="AJ70" s="130"/>
      <c r="AK70" s="130"/>
      <c r="AL70" s="130"/>
      <c r="AM70" s="131"/>
      <c r="AN70" s="132">
        <f t="shared" si="5"/>
        <v>0</v>
      </c>
      <c r="AO70" s="133"/>
      <c r="AP70" s="133"/>
      <c r="AQ70" s="133"/>
      <c r="AR70" s="133"/>
      <c r="AS70" s="133"/>
      <c r="AT70" s="133"/>
      <c r="AU70" s="133"/>
      <c r="AV70" s="133"/>
      <c r="AW70" s="134"/>
      <c r="AX70" s="124" t="str">
        <f>IF(AND(BG70&lt;3,BG70&lt;&gt;0),IF('page2 translations'!B28="English","Please complete entries in the required entry fields","Veuillez entrer les informations complétes dans les champs requis"),"")</f>
        <v/>
      </c>
      <c r="AY70" s="125"/>
      <c r="AZ70" s="125"/>
      <c r="BA70" s="125"/>
      <c r="BB70" s="125"/>
      <c r="BC70" s="125"/>
      <c r="BD70" s="10">
        <f t="shared" si="6"/>
        <v>1</v>
      </c>
      <c r="BE70" s="10">
        <f t="shared" si="10"/>
        <v>1</v>
      </c>
      <c r="BF70" s="10">
        <f t="shared" si="11"/>
        <v>1</v>
      </c>
      <c r="BG70" s="10">
        <f t="shared" si="12"/>
        <v>3</v>
      </c>
    </row>
    <row r="71" spans="1:59" ht="25.5" customHeight="1" x14ac:dyDescent="0.3">
      <c r="A71" s="83"/>
      <c r="B71" s="88">
        <v>24</v>
      </c>
      <c r="C71" s="135"/>
      <c r="D71" s="135"/>
      <c r="E71" s="135"/>
      <c r="F71" s="135"/>
      <c r="G71" s="135"/>
      <c r="H71" s="135"/>
      <c r="I71" s="135"/>
      <c r="J71" s="135"/>
      <c r="K71" s="126"/>
      <c r="L71" s="127"/>
      <c r="M71" s="127"/>
      <c r="N71" s="127"/>
      <c r="O71" s="127"/>
      <c r="P71" s="127"/>
      <c r="Q71" s="127"/>
      <c r="R71" s="127"/>
      <c r="S71" s="127"/>
      <c r="T71" s="127"/>
      <c r="U71" s="127"/>
      <c r="V71" s="127"/>
      <c r="W71" s="127"/>
      <c r="X71" s="127"/>
      <c r="Y71" s="127"/>
      <c r="Z71" s="127"/>
      <c r="AA71" s="128"/>
      <c r="AB71" s="129"/>
      <c r="AC71" s="130"/>
      <c r="AD71" s="130"/>
      <c r="AE71" s="130"/>
      <c r="AF71" s="130"/>
      <c r="AG71" s="130"/>
      <c r="AH71" s="130"/>
      <c r="AI71" s="130"/>
      <c r="AJ71" s="130"/>
      <c r="AK71" s="130"/>
      <c r="AL71" s="130"/>
      <c r="AM71" s="131"/>
      <c r="AN71" s="132">
        <f t="shared" si="5"/>
        <v>0</v>
      </c>
      <c r="AO71" s="133"/>
      <c r="AP71" s="133"/>
      <c r="AQ71" s="133"/>
      <c r="AR71" s="133"/>
      <c r="AS71" s="133"/>
      <c r="AT71" s="133"/>
      <c r="AU71" s="133"/>
      <c r="AV71" s="133"/>
      <c r="AW71" s="134"/>
      <c r="AX71" s="124" t="str">
        <f>IF(AND(BG71&lt;3,BG71&lt;&gt;0),IF('page2 translations'!B29="English","Please complete entries in the required entry fields","Veuillez entrer les informations complétes dans les champs requis"),"")</f>
        <v/>
      </c>
      <c r="AY71" s="125"/>
      <c r="AZ71" s="125"/>
      <c r="BA71" s="125"/>
      <c r="BB71" s="125"/>
      <c r="BC71" s="125"/>
      <c r="BD71" s="10">
        <f t="shared" si="6"/>
        <v>1</v>
      </c>
      <c r="BE71" s="10">
        <f t="shared" si="10"/>
        <v>1</v>
      </c>
      <c r="BF71" s="10">
        <f t="shared" si="11"/>
        <v>1</v>
      </c>
      <c r="BG71" s="10">
        <f t="shared" si="12"/>
        <v>3</v>
      </c>
    </row>
    <row r="72" spans="1:59" ht="25.5" customHeight="1" x14ac:dyDescent="0.3">
      <c r="A72" s="83"/>
      <c r="B72" s="88">
        <v>25</v>
      </c>
      <c r="C72" s="135"/>
      <c r="D72" s="135"/>
      <c r="E72" s="135"/>
      <c r="F72" s="135"/>
      <c r="G72" s="135"/>
      <c r="H72" s="135"/>
      <c r="I72" s="135"/>
      <c r="J72" s="135"/>
      <c r="K72" s="126"/>
      <c r="L72" s="127"/>
      <c r="M72" s="127"/>
      <c r="N72" s="127"/>
      <c r="O72" s="127"/>
      <c r="P72" s="127"/>
      <c r="Q72" s="127"/>
      <c r="R72" s="127"/>
      <c r="S72" s="127"/>
      <c r="T72" s="127"/>
      <c r="U72" s="127"/>
      <c r="V72" s="127"/>
      <c r="W72" s="127"/>
      <c r="X72" s="127"/>
      <c r="Y72" s="127"/>
      <c r="Z72" s="127"/>
      <c r="AA72" s="128"/>
      <c r="AB72" s="129"/>
      <c r="AC72" s="130"/>
      <c r="AD72" s="130"/>
      <c r="AE72" s="130"/>
      <c r="AF72" s="130"/>
      <c r="AG72" s="130"/>
      <c r="AH72" s="130"/>
      <c r="AI72" s="130"/>
      <c r="AJ72" s="130"/>
      <c r="AK72" s="130"/>
      <c r="AL72" s="130"/>
      <c r="AM72" s="131"/>
      <c r="AN72" s="132">
        <f t="shared" si="5"/>
        <v>0</v>
      </c>
      <c r="AO72" s="133"/>
      <c r="AP72" s="133"/>
      <c r="AQ72" s="133"/>
      <c r="AR72" s="133"/>
      <c r="AS72" s="133"/>
      <c r="AT72" s="133"/>
      <c r="AU72" s="133"/>
      <c r="AV72" s="133"/>
      <c r="AW72" s="134"/>
      <c r="AX72" s="124" t="str">
        <f>IF(AND(BG72&lt;3,BG72&lt;&gt;0),IF('page2 translations'!B30="English","Please complete entries in the required entry fields","Veuillez entrer les informations complétes dans les champs requis"),"")</f>
        <v/>
      </c>
      <c r="AY72" s="125"/>
      <c r="AZ72" s="125"/>
      <c r="BA72" s="125"/>
      <c r="BB72" s="125"/>
      <c r="BC72" s="125"/>
      <c r="BD72" s="10">
        <f t="shared" si="6"/>
        <v>1</v>
      </c>
      <c r="BE72" s="10">
        <f t="shared" si="10"/>
        <v>1</v>
      </c>
      <c r="BF72" s="10">
        <f t="shared" si="11"/>
        <v>1</v>
      </c>
      <c r="BG72" s="10">
        <f t="shared" si="12"/>
        <v>3</v>
      </c>
    </row>
    <row r="73" spans="1:59" ht="25.5" customHeight="1" x14ac:dyDescent="0.3">
      <c r="A73" s="83"/>
      <c r="B73" s="88">
        <v>26</v>
      </c>
      <c r="C73" s="135"/>
      <c r="D73" s="135"/>
      <c r="E73" s="135"/>
      <c r="F73" s="135"/>
      <c r="G73" s="135"/>
      <c r="H73" s="135"/>
      <c r="I73" s="135"/>
      <c r="J73" s="135"/>
      <c r="K73" s="126"/>
      <c r="L73" s="127"/>
      <c r="M73" s="127"/>
      <c r="N73" s="127"/>
      <c r="O73" s="127"/>
      <c r="P73" s="127"/>
      <c r="Q73" s="127"/>
      <c r="R73" s="127"/>
      <c r="S73" s="127"/>
      <c r="T73" s="127"/>
      <c r="U73" s="127"/>
      <c r="V73" s="127"/>
      <c r="W73" s="127"/>
      <c r="X73" s="127"/>
      <c r="Y73" s="127"/>
      <c r="Z73" s="127"/>
      <c r="AA73" s="128"/>
      <c r="AB73" s="129"/>
      <c r="AC73" s="130"/>
      <c r="AD73" s="130"/>
      <c r="AE73" s="130"/>
      <c r="AF73" s="130"/>
      <c r="AG73" s="130"/>
      <c r="AH73" s="130"/>
      <c r="AI73" s="130"/>
      <c r="AJ73" s="130"/>
      <c r="AK73" s="130"/>
      <c r="AL73" s="130"/>
      <c r="AM73" s="131"/>
      <c r="AN73" s="132">
        <f t="shared" si="5"/>
        <v>0</v>
      </c>
      <c r="AO73" s="133"/>
      <c r="AP73" s="133"/>
      <c r="AQ73" s="133"/>
      <c r="AR73" s="133"/>
      <c r="AS73" s="133"/>
      <c r="AT73" s="133"/>
      <c r="AU73" s="133"/>
      <c r="AV73" s="133"/>
      <c r="AW73" s="134"/>
      <c r="AX73" s="124" t="str">
        <f>IF(AND(BG73&lt;3,BG73&lt;&gt;0),IF('page2 translations'!B31="English","Please complete entries in the required entry fields","Veuillez entrer les informations complétes dans les champs requis"),"")</f>
        <v/>
      </c>
      <c r="AY73" s="125"/>
      <c r="AZ73" s="125"/>
      <c r="BA73" s="125"/>
      <c r="BB73" s="125"/>
      <c r="BC73" s="125"/>
      <c r="BD73" s="10">
        <f t="shared" si="6"/>
        <v>1</v>
      </c>
      <c r="BE73" s="10">
        <f t="shared" si="10"/>
        <v>1</v>
      </c>
      <c r="BF73" s="10">
        <f t="shared" si="11"/>
        <v>1</v>
      </c>
      <c r="BG73" s="10">
        <f t="shared" si="12"/>
        <v>3</v>
      </c>
    </row>
    <row r="74" spans="1:59" ht="25.5" customHeight="1" x14ac:dyDescent="0.3">
      <c r="A74" s="83"/>
      <c r="B74" s="88">
        <v>27</v>
      </c>
      <c r="C74" s="135"/>
      <c r="D74" s="135"/>
      <c r="E74" s="135"/>
      <c r="F74" s="135"/>
      <c r="G74" s="135"/>
      <c r="H74" s="135"/>
      <c r="I74" s="135"/>
      <c r="J74" s="135"/>
      <c r="K74" s="126"/>
      <c r="L74" s="127"/>
      <c r="M74" s="127"/>
      <c r="N74" s="127"/>
      <c r="O74" s="127"/>
      <c r="P74" s="127"/>
      <c r="Q74" s="127"/>
      <c r="R74" s="127"/>
      <c r="S74" s="127"/>
      <c r="T74" s="127"/>
      <c r="U74" s="127"/>
      <c r="V74" s="127"/>
      <c r="W74" s="127"/>
      <c r="X74" s="127"/>
      <c r="Y74" s="127"/>
      <c r="Z74" s="127"/>
      <c r="AA74" s="128"/>
      <c r="AB74" s="129"/>
      <c r="AC74" s="130"/>
      <c r="AD74" s="130"/>
      <c r="AE74" s="130"/>
      <c r="AF74" s="130"/>
      <c r="AG74" s="130"/>
      <c r="AH74" s="130"/>
      <c r="AI74" s="130"/>
      <c r="AJ74" s="130"/>
      <c r="AK74" s="130"/>
      <c r="AL74" s="130"/>
      <c r="AM74" s="131"/>
      <c r="AN74" s="132">
        <f t="shared" si="5"/>
        <v>0</v>
      </c>
      <c r="AO74" s="133"/>
      <c r="AP74" s="133"/>
      <c r="AQ74" s="133"/>
      <c r="AR74" s="133"/>
      <c r="AS74" s="133"/>
      <c r="AT74" s="133"/>
      <c r="AU74" s="133"/>
      <c r="AV74" s="133"/>
      <c r="AW74" s="134"/>
      <c r="AX74" s="124" t="str">
        <f>IF(AND(BG74&lt;3,BG74&lt;&gt;0),IF('page2 translations'!B32="English","Please complete entries in the required entry fields","Veuillez entrer les informations complétes dans les champs requis"),"")</f>
        <v/>
      </c>
      <c r="AY74" s="125"/>
      <c r="AZ74" s="125"/>
      <c r="BA74" s="125"/>
      <c r="BB74" s="125"/>
      <c r="BC74" s="125"/>
      <c r="BD74" s="10">
        <f t="shared" si="6"/>
        <v>1</v>
      </c>
      <c r="BE74" s="10">
        <f t="shared" si="10"/>
        <v>1</v>
      </c>
      <c r="BF74" s="10">
        <f t="shared" si="11"/>
        <v>1</v>
      </c>
      <c r="BG74" s="10">
        <f t="shared" si="12"/>
        <v>3</v>
      </c>
    </row>
    <row r="75" spans="1:59" ht="25.5" customHeight="1" x14ac:dyDescent="0.3">
      <c r="A75" s="83"/>
      <c r="B75" s="88">
        <v>28</v>
      </c>
      <c r="C75" s="135"/>
      <c r="D75" s="135"/>
      <c r="E75" s="135"/>
      <c r="F75" s="135"/>
      <c r="G75" s="135"/>
      <c r="H75" s="135"/>
      <c r="I75" s="135"/>
      <c r="J75" s="135"/>
      <c r="K75" s="126"/>
      <c r="L75" s="127"/>
      <c r="M75" s="127"/>
      <c r="N75" s="127"/>
      <c r="O75" s="127"/>
      <c r="P75" s="127"/>
      <c r="Q75" s="127"/>
      <c r="R75" s="127"/>
      <c r="S75" s="127"/>
      <c r="T75" s="127"/>
      <c r="U75" s="127"/>
      <c r="V75" s="127"/>
      <c r="W75" s="127"/>
      <c r="X75" s="127"/>
      <c r="Y75" s="127"/>
      <c r="Z75" s="127"/>
      <c r="AA75" s="128"/>
      <c r="AB75" s="129"/>
      <c r="AC75" s="130"/>
      <c r="AD75" s="130"/>
      <c r="AE75" s="130"/>
      <c r="AF75" s="130"/>
      <c r="AG75" s="130"/>
      <c r="AH75" s="130"/>
      <c r="AI75" s="130"/>
      <c r="AJ75" s="130"/>
      <c r="AK75" s="130"/>
      <c r="AL75" s="130"/>
      <c r="AM75" s="131"/>
      <c r="AN75" s="132">
        <f t="shared" si="5"/>
        <v>0</v>
      </c>
      <c r="AO75" s="133"/>
      <c r="AP75" s="133"/>
      <c r="AQ75" s="133"/>
      <c r="AR75" s="133"/>
      <c r="AS75" s="133"/>
      <c r="AT75" s="133"/>
      <c r="AU75" s="133"/>
      <c r="AV75" s="133"/>
      <c r="AW75" s="134"/>
      <c r="AX75" s="124" t="str">
        <f>IF(AND(BG75&lt;3,BG75&lt;&gt;0),IF('page2 translations'!B33="English","Please complete entries in the required entry fields","Veuillez entrer les informations complétes dans les champs requis"),"")</f>
        <v/>
      </c>
      <c r="AY75" s="125"/>
      <c r="AZ75" s="125"/>
      <c r="BA75" s="125"/>
      <c r="BB75" s="125"/>
      <c r="BC75" s="125"/>
      <c r="BD75" s="10">
        <f t="shared" si="6"/>
        <v>1</v>
      </c>
      <c r="BE75" s="10">
        <f t="shared" si="10"/>
        <v>1</v>
      </c>
      <c r="BF75" s="10">
        <f t="shared" si="11"/>
        <v>1</v>
      </c>
      <c r="BG75" s="10">
        <f t="shared" si="12"/>
        <v>3</v>
      </c>
    </row>
    <row r="76" spans="1:59" ht="25.5" customHeight="1" x14ac:dyDescent="0.3">
      <c r="A76" s="83"/>
      <c r="B76" s="88">
        <v>29</v>
      </c>
      <c r="C76" s="135"/>
      <c r="D76" s="135"/>
      <c r="E76" s="135"/>
      <c r="F76" s="135"/>
      <c r="G76" s="135"/>
      <c r="H76" s="135"/>
      <c r="I76" s="135"/>
      <c r="J76" s="135"/>
      <c r="K76" s="126"/>
      <c r="L76" s="127"/>
      <c r="M76" s="127"/>
      <c r="N76" s="127"/>
      <c r="O76" s="127"/>
      <c r="P76" s="127"/>
      <c r="Q76" s="127"/>
      <c r="R76" s="127"/>
      <c r="S76" s="127"/>
      <c r="T76" s="127"/>
      <c r="U76" s="127"/>
      <c r="V76" s="127"/>
      <c r="W76" s="127"/>
      <c r="X76" s="127"/>
      <c r="Y76" s="127"/>
      <c r="Z76" s="127"/>
      <c r="AA76" s="128"/>
      <c r="AB76" s="129"/>
      <c r="AC76" s="130"/>
      <c r="AD76" s="130"/>
      <c r="AE76" s="130"/>
      <c r="AF76" s="130"/>
      <c r="AG76" s="130"/>
      <c r="AH76" s="130"/>
      <c r="AI76" s="130"/>
      <c r="AJ76" s="130"/>
      <c r="AK76" s="130"/>
      <c r="AL76" s="130"/>
      <c r="AM76" s="131"/>
      <c r="AN76" s="132">
        <f t="shared" si="5"/>
        <v>0</v>
      </c>
      <c r="AO76" s="133"/>
      <c r="AP76" s="133"/>
      <c r="AQ76" s="133"/>
      <c r="AR76" s="133"/>
      <c r="AS76" s="133"/>
      <c r="AT76" s="133"/>
      <c r="AU76" s="133"/>
      <c r="AV76" s="133"/>
      <c r="AW76" s="134"/>
      <c r="AX76" s="124" t="str">
        <f>IF(AND(BG76&lt;3,BG76&lt;&gt;0),IF('page2 translations'!B34="English","Please complete entries in the required entry fields","Veuillez entrer les informations complétes dans les champs requis"),"")</f>
        <v/>
      </c>
      <c r="AY76" s="125"/>
      <c r="AZ76" s="125"/>
      <c r="BA76" s="125"/>
      <c r="BB76" s="125"/>
      <c r="BC76" s="125"/>
      <c r="BD76" s="10">
        <f t="shared" si="6"/>
        <v>1</v>
      </c>
      <c r="BE76" s="10">
        <f t="shared" si="10"/>
        <v>1</v>
      </c>
      <c r="BF76" s="10">
        <f t="shared" si="11"/>
        <v>1</v>
      </c>
      <c r="BG76" s="10">
        <f t="shared" si="12"/>
        <v>3</v>
      </c>
    </row>
    <row r="77" spans="1:59" ht="25.5" customHeight="1" x14ac:dyDescent="0.3">
      <c r="A77" s="83"/>
      <c r="B77" s="88">
        <v>30</v>
      </c>
      <c r="C77" s="135"/>
      <c r="D77" s="135"/>
      <c r="E77" s="135"/>
      <c r="F77" s="135"/>
      <c r="G77" s="135"/>
      <c r="H77" s="135"/>
      <c r="I77" s="135"/>
      <c r="J77" s="135"/>
      <c r="K77" s="126"/>
      <c r="L77" s="127"/>
      <c r="M77" s="127"/>
      <c r="N77" s="127"/>
      <c r="O77" s="127"/>
      <c r="P77" s="127"/>
      <c r="Q77" s="127"/>
      <c r="R77" s="127"/>
      <c r="S77" s="127"/>
      <c r="T77" s="127"/>
      <c r="U77" s="127"/>
      <c r="V77" s="127"/>
      <c r="W77" s="127"/>
      <c r="X77" s="127"/>
      <c r="Y77" s="127"/>
      <c r="Z77" s="127"/>
      <c r="AA77" s="128"/>
      <c r="AB77" s="129"/>
      <c r="AC77" s="130"/>
      <c r="AD77" s="130"/>
      <c r="AE77" s="130"/>
      <c r="AF77" s="130"/>
      <c r="AG77" s="130"/>
      <c r="AH77" s="130"/>
      <c r="AI77" s="130"/>
      <c r="AJ77" s="130"/>
      <c r="AK77" s="130"/>
      <c r="AL77" s="130"/>
      <c r="AM77" s="131"/>
      <c r="AN77" s="132">
        <f t="shared" si="5"/>
        <v>0</v>
      </c>
      <c r="AO77" s="133"/>
      <c r="AP77" s="133"/>
      <c r="AQ77" s="133"/>
      <c r="AR77" s="133"/>
      <c r="AS77" s="133"/>
      <c r="AT77" s="133"/>
      <c r="AU77" s="133"/>
      <c r="AV77" s="133"/>
      <c r="AW77" s="134"/>
      <c r="AX77" s="124" t="str">
        <f>IF(AND(BG77&lt;3,BG77&lt;&gt;0),IF('page2 translations'!B35="English","Please complete entries in the required entry fields","Veuillez entrer les informations complétes dans les champs requis"),"")</f>
        <v/>
      </c>
      <c r="AY77" s="125"/>
      <c r="AZ77" s="125"/>
      <c r="BA77" s="125"/>
      <c r="BB77" s="125"/>
      <c r="BC77" s="125"/>
      <c r="BD77" s="10">
        <f t="shared" si="6"/>
        <v>1</v>
      </c>
      <c r="BE77" s="10">
        <f t="shared" si="10"/>
        <v>1</v>
      </c>
      <c r="BF77" s="10">
        <f t="shared" si="11"/>
        <v>1</v>
      </c>
      <c r="BG77" s="10">
        <f t="shared" si="12"/>
        <v>3</v>
      </c>
    </row>
    <row r="78" spans="1:59" ht="25.5" customHeight="1" x14ac:dyDescent="0.3">
      <c r="A78" s="83"/>
      <c r="B78" s="88">
        <v>31</v>
      </c>
      <c r="C78" s="135"/>
      <c r="D78" s="135"/>
      <c r="E78" s="135"/>
      <c r="F78" s="135"/>
      <c r="G78" s="135"/>
      <c r="H78" s="135"/>
      <c r="I78" s="135"/>
      <c r="J78" s="135"/>
      <c r="K78" s="126"/>
      <c r="L78" s="127"/>
      <c r="M78" s="127"/>
      <c r="N78" s="127"/>
      <c r="O78" s="127"/>
      <c r="P78" s="127"/>
      <c r="Q78" s="127"/>
      <c r="R78" s="127"/>
      <c r="S78" s="127"/>
      <c r="T78" s="127"/>
      <c r="U78" s="127"/>
      <c r="V78" s="127"/>
      <c r="W78" s="127"/>
      <c r="X78" s="127"/>
      <c r="Y78" s="127"/>
      <c r="Z78" s="127"/>
      <c r="AA78" s="128"/>
      <c r="AB78" s="129"/>
      <c r="AC78" s="130"/>
      <c r="AD78" s="130"/>
      <c r="AE78" s="130"/>
      <c r="AF78" s="130"/>
      <c r="AG78" s="130"/>
      <c r="AH78" s="130"/>
      <c r="AI78" s="130"/>
      <c r="AJ78" s="130"/>
      <c r="AK78" s="130"/>
      <c r="AL78" s="130"/>
      <c r="AM78" s="131"/>
      <c r="AN78" s="132">
        <f t="shared" si="5"/>
        <v>0</v>
      </c>
      <c r="AO78" s="133"/>
      <c r="AP78" s="133"/>
      <c r="AQ78" s="133"/>
      <c r="AR78" s="133"/>
      <c r="AS78" s="133"/>
      <c r="AT78" s="133"/>
      <c r="AU78" s="133"/>
      <c r="AV78" s="133"/>
      <c r="AW78" s="134"/>
      <c r="AX78" s="124" t="str">
        <f>IF(AND(BG78&lt;3,BG78&lt;&gt;0),IF('page2 translations'!B36="English","Please complete entries in the required entry fields","Veuillez entrer les informations complétes dans les champs requis"),"")</f>
        <v/>
      </c>
      <c r="AY78" s="125"/>
      <c r="AZ78" s="125"/>
      <c r="BA78" s="125"/>
      <c r="BB78" s="125"/>
      <c r="BC78" s="125"/>
      <c r="BD78" s="10">
        <f t="shared" si="6"/>
        <v>1</v>
      </c>
      <c r="BE78" s="10">
        <f t="shared" si="10"/>
        <v>1</v>
      </c>
      <c r="BF78" s="10">
        <f t="shared" si="11"/>
        <v>1</v>
      </c>
      <c r="BG78" s="10">
        <f t="shared" si="12"/>
        <v>3</v>
      </c>
    </row>
    <row r="79" spans="1:59" ht="25.5" customHeight="1" x14ac:dyDescent="0.3">
      <c r="A79" s="83"/>
      <c r="B79" s="88">
        <v>32</v>
      </c>
      <c r="C79" s="135"/>
      <c r="D79" s="135"/>
      <c r="E79" s="135"/>
      <c r="F79" s="135"/>
      <c r="G79" s="135"/>
      <c r="H79" s="135"/>
      <c r="I79" s="135"/>
      <c r="J79" s="135"/>
      <c r="K79" s="126"/>
      <c r="L79" s="127"/>
      <c r="M79" s="127"/>
      <c r="N79" s="127"/>
      <c r="O79" s="127"/>
      <c r="P79" s="127"/>
      <c r="Q79" s="127"/>
      <c r="R79" s="127"/>
      <c r="S79" s="127"/>
      <c r="T79" s="127"/>
      <c r="U79" s="127"/>
      <c r="V79" s="127"/>
      <c r="W79" s="127"/>
      <c r="X79" s="127"/>
      <c r="Y79" s="127"/>
      <c r="Z79" s="127"/>
      <c r="AA79" s="128"/>
      <c r="AB79" s="129"/>
      <c r="AC79" s="130"/>
      <c r="AD79" s="130"/>
      <c r="AE79" s="130"/>
      <c r="AF79" s="130"/>
      <c r="AG79" s="130"/>
      <c r="AH79" s="130"/>
      <c r="AI79" s="130"/>
      <c r="AJ79" s="130"/>
      <c r="AK79" s="130"/>
      <c r="AL79" s="130"/>
      <c r="AM79" s="131"/>
      <c r="AN79" s="132">
        <f t="shared" si="5"/>
        <v>0</v>
      </c>
      <c r="AO79" s="133"/>
      <c r="AP79" s="133"/>
      <c r="AQ79" s="133"/>
      <c r="AR79" s="133"/>
      <c r="AS79" s="133"/>
      <c r="AT79" s="133"/>
      <c r="AU79" s="133"/>
      <c r="AV79" s="133"/>
      <c r="AW79" s="134"/>
      <c r="AX79" s="124" t="str">
        <f>IF(AND(BG79&lt;3,BG79&lt;&gt;0),IF('page2 translations'!B37="English","Please complete entries in the required entry fields","Veuillez entrer les informations complétes dans les champs requis"),"")</f>
        <v/>
      </c>
      <c r="AY79" s="125"/>
      <c r="AZ79" s="125"/>
      <c r="BA79" s="125"/>
      <c r="BB79" s="125"/>
      <c r="BC79" s="125"/>
      <c r="BD79" s="10">
        <f t="shared" si="6"/>
        <v>1</v>
      </c>
      <c r="BE79" s="10">
        <f t="shared" si="10"/>
        <v>1</v>
      </c>
      <c r="BF79" s="10">
        <f t="shared" si="11"/>
        <v>1</v>
      </c>
      <c r="BG79" s="10">
        <f t="shared" si="12"/>
        <v>3</v>
      </c>
    </row>
    <row r="80" spans="1:59" ht="25.5" customHeight="1" x14ac:dyDescent="0.3">
      <c r="A80" s="83"/>
      <c r="B80" s="88">
        <v>33</v>
      </c>
      <c r="C80" s="135"/>
      <c r="D80" s="135"/>
      <c r="E80" s="135"/>
      <c r="F80" s="135"/>
      <c r="G80" s="135"/>
      <c r="H80" s="135"/>
      <c r="I80" s="135"/>
      <c r="J80" s="135"/>
      <c r="K80" s="126"/>
      <c r="L80" s="127"/>
      <c r="M80" s="127"/>
      <c r="N80" s="127"/>
      <c r="O80" s="127"/>
      <c r="P80" s="127"/>
      <c r="Q80" s="127"/>
      <c r="R80" s="127"/>
      <c r="S80" s="127"/>
      <c r="T80" s="127"/>
      <c r="U80" s="127"/>
      <c r="V80" s="127"/>
      <c r="W80" s="127"/>
      <c r="X80" s="127"/>
      <c r="Y80" s="127"/>
      <c r="Z80" s="127"/>
      <c r="AA80" s="128"/>
      <c r="AB80" s="129"/>
      <c r="AC80" s="130"/>
      <c r="AD80" s="130"/>
      <c r="AE80" s="130"/>
      <c r="AF80" s="130"/>
      <c r="AG80" s="130"/>
      <c r="AH80" s="130"/>
      <c r="AI80" s="130"/>
      <c r="AJ80" s="130"/>
      <c r="AK80" s="130"/>
      <c r="AL80" s="130"/>
      <c r="AM80" s="131"/>
      <c r="AN80" s="132">
        <f t="shared" si="5"/>
        <v>0</v>
      </c>
      <c r="AO80" s="133"/>
      <c r="AP80" s="133"/>
      <c r="AQ80" s="133"/>
      <c r="AR80" s="133"/>
      <c r="AS80" s="133"/>
      <c r="AT80" s="133"/>
      <c r="AU80" s="133"/>
      <c r="AV80" s="133"/>
      <c r="AW80" s="134"/>
      <c r="AX80" s="124" t="str">
        <f>IF(AND(BG80&lt;3,BG80&lt;&gt;0),IF('page2 translations'!B38="English","Please complete entries in the required entry fields","Veuillez entrer les informations complétes dans les champs requis"),"")</f>
        <v/>
      </c>
      <c r="AY80" s="125"/>
      <c r="AZ80" s="125"/>
      <c r="BA80" s="125"/>
      <c r="BB80" s="125"/>
      <c r="BC80" s="125"/>
      <c r="BD80" s="10">
        <f t="shared" si="6"/>
        <v>1</v>
      </c>
      <c r="BE80" s="10">
        <f t="shared" si="10"/>
        <v>1</v>
      </c>
      <c r="BF80" s="10">
        <f t="shared" si="11"/>
        <v>1</v>
      </c>
      <c r="BG80" s="10">
        <f t="shared" si="12"/>
        <v>3</v>
      </c>
    </row>
    <row r="81" spans="1:59" ht="25.5" customHeight="1" x14ac:dyDescent="0.3">
      <c r="A81" s="83"/>
      <c r="B81" s="88">
        <v>34</v>
      </c>
      <c r="C81" s="135"/>
      <c r="D81" s="135"/>
      <c r="E81" s="135"/>
      <c r="F81" s="135"/>
      <c r="G81" s="135"/>
      <c r="H81" s="135"/>
      <c r="I81" s="135"/>
      <c r="J81" s="135"/>
      <c r="K81" s="126"/>
      <c r="L81" s="127"/>
      <c r="M81" s="127"/>
      <c r="N81" s="127"/>
      <c r="O81" s="127"/>
      <c r="P81" s="127"/>
      <c r="Q81" s="127"/>
      <c r="R81" s="127"/>
      <c r="S81" s="127"/>
      <c r="T81" s="127"/>
      <c r="U81" s="127"/>
      <c r="V81" s="127"/>
      <c r="W81" s="127"/>
      <c r="X81" s="127"/>
      <c r="Y81" s="127"/>
      <c r="Z81" s="127"/>
      <c r="AA81" s="128"/>
      <c r="AB81" s="129"/>
      <c r="AC81" s="130"/>
      <c r="AD81" s="130"/>
      <c r="AE81" s="130"/>
      <c r="AF81" s="130"/>
      <c r="AG81" s="130"/>
      <c r="AH81" s="130"/>
      <c r="AI81" s="130"/>
      <c r="AJ81" s="130"/>
      <c r="AK81" s="130"/>
      <c r="AL81" s="130"/>
      <c r="AM81" s="131"/>
      <c r="AN81" s="132">
        <f t="shared" si="5"/>
        <v>0</v>
      </c>
      <c r="AO81" s="133"/>
      <c r="AP81" s="133"/>
      <c r="AQ81" s="133"/>
      <c r="AR81" s="133"/>
      <c r="AS81" s="133"/>
      <c r="AT81" s="133"/>
      <c r="AU81" s="133"/>
      <c r="AV81" s="133"/>
      <c r="AW81" s="134"/>
      <c r="AX81" s="124" t="str">
        <f>IF(AND(BG81&lt;3,BG81&lt;&gt;0),IF('page2 translations'!B39="English","Please complete entries in the required entry fields","Veuillez entrer les informations complétes dans les champs requis"),"")</f>
        <v/>
      </c>
      <c r="AY81" s="125"/>
      <c r="AZ81" s="125"/>
      <c r="BA81" s="125"/>
      <c r="BB81" s="125"/>
      <c r="BC81" s="125"/>
      <c r="BD81" s="10">
        <f t="shared" si="6"/>
        <v>1</v>
      </c>
      <c r="BE81" s="10">
        <f t="shared" si="10"/>
        <v>1</v>
      </c>
      <c r="BF81" s="10">
        <f t="shared" si="11"/>
        <v>1</v>
      </c>
      <c r="BG81" s="10">
        <f t="shared" si="12"/>
        <v>3</v>
      </c>
    </row>
    <row r="82" spans="1:59" ht="25.5" customHeight="1" x14ac:dyDescent="0.3">
      <c r="A82" s="83"/>
      <c r="B82" s="88">
        <v>35</v>
      </c>
      <c r="C82" s="135"/>
      <c r="D82" s="135"/>
      <c r="E82" s="135"/>
      <c r="F82" s="135"/>
      <c r="G82" s="135"/>
      <c r="H82" s="135"/>
      <c r="I82" s="135"/>
      <c r="J82" s="135"/>
      <c r="K82" s="126"/>
      <c r="L82" s="127"/>
      <c r="M82" s="127"/>
      <c r="N82" s="127"/>
      <c r="O82" s="127"/>
      <c r="P82" s="127"/>
      <c r="Q82" s="127"/>
      <c r="R82" s="127"/>
      <c r="S82" s="127"/>
      <c r="T82" s="127"/>
      <c r="U82" s="127"/>
      <c r="V82" s="127"/>
      <c r="W82" s="127"/>
      <c r="X82" s="127"/>
      <c r="Y82" s="127"/>
      <c r="Z82" s="127"/>
      <c r="AA82" s="128"/>
      <c r="AB82" s="129"/>
      <c r="AC82" s="130"/>
      <c r="AD82" s="130"/>
      <c r="AE82" s="130"/>
      <c r="AF82" s="130"/>
      <c r="AG82" s="130"/>
      <c r="AH82" s="130"/>
      <c r="AI82" s="130"/>
      <c r="AJ82" s="130"/>
      <c r="AK82" s="130"/>
      <c r="AL82" s="130"/>
      <c r="AM82" s="131"/>
      <c r="AN82" s="132">
        <f t="shared" si="5"/>
        <v>0</v>
      </c>
      <c r="AO82" s="133"/>
      <c r="AP82" s="133"/>
      <c r="AQ82" s="133"/>
      <c r="AR82" s="133"/>
      <c r="AS82" s="133"/>
      <c r="AT82" s="133"/>
      <c r="AU82" s="133"/>
      <c r="AV82" s="133"/>
      <c r="AW82" s="134"/>
      <c r="AX82" s="124" t="str">
        <f>IF(AND(BG82&lt;3,BG82&lt;&gt;0),IF('page2 translations'!B40="English","Please complete entries in the required entry fields","Veuillez entrer les informations complétes dans les champs requis"),"")</f>
        <v/>
      </c>
      <c r="AY82" s="125"/>
      <c r="AZ82" s="125"/>
      <c r="BA82" s="125"/>
      <c r="BB82" s="125"/>
      <c r="BC82" s="125"/>
      <c r="BD82" s="10">
        <f t="shared" si="6"/>
        <v>1</v>
      </c>
      <c r="BE82" s="10">
        <f t="shared" si="10"/>
        <v>1</v>
      </c>
      <c r="BF82" s="10">
        <f t="shared" si="11"/>
        <v>1</v>
      </c>
      <c r="BG82" s="10">
        <f t="shared" si="12"/>
        <v>3</v>
      </c>
    </row>
    <row r="83" spans="1:59" ht="15" customHeight="1" x14ac:dyDescent="0.3">
      <c r="A83" s="83"/>
      <c r="B83" s="83"/>
      <c r="C83" s="138" t="str">
        <f>'page2 translations'!B13</f>
        <v>TOTAL DUE</v>
      </c>
      <c r="D83" s="139"/>
      <c r="E83" s="139"/>
      <c r="F83" s="139"/>
      <c r="G83" s="139"/>
      <c r="H83" s="139"/>
      <c r="I83" s="139"/>
      <c r="J83" s="139"/>
      <c r="K83" s="139"/>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139"/>
      <c r="AI83" s="139"/>
      <c r="AJ83" s="139"/>
      <c r="AK83" s="139"/>
      <c r="AL83" s="139"/>
      <c r="AM83" s="140"/>
      <c r="AN83" s="218">
        <f>SUM(AN43:AW82)</f>
        <v>0</v>
      </c>
      <c r="AO83" s="219"/>
      <c r="AP83" s="219"/>
      <c r="AQ83" s="219"/>
      <c r="AR83" s="219"/>
      <c r="AS83" s="219"/>
      <c r="AT83" s="219"/>
      <c r="AU83" s="219"/>
      <c r="AV83" s="219"/>
      <c r="AW83" s="220"/>
      <c r="AZ83" s="10"/>
    </row>
    <row r="84" spans="1:59" ht="8.25" customHeight="1" x14ac:dyDescent="0.3">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83"/>
      <c r="AZ84" s="83"/>
      <c r="BA84" s="83"/>
      <c r="BB84" s="83"/>
    </row>
    <row r="85" spans="1:59" ht="15" customHeight="1" x14ac:dyDescent="0.3">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83"/>
      <c r="AZ85" s="83"/>
      <c r="BA85" s="83"/>
      <c r="BB85" s="83"/>
    </row>
    <row r="86" spans="1:59" ht="8.25" customHeight="1" x14ac:dyDescent="0.3">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83"/>
      <c r="AZ86" s="83"/>
      <c r="BA86" s="83"/>
      <c r="BB86" s="83"/>
    </row>
    <row r="87" spans="1:59" ht="18" x14ac:dyDescent="0.25">
      <c r="B87" s="163" t="str">
        <f>'page4 translations'!B6</f>
        <v>Important Information</v>
      </c>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c r="AA87" s="164"/>
      <c r="AB87" s="164"/>
      <c r="AC87" s="164"/>
      <c r="AD87" s="164"/>
      <c r="AE87" s="164"/>
      <c r="AF87" s="164"/>
      <c r="AG87" s="164"/>
      <c r="AH87" s="164"/>
      <c r="AI87" s="164"/>
      <c r="AJ87" s="164"/>
      <c r="AK87" s="164"/>
      <c r="AL87" s="164"/>
      <c r="AM87" s="164"/>
      <c r="AN87" s="164"/>
      <c r="AO87" s="164"/>
      <c r="AP87" s="164"/>
      <c r="AQ87" s="164"/>
      <c r="AR87" s="164"/>
      <c r="AS87" s="164"/>
      <c r="AT87" s="164"/>
      <c r="AU87" s="164"/>
      <c r="AV87" s="164"/>
      <c r="AW87" s="164"/>
      <c r="AX87" s="164"/>
      <c r="AY87" s="164"/>
      <c r="AZ87" s="164"/>
      <c r="BA87" s="164"/>
    </row>
    <row r="88" spans="1:59" ht="16.5" x14ac:dyDescent="0.25">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3"/>
      <c r="BA88" s="32"/>
      <c r="BB88" s="34"/>
    </row>
    <row r="89" spans="1:59" ht="15.75" x14ac:dyDescent="0.25">
      <c r="B89" s="56" t="str">
        <f>'page4 translations'!B17</f>
        <v>Where does you license fee go?</v>
      </c>
      <c r="T89" s="32"/>
      <c r="U89" s="32"/>
      <c r="V89" s="32"/>
      <c r="W89" s="192" t="str">
        <f>'page4 translations'!B7</f>
        <v xml:space="preserve">SOCAN is a not-for-profit, member-based organization that represents the Canadian performing rights of more than three-million Canadian and international music creators and publishers. SOCAN is proud to play a leading role in supporting the long-term success of its more than 110,000 Canadian members, and the Canadian music industry overall. SOCAN licenses more than 125,000 businesses in Canada, and distributes royalties to its members and music rights organizations around the world. SOCAN also distributes royalties to its members for the use of their music internationally in collaboration with its peer societies. </v>
      </c>
      <c r="X89" s="193"/>
      <c r="Y89" s="193"/>
      <c r="Z89" s="193"/>
      <c r="AA89" s="193"/>
      <c r="AB89" s="193"/>
      <c r="AC89" s="193"/>
      <c r="AD89" s="193"/>
      <c r="AE89" s="193"/>
      <c r="AF89" s="193"/>
      <c r="AG89" s="193"/>
      <c r="AH89" s="193"/>
      <c r="AI89" s="193"/>
      <c r="AJ89" s="193"/>
      <c r="AK89" s="193"/>
      <c r="AL89" s="193"/>
      <c r="AM89" s="193"/>
      <c r="AN89" s="193"/>
      <c r="AO89" s="193"/>
      <c r="AP89" s="193"/>
      <c r="AQ89" s="193"/>
      <c r="AR89" s="193"/>
      <c r="AS89" s="193"/>
      <c r="AT89" s="193"/>
      <c r="AU89" s="193"/>
      <c r="AV89" s="193"/>
      <c r="AW89" s="193"/>
      <c r="AX89" s="193"/>
      <c r="AY89" s="193"/>
      <c r="AZ89" s="193"/>
      <c r="BA89" s="193"/>
      <c r="BB89" s="193"/>
    </row>
    <row r="90" spans="1:59" x14ac:dyDescent="0.25">
      <c r="T90" s="32"/>
      <c r="U90" s="32"/>
      <c r="V90" s="32"/>
      <c r="W90" s="193"/>
      <c r="X90" s="193"/>
      <c r="Y90" s="193"/>
      <c r="Z90" s="193"/>
      <c r="AA90" s="193"/>
      <c r="AB90" s="193"/>
      <c r="AC90" s="193"/>
      <c r="AD90" s="193"/>
      <c r="AE90" s="193"/>
      <c r="AF90" s="193"/>
      <c r="AG90" s="193"/>
      <c r="AH90" s="193"/>
      <c r="AI90" s="193"/>
      <c r="AJ90" s="193"/>
      <c r="AK90" s="193"/>
      <c r="AL90" s="193"/>
      <c r="AM90" s="193"/>
      <c r="AN90" s="193"/>
      <c r="AO90" s="193"/>
      <c r="AP90" s="193"/>
      <c r="AQ90" s="193"/>
      <c r="AR90" s="193"/>
      <c r="AS90" s="193"/>
      <c r="AT90" s="193"/>
      <c r="AU90" s="193"/>
      <c r="AV90" s="193"/>
      <c r="AW90" s="193"/>
      <c r="AX90" s="193"/>
      <c r="AY90" s="193"/>
      <c r="AZ90" s="193"/>
      <c r="BA90" s="193"/>
      <c r="BB90" s="193"/>
    </row>
    <row r="91" spans="1:59" x14ac:dyDescent="0.25">
      <c r="B91" s="82" t="str">
        <f>'page4 translations'!B18</f>
        <v>2011 royalties distribution</v>
      </c>
      <c r="C91" s="82"/>
      <c r="D91" s="82"/>
      <c r="E91" s="82"/>
      <c r="F91" s="82"/>
      <c r="G91" s="82"/>
      <c r="H91" s="82"/>
      <c r="I91" s="82"/>
      <c r="J91" s="82"/>
      <c r="T91" s="32"/>
      <c r="U91" s="32"/>
      <c r="V91" s="32"/>
      <c r="W91" s="193"/>
      <c r="X91" s="193"/>
      <c r="Y91" s="193"/>
      <c r="Z91" s="193"/>
      <c r="AA91" s="193"/>
      <c r="AB91" s="193"/>
      <c r="AC91" s="193"/>
      <c r="AD91" s="193"/>
      <c r="AE91" s="193"/>
      <c r="AF91" s="193"/>
      <c r="AG91" s="193"/>
      <c r="AH91" s="193"/>
      <c r="AI91" s="193"/>
      <c r="AJ91" s="193"/>
      <c r="AK91" s="193"/>
      <c r="AL91" s="193"/>
      <c r="AM91" s="193"/>
      <c r="AN91" s="193"/>
      <c r="AO91" s="193"/>
      <c r="AP91" s="193"/>
      <c r="AQ91" s="193"/>
      <c r="AR91" s="193"/>
      <c r="AS91" s="193"/>
      <c r="AT91" s="193"/>
      <c r="AU91" s="193"/>
      <c r="AV91" s="193"/>
      <c r="AW91" s="193"/>
      <c r="AX91" s="193"/>
      <c r="AY91" s="193"/>
      <c r="AZ91" s="193"/>
      <c r="BA91" s="193"/>
      <c r="BB91" s="193"/>
    </row>
    <row r="92" spans="1:59" ht="18" customHeight="1" x14ac:dyDescent="0.25">
      <c r="B92" s="82" t="str">
        <f>'page4 translations'!B19</f>
        <v>Operating costs</v>
      </c>
      <c r="C92" s="82"/>
      <c r="D92" s="82"/>
      <c r="E92" s="82"/>
      <c r="F92" s="82"/>
      <c r="G92" s="82"/>
      <c r="H92" s="82"/>
      <c r="I92" s="82"/>
      <c r="J92" s="82"/>
      <c r="T92" s="32"/>
      <c r="U92" s="32"/>
      <c r="V92" s="32"/>
      <c r="W92" s="193"/>
      <c r="X92" s="193"/>
      <c r="Y92" s="193"/>
      <c r="Z92" s="193"/>
      <c r="AA92" s="193"/>
      <c r="AB92" s="193"/>
      <c r="AC92" s="193"/>
      <c r="AD92" s="193"/>
      <c r="AE92" s="193"/>
      <c r="AF92" s="193"/>
      <c r="AG92" s="193"/>
      <c r="AH92" s="193"/>
      <c r="AI92" s="193"/>
      <c r="AJ92" s="193"/>
      <c r="AK92" s="193"/>
      <c r="AL92" s="193"/>
      <c r="AM92" s="193"/>
      <c r="AN92" s="193"/>
      <c r="AO92" s="193"/>
      <c r="AP92" s="193"/>
      <c r="AQ92" s="193"/>
      <c r="AR92" s="193"/>
      <c r="AS92" s="193"/>
      <c r="AT92" s="193"/>
      <c r="AU92" s="193"/>
      <c r="AV92" s="193"/>
      <c r="AW92" s="193"/>
      <c r="AX92" s="193"/>
      <c r="AY92" s="193"/>
      <c r="AZ92" s="193"/>
      <c r="BA92" s="193"/>
      <c r="BB92" s="193"/>
    </row>
    <row r="93" spans="1:59" x14ac:dyDescent="0.25">
      <c r="T93" s="32"/>
      <c r="U93" s="32"/>
      <c r="V93" s="32"/>
      <c r="W93" s="193"/>
      <c r="X93" s="193"/>
      <c r="Y93" s="193"/>
      <c r="Z93" s="193"/>
      <c r="AA93" s="193"/>
      <c r="AB93" s="193"/>
      <c r="AC93" s="193"/>
      <c r="AD93" s="193"/>
      <c r="AE93" s="193"/>
      <c r="AF93" s="193"/>
      <c r="AG93" s="193"/>
      <c r="AH93" s="193"/>
      <c r="AI93" s="193"/>
      <c r="AJ93" s="193"/>
      <c r="AK93" s="193"/>
      <c r="AL93" s="193"/>
      <c r="AM93" s="193"/>
      <c r="AN93" s="193"/>
      <c r="AO93" s="193"/>
      <c r="AP93" s="193"/>
      <c r="AQ93" s="193"/>
      <c r="AR93" s="193"/>
      <c r="AS93" s="193"/>
      <c r="AT93" s="193"/>
      <c r="AU93" s="193"/>
      <c r="AV93" s="193"/>
      <c r="AW93" s="193"/>
      <c r="AX93" s="193"/>
      <c r="AY93" s="193"/>
      <c r="AZ93" s="193"/>
      <c r="BA93" s="193"/>
      <c r="BB93" s="193"/>
    </row>
    <row r="94" spans="1:59" x14ac:dyDescent="0.25">
      <c r="T94" s="32"/>
      <c r="U94" s="32"/>
      <c r="V94" s="32"/>
      <c r="W94" s="193"/>
      <c r="X94" s="193"/>
      <c r="Y94" s="193"/>
      <c r="Z94" s="193"/>
      <c r="AA94" s="193"/>
      <c r="AB94" s="193"/>
      <c r="AC94" s="193"/>
      <c r="AD94" s="193"/>
      <c r="AE94" s="193"/>
      <c r="AF94" s="193"/>
      <c r="AG94" s="193"/>
      <c r="AH94" s="193"/>
      <c r="AI94" s="193"/>
      <c r="AJ94" s="193"/>
      <c r="AK94" s="193"/>
      <c r="AL94" s="193"/>
      <c r="AM94" s="193"/>
      <c r="AN94" s="193"/>
      <c r="AO94" s="193"/>
      <c r="AP94" s="193"/>
      <c r="AQ94" s="193"/>
      <c r="AR94" s="193"/>
      <c r="AS94" s="193"/>
      <c r="AT94" s="193"/>
      <c r="AU94" s="193"/>
      <c r="AV94" s="193"/>
      <c r="AW94" s="193"/>
      <c r="AX94" s="193"/>
      <c r="AY94" s="193"/>
      <c r="AZ94" s="193"/>
      <c r="BA94" s="193"/>
      <c r="BB94" s="193"/>
    </row>
    <row r="95" spans="1:59" x14ac:dyDescent="0.25">
      <c r="W95" s="193"/>
      <c r="X95" s="193"/>
      <c r="Y95" s="193"/>
      <c r="Z95" s="193"/>
      <c r="AA95" s="193"/>
      <c r="AB95" s="193"/>
      <c r="AC95" s="193"/>
      <c r="AD95" s="193"/>
      <c r="AE95" s="193"/>
      <c r="AF95" s="193"/>
      <c r="AG95" s="193"/>
      <c r="AH95" s="193"/>
      <c r="AI95" s="193"/>
      <c r="AJ95" s="193"/>
      <c r="AK95" s="193"/>
      <c r="AL95" s="193"/>
      <c r="AM95" s="193"/>
      <c r="AN95" s="193"/>
      <c r="AO95" s="193"/>
      <c r="AP95" s="193"/>
      <c r="AQ95" s="193"/>
      <c r="AR95" s="193"/>
      <c r="AS95" s="193"/>
      <c r="AT95" s="193"/>
      <c r="AU95" s="193"/>
      <c r="AV95" s="193"/>
      <c r="AW95" s="193"/>
      <c r="AX95" s="193"/>
      <c r="AY95" s="193"/>
      <c r="AZ95" s="193"/>
      <c r="BA95" s="193"/>
      <c r="BB95" s="193"/>
    </row>
    <row r="96" spans="1:59" x14ac:dyDescent="0.25">
      <c r="W96" s="193"/>
      <c r="X96" s="193"/>
      <c r="Y96" s="193"/>
      <c r="Z96" s="193"/>
      <c r="AA96" s="193"/>
      <c r="AB96" s="193"/>
      <c r="AC96" s="193"/>
      <c r="AD96" s="193"/>
      <c r="AE96" s="193"/>
      <c r="AF96" s="193"/>
      <c r="AG96" s="193"/>
      <c r="AH96" s="193"/>
      <c r="AI96" s="193"/>
      <c r="AJ96" s="193"/>
      <c r="AK96" s="193"/>
      <c r="AL96" s="193"/>
      <c r="AM96" s="193"/>
      <c r="AN96" s="193"/>
      <c r="AO96" s="193"/>
      <c r="AP96" s="193"/>
      <c r="AQ96" s="193"/>
      <c r="AR96" s="193"/>
      <c r="AS96" s="193"/>
      <c r="AT96" s="193"/>
      <c r="AU96" s="193"/>
      <c r="AV96" s="193"/>
      <c r="AW96" s="193"/>
      <c r="AX96" s="193"/>
      <c r="AY96" s="193"/>
      <c r="AZ96" s="193"/>
      <c r="BA96" s="193"/>
      <c r="BB96" s="193"/>
    </row>
    <row r="97" spans="1:54" ht="15.75" x14ac:dyDescent="0.25">
      <c r="B97" s="35"/>
      <c r="C97" s="36"/>
      <c r="D97" s="36"/>
      <c r="E97" s="36"/>
      <c r="F97" s="36"/>
      <c r="G97" s="36"/>
      <c r="H97" s="36"/>
      <c r="I97" s="36"/>
      <c r="J97" s="36"/>
      <c r="K97" s="36"/>
      <c r="L97" s="36"/>
      <c r="M97" s="36"/>
      <c r="N97" s="36"/>
      <c r="O97" s="36"/>
      <c r="P97" s="36"/>
      <c r="Q97" s="36"/>
      <c r="R97" s="36"/>
      <c r="S97" s="36"/>
      <c r="T97" s="36"/>
      <c r="U97" s="36"/>
      <c r="V97" s="36"/>
      <c r="W97" s="193"/>
      <c r="X97" s="193"/>
      <c r="Y97" s="193"/>
      <c r="Z97" s="193"/>
      <c r="AA97" s="193"/>
      <c r="AB97" s="193"/>
      <c r="AC97" s="193"/>
      <c r="AD97" s="193"/>
      <c r="AE97" s="193"/>
      <c r="AF97" s="193"/>
      <c r="AG97" s="193"/>
      <c r="AH97" s="193"/>
      <c r="AI97" s="193"/>
      <c r="AJ97" s="193"/>
      <c r="AK97" s="193"/>
      <c r="AL97" s="193"/>
      <c r="AM97" s="193"/>
      <c r="AN97" s="193"/>
      <c r="AO97" s="193"/>
      <c r="AP97" s="193"/>
      <c r="AQ97" s="193"/>
      <c r="AR97" s="193"/>
      <c r="AS97" s="193"/>
      <c r="AT97" s="193"/>
      <c r="AU97" s="193"/>
      <c r="AV97" s="193"/>
      <c r="AW97" s="193"/>
      <c r="AX97" s="193"/>
      <c r="AY97" s="193"/>
      <c r="AZ97" s="193"/>
      <c r="BA97" s="193"/>
      <c r="BB97" s="193"/>
    </row>
    <row r="98" spans="1:54" ht="16.5" x14ac:dyDescent="0.3">
      <c r="A98" s="194" t="str">
        <f>'page4 translations'!B8</f>
        <v xml:space="preserve">Terms &amp; Conditions </v>
      </c>
      <c r="B98" s="195"/>
      <c r="C98" s="195"/>
      <c r="D98" s="195"/>
      <c r="E98" s="195"/>
      <c r="F98" s="195"/>
      <c r="G98" s="195"/>
      <c r="H98" s="195"/>
      <c r="I98" s="195"/>
      <c r="J98" s="195"/>
      <c r="K98" s="195"/>
      <c r="L98" s="195"/>
      <c r="M98" s="195"/>
      <c r="N98" s="195"/>
      <c r="O98" s="195"/>
      <c r="P98" s="195"/>
      <c r="Q98" s="81"/>
      <c r="R98" s="81"/>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7"/>
      <c r="BA98" s="36"/>
    </row>
    <row r="99" spans="1:54"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9"/>
      <c r="BA99" s="38"/>
    </row>
    <row r="100" spans="1:54" x14ac:dyDescent="0.25">
      <c r="A100" s="175" t="str">
        <f>'page4 translations'!B9</f>
        <v>The legal terms that govern your licence include those set out herein as well as those found in the approved tariff including the General Provisions, as approved by the Copyright Board of Canada for each year (collectively, the “tariff”). If you have any questions regarding the terms, please contact us.</v>
      </c>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5"/>
      <c r="AK100" s="175"/>
      <c r="AL100" s="175"/>
      <c r="AM100" s="175"/>
      <c r="AN100" s="175"/>
      <c r="AO100" s="175"/>
      <c r="AP100" s="175"/>
      <c r="AQ100" s="175"/>
      <c r="AR100" s="175"/>
      <c r="AS100" s="175"/>
      <c r="AT100" s="175"/>
      <c r="AU100" s="175"/>
      <c r="AV100" s="175"/>
      <c r="AW100" s="175"/>
      <c r="AX100" s="175"/>
      <c r="AY100" s="175"/>
      <c r="AZ100" s="175"/>
      <c r="BA100" s="175"/>
      <c r="BB100" s="175"/>
    </row>
    <row r="101" spans="1:54" ht="18" customHeight="1" x14ac:dyDescent="0.25">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175"/>
      <c r="AQ101" s="175"/>
      <c r="AR101" s="175"/>
      <c r="AS101" s="175"/>
      <c r="AT101" s="175"/>
      <c r="AU101" s="175"/>
      <c r="AV101" s="175"/>
      <c r="AW101" s="175"/>
      <c r="AX101" s="175"/>
      <c r="AY101" s="175"/>
      <c r="AZ101" s="175"/>
      <c r="BA101" s="175"/>
      <c r="BB101" s="175"/>
    </row>
    <row r="102" spans="1:54" x14ac:dyDescent="0.25">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row>
    <row r="103" spans="1:54" ht="15.75" x14ac:dyDescent="0.25">
      <c r="A103" s="40">
        <v>1</v>
      </c>
      <c r="B103" s="81"/>
      <c r="C103" s="176" t="str">
        <f>'page4 translations'!B10</f>
        <v>In this form, you, your and licensee means the person or company applying for a licence or filing an annual report. We, our, us and SOCAN means the Society of Composers, Authors and Music Publishers of Canada. Works means any or all of the musical works in SOCAN’s repertoire.</v>
      </c>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c r="AA103" s="177"/>
      <c r="AB103" s="177"/>
      <c r="AC103" s="177"/>
      <c r="AD103" s="177"/>
      <c r="AE103" s="177"/>
      <c r="AF103" s="177"/>
      <c r="AG103" s="177"/>
      <c r="AH103" s="177"/>
      <c r="AI103" s="177"/>
      <c r="AJ103" s="177"/>
      <c r="AK103" s="177"/>
      <c r="AL103" s="177"/>
      <c r="AM103" s="177"/>
      <c r="AN103" s="177"/>
      <c r="AO103" s="177"/>
      <c r="AP103" s="177"/>
      <c r="AQ103" s="177"/>
      <c r="AR103" s="177"/>
      <c r="AS103" s="177"/>
      <c r="AT103" s="177"/>
      <c r="AU103" s="177"/>
      <c r="AV103" s="177"/>
      <c r="AW103" s="177"/>
      <c r="AX103" s="177"/>
      <c r="AY103" s="177"/>
      <c r="AZ103" s="177"/>
      <c r="BA103" s="177"/>
      <c r="BB103" s="177"/>
    </row>
    <row r="104" spans="1:54" ht="15.75" x14ac:dyDescent="0.25">
      <c r="A104" s="40"/>
      <c r="B104" s="41"/>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c r="AA104" s="177"/>
      <c r="AB104" s="177"/>
      <c r="AC104" s="177"/>
      <c r="AD104" s="177"/>
      <c r="AE104" s="177"/>
      <c r="AF104" s="177"/>
      <c r="AG104" s="177"/>
      <c r="AH104" s="177"/>
      <c r="AI104" s="177"/>
      <c r="AJ104" s="177"/>
      <c r="AK104" s="177"/>
      <c r="AL104" s="177"/>
      <c r="AM104" s="177"/>
      <c r="AN104" s="177"/>
      <c r="AO104" s="177"/>
      <c r="AP104" s="177"/>
      <c r="AQ104" s="177"/>
      <c r="AR104" s="177"/>
      <c r="AS104" s="177"/>
      <c r="AT104" s="177"/>
      <c r="AU104" s="177"/>
      <c r="AV104" s="177"/>
      <c r="AW104" s="177"/>
      <c r="AX104" s="177"/>
      <c r="AY104" s="177"/>
      <c r="AZ104" s="177"/>
      <c r="BA104" s="177"/>
      <c r="BB104" s="177"/>
    </row>
    <row r="105" spans="1:54" ht="11.25" customHeight="1" x14ac:dyDescent="0.25">
      <c r="A105" s="40"/>
      <c r="B105" s="41"/>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3"/>
      <c r="BA105" s="42"/>
    </row>
    <row r="106" spans="1:54" ht="15.75" x14ac:dyDescent="0.25">
      <c r="A106" s="40">
        <v>2</v>
      </c>
      <c r="B106" s="44"/>
      <c r="C106" s="178" t="str">
        <f>'page4 translations'!B11</f>
        <v>A copy of any SOCAN tariff may be obtained by emailing licence@socan.ca or calling 1.866.944.6223.</v>
      </c>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c r="AA106" s="178"/>
      <c r="AB106" s="178"/>
      <c r="AC106" s="178"/>
      <c r="AD106" s="178"/>
      <c r="AE106" s="178"/>
      <c r="AF106" s="178"/>
      <c r="AG106" s="178"/>
      <c r="AH106" s="178"/>
      <c r="AI106" s="178"/>
      <c r="AJ106" s="178"/>
      <c r="AK106" s="178"/>
      <c r="AL106" s="178"/>
      <c r="AM106" s="178"/>
      <c r="AN106" s="178"/>
      <c r="AO106" s="178"/>
      <c r="AP106" s="178"/>
      <c r="AQ106" s="178"/>
      <c r="AR106" s="178"/>
      <c r="AS106" s="178"/>
      <c r="AT106" s="178"/>
      <c r="AU106" s="178"/>
      <c r="AV106" s="178"/>
      <c r="AW106" s="178"/>
      <c r="AX106" s="178"/>
      <c r="AY106" s="178"/>
      <c r="AZ106" s="178"/>
      <c r="BA106" s="178"/>
      <c r="BB106" s="178"/>
    </row>
    <row r="107" spans="1:54" ht="16.5" x14ac:dyDescent="0.25">
      <c r="A107" s="45"/>
      <c r="B107" s="41"/>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3"/>
      <c r="BA107" s="42"/>
    </row>
    <row r="108" spans="1:54" ht="15.75" x14ac:dyDescent="0.25">
      <c r="A108" s="40">
        <v>3</v>
      </c>
      <c r="B108" s="44"/>
      <c r="C108" s="161" t="str">
        <f>'page4 translations'!B12</f>
        <v>If the tariff for a year has not been approved by January 1st of that year, the last approved tariff will govern until the new tariff is approved, at which time the licence fees will be adjusted to reflect the approved tariff for the year.</v>
      </c>
      <c r="D108" s="162"/>
      <c r="E108" s="162"/>
      <c r="F108" s="162"/>
      <c r="G108" s="162"/>
      <c r="H108" s="162"/>
      <c r="I108" s="162"/>
      <c r="J108" s="162"/>
      <c r="K108" s="162"/>
      <c r="L108" s="162"/>
      <c r="M108" s="162"/>
      <c r="N108" s="162"/>
      <c r="O108" s="162"/>
      <c r="P108" s="162"/>
      <c r="Q108" s="162"/>
      <c r="R108" s="162"/>
      <c r="S108" s="162"/>
      <c r="T108" s="162"/>
      <c r="U108" s="162"/>
      <c r="V108" s="162"/>
      <c r="W108" s="162"/>
      <c r="X108" s="162"/>
      <c r="Y108" s="162"/>
      <c r="Z108" s="162"/>
      <c r="AA108" s="162"/>
      <c r="AB108" s="162"/>
      <c r="AC108" s="162"/>
      <c r="AD108" s="162"/>
      <c r="AE108" s="162"/>
      <c r="AF108" s="162"/>
      <c r="AG108" s="162"/>
      <c r="AH108" s="162"/>
      <c r="AI108" s="162"/>
      <c r="AJ108" s="162"/>
      <c r="AK108" s="162"/>
      <c r="AL108" s="162"/>
      <c r="AM108" s="162"/>
      <c r="AN108" s="162"/>
      <c r="AO108" s="162"/>
      <c r="AP108" s="162"/>
      <c r="AQ108" s="162"/>
      <c r="AR108" s="162"/>
      <c r="AS108" s="162"/>
      <c r="AT108" s="162"/>
      <c r="AU108" s="162"/>
      <c r="AV108" s="162"/>
      <c r="AW108" s="162"/>
      <c r="AX108" s="162"/>
      <c r="AY108" s="162"/>
      <c r="AZ108" s="162"/>
      <c r="BA108" s="162"/>
      <c r="BB108" s="162"/>
    </row>
    <row r="109" spans="1:54" ht="16.5" x14ac:dyDescent="0.25">
      <c r="A109" s="45"/>
      <c r="B109" s="41"/>
      <c r="C109" s="162"/>
      <c r="D109" s="162"/>
      <c r="E109" s="162"/>
      <c r="F109" s="162"/>
      <c r="G109" s="162"/>
      <c r="H109" s="162"/>
      <c r="I109" s="162"/>
      <c r="J109" s="162"/>
      <c r="K109" s="162"/>
      <c r="L109" s="162"/>
      <c r="M109" s="162"/>
      <c r="N109" s="162"/>
      <c r="O109" s="162"/>
      <c r="P109" s="162"/>
      <c r="Q109" s="162"/>
      <c r="R109" s="162"/>
      <c r="S109" s="162"/>
      <c r="T109" s="162"/>
      <c r="U109" s="162"/>
      <c r="V109" s="162"/>
      <c r="W109" s="162"/>
      <c r="X109" s="162"/>
      <c r="Y109" s="162"/>
      <c r="Z109" s="162"/>
      <c r="AA109" s="162"/>
      <c r="AB109" s="162"/>
      <c r="AC109" s="162"/>
      <c r="AD109" s="162"/>
      <c r="AE109" s="162"/>
      <c r="AF109" s="162"/>
      <c r="AG109" s="162"/>
      <c r="AH109" s="162"/>
      <c r="AI109" s="162"/>
      <c r="AJ109" s="162"/>
      <c r="AK109" s="162"/>
      <c r="AL109" s="162"/>
      <c r="AM109" s="162"/>
      <c r="AN109" s="162"/>
      <c r="AO109" s="162"/>
      <c r="AP109" s="162"/>
      <c r="AQ109" s="162"/>
      <c r="AR109" s="162"/>
      <c r="AS109" s="162"/>
      <c r="AT109" s="162"/>
      <c r="AU109" s="162"/>
      <c r="AV109" s="162"/>
      <c r="AW109" s="162"/>
      <c r="AX109" s="162"/>
      <c r="AY109" s="162"/>
      <c r="AZ109" s="162"/>
      <c r="BA109" s="162"/>
      <c r="BB109" s="162"/>
    </row>
    <row r="110" spans="1:54" ht="12.75" customHeight="1" x14ac:dyDescent="0.25">
      <c r="A110" s="45"/>
      <c r="B110" s="41"/>
      <c r="C110" s="162"/>
      <c r="D110" s="162"/>
      <c r="E110" s="162"/>
      <c r="F110" s="162"/>
      <c r="G110" s="162"/>
      <c r="H110" s="162"/>
      <c r="I110" s="162"/>
      <c r="J110" s="162"/>
      <c r="K110" s="162"/>
      <c r="L110" s="162"/>
      <c r="M110" s="162"/>
      <c r="N110" s="162"/>
      <c r="O110" s="162"/>
      <c r="P110" s="162"/>
      <c r="Q110" s="162"/>
      <c r="R110" s="162"/>
      <c r="S110" s="162"/>
      <c r="T110" s="162"/>
      <c r="U110" s="162"/>
      <c r="V110" s="162"/>
      <c r="W110" s="162"/>
      <c r="X110" s="162"/>
      <c r="Y110" s="162"/>
      <c r="Z110" s="162"/>
      <c r="AA110" s="162"/>
      <c r="AB110" s="162"/>
      <c r="AC110" s="162"/>
      <c r="AD110" s="162"/>
      <c r="AE110" s="162"/>
      <c r="AF110" s="162"/>
      <c r="AG110" s="162"/>
      <c r="AH110" s="162"/>
      <c r="AI110" s="162"/>
      <c r="AJ110" s="162"/>
      <c r="AK110" s="162"/>
      <c r="AL110" s="162"/>
      <c r="AM110" s="162"/>
      <c r="AN110" s="162"/>
      <c r="AO110" s="162"/>
      <c r="AP110" s="162"/>
      <c r="AQ110" s="162"/>
      <c r="AR110" s="162"/>
      <c r="AS110" s="162"/>
      <c r="AT110" s="162"/>
      <c r="AU110" s="162"/>
      <c r="AV110" s="162"/>
      <c r="AW110" s="162"/>
      <c r="AX110" s="162"/>
      <c r="AY110" s="162"/>
      <c r="AZ110" s="162"/>
      <c r="BA110" s="162"/>
      <c r="BB110" s="162"/>
    </row>
    <row r="111" spans="1:54" ht="30" customHeight="1" x14ac:dyDescent="0.25">
      <c r="A111" s="45">
        <v>4</v>
      </c>
      <c r="B111" s="41"/>
      <c r="C111" s="161" t="str">
        <f>'page4 translations'!B13</f>
        <v>The licence fee, plus applicable taxes for the year, will be calculated in accordance with the terms of the tariff based on the information set out in the most recently filed report form or audit form, subject to adjustment to reflect any updated reports or audits pursuant to the tariff.</v>
      </c>
      <c r="D111" s="162"/>
      <c r="E111" s="162"/>
      <c r="F111" s="162"/>
      <c r="G111" s="162"/>
      <c r="H111" s="162"/>
      <c r="I111" s="162"/>
      <c r="J111" s="162"/>
      <c r="K111" s="162"/>
      <c r="L111" s="162"/>
      <c r="M111" s="162"/>
      <c r="N111" s="162"/>
      <c r="O111" s="162"/>
      <c r="P111" s="162"/>
      <c r="Q111" s="162"/>
      <c r="R111" s="162"/>
      <c r="S111" s="162"/>
      <c r="T111" s="162"/>
      <c r="U111" s="162"/>
      <c r="V111" s="162"/>
      <c r="W111" s="162"/>
      <c r="X111" s="162"/>
      <c r="Y111" s="162"/>
      <c r="Z111" s="162"/>
      <c r="AA111" s="162"/>
      <c r="AB111" s="162"/>
      <c r="AC111" s="162"/>
      <c r="AD111" s="162"/>
      <c r="AE111" s="162"/>
      <c r="AF111" s="162"/>
      <c r="AG111" s="162"/>
      <c r="AH111" s="162"/>
      <c r="AI111" s="162"/>
      <c r="AJ111" s="162"/>
      <c r="AK111" s="162"/>
      <c r="AL111" s="162"/>
      <c r="AM111" s="162"/>
      <c r="AN111" s="162"/>
      <c r="AO111" s="162"/>
      <c r="AP111" s="162"/>
      <c r="AQ111" s="162"/>
      <c r="AR111" s="162"/>
      <c r="AS111" s="162"/>
      <c r="AT111" s="162"/>
      <c r="AU111" s="162"/>
      <c r="AV111" s="162"/>
      <c r="AW111" s="162"/>
      <c r="AX111" s="162"/>
      <c r="AY111" s="162"/>
      <c r="AZ111" s="162"/>
      <c r="BA111" s="162"/>
      <c r="BB111" s="162"/>
    </row>
    <row r="112" spans="1:54" ht="16.5" x14ac:dyDescent="0.25">
      <c r="A112" s="45"/>
      <c r="B112" s="46"/>
      <c r="C112" s="162"/>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c r="Z112" s="162"/>
      <c r="AA112" s="162"/>
      <c r="AB112" s="162"/>
      <c r="AC112" s="162"/>
      <c r="AD112" s="162"/>
      <c r="AE112" s="162"/>
      <c r="AF112" s="162"/>
      <c r="AG112" s="162"/>
      <c r="AH112" s="162"/>
      <c r="AI112" s="162"/>
      <c r="AJ112" s="162"/>
      <c r="AK112" s="162"/>
      <c r="AL112" s="162"/>
      <c r="AM112" s="162"/>
      <c r="AN112" s="162"/>
      <c r="AO112" s="162"/>
      <c r="AP112" s="162"/>
      <c r="AQ112" s="162"/>
      <c r="AR112" s="162"/>
      <c r="AS112" s="162"/>
      <c r="AT112" s="162"/>
      <c r="AU112" s="162"/>
      <c r="AV112" s="162"/>
      <c r="AW112" s="162"/>
      <c r="AX112" s="162"/>
      <c r="AY112" s="162"/>
      <c r="AZ112" s="162"/>
      <c r="BA112" s="162"/>
      <c r="BB112" s="162"/>
    </row>
    <row r="113" spans="1:54" ht="6.75" customHeight="1" x14ac:dyDescent="0.25">
      <c r="A113" s="45"/>
      <c r="B113" s="36"/>
    </row>
    <row r="114" spans="1:54" ht="16.5" x14ac:dyDescent="0.25">
      <c r="A114" s="45">
        <v>5</v>
      </c>
      <c r="C114" s="177" t="str">
        <f>'page4 translations'!B14</f>
        <v>You will keep records of all information required to calculate the licence fees.</v>
      </c>
      <c r="D114" s="162"/>
      <c r="E114" s="162"/>
      <c r="F114" s="162"/>
      <c r="G114" s="162"/>
      <c r="H114" s="162"/>
      <c r="I114" s="162"/>
      <c r="J114" s="162"/>
      <c r="K114" s="162"/>
      <c r="L114" s="162"/>
      <c r="M114" s="162"/>
      <c r="N114" s="162"/>
      <c r="O114" s="162"/>
      <c r="P114" s="162"/>
      <c r="Q114" s="162"/>
      <c r="R114" s="162"/>
      <c r="S114" s="162"/>
      <c r="T114" s="162"/>
      <c r="U114" s="162"/>
      <c r="V114" s="162"/>
      <c r="W114" s="162"/>
      <c r="X114" s="162"/>
      <c r="Y114" s="162"/>
      <c r="Z114" s="162"/>
      <c r="AA114" s="162"/>
      <c r="AB114" s="162"/>
      <c r="AC114" s="162"/>
      <c r="AD114" s="162"/>
      <c r="AE114" s="162"/>
      <c r="AF114" s="162"/>
      <c r="AG114" s="162"/>
      <c r="AH114" s="162"/>
      <c r="AI114" s="162"/>
      <c r="AJ114" s="162"/>
      <c r="AK114" s="162"/>
      <c r="AL114" s="162"/>
      <c r="AM114" s="162"/>
      <c r="AN114" s="162"/>
      <c r="AO114" s="162"/>
      <c r="AP114" s="162"/>
      <c r="AQ114" s="162"/>
      <c r="AR114" s="162"/>
      <c r="AS114" s="162"/>
      <c r="AT114" s="162"/>
      <c r="AU114" s="162"/>
      <c r="AV114" s="162"/>
      <c r="AW114" s="162"/>
      <c r="AX114" s="162"/>
      <c r="AY114" s="162"/>
      <c r="AZ114" s="162"/>
      <c r="BA114" s="162"/>
      <c r="BB114" s="162"/>
    </row>
    <row r="115" spans="1:54" ht="12" customHeight="1" x14ac:dyDescent="0.25">
      <c r="A115" s="45"/>
      <c r="D115" s="3"/>
    </row>
    <row r="116" spans="1:54" ht="16.5" x14ac:dyDescent="0.25">
      <c r="A116" s="45">
        <v>6</v>
      </c>
      <c r="C116" s="175" t="str">
        <f>'page4 translations'!B15</f>
        <v xml:space="preserve">You will submit to SOCAN your licence application and payment on the first day of the licensed month.  </v>
      </c>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5"/>
      <c r="AK116" s="175"/>
      <c r="AL116" s="175"/>
      <c r="AM116" s="175"/>
      <c r="AN116" s="175"/>
      <c r="AO116" s="175"/>
      <c r="AP116" s="175"/>
      <c r="AQ116" s="175"/>
      <c r="AR116" s="175"/>
      <c r="AS116" s="175"/>
      <c r="AT116" s="175"/>
      <c r="AU116" s="175"/>
      <c r="AV116" s="175"/>
      <c r="AW116" s="175"/>
      <c r="AX116" s="175"/>
      <c r="AY116" s="175"/>
      <c r="AZ116" s="175"/>
      <c r="BA116" s="175"/>
      <c r="BB116" s="175"/>
    </row>
    <row r="117" spans="1:54" ht="11.25" customHeight="1" x14ac:dyDescent="0.25">
      <c r="A117" s="4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5"/>
      <c r="AK117" s="175"/>
      <c r="AL117" s="175"/>
      <c r="AM117" s="175"/>
      <c r="AN117" s="175"/>
      <c r="AO117" s="175"/>
      <c r="AP117" s="175"/>
      <c r="AQ117" s="175"/>
      <c r="AR117" s="175"/>
      <c r="AS117" s="175"/>
      <c r="AT117" s="175"/>
      <c r="AU117" s="175"/>
      <c r="AV117" s="175"/>
      <c r="AW117" s="175"/>
      <c r="AX117" s="175"/>
      <c r="AY117" s="175"/>
      <c r="AZ117" s="175"/>
      <c r="BA117" s="175"/>
      <c r="BB117" s="175"/>
    </row>
    <row r="118" spans="1:54" ht="16.5" customHeight="1" x14ac:dyDescent="0.25">
      <c r="A118" s="45">
        <v>7</v>
      </c>
      <c r="C118" s="153" t="str">
        <f>'page4 translations'!B16</f>
        <v xml:space="preserve">We are committed to handling your personal information responsibly. For more information about SOCAN’s Privacy Policy, please visit www.socan.ca </v>
      </c>
      <c r="D118" s="153"/>
      <c r="E118" s="153"/>
      <c r="F118" s="153"/>
      <c r="G118" s="153"/>
      <c r="H118" s="153"/>
      <c r="I118" s="153"/>
      <c r="J118" s="153"/>
      <c r="K118" s="153"/>
      <c r="L118" s="153"/>
      <c r="M118" s="153"/>
      <c r="N118" s="153"/>
      <c r="O118" s="153"/>
      <c r="P118" s="153"/>
      <c r="Q118" s="153"/>
      <c r="R118" s="153"/>
      <c r="S118" s="153"/>
      <c r="T118" s="153"/>
      <c r="U118" s="153"/>
      <c r="V118" s="153"/>
      <c r="W118" s="153"/>
      <c r="X118" s="153"/>
      <c r="Y118" s="153"/>
      <c r="Z118" s="153"/>
      <c r="AA118" s="153"/>
      <c r="AB118" s="153"/>
      <c r="AC118" s="153"/>
      <c r="AD118" s="153"/>
      <c r="AE118" s="153"/>
      <c r="AF118" s="153"/>
      <c r="AG118" s="153"/>
      <c r="AH118" s="153"/>
      <c r="AI118" s="153"/>
      <c r="AJ118" s="153"/>
      <c r="AK118" s="153"/>
      <c r="AL118" s="153"/>
      <c r="AM118" s="153"/>
      <c r="AN118" s="153"/>
      <c r="AO118" s="153"/>
      <c r="AP118" s="153"/>
      <c r="AQ118" s="153"/>
      <c r="AR118" s="153"/>
      <c r="AS118" s="153"/>
      <c r="AT118" s="153"/>
      <c r="AU118" s="153"/>
      <c r="AV118" s="153"/>
      <c r="AW118" s="153"/>
      <c r="AX118" s="153"/>
      <c r="AY118" s="153"/>
      <c r="AZ118" s="153"/>
      <c r="BA118" s="153"/>
      <c r="BB118" s="153"/>
    </row>
    <row r="119" spans="1:54" x14ac:dyDescent="0.25">
      <c r="C119" s="153"/>
      <c r="D119" s="153"/>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c r="AA119" s="153"/>
      <c r="AB119" s="153"/>
      <c r="AC119" s="153"/>
      <c r="AD119" s="153"/>
      <c r="AE119" s="153"/>
      <c r="AF119" s="153"/>
      <c r="AG119" s="153"/>
      <c r="AH119" s="153"/>
      <c r="AI119" s="153"/>
      <c r="AJ119" s="153"/>
      <c r="AK119" s="153"/>
      <c r="AL119" s="153"/>
      <c r="AM119" s="153"/>
      <c r="AN119" s="153"/>
      <c r="AO119" s="153"/>
      <c r="AP119" s="153"/>
      <c r="AQ119" s="153"/>
      <c r="AR119" s="153"/>
      <c r="AS119" s="153"/>
      <c r="AT119" s="153"/>
      <c r="AU119" s="153"/>
      <c r="AV119" s="153"/>
      <c r="AW119" s="153"/>
      <c r="AX119" s="153"/>
      <c r="AY119" s="153"/>
      <c r="AZ119" s="153"/>
      <c r="BA119" s="153"/>
      <c r="BB119" s="153"/>
    </row>
    <row r="120" spans="1:54" x14ac:dyDescent="0.25">
      <c r="C120" s="190"/>
      <c r="D120" s="191"/>
      <c r="E120" s="191"/>
      <c r="F120" s="191"/>
      <c r="G120" s="191"/>
      <c r="H120" s="191"/>
      <c r="I120" s="191"/>
      <c r="J120" s="191"/>
      <c r="K120" s="191"/>
      <c r="L120" s="191"/>
      <c r="M120" s="191"/>
      <c r="N120" s="191"/>
      <c r="O120" s="191"/>
      <c r="P120" s="191"/>
      <c r="Q120" s="191"/>
      <c r="R120" s="191"/>
      <c r="S120" s="191"/>
      <c r="T120" s="191"/>
      <c r="U120" s="191"/>
      <c r="V120" s="191"/>
      <c r="W120" s="191"/>
      <c r="X120" s="191"/>
      <c r="Y120" s="191"/>
      <c r="Z120" s="191"/>
      <c r="AA120" s="191"/>
      <c r="AB120" s="191"/>
      <c r="AC120" s="191"/>
      <c r="AD120" s="191"/>
      <c r="AE120" s="191"/>
      <c r="AF120" s="191"/>
      <c r="AG120" s="191"/>
      <c r="AH120" s="191"/>
      <c r="AI120" s="191"/>
      <c r="AJ120" s="191"/>
      <c r="AK120" s="191"/>
      <c r="AL120" s="191"/>
      <c r="AM120" s="191"/>
      <c r="AN120" s="191"/>
      <c r="AO120" s="191"/>
      <c r="AP120" s="191"/>
      <c r="AQ120" s="191"/>
      <c r="AR120" s="191"/>
      <c r="AS120" s="191"/>
      <c r="AT120" s="105"/>
      <c r="AU120" s="105"/>
      <c r="AV120" s="105"/>
      <c r="AW120" s="105"/>
      <c r="AX120" s="105"/>
      <c r="AY120" s="105"/>
      <c r="AZ120" s="109"/>
      <c r="BA120" s="105"/>
      <c r="BB120" s="105"/>
    </row>
    <row r="122" spans="1:54" ht="15" customHeight="1" x14ac:dyDescent="0.25">
      <c r="A122" s="217" t="str">
        <f>A36</f>
        <v>SOCAN Licensing, 41 Valleybrook Drive, Toronto ON, M3B 2S6 | Current accounts t 1.866.944.6223 | f 416.442.3829 licence@socan.ca</v>
      </c>
      <c r="B122" s="217"/>
      <c r="C122" s="217"/>
      <c r="D122" s="217"/>
      <c r="E122" s="217"/>
      <c r="F122" s="217"/>
      <c r="G122" s="217"/>
      <c r="H122" s="217"/>
      <c r="I122" s="217"/>
      <c r="J122" s="217"/>
      <c r="K122" s="217"/>
      <c r="L122" s="217"/>
      <c r="M122" s="217"/>
      <c r="N122" s="217"/>
      <c r="O122" s="217"/>
      <c r="P122" s="217"/>
      <c r="Q122" s="217"/>
      <c r="R122" s="217"/>
      <c r="S122" s="217"/>
      <c r="T122" s="217"/>
      <c r="U122" s="217"/>
      <c r="V122" s="217"/>
      <c r="W122" s="217"/>
      <c r="X122" s="217"/>
      <c r="Y122" s="217"/>
      <c r="Z122" s="217"/>
      <c r="AA122" s="217"/>
      <c r="AB122" s="217"/>
      <c r="AC122" s="217"/>
      <c r="AD122" s="217"/>
      <c r="AE122" s="217"/>
      <c r="AF122" s="217"/>
      <c r="AG122" s="217"/>
      <c r="AH122" s="217"/>
      <c r="AI122" s="217"/>
      <c r="AJ122" s="217"/>
      <c r="AK122" s="217"/>
      <c r="AL122" s="217"/>
      <c r="AM122" s="217"/>
      <c r="AN122" s="217"/>
      <c r="AO122" s="217"/>
      <c r="AP122" s="217"/>
      <c r="AQ122" s="217"/>
      <c r="AR122" s="217"/>
      <c r="AS122" s="217"/>
      <c r="AT122" s="217"/>
      <c r="AU122" s="217"/>
      <c r="AV122" s="217"/>
      <c r="AW122" s="217"/>
      <c r="AX122" s="217"/>
      <c r="AY122" s="217"/>
      <c r="AZ122" s="217"/>
      <c r="BA122" s="217"/>
      <c r="BB122" s="98"/>
    </row>
    <row r="123" spans="1:54" ht="15" customHeight="1" x14ac:dyDescent="0.25">
      <c r="A123" s="211" t="str">
        <f>A37</f>
        <v>First time licensees: t 1.866.944.6210 | f 514.844.4560</v>
      </c>
      <c r="B123" s="211"/>
      <c r="C123" s="211"/>
      <c r="D123" s="211"/>
      <c r="E123" s="211"/>
      <c r="F123" s="211"/>
      <c r="G123" s="211"/>
      <c r="H123" s="211"/>
      <c r="I123" s="211"/>
      <c r="J123" s="211"/>
      <c r="K123" s="211"/>
      <c r="L123" s="211"/>
      <c r="M123" s="211"/>
      <c r="N123" s="211"/>
      <c r="O123" s="211"/>
      <c r="P123" s="211"/>
      <c r="Q123" s="211"/>
      <c r="R123" s="211"/>
      <c r="S123" s="211"/>
      <c r="T123" s="211"/>
      <c r="U123" s="211"/>
      <c r="V123" s="211"/>
      <c r="W123" s="211"/>
      <c r="X123" s="211"/>
      <c r="Y123" s="211"/>
      <c r="Z123" s="211"/>
      <c r="AA123" s="211"/>
      <c r="AB123" s="211"/>
      <c r="AC123" s="211"/>
      <c r="AD123" s="211"/>
      <c r="AE123" s="211"/>
      <c r="AF123" s="211"/>
      <c r="AG123" s="211"/>
      <c r="AH123" s="211"/>
      <c r="AI123" s="211"/>
      <c r="AJ123" s="211"/>
      <c r="AK123" s="211"/>
      <c r="AL123" s="211"/>
      <c r="AM123" s="211"/>
      <c r="AN123" s="211"/>
      <c r="AO123" s="211"/>
      <c r="AP123" s="211"/>
      <c r="AQ123" s="211"/>
      <c r="AR123" s="211"/>
      <c r="AS123" s="211"/>
      <c r="AT123" s="211"/>
      <c r="AU123" s="211"/>
      <c r="AV123" s="211"/>
      <c r="AW123" s="211"/>
      <c r="AX123" s="211"/>
      <c r="AY123" s="211"/>
      <c r="AZ123" s="211"/>
      <c r="BA123" s="211"/>
      <c r="BB123" s="98"/>
    </row>
  </sheetData>
  <sheetProtection formatColumns="0" formatRows="0"/>
  <mergeCells count="264">
    <mergeCell ref="AB80:AM80"/>
    <mergeCell ref="C70:J70"/>
    <mergeCell ref="C8:BB8"/>
    <mergeCell ref="A36:BA36"/>
    <mergeCell ref="A37:BA37"/>
    <mergeCell ref="AB75:AM75"/>
    <mergeCell ref="AN75:AW75"/>
    <mergeCell ref="K69:AA69"/>
    <mergeCell ref="AB69:AM69"/>
    <mergeCell ref="AN69:AW69"/>
    <mergeCell ref="C71:J71"/>
    <mergeCell ref="C72:J72"/>
    <mergeCell ref="C73:J73"/>
    <mergeCell ref="K76:AA76"/>
    <mergeCell ref="AB76:AM76"/>
    <mergeCell ref="AN76:AW76"/>
    <mergeCell ref="C74:J74"/>
    <mergeCell ref="C75:J75"/>
    <mergeCell ref="AU13:BB13"/>
    <mergeCell ref="AX71:BC71"/>
    <mergeCell ref="AX72:BC72"/>
    <mergeCell ref="AX73:BC73"/>
    <mergeCell ref="AX74:BC74"/>
    <mergeCell ref="AX75:BC75"/>
    <mergeCell ref="A122:BA122"/>
    <mergeCell ref="C15:H15"/>
    <mergeCell ref="AA15:AM15"/>
    <mergeCell ref="AF17:AK17"/>
    <mergeCell ref="AN47:AW47"/>
    <mergeCell ref="K41:AA41"/>
    <mergeCell ref="K42:AA42"/>
    <mergeCell ref="K82:AA82"/>
    <mergeCell ref="AB82:AM82"/>
    <mergeCell ref="AN82:AW82"/>
    <mergeCell ref="AN83:AW83"/>
    <mergeCell ref="AN80:AW80"/>
    <mergeCell ref="K81:AA81"/>
    <mergeCell ref="AB81:AM81"/>
    <mergeCell ref="AN81:AW81"/>
    <mergeCell ref="K78:AA78"/>
    <mergeCell ref="AB78:AM78"/>
    <mergeCell ref="C77:J77"/>
    <mergeCell ref="K72:AA72"/>
    <mergeCell ref="AB72:AM72"/>
    <mergeCell ref="AN72:AW72"/>
    <mergeCell ref="K73:AA73"/>
    <mergeCell ref="AB73:AM73"/>
    <mergeCell ref="K75:AA75"/>
    <mergeCell ref="A123:BA123"/>
    <mergeCell ref="BC25:BC37"/>
    <mergeCell ref="C34:BA34"/>
    <mergeCell ref="K62:AA62"/>
    <mergeCell ref="AB62:AM62"/>
    <mergeCell ref="AN62:AW62"/>
    <mergeCell ref="AB63:AM63"/>
    <mergeCell ref="AN63:AW63"/>
    <mergeCell ref="K58:AA58"/>
    <mergeCell ref="AB58:AM58"/>
    <mergeCell ref="AN58:AW58"/>
    <mergeCell ref="AN41:AW41"/>
    <mergeCell ref="AN42:AW42"/>
    <mergeCell ref="AN43:AW43"/>
    <mergeCell ref="AB41:AM41"/>
    <mergeCell ref="AB42:AM42"/>
    <mergeCell ref="AB43:AM43"/>
    <mergeCell ref="AB56:AM56"/>
    <mergeCell ref="K77:AA77"/>
    <mergeCell ref="AB77:AM77"/>
    <mergeCell ref="AN77:AW77"/>
    <mergeCell ref="K74:AA74"/>
    <mergeCell ref="AB74:AM74"/>
    <mergeCell ref="AN74:AW74"/>
    <mergeCell ref="C4:BB4"/>
    <mergeCell ref="C5:BB5"/>
    <mergeCell ref="C6:BB6"/>
    <mergeCell ref="C7:BB7"/>
    <mergeCell ref="C69:J69"/>
    <mergeCell ref="AN53:AW53"/>
    <mergeCell ref="K49:AA49"/>
    <mergeCell ref="AB49:AM49"/>
    <mergeCell ref="AN49:AW49"/>
    <mergeCell ref="K50:AA50"/>
    <mergeCell ref="AB50:AM50"/>
    <mergeCell ref="AN50:AW50"/>
    <mergeCell ref="K57:AA57"/>
    <mergeCell ref="AB57:AM57"/>
    <mergeCell ref="AN57:AW57"/>
    <mergeCell ref="K54:AA54"/>
    <mergeCell ref="AB54:AM54"/>
    <mergeCell ref="AN54:AW54"/>
    <mergeCell ref="K55:AA55"/>
    <mergeCell ref="AB55:AM55"/>
    <mergeCell ref="AN55:AW55"/>
    <mergeCell ref="K56:AA56"/>
    <mergeCell ref="C63:J63"/>
    <mergeCell ref="AN56:AW56"/>
    <mergeCell ref="C111:BB112"/>
    <mergeCell ref="C114:BB114"/>
    <mergeCell ref="C120:AS120"/>
    <mergeCell ref="W89:BB97"/>
    <mergeCell ref="A98:P98"/>
    <mergeCell ref="C116:BB117"/>
    <mergeCell ref="J1:AW1"/>
    <mergeCell ref="AW19:BB19"/>
    <mergeCell ref="AV17:BB17"/>
    <mergeCell ref="K46:AA46"/>
    <mergeCell ref="AB46:AM46"/>
    <mergeCell ref="AN46:AW46"/>
    <mergeCell ref="K43:AA43"/>
    <mergeCell ref="I21:S21"/>
    <mergeCell ref="T21:AI21"/>
    <mergeCell ref="D9:BB9"/>
    <mergeCell ref="AN15:BB15"/>
    <mergeCell ref="K13:Y13"/>
    <mergeCell ref="C13:J13"/>
    <mergeCell ref="AR17:AU17"/>
    <mergeCell ref="C19:E19"/>
    <mergeCell ref="F19:O19"/>
    <mergeCell ref="AS19:AV19"/>
    <mergeCell ref="C76:J76"/>
    <mergeCell ref="A100:BB102"/>
    <mergeCell ref="C103:BB104"/>
    <mergeCell ref="C106:BB106"/>
    <mergeCell ref="A13:A21"/>
    <mergeCell ref="M25:P26"/>
    <mergeCell ref="Q25:T26"/>
    <mergeCell ref="U25:Y26"/>
    <mergeCell ref="M27:P27"/>
    <mergeCell ref="Q27:T27"/>
    <mergeCell ref="U27:Y27"/>
    <mergeCell ref="A24:A32"/>
    <mergeCell ref="K48:AA48"/>
    <mergeCell ref="AB48:AM48"/>
    <mergeCell ref="AN48:AW48"/>
    <mergeCell ref="K51:AA51"/>
    <mergeCell ref="AB51:AM51"/>
    <mergeCell ref="AN51:AW51"/>
    <mergeCell ref="Q32:U32"/>
    <mergeCell ref="C64:J64"/>
    <mergeCell ref="AN78:AW78"/>
    <mergeCell ref="K79:AA79"/>
    <mergeCell ref="AB79:AM79"/>
    <mergeCell ref="AN79:AW79"/>
    <mergeCell ref="K80:AA80"/>
    <mergeCell ref="B87:BA87"/>
    <mergeCell ref="AX78:BC78"/>
    <mergeCell ref="AX79:BC79"/>
    <mergeCell ref="AX44:BC44"/>
    <mergeCell ref="AX45:BC45"/>
    <mergeCell ref="AX46:BC46"/>
    <mergeCell ref="AX47:BC47"/>
    <mergeCell ref="I15:Z15"/>
    <mergeCell ref="K52:AA52"/>
    <mergeCell ref="AB52:AM52"/>
    <mergeCell ref="AN52:AW52"/>
    <mergeCell ref="K53:AA53"/>
    <mergeCell ref="AB53:AM53"/>
    <mergeCell ref="AB44:AM44"/>
    <mergeCell ref="AN44:AW44"/>
    <mergeCell ref="K45:AA45"/>
    <mergeCell ref="AB45:AM45"/>
    <mergeCell ref="C25:L25"/>
    <mergeCell ref="C26:L26"/>
    <mergeCell ref="C27:L27"/>
    <mergeCell ref="AL17:AQ17"/>
    <mergeCell ref="U19:AF19"/>
    <mergeCell ref="AI19:AM19"/>
    <mergeCell ref="AQ19:AR19"/>
    <mergeCell ref="AX57:BC57"/>
    <mergeCell ref="AX58:BC58"/>
    <mergeCell ref="AX64:BC64"/>
    <mergeCell ref="AX65:BC65"/>
    <mergeCell ref="AX66:BC66"/>
    <mergeCell ref="AX67:BC67"/>
    <mergeCell ref="AX68:BC68"/>
    <mergeCell ref="AX43:BC43"/>
    <mergeCell ref="C108:BB110"/>
    <mergeCell ref="K63:AA63"/>
    <mergeCell ref="K64:AA64"/>
    <mergeCell ref="AB64:AM64"/>
    <mergeCell ref="AN64:AW64"/>
    <mergeCell ref="AN73:AW73"/>
    <mergeCell ref="K70:AA70"/>
    <mergeCell ref="AB70:AM70"/>
    <mergeCell ref="AN70:AW70"/>
    <mergeCell ref="K71:AA71"/>
    <mergeCell ref="AB71:AM71"/>
    <mergeCell ref="AN71:AW71"/>
    <mergeCell ref="AB66:AM66"/>
    <mergeCell ref="AN66:AW66"/>
    <mergeCell ref="K67:AA67"/>
    <mergeCell ref="AB67:AM67"/>
    <mergeCell ref="AX48:BC48"/>
    <mergeCell ref="AX49:BC49"/>
    <mergeCell ref="AX50:BC50"/>
    <mergeCell ref="AX51:BC51"/>
    <mergeCell ref="AX52:BC52"/>
    <mergeCell ref="AX53:BC53"/>
    <mergeCell ref="AX54:BC54"/>
    <mergeCell ref="AX55:BC55"/>
    <mergeCell ref="AX56:BC56"/>
    <mergeCell ref="C118:BB119"/>
    <mergeCell ref="AR32:BB32"/>
    <mergeCell ref="L17:U17"/>
    <mergeCell ref="C16:K17"/>
    <mergeCell ref="AX80:BC80"/>
    <mergeCell ref="AX81:BC81"/>
    <mergeCell ref="AX82:BC82"/>
    <mergeCell ref="C41:J41"/>
    <mergeCell ref="C42:J42"/>
    <mergeCell ref="C43:J43"/>
    <mergeCell ref="C44:J44"/>
    <mergeCell ref="C45:J45"/>
    <mergeCell ref="C46:J46"/>
    <mergeCell ref="C47:J47"/>
    <mergeCell ref="C48:J48"/>
    <mergeCell ref="C49:J49"/>
    <mergeCell ref="C50:J50"/>
    <mergeCell ref="C51:J51"/>
    <mergeCell ref="C52:J52"/>
    <mergeCell ref="C53:J53"/>
    <mergeCell ref="C54:J54"/>
    <mergeCell ref="C55:J55"/>
    <mergeCell ref="C56:J56"/>
    <mergeCell ref="AU21:BB21"/>
    <mergeCell ref="C57:J57"/>
    <mergeCell ref="AN13:AP13"/>
    <mergeCell ref="C78:J78"/>
    <mergeCell ref="C79:J79"/>
    <mergeCell ref="C80:J80"/>
    <mergeCell ref="C81:J81"/>
    <mergeCell ref="C82:J82"/>
    <mergeCell ref="C83:AM83"/>
    <mergeCell ref="D11:AW11"/>
    <mergeCell ref="C58:J58"/>
    <mergeCell ref="C62:J62"/>
    <mergeCell ref="AJ21:AT21"/>
    <mergeCell ref="C35:AN35"/>
    <mergeCell ref="Y32:AO32"/>
    <mergeCell ref="F32:N32"/>
    <mergeCell ref="K44:AA44"/>
    <mergeCell ref="AN67:AW67"/>
    <mergeCell ref="C33:AH33"/>
    <mergeCell ref="E29:BB29"/>
    <mergeCell ref="AN45:AW45"/>
    <mergeCell ref="K47:AA47"/>
    <mergeCell ref="AB47:AM47"/>
    <mergeCell ref="X17:AE17"/>
    <mergeCell ref="AG19:AH19"/>
    <mergeCell ref="AX76:BC76"/>
    <mergeCell ref="AX77:BC77"/>
    <mergeCell ref="K65:AA65"/>
    <mergeCell ref="AB65:AM65"/>
    <mergeCell ref="AN65:AW65"/>
    <mergeCell ref="C65:J65"/>
    <mergeCell ref="K68:AA68"/>
    <mergeCell ref="AB68:AM68"/>
    <mergeCell ref="AN68:AW68"/>
    <mergeCell ref="K66:AA66"/>
    <mergeCell ref="C66:J66"/>
    <mergeCell ref="C67:J67"/>
    <mergeCell ref="C68:J68"/>
    <mergeCell ref="AX69:BC69"/>
    <mergeCell ref="AX70:BC70"/>
  </mergeCells>
  <conditionalFormatting sqref="D29">
    <cfRule type="containsText" dxfId="132" priority="145" operator="containsText" text="FALSE">
      <formula>NOT(ISERROR(SEARCH("FALSE",D29)))</formula>
    </cfRule>
  </conditionalFormatting>
  <conditionalFormatting sqref="K13:Y13">
    <cfRule type="expression" dxfId="131" priority="138">
      <formula>ISBLANK($K$13)</formula>
    </cfRule>
  </conditionalFormatting>
  <conditionalFormatting sqref="I15:Z15">
    <cfRule type="expression" dxfId="130" priority="137">
      <formula>ISBLANK($I$15)</formula>
    </cfRule>
  </conditionalFormatting>
  <conditionalFormatting sqref="AN15">
    <cfRule type="expression" dxfId="129" priority="136">
      <formula>ISBLANK($AN$15)</formula>
    </cfRule>
  </conditionalFormatting>
  <conditionalFormatting sqref="X17:AE17">
    <cfRule type="expression" dxfId="128" priority="134">
      <formula>ISBLANK($X$17)</formula>
    </cfRule>
  </conditionalFormatting>
  <conditionalFormatting sqref="AL17:AQ17">
    <cfRule type="expression" dxfId="127" priority="133">
      <formula>ISBLANK($AL$17)</formula>
    </cfRule>
  </conditionalFormatting>
  <conditionalFormatting sqref="AV17">
    <cfRule type="expression" dxfId="126" priority="132">
      <formula>ISBLANK($AV$17)</formula>
    </cfRule>
  </conditionalFormatting>
  <conditionalFormatting sqref="F19:O19">
    <cfRule type="expression" dxfId="125" priority="131">
      <formula>ISBLANK($F$19)</formula>
    </cfRule>
  </conditionalFormatting>
  <conditionalFormatting sqref="U19:AF19">
    <cfRule type="expression" dxfId="124" priority="130">
      <formula>ISBLANK($U$19)</formula>
    </cfRule>
  </conditionalFormatting>
  <conditionalFormatting sqref="AI19:AM19">
    <cfRule type="expression" dxfId="123" priority="129">
      <formula>ISBLANK($AI$19)</formula>
    </cfRule>
  </conditionalFormatting>
  <conditionalFormatting sqref="AQ19:AR19">
    <cfRule type="expression" dxfId="122" priority="128">
      <formula>ISBLANK($AQ$19)</formula>
    </cfRule>
  </conditionalFormatting>
  <conditionalFormatting sqref="AW19">
    <cfRule type="expression" dxfId="121" priority="127">
      <formula>ISBLANK($AW$19)</formula>
    </cfRule>
  </conditionalFormatting>
  <conditionalFormatting sqref="H21">
    <cfRule type="containsText" dxfId="120" priority="126" operator="containsText" text="false">
      <formula>NOT(ISERROR(SEARCH("false",H21)))</formula>
    </cfRule>
  </conditionalFormatting>
  <conditionalFormatting sqref="T21:AI21">
    <cfRule type="expression" dxfId="119" priority="125">
      <formula>ISNUMBER($H$22)</formula>
    </cfRule>
  </conditionalFormatting>
  <conditionalFormatting sqref="E29">
    <cfRule type="expression" dxfId="118" priority="124">
      <formula>$D$29=FALSE</formula>
    </cfRule>
  </conditionalFormatting>
  <conditionalFormatting sqref="F32:N32">
    <cfRule type="expression" dxfId="117" priority="123">
      <formula>ISBLANK($F$32)</formula>
    </cfRule>
  </conditionalFormatting>
  <conditionalFormatting sqref="Q32:U32">
    <cfRule type="expression" dxfId="116" priority="122">
      <formula>ISBLANK($Q$32)</formula>
    </cfRule>
  </conditionalFormatting>
  <conditionalFormatting sqref="Y32:AO32">
    <cfRule type="expression" dxfId="115" priority="121">
      <formula>ISBLANK($Y$32)</formula>
    </cfRule>
  </conditionalFormatting>
  <conditionalFormatting sqref="AR32">
    <cfRule type="expression" dxfId="114" priority="120">
      <formula>ISBLANK($AR$32)</formula>
    </cfRule>
  </conditionalFormatting>
  <conditionalFormatting sqref="C44">
    <cfRule type="expression" dxfId="113" priority="118">
      <formula>ISBLANK($C$44)</formula>
    </cfRule>
  </conditionalFormatting>
  <conditionalFormatting sqref="AB43:AW58 AB64:AW82 AN83:AW83 C27 M27:Y27">
    <cfRule type="expression" dxfId="112" priority="109">
      <formula>$A$2=2</formula>
    </cfRule>
    <cfRule type="expression" dxfId="111" priority="110">
      <formula>$A$2=1</formula>
    </cfRule>
  </conditionalFormatting>
  <conditionalFormatting sqref="K43:AA43">
    <cfRule type="expression" dxfId="110" priority="73">
      <formula>ISBLANK($K$43)</formula>
    </cfRule>
  </conditionalFormatting>
  <conditionalFormatting sqref="K44:AA44">
    <cfRule type="expression" dxfId="109" priority="72">
      <formula>ISBLANK($K$44)</formula>
    </cfRule>
  </conditionalFormatting>
  <conditionalFormatting sqref="K45:AA45">
    <cfRule type="expression" dxfId="108" priority="71">
      <formula>ISBLANK($K$45)</formula>
    </cfRule>
  </conditionalFormatting>
  <conditionalFormatting sqref="K46:AA46">
    <cfRule type="expression" dxfId="107" priority="70">
      <formula>ISBLANK($K$46)</formula>
    </cfRule>
  </conditionalFormatting>
  <conditionalFormatting sqref="K47:AA47">
    <cfRule type="expression" dxfId="106" priority="69">
      <formula>ISBLANK($K$47)</formula>
    </cfRule>
  </conditionalFormatting>
  <conditionalFormatting sqref="K48:AA48">
    <cfRule type="expression" dxfId="105" priority="68">
      <formula>ISBLANK($K$48)</formula>
    </cfRule>
  </conditionalFormatting>
  <conditionalFormatting sqref="K49:AA49">
    <cfRule type="expression" dxfId="104" priority="67">
      <formula>ISBLANK($K$49)</formula>
    </cfRule>
  </conditionalFormatting>
  <conditionalFormatting sqref="K50:AA50">
    <cfRule type="expression" dxfId="103" priority="66">
      <formula>ISBLANK($K$50)</formula>
    </cfRule>
  </conditionalFormatting>
  <conditionalFormatting sqref="K51:AA51">
    <cfRule type="expression" dxfId="102" priority="65">
      <formula>ISBLANK($K$51)</formula>
    </cfRule>
  </conditionalFormatting>
  <conditionalFormatting sqref="K52:AA52">
    <cfRule type="expression" dxfId="101" priority="64">
      <formula>ISBLANK($K$52)</formula>
    </cfRule>
  </conditionalFormatting>
  <conditionalFormatting sqref="K53:AA53">
    <cfRule type="expression" dxfId="100" priority="63">
      <formula>ISBLANK($K$53)</formula>
    </cfRule>
  </conditionalFormatting>
  <conditionalFormatting sqref="K54:AA54">
    <cfRule type="expression" dxfId="99" priority="62">
      <formula>ISBLANK($K$54)</formula>
    </cfRule>
  </conditionalFormatting>
  <conditionalFormatting sqref="K55:AA55">
    <cfRule type="expression" dxfId="98" priority="61">
      <formula>ISBLANK($K$55)</formula>
    </cfRule>
  </conditionalFormatting>
  <conditionalFormatting sqref="K56:AA56">
    <cfRule type="expression" dxfId="97" priority="60">
      <formula>ISBLANK($K$56)</formula>
    </cfRule>
  </conditionalFormatting>
  <conditionalFormatting sqref="K57:AA57">
    <cfRule type="expression" dxfId="96" priority="59">
      <formula>ISBLANK($K$57)</formula>
    </cfRule>
  </conditionalFormatting>
  <conditionalFormatting sqref="K58:AA58">
    <cfRule type="expression" dxfId="95" priority="58">
      <formula>ISBLANK($K$58)</formula>
    </cfRule>
  </conditionalFormatting>
  <conditionalFormatting sqref="K64:AA64">
    <cfRule type="expression" dxfId="94" priority="57">
      <formula>ISBLANK($K$64)</formula>
    </cfRule>
  </conditionalFormatting>
  <conditionalFormatting sqref="K65:AA65">
    <cfRule type="expression" dxfId="93" priority="56">
      <formula>ISBLANK($K$65)</formula>
    </cfRule>
  </conditionalFormatting>
  <conditionalFormatting sqref="K66:AA66">
    <cfRule type="expression" dxfId="92" priority="55">
      <formula>ISBLANK($K$66)</formula>
    </cfRule>
  </conditionalFormatting>
  <conditionalFormatting sqref="K67:AA67">
    <cfRule type="expression" dxfId="91" priority="54">
      <formula>ISBLANK($K$67)</formula>
    </cfRule>
  </conditionalFormatting>
  <conditionalFormatting sqref="K68:AA68">
    <cfRule type="expression" dxfId="90" priority="53">
      <formula>ISBLANK($K$68)</formula>
    </cfRule>
  </conditionalFormatting>
  <conditionalFormatting sqref="K69:AA69">
    <cfRule type="expression" dxfId="89" priority="52">
      <formula>ISBLANK($K$69)</formula>
    </cfRule>
  </conditionalFormatting>
  <conditionalFormatting sqref="K70:AA70">
    <cfRule type="expression" dxfId="88" priority="51">
      <formula>ISBLANK($K$70)</formula>
    </cfRule>
  </conditionalFormatting>
  <conditionalFormatting sqref="K71:AA71">
    <cfRule type="expression" dxfId="87" priority="50">
      <formula>ISBLANK($K$71)</formula>
    </cfRule>
  </conditionalFormatting>
  <conditionalFormatting sqref="K72:AA72">
    <cfRule type="expression" dxfId="86" priority="49">
      <formula>ISBLANK($K$72)</formula>
    </cfRule>
  </conditionalFormatting>
  <conditionalFormatting sqref="K73:AA73">
    <cfRule type="expression" dxfId="85" priority="48">
      <formula>ISBLANK($K$73)</formula>
    </cfRule>
  </conditionalFormatting>
  <conditionalFormatting sqref="K74:AA74">
    <cfRule type="expression" dxfId="84" priority="47">
      <formula>ISBLANK($K$74)</formula>
    </cfRule>
  </conditionalFormatting>
  <conditionalFormatting sqref="K75:AA75">
    <cfRule type="expression" dxfId="83" priority="46">
      <formula>ISBLANK($K$75)</formula>
    </cfRule>
  </conditionalFormatting>
  <conditionalFormatting sqref="K76:AA76">
    <cfRule type="expression" dxfId="82" priority="45">
      <formula>ISBLANK($K$76)</formula>
    </cfRule>
  </conditionalFormatting>
  <conditionalFormatting sqref="K77:AA77">
    <cfRule type="expression" dxfId="81" priority="44">
      <formula>ISBLANK($K$77)</formula>
    </cfRule>
  </conditionalFormatting>
  <conditionalFormatting sqref="K78:AA78">
    <cfRule type="expression" dxfId="80" priority="43">
      <formula>ISBLANK($K$78)</formula>
    </cfRule>
  </conditionalFormatting>
  <conditionalFormatting sqref="K79:AA79">
    <cfRule type="expression" dxfId="79" priority="42">
      <formula>ISBLANK($K$79)</formula>
    </cfRule>
  </conditionalFormatting>
  <conditionalFormatting sqref="K80:AA80">
    <cfRule type="expression" dxfId="78" priority="41">
      <formula>ISBLANK($K$80)</formula>
    </cfRule>
  </conditionalFormatting>
  <conditionalFormatting sqref="K81:AA81">
    <cfRule type="expression" dxfId="77" priority="40">
      <formula>ISBLANK($K$81)</formula>
    </cfRule>
  </conditionalFormatting>
  <conditionalFormatting sqref="K82:AA82">
    <cfRule type="expression" dxfId="76" priority="39">
      <formula>ISBLANK($K$82)</formula>
    </cfRule>
  </conditionalFormatting>
  <conditionalFormatting sqref="AB43:AM43">
    <cfRule type="expression" dxfId="75" priority="38">
      <formula>ISBLANK($AB$43)</formula>
    </cfRule>
  </conditionalFormatting>
  <conditionalFormatting sqref="AB44:AM44">
    <cfRule type="expression" dxfId="74" priority="37">
      <formula>ISBLANK($AB$44)</formula>
    </cfRule>
  </conditionalFormatting>
  <conditionalFormatting sqref="AB45:AM45">
    <cfRule type="expression" dxfId="73" priority="36">
      <formula>ISBLANK($AB$45)</formula>
    </cfRule>
  </conditionalFormatting>
  <conditionalFormatting sqref="AB46:AM46">
    <cfRule type="expression" dxfId="72" priority="35">
      <formula>ISBLANK($AB$46)</formula>
    </cfRule>
  </conditionalFormatting>
  <conditionalFormatting sqref="AB47:AM47">
    <cfRule type="expression" dxfId="71" priority="34">
      <formula>ISBLANK($AB$47)</formula>
    </cfRule>
  </conditionalFormatting>
  <conditionalFormatting sqref="AB48:AM48">
    <cfRule type="expression" dxfId="70" priority="33">
      <formula>ISBLANK($AB$48)</formula>
    </cfRule>
  </conditionalFormatting>
  <conditionalFormatting sqref="AB49:AM49">
    <cfRule type="expression" dxfId="69" priority="32">
      <formula>ISBLANK($AB$49)</formula>
    </cfRule>
  </conditionalFormatting>
  <conditionalFormatting sqref="AB50:AM50">
    <cfRule type="expression" dxfId="68" priority="31">
      <formula>ISBLANK($AB$50)</formula>
    </cfRule>
  </conditionalFormatting>
  <conditionalFormatting sqref="AB51:AM51">
    <cfRule type="expression" dxfId="67" priority="30">
      <formula>ISBLANK($AB$51)</formula>
    </cfRule>
  </conditionalFormatting>
  <conditionalFormatting sqref="AB52:AM52">
    <cfRule type="expression" dxfId="66" priority="29">
      <formula>ISBLANK($AB$52)</formula>
    </cfRule>
  </conditionalFormatting>
  <conditionalFormatting sqref="AB53:AM53">
    <cfRule type="expression" dxfId="65" priority="28">
      <formula>ISBLANK($AB$53)</formula>
    </cfRule>
  </conditionalFormatting>
  <conditionalFormatting sqref="AB54:AM54">
    <cfRule type="expression" dxfId="64" priority="27">
      <formula>ISBLANK($AB$54)</formula>
    </cfRule>
  </conditionalFormatting>
  <conditionalFormatting sqref="AB55:AM55">
    <cfRule type="expression" dxfId="63" priority="26">
      <formula>ISBLANK($AB$55)</formula>
    </cfRule>
  </conditionalFormatting>
  <conditionalFormatting sqref="AB56:AM56">
    <cfRule type="expression" dxfId="62" priority="25">
      <formula>ISBLANK($AB$56)</formula>
    </cfRule>
  </conditionalFormatting>
  <conditionalFormatting sqref="AB57:AM57">
    <cfRule type="expression" dxfId="61" priority="24">
      <formula>ISBLANK($AB$57)</formula>
    </cfRule>
  </conditionalFormatting>
  <conditionalFormatting sqref="AB58:AM58">
    <cfRule type="expression" dxfId="60" priority="23">
      <formula>ISBLANK($AB$58)</formula>
    </cfRule>
  </conditionalFormatting>
  <conditionalFormatting sqref="AB64:AM64">
    <cfRule type="expression" dxfId="59" priority="22">
      <formula>ISBLANK($AB$64)</formula>
    </cfRule>
  </conditionalFormatting>
  <conditionalFormatting sqref="AB65:AM65">
    <cfRule type="expression" dxfId="58" priority="21">
      <formula>ISBLANK($AB$65)</formula>
    </cfRule>
  </conditionalFormatting>
  <conditionalFormatting sqref="AB66:AM66">
    <cfRule type="expression" dxfId="57" priority="20">
      <formula>ISBLANK($AB$66)</formula>
    </cfRule>
  </conditionalFormatting>
  <conditionalFormatting sqref="AB67:AM67">
    <cfRule type="expression" dxfId="56" priority="19">
      <formula>ISBLANK($AB$67)</formula>
    </cfRule>
  </conditionalFormatting>
  <conditionalFormatting sqref="AB68:AM68">
    <cfRule type="expression" dxfId="55" priority="18">
      <formula>ISBLANK($AB$68)</formula>
    </cfRule>
  </conditionalFormatting>
  <conditionalFormatting sqref="AB69:AM69">
    <cfRule type="expression" dxfId="54" priority="17">
      <formula>ISBLANK($AB$69)</formula>
    </cfRule>
  </conditionalFormatting>
  <conditionalFormatting sqref="AB70:AM70">
    <cfRule type="expression" dxfId="53" priority="16">
      <formula>ISBLANK($AB$70)</formula>
    </cfRule>
  </conditionalFormatting>
  <conditionalFormatting sqref="AB71:AM71">
    <cfRule type="expression" dxfId="52" priority="15">
      <formula>ISBLANK($AB$71)</formula>
    </cfRule>
  </conditionalFormatting>
  <conditionalFormatting sqref="AB72:AM72">
    <cfRule type="expression" dxfId="51" priority="14">
      <formula>ISBLANK($AB$72)</formula>
    </cfRule>
  </conditionalFormatting>
  <conditionalFormatting sqref="AB73:AM73">
    <cfRule type="expression" dxfId="50" priority="13">
      <formula>ISBLANK($AB$73)</formula>
    </cfRule>
  </conditionalFormatting>
  <conditionalFormatting sqref="AB74:AM74">
    <cfRule type="expression" dxfId="49" priority="12">
      <formula>ISBLANK($AB$74)</formula>
    </cfRule>
  </conditionalFormatting>
  <conditionalFormatting sqref="AB75:AM75">
    <cfRule type="expression" dxfId="48" priority="11">
      <formula>ISBLANK($AB$75)</formula>
    </cfRule>
  </conditionalFormatting>
  <conditionalFormatting sqref="AB76:AM76">
    <cfRule type="expression" dxfId="47" priority="10">
      <formula>ISBLANK($AB$76)</formula>
    </cfRule>
  </conditionalFormatting>
  <conditionalFormatting sqref="AB77:AM77">
    <cfRule type="expression" dxfId="46" priority="9">
      <formula>ISBLANK($AB$77)</formula>
    </cfRule>
  </conditionalFormatting>
  <conditionalFormatting sqref="AB78:AM78">
    <cfRule type="expression" dxfId="45" priority="8">
      <formula>ISBLANK($AB$78)</formula>
    </cfRule>
  </conditionalFormatting>
  <conditionalFormatting sqref="AB79:AM79">
    <cfRule type="expression" dxfId="44" priority="7">
      <formula>ISBLANK($AB$79)</formula>
    </cfRule>
  </conditionalFormatting>
  <conditionalFormatting sqref="AB80:AM80">
    <cfRule type="expression" dxfId="43" priority="6">
      <formula>ISBLANK($AB$80)</formula>
    </cfRule>
  </conditionalFormatting>
  <conditionalFormatting sqref="AB81:AM81">
    <cfRule type="expression" dxfId="42" priority="5">
      <formula>ISBLANK($AB$81)</formula>
    </cfRule>
  </conditionalFormatting>
  <conditionalFormatting sqref="AB82:AM82">
    <cfRule type="expression" dxfId="41" priority="4">
      <formula>ISBLANK($AB$82)</formula>
    </cfRule>
  </conditionalFormatting>
  <conditionalFormatting sqref="C33">
    <cfRule type="containsText" dxfId="40" priority="3" operator="containsText" text="sign">
      <formula>NOT(ISERROR(SEARCH("sign",C33)))</formula>
    </cfRule>
  </conditionalFormatting>
  <conditionalFormatting sqref="C43">
    <cfRule type="expression" dxfId="39" priority="2">
      <formula>ISBLANK($C$43)</formula>
    </cfRule>
  </conditionalFormatting>
  <conditionalFormatting sqref="C45">
    <cfRule type="expression" dxfId="38" priority="148">
      <formula>ISBLANK($C$45)</formula>
    </cfRule>
  </conditionalFormatting>
  <conditionalFormatting sqref="C46">
    <cfRule type="expression" dxfId="37" priority="150">
      <formula>ISBLANK($C$46)</formula>
    </cfRule>
  </conditionalFormatting>
  <conditionalFormatting sqref="C47">
    <cfRule type="expression" dxfId="36" priority="152">
      <formula>ISBLANK($C$47)</formula>
    </cfRule>
  </conditionalFormatting>
  <conditionalFormatting sqref="C48">
    <cfRule type="expression" dxfId="35" priority="154">
      <formula>ISBLANK($C$48)</formula>
    </cfRule>
  </conditionalFormatting>
  <conditionalFormatting sqref="C49">
    <cfRule type="expression" dxfId="34" priority="156">
      <formula>ISBLANK($C$49)</formula>
    </cfRule>
  </conditionalFormatting>
  <conditionalFormatting sqref="C50">
    <cfRule type="expression" dxfId="33" priority="158">
      <formula>ISBLANK($C$50)</formula>
    </cfRule>
  </conditionalFormatting>
  <conditionalFormatting sqref="C51">
    <cfRule type="expression" dxfId="32" priority="160">
      <formula>ISBLANK($C$51)</formula>
    </cfRule>
  </conditionalFormatting>
  <conditionalFormatting sqref="C52">
    <cfRule type="expression" dxfId="31" priority="162">
      <formula>ISBLANK($C$52)</formula>
    </cfRule>
  </conditionalFormatting>
  <conditionalFormatting sqref="C53">
    <cfRule type="expression" dxfId="30" priority="164">
      <formula>ISBLANK($C$53)</formula>
    </cfRule>
  </conditionalFormatting>
  <conditionalFormatting sqref="C54">
    <cfRule type="expression" dxfId="29" priority="166">
      <formula>ISBLANK($C$54)</formula>
    </cfRule>
  </conditionalFormatting>
  <conditionalFormatting sqref="C55">
    <cfRule type="expression" dxfId="28" priority="168">
      <formula>ISBLANK($C$55)</formula>
    </cfRule>
  </conditionalFormatting>
  <conditionalFormatting sqref="C56">
    <cfRule type="expression" dxfId="27" priority="170">
      <formula>ISBLANK($C$56)</formula>
    </cfRule>
  </conditionalFormatting>
  <conditionalFormatting sqref="C57">
    <cfRule type="expression" dxfId="26" priority="172">
      <formula>ISBLANK($C$57)</formula>
    </cfRule>
  </conditionalFormatting>
  <conditionalFormatting sqref="C58">
    <cfRule type="expression" dxfId="25" priority="174">
      <formula>ISBLANK($C$58)</formula>
    </cfRule>
  </conditionalFormatting>
  <conditionalFormatting sqref="C64">
    <cfRule type="expression" dxfId="24" priority="175">
      <formula>ISBLANK($C$64)</formula>
    </cfRule>
  </conditionalFormatting>
  <conditionalFormatting sqref="C65">
    <cfRule type="expression" dxfId="23" priority="177">
      <formula>ISBLANK($C$65)</formula>
    </cfRule>
  </conditionalFormatting>
  <conditionalFormatting sqref="C66">
    <cfRule type="expression" dxfId="22" priority="179">
      <formula>ISBLANK($C$66)</formula>
    </cfRule>
  </conditionalFormatting>
  <conditionalFormatting sqref="C67">
    <cfRule type="expression" dxfId="21" priority="181">
      <formula>ISBLANK($C$67)</formula>
    </cfRule>
  </conditionalFormatting>
  <conditionalFormatting sqref="C68">
    <cfRule type="expression" dxfId="20" priority="183">
      <formula>ISBLANK($C$68)</formula>
    </cfRule>
  </conditionalFormatting>
  <conditionalFormatting sqref="C69">
    <cfRule type="expression" dxfId="19" priority="185">
      <formula>ISBLANK($C$69)</formula>
    </cfRule>
  </conditionalFormatting>
  <conditionalFormatting sqref="C70">
    <cfRule type="expression" dxfId="18" priority="187">
      <formula>ISBLANK($C$70)</formula>
    </cfRule>
  </conditionalFormatting>
  <conditionalFormatting sqref="C71">
    <cfRule type="expression" dxfId="17" priority="189">
      <formula>ISBLANK($C$71)</formula>
    </cfRule>
  </conditionalFormatting>
  <conditionalFormatting sqref="C72">
    <cfRule type="expression" dxfId="16" priority="191">
      <formula>ISBLANK($C$72)</formula>
    </cfRule>
  </conditionalFormatting>
  <conditionalFormatting sqref="C73">
    <cfRule type="expression" dxfId="15" priority="193">
      <formula>ISBLANK($C$73)</formula>
    </cfRule>
  </conditionalFormatting>
  <conditionalFormatting sqref="C74">
    <cfRule type="expression" dxfId="14" priority="195">
      <formula>ISBLANK($C$74)</formula>
    </cfRule>
  </conditionalFormatting>
  <conditionalFormatting sqref="C75">
    <cfRule type="expression" dxfId="13" priority="197">
      <formula>ISBLANK($C$75)</formula>
    </cfRule>
  </conditionalFormatting>
  <conditionalFormatting sqref="C76">
    <cfRule type="expression" dxfId="12" priority="199">
      <formula>ISBLANK($C$76)</formula>
    </cfRule>
  </conditionalFormatting>
  <conditionalFormatting sqref="C77">
    <cfRule type="expression" dxfId="11" priority="201">
      <formula>ISBLANK($C$77)</formula>
    </cfRule>
  </conditionalFormatting>
  <conditionalFormatting sqref="C78">
    <cfRule type="expression" dxfId="10" priority="203">
      <formula>ISBLANK($C$78)</formula>
    </cfRule>
  </conditionalFormatting>
  <conditionalFormatting sqref="C79">
    <cfRule type="expression" dxfId="9" priority="205">
      <formula>ISBLANK($C$79)</formula>
    </cfRule>
  </conditionalFormatting>
  <conditionalFormatting sqref="C80">
    <cfRule type="expression" dxfId="8" priority="207">
      <formula>ISBLANK($C$80)</formula>
    </cfRule>
  </conditionalFormatting>
  <conditionalFormatting sqref="C81">
    <cfRule type="expression" dxfId="7" priority="209">
      <formula>ISBLANK($C$81)</formula>
    </cfRule>
  </conditionalFormatting>
  <conditionalFormatting sqref="C82">
    <cfRule type="expression" dxfId="6" priority="211">
      <formula>ISBLANK($C$82)</formula>
    </cfRule>
    <cfRule type="expression" priority="212">
      <formula>ISBLANK($C$82)</formula>
    </cfRule>
  </conditionalFormatting>
  <conditionalFormatting sqref="AX44:BC82">
    <cfRule type="notContainsBlanks" dxfId="5" priority="1">
      <formula>LEN(TRIM(AX44))&gt;0</formula>
    </cfRule>
  </conditionalFormatting>
  <conditionalFormatting sqref="L17">
    <cfRule type="expression" dxfId="4" priority="213">
      <formula>ISBLANK($L$17)</formula>
    </cfRule>
  </conditionalFormatting>
  <dataValidations count="4">
    <dataValidation type="list" allowBlank="1" showInputMessage="1" showErrorMessage="1" prompt="Please select the province to automatically calculate the tax rate._x000a__x000a_Veuillez sélectionner la province pour calculer automatiquement le taux de taxes.  " sqref="AQ19:AR19">
      <formula1>Prov</formula1>
    </dataValidation>
    <dataValidation type="custom" errorStyle="warning" allowBlank="1" showInputMessage="1" showErrorMessage="1" error="Please enter valid email address.  _x000a__x000a_Veuillez entrer une adresse courriel valide.  " prompt="Please enter valid email address.  _x000a__x000a_Veuillez entrer une adresse courriel valide.  " sqref="F19:O19">
      <formula1>SEARCH(".",F19,(SEARCH("@",F19,1))+2)</formula1>
    </dataValidation>
    <dataValidation allowBlank="1" showInputMessage="1" showErrorMessage="1" prompt="Complete the report table on page 2, and the calculated fees will automatically be populated in this table" sqref="H28:N28"/>
    <dataValidation type="decimal" operator="greaterThan" allowBlank="1" showInputMessage="1" showErrorMessage="1" sqref="AB43:AM58 AB64:AM82">
      <formula1>-10000</formula1>
    </dataValidation>
  </dataValidations>
  <pageMargins left="0.31496062992126" right="0.31496062992126" top="0.511811023622047" bottom="0.27559055118110198" header="0.31496062992126" footer="0.31496062992126"/>
  <pageSetup scale="94" orientation="landscape" horizontalDpi="1200" verticalDpi="1200" r:id="rId1"/>
  <headerFooter scaleWithDoc="0">
    <oddHeader>&amp;R&amp;G</oddHeader>
    <oddFooter>&amp;R&amp;G&amp;K00+000....................</oddFooter>
    <evenFooter>&amp;C&amp;"-,Bold"For more than 16 concerts, please use extra forms</evenFooter>
    <firstFooter xml:space="preserve">&amp;C&amp;"Arial Narrow,Regular"&amp;10SOCAN Licensing, 41 Valleybrook Drive, Toronto ON, M3B 2S6 | Current accounts t 1.866.944.6223 (when prompted, select 3 &amp; 2) | f 416.442.3829 licence@socan.caFirst time licensees t 1.866.944.6210 | f 514.844.4560       </firstFooter>
  </headerFooter>
  <rowBreaks count="2" manualBreakCount="2">
    <brk id="37" max="16383" man="1"/>
    <brk id="59"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7" r:id="rId5" name="List Box 3">
              <controlPr defaultSize="0" autoLine="0" autoPict="0">
                <anchor moveWithCells="1">
                  <from>
                    <xdr:col>0</xdr:col>
                    <xdr:colOff>19050</xdr:colOff>
                    <xdr:row>0</xdr:row>
                    <xdr:rowOff>219075</xdr:rowOff>
                  </from>
                  <to>
                    <xdr:col>4</xdr:col>
                    <xdr:colOff>76200</xdr:colOff>
                    <xdr:row>2</xdr:row>
                    <xdr:rowOff>85725</xdr:rowOff>
                  </to>
                </anchor>
              </controlPr>
            </control>
          </mc:Choice>
        </mc:AlternateContent>
        <mc:AlternateContent xmlns:mc="http://schemas.openxmlformats.org/markup-compatibility/2006">
          <mc:Choice Requires="x14">
            <control shapeId="1034" r:id="rId6" name="Check Box 10">
              <controlPr locked="0" defaultSize="0" autoFill="0" autoLine="0" autoPict="0">
                <anchor moveWithCells="1">
                  <from>
                    <xdr:col>26</xdr:col>
                    <xdr:colOff>133350</xdr:colOff>
                    <xdr:row>11</xdr:row>
                    <xdr:rowOff>114300</xdr:rowOff>
                  </from>
                  <to>
                    <xdr:col>28</xdr:col>
                    <xdr:colOff>76200</xdr:colOff>
                    <xdr:row>13</xdr:row>
                    <xdr:rowOff>38100</xdr:rowOff>
                  </to>
                </anchor>
              </controlPr>
            </control>
          </mc:Choice>
        </mc:AlternateContent>
        <mc:AlternateContent xmlns:mc="http://schemas.openxmlformats.org/markup-compatibility/2006">
          <mc:Choice Requires="x14">
            <control shapeId="1038" r:id="rId7" name="Check Box 14">
              <controlPr locked="0" defaultSize="0" autoFill="0" autoLine="0" autoPict="0">
                <anchor moveWithCells="1">
                  <from>
                    <xdr:col>6</xdr:col>
                    <xdr:colOff>47625</xdr:colOff>
                    <xdr:row>19</xdr:row>
                    <xdr:rowOff>38100</xdr:rowOff>
                  </from>
                  <to>
                    <xdr:col>9</xdr:col>
                    <xdr:colOff>38100</xdr:colOff>
                    <xdr:row>21</xdr:row>
                    <xdr:rowOff>47625</xdr:rowOff>
                  </to>
                </anchor>
              </controlPr>
            </control>
          </mc:Choice>
        </mc:AlternateContent>
        <mc:AlternateContent xmlns:mc="http://schemas.openxmlformats.org/markup-compatibility/2006">
          <mc:Choice Requires="x14">
            <control shapeId="1055" r:id="rId8" name="Check Box 31">
              <controlPr locked="0" defaultSize="0" autoFill="0" autoLine="0" autoPict="0">
                <anchor moveWithCells="1">
                  <from>
                    <xdr:col>2</xdr:col>
                    <xdr:colOff>180975</xdr:colOff>
                    <xdr:row>27</xdr:row>
                    <xdr:rowOff>238125</xdr:rowOff>
                  </from>
                  <to>
                    <xdr:col>4</xdr:col>
                    <xdr:colOff>28575</xdr:colOff>
                    <xdr:row>29</xdr:row>
                    <xdr:rowOff>19050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46" id="{B9D4A354-FBA0-4A28-B0BA-73E8678C7955}">
            <xm:f>Language!$D$2="French"</xm:f>
            <x14:dxf>
              <numFmt numFmtId="167" formatCode="#,##0.00\ [$$-C0C]"/>
            </x14:dxf>
          </x14:cfRule>
          <x14:cfRule type="expression" priority="146" id="{0A21A45E-E3A2-460A-86C7-6EBFA1406FD8}">
            <xm:f>Language!$D$2="English"</xm:f>
            <x14:dxf>
              <numFmt numFmtId="169" formatCode="&quot;$&quot;#,##0.00"/>
            </x14:dxf>
          </x14:cfRule>
          <xm:sqref>C27 M27:Y27</xm:sqref>
        </x14:conditionalFormatting>
        <x14:conditionalFormatting xmlns:xm="http://schemas.microsoft.com/office/excel/2006/main">
          <x14:cfRule type="expression" priority="147" id="{D850F7FE-0D17-40C7-8283-C667657A85B4}">
            <xm:f>Language!$D$2="English"</xm:f>
            <x14:dxf>
              <numFmt numFmtId="168" formatCode="[$$-1009]#,##0.00"/>
            </x14:dxf>
          </x14:cfRule>
          <x14:cfRule type="expression" priority="147" id="{EBFF1559-41DE-456A-BEF9-086FC66C43FB}">
            <xm:f>Language!$D$2="French"</xm:f>
            <x14:dxf>
              <numFmt numFmtId="167" formatCode="#,##0.00\ [$$-C0C]"/>
            </x14:dxf>
          </x14:cfRule>
          <xm:sqref>AB43:AW61 AN83:AW83 AB64:AW82</xm:sqref>
        </x14:conditionalFormatting>
      </x14:conditionalFormattings>
    </ext>
    <ext xmlns:x14="http://schemas.microsoft.com/office/spreadsheetml/2009/9/main" uri="{CCE6A557-97BC-4b89-ADB6-D9C93CAAB3DF}">
      <x14:dataValidations xmlns:xm="http://schemas.microsoft.com/office/excel/2006/main" count="1">
        <x14:dataValidation type="custom" errorStyle="warning" allowBlank="1" showInputMessage="1" showErrorMessage="1" error="Please enter a valid zip or postal code.  _x000a__x000a_Veuillez entrer un code postal valide." prompt="Please enter a valid zip or postal code.  _x000a__x000a_Veuillez entrer un code postal valide.">
          <x14:formula1>
            <xm:f>'PostalCode validation'!F2=0</xm:f>
          </x14:formula1>
          <xm:sqref>AW19:BB19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D5"/>
  <sheetViews>
    <sheetView workbookViewId="0">
      <selection activeCell="C6" sqref="C6:BB6"/>
    </sheetView>
  </sheetViews>
  <sheetFormatPr defaultRowHeight="15" x14ac:dyDescent="0.25"/>
  <cols>
    <col min="3" max="3" width="17.7109375" bestFit="1" customWidth="1"/>
    <col min="4" max="4" width="7.28515625" bestFit="1" customWidth="1"/>
  </cols>
  <sheetData>
    <row r="1" spans="1:4" x14ac:dyDescent="0.25">
      <c r="A1">
        <v>1</v>
      </c>
      <c r="B1" t="s">
        <v>32</v>
      </c>
      <c r="C1" t="s">
        <v>39</v>
      </c>
    </row>
    <row r="2" spans="1:4" x14ac:dyDescent="0.25">
      <c r="A2">
        <v>2</v>
      </c>
      <c r="B2" t="s">
        <v>33</v>
      </c>
      <c r="C2" s="8">
        <f>'Tariff 9'!A2</f>
        <v>1</v>
      </c>
      <c r="D2" s="8" t="str">
        <f>VLOOKUP(C2,A:B,2,FALSE)</f>
        <v>English</v>
      </c>
    </row>
    <row r="4" spans="1:4" x14ac:dyDescent="0.25">
      <c r="B4" t="str">
        <f>IF(C2=1,"English","Anglais")</f>
        <v>English</v>
      </c>
    </row>
    <row r="5" spans="1:4" x14ac:dyDescent="0.25">
      <c r="B5" t="str">
        <f>IF(C2=1,"French","Français")</f>
        <v>French</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F11"/>
  <sheetViews>
    <sheetView workbookViewId="0">
      <selection activeCell="D7" sqref="D7"/>
    </sheetView>
  </sheetViews>
  <sheetFormatPr defaultRowHeight="15" x14ac:dyDescent="0.25"/>
  <cols>
    <col min="2" max="2" width="7.85546875" bestFit="1" customWidth="1"/>
    <col min="3" max="5" width="60.28515625" customWidth="1"/>
  </cols>
  <sheetData>
    <row r="1" spans="1:6" x14ac:dyDescent="0.25">
      <c r="A1" t="s">
        <v>39</v>
      </c>
      <c r="C1" s="8" t="str">
        <f>Language!D2</f>
        <v>English</v>
      </c>
    </row>
    <row r="3" spans="1:6" x14ac:dyDescent="0.25">
      <c r="B3" t="s">
        <v>41</v>
      </c>
      <c r="D3" s="55"/>
      <c r="E3" s="55"/>
      <c r="F3" s="55"/>
    </row>
    <row r="4" spans="1:6" x14ac:dyDescent="0.25">
      <c r="C4" s="55" t="s">
        <v>42</v>
      </c>
      <c r="D4" s="68" t="s">
        <v>32</v>
      </c>
      <c r="E4" s="68" t="s">
        <v>33</v>
      </c>
      <c r="F4" s="62"/>
    </row>
    <row r="5" spans="1:6" ht="30" x14ac:dyDescent="0.25">
      <c r="A5" s="7" t="s">
        <v>34</v>
      </c>
      <c r="B5" s="7">
        <v>2</v>
      </c>
      <c r="C5" s="54" t="str">
        <f>IF($C$1="English",D5,E5)</f>
        <v xml:space="preserve">MUSIC LICENCE FORM - TARIFF 9 - SPORTS EVENTS </v>
      </c>
      <c r="D5" s="54" t="s">
        <v>120</v>
      </c>
      <c r="E5" s="67" t="s">
        <v>121</v>
      </c>
      <c r="F5" s="1"/>
    </row>
    <row r="6" spans="1:6" ht="30" x14ac:dyDescent="0.25">
      <c r="A6" s="7" t="s">
        <v>35</v>
      </c>
      <c r="B6" s="7">
        <v>3</v>
      </c>
      <c r="C6" s="54" t="str">
        <f t="shared" ref="C6:C11" si="0">IF($C$1="English",D6,E6)</f>
        <v>Baseball, football, hockey, skating competitions, races, track meets and other sports events</v>
      </c>
      <c r="D6" s="54" t="s">
        <v>152</v>
      </c>
      <c r="E6" s="67" t="s">
        <v>151</v>
      </c>
      <c r="F6" s="1"/>
    </row>
    <row r="7" spans="1:6" ht="45" x14ac:dyDescent="0.25">
      <c r="A7" s="7" t="s">
        <v>34</v>
      </c>
      <c r="B7" s="7">
        <v>4</v>
      </c>
      <c r="C7" s="54" t="str">
        <f t="shared" si="0"/>
        <v>Grants you permission to play (publicly perform) live or recorded musical works at sports events</v>
      </c>
      <c r="D7" s="54" t="s">
        <v>122</v>
      </c>
      <c r="E7" s="67" t="s">
        <v>126</v>
      </c>
      <c r="F7" s="1"/>
    </row>
    <row r="8" spans="1:6" ht="45" x14ac:dyDescent="0.25">
      <c r="A8" s="7" t="s">
        <v>35</v>
      </c>
      <c r="B8" s="7">
        <v>5</v>
      </c>
      <c r="C8" s="54" t="str">
        <f t="shared" si="0"/>
        <v>Does not cover music performances at opening/closing events for which an additional admission is charged (see Tariff 4)</v>
      </c>
      <c r="D8" s="54" t="s">
        <v>123</v>
      </c>
      <c r="E8" s="67" t="s">
        <v>127</v>
      </c>
      <c r="F8" s="1"/>
    </row>
    <row r="9" spans="1:6" ht="90" x14ac:dyDescent="0.25">
      <c r="A9" s="7" t="s">
        <v>36</v>
      </c>
      <c r="B9" s="7">
        <v>6</v>
      </c>
      <c r="C9" s="54" t="str">
        <f t="shared" si="0"/>
        <v xml:space="preserve">Fee is 0.1% of the gross receipts from ticket sales (a complimentary ticket is valued at half the lowest price paid for a sold ticket from the same category in the same event) net of sales and amusement taxes (minimum fee for admission to free events is $5) + taxes </v>
      </c>
      <c r="D9" s="54" t="s">
        <v>144</v>
      </c>
      <c r="E9" s="67" t="s">
        <v>145</v>
      </c>
      <c r="F9" s="1"/>
    </row>
    <row r="10" spans="1:6" ht="45" x14ac:dyDescent="0.25">
      <c r="A10" s="7" t="s">
        <v>37</v>
      </c>
      <c r="B10" s="7">
        <v>7</v>
      </c>
      <c r="C10" s="54" t="str">
        <f t="shared" si="0"/>
        <v xml:space="preserve">Deadline for SOCAN to receive forms and payments is no later than 30 days after the end of each quarter. </v>
      </c>
      <c r="D10" s="54" t="s">
        <v>124</v>
      </c>
      <c r="E10" s="67" t="s">
        <v>128</v>
      </c>
      <c r="F10" s="1"/>
    </row>
    <row r="11" spans="1:6" x14ac:dyDescent="0.25">
      <c r="A11" s="7" t="s">
        <v>38</v>
      </c>
      <c r="B11" s="7">
        <v>8</v>
      </c>
      <c r="C11" s="54" t="str">
        <f t="shared" si="0"/>
        <v xml:space="preserve">For more information, read the Tariff 9 Infocard  </v>
      </c>
      <c r="D11" s="54" t="s">
        <v>125</v>
      </c>
      <c r="E11" s="67" t="s">
        <v>129</v>
      </c>
      <c r="F1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D21"/>
  <sheetViews>
    <sheetView workbookViewId="0">
      <selection activeCell="B42" sqref="B42"/>
    </sheetView>
  </sheetViews>
  <sheetFormatPr defaultRowHeight="15" x14ac:dyDescent="0.25"/>
  <cols>
    <col min="1" max="1" width="17.7109375" bestFit="1" customWidth="1"/>
    <col min="2" max="2" width="59.28515625" bestFit="1" customWidth="1"/>
    <col min="3" max="3" width="37" bestFit="1" customWidth="1"/>
    <col min="4" max="4" width="59.28515625" bestFit="1" customWidth="1"/>
  </cols>
  <sheetData>
    <row r="1" spans="1:4" x14ac:dyDescent="0.25">
      <c r="A1" t="s">
        <v>40</v>
      </c>
      <c r="B1" s="8" t="str">
        <f>Language!D2</f>
        <v>English</v>
      </c>
    </row>
    <row r="2" spans="1:4" x14ac:dyDescent="0.25">
      <c r="B2" s="1"/>
    </row>
    <row r="3" spans="1:4" x14ac:dyDescent="0.25">
      <c r="B3" t="s">
        <v>58</v>
      </c>
      <c r="C3" t="s">
        <v>32</v>
      </c>
      <c r="D3" t="s">
        <v>33</v>
      </c>
    </row>
    <row r="4" spans="1:4" x14ac:dyDescent="0.25">
      <c r="A4" t="s">
        <v>43</v>
      </c>
      <c r="B4" t="str">
        <f>IF($B$1="English",C4,D4)</f>
        <v>Account number</v>
      </c>
      <c r="C4" s="4" t="s">
        <v>21</v>
      </c>
      <c r="D4" t="s">
        <v>59</v>
      </c>
    </row>
    <row r="5" spans="1:4" x14ac:dyDescent="0.25">
      <c r="A5" t="s">
        <v>44</v>
      </c>
      <c r="B5" t="str">
        <f>IF($B$1="English",C5,D5)</f>
        <v>(or if you are a new licensee, check here)</v>
      </c>
      <c r="C5" s="4" t="s">
        <v>68</v>
      </c>
      <c r="D5" t="s">
        <v>157</v>
      </c>
    </row>
    <row r="6" spans="1:4" x14ac:dyDescent="0.25">
      <c r="A6" t="s">
        <v>45</v>
      </c>
      <c r="B6" t="str">
        <f t="shared" ref="B6:B19" si="0">IF($B$1="English",C6,D6)</f>
        <v>Business name</v>
      </c>
      <c r="C6" s="4" t="s">
        <v>20</v>
      </c>
      <c r="D6" t="s">
        <v>61</v>
      </c>
    </row>
    <row r="7" spans="1:4" x14ac:dyDescent="0.25">
      <c r="A7" t="s">
        <v>46</v>
      </c>
      <c r="B7" t="str">
        <f t="shared" si="0"/>
        <v>Legal name of organization or owner</v>
      </c>
      <c r="C7" s="2" t="s">
        <v>19</v>
      </c>
      <c r="D7" s="9" t="s">
        <v>62</v>
      </c>
    </row>
    <row r="8" spans="1:4" x14ac:dyDescent="0.25">
      <c r="A8" t="s">
        <v>47</v>
      </c>
      <c r="B8" t="str">
        <f t="shared" si="0"/>
        <v>Contact name</v>
      </c>
      <c r="C8" s="4" t="s">
        <v>18</v>
      </c>
      <c r="D8" t="s">
        <v>158</v>
      </c>
    </row>
    <row r="9" spans="1:4" x14ac:dyDescent="0.25">
      <c r="A9" t="s">
        <v>48</v>
      </c>
      <c r="B9" t="str">
        <f>IF($B$1="English",C9,D9)</f>
        <v>Title</v>
      </c>
      <c r="C9" s="5" t="s">
        <v>7</v>
      </c>
      <c r="D9" t="s">
        <v>63</v>
      </c>
    </row>
    <row r="10" spans="1:4" x14ac:dyDescent="0.25">
      <c r="A10" t="s">
        <v>49</v>
      </c>
      <c r="B10" t="str">
        <f t="shared" si="0"/>
        <v>Phone number</v>
      </c>
      <c r="C10" s="2" t="s">
        <v>17</v>
      </c>
      <c r="D10" s="9" t="s">
        <v>153</v>
      </c>
    </row>
    <row r="11" spans="1:4" x14ac:dyDescent="0.25">
      <c r="A11" t="s">
        <v>50</v>
      </c>
      <c r="B11" t="str">
        <f t="shared" si="0"/>
        <v>Fax number</v>
      </c>
      <c r="C11" s="2" t="s">
        <v>160</v>
      </c>
      <c r="D11" s="9" t="s">
        <v>154</v>
      </c>
    </row>
    <row r="12" spans="1:4" x14ac:dyDescent="0.25">
      <c r="A12" t="s">
        <v>51</v>
      </c>
      <c r="B12" t="str">
        <f t="shared" si="0"/>
        <v>Email</v>
      </c>
      <c r="C12" s="4" t="s">
        <v>16</v>
      </c>
      <c r="D12" s="9" t="s">
        <v>64</v>
      </c>
    </row>
    <row r="13" spans="1:4" x14ac:dyDescent="0.25">
      <c r="A13" t="s">
        <v>52</v>
      </c>
      <c r="B13" t="str">
        <f t="shared" si="0"/>
        <v>Street address</v>
      </c>
      <c r="C13" s="2" t="s">
        <v>15</v>
      </c>
      <c r="D13" s="9" t="s">
        <v>65</v>
      </c>
    </row>
    <row r="14" spans="1:4" x14ac:dyDescent="0.25">
      <c r="A14" t="s">
        <v>53</v>
      </c>
      <c r="B14" t="str">
        <f t="shared" si="0"/>
        <v>City</v>
      </c>
      <c r="C14" s="6" t="s">
        <v>14</v>
      </c>
      <c r="D14" s="6" t="s">
        <v>66</v>
      </c>
    </row>
    <row r="15" spans="1:4" x14ac:dyDescent="0.25">
      <c r="A15" t="s">
        <v>54</v>
      </c>
      <c r="B15" t="str">
        <f t="shared" si="0"/>
        <v>Province</v>
      </c>
      <c r="C15" s="2" t="s">
        <v>13</v>
      </c>
      <c r="D15" s="2" t="s">
        <v>13</v>
      </c>
    </row>
    <row r="16" spans="1:4" x14ac:dyDescent="0.25">
      <c r="A16" t="s">
        <v>55</v>
      </c>
      <c r="B16" t="str">
        <f t="shared" si="0"/>
        <v>Postal code</v>
      </c>
      <c r="C16" s="2" t="s">
        <v>11</v>
      </c>
      <c r="D16" s="4" t="s">
        <v>67</v>
      </c>
    </row>
    <row r="17" spans="1:4" x14ac:dyDescent="0.25">
      <c r="A17" t="s">
        <v>56</v>
      </c>
      <c r="B17" t="str">
        <f t="shared" si="0"/>
        <v>Mailing address</v>
      </c>
      <c r="C17" s="4" t="s">
        <v>69</v>
      </c>
      <c r="D17" s="4" t="s">
        <v>70</v>
      </c>
    </row>
    <row r="18" spans="1:4" x14ac:dyDescent="0.25">
      <c r="A18" t="s">
        <v>57</v>
      </c>
      <c r="B18" t="str">
        <f t="shared" si="0"/>
        <v>(check here if same as above)</v>
      </c>
      <c r="C18" s="4" t="s">
        <v>71</v>
      </c>
      <c r="D18" s="4" t="s">
        <v>155</v>
      </c>
    </row>
    <row r="19" spans="1:4" x14ac:dyDescent="0.25">
      <c r="A19" t="s">
        <v>60</v>
      </c>
      <c r="B19" t="str">
        <f t="shared" si="0"/>
        <v>Tax exemption number (if applicable)</v>
      </c>
      <c r="C19" s="2" t="s">
        <v>10</v>
      </c>
      <c r="D19" s="9" t="s">
        <v>156</v>
      </c>
    </row>
    <row r="20" spans="1:4" x14ac:dyDescent="0.25">
      <c r="A20" t="s">
        <v>148</v>
      </c>
      <c r="B20" t="str">
        <f>IF($B$1="English",C20,D20)</f>
        <v>Please return this form by email or mail, and send your payment by cheque made payable to SOCAN or contact SOCAN to pay by credit card.  Or visit eSOCAN to submit online.</v>
      </c>
      <c r="C20" s="2" t="s">
        <v>149</v>
      </c>
      <c r="D20" s="4" t="s">
        <v>150</v>
      </c>
    </row>
    <row r="21" spans="1:4" x14ac:dyDescent="0.25">
      <c r="A21" t="s">
        <v>164</v>
      </c>
      <c r="B21" t="str">
        <f>IF($B$1="English",C21,D21)</f>
        <v>Website</v>
      </c>
      <c r="C21" s="2" t="s">
        <v>163</v>
      </c>
      <c r="D21" s="4" t="s">
        <v>165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E16"/>
  <sheetViews>
    <sheetView workbookViewId="0">
      <selection activeCell="D13" sqref="D13"/>
    </sheetView>
  </sheetViews>
  <sheetFormatPr defaultRowHeight="15" x14ac:dyDescent="0.25"/>
  <cols>
    <col min="1" max="1" width="9.140625" style="49"/>
    <col min="4" max="4" width="9.7109375" bestFit="1" customWidth="1"/>
  </cols>
  <sheetData>
    <row r="1" spans="1:5" x14ac:dyDescent="0.25">
      <c r="B1" s="223" t="s">
        <v>112</v>
      </c>
      <c r="C1" s="223"/>
      <c r="D1" t="s">
        <v>113</v>
      </c>
    </row>
    <row r="2" spans="1:5" x14ac:dyDescent="0.25">
      <c r="A2" s="49" t="s">
        <v>13</v>
      </c>
      <c r="B2" t="str">
        <f>IF(Language!D2="English","GST/HST","TPS/TVH")</f>
        <v>GST/HST</v>
      </c>
      <c r="C2" t="str">
        <f>IF(Language!D2="English","QST","TVQ")</f>
        <v>QST</v>
      </c>
      <c r="D2" t="str">
        <f>IF(Language!H1="English","GST/HST","TPS/TVH")</f>
        <v>TPS/TVH</v>
      </c>
      <c r="E2" t="str">
        <f>IF(Language!H1="English","QST","TVQ")</f>
        <v>TVQ</v>
      </c>
    </row>
    <row r="3" spans="1:5" x14ac:dyDescent="0.25">
      <c r="A3" s="47" t="s">
        <v>159</v>
      </c>
      <c r="B3" s="58">
        <v>0</v>
      </c>
      <c r="C3" s="57"/>
      <c r="D3" s="58">
        <v>0</v>
      </c>
      <c r="E3" s="57"/>
    </row>
    <row r="4" spans="1:5" x14ac:dyDescent="0.25">
      <c r="A4" s="47" t="s">
        <v>31</v>
      </c>
      <c r="B4" s="58">
        <v>0.05</v>
      </c>
      <c r="C4" s="57"/>
      <c r="D4" s="58">
        <v>0.05</v>
      </c>
      <c r="E4" s="57"/>
    </row>
    <row r="5" spans="1:5" x14ac:dyDescent="0.25">
      <c r="A5" s="47" t="s">
        <v>30</v>
      </c>
      <c r="B5" s="59">
        <v>0.05</v>
      </c>
      <c r="C5" s="57"/>
      <c r="D5" s="59">
        <v>0.05</v>
      </c>
      <c r="E5" s="57"/>
    </row>
    <row r="6" spans="1:5" x14ac:dyDescent="0.25">
      <c r="A6" s="47" t="s">
        <v>29</v>
      </c>
      <c r="B6" s="58">
        <v>0.05</v>
      </c>
      <c r="C6" s="57"/>
      <c r="D6" s="58">
        <v>0.05</v>
      </c>
      <c r="E6" s="57"/>
    </row>
    <row r="7" spans="1:5" x14ac:dyDescent="0.25">
      <c r="A7" s="47" t="s">
        <v>28</v>
      </c>
      <c r="B7" s="58">
        <v>0.13</v>
      </c>
      <c r="C7" s="57"/>
      <c r="D7" s="58">
        <v>0.13</v>
      </c>
      <c r="E7" s="57"/>
    </row>
    <row r="8" spans="1:5" x14ac:dyDescent="0.25">
      <c r="A8" s="47" t="s">
        <v>27</v>
      </c>
      <c r="B8" s="58">
        <v>0.13</v>
      </c>
      <c r="C8" s="57"/>
      <c r="D8" s="58">
        <v>0.13</v>
      </c>
      <c r="E8" s="57"/>
    </row>
    <row r="9" spans="1:5" x14ac:dyDescent="0.25">
      <c r="A9" s="47" t="s">
        <v>26</v>
      </c>
      <c r="B9" s="58">
        <v>0.15</v>
      </c>
      <c r="C9" s="57"/>
      <c r="D9" s="58">
        <v>0.15</v>
      </c>
      <c r="E9" s="57"/>
    </row>
    <row r="10" spans="1:5" x14ac:dyDescent="0.25">
      <c r="A10" s="47" t="s">
        <v>25</v>
      </c>
      <c r="B10" s="58">
        <v>0.05</v>
      </c>
      <c r="C10" s="57"/>
      <c r="D10" s="58">
        <v>0.05</v>
      </c>
      <c r="E10" s="57"/>
    </row>
    <row r="11" spans="1:5" x14ac:dyDescent="0.25">
      <c r="A11" s="47" t="s">
        <v>24</v>
      </c>
      <c r="B11" s="58">
        <v>0.05</v>
      </c>
      <c r="C11" s="57"/>
      <c r="D11" s="58">
        <v>0.05</v>
      </c>
      <c r="E11" s="57"/>
    </row>
    <row r="12" spans="1:5" x14ac:dyDescent="0.25">
      <c r="A12" s="47" t="s">
        <v>12</v>
      </c>
      <c r="B12" s="58">
        <v>0.13</v>
      </c>
      <c r="C12" s="57"/>
      <c r="D12" s="58">
        <v>0.13</v>
      </c>
      <c r="E12" s="57"/>
    </row>
    <row r="13" spans="1:5" x14ac:dyDescent="0.25">
      <c r="A13" s="47" t="s">
        <v>110</v>
      </c>
      <c r="B13" s="58">
        <v>0.14000000000000001</v>
      </c>
      <c r="C13" s="57"/>
      <c r="D13" s="58">
        <v>0.14000000000000001</v>
      </c>
      <c r="E13" s="57"/>
    </row>
    <row r="14" spans="1:5" x14ac:dyDescent="0.25">
      <c r="A14" s="48" t="s">
        <v>23</v>
      </c>
      <c r="B14" s="58">
        <v>0.05</v>
      </c>
      <c r="C14" s="60">
        <v>9.9750000000000005E-2</v>
      </c>
      <c r="D14" s="58">
        <v>0.05</v>
      </c>
    </row>
    <row r="15" spans="1:5" x14ac:dyDescent="0.25">
      <c r="A15" s="48" t="s">
        <v>22</v>
      </c>
      <c r="B15" s="58">
        <v>0.05</v>
      </c>
      <c r="C15" s="57"/>
      <c r="D15" s="58">
        <v>0.05</v>
      </c>
      <c r="E15" s="57"/>
    </row>
    <row r="16" spans="1:5" x14ac:dyDescent="0.25">
      <c r="A16" s="48" t="s">
        <v>111</v>
      </c>
      <c r="B16" s="58">
        <v>0.05</v>
      </c>
      <c r="C16" s="57"/>
      <c r="D16" s="58">
        <v>0.05</v>
      </c>
      <c r="E16" s="57"/>
    </row>
  </sheetData>
  <sortState ref="A4:C15">
    <sortCondition ref="A4:A15"/>
  </sortState>
  <mergeCells count="1">
    <mergeCell ref="B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B2:Q11"/>
  <sheetViews>
    <sheetView workbookViewId="0">
      <selection activeCell="AB42" sqref="AB42:AM42"/>
    </sheetView>
  </sheetViews>
  <sheetFormatPr defaultRowHeight="15" x14ac:dyDescent="0.25"/>
  <cols>
    <col min="2" max="2" width="25.5703125" bestFit="1" customWidth="1"/>
    <col min="3" max="3" width="12.28515625" bestFit="1" customWidth="1"/>
    <col min="4" max="4" width="12.7109375" bestFit="1" customWidth="1"/>
    <col min="5" max="5" width="13.85546875" bestFit="1" customWidth="1"/>
  </cols>
  <sheetData>
    <row r="2" spans="2:17" x14ac:dyDescent="0.25">
      <c r="B2" t="s">
        <v>82</v>
      </c>
      <c r="C2" s="8" t="str">
        <f>TRIM('Tariff 9'!AW19)</f>
        <v/>
      </c>
      <c r="D2" t="s">
        <v>74</v>
      </c>
      <c r="E2" t="s">
        <v>75</v>
      </c>
      <c r="F2" s="8">
        <f>SUM(F3:F9)</f>
        <v>0</v>
      </c>
    </row>
    <row r="3" spans="2:17" x14ac:dyDescent="0.25">
      <c r="B3" t="s">
        <v>73</v>
      </c>
      <c r="C3" s="8">
        <f>IF(C11=" ",LEN('Tariff 9'!AW19)-1,LEN('Tariff 9'!AW19))</f>
        <v>0</v>
      </c>
      <c r="D3">
        <v>6</v>
      </c>
      <c r="E3" t="str">
        <f>IF(C3=0,"True",EXACT(C3,D3))</f>
        <v>True</v>
      </c>
      <c r="F3">
        <f>IF(E3=FALSE,1,0)</f>
        <v>0</v>
      </c>
    </row>
    <row r="4" spans="2:17" x14ac:dyDescent="0.25">
      <c r="B4" t="s">
        <v>76</v>
      </c>
      <c r="C4" s="8" t="str">
        <f>LEFT('Tariff 9'!AW19,1)</f>
        <v/>
      </c>
      <c r="E4" t="str">
        <f>IF($C$3=0,"True",IF(ISERROR(IF(ISTEXT(C4),"True","False")),"False",IF(ISTEXT(C4),"True","False")))</f>
        <v>True</v>
      </c>
      <c r="F4">
        <f t="shared" ref="F4:F9" si="0">IF(E4="false",1,0)</f>
        <v>0</v>
      </c>
    </row>
    <row r="5" spans="2:17" x14ac:dyDescent="0.25">
      <c r="B5" t="s">
        <v>79</v>
      </c>
      <c r="C5" s="53" t="str">
        <f>MID('Tariff 9'!AW19,2,1)</f>
        <v/>
      </c>
      <c r="D5" t="e">
        <f>HLOOKUP(C5,H5:Q5,1,FALSE)</f>
        <v>#N/A</v>
      </c>
      <c r="E5" t="str">
        <f>IF(C3=0,"True",IF(ISERROR(EXACT(C5,D5)),"False",EXACT(C5,D5)))</f>
        <v>True</v>
      </c>
      <c r="F5">
        <f>IF(E5="false",1,0)</f>
        <v>0</v>
      </c>
      <c r="H5" s="52" t="s">
        <v>83</v>
      </c>
      <c r="I5" s="52" t="s">
        <v>84</v>
      </c>
      <c r="J5" s="52" t="s">
        <v>85</v>
      </c>
      <c r="K5" s="52" t="s">
        <v>86</v>
      </c>
      <c r="L5" s="52" t="s">
        <v>87</v>
      </c>
      <c r="M5" s="52" t="s">
        <v>88</v>
      </c>
      <c r="N5" s="52" t="s">
        <v>89</v>
      </c>
      <c r="O5" s="52" t="s">
        <v>90</v>
      </c>
      <c r="P5" s="52" t="s">
        <v>91</v>
      </c>
      <c r="Q5" s="52" t="s">
        <v>92</v>
      </c>
    </row>
    <row r="6" spans="2:17" x14ac:dyDescent="0.25">
      <c r="B6" t="s">
        <v>77</v>
      </c>
      <c r="C6" s="8" t="str">
        <f>MID('Tariff 9'!AW19,3,1)</f>
        <v/>
      </c>
      <c r="E6" t="str">
        <f>IF($C$3=0,"True",IF(ISERROR(IF(ISTEXT(C6),"True","False")),"False",IF(ISTEXT(C6),"True","False")))</f>
        <v>True</v>
      </c>
      <c r="F6">
        <f t="shared" si="0"/>
        <v>0</v>
      </c>
    </row>
    <row r="7" spans="2:17" x14ac:dyDescent="0.25">
      <c r="B7" t="s">
        <v>80</v>
      </c>
      <c r="C7" s="8" t="str">
        <f>IF(C11=" ",MID('Tariff 9'!AW19,5,1),MID('Tariff 9'!AW19,4,1))</f>
        <v/>
      </c>
      <c r="D7" t="e">
        <f>HLOOKUP(C7,H7:Q7,1,FALSE)</f>
        <v>#N/A</v>
      </c>
      <c r="E7" t="str">
        <f>IF(C3=0,"True",IF(ISERROR(EXACT(C7,D7)),"False",EXACT(C7,D7)))</f>
        <v>True</v>
      </c>
      <c r="F7">
        <f t="shared" si="0"/>
        <v>0</v>
      </c>
      <c r="H7" s="52" t="s">
        <v>83</v>
      </c>
      <c r="I7" s="52" t="s">
        <v>84</v>
      </c>
      <c r="J7" s="52" t="s">
        <v>85</v>
      </c>
      <c r="K7" s="52" t="s">
        <v>86</v>
      </c>
      <c r="L7" s="52" t="s">
        <v>87</v>
      </c>
      <c r="M7" s="52" t="s">
        <v>88</v>
      </c>
      <c r="N7" s="52" t="s">
        <v>89</v>
      </c>
      <c r="O7" s="52" t="s">
        <v>90</v>
      </c>
      <c r="P7" s="52" t="s">
        <v>91</v>
      </c>
      <c r="Q7" s="52" t="s">
        <v>92</v>
      </c>
    </row>
    <row r="8" spans="2:17" x14ac:dyDescent="0.25">
      <c r="B8" t="s">
        <v>78</v>
      </c>
      <c r="C8" s="8" t="str">
        <f>IF(C11=" ",MID('Tariff 9'!AW19,6,1),MID('Tariff 9'!AW19,5,1))</f>
        <v/>
      </c>
      <c r="E8" t="str">
        <f>IF($C$3=0,"True",IF(ISERROR(IF(ISTEXT(C8),"True","False")),"False",IF(ISTEXT(C8),"True","False")))</f>
        <v>True</v>
      </c>
      <c r="F8">
        <f t="shared" si="0"/>
        <v>0</v>
      </c>
    </row>
    <row r="9" spans="2:17" x14ac:dyDescent="0.25">
      <c r="B9" t="s">
        <v>81</v>
      </c>
      <c r="C9" s="8" t="str">
        <f>IF(C11=" ",MID('Tariff 9'!AW19,7,1),MID('Tariff 9'!AW19,6,1))</f>
        <v/>
      </c>
      <c r="D9" t="e">
        <f>HLOOKUP(C9,H9:Q9,1,FALSE)</f>
        <v>#N/A</v>
      </c>
      <c r="E9" t="str">
        <f>IF(C3=0,"True",IF(ISERROR(EXACT(C9,D9)),"False",EXACT(C9,D9)))</f>
        <v>True</v>
      </c>
      <c r="F9">
        <f t="shared" si="0"/>
        <v>0</v>
      </c>
      <c r="H9" s="52" t="s">
        <v>83</v>
      </c>
      <c r="I9" s="52" t="s">
        <v>84</v>
      </c>
      <c r="J9" s="52" t="s">
        <v>85</v>
      </c>
      <c r="K9" s="52" t="s">
        <v>86</v>
      </c>
      <c r="L9" s="52" t="s">
        <v>87</v>
      </c>
      <c r="M9" s="52" t="s">
        <v>88</v>
      </c>
      <c r="N9" s="52" t="s">
        <v>89</v>
      </c>
      <c r="O9" s="52" t="s">
        <v>90</v>
      </c>
      <c r="P9" s="52" t="s">
        <v>91</v>
      </c>
      <c r="Q9" s="52" t="s">
        <v>92</v>
      </c>
    </row>
    <row r="11" spans="2:17" x14ac:dyDescent="0.25">
      <c r="B11" t="s">
        <v>93</v>
      </c>
      <c r="C11" s="8" t="str">
        <f>MID(C2,4,1)</f>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F13"/>
  <sheetViews>
    <sheetView workbookViewId="0">
      <selection activeCell="D6" sqref="D6"/>
    </sheetView>
  </sheetViews>
  <sheetFormatPr defaultRowHeight="15" x14ac:dyDescent="0.25"/>
  <cols>
    <col min="1" max="1" width="17.7109375" bestFit="1" customWidth="1"/>
    <col min="2" max="2" width="35.7109375" customWidth="1"/>
    <col min="3" max="3" width="35.7109375" style="55" bestFit="1" customWidth="1"/>
    <col min="4" max="4" width="34.140625" style="55" customWidth="1"/>
  </cols>
  <sheetData>
    <row r="1" spans="1:6" x14ac:dyDescent="0.25">
      <c r="A1" t="s">
        <v>40</v>
      </c>
      <c r="B1" s="8" t="str">
        <f>Language!D2</f>
        <v>English</v>
      </c>
      <c r="C1" s="86"/>
    </row>
    <row r="2" spans="1:6" x14ac:dyDescent="0.25">
      <c r="F2" s="55"/>
    </row>
    <row r="3" spans="1:6" x14ac:dyDescent="0.25">
      <c r="A3" t="s">
        <v>95</v>
      </c>
      <c r="C3"/>
      <c r="F3" s="55"/>
    </row>
    <row r="4" spans="1:6" x14ac:dyDescent="0.25">
      <c r="A4" t="s">
        <v>94</v>
      </c>
      <c r="F4" s="55"/>
    </row>
    <row r="5" spans="1:6" x14ac:dyDescent="0.25">
      <c r="B5" t="s">
        <v>58</v>
      </c>
      <c r="C5" s="55" t="s">
        <v>32</v>
      </c>
      <c r="D5" s="55" t="s">
        <v>33</v>
      </c>
      <c r="F5" s="55"/>
    </row>
    <row r="6" spans="1:6" x14ac:dyDescent="0.25">
      <c r="A6" t="s">
        <v>43</v>
      </c>
      <c r="B6" t="str">
        <f>IF($B$1="English",C6,D6)</f>
        <v>Event date</v>
      </c>
      <c r="C6" s="55" t="s">
        <v>130</v>
      </c>
      <c r="D6" s="55" t="s">
        <v>135</v>
      </c>
      <c r="F6" s="55"/>
    </row>
    <row r="7" spans="1:6" x14ac:dyDescent="0.25">
      <c r="A7" t="s">
        <v>44</v>
      </c>
      <c r="B7" t="str">
        <f t="shared" ref="B7:B12" si="0">IF($B$1="English",C7,D7)</f>
        <v>(DD/MM/YYYY)</v>
      </c>
      <c r="C7" s="55" t="s">
        <v>133</v>
      </c>
      <c r="D7" s="55" t="s">
        <v>136</v>
      </c>
    </row>
    <row r="8" spans="1:6" x14ac:dyDescent="0.25">
      <c r="A8" t="s">
        <v>45</v>
      </c>
      <c r="B8" t="str">
        <f t="shared" si="0"/>
        <v>Event name</v>
      </c>
      <c r="C8" s="55" t="s">
        <v>131</v>
      </c>
      <c r="D8" s="55" t="s">
        <v>137</v>
      </c>
    </row>
    <row r="9" spans="1:6" x14ac:dyDescent="0.25">
      <c r="A9" t="s">
        <v>46</v>
      </c>
      <c r="B9" t="str">
        <f t="shared" si="0"/>
        <v>Gross receipts (A)</v>
      </c>
      <c r="C9" s="87" t="s">
        <v>132</v>
      </c>
      <c r="D9" s="55" t="s">
        <v>138</v>
      </c>
    </row>
    <row r="10" spans="1:6" x14ac:dyDescent="0.25">
      <c r="A10" t="s">
        <v>47</v>
      </c>
      <c r="B10" t="str">
        <f t="shared" si="0"/>
        <v>= $0 if the event is free</v>
      </c>
      <c r="C10" s="87" t="s">
        <v>142</v>
      </c>
      <c r="D10" s="87" t="s">
        <v>143</v>
      </c>
    </row>
    <row r="11" spans="1:6" x14ac:dyDescent="0.25">
      <c r="A11" t="s">
        <v>48</v>
      </c>
      <c r="B11" t="str">
        <f t="shared" si="0"/>
        <v>Total licence fee</v>
      </c>
      <c r="C11" s="55" t="s">
        <v>140</v>
      </c>
      <c r="D11" s="55" t="s">
        <v>141</v>
      </c>
    </row>
    <row r="12" spans="1:6" x14ac:dyDescent="0.25">
      <c r="A12" t="s">
        <v>49</v>
      </c>
      <c r="B12" t="str">
        <f t="shared" si="0"/>
        <v>= (A) x 0.1% (or $5 if free event)</v>
      </c>
      <c r="C12" s="87" t="s">
        <v>146</v>
      </c>
      <c r="D12" s="87" t="s">
        <v>147</v>
      </c>
    </row>
    <row r="13" spans="1:6" x14ac:dyDescent="0.25">
      <c r="A13" t="s">
        <v>50</v>
      </c>
      <c r="B13" t="str">
        <f>IF($B$1="English",C13,D13)</f>
        <v>TOTAL DUE</v>
      </c>
      <c r="C13" s="55" t="s">
        <v>134</v>
      </c>
      <c r="D13" s="55" t="s">
        <v>139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D19"/>
  <sheetViews>
    <sheetView topLeftCell="A4" workbookViewId="0">
      <selection activeCell="C24" sqref="C24"/>
    </sheetView>
  </sheetViews>
  <sheetFormatPr defaultRowHeight="15" x14ac:dyDescent="0.25"/>
  <cols>
    <col min="2" max="2" width="44.5703125" customWidth="1"/>
    <col min="3" max="3" width="161.85546875" customWidth="1"/>
    <col min="4" max="4" width="36.28515625" customWidth="1"/>
  </cols>
  <sheetData>
    <row r="1" spans="1:4" x14ac:dyDescent="0.25">
      <c r="A1" t="s">
        <v>40</v>
      </c>
      <c r="B1" s="8" t="str">
        <f>Language!D2</f>
        <v>English</v>
      </c>
    </row>
    <row r="5" spans="1:4" x14ac:dyDescent="0.25">
      <c r="B5" t="s">
        <v>58</v>
      </c>
      <c r="C5" s="55" t="s">
        <v>32</v>
      </c>
      <c r="D5" s="55" t="s">
        <v>33</v>
      </c>
    </row>
    <row r="6" spans="1:4" x14ac:dyDescent="0.25">
      <c r="A6" t="s">
        <v>43</v>
      </c>
      <c r="B6" t="str">
        <f>IF($B$1="English",C6,D6)</f>
        <v>Important Information</v>
      </c>
      <c r="C6" s="55" t="s">
        <v>6</v>
      </c>
      <c r="D6" s="55" t="s">
        <v>96</v>
      </c>
    </row>
    <row r="7" spans="1:4" x14ac:dyDescent="0.25">
      <c r="A7" t="s">
        <v>44</v>
      </c>
      <c r="B7" t="str">
        <f>IF($B$1="English",C7,D7)</f>
        <v xml:space="preserve">SOCAN is a not-for-profit, member-based organization that represents the Canadian performing rights of more than three-million Canadian and international music creators and publishers. SOCAN is proud to play a leading role in supporting the long-term success of its more than 110,000 Canadian members, and the Canadian music industry overall. SOCAN licenses more than 125,000 businesses in Canada, and distributes royalties to its members and music rights organizations around the world. SOCAN also distributes royalties to its members for the use of their music internationally in collaboration with its peer societies. </v>
      </c>
      <c r="C7" s="55" t="s">
        <v>161</v>
      </c>
      <c r="D7" s="55" t="s">
        <v>162</v>
      </c>
    </row>
    <row r="8" spans="1:4" x14ac:dyDescent="0.25">
      <c r="A8" t="s">
        <v>45</v>
      </c>
      <c r="B8" t="str">
        <f t="shared" ref="B8:B19" si="0">IF($B$1="English",C8,D8)</f>
        <v xml:space="preserve">Terms &amp; Conditions </v>
      </c>
      <c r="C8" s="55" t="s">
        <v>5</v>
      </c>
      <c r="D8" s="55" t="s">
        <v>97</v>
      </c>
    </row>
    <row r="9" spans="1:4" x14ac:dyDescent="0.25">
      <c r="A9" t="s">
        <v>46</v>
      </c>
      <c r="B9" t="str">
        <f t="shared" si="0"/>
        <v>The legal terms that govern your licence include those set out herein as well as those found in the approved tariff including the General Provisions, as approved by the Copyright Board of Canada for each year (collectively, the “tariff”). If you have any questions regarding the terms, please contact us.</v>
      </c>
      <c r="C9" s="55" t="s">
        <v>98</v>
      </c>
      <c r="D9" s="55" t="s">
        <v>99</v>
      </c>
    </row>
    <row r="10" spans="1:4" x14ac:dyDescent="0.25">
      <c r="A10" t="s">
        <v>47</v>
      </c>
      <c r="B10" t="str">
        <f t="shared" si="0"/>
        <v>In this form, you, your and licensee means the person or company applying for a licence or filing an annual report. We, our, us and SOCAN means the Society of Composers, Authors and Music Publishers of Canada. Works means any or all of the musical works in SOCAN’s repertoire.</v>
      </c>
      <c r="C10" s="55" t="s">
        <v>100</v>
      </c>
      <c r="D10" s="55" t="s">
        <v>101</v>
      </c>
    </row>
    <row r="11" spans="1:4" x14ac:dyDescent="0.25">
      <c r="A11" t="s">
        <v>48</v>
      </c>
      <c r="B11" t="str">
        <f t="shared" si="0"/>
        <v>A copy of any SOCAN tariff may be obtained by emailing licence@socan.ca or calling 1.866.944.6223.</v>
      </c>
      <c r="C11" s="55" t="s">
        <v>4</v>
      </c>
      <c r="D11" s="55" t="s">
        <v>102</v>
      </c>
    </row>
    <row r="12" spans="1:4" x14ac:dyDescent="0.25">
      <c r="A12" t="s">
        <v>49</v>
      </c>
      <c r="B12" t="str">
        <f t="shared" si="0"/>
        <v>If the tariff for a year has not been approved by January 1st of that year, the last approved tariff will govern until the new tariff is approved, at which time the licence fees will be adjusted to reflect the approved tariff for the year.</v>
      </c>
      <c r="C12" s="55" t="s">
        <v>3</v>
      </c>
      <c r="D12" t="s">
        <v>103</v>
      </c>
    </row>
    <row r="13" spans="1:4" x14ac:dyDescent="0.25">
      <c r="A13" t="s">
        <v>50</v>
      </c>
      <c r="B13" t="str">
        <f t="shared" si="0"/>
        <v>The licence fee, plus applicable taxes for the year, will be calculated in accordance with the terms of the tariff based on the information set out in the most recently filed report form or audit form, subject to adjustment to reflect any updated reports or audits pursuant to the tariff.</v>
      </c>
      <c r="C13" s="55" t="s">
        <v>2</v>
      </c>
      <c r="D13" t="s">
        <v>104</v>
      </c>
    </row>
    <row r="14" spans="1:4" x14ac:dyDescent="0.25">
      <c r="A14" t="s">
        <v>51</v>
      </c>
      <c r="B14" t="str">
        <f t="shared" si="0"/>
        <v>You will keep records of all information required to calculate the licence fees.</v>
      </c>
      <c r="C14" t="s">
        <v>1</v>
      </c>
      <c r="D14" t="s">
        <v>105</v>
      </c>
    </row>
    <row r="15" spans="1:4" x14ac:dyDescent="0.25">
      <c r="A15" t="s">
        <v>52</v>
      </c>
      <c r="B15" t="str">
        <f t="shared" si="0"/>
        <v xml:space="preserve">You will submit to SOCAN your licence application and payment on the first day of the licensed month.  </v>
      </c>
      <c r="C15" t="s">
        <v>117</v>
      </c>
      <c r="D15" t="s">
        <v>118</v>
      </c>
    </row>
    <row r="16" spans="1:4" x14ac:dyDescent="0.25">
      <c r="A16" t="s">
        <v>53</v>
      </c>
      <c r="B16" t="str">
        <f t="shared" si="0"/>
        <v xml:space="preserve">We are committed to handling your personal information responsibly. For more information about SOCAN’s Privacy Policy, please visit www.socan.ca </v>
      </c>
      <c r="C16" t="s">
        <v>0</v>
      </c>
      <c r="D16" t="s">
        <v>106</v>
      </c>
    </row>
    <row r="17" spans="1:4" x14ac:dyDescent="0.25">
      <c r="A17" t="s">
        <v>54</v>
      </c>
      <c r="B17" t="str">
        <f t="shared" si="0"/>
        <v>Where does you license fee go?</v>
      </c>
      <c r="C17" t="s">
        <v>107</v>
      </c>
      <c r="D17" t="s">
        <v>115</v>
      </c>
    </row>
    <row r="18" spans="1:4" x14ac:dyDescent="0.25">
      <c r="A18" t="s">
        <v>55</v>
      </c>
      <c r="B18" t="str">
        <f t="shared" si="0"/>
        <v>2011 royalties distribution</v>
      </c>
      <c r="C18" t="s">
        <v>108</v>
      </c>
      <c r="D18" t="s">
        <v>119</v>
      </c>
    </row>
    <row r="19" spans="1:4" x14ac:dyDescent="0.25">
      <c r="A19" t="s">
        <v>56</v>
      </c>
      <c r="B19" t="str">
        <f t="shared" si="0"/>
        <v>Operating costs</v>
      </c>
      <c r="C19" t="s">
        <v>109</v>
      </c>
      <c r="D19"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Tariff 9</vt:lpstr>
      <vt:lpstr>Language</vt:lpstr>
      <vt:lpstr>Tariff Info</vt:lpstr>
      <vt:lpstr>Licensee details section</vt:lpstr>
      <vt:lpstr>Province &amp; tax rates</vt:lpstr>
      <vt:lpstr>PostalCode validation</vt:lpstr>
      <vt:lpstr>page2 translations</vt:lpstr>
      <vt:lpstr>page4 translations</vt:lpstr>
      <vt:lpstr>Language</vt:lpstr>
      <vt:lpstr>LicenseeField1</vt:lpstr>
      <vt:lpstr>LicenseeField2</vt:lpstr>
      <vt:lpstr>Prov</vt:lpstr>
      <vt:lpstr>termsconditions</vt:lpstr>
    </vt:vector>
  </TitlesOfParts>
  <Company>SOCAN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Aylin Trifunovic</dc:creator>
  <cp:lastModifiedBy>Susie De Leon</cp:lastModifiedBy>
  <cp:lastPrinted>2013-01-24T14:46:42Z</cp:lastPrinted>
  <dcterms:created xsi:type="dcterms:W3CDTF">2012-11-08T14:09:23Z</dcterms:created>
  <dcterms:modified xsi:type="dcterms:W3CDTF">2013-04-10T20:36:40Z</dcterms:modified>
</cp:coreProperties>
</file>