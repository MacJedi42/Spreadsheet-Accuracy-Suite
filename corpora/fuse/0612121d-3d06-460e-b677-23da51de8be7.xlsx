
<file path=[Content_Types].xml><?xml version="1.0" encoding="utf-8"?>
<Types xmlns="http://schemas.openxmlformats.org/package/2006/content-types">
  <Default Extension="bin" ContentType="application/vnd.openxmlformats-officedocument.spreadsheetml.printerSettings"/>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120" yWindow="75" windowWidth="19155" windowHeight="8505"/>
  </bookViews>
  <sheets>
    <sheet name="Overview" sheetId="14" r:id="rId1"/>
    <sheet name="Ph.D. Guidelines" sheetId="3" r:id="rId2"/>
    <sheet name="PhD Page 1" sheetId="6" r:id="rId3"/>
    <sheet name="PhD Page 2" sheetId="7" r:id="rId4"/>
    <sheet name="M.Ed. Guidelines" sheetId="8" r:id="rId5"/>
    <sheet name="MEd Page 1" sheetId="9" r:id="rId6"/>
    <sheet name="EDRE Courses" sheetId="4" r:id="rId7"/>
    <sheet name="Sample PhD 1" sheetId="11" r:id="rId8"/>
    <sheet name="Sample PhD 2" sheetId="12" r:id="rId9"/>
    <sheet name="Sample MEd" sheetId="10" r:id="rId10"/>
  </sheets>
  <calcPr calcId="125725"/>
</workbook>
</file>

<file path=xl/calcChain.xml><?xml version="1.0" encoding="utf-8"?>
<calcChain xmlns="http://schemas.openxmlformats.org/spreadsheetml/2006/main">
  <c r="G2" i="7"/>
  <c r="G1" i="12"/>
  <c r="C1"/>
  <c r="H15" l="1"/>
  <c r="H13"/>
  <c r="H11"/>
  <c r="H9"/>
  <c r="H7"/>
  <c r="F7"/>
  <c r="F9"/>
  <c r="J9" s="1"/>
  <c r="F11"/>
  <c r="F13"/>
  <c r="F15"/>
  <c r="C15"/>
  <c r="C13"/>
  <c r="C11"/>
  <c r="C9"/>
  <c r="C7"/>
  <c r="K45" i="11"/>
  <c r="I45"/>
  <c r="K39"/>
  <c r="I39"/>
  <c r="K32"/>
  <c r="I32"/>
  <c r="K22"/>
  <c r="I22"/>
  <c r="K9"/>
  <c r="I9"/>
  <c r="C16" i="7"/>
  <c r="C2"/>
  <c r="K35" i="10"/>
  <c r="I35"/>
  <c r="K25"/>
  <c r="I25"/>
  <c r="K13"/>
  <c r="K40" s="1"/>
  <c r="I13"/>
  <c r="I40" s="1"/>
  <c r="I14" i="9"/>
  <c r="K14"/>
  <c r="K25"/>
  <c r="I25"/>
  <c r="K34"/>
  <c r="I34"/>
  <c r="I41" i="6"/>
  <c r="F16" i="7" s="1"/>
  <c r="K41" i="6"/>
  <c r="H16" i="7" s="1"/>
  <c r="C14"/>
  <c r="C12"/>
  <c r="C10"/>
  <c r="C8"/>
  <c r="K35" i="6"/>
  <c r="H14" i="7" s="1"/>
  <c r="I35" i="6"/>
  <c r="F14" i="7" s="1"/>
  <c r="K28" i="6"/>
  <c r="H12" i="7" s="1"/>
  <c r="I28" i="6"/>
  <c r="F12" i="7" s="1"/>
  <c r="K19" i="6"/>
  <c r="H10" i="7" s="1"/>
  <c r="I19" i="6"/>
  <c r="F10" i="7" s="1"/>
  <c r="K9" i="6"/>
  <c r="H8" i="7" s="1"/>
  <c r="I9" i="6"/>
  <c r="F8" i="7" s="1"/>
  <c r="J13" i="12" l="1"/>
  <c r="J15"/>
  <c r="J7"/>
  <c r="H18" i="7"/>
  <c r="H20" s="1"/>
  <c r="F18"/>
  <c r="F20" s="1"/>
  <c r="J11" i="12"/>
  <c r="H17"/>
  <c r="H19" s="1"/>
  <c r="F17"/>
  <c r="F19" s="1"/>
  <c r="J16" i="7"/>
  <c r="K42" i="10"/>
  <c r="J10" i="7"/>
  <c r="I39" i="9"/>
  <c r="K41" s="1"/>
  <c r="K39"/>
  <c r="J14" i="7"/>
  <c r="J12"/>
  <c r="J8"/>
  <c r="J17" i="12" l="1"/>
  <c r="J18" i="7"/>
  <c r="J20" s="1"/>
  <c r="J19" i="12"/>
</calcChain>
</file>

<file path=xl/sharedStrings.xml><?xml version="1.0" encoding="utf-8"?>
<sst xmlns="http://schemas.openxmlformats.org/spreadsheetml/2006/main" count="556" uniqueCount="281">
  <si>
    <t>Name:</t>
  </si>
  <si>
    <t>Area #3:</t>
  </si>
  <si>
    <t>Area #4:</t>
  </si>
  <si>
    <t>Area #1:</t>
  </si>
  <si>
    <t>Area #2:</t>
  </si>
  <si>
    <t>Area of Study</t>
  </si>
  <si>
    <t>Total Credit Hours:</t>
  </si>
  <si>
    <t>Dissertation</t>
  </si>
  <si>
    <t>PID #:</t>
  </si>
  <si>
    <t>Course Number</t>
  </si>
  <si>
    <t>Course Name</t>
  </si>
  <si>
    <t>Term</t>
  </si>
  <si>
    <t>Grade</t>
  </si>
  <si>
    <t>Area #1</t>
  </si>
  <si>
    <t>Area #2</t>
  </si>
  <si>
    <t>Area #3</t>
  </si>
  <si>
    <t>Area #4</t>
  </si>
  <si>
    <t>Spring</t>
  </si>
  <si>
    <t>Qtr Hrs</t>
  </si>
  <si>
    <t>Sem Hrs</t>
  </si>
  <si>
    <t>EDRE 723</t>
  </si>
  <si>
    <t>EDRE 750</t>
  </si>
  <si>
    <t>EDRE 790</t>
  </si>
  <si>
    <t>EDRE 793</t>
  </si>
  <si>
    <t>EDRE 7110</t>
  </si>
  <si>
    <t>EDRE 712</t>
  </si>
  <si>
    <t>EDRE 722</t>
  </si>
  <si>
    <t>EDRE 7610</t>
  </si>
  <si>
    <t>Questionnaires &amp; Nonparametric Statistics</t>
  </si>
  <si>
    <t>Techniques of Test Development</t>
  </si>
  <si>
    <t>Educational Statistics</t>
  </si>
  <si>
    <t>Regression Analysis in Education</t>
  </si>
  <si>
    <t>Multivariate Methods in Education</t>
  </si>
  <si>
    <t>Research Design in Education</t>
  </si>
  <si>
    <t>Introduction to Qualitative Methods</t>
  </si>
  <si>
    <t>Fall</t>
  </si>
  <si>
    <t>A</t>
  </si>
  <si>
    <t>EDRE 792</t>
  </si>
  <si>
    <t>Qualitative Methods</t>
  </si>
  <si>
    <t>EDRE Student</t>
  </si>
  <si>
    <t>P000000000</t>
  </si>
  <si>
    <t>Research Design, Measurement, &amp; Evaluation</t>
  </si>
  <si>
    <t>Statistics &amp; Quantitative Methods</t>
  </si>
  <si>
    <t>Higher Education &amp; Institutional Research</t>
  </si>
  <si>
    <t>EDHE 778</t>
  </si>
  <si>
    <t>EDHE 783</t>
  </si>
  <si>
    <t>Assessment and Evaluation</t>
  </si>
  <si>
    <t>Databases in Higher Education</t>
  </si>
  <si>
    <t>Institutional Research &amp; Self-Study in HE</t>
  </si>
  <si>
    <t>EDHE 890</t>
  </si>
  <si>
    <t>EDRE 751</t>
  </si>
  <si>
    <t>Qualitative Interviewing</t>
  </si>
  <si>
    <t>Ethnographic Methods in Education</t>
  </si>
  <si>
    <t>EDRE 7800</t>
  </si>
  <si>
    <t>EDRE 7330</t>
  </si>
  <si>
    <t>EDRE 7520</t>
  </si>
  <si>
    <t>EDRE 7620</t>
  </si>
  <si>
    <t>Computer Software in EDRE</t>
  </si>
  <si>
    <t>Computer Programming in EDRE</t>
  </si>
  <si>
    <t>Advanced Reading in EDRE: CFA</t>
  </si>
  <si>
    <t>Special Projects II in EDRE: AMOS</t>
  </si>
  <si>
    <t>Advanced Seminar in EDRE: History</t>
  </si>
  <si>
    <t>Research in Educational Measurements</t>
  </si>
  <si>
    <t>Program Evaluation</t>
  </si>
  <si>
    <t>PSY 828</t>
  </si>
  <si>
    <t>BIOS 670</t>
  </si>
  <si>
    <t>Biostatistics I</t>
  </si>
  <si>
    <t>CR</t>
  </si>
  <si>
    <t>EDRE Doctoral Program of Study GUIDELINES</t>
  </si>
  <si>
    <t>I. General Information</t>
  </si>
  <si>
    <t>The Ph.D. program in Educational Research and Evaluation (EDRE) is intended to prepare graduates both for faculty positions and for leadership roles in research organizations. Although the major is intended to allow students the flexibility necessary to develop programs that meet their individual needs and interests, students are encouraged to include both quantitative and qualitative research areas in their programs. Students are required to identify four core areas for their programs, which will serve as areas for comprehensive examination. The Program of Study should be developed in consultation with the student’s advisor and usually will be submitted to the student’s Doctoral Advisory Committee during the third or fourth quarter of coursework.</t>
  </si>
  <si>
    <t>Semester Course</t>
  </si>
  <si>
    <t>Qtr</t>
  </si>
  <si>
    <t>II. Program Area Expectations</t>
  </si>
  <si>
    <t>III. Scholarly Tools</t>
  </si>
  <si>
    <t>At least two scholarly tool courses are required.  These tool courses usually are advanced quantitative or qualitative methodological courses necessary to fulfill requirements of a dissertation.</t>
  </si>
  <si>
    <t>IV. Elective Area(s)</t>
  </si>
  <si>
    <t>Students, working with their advisors, must develop one or two elective areas for the Ph.D. An elective area should be related to the student’s academic or professional goals and must constitute a coherent set of courses that represents either breadth or depth of study in the area. Typically, at least 3 courses are expected in an elective area. Note that methodology courses in other departments may be considered either as parts of core areas that include EDRE courses (e.g., Statistics) or as separate elective areas of specialization (e.g., Health or Psychological Statistics), as appropriate. Note also that elective areas are not required to contain methodology courses.</t>
  </si>
  <si>
    <t>EDRE 7120</t>
  </si>
  <si>
    <t>EDRE 7200</t>
  </si>
  <si>
    <t>EDRE 7210</t>
  </si>
  <si>
    <t>EDRE 7230</t>
  </si>
  <si>
    <t>EDRE 7500</t>
  </si>
  <si>
    <t>EDRE 7510</t>
  </si>
  <si>
    <t>EDRE 7600</t>
  </si>
  <si>
    <t>EDRE 8900</t>
  </si>
  <si>
    <t>Test Development</t>
  </si>
  <si>
    <t>Item Response Theory</t>
  </si>
  <si>
    <t>Questionnaire and Scale Development</t>
  </si>
  <si>
    <t>Intro to Qualitative Research Methods</t>
  </si>
  <si>
    <t>Special Topics in EDRE</t>
  </si>
  <si>
    <t>Note 1:</t>
  </si>
  <si>
    <t>Note 2:</t>
  </si>
  <si>
    <t>Note 3:</t>
  </si>
  <si>
    <t>Students are expected to take both quantitative and qualitative methods courses, particularly as mixed methodology becomes increasingly popular and important in research and evaluation.</t>
  </si>
  <si>
    <t>Usually Offered</t>
  </si>
  <si>
    <t>Years Offered</t>
  </si>
  <si>
    <t>EDRE Doctoral Program of Study COURSES</t>
  </si>
  <si>
    <t>Quarters Courses (until 2012)</t>
  </si>
  <si>
    <t>Semester Courses (2012 and after)</t>
  </si>
  <si>
    <t>EDRE 711: Techniques of Test Development</t>
  </si>
  <si>
    <t>EDRE 712: Research in Educational Measurements</t>
  </si>
  <si>
    <t>EDRE 720: Educational Statistics</t>
  </si>
  <si>
    <t>EDRE 721: Regression Analysis in Education</t>
  </si>
  <si>
    <t>EDRE 722: Multivariate Methods in Education</t>
  </si>
  <si>
    <t>EDRE 723: Questionnaires and Nonparametric Statistics in Ed</t>
  </si>
  <si>
    <t>EDRE 731: Computer Science Applications in Education I</t>
  </si>
  <si>
    <t>EDRE 733: Research Design in Education</t>
  </si>
  <si>
    <t>EDRE 752: Ethnographic Methods in Education</t>
  </si>
  <si>
    <t>EDRE 793: Advanced Seminar in EDRE</t>
  </si>
  <si>
    <t>EDRE 895: Dissertation</t>
  </si>
  <si>
    <t>EDRE 790: Advanced Readings in EDRE</t>
  </si>
  <si>
    <t>EDRE 692: Special Projects in EDRE</t>
  </si>
  <si>
    <t>EDRE 690: Readings in EDRE</t>
  </si>
  <si>
    <t>EDRE 693: Seminar in EDRE</t>
  </si>
  <si>
    <t>EDRE 695: Thesis</t>
  </si>
  <si>
    <t>EDRE 510: Educational Measurement</t>
  </si>
  <si>
    <t>EDRE 724: Research in Educational Statistics (HLM)</t>
  </si>
  <si>
    <t>EDRE 732: Computer Science Applications in Education II</t>
  </si>
  <si>
    <t>EDRE 750: Intro to Qualitative Methods in Education</t>
  </si>
  <si>
    <t>EDRE 751: Qualitative Interviewing Methods in Education</t>
  </si>
  <si>
    <t>EDRE 792: Special Projects in EDRE II</t>
  </si>
  <si>
    <t>ODD</t>
  </si>
  <si>
    <t>EVEN</t>
  </si>
  <si>
    <t>all</t>
  </si>
  <si>
    <t>varies</t>
  </si>
  <si>
    <t>variable</t>
  </si>
  <si>
    <t>Master's Special</t>
  </si>
  <si>
    <t>Doctoral Special</t>
  </si>
  <si>
    <t>PSY 623</t>
  </si>
  <si>
    <t>MATH 550A</t>
  </si>
  <si>
    <t>Statistical Theory</t>
  </si>
  <si>
    <t>Advanced Seminar in EDRE: Coding</t>
  </si>
  <si>
    <t>EDRE 7930</t>
  </si>
  <si>
    <t>Total Sem Hrs</t>
  </si>
  <si>
    <t>EDRE Doctoral Program of Study SUMMARY PAGE &amp; COMMENTS</t>
  </si>
  <si>
    <t>Multivariate Statistics II</t>
  </si>
  <si>
    <t>Program Evaluation in Education</t>
  </si>
  <si>
    <t>Students are expected to take all EDRE seminars and specialized courses when they are offered: especially any seminars offered as EDRE 8900, but also other special topics courses and opportunities---even if this sometimes requires a student to take the same course number multiple times (permission can be given by faculty for such circumstances).</t>
  </si>
  <si>
    <t xml:space="preserve">Comments: </t>
  </si>
  <si>
    <t>PSY 622</t>
  </si>
  <si>
    <t>Design and Analysis of Experiments</t>
  </si>
  <si>
    <t>Intermediate Correlation and Regression</t>
  </si>
  <si>
    <t>Area #5</t>
  </si>
  <si>
    <t>OHIO Email:</t>
  </si>
  <si>
    <t>Program:</t>
  </si>
  <si>
    <t>Degree:</t>
  </si>
  <si>
    <t>Ph.D.</t>
  </si>
  <si>
    <t>Educational Research and Evaluation</t>
  </si>
  <si>
    <t>PH6277</t>
  </si>
  <si>
    <t>Major Code:</t>
  </si>
  <si>
    <t>Year Began:</t>
  </si>
  <si>
    <t>ME6277</t>
  </si>
  <si>
    <t>Postal Address:</t>
  </si>
  <si>
    <t>Student Signature:</t>
  </si>
  <si>
    <t>Date:</t>
  </si>
  <si>
    <t>Advisor Name:</t>
  </si>
  <si>
    <t>Advisor Signature:</t>
  </si>
  <si>
    <t>Dept Chair Signature:</t>
  </si>
  <si>
    <t>Term &amp; Year</t>
  </si>
  <si>
    <t>Electives</t>
  </si>
  <si>
    <t>Culminating Project (Choose One)</t>
  </si>
  <si>
    <t>EDRE 6940</t>
  </si>
  <si>
    <t>Research in EDRE (Seminar paper)</t>
  </si>
  <si>
    <t>EDRE 6950</t>
  </si>
  <si>
    <t>Thesis</t>
  </si>
  <si>
    <t>Program Expectations</t>
  </si>
  <si>
    <t xml:space="preserve">Educational Research and Evaluation                 </t>
  </si>
  <si>
    <t>(M.Ed.)</t>
  </si>
  <si>
    <t>Hrs. Required:</t>
  </si>
  <si>
    <t>Note 4:</t>
  </si>
  <si>
    <t xml:space="preserve">Students are expected to enroll in the EDRE 6900: Special Topics in in EDRE (Pro-Seminar) course every time it is offered.
</t>
  </si>
  <si>
    <t xml:space="preserve">Students are encouraged to develop independent studies (EDRE 6930), practicum/special projects (EDRE 6920), and/or internships (EDRE 7910) related to their specific academic and/or professional goals under the supervision of EDRE faculty.
</t>
  </si>
  <si>
    <t>Students are encouraged to take additional courses as appropriate to match their specific professional goals. For example, EDRE 7600 or EDRE 7620 should be considered by students who will seek applied positions in research organizations or will apply to doctoral methodology programs. EDRE 7510 or EDRE 7520 should be considered by students who will have a qualitative focus.</t>
  </si>
  <si>
    <t>Note 5:</t>
  </si>
  <si>
    <t>Students, working with their advisors, are able to develop an elective area of specialization outside EDRE. The elective area should be related to the student’s professional or academic goals. Typically, at least 2 courses are expected in an elective area. The Elective Area should not be as large as the Program Expectations area.</t>
  </si>
  <si>
    <t>EDRE Master's Program of Study GUIDELINES</t>
  </si>
  <si>
    <t xml:space="preserve">Students are encouraged to develop several independent studies (EDRE 7930), special projects (EDRE 7940), and/or practicum/internships/field projects (EDRE 7910) under the supervision of EDRE faculty.
</t>
  </si>
  <si>
    <t>Computer Applications in EDRE (HLM)</t>
  </si>
  <si>
    <t>Theory and Techniques of Test Development</t>
  </si>
  <si>
    <t>Theory and Research in Educational Measurement (IRT)</t>
  </si>
  <si>
    <t>Questionnaires and Scale Development in Education</t>
  </si>
  <si>
    <t>Introduction to Qualitative Research Methods in Education</t>
  </si>
  <si>
    <t>Qualitative Interviewing Methods in Education</t>
  </si>
  <si>
    <t>Multivariate Statistical Methods in Education</t>
  </si>
  <si>
    <t>Computer Science Applications in EDRE (Monte Carlo / R)</t>
  </si>
  <si>
    <t>Total Credits (both Quarters and Semesters)</t>
  </si>
  <si>
    <t>Total Credits (All Converted into Semester Credits)</t>
  </si>
  <si>
    <t>EDRE 501: Introduction to Research Methods</t>
  </si>
  <si>
    <t>EDRE 5010</t>
  </si>
  <si>
    <t>EDRE 5900</t>
  </si>
  <si>
    <t>EDRE 6900</t>
  </si>
  <si>
    <t>EDRE 6920</t>
  </si>
  <si>
    <t>EDRE 6930</t>
  </si>
  <si>
    <t>EDRE 7910</t>
  </si>
  <si>
    <t>EDRE 7940</t>
  </si>
  <si>
    <t>EDRE 8950</t>
  </si>
  <si>
    <t>All EDRE Courses</t>
  </si>
  <si>
    <t>Introduction to Research Methods</t>
  </si>
  <si>
    <t>Special Topics in EDRE (Pro-Seminar)</t>
  </si>
  <si>
    <t>Research in EDRE (Seminar Paper)</t>
  </si>
  <si>
    <t>Regression Analysis in ED</t>
  </si>
  <si>
    <t>Questionnaire &amp; Scale Develop</t>
  </si>
  <si>
    <t>Intro to Qual Research Methods</t>
  </si>
  <si>
    <t>Ethnographic Methods in ED</t>
  </si>
  <si>
    <t>Multivariate Stats in ED</t>
  </si>
  <si>
    <t>Program Evaluation in ED</t>
  </si>
  <si>
    <t>Master's Courses (Short Names)</t>
  </si>
  <si>
    <t>Doctoral Courses (Short Names)</t>
  </si>
  <si>
    <t>Readings in EDRE (independent study)</t>
  </si>
  <si>
    <t>Special Projects in EDRE (practicum/field project)</t>
  </si>
  <si>
    <t>Advanced Readings in EDRE (independent study)</t>
  </si>
  <si>
    <t>Advanced Projects in EDRE (internship/special project)</t>
  </si>
  <si>
    <t>Advanced Research in EDRE (research project)</t>
  </si>
  <si>
    <t>Computer Programming in EDRE (Monte Carlo)</t>
  </si>
  <si>
    <t>Computer Applications in EDRE (e.g., HLM)</t>
  </si>
  <si>
    <t>EDRE 501</t>
  </si>
  <si>
    <t>Summer 2012</t>
  </si>
  <si>
    <t>EDRE 720</t>
  </si>
  <si>
    <t>Intro to Research Methods</t>
  </si>
  <si>
    <t>Fall 2012</t>
  </si>
  <si>
    <t>Regression Analysis</t>
  </si>
  <si>
    <t>Spring 2013</t>
  </si>
  <si>
    <t>Intro to Qualitative Methods</t>
  </si>
  <si>
    <t>Questionnaire Design</t>
  </si>
  <si>
    <t>MATH 550B</t>
  </si>
  <si>
    <t>MATH 550C</t>
  </si>
  <si>
    <t>Spring 2012</t>
  </si>
  <si>
    <t>Fall 2011</t>
  </si>
  <si>
    <t>Winter 2012</t>
  </si>
  <si>
    <t>Academic Year</t>
  </si>
  <si>
    <t>2011-12</t>
  </si>
  <si>
    <t>2012-13</t>
  </si>
  <si>
    <t>Readings in EDRE: Classroom Measurement</t>
  </si>
  <si>
    <t>EDRE 690</t>
  </si>
  <si>
    <t>A-</t>
  </si>
  <si>
    <t>B+</t>
  </si>
  <si>
    <t>1234 Main St., Anytown, OH 44444</t>
  </si>
  <si>
    <t>George Johanson</t>
  </si>
  <si>
    <t>ab123456@ohio.edu</t>
  </si>
  <si>
    <r>
      <t xml:space="preserve">Although students are encouraged to develop programs that will help meet their academic and professional goals, all students majoring in EDRE are typically expected to include at least 60 semester credit hours of courses (i.e., </t>
    </r>
    <r>
      <rPr>
        <u/>
        <sz val="12"/>
        <color theme="1"/>
        <rFont val="Times New Roman"/>
        <family val="1"/>
      </rPr>
      <t>not</t>
    </r>
    <r>
      <rPr>
        <sz val="12"/>
        <color theme="1"/>
        <rFont val="Times New Roman"/>
        <family val="1"/>
      </rPr>
      <t xml:space="preserve"> including dissertation credits) in their Programs of Study. Most of the following courses are expected to be in most students' Programs of Study.</t>
    </r>
  </si>
  <si>
    <t>Advisor:</t>
  </si>
  <si>
    <t>(Ph.D.)</t>
  </si>
  <si>
    <t>2010-11</t>
  </si>
  <si>
    <t>Spring 2011</t>
  </si>
  <si>
    <t>Summer 2011</t>
  </si>
  <si>
    <t>2012-11</t>
  </si>
  <si>
    <t>Winter 2011</t>
  </si>
  <si>
    <t>Dissertation (maximum of 10 semester hours)</t>
  </si>
  <si>
    <t>I started the PhD program in the Winter.  I was given a waiver for EDRE 720.  EDRE 721, EDRE 722, and EDRE 723 were all included in my Program of Study for another degree program, so I was only allowed to include two of these courses in my doctoral Program of Study.  Therefore, like EDRE 720, EDRE 721 is not listed as part of the Program of Study.</t>
  </si>
  <si>
    <t>Robert Barcikowski</t>
  </si>
  <si>
    <t>1234 Main St., Somewhere, OH 43210</t>
  </si>
  <si>
    <t xml:space="preserve"> </t>
  </si>
  <si>
    <t>EDRE Program of Study GUIDELINES &amp; PROGRAM OF STUDY</t>
  </si>
  <si>
    <t>There are 3 sets of "tabs" in this workbook.  (1) The first set of tabs are for the EDRE Doctoral Program of Study GUIDELINES and BLANK Program of Study to be completed by the student (both for Ph.D. and M.Ed. programs). (2) There is a list of all EDRE courses (both semesters and quarters) on a tab by itself. (3)  The last set of tabs are SAMPLES of both a Ph.D. Program of Study and an M.Ed. Program.</t>
  </si>
  <si>
    <t>Even though you cannot edit any of the information on the GUIDELINES and EDRE COURSES pages, you can delete them from the workbook, leaving just the Page 1 and/or Page 2 pages---if you like (right click on the tab to delete it).</t>
  </si>
  <si>
    <t xml:space="preserve">You need to complete the information on either "PhD Page 1" or "MEd Page 1".  You may also fill in the COMMENTS box on "PhD Page 2" (everything else from "PhD Page 1" should copy into "PhD Page 2" automatically). </t>
  </si>
  <si>
    <t>+</t>
  </si>
  <si>
    <t>=</t>
  </si>
  <si>
    <t>Semester Conversion:</t>
  </si>
  <si>
    <t>Doctoral students will need to PRINT both "PhD Page 1" and "PhD Page 2". Your doctoral advisory committee will need to sign the "Program Approval Sheet" available on the Patton College Student Affairs web page (http://www.cehs.ohio.edu/resources/DoctoralHandbook.htm). Then it must be submitted to Student Affairs.</t>
  </si>
  <si>
    <t>Instructor</t>
  </si>
  <si>
    <t>Term &amp; Year (actual year)</t>
  </si>
  <si>
    <t>30 + Culminating Project</t>
  </si>
  <si>
    <r>
      <t xml:space="preserve">A minimum of 30 semester credit hours of courses (i.e., </t>
    </r>
    <r>
      <rPr>
        <u/>
        <sz val="12"/>
        <color theme="1"/>
        <rFont val="Times New Roman"/>
        <family val="1"/>
      </rPr>
      <t>not</t>
    </r>
    <r>
      <rPr>
        <sz val="12"/>
        <color theme="1"/>
        <rFont val="Times New Roman"/>
        <family val="1"/>
      </rPr>
      <t xml:space="preserve"> including Culminating Project credits) beyond the Bachelor’s Degree are expected for the Master’s in Educational Research and Evaluation. In addition to EDRE 5010 and the Culminating Project, students typically are expected to take the following courses, but ultimately should develop a program designed to meet their individual goals.</t>
    </r>
  </si>
  <si>
    <t>Culminating Project (maximum of 4 credits for Program)</t>
  </si>
  <si>
    <t>Dissertation (maximum of 10 semester hours for Program)</t>
  </si>
  <si>
    <t xml:space="preserve">http://www.cehs.ohio.edu/gfx/media/pdf/MastersProgStudyEdStOct2012_000.pdf </t>
  </si>
  <si>
    <t>http://www.cehs.ohio.edu/resources/forms.htm</t>
  </si>
  <si>
    <t>on the page:</t>
  </si>
  <si>
    <r>
      <t>Master's students need to print "M.Ed. Page 1" only. Your advisor must sign the form and it must be submitted to the Educational Studies Department Chair and then Patton College Student Affairs (i.e., Ramona Mott).</t>
    </r>
    <r>
      <rPr>
        <b/>
        <sz val="11"/>
        <color theme="1"/>
        <rFont val="Albany AMT"/>
        <family val="2"/>
      </rPr>
      <t xml:space="preserve"> It might actually be better for Master's students to use the Patton College form, which is a form-fillable PDF, available at the following link:</t>
    </r>
  </si>
  <si>
    <t xml:space="preserve">Area 1: </t>
  </si>
  <si>
    <t xml:space="preserve">Area 2: </t>
  </si>
  <si>
    <t xml:space="preserve">Area 3: </t>
  </si>
  <si>
    <t xml:space="preserve">Area 4: </t>
  </si>
  <si>
    <t>Edit or Erase Name for Area 1</t>
  </si>
  <si>
    <t>Edit or Erase Name for Area 4</t>
  </si>
  <si>
    <t>Edit or Erase Name for Area 3</t>
  </si>
  <si>
    <t>Edit or Erase Name for Area 2</t>
  </si>
  <si>
    <t>Course Name (use short name &amp; include topics of independent studies)</t>
  </si>
  <si>
    <t>The Master’s program in Educational Research and Evaluation (EDRE) is intended to prepare graduates for more advanced study of quantitative methods and for roles in research organizations. The major is intended to allow students the flexibility necessary to develop programs that meet their individual needs and interests. The program of study should be developed in consultation with the student’s advisor and filed with the College before the completion of 20 credit hours. All Master’s students are required to take EDRE 5010: Introduction to Research Methods (4 credits) early in the program and a Culminating Project for 4 credits (either EDRE 6940: Seminar Paper or EDRE 6950: Thesis or an approved equivalent in another program).</t>
  </si>
</sst>
</file>

<file path=xl/styles.xml><?xml version="1.0" encoding="utf-8"?>
<styleSheet xmlns="http://schemas.openxmlformats.org/spreadsheetml/2006/main">
  <numFmts count="1">
    <numFmt numFmtId="164" formatCode="0.0"/>
  </numFmts>
  <fonts count="19">
    <font>
      <sz val="11"/>
      <color theme="1"/>
      <name val="Calibri"/>
      <family val="2"/>
      <scheme val="minor"/>
    </font>
    <font>
      <sz val="11"/>
      <color theme="1"/>
      <name val="Times New Roman"/>
      <family val="1"/>
    </font>
    <font>
      <b/>
      <sz val="11"/>
      <color theme="1"/>
      <name val="Times New Roman"/>
      <family val="1"/>
    </font>
    <font>
      <b/>
      <sz val="11"/>
      <color rgb="FF00B050"/>
      <name val="Times New Roman"/>
      <family val="1"/>
    </font>
    <font>
      <b/>
      <sz val="11"/>
      <color rgb="FF00B050"/>
      <name val="Calibri"/>
      <family val="2"/>
      <scheme val="minor"/>
    </font>
    <font>
      <b/>
      <sz val="12"/>
      <color rgb="FF00B050"/>
      <name val="Times New Roman"/>
      <family val="1"/>
    </font>
    <font>
      <sz val="12"/>
      <color theme="1"/>
      <name val="Times New Roman"/>
      <family val="1"/>
    </font>
    <font>
      <b/>
      <sz val="12"/>
      <color theme="1"/>
      <name val="Times New Roman"/>
      <family val="1"/>
    </font>
    <font>
      <b/>
      <i/>
      <u/>
      <sz val="12"/>
      <color rgb="FF00B050"/>
      <name val="Times New Roman"/>
      <family val="1"/>
    </font>
    <font>
      <u/>
      <sz val="12"/>
      <color theme="1"/>
      <name val="Times New Roman"/>
      <family val="1"/>
    </font>
    <font>
      <b/>
      <i/>
      <u/>
      <sz val="12"/>
      <color theme="1"/>
      <name val="Times New Roman"/>
      <family val="1"/>
    </font>
    <font>
      <b/>
      <u/>
      <sz val="12"/>
      <color rgb="FF00B050"/>
      <name val="Times New Roman"/>
      <family val="1"/>
    </font>
    <font>
      <u/>
      <sz val="11"/>
      <color theme="10"/>
      <name val="Calibri"/>
      <family val="2"/>
    </font>
    <font>
      <sz val="14"/>
      <color theme="1"/>
      <name val="Calibri"/>
      <family val="2"/>
      <scheme val="minor"/>
    </font>
    <font>
      <sz val="12"/>
      <color theme="1"/>
      <name val="Albany AMT"/>
      <family val="2"/>
    </font>
    <font>
      <b/>
      <i/>
      <sz val="18"/>
      <color rgb="FF00B050"/>
      <name val="Albany AMT"/>
      <family val="2"/>
    </font>
    <font>
      <sz val="11"/>
      <color theme="1"/>
      <name val="Albany AMT"/>
      <family val="2"/>
    </font>
    <font>
      <sz val="11"/>
      <name val="Calibri"/>
      <family val="2"/>
    </font>
    <font>
      <b/>
      <sz val="11"/>
      <color theme="1"/>
      <name val="Albany AMT"/>
      <family val="2"/>
    </font>
  </fonts>
  <fills count="2">
    <fill>
      <patternFill patternType="none"/>
    </fill>
    <fill>
      <patternFill patternType="gray125"/>
    </fill>
  </fills>
  <borders count="21">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double">
        <color indexed="64"/>
      </bottom>
      <diagonal/>
    </border>
    <border>
      <left/>
      <right/>
      <top style="medium">
        <color indexed="64"/>
      </top>
      <bottom/>
      <diagonal/>
    </border>
  </borders>
  <cellStyleXfs count="2">
    <xf numFmtId="0" fontId="0" fillId="0" borderId="0"/>
    <xf numFmtId="0" fontId="12" fillId="0" borderId="0" applyNumberFormat="0" applyFill="0" applyBorder="0" applyAlignment="0" applyProtection="0">
      <alignment vertical="top"/>
      <protection locked="0"/>
    </xf>
  </cellStyleXfs>
  <cellXfs count="145">
    <xf numFmtId="0" fontId="0" fillId="0" borderId="0" xfId="0"/>
    <xf numFmtId="0" fontId="1" fillId="0" borderId="0" xfId="0" applyFont="1" applyAlignment="1" applyProtection="1">
      <alignment vertical="center"/>
    </xf>
    <xf numFmtId="0" fontId="2" fillId="0" borderId="0" xfId="0" applyFont="1" applyAlignment="1" applyProtection="1">
      <alignment horizontal="right" vertical="center"/>
    </xf>
    <xf numFmtId="0" fontId="2" fillId="0" borderId="0" xfId="0" applyFont="1" applyAlignment="1" applyProtection="1">
      <alignment vertical="center"/>
    </xf>
    <xf numFmtId="0" fontId="2" fillId="0" borderId="0" xfId="0" applyFont="1" applyAlignment="1" applyProtection="1">
      <alignment horizontal="center" vertical="center"/>
    </xf>
    <xf numFmtId="0" fontId="1" fillId="0" borderId="0" xfId="0" applyFont="1" applyAlignment="1" applyProtection="1">
      <alignment horizontal="center" vertical="center"/>
    </xf>
    <xf numFmtId="0" fontId="1" fillId="0" borderId="0" xfId="0" applyFont="1" applyBorder="1" applyAlignment="1" applyProtection="1">
      <alignment vertical="center"/>
    </xf>
    <xf numFmtId="0" fontId="1" fillId="0" borderId="0" xfId="0" applyFont="1" applyBorder="1" applyAlignment="1" applyProtection="1">
      <alignment horizontal="left" vertical="center"/>
    </xf>
    <xf numFmtId="0" fontId="1" fillId="0" borderId="0" xfId="0" applyFont="1" applyBorder="1" applyAlignment="1" applyProtection="1">
      <alignment vertical="top"/>
    </xf>
    <xf numFmtId="164" fontId="1" fillId="0" borderId="1" xfId="0" applyNumberFormat="1" applyFont="1" applyBorder="1" applyAlignment="1" applyProtection="1">
      <alignment horizontal="center" vertical="center"/>
    </xf>
    <xf numFmtId="164" fontId="1" fillId="0" borderId="0" xfId="0" applyNumberFormat="1" applyFont="1" applyAlignment="1" applyProtection="1">
      <alignment vertical="center"/>
    </xf>
    <xf numFmtId="2" fontId="2" fillId="0" borderId="0" xfId="0" applyNumberFormat="1" applyFont="1" applyAlignment="1" applyProtection="1">
      <alignment horizontal="center" vertical="center"/>
    </xf>
    <xf numFmtId="0" fontId="3" fillId="0" borderId="1" xfId="0" applyFont="1" applyBorder="1" applyAlignment="1" applyProtection="1">
      <alignment horizontal="center" vertical="center" wrapText="1"/>
    </xf>
    <xf numFmtId="0" fontId="1" fillId="0" borderId="0" xfId="0" applyFont="1" applyAlignment="1" applyProtection="1">
      <alignment horizontal="right" vertical="center"/>
    </xf>
    <xf numFmtId="0" fontId="3" fillId="0" borderId="0" xfId="0" applyFont="1" applyAlignment="1" applyProtection="1">
      <alignment horizontal="right" vertical="center"/>
    </xf>
    <xf numFmtId="0" fontId="6" fillId="0" borderId="0" xfId="0" applyFont="1" applyAlignment="1" applyProtection="1">
      <alignment vertical="center"/>
    </xf>
    <xf numFmtId="0" fontId="6" fillId="0" borderId="3" xfId="0" applyFont="1" applyBorder="1" applyAlignment="1" applyProtection="1">
      <alignment horizontal="left"/>
    </xf>
    <xf numFmtId="0" fontId="5" fillId="0" borderId="0" xfId="0" applyFont="1" applyAlignment="1" applyProtection="1">
      <alignment horizontal="right" vertical="center"/>
    </xf>
    <xf numFmtId="0" fontId="6" fillId="0" borderId="0" xfId="0" applyFont="1" applyAlignment="1" applyProtection="1">
      <alignment horizontal="left" vertical="center"/>
    </xf>
    <xf numFmtId="0" fontId="6" fillId="0" borderId="0" xfId="0" applyFont="1" applyBorder="1" applyAlignment="1" applyProtection="1">
      <alignment horizontal="left" vertical="center"/>
    </xf>
    <xf numFmtId="0" fontId="6" fillId="0" borderId="0" xfId="0" applyFont="1" applyBorder="1" applyAlignment="1" applyProtection="1">
      <alignment horizontal="center" vertical="center"/>
    </xf>
    <xf numFmtId="0" fontId="6" fillId="0" borderId="0" xfId="0" applyFont="1" applyAlignment="1" applyProtection="1">
      <alignment horizontal="center" vertical="center"/>
    </xf>
    <xf numFmtId="0" fontId="6" fillId="0" borderId="0" xfId="0" applyFont="1" applyBorder="1" applyAlignment="1" applyProtection="1">
      <alignment horizontal="left" vertical="center" wrapText="1"/>
    </xf>
    <xf numFmtId="0" fontId="6" fillId="0" borderId="0" xfId="0" applyFont="1" applyBorder="1" applyAlignment="1" applyProtection="1">
      <alignment horizontal="center" vertical="center" wrapText="1"/>
    </xf>
    <xf numFmtId="0" fontId="6" fillId="0" borderId="0" xfId="0" applyFont="1" applyAlignment="1" applyProtection="1">
      <alignment horizontal="center" vertical="center" wrapText="1"/>
    </xf>
    <xf numFmtId="0" fontId="5" fillId="0" borderId="4" xfId="0" applyFont="1" applyBorder="1" applyAlignment="1" applyProtection="1">
      <alignment horizontal="left" vertical="center"/>
    </xf>
    <xf numFmtId="0" fontId="7" fillId="0" borderId="5" xfId="0" applyFont="1" applyBorder="1" applyAlignment="1" applyProtection="1">
      <alignment horizontal="left" vertical="center"/>
    </xf>
    <xf numFmtId="0" fontId="7" fillId="0" borderId="5" xfId="0" applyFont="1" applyBorder="1" applyAlignment="1" applyProtection="1">
      <alignment horizontal="center" vertical="center"/>
    </xf>
    <xf numFmtId="0" fontId="5" fillId="0" borderId="5" xfId="0" applyFont="1" applyBorder="1" applyAlignment="1" applyProtection="1">
      <alignment horizontal="center" vertical="center"/>
    </xf>
    <xf numFmtId="0" fontId="7" fillId="0" borderId="6" xfId="0" applyFont="1" applyBorder="1" applyAlignment="1" applyProtection="1">
      <alignment horizontal="center" vertical="center"/>
    </xf>
    <xf numFmtId="0" fontId="6" fillId="0" borderId="3" xfId="0" applyFont="1" applyBorder="1" applyAlignment="1" applyProtection="1">
      <alignment horizontal="left" vertical="center"/>
    </xf>
    <xf numFmtId="0" fontId="6" fillId="0" borderId="3" xfId="0" applyFont="1" applyBorder="1" applyAlignment="1" applyProtection="1">
      <alignment horizontal="center" vertical="center"/>
    </xf>
    <xf numFmtId="0" fontId="6" fillId="0" borderId="1" xfId="0" applyFont="1" applyBorder="1" applyAlignment="1" applyProtection="1">
      <alignment horizontal="center" vertical="center"/>
    </xf>
    <xf numFmtId="0" fontId="6" fillId="0" borderId="1" xfId="0" applyFont="1" applyBorder="1" applyAlignment="1" applyProtection="1">
      <alignment horizontal="left" vertical="center"/>
    </xf>
    <xf numFmtId="0" fontId="5" fillId="0" borderId="5" xfId="0" applyFont="1" applyBorder="1" applyAlignment="1" applyProtection="1">
      <alignment horizontal="left" vertical="center"/>
    </xf>
    <xf numFmtId="0" fontId="5" fillId="0" borderId="2" xfId="0" applyFont="1" applyBorder="1" applyAlignment="1" applyProtection="1">
      <alignment horizontal="right"/>
    </xf>
    <xf numFmtId="0" fontId="5" fillId="0" borderId="2" xfId="0" applyFont="1" applyBorder="1" applyAlignment="1" applyProtection="1">
      <alignment horizontal="right" wrapText="1"/>
    </xf>
    <xf numFmtId="0" fontId="6" fillId="0" borderId="14" xfId="0" applyFont="1" applyBorder="1" applyAlignment="1" applyProtection="1">
      <alignment horizontal="left"/>
    </xf>
    <xf numFmtId="0" fontId="6" fillId="0" borderId="7" xfId="0" applyFont="1" applyBorder="1" applyAlignment="1" applyProtection="1">
      <alignment horizontal="left"/>
    </xf>
    <xf numFmtId="0" fontId="6" fillId="0" borderId="15" xfId="0" applyFont="1" applyBorder="1" applyAlignment="1" applyProtection="1">
      <alignment horizontal="center"/>
    </xf>
    <xf numFmtId="0" fontId="6" fillId="0" borderId="14" xfId="0" applyFont="1" applyBorder="1" applyAlignment="1" applyProtection="1">
      <alignment horizontal="center"/>
    </xf>
    <xf numFmtId="0" fontId="5" fillId="0" borderId="16" xfId="0" applyFont="1" applyBorder="1" applyAlignment="1" applyProtection="1">
      <alignment horizontal="left" vertical="center" wrapText="1"/>
    </xf>
    <xf numFmtId="0" fontId="5" fillId="0" borderId="16" xfId="0" applyFont="1" applyBorder="1" applyAlignment="1" applyProtection="1">
      <alignment horizontal="center" vertical="center" wrapText="1"/>
    </xf>
    <xf numFmtId="0" fontId="5" fillId="0" borderId="16" xfId="0" applyFont="1" applyBorder="1" applyAlignment="1" applyProtection="1">
      <alignment horizontal="center" vertical="center"/>
    </xf>
    <xf numFmtId="0" fontId="6" fillId="0" borderId="9" xfId="0" applyFont="1" applyBorder="1" applyAlignment="1" applyProtection="1">
      <alignment horizontal="center"/>
    </xf>
    <xf numFmtId="0" fontId="5" fillId="0" borderId="1" xfId="0" applyFont="1" applyBorder="1" applyAlignment="1" applyProtection="1">
      <alignment horizontal="left" vertical="center" wrapText="1"/>
    </xf>
    <xf numFmtId="0" fontId="5" fillId="0" borderId="1" xfId="0" applyFont="1" applyBorder="1" applyAlignment="1" applyProtection="1">
      <alignment horizontal="center" vertical="center" wrapText="1"/>
    </xf>
    <xf numFmtId="0" fontId="6" fillId="0" borderId="1" xfId="0" applyFont="1" applyBorder="1" applyAlignment="1" applyProtection="1">
      <alignment horizontal="left" vertical="center" wrapText="1"/>
    </xf>
    <xf numFmtId="0" fontId="6" fillId="0" borderId="1" xfId="0" applyFont="1" applyBorder="1" applyAlignment="1" applyProtection="1">
      <alignment horizontal="center" vertical="center" wrapText="1"/>
    </xf>
    <xf numFmtId="0" fontId="6" fillId="0" borderId="0" xfId="0" applyFont="1" applyBorder="1" applyAlignment="1" applyProtection="1">
      <alignment horizontal="right" vertical="top"/>
    </xf>
    <xf numFmtId="0" fontId="6" fillId="0" borderId="0" xfId="0" applyFont="1" applyBorder="1" applyAlignment="1" applyProtection="1">
      <alignment horizontal="left" vertical="top" wrapText="1"/>
    </xf>
    <xf numFmtId="0" fontId="5" fillId="0" borderId="0" xfId="0" applyFont="1" applyBorder="1" applyAlignment="1" applyProtection="1">
      <alignment horizontal="center" vertical="center"/>
    </xf>
    <xf numFmtId="0" fontId="6" fillId="0" borderId="0" xfId="0" applyFont="1" applyProtection="1"/>
    <xf numFmtId="0" fontId="7" fillId="0" borderId="0" xfId="0" applyFont="1" applyBorder="1" applyAlignment="1" applyProtection="1">
      <alignment vertical="center"/>
    </xf>
    <xf numFmtId="0" fontId="10" fillId="0" borderId="0" xfId="0" applyFont="1" applyBorder="1" applyAlignment="1" applyProtection="1">
      <alignment horizontal="left" vertical="center"/>
    </xf>
    <xf numFmtId="0" fontId="11" fillId="0" borderId="0" xfId="0" applyFont="1" applyBorder="1" applyAlignment="1" applyProtection="1">
      <alignment horizontal="left" vertical="center"/>
    </xf>
    <xf numFmtId="0" fontId="6" fillId="0" borderId="7" xfId="0" applyFont="1" applyBorder="1" applyAlignment="1" applyProtection="1">
      <alignment horizontal="left" vertical="center"/>
    </xf>
    <xf numFmtId="0" fontId="6" fillId="0" borderId="8" xfId="0" applyFont="1" applyBorder="1" applyAlignment="1" applyProtection="1">
      <alignment horizontal="center" vertical="center"/>
    </xf>
    <xf numFmtId="0" fontId="6" fillId="0" borderId="9" xfId="0" applyFont="1" applyBorder="1" applyAlignment="1" applyProtection="1">
      <alignment horizontal="left" vertical="center"/>
    </xf>
    <xf numFmtId="0" fontId="6" fillId="0" borderId="10" xfId="0" applyFont="1" applyBorder="1" applyAlignment="1" applyProtection="1">
      <alignment horizontal="left" vertical="center"/>
    </xf>
    <xf numFmtId="0" fontId="6" fillId="0" borderId="11" xfId="0" applyFont="1" applyBorder="1" applyAlignment="1" applyProtection="1">
      <alignment horizontal="left" vertical="center"/>
    </xf>
    <xf numFmtId="0" fontId="6" fillId="0" borderId="12" xfId="0" applyFont="1" applyBorder="1" applyAlignment="1" applyProtection="1">
      <alignment horizontal="left" vertical="center"/>
    </xf>
    <xf numFmtId="0" fontId="6" fillId="0" borderId="13" xfId="0" applyFont="1" applyBorder="1" applyAlignment="1" applyProtection="1">
      <alignment horizontal="left" vertical="center"/>
    </xf>
    <xf numFmtId="0" fontId="6" fillId="0" borderId="9" xfId="0" applyFont="1" applyBorder="1" applyProtection="1"/>
    <xf numFmtId="0" fontId="6" fillId="0" borderId="11" xfId="0" applyFont="1" applyBorder="1" applyProtection="1"/>
    <xf numFmtId="0" fontId="6" fillId="0" borderId="13" xfId="0" applyFont="1" applyBorder="1" applyProtection="1"/>
    <xf numFmtId="0" fontId="6" fillId="0" borderId="0" xfId="0" applyFont="1" applyAlignment="1" applyProtection="1">
      <alignment horizontal="left" indent="5"/>
    </xf>
    <xf numFmtId="0" fontId="6" fillId="0" borderId="8" xfId="0" applyFont="1" applyBorder="1" applyAlignment="1" applyProtection="1">
      <alignment horizontal="left" vertical="center"/>
    </xf>
    <xf numFmtId="0" fontId="6" fillId="0" borderId="0" xfId="0" applyFont="1" applyBorder="1" applyProtection="1"/>
    <xf numFmtId="0" fontId="6" fillId="0" borderId="3" xfId="0" applyFont="1" applyBorder="1" applyAlignment="1" applyProtection="1">
      <alignment horizontal="center" vertical="center"/>
      <protection locked="0"/>
    </xf>
    <xf numFmtId="0" fontId="6" fillId="0" borderId="3" xfId="0" applyFont="1" applyBorder="1" applyAlignment="1" applyProtection="1">
      <alignment horizontal="left" vertical="center"/>
      <protection locked="0"/>
    </xf>
    <xf numFmtId="0" fontId="5" fillId="0" borderId="0" xfId="0" applyFont="1" applyAlignment="1" applyProtection="1">
      <alignment horizontal="right"/>
    </xf>
    <xf numFmtId="0" fontId="6" fillId="0" borderId="0" xfId="0" applyFont="1" applyAlignment="1" applyProtection="1">
      <alignment horizontal="left"/>
    </xf>
    <xf numFmtId="0" fontId="6" fillId="0" borderId="0" xfId="0" applyFont="1" applyBorder="1" applyAlignment="1" applyProtection="1">
      <alignment horizontal="center"/>
    </xf>
    <xf numFmtId="0" fontId="6" fillId="0" borderId="0" xfId="0" applyFont="1" applyAlignment="1" applyProtection="1">
      <alignment horizontal="center"/>
    </xf>
    <xf numFmtId="0" fontId="6" fillId="0" borderId="3" xfId="0" applyFont="1" applyBorder="1" applyAlignment="1" applyProtection="1"/>
    <xf numFmtId="0" fontId="5" fillId="0" borderId="0" xfId="0" applyFont="1" applyAlignment="1" applyProtection="1">
      <alignment horizontal="right" wrapText="1"/>
    </xf>
    <xf numFmtId="0" fontId="6" fillId="0" borderId="0" xfId="0" applyFont="1" applyBorder="1" applyAlignment="1" applyProtection="1">
      <alignment horizontal="left"/>
    </xf>
    <xf numFmtId="0" fontId="6" fillId="0" borderId="0" xfId="0" applyFont="1" applyBorder="1" applyAlignment="1" applyProtection="1">
      <alignment horizontal="center" vertical="center"/>
      <protection locked="0"/>
    </xf>
    <xf numFmtId="0" fontId="13" fillId="0" borderId="0" xfId="0" applyFont="1"/>
    <xf numFmtId="0" fontId="13" fillId="0" borderId="0" xfId="0" applyFont="1" applyAlignment="1">
      <alignment wrapText="1"/>
    </xf>
    <xf numFmtId="0" fontId="14" fillId="0" borderId="0" xfId="0" applyFont="1"/>
    <xf numFmtId="0" fontId="15" fillId="0" borderId="0" xfId="0" applyFont="1" applyAlignment="1">
      <alignment horizontal="center" wrapText="1"/>
    </xf>
    <xf numFmtId="2" fontId="1" fillId="0" borderId="1" xfId="0" applyNumberFormat="1" applyFont="1" applyBorder="1" applyAlignment="1" applyProtection="1">
      <alignment horizontal="center" vertical="center"/>
    </xf>
    <xf numFmtId="0" fontId="2" fillId="0" borderId="5" xfId="0" applyFont="1" applyBorder="1" applyAlignment="1" applyProtection="1">
      <alignment vertical="center"/>
    </xf>
    <xf numFmtId="164" fontId="2" fillId="0" borderId="5" xfId="0" quotePrefix="1" applyNumberFormat="1" applyFont="1" applyBorder="1" applyAlignment="1" applyProtection="1">
      <alignment horizontal="center" vertical="center"/>
    </xf>
    <xf numFmtId="2" fontId="2" fillId="0" borderId="5" xfId="0" applyNumberFormat="1" applyFont="1" applyBorder="1" applyAlignment="1" applyProtection="1">
      <alignment horizontal="center" vertical="center"/>
    </xf>
    <xf numFmtId="2" fontId="2" fillId="0" borderId="6" xfId="0" applyNumberFormat="1" applyFont="1" applyBorder="1" applyAlignment="1" applyProtection="1">
      <alignment horizontal="center" vertical="center"/>
    </xf>
    <xf numFmtId="2" fontId="1" fillId="0" borderId="0" xfId="0" applyNumberFormat="1" applyFont="1" applyAlignment="1" applyProtection="1">
      <alignment horizontal="center" vertical="center"/>
    </xf>
    <xf numFmtId="2" fontId="1" fillId="0" borderId="0" xfId="0" applyNumberFormat="1" applyFont="1" applyAlignment="1" applyProtection="1">
      <alignment vertical="center"/>
    </xf>
    <xf numFmtId="2" fontId="2" fillId="0" borderId="5" xfId="0" quotePrefix="1" applyNumberFormat="1" applyFont="1" applyBorder="1" applyAlignment="1" applyProtection="1">
      <alignment horizontal="center" vertical="center"/>
    </xf>
    <xf numFmtId="164" fontId="1" fillId="0" borderId="19" xfId="0" applyNumberFormat="1" applyFont="1" applyBorder="1" applyAlignment="1" applyProtection="1">
      <alignment horizontal="center" vertical="center"/>
    </xf>
    <xf numFmtId="2" fontId="1" fillId="0" borderId="19" xfId="0" applyNumberFormat="1" applyFont="1" applyBorder="1" applyAlignment="1" applyProtection="1">
      <alignment horizontal="center" vertical="center"/>
    </xf>
    <xf numFmtId="0" fontId="7" fillId="0" borderId="5" xfId="0" applyFont="1" applyBorder="1" applyAlignment="1" applyProtection="1">
      <alignment horizontal="left" vertical="center"/>
    </xf>
    <xf numFmtId="0" fontId="12" fillId="0" borderId="0" xfId="1" applyAlignment="1" applyProtection="1">
      <alignment horizontal="center" wrapText="1"/>
    </xf>
    <xf numFmtId="0" fontId="16" fillId="0" borderId="0" xfId="0" applyFont="1" applyAlignment="1">
      <alignment wrapText="1"/>
    </xf>
    <xf numFmtId="0" fontId="0" fillId="0" borderId="0" xfId="0" applyFont="1" applyAlignment="1">
      <alignment wrapText="1"/>
    </xf>
    <xf numFmtId="0" fontId="0" fillId="0" borderId="0" xfId="0" applyFont="1"/>
    <xf numFmtId="0" fontId="17" fillId="0" borderId="0" xfId="1" applyFont="1" applyAlignment="1" applyProtection="1">
      <alignment horizontal="center" wrapText="1"/>
    </xf>
    <xf numFmtId="0" fontId="6" fillId="0" borderId="20" xfId="0" applyFont="1" applyBorder="1" applyAlignment="1" applyProtection="1">
      <alignment horizontal="left" vertical="center"/>
      <protection locked="0"/>
    </xf>
    <xf numFmtId="0" fontId="6" fillId="0" borderId="20" xfId="0" applyFont="1" applyBorder="1" applyAlignment="1" applyProtection="1">
      <alignment horizontal="left" vertical="center"/>
    </xf>
    <xf numFmtId="0" fontId="6" fillId="0" borderId="20" xfId="0" applyFont="1" applyBorder="1" applyAlignment="1" applyProtection="1">
      <alignment horizontal="center" vertical="center"/>
      <protection locked="0"/>
    </xf>
    <xf numFmtId="0" fontId="6" fillId="0" borderId="20" xfId="0" applyFont="1" applyBorder="1" applyAlignment="1" applyProtection="1">
      <alignment horizontal="center" vertical="center"/>
    </xf>
    <xf numFmtId="0" fontId="6" fillId="0" borderId="0" xfId="0" applyFont="1" applyBorder="1" applyAlignment="1" applyProtection="1">
      <alignment horizontal="left" vertical="center"/>
      <protection locked="0"/>
    </xf>
    <xf numFmtId="0" fontId="5" fillId="0" borderId="4" xfId="0" applyFont="1" applyBorder="1" applyAlignment="1" applyProtection="1">
      <alignment horizontal="right" vertical="center"/>
    </xf>
    <xf numFmtId="0" fontId="6" fillId="0" borderId="0" xfId="0" applyFont="1" applyBorder="1" applyAlignment="1" applyProtection="1">
      <alignment horizontal="left" vertical="center" wrapText="1"/>
    </xf>
    <xf numFmtId="0" fontId="8" fillId="0" borderId="0" xfId="0" applyFont="1" applyBorder="1" applyAlignment="1" applyProtection="1">
      <alignment horizontal="left" vertical="center"/>
    </xf>
    <xf numFmtId="0" fontId="6" fillId="0" borderId="0" xfId="0" applyFont="1" applyBorder="1" applyAlignment="1" applyProtection="1">
      <alignment horizontal="left" vertical="top" wrapText="1"/>
    </xf>
    <xf numFmtId="0" fontId="5" fillId="0" borderId="0" xfId="0" applyFont="1" applyBorder="1" applyAlignment="1" applyProtection="1">
      <alignment horizontal="center" vertical="center"/>
    </xf>
    <xf numFmtId="0" fontId="8" fillId="0" borderId="0" xfId="0" applyFont="1" applyAlignment="1" applyProtection="1">
      <alignment horizontal="left" vertical="center"/>
    </xf>
    <xf numFmtId="0" fontId="5" fillId="0" borderId="1" xfId="0" applyFont="1" applyBorder="1" applyAlignment="1" applyProtection="1">
      <alignment horizontal="center" vertical="center"/>
    </xf>
    <xf numFmtId="0" fontId="7" fillId="0" borderId="5" xfId="0" applyFont="1" applyBorder="1" applyAlignment="1" applyProtection="1">
      <alignment horizontal="left" vertical="center"/>
      <protection locked="0"/>
    </xf>
    <xf numFmtId="0" fontId="5" fillId="0" borderId="5" xfId="0" applyFont="1" applyBorder="1" applyAlignment="1" applyProtection="1">
      <alignment horizontal="left" vertical="center"/>
      <protection locked="0"/>
    </xf>
    <xf numFmtId="0" fontId="6" fillId="0" borderId="1" xfId="0" applyFont="1" applyBorder="1" applyAlignment="1" applyProtection="1">
      <alignment horizontal="left"/>
      <protection locked="0"/>
    </xf>
    <xf numFmtId="0" fontId="6" fillId="0" borderId="1" xfId="0" applyFont="1" applyBorder="1" applyAlignment="1" applyProtection="1">
      <alignment horizontal="left"/>
    </xf>
    <xf numFmtId="0" fontId="3" fillId="0" borderId="0" xfId="0" applyFont="1" applyAlignment="1" applyProtection="1">
      <alignment horizontal="right" vertical="center"/>
    </xf>
    <xf numFmtId="0" fontId="1" fillId="0" borderId="0" xfId="0" applyFont="1" applyFill="1" applyBorder="1" applyAlignment="1" applyProtection="1">
      <alignment horizontal="left" vertical="top" wrapText="1"/>
      <protection locked="0"/>
    </xf>
    <xf numFmtId="0" fontId="1" fillId="0" borderId="1" xfId="0" applyFont="1" applyBorder="1" applyAlignment="1" applyProtection="1">
      <alignment horizontal="left" vertical="center"/>
    </xf>
    <xf numFmtId="0" fontId="3" fillId="0" borderId="0" xfId="0" applyFont="1" applyAlignment="1" applyProtection="1">
      <alignment horizontal="center" vertical="center"/>
    </xf>
    <xf numFmtId="0" fontId="3" fillId="0" borderId="1" xfId="0" applyFont="1" applyBorder="1" applyAlignment="1" applyProtection="1">
      <alignment horizontal="center" vertical="center"/>
    </xf>
    <xf numFmtId="0" fontId="4" fillId="0" borderId="1" xfId="0" applyFont="1" applyBorder="1" applyAlignment="1" applyProtection="1">
      <alignment vertical="center"/>
    </xf>
    <xf numFmtId="0" fontId="1" fillId="0" borderId="1" xfId="0" applyFont="1" applyBorder="1" applyAlignment="1" applyProtection="1">
      <alignment horizontal="left" vertical="top"/>
    </xf>
    <xf numFmtId="0" fontId="1" fillId="0" borderId="0" xfId="0" applyFont="1" applyAlignment="1" applyProtection="1">
      <alignment horizontal="right" vertical="center"/>
    </xf>
    <xf numFmtId="0" fontId="2" fillId="0" borderId="4" xfId="0" applyFont="1" applyBorder="1" applyAlignment="1" applyProtection="1">
      <alignment horizontal="right" vertical="center"/>
    </xf>
    <xf numFmtId="0" fontId="2" fillId="0" borderId="5" xfId="0" applyFont="1" applyBorder="1" applyAlignment="1" applyProtection="1">
      <alignment horizontal="right" vertical="center"/>
    </xf>
    <xf numFmtId="0" fontId="5" fillId="0" borderId="5" xfId="0" applyFont="1" applyBorder="1" applyAlignment="1" applyProtection="1">
      <alignment horizontal="left" vertical="center"/>
    </xf>
    <xf numFmtId="0" fontId="5" fillId="0" borderId="17" xfId="0" applyFont="1" applyBorder="1" applyAlignment="1" applyProtection="1">
      <alignment horizontal="right"/>
    </xf>
    <xf numFmtId="0" fontId="5" fillId="0" borderId="18" xfId="0" applyFont="1" applyBorder="1" applyAlignment="1" applyProtection="1">
      <alignment horizontal="right"/>
    </xf>
    <xf numFmtId="0" fontId="6" fillId="0" borderId="7" xfId="0" applyFont="1" applyBorder="1" applyAlignment="1" applyProtection="1">
      <alignment horizontal="center"/>
    </xf>
    <xf numFmtId="0" fontId="6" fillId="0" borderId="12" xfId="0" applyFont="1" applyBorder="1" applyAlignment="1" applyProtection="1">
      <alignment horizontal="center"/>
    </xf>
    <xf numFmtId="0" fontId="6" fillId="0" borderId="8" xfId="0" applyFont="1" applyBorder="1" applyAlignment="1" applyProtection="1">
      <alignment horizontal="center"/>
    </xf>
    <xf numFmtId="0" fontId="6" fillId="0" borderId="1" xfId="0" applyFont="1" applyBorder="1" applyAlignment="1" applyProtection="1">
      <alignment horizontal="center"/>
    </xf>
    <xf numFmtId="0" fontId="6" fillId="0" borderId="3" xfId="0" applyFont="1" applyBorder="1" applyAlignment="1" applyProtection="1">
      <alignment horizontal="left"/>
      <protection locked="0"/>
    </xf>
    <xf numFmtId="0" fontId="6" fillId="0" borderId="15" xfId="0" applyFont="1" applyBorder="1" applyAlignment="1" applyProtection="1">
      <alignment horizontal="left"/>
      <protection locked="0"/>
    </xf>
    <xf numFmtId="0" fontId="6" fillId="0" borderId="8" xfId="0" applyFont="1" applyBorder="1" applyAlignment="1" applyProtection="1">
      <alignment horizontal="left"/>
      <protection locked="0"/>
    </xf>
    <xf numFmtId="0" fontId="6" fillId="0" borderId="3" xfId="0" applyFont="1" applyBorder="1" applyAlignment="1" applyProtection="1">
      <alignment horizontal="left"/>
    </xf>
    <xf numFmtId="0" fontId="6" fillId="0" borderId="15" xfId="0" applyFont="1" applyBorder="1" applyAlignment="1" applyProtection="1">
      <alignment horizontal="left"/>
    </xf>
    <xf numFmtId="0" fontId="6" fillId="0" borderId="9" xfId="0" applyFont="1" applyBorder="1" applyAlignment="1" applyProtection="1">
      <alignment horizontal="center"/>
    </xf>
    <xf numFmtId="0" fontId="6" fillId="0" borderId="13" xfId="0" applyFont="1" applyBorder="1" applyAlignment="1" applyProtection="1">
      <alignment horizontal="center"/>
    </xf>
    <xf numFmtId="0" fontId="5" fillId="0" borderId="1" xfId="0" applyFont="1" applyBorder="1" applyAlignment="1" applyProtection="1">
      <alignment horizontal="left" vertical="center"/>
    </xf>
    <xf numFmtId="0" fontId="11" fillId="0" borderId="0" xfId="0" applyFont="1" applyBorder="1" applyAlignment="1" applyProtection="1">
      <alignment horizontal="left" vertical="center"/>
    </xf>
    <xf numFmtId="0" fontId="12" fillId="0" borderId="1" xfId="1" applyBorder="1" applyAlignment="1" applyProtection="1">
      <alignment horizontal="left"/>
    </xf>
    <xf numFmtId="0" fontId="7" fillId="0" borderId="5" xfId="0" applyFont="1" applyBorder="1" applyAlignment="1" applyProtection="1">
      <alignment horizontal="left" vertical="center"/>
    </xf>
    <xf numFmtId="0" fontId="12" fillId="0" borderId="8" xfId="1" applyBorder="1" applyAlignment="1" applyProtection="1">
      <alignment horizontal="left"/>
    </xf>
    <xf numFmtId="0" fontId="6" fillId="0" borderId="8" xfId="0" applyFont="1" applyBorder="1" applyAlignment="1" applyProtection="1">
      <alignment horizontal="left"/>
    </xf>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cehs.ohio.edu/resources/forms.htm" TargetMode="External"/><Relationship Id="rId1" Type="http://schemas.openxmlformats.org/officeDocument/2006/relationships/hyperlink" Target="http://www.cehs.ohio.edu/gfx/media/pdf/MastersProgStudyEdStOct2012_000.pdf"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mailto:ab123456@ohio.edu"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mailto:ab123456@ohio.edu" TargetMode="External"/></Relationships>
</file>

<file path=xl/worksheets/sheet1.xml><?xml version="1.0" encoding="utf-8"?>
<worksheet xmlns="http://schemas.openxmlformats.org/spreadsheetml/2006/main" xmlns:r="http://schemas.openxmlformats.org/officeDocument/2006/relationships">
  <sheetPr>
    <pageSetUpPr fitToPage="1"/>
  </sheetPr>
  <dimension ref="A1:A13"/>
  <sheetViews>
    <sheetView showGridLines="0" tabSelected="1" showRuler="0" view="pageLayout" zoomScaleNormal="100" workbookViewId="0"/>
  </sheetViews>
  <sheetFormatPr defaultRowHeight="18.75"/>
  <cols>
    <col min="1" max="1" width="118" style="80" customWidth="1"/>
    <col min="2" max="16384" width="9.140625" style="79"/>
  </cols>
  <sheetData>
    <row r="1" spans="1:1" ht="23.25">
      <c r="A1" s="82" t="s">
        <v>253</v>
      </c>
    </row>
    <row r="2" spans="1:1" s="97" customFormat="1" ht="15">
      <c r="A2" s="96"/>
    </row>
    <row r="3" spans="1:1" ht="58.5">
      <c r="A3" s="95" t="s">
        <v>254</v>
      </c>
    </row>
    <row r="4" spans="1:1" s="97" customFormat="1" ht="15">
      <c r="A4" s="96"/>
    </row>
    <row r="5" spans="1:1" s="81" customFormat="1" ht="28.5">
      <c r="A5" s="95" t="s">
        <v>256</v>
      </c>
    </row>
    <row r="6" spans="1:1" s="97" customFormat="1" ht="15">
      <c r="A6" s="96"/>
    </row>
    <row r="7" spans="1:1" s="81" customFormat="1" ht="42.75">
      <c r="A7" s="95" t="s">
        <v>260</v>
      </c>
    </row>
    <row r="8" spans="1:1" s="97" customFormat="1" ht="15">
      <c r="A8" s="96"/>
    </row>
    <row r="9" spans="1:1" s="81" customFormat="1" ht="44.25" customHeight="1">
      <c r="A9" s="95" t="s">
        <v>270</v>
      </c>
    </row>
    <row r="10" spans="1:1" s="81" customFormat="1" ht="15.75">
      <c r="A10" s="94" t="s">
        <v>267</v>
      </c>
    </row>
    <row r="11" spans="1:1" s="81" customFormat="1" ht="15.75">
      <c r="A11" s="98" t="s">
        <v>269</v>
      </c>
    </row>
    <row r="12" spans="1:1" s="97" customFormat="1" ht="15">
      <c r="A12" s="94" t="s">
        <v>268</v>
      </c>
    </row>
    <row r="13" spans="1:1" s="81" customFormat="1" ht="28.5">
      <c r="A13" s="95" t="s">
        <v>255</v>
      </c>
    </row>
  </sheetData>
  <sheetProtection password="BEF9" sheet="1" objects="1" scenarios="1"/>
  <hyperlinks>
    <hyperlink ref="A10" r:id="rId1"/>
    <hyperlink ref="A12" r:id="rId2"/>
  </hyperlinks>
  <pageMargins left="0.7" right="0.7" top="0.75" bottom="0.75" header="0.3" footer="0.3"/>
  <pageSetup scale="76" orientation="portrait" copies="0" r:id="rId3"/>
  <headerFooter>
    <oddHeader>&amp;COhio University Educational Research and Evaluation (EDRE) Program of Study Information</oddHeader>
    <oddFooter>&amp;R(revised September, 2012)</oddFooter>
  </headerFooter>
</worksheet>
</file>

<file path=xl/worksheets/sheet2.xml><?xml version="1.0" encoding="utf-8"?>
<worksheet xmlns="http://schemas.openxmlformats.org/spreadsheetml/2006/main" xmlns:r="http://schemas.openxmlformats.org/officeDocument/2006/relationships">
  <sheetPr>
    <pageSetUpPr fitToPage="1"/>
  </sheetPr>
  <dimension ref="A2:L38"/>
  <sheetViews>
    <sheetView showGridLines="0" showRuler="0" view="pageLayout" zoomScaleNormal="100" workbookViewId="0"/>
  </sheetViews>
  <sheetFormatPr defaultColWidth="1" defaultRowHeight="15.75"/>
  <cols>
    <col min="1" max="1" width="12.7109375" style="19" customWidth="1"/>
    <col min="2" max="2" width="6.42578125" style="20" customWidth="1"/>
    <col min="3" max="3" width="1.140625" style="19" customWidth="1"/>
    <col min="4" max="4" width="56.140625" style="19" customWidth="1"/>
    <col min="5" max="5" width="1.140625" style="19" customWidth="1"/>
    <col min="6" max="6" width="9.5703125" style="20" customWidth="1"/>
    <col min="7" max="7" width="1.140625" style="20" customWidth="1"/>
    <col min="8" max="8" width="9.5703125" style="20" customWidth="1"/>
    <col min="9" max="9" width="1.140625" style="20" customWidth="1"/>
    <col min="10" max="10" width="9.5703125" style="20" customWidth="1"/>
    <col min="11" max="11" width="1.140625" style="20" customWidth="1"/>
    <col min="12" max="12" width="9.5703125" style="20" customWidth="1"/>
    <col min="13" max="16384" width="1" style="19"/>
  </cols>
  <sheetData>
    <row r="2" spans="1:12">
      <c r="A2" s="108" t="s">
        <v>68</v>
      </c>
      <c r="B2" s="108"/>
      <c r="C2" s="108"/>
      <c r="D2" s="108"/>
      <c r="E2" s="108"/>
      <c r="F2" s="108"/>
      <c r="G2" s="108"/>
      <c r="H2" s="108"/>
      <c r="I2" s="108"/>
      <c r="J2" s="108"/>
      <c r="K2" s="108"/>
      <c r="L2" s="108"/>
    </row>
    <row r="4" spans="1:12">
      <c r="A4" s="106" t="s">
        <v>69</v>
      </c>
      <c r="B4" s="106"/>
      <c r="C4" s="106"/>
      <c r="D4" s="106"/>
      <c r="E4" s="106"/>
      <c r="F4" s="106"/>
      <c r="G4" s="106"/>
      <c r="H4" s="106"/>
      <c r="I4" s="106"/>
      <c r="J4" s="106"/>
      <c r="K4" s="106"/>
      <c r="L4" s="106"/>
    </row>
    <row r="5" spans="1:12" ht="101.25" customHeight="1">
      <c r="A5" s="107" t="s">
        <v>70</v>
      </c>
      <c r="B5" s="107"/>
      <c r="C5" s="107"/>
      <c r="D5" s="107"/>
      <c r="E5" s="107"/>
      <c r="F5" s="107"/>
      <c r="G5" s="107"/>
      <c r="H5" s="107"/>
      <c r="I5" s="107"/>
      <c r="J5" s="107"/>
      <c r="K5" s="107"/>
      <c r="L5" s="107"/>
    </row>
    <row r="7" spans="1:12">
      <c r="A7" s="109" t="s">
        <v>73</v>
      </c>
      <c r="B7" s="109"/>
      <c r="C7" s="109"/>
      <c r="D7" s="109"/>
      <c r="E7" s="109"/>
      <c r="F7" s="109"/>
      <c r="G7" s="109"/>
      <c r="H7" s="109"/>
      <c r="I7" s="109"/>
      <c r="J7" s="109"/>
      <c r="K7" s="109"/>
      <c r="L7" s="109"/>
    </row>
    <row r="8" spans="1:12" ht="52.5" customHeight="1">
      <c r="A8" s="107" t="s">
        <v>240</v>
      </c>
      <c r="B8" s="107"/>
      <c r="C8" s="107"/>
      <c r="D8" s="107"/>
      <c r="E8" s="107"/>
      <c r="F8" s="107"/>
      <c r="G8" s="107"/>
      <c r="H8" s="107"/>
      <c r="I8" s="107"/>
      <c r="J8" s="107"/>
      <c r="K8" s="107"/>
      <c r="L8" s="107"/>
    </row>
    <row r="10" spans="1:12">
      <c r="F10" s="110" t="s">
        <v>95</v>
      </c>
      <c r="G10" s="110"/>
      <c r="H10" s="110"/>
    </row>
    <row r="11" spans="1:12" ht="31.5">
      <c r="A11" s="45" t="s">
        <v>71</v>
      </c>
      <c r="B11" s="46" t="s">
        <v>72</v>
      </c>
      <c r="C11" s="47"/>
      <c r="D11" s="45" t="s">
        <v>10</v>
      </c>
      <c r="E11" s="47"/>
      <c r="F11" s="46" t="s">
        <v>96</v>
      </c>
      <c r="G11" s="48"/>
      <c r="H11" s="46" t="s">
        <v>11</v>
      </c>
      <c r="I11" s="48"/>
      <c r="J11" s="46" t="s">
        <v>18</v>
      </c>
      <c r="K11" s="48"/>
      <c r="L11" s="46" t="s">
        <v>19</v>
      </c>
    </row>
    <row r="12" spans="1:12">
      <c r="A12" s="19" t="s">
        <v>24</v>
      </c>
      <c r="B12" s="20">
        <v>711</v>
      </c>
      <c r="D12" s="19" t="s">
        <v>179</v>
      </c>
      <c r="F12" s="20" t="s">
        <v>122</v>
      </c>
      <c r="H12" s="20" t="s">
        <v>17</v>
      </c>
      <c r="J12" s="20">
        <v>5</v>
      </c>
      <c r="L12" s="20">
        <v>4</v>
      </c>
    </row>
    <row r="13" spans="1:12">
      <c r="A13" s="19" t="s">
        <v>78</v>
      </c>
      <c r="B13" s="20">
        <v>712</v>
      </c>
      <c r="D13" s="19" t="s">
        <v>180</v>
      </c>
      <c r="F13" s="20" t="s">
        <v>123</v>
      </c>
      <c r="H13" s="20" t="s">
        <v>17</v>
      </c>
      <c r="J13" s="20">
        <v>5</v>
      </c>
      <c r="L13" s="20">
        <v>4</v>
      </c>
    </row>
    <row r="14" spans="1:12">
      <c r="A14" s="19" t="s">
        <v>79</v>
      </c>
      <c r="B14" s="20">
        <v>720</v>
      </c>
      <c r="D14" s="19" t="s">
        <v>30</v>
      </c>
      <c r="F14" s="20" t="s">
        <v>124</v>
      </c>
      <c r="H14" s="20" t="s">
        <v>35</v>
      </c>
      <c r="J14" s="20">
        <v>5</v>
      </c>
      <c r="L14" s="20">
        <v>4</v>
      </c>
    </row>
    <row r="15" spans="1:12">
      <c r="A15" s="19" t="s">
        <v>80</v>
      </c>
      <c r="B15" s="20">
        <v>721</v>
      </c>
      <c r="D15" s="19" t="s">
        <v>31</v>
      </c>
      <c r="F15" s="20" t="s">
        <v>124</v>
      </c>
      <c r="H15" s="20" t="s">
        <v>17</v>
      </c>
      <c r="J15" s="20">
        <v>5</v>
      </c>
      <c r="L15" s="20">
        <v>4</v>
      </c>
    </row>
    <row r="16" spans="1:12">
      <c r="A16" s="19" t="s">
        <v>81</v>
      </c>
      <c r="B16" s="20">
        <v>723</v>
      </c>
      <c r="D16" s="19" t="s">
        <v>181</v>
      </c>
      <c r="F16" s="20" t="s">
        <v>124</v>
      </c>
      <c r="H16" s="20" t="s">
        <v>17</v>
      </c>
      <c r="J16" s="20">
        <v>5</v>
      </c>
      <c r="L16" s="20">
        <v>4</v>
      </c>
    </row>
    <row r="17" spans="1:12">
      <c r="A17" s="19" t="s">
        <v>54</v>
      </c>
      <c r="B17" s="20">
        <v>733</v>
      </c>
      <c r="D17" s="19" t="s">
        <v>33</v>
      </c>
      <c r="F17" s="20" t="s">
        <v>124</v>
      </c>
      <c r="H17" s="20" t="s">
        <v>17</v>
      </c>
      <c r="J17" s="20">
        <v>5</v>
      </c>
      <c r="L17" s="20">
        <v>4</v>
      </c>
    </row>
    <row r="18" spans="1:12">
      <c r="A18" s="19" t="s">
        <v>82</v>
      </c>
      <c r="B18" s="20">
        <v>750</v>
      </c>
      <c r="D18" s="19" t="s">
        <v>182</v>
      </c>
      <c r="F18" s="20" t="s">
        <v>124</v>
      </c>
      <c r="H18" s="20" t="s">
        <v>35</v>
      </c>
      <c r="J18" s="20">
        <v>4</v>
      </c>
      <c r="L18" s="20">
        <v>4</v>
      </c>
    </row>
    <row r="19" spans="1:12">
      <c r="A19" s="19" t="s">
        <v>83</v>
      </c>
      <c r="B19" s="20">
        <v>751</v>
      </c>
      <c r="D19" s="19" t="s">
        <v>183</v>
      </c>
      <c r="F19" s="20" t="s">
        <v>124</v>
      </c>
      <c r="H19" s="20" t="s">
        <v>17</v>
      </c>
      <c r="J19" s="20">
        <v>5</v>
      </c>
      <c r="L19" s="20">
        <v>4</v>
      </c>
    </row>
    <row r="20" spans="1:12">
      <c r="A20" s="19" t="s">
        <v>55</v>
      </c>
      <c r="B20" s="20">
        <v>752</v>
      </c>
      <c r="D20" s="19" t="s">
        <v>52</v>
      </c>
      <c r="F20" s="20" t="s">
        <v>122</v>
      </c>
      <c r="H20" s="20" t="s">
        <v>35</v>
      </c>
      <c r="J20" s="20">
        <v>5</v>
      </c>
      <c r="L20" s="20">
        <v>4</v>
      </c>
    </row>
    <row r="21" spans="1:12">
      <c r="A21" s="19" t="s">
        <v>84</v>
      </c>
      <c r="B21" s="20">
        <v>722</v>
      </c>
      <c r="D21" s="19" t="s">
        <v>184</v>
      </c>
      <c r="F21" s="20" t="s">
        <v>122</v>
      </c>
      <c r="H21" s="20" t="s">
        <v>35</v>
      </c>
      <c r="J21" s="20">
        <v>5</v>
      </c>
      <c r="L21" s="20">
        <v>4</v>
      </c>
    </row>
    <row r="22" spans="1:12">
      <c r="A22" s="19" t="s">
        <v>27</v>
      </c>
      <c r="B22" s="20">
        <v>731</v>
      </c>
      <c r="D22" s="19" t="s">
        <v>185</v>
      </c>
      <c r="F22" s="20" t="s">
        <v>123</v>
      </c>
      <c r="H22" s="20" t="s">
        <v>35</v>
      </c>
      <c r="J22" s="20">
        <v>5</v>
      </c>
      <c r="L22" s="20">
        <v>4</v>
      </c>
    </row>
    <row r="23" spans="1:12">
      <c r="A23" s="19" t="s">
        <v>56</v>
      </c>
      <c r="B23" s="20">
        <v>724</v>
      </c>
      <c r="D23" s="19" t="s">
        <v>178</v>
      </c>
      <c r="F23" s="20" t="s">
        <v>122</v>
      </c>
      <c r="H23" s="20" t="s">
        <v>35</v>
      </c>
      <c r="J23" s="20">
        <v>4</v>
      </c>
      <c r="L23" s="20">
        <v>4</v>
      </c>
    </row>
    <row r="24" spans="1:12">
      <c r="A24" s="19" t="s">
        <v>53</v>
      </c>
      <c r="D24" s="19" t="s">
        <v>137</v>
      </c>
      <c r="F24" s="20" t="s">
        <v>123</v>
      </c>
      <c r="H24" s="20" t="s">
        <v>35</v>
      </c>
      <c r="J24" s="20">
        <v>5</v>
      </c>
      <c r="L24" s="20">
        <v>4</v>
      </c>
    </row>
    <row r="25" spans="1:12">
      <c r="A25" s="19" t="s">
        <v>85</v>
      </c>
      <c r="B25" s="20">
        <v>793</v>
      </c>
      <c r="D25" s="19" t="s">
        <v>90</v>
      </c>
      <c r="F25" s="20" t="s">
        <v>125</v>
      </c>
      <c r="H25" s="20" t="s">
        <v>125</v>
      </c>
      <c r="J25" s="20" t="s">
        <v>126</v>
      </c>
      <c r="L25" s="20" t="s">
        <v>126</v>
      </c>
    </row>
    <row r="27" spans="1:12">
      <c r="A27" s="49" t="s">
        <v>91</v>
      </c>
      <c r="B27" s="107" t="s">
        <v>171</v>
      </c>
      <c r="C27" s="107"/>
      <c r="D27" s="107"/>
      <c r="E27" s="107"/>
      <c r="F27" s="107"/>
      <c r="G27" s="107"/>
      <c r="H27" s="107"/>
      <c r="I27" s="107"/>
      <c r="J27" s="107"/>
      <c r="K27" s="107"/>
      <c r="L27" s="107"/>
    </row>
    <row r="28" spans="1:12" ht="33" customHeight="1">
      <c r="A28" s="49" t="s">
        <v>92</v>
      </c>
      <c r="B28" s="107" t="s">
        <v>177</v>
      </c>
      <c r="C28" s="107"/>
      <c r="D28" s="107"/>
      <c r="E28" s="107"/>
      <c r="F28" s="107"/>
      <c r="G28" s="107"/>
      <c r="H28" s="107"/>
      <c r="I28" s="107"/>
      <c r="J28" s="107"/>
      <c r="K28" s="107"/>
      <c r="L28" s="107"/>
    </row>
    <row r="29" spans="1:12" ht="48.75" customHeight="1">
      <c r="A29" s="49" t="s">
        <v>93</v>
      </c>
      <c r="B29" s="107" t="s">
        <v>138</v>
      </c>
      <c r="C29" s="107"/>
      <c r="D29" s="107"/>
      <c r="E29" s="107"/>
      <c r="F29" s="107"/>
      <c r="G29" s="107"/>
      <c r="H29" s="107"/>
      <c r="I29" s="107"/>
      <c r="J29" s="107"/>
      <c r="K29" s="107"/>
      <c r="L29" s="107"/>
    </row>
    <row r="30" spans="1:12" ht="36" customHeight="1">
      <c r="A30" s="49" t="s">
        <v>170</v>
      </c>
      <c r="B30" s="107" t="s">
        <v>94</v>
      </c>
      <c r="C30" s="107"/>
      <c r="D30" s="107"/>
      <c r="E30" s="107"/>
      <c r="F30" s="107"/>
      <c r="G30" s="107"/>
      <c r="H30" s="107"/>
      <c r="I30" s="107"/>
      <c r="J30" s="107"/>
      <c r="K30" s="107"/>
      <c r="L30" s="107"/>
    </row>
    <row r="31" spans="1:12">
      <c r="A31" s="49"/>
      <c r="B31" s="50"/>
      <c r="C31" s="50"/>
      <c r="D31" s="50"/>
      <c r="E31" s="50"/>
      <c r="F31" s="50"/>
      <c r="G31" s="50"/>
      <c r="H31" s="50"/>
      <c r="I31" s="50"/>
      <c r="J31" s="50"/>
      <c r="K31" s="50"/>
      <c r="L31" s="50"/>
    </row>
    <row r="33" spans="1:12">
      <c r="A33" s="109" t="s">
        <v>74</v>
      </c>
      <c r="B33" s="109"/>
      <c r="C33" s="109"/>
      <c r="D33" s="109"/>
      <c r="E33" s="109"/>
      <c r="F33" s="109"/>
      <c r="G33" s="109"/>
      <c r="H33" s="109"/>
      <c r="I33" s="109"/>
      <c r="J33" s="109"/>
      <c r="K33" s="109"/>
      <c r="L33" s="109"/>
    </row>
    <row r="34" spans="1:12" ht="36" customHeight="1">
      <c r="A34" s="105" t="s">
        <v>75</v>
      </c>
      <c r="B34" s="105"/>
      <c r="C34" s="105"/>
      <c r="D34" s="105"/>
      <c r="E34" s="105"/>
      <c r="F34" s="105"/>
      <c r="G34" s="105"/>
      <c r="H34" s="105"/>
      <c r="I34" s="105"/>
      <c r="J34" s="105"/>
      <c r="K34" s="105"/>
      <c r="L34" s="105"/>
    </row>
    <row r="35" spans="1:12">
      <c r="A35" s="22"/>
      <c r="B35" s="22"/>
      <c r="C35" s="22"/>
      <c r="D35" s="22"/>
      <c r="E35" s="22"/>
      <c r="F35" s="22"/>
      <c r="G35" s="22"/>
      <c r="H35" s="22"/>
      <c r="I35" s="22"/>
      <c r="J35" s="22"/>
      <c r="K35" s="22"/>
      <c r="L35" s="22"/>
    </row>
    <row r="37" spans="1:12">
      <c r="A37" s="106" t="s">
        <v>76</v>
      </c>
      <c r="B37" s="106"/>
      <c r="C37" s="106"/>
      <c r="D37" s="106"/>
      <c r="E37" s="106"/>
      <c r="F37" s="106"/>
      <c r="G37" s="106"/>
      <c r="H37" s="106"/>
      <c r="I37" s="106"/>
      <c r="J37" s="106"/>
      <c r="K37" s="106"/>
      <c r="L37" s="106"/>
    </row>
    <row r="38" spans="1:12" ht="83.25" customHeight="1">
      <c r="A38" s="105" t="s">
        <v>77</v>
      </c>
      <c r="B38" s="105"/>
      <c r="C38" s="105"/>
      <c r="D38" s="105"/>
      <c r="E38" s="105"/>
      <c r="F38" s="105"/>
      <c r="G38" s="105"/>
      <c r="H38" s="105"/>
      <c r="I38" s="105"/>
      <c r="J38" s="105"/>
      <c r="K38" s="105"/>
      <c r="L38" s="105"/>
    </row>
  </sheetData>
  <sheetProtection password="BEF9" sheet="1" objects="1" scenarios="1" selectLockedCells="1" selectUnlockedCells="1"/>
  <mergeCells count="14">
    <mergeCell ref="A2:L2"/>
    <mergeCell ref="A5:L5"/>
    <mergeCell ref="A8:L8"/>
    <mergeCell ref="A4:L4"/>
    <mergeCell ref="A33:L33"/>
    <mergeCell ref="A7:L7"/>
    <mergeCell ref="F10:H10"/>
    <mergeCell ref="B27:L27"/>
    <mergeCell ref="A34:L34"/>
    <mergeCell ref="A37:L37"/>
    <mergeCell ref="A38:L38"/>
    <mergeCell ref="B28:L28"/>
    <mergeCell ref="B29:L29"/>
    <mergeCell ref="B30:L30"/>
  </mergeCells>
  <printOptions horizontalCentered="1"/>
  <pageMargins left="0.5" right="0.5" top="0.5" bottom="0.5" header="0.25" footer="0.25"/>
  <pageSetup scale="80" orientation="portrait" copies="0" r:id="rId1"/>
  <headerFooter>
    <oddHeader>&amp;COhio University Doctor of Philosophy (EDRE) Program of Study</oddHeader>
    <oddFooter>&amp;R(revised September, 2012)</oddFooter>
  </headerFooter>
</worksheet>
</file>

<file path=xl/worksheets/sheet3.xml><?xml version="1.0" encoding="utf-8"?>
<worksheet xmlns="http://schemas.openxmlformats.org/spreadsheetml/2006/main" xmlns:r="http://schemas.openxmlformats.org/officeDocument/2006/relationships">
  <sheetPr>
    <pageSetUpPr fitToPage="1"/>
  </sheetPr>
  <dimension ref="A2:M43"/>
  <sheetViews>
    <sheetView showGridLines="0" showRuler="0" view="pageLayout" zoomScaleNormal="100" workbookViewId="0"/>
  </sheetViews>
  <sheetFormatPr defaultColWidth="5.7109375" defaultRowHeight="15.75"/>
  <cols>
    <col min="1" max="1" width="13" style="18" customWidth="1"/>
    <col min="2" max="2" width="1" style="18" customWidth="1"/>
    <col min="3" max="3" width="37.42578125" style="18" customWidth="1"/>
    <col min="4" max="4" width="1.140625" style="18" customWidth="1"/>
    <col min="5" max="5" width="11.7109375" style="21" customWidth="1"/>
    <col min="6" max="6" width="1.140625" style="21" customWidth="1"/>
    <col min="7" max="7" width="14" style="21" customWidth="1"/>
    <col min="8" max="8" width="1" style="21" customWidth="1"/>
    <col min="9" max="9" width="7.140625" style="21" bestFit="1" customWidth="1"/>
    <col min="10" max="10" width="1.28515625" style="21" customWidth="1"/>
    <col min="11" max="11" width="5" style="21" bestFit="1" customWidth="1"/>
    <col min="12" max="12" width="1.42578125" style="21" customWidth="1"/>
    <col min="13" max="13" width="6.7109375" style="21" bestFit="1" customWidth="1"/>
    <col min="14" max="16384" width="5.7109375" style="15"/>
  </cols>
  <sheetData>
    <row r="2" spans="1:13">
      <c r="A2" s="71" t="s">
        <v>0</v>
      </c>
      <c r="B2" s="72"/>
      <c r="C2" s="113" t="s">
        <v>252</v>
      </c>
      <c r="D2" s="113"/>
      <c r="E2" s="113"/>
      <c r="F2" s="73"/>
      <c r="G2" s="71" t="s">
        <v>8</v>
      </c>
      <c r="H2" s="74"/>
      <c r="I2" s="113" t="s">
        <v>252</v>
      </c>
      <c r="J2" s="113"/>
      <c r="K2" s="113"/>
      <c r="L2" s="113"/>
      <c r="M2" s="113"/>
    </row>
    <row r="3" spans="1:13">
      <c r="A3" s="71" t="s">
        <v>144</v>
      </c>
      <c r="B3" s="72"/>
      <c r="C3" s="113"/>
      <c r="D3" s="113"/>
      <c r="E3" s="113"/>
      <c r="F3" s="73"/>
      <c r="G3" s="71" t="s">
        <v>151</v>
      </c>
      <c r="H3" s="74"/>
      <c r="I3" s="113"/>
      <c r="J3" s="113"/>
      <c r="K3" s="113"/>
      <c r="L3" s="113"/>
      <c r="M3" s="113"/>
    </row>
    <row r="4" spans="1:13">
      <c r="A4" s="71" t="s">
        <v>145</v>
      </c>
      <c r="B4" s="72"/>
      <c r="C4" s="16" t="s">
        <v>148</v>
      </c>
      <c r="D4" s="75"/>
      <c r="E4" s="16"/>
      <c r="F4" s="73"/>
      <c r="G4" s="71" t="s">
        <v>146</v>
      </c>
      <c r="H4" s="74"/>
      <c r="I4" s="114" t="s">
        <v>147</v>
      </c>
      <c r="J4" s="114"/>
      <c r="K4" s="114"/>
      <c r="L4" s="114"/>
      <c r="M4" s="114"/>
    </row>
    <row r="5" spans="1:13">
      <c r="A5" s="71" t="s">
        <v>241</v>
      </c>
      <c r="B5" s="72"/>
      <c r="C5" s="113"/>
      <c r="D5" s="113"/>
      <c r="E5" s="113"/>
      <c r="F5" s="73"/>
      <c r="G5" s="71" t="s">
        <v>150</v>
      </c>
      <c r="H5" s="74"/>
      <c r="I5" s="114" t="s">
        <v>149</v>
      </c>
      <c r="J5" s="114"/>
      <c r="K5" s="114"/>
      <c r="L5" s="114"/>
      <c r="M5" s="114"/>
    </row>
    <row r="6" spans="1:13" ht="31.5">
      <c r="A6" s="76" t="s">
        <v>153</v>
      </c>
      <c r="B6" s="72"/>
      <c r="C6" s="113"/>
      <c r="D6" s="113"/>
      <c r="E6" s="113"/>
      <c r="F6" s="113"/>
      <c r="G6" s="113"/>
      <c r="H6" s="113"/>
      <c r="I6" s="113"/>
      <c r="J6" s="113"/>
      <c r="K6" s="113"/>
      <c r="L6" s="113"/>
      <c r="M6" s="113"/>
    </row>
    <row r="7" spans="1:13" ht="48" thickBot="1">
      <c r="A7" s="41" t="s">
        <v>9</v>
      </c>
      <c r="B7" s="22"/>
      <c r="C7" s="41" t="s">
        <v>279</v>
      </c>
      <c r="D7" s="22"/>
      <c r="E7" s="42" t="s">
        <v>261</v>
      </c>
      <c r="F7" s="23"/>
      <c r="G7" s="42" t="s">
        <v>262</v>
      </c>
      <c r="H7" s="24"/>
      <c r="I7" s="42" t="s">
        <v>18</v>
      </c>
      <c r="J7" s="24"/>
      <c r="K7" s="42" t="s">
        <v>19</v>
      </c>
      <c r="M7" s="43" t="s">
        <v>12</v>
      </c>
    </row>
    <row r="8" spans="1:13" ht="16.5" thickBot="1"/>
    <row r="9" spans="1:13" ht="16.5" thickBot="1">
      <c r="A9" s="104" t="s">
        <v>271</v>
      </c>
      <c r="B9" s="26"/>
      <c r="C9" s="111" t="s">
        <v>275</v>
      </c>
      <c r="D9" s="111"/>
      <c r="E9" s="111"/>
      <c r="F9" s="111"/>
      <c r="G9" s="111"/>
      <c r="H9" s="27"/>
      <c r="I9" s="28">
        <f>SUM(I10:I18)</f>
        <v>0</v>
      </c>
      <c r="J9" s="27"/>
      <c r="K9" s="28">
        <f>SUM(K10:K18)</f>
        <v>0</v>
      </c>
      <c r="L9" s="27"/>
      <c r="M9" s="29"/>
    </row>
    <row r="10" spans="1:13">
      <c r="A10" s="99"/>
      <c r="B10" s="100"/>
      <c r="C10" s="99"/>
      <c r="D10" s="100"/>
      <c r="E10" s="101"/>
      <c r="F10" s="102"/>
      <c r="G10" s="101"/>
      <c r="H10" s="102"/>
      <c r="I10" s="101"/>
      <c r="J10" s="102"/>
      <c r="K10" s="101"/>
      <c r="L10" s="102"/>
      <c r="M10" s="101"/>
    </row>
    <row r="11" spans="1:13">
      <c r="A11" s="103"/>
      <c r="B11" s="19"/>
      <c r="C11" s="103"/>
      <c r="D11" s="19"/>
      <c r="E11" s="78"/>
      <c r="F11" s="20"/>
      <c r="G11" s="78"/>
      <c r="H11" s="20"/>
      <c r="I11" s="78"/>
      <c r="J11" s="20"/>
      <c r="K11" s="78"/>
      <c r="L11" s="20"/>
      <c r="M11" s="78"/>
    </row>
    <row r="12" spans="1:13">
      <c r="A12" s="103"/>
      <c r="B12" s="19"/>
      <c r="C12" s="103"/>
      <c r="D12" s="19"/>
      <c r="E12" s="78"/>
      <c r="F12" s="20"/>
      <c r="G12" s="78"/>
      <c r="H12" s="20"/>
      <c r="I12" s="78"/>
      <c r="J12" s="20"/>
      <c r="K12" s="78"/>
      <c r="L12" s="20"/>
      <c r="M12" s="78"/>
    </row>
    <row r="13" spans="1:13">
      <c r="A13" s="103"/>
      <c r="B13" s="19"/>
      <c r="C13" s="103"/>
      <c r="D13" s="19"/>
      <c r="E13" s="78"/>
      <c r="F13" s="20"/>
      <c r="G13" s="78"/>
      <c r="H13" s="20"/>
      <c r="I13" s="78"/>
      <c r="J13" s="20"/>
      <c r="K13" s="78"/>
      <c r="L13" s="20"/>
      <c r="M13" s="78"/>
    </row>
    <row r="14" spans="1:13">
      <c r="A14" s="103"/>
      <c r="B14" s="19"/>
      <c r="C14" s="103"/>
      <c r="D14" s="19"/>
      <c r="E14" s="78"/>
      <c r="F14" s="20"/>
      <c r="G14" s="78"/>
      <c r="H14" s="20"/>
      <c r="I14" s="78"/>
      <c r="J14" s="20"/>
      <c r="K14" s="78"/>
      <c r="L14" s="20"/>
      <c r="M14" s="78"/>
    </row>
    <row r="15" spans="1:13">
      <c r="A15" s="103"/>
      <c r="B15" s="19"/>
      <c r="C15" s="103"/>
      <c r="D15" s="19"/>
      <c r="E15" s="78"/>
      <c r="F15" s="20"/>
      <c r="G15" s="78"/>
      <c r="H15" s="20"/>
      <c r="I15" s="78"/>
      <c r="J15" s="20"/>
      <c r="K15" s="78"/>
      <c r="L15" s="20"/>
      <c r="M15" s="78"/>
    </row>
    <row r="16" spans="1:13">
      <c r="A16" s="103"/>
      <c r="B16" s="19"/>
      <c r="C16" s="103"/>
      <c r="D16" s="19"/>
      <c r="E16" s="78"/>
      <c r="F16" s="20"/>
      <c r="G16" s="78"/>
      <c r="H16" s="20"/>
      <c r="I16" s="78"/>
      <c r="J16" s="20"/>
      <c r="K16" s="78"/>
      <c r="L16" s="20"/>
      <c r="M16" s="78"/>
    </row>
    <row r="17" spans="1:13">
      <c r="A17" s="103"/>
      <c r="B17" s="19"/>
      <c r="C17" s="103"/>
      <c r="D17" s="19"/>
      <c r="E17" s="78"/>
      <c r="F17" s="20"/>
      <c r="G17" s="78"/>
      <c r="H17" s="20"/>
      <c r="I17" s="78"/>
      <c r="J17" s="20"/>
      <c r="K17" s="78"/>
      <c r="L17" s="20"/>
      <c r="M17" s="78"/>
    </row>
    <row r="18" spans="1:13" ht="16.5" thickBot="1">
      <c r="D18" s="19"/>
      <c r="E18" s="20"/>
      <c r="F18" s="20"/>
      <c r="G18" s="20"/>
      <c r="H18" s="20"/>
      <c r="I18" s="20"/>
      <c r="J18" s="20"/>
      <c r="K18" s="20"/>
      <c r="L18" s="20"/>
      <c r="M18" s="20"/>
    </row>
    <row r="19" spans="1:13" ht="16.5" thickBot="1">
      <c r="A19" s="104" t="s">
        <v>272</v>
      </c>
      <c r="B19" s="26"/>
      <c r="C19" s="111" t="s">
        <v>278</v>
      </c>
      <c r="D19" s="111"/>
      <c r="E19" s="111"/>
      <c r="F19" s="111"/>
      <c r="G19" s="111"/>
      <c r="H19" s="27"/>
      <c r="I19" s="28">
        <f>SUM(I20:I27)</f>
        <v>0</v>
      </c>
      <c r="J19" s="27"/>
      <c r="K19" s="28">
        <f>SUM(K20:K27)</f>
        <v>0</v>
      </c>
      <c r="L19" s="27"/>
      <c r="M19" s="29"/>
    </row>
    <row r="20" spans="1:13">
      <c r="A20" s="99"/>
      <c r="B20" s="100"/>
      <c r="C20" s="99"/>
      <c r="D20" s="100"/>
      <c r="E20" s="101"/>
      <c r="F20" s="102"/>
      <c r="G20" s="101"/>
      <c r="H20" s="102"/>
      <c r="I20" s="101"/>
      <c r="J20" s="102"/>
      <c r="K20" s="101"/>
      <c r="L20" s="102"/>
      <c r="M20" s="101"/>
    </row>
    <row r="21" spans="1:13">
      <c r="A21" s="103"/>
      <c r="B21" s="19"/>
      <c r="C21" s="103"/>
      <c r="D21" s="19"/>
      <c r="E21" s="78"/>
      <c r="F21" s="20"/>
      <c r="G21" s="78"/>
      <c r="H21" s="20"/>
      <c r="I21" s="78"/>
      <c r="J21" s="20"/>
      <c r="K21" s="78"/>
      <c r="L21" s="20"/>
      <c r="M21" s="78"/>
    </row>
    <row r="22" spans="1:13">
      <c r="A22" s="103"/>
      <c r="B22" s="19"/>
      <c r="C22" s="103"/>
      <c r="D22" s="19"/>
      <c r="E22" s="78"/>
      <c r="F22" s="20"/>
      <c r="G22" s="78"/>
      <c r="H22" s="20"/>
      <c r="I22" s="78"/>
      <c r="J22" s="20"/>
      <c r="K22" s="78"/>
      <c r="L22" s="20"/>
      <c r="M22" s="78"/>
    </row>
    <row r="23" spans="1:13">
      <c r="A23" s="103"/>
      <c r="B23" s="19"/>
      <c r="C23" s="103"/>
      <c r="D23" s="19"/>
      <c r="E23" s="78"/>
      <c r="F23" s="20"/>
      <c r="G23" s="78"/>
      <c r="H23" s="20"/>
      <c r="I23" s="78"/>
      <c r="J23" s="20"/>
      <c r="K23" s="78"/>
      <c r="L23" s="20"/>
      <c r="M23" s="78"/>
    </row>
    <row r="24" spans="1:13">
      <c r="A24" s="103"/>
      <c r="B24" s="19"/>
      <c r="C24" s="103"/>
      <c r="D24" s="19"/>
      <c r="E24" s="78"/>
      <c r="F24" s="20"/>
      <c r="G24" s="78"/>
      <c r="H24" s="20"/>
      <c r="I24" s="78"/>
      <c r="J24" s="20"/>
      <c r="K24" s="78"/>
      <c r="L24" s="20"/>
      <c r="M24" s="78"/>
    </row>
    <row r="25" spans="1:13">
      <c r="A25" s="103"/>
      <c r="B25" s="19"/>
      <c r="C25" s="103"/>
      <c r="D25" s="19"/>
      <c r="E25" s="78"/>
      <c r="F25" s="20"/>
      <c r="G25" s="78"/>
      <c r="H25" s="20"/>
      <c r="I25" s="78"/>
      <c r="J25" s="20"/>
      <c r="K25" s="78"/>
      <c r="L25" s="20"/>
      <c r="M25" s="78"/>
    </row>
    <row r="26" spans="1:13">
      <c r="A26" s="103"/>
      <c r="B26" s="19"/>
      <c r="C26" s="103"/>
      <c r="D26" s="19"/>
      <c r="E26" s="78"/>
      <c r="F26" s="20"/>
      <c r="G26" s="78"/>
      <c r="H26" s="20"/>
      <c r="I26" s="78"/>
      <c r="J26" s="20"/>
      <c r="K26" s="78"/>
      <c r="L26" s="20"/>
      <c r="M26" s="78"/>
    </row>
    <row r="27" spans="1:13" ht="16.5" thickBot="1"/>
    <row r="28" spans="1:13" ht="16.5" thickBot="1">
      <c r="A28" s="104" t="s">
        <v>273</v>
      </c>
      <c r="B28" s="26"/>
      <c r="C28" s="111" t="s">
        <v>277</v>
      </c>
      <c r="D28" s="111"/>
      <c r="E28" s="111"/>
      <c r="F28" s="111"/>
      <c r="G28" s="111"/>
      <c r="H28" s="27"/>
      <c r="I28" s="28">
        <f>SUM(I29:I34)</f>
        <v>0</v>
      </c>
      <c r="J28" s="28"/>
      <c r="K28" s="28">
        <f>SUM(K29:K34)</f>
        <v>0</v>
      </c>
      <c r="L28" s="27"/>
      <c r="M28" s="29"/>
    </row>
    <row r="29" spans="1:13">
      <c r="A29" s="99"/>
      <c r="B29" s="100"/>
      <c r="C29" s="99"/>
      <c r="D29" s="100"/>
      <c r="E29" s="101"/>
      <c r="F29" s="102"/>
      <c r="G29" s="101"/>
      <c r="H29" s="102"/>
      <c r="I29" s="101"/>
      <c r="J29" s="102"/>
      <c r="K29" s="101"/>
      <c r="L29" s="102"/>
      <c r="M29" s="101"/>
    </row>
    <row r="30" spans="1:13">
      <c r="A30" s="103"/>
      <c r="B30" s="19"/>
      <c r="C30" s="103"/>
      <c r="D30" s="19"/>
      <c r="E30" s="78"/>
      <c r="F30" s="20"/>
      <c r="G30" s="78"/>
      <c r="H30" s="20"/>
      <c r="I30" s="78"/>
      <c r="J30" s="20"/>
      <c r="K30" s="78"/>
      <c r="L30" s="20"/>
      <c r="M30" s="78"/>
    </row>
    <row r="31" spans="1:13">
      <c r="A31" s="103"/>
      <c r="B31" s="19"/>
      <c r="C31" s="103"/>
      <c r="D31" s="19"/>
      <c r="E31" s="78"/>
      <c r="F31" s="20"/>
      <c r="G31" s="78"/>
      <c r="H31" s="20"/>
      <c r="I31" s="78"/>
      <c r="J31" s="20"/>
      <c r="K31" s="78"/>
      <c r="L31" s="20"/>
      <c r="M31" s="78"/>
    </row>
    <row r="32" spans="1:13">
      <c r="A32" s="103"/>
      <c r="B32" s="19"/>
      <c r="C32" s="103"/>
      <c r="D32" s="19"/>
      <c r="E32" s="78"/>
      <c r="F32" s="20"/>
      <c r="G32" s="78"/>
      <c r="H32" s="20"/>
      <c r="I32" s="78"/>
      <c r="J32" s="20"/>
      <c r="K32" s="78"/>
      <c r="L32" s="20"/>
      <c r="M32" s="78"/>
    </row>
    <row r="33" spans="1:13">
      <c r="A33" s="103"/>
      <c r="B33" s="19"/>
      <c r="C33" s="103"/>
      <c r="D33" s="19"/>
      <c r="E33" s="78"/>
      <c r="F33" s="20"/>
      <c r="G33" s="78"/>
      <c r="H33" s="20"/>
      <c r="I33" s="78"/>
      <c r="J33" s="20"/>
      <c r="K33" s="78"/>
      <c r="L33" s="20"/>
      <c r="M33" s="78"/>
    </row>
    <row r="34" spans="1:13" ht="16.5" thickBot="1">
      <c r="A34" s="19"/>
      <c r="B34" s="19"/>
      <c r="C34" s="19"/>
      <c r="D34" s="19"/>
      <c r="E34" s="20"/>
      <c r="F34" s="20"/>
      <c r="G34" s="20"/>
      <c r="H34" s="20"/>
      <c r="I34" s="20"/>
      <c r="J34" s="20"/>
      <c r="K34" s="20"/>
      <c r="L34" s="20"/>
      <c r="M34" s="20"/>
    </row>
    <row r="35" spans="1:13" ht="16.5" thickBot="1">
      <c r="A35" s="104" t="s">
        <v>274</v>
      </c>
      <c r="B35" s="93"/>
      <c r="C35" s="111" t="s">
        <v>276</v>
      </c>
      <c r="D35" s="111"/>
      <c r="E35" s="111"/>
      <c r="F35" s="111"/>
      <c r="G35" s="111"/>
      <c r="H35" s="27"/>
      <c r="I35" s="28">
        <f>SUM(I36:I40)</f>
        <v>0</v>
      </c>
      <c r="J35" s="28"/>
      <c r="K35" s="28">
        <f>SUM(K36:K40)</f>
        <v>0</v>
      </c>
      <c r="L35" s="27"/>
      <c r="M35" s="29"/>
    </row>
    <row r="36" spans="1:13">
      <c r="A36" s="99"/>
      <c r="B36" s="100"/>
      <c r="C36" s="99"/>
      <c r="D36" s="100"/>
      <c r="E36" s="101"/>
      <c r="F36" s="102"/>
      <c r="G36" s="101"/>
      <c r="H36" s="102"/>
      <c r="I36" s="101"/>
      <c r="J36" s="102"/>
      <c r="K36" s="101"/>
      <c r="L36" s="102"/>
      <c r="M36" s="101"/>
    </row>
    <row r="37" spans="1:13">
      <c r="A37" s="103"/>
      <c r="B37" s="19"/>
      <c r="C37" s="103"/>
      <c r="D37" s="19"/>
      <c r="E37" s="78"/>
      <c r="F37" s="20"/>
      <c r="G37" s="78"/>
      <c r="H37" s="20"/>
      <c r="I37" s="78"/>
      <c r="J37" s="20"/>
      <c r="K37" s="78"/>
      <c r="L37" s="20"/>
      <c r="M37" s="78"/>
    </row>
    <row r="38" spans="1:13">
      <c r="A38" s="103"/>
      <c r="B38" s="19"/>
      <c r="C38" s="103"/>
      <c r="D38" s="19"/>
      <c r="E38" s="78"/>
      <c r="F38" s="20"/>
      <c r="G38" s="78"/>
      <c r="H38" s="20"/>
      <c r="I38" s="78"/>
      <c r="J38" s="20"/>
      <c r="K38" s="78"/>
      <c r="L38" s="20"/>
      <c r="M38" s="78"/>
    </row>
    <row r="39" spans="1:13">
      <c r="A39" s="103"/>
      <c r="B39" s="19"/>
      <c r="C39" s="103"/>
      <c r="D39" s="19"/>
      <c r="E39" s="78"/>
      <c r="F39" s="20"/>
      <c r="G39" s="78"/>
      <c r="H39" s="20"/>
      <c r="I39" s="78"/>
      <c r="J39" s="20"/>
      <c r="K39" s="78"/>
      <c r="L39" s="20"/>
      <c r="M39" s="78"/>
    </row>
    <row r="40" spans="1:13" ht="16.5" thickBot="1"/>
    <row r="41" spans="1:13" ht="16.5" thickBot="1">
      <c r="A41" s="25"/>
      <c r="B41" s="26"/>
      <c r="C41" s="112" t="s">
        <v>266</v>
      </c>
      <c r="D41" s="112"/>
      <c r="E41" s="112"/>
      <c r="F41" s="112"/>
      <c r="G41" s="112"/>
      <c r="H41" s="27"/>
      <c r="I41" s="28">
        <f>SUM(I42:I43)</f>
        <v>0</v>
      </c>
      <c r="J41" s="28"/>
      <c r="K41" s="28">
        <f>SUM(K42:K43)</f>
        <v>10</v>
      </c>
      <c r="L41" s="27"/>
      <c r="M41" s="29"/>
    </row>
    <row r="42" spans="1:13">
      <c r="A42" s="99" t="s">
        <v>196</v>
      </c>
      <c r="B42" s="100"/>
      <c r="C42" s="99" t="s">
        <v>7</v>
      </c>
      <c r="D42" s="100"/>
      <c r="E42" s="101"/>
      <c r="F42" s="102"/>
      <c r="G42" s="101"/>
      <c r="H42" s="102"/>
      <c r="I42" s="101"/>
      <c r="J42" s="102"/>
      <c r="K42" s="101">
        <v>10</v>
      </c>
      <c r="L42" s="102"/>
      <c r="M42" s="101"/>
    </row>
    <row r="43" spans="1:13">
      <c r="A43" s="103"/>
      <c r="B43" s="19"/>
      <c r="C43" s="103"/>
      <c r="D43" s="19"/>
      <c r="E43" s="78"/>
      <c r="F43" s="20"/>
      <c r="G43" s="78"/>
      <c r="H43" s="20"/>
      <c r="I43" s="78"/>
      <c r="J43" s="20"/>
      <c r="K43" s="78"/>
      <c r="L43" s="20"/>
      <c r="M43" s="78"/>
    </row>
  </sheetData>
  <sheetProtection password="BEF9" sheet="1" objects="1" scenarios="1" insertRows="0"/>
  <mergeCells count="13">
    <mergeCell ref="C35:G35"/>
    <mergeCell ref="C41:G41"/>
    <mergeCell ref="C2:E2"/>
    <mergeCell ref="C9:G9"/>
    <mergeCell ref="C19:G19"/>
    <mergeCell ref="C28:G28"/>
    <mergeCell ref="C6:M6"/>
    <mergeCell ref="I2:M2"/>
    <mergeCell ref="C3:E3"/>
    <mergeCell ref="I3:M3"/>
    <mergeCell ref="C5:E5"/>
    <mergeCell ref="I5:M5"/>
    <mergeCell ref="I4:M4"/>
  </mergeCells>
  <printOptions horizontalCentered="1"/>
  <pageMargins left="0.5" right="0.5" top="0.5" bottom="0.5" header="0.25" footer="0.25"/>
  <pageSetup scale="93" orientation="portrait" copies="0" r:id="rId1"/>
  <headerFooter>
    <oddHeader>&amp;COhio University Doctor of Philosophy (EDRE) Program of Study&amp;RPage 1/2</oddHeader>
    <oddFooter>&amp;R(revised September, 2012)</oddFooter>
  </headerFooter>
</worksheet>
</file>

<file path=xl/worksheets/sheet4.xml><?xml version="1.0" encoding="utf-8"?>
<worksheet xmlns="http://schemas.openxmlformats.org/spreadsheetml/2006/main" xmlns:r="http://schemas.openxmlformats.org/officeDocument/2006/relationships">
  <sheetPr>
    <pageSetUpPr fitToPage="1"/>
  </sheetPr>
  <dimension ref="A2:J33"/>
  <sheetViews>
    <sheetView showGridLines="0" showRuler="0" view="pageLayout" topLeftCell="A5" zoomScaleNormal="100" workbookViewId="0">
      <selection activeCell="C22" sqref="C22:J33"/>
    </sheetView>
  </sheetViews>
  <sheetFormatPr defaultColWidth="7.140625" defaultRowHeight="15"/>
  <cols>
    <col min="1" max="1" width="9.5703125" style="1" customWidth="1"/>
    <col min="2" max="2" width="3.140625" style="1" customWidth="1"/>
    <col min="3" max="4" width="25.5703125" style="1" customWidth="1"/>
    <col min="5" max="5" width="3.140625" style="1" customWidth="1"/>
    <col min="6" max="6" width="6.42578125" style="1" customWidth="1"/>
    <col min="7" max="7" width="3.140625" style="1" customWidth="1"/>
    <col min="8" max="8" width="6.42578125" style="1" customWidth="1"/>
    <col min="9" max="9" width="3.140625" style="1" customWidth="1"/>
    <col min="10" max="10" width="10.140625" style="4" customWidth="1"/>
    <col min="11" max="16384" width="7.140625" style="1"/>
  </cols>
  <sheetData>
    <row r="2" spans="1:10">
      <c r="A2" s="14" t="s">
        <v>0</v>
      </c>
      <c r="B2" s="13"/>
      <c r="C2" s="117" t="str">
        <f>'PhD Page 1'!C2</f>
        <v xml:space="preserve"> </v>
      </c>
      <c r="D2" s="117"/>
      <c r="F2" s="14" t="s">
        <v>8</v>
      </c>
      <c r="G2" s="117" t="str">
        <f>'PhD Page 1'!I2</f>
        <v xml:space="preserve"> </v>
      </c>
      <c r="H2" s="117"/>
      <c r="I2" s="117"/>
      <c r="J2" s="117"/>
    </row>
    <row r="3" spans="1:10">
      <c r="A3" s="2"/>
      <c r="B3" s="13"/>
      <c r="C3" s="7"/>
      <c r="D3" s="7"/>
      <c r="F3" s="3"/>
      <c r="G3" s="3"/>
      <c r="H3" s="7"/>
    </row>
    <row r="4" spans="1:10">
      <c r="A4" s="118" t="s">
        <v>135</v>
      </c>
      <c r="B4" s="118"/>
      <c r="C4" s="118"/>
      <c r="D4" s="118"/>
      <c r="E4" s="118"/>
      <c r="F4" s="118"/>
      <c r="G4" s="118"/>
      <c r="H4" s="118"/>
      <c r="I4" s="118"/>
      <c r="J4" s="118"/>
    </row>
    <row r="6" spans="1:10" ht="28.5">
      <c r="A6" s="119" t="s">
        <v>5</v>
      </c>
      <c r="B6" s="119"/>
      <c r="C6" s="119"/>
      <c r="D6" s="120"/>
      <c r="F6" s="12" t="s">
        <v>18</v>
      </c>
      <c r="H6" s="12" t="s">
        <v>19</v>
      </c>
      <c r="J6" s="12" t="s">
        <v>134</v>
      </c>
    </row>
    <row r="8" spans="1:10">
      <c r="A8" s="14" t="s">
        <v>3</v>
      </c>
      <c r="B8" s="13"/>
      <c r="C8" s="121" t="str">
        <f>'PhD Page 1'!C9</f>
        <v>Edit or Erase Name for Area 1</v>
      </c>
      <c r="D8" s="121"/>
      <c r="E8" s="5"/>
      <c r="F8" s="9">
        <f>'PhD Page 1'!I9</f>
        <v>0</v>
      </c>
      <c r="G8" s="10"/>
      <c r="H8" s="9">
        <f>'PhD Page 1'!K9</f>
        <v>0</v>
      </c>
      <c r="I8" s="10"/>
      <c r="J8" s="83">
        <f>ROUND((F8*2/3)+H8,2)</f>
        <v>0</v>
      </c>
    </row>
    <row r="9" spans="1:10">
      <c r="C9" s="8"/>
      <c r="D9" s="8"/>
      <c r="F9" s="10"/>
      <c r="G9" s="10"/>
      <c r="H9" s="10"/>
      <c r="I9" s="10"/>
      <c r="J9" s="88"/>
    </row>
    <row r="10" spans="1:10">
      <c r="A10" s="14" t="s">
        <v>4</v>
      </c>
      <c r="B10" s="13"/>
      <c r="C10" s="121" t="str">
        <f>'PhD Page 1'!C19</f>
        <v>Edit or Erase Name for Area 2</v>
      </c>
      <c r="D10" s="121"/>
      <c r="E10" s="5"/>
      <c r="F10" s="9">
        <f>'PhD Page 1'!I19</f>
        <v>0</v>
      </c>
      <c r="G10" s="10"/>
      <c r="H10" s="9">
        <f>'PhD Page 1'!K19</f>
        <v>0</v>
      </c>
      <c r="I10" s="10"/>
      <c r="J10" s="83">
        <f>ROUND((F10*2/3)+H10,2)</f>
        <v>0</v>
      </c>
    </row>
    <row r="11" spans="1:10">
      <c r="C11" s="6"/>
      <c r="D11" s="6"/>
      <c r="F11" s="10"/>
      <c r="G11" s="10"/>
      <c r="H11" s="10"/>
      <c r="I11" s="10"/>
      <c r="J11" s="88"/>
    </row>
    <row r="12" spans="1:10">
      <c r="A12" s="14" t="s">
        <v>1</v>
      </c>
      <c r="B12" s="13"/>
      <c r="C12" s="121" t="str">
        <f>'PhD Page 1'!C28</f>
        <v>Edit or Erase Name for Area 3</v>
      </c>
      <c r="D12" s="121"/>
      <c r="E12" s="5"/>
      <c r="F12" s="9">
        <f>'PhD Page 1'!I28</f>
        <v>0</v>
      </c>
      <c r="G12" s="10"/>
      <c r="H12" s="9">
        <f>'PhD Page 1'!K28</f>
        <v>0</v>
      </c>
      <c r="I12" s="10"/>
      <c r="J12" s="83">
        <f>ROUND((F12*2/3)+H12,2)</f>
        <v>0</v>
      </c>
    </row>
    <row r="13" spans="1:10">
      <c r="C13" s="6"/>
      <c r="D13" s="6"/>
      <c r="F13" s="10"/>
      <c r="G13" s="10"/>
      <c r="H13" s="10"/>
      <c r="I13" s="10"/>
      <c r="J13" s="88"/>
    </row>
    <row r="14" spans="1:10">
      <c r="A14" s="14" t="s">
        <v>2</v>
      </c>
      <c r="B14" s="13"/>
      <c r="C14" s="121" t="str">
        <f>'PhD Page 1'!C35</f>
        <v>Edit or Erase Name for Area 4</v>
      </c>
      <c r="D14" s="121"/>
      <c r="E14" s="5"/>
      <c r="F14" s="9">
        <f>'PhD Page 1'!I35</f>
        <v>0</v>
      </c>
      <c r="G14" s="10"/>
      <c r="H14" s="9">
        <f>'PhD Page 1'!K35</f>
        <v>0</v>
      </c>
      <c r="I14" s="10"/>
      <c r="J14" s="83">
        <f>ROUND((F14*2/3)+H14,2)</f>
        <v>0</v>
      </c>
    </row>
    <row r="15" spans="1:10">
      <c r="C15" s="6"/>
      <c r="D15" s="6"/>
      <c r="F15" s="10"/>
      <c r="G15" s="10"/>
      <c r="H15" s="10"/>
      <c r="I15" s="10"/>
      <c r="J15" s="88"/>
    </row>
    <row r="16" spans="1:10">
      <c r="A16" s="2"/>
      <c r="B16" s="13"/>
      <c r="C16" s="121" t="str">
        <f>'PhD Page 1'!C41</f>
        <v>Dissertation (maximum of 10 semester hours for Program)</v>
      </c>
      <c r="D16" s="121"/>
      <c r="E16" s="5"/>
      <c r="F16" s="9">
        <f>'PhD Page 1'!I41</f>
        <v>0</v>
      </c>
      <c r="G16" s="10"/>
      <c r="H16" s="9">
        <f>'PhD Page 1'!K41</f>
        <v>10</v>
      </c>
      <c r="I16" s="10"/>
      <c r="J16" s="83">
        <f>ROUND((F16*2/3)+H16,2)</f>
        <v>10</v>
      </c>
    </row>
    <row r="17" spans="1:10">
      <c r="F17" s="10"/>
      <c r="G17" s="10"/>
      <c r="H17" s="10"/>
      <c r="I17" s="10"/>
      <c r="J17" s="88"/>
    </row>
    <row r="18" spans="1:10" ht="15.75" thickBot="1">
      <c r="C18" s="122" t="s">
        <v>6</v>
      </c>
      <c r="D18" s="122"/>
      <c r="F18" s="91">
        <f>SUM(F7:F17)</f>
        <v>0</v>
      </c>
      <c r="G18" s="10"/>
      <c r="H18" s="91">
        <f>SUM(H7:H17)</f>
        <v>10</v>
      </c>
      <c r="I18" s="89"/>
      <c r="J18" s="92">
        <f>SUM(J7:J17)</f>
        <v>10</v>
      </c>
    </row>
    <row r="19" spans="1:10" ht="16.5" thickTop="1" thickBot="1">
      <c r="D19" s="13"/>
      <c r="F19" s="89"/>
      <c r="G19" s="89"/>
      <c r="H19" s="89"/>
      <c r="I19" s="89"/>
      <c r="J19" s="11"/>
    </row>
    <row r="20" spans="1:10" ht="15.75" thickBot="1">
      <c r="C20" s="123" t="s">
        <v>259</v>
      </c>
      <c r="D20" s="124"/>
      <c r="E20" s="84"/>
      <c r="F20" s="86">
        <f>ROUND(F18*2/3,2)</f>
        <v>0</v>
      </c>
      <c r="G20" s="90" t="s">
        <v>257</v>
      </c>
      <c r="H20" s="86">
        <f>ROUND(H18*1,2)</f>
        <v>10</v>
      </c>
      <c r="I20" s="90" t="s">
        <v>258</v>
      </c>
      <c r="J20" s="87">
        <f>ROUND(J18*1,2)</f>
        <v>10</v>
      </c>
    </row>
    <row r="22" spans="1:10">
      <c r="A22" s="115" t="s">
        <v>139</v>
      </c>
      <c r="B22" s="115"/>
      <c r="C22" s="116"/>
      <c r="D22" s="116"/>
      <c r="E22" s="116"/>
      <c r="F22" s="116"/>
      <c r="G22" s="116"/>
      <c r="H22" s="116"/>
      <c r="I22" s="116"/>
      <c r="J22" s="116"/>
    </row>
    <row r="23" spans="1:10">
      <c r="C23" s="116"/>
      <c r="D23" s="116"/>
      <c r="E23" s="116"/>
      <c r="F23" s="116"/>
      <c r="G23" s="116"/>
      <c r="H23" s="116"/>
      <c r="I23" s="116"/>
      <c r="J23" s="116"/>
    </row>
    <row r="24" spans="1:10">
      <c r="C24" s="116"/>
      <c r="D24" s="116"/>
      <c r="E24" s="116"/>
      <c r="F24" s="116"/>
      <c r="G24" s="116"/>
      <c r="H24" s="116"/>
      <c r="I24" s="116"/>
      <c r="J24" s="116"/>
    </row>
    <row r="25" spans="1:10">
      <c r="C25" s="116"/>
      <c r="D25" s="116"/>
      <c r="E25" s="116"/>
      <c r="F25" s="116"/>
      <c r="G25" s="116"/>
      <c r="H25" s="116"/>
      <c r="I25" s="116"/>
      <c r="J25" s="116"/>
    </row>
    <row r="26" spans="1:10">
      <c r="C26" s="116"/>
      <c r="D26" s="116"/>
      <c r="E26" s="116"/>
      <c r="F26" s="116"/>
      <c r="G26" s="116"/>
      <c r="H26" s="116"/>
      <c r="I26" s="116"/>
      <c r="J26" s="116"/>
    </row>
    <row r="27" spans="1:10">
      <c r="C27" s="116"/>
      <c r="D27" s="116"/>
      <c r="E27" s="116"/>
      <c r="F27" s="116"/>
      <c r="G27" s="116"/>
      <c r="H27" s="116"/>
      <c r="I27" s="116"/>
      <c r="J27" s="116"/>
    </row>
    <row r="28" spans="1:10">
      <c r="C28" s="116"/>
      <c r="D28" s="116"/>
      <c r="E28" s="116"/>
      <c r="F28" s="116"/>
      <c r="G28" s="116"/>
      <c r="H28" s="116"/>
      <c r="I28" s="116"/>
      <c r="J28" s="116"/>
    </row>
    <row r="29" spans="1:10">
      <c r="C29" s="116"/>
      <c r="D29" s="116"/>
      <c r="E29" s="116"/>
      <c r="F29" s="116"/>
      <c r="G29" s="116"/>
      <c r="H29" s="116"/>
      <c r="I29" s="116"/>
      <c r="J29" s="116"/>
    </row>
    <row r="30" spans="1:10">
      <c r="C30" s="116"/>
      <c r="D30" s="116"/>
      <c r="E30" s="116"/>
      <c r="F30" s="116"/>
      <c r="G30" s="116"/>
      <c r="H30" s="116"/>
      <c r="I30" s="116"/>
      <c r="J30" s="116"/>
    </row>
    <row r="31" spans="1:10">
      <c r="C31" s="116"/>
      <c r="D31" s="116"/>
      <c r="E31" s="116"/>
      <c r="F31" s="116"/>
      <c r="G31" s="116"/>
      <c r="H31" s="116"/>
      <c r="I31" s="116"/>
      <c r="J31" s="116"/>
    </row>
    <row r="32" spans="1:10">
      <c r="C32" s="116"/>
      <c r="D32" s="116"/>
      <c r="E32" s="116"/>
      <c r="F32" s="116"/>
      <c r="G32" s="116"/>
      <c r="H32" s="116"/>
      <c r="I32" s="116"/>
      <c r="J32" s="116"/>
    </row>
    <row r="33" spans="3:10">
      <c r="C33" s="116"/>
      <c r="D33" s="116"/>
      <c r="E33" s="116"/>
      <c r="F33" s="116"/>
      <c r="G33" s="116"/>
      <c r="H33" s="116"/>
      <c r="I33" s="116"/>
      <c r="J33" s="116"/>
    </row>
  </sheetData>
  <sheetProtection password="BEF9" sheet="1" objects="1" scenarios="1" selectLockedCells="1"/>
  <mergeCells count="13">
    <mergeCell ref="A22:B22"/>
    <mergeCell ref="C22:J33"/>
    <mergeCell ref="C2:D2"/>
    <mergeCell ref="A4:J4"/>
    <mergeCell ref="A6:D6"/>
    <mergeCell ref="C8:D8"/>
    <mergeCell ref="C10:D10"/>
    <mergeCell ref="C12:D12"/>
    <mergeCell ref="C14:D14"/>
    <mergeCell ref="C16:D16"/>
    <mergeCell ref="C18:D18"/>
    <mergeCell ref="C20:D20"/>
    <mergeCell ref="G2:J2"/>
  </mergeCells>
  <printOptions horizontalCentered="1"/>
  <pageMargins left="0.5" right="0.5" top="0.5" bottom="0.5" header="0.25" footer="0.25"/>
  <pageSetup scale="99" orientation="portrait" copies="0" r:id="rId1"/>
  <headerFooter>
    <oddHeader>&amp;COhio University Doctor of Philosophy (EDRE) Program of Study&amp;RPage 2/2</oddHeader>
    <oddFooter>&amp;R(revised September, 2012)</oddFooter>
  </headerFooter>
</worksheet>
</file>

<file path=xl/worksheets/sheet5.xml><?xml version="1.0" encoding="utf-8"?>
<worksheet xmlns="http://schemas.openxmlformats.org/spreadsheetml/2006/main" xmlns:r="http://schemas.openxmlformats.org/officeDocument/2006/relationships">
  <sheetPr>
    <pageSetUpPr fitToPage="1"/>
  </sheetPr>
  <dimension ref="A2:L35"/>
  <sheetViews>
    <sheetView showGridLines="0" showRuler="0" view="pageLayout" zoomScaleNormal="100" workbookViewId="0">
      <selection activeCell="A6" sqref="A6:L6"/>
    </sheetView>
  </sheetViews>
  <sheetFormatPr defaultColWidth="1" defaultRowHeight="15.75"/>
  <cols>
    <col min="1" max="1" width="12.7109375" style="19" customWidth="1"/>
    <col min="2" max="2" width="6.42578125" style="20" customWidth="1"/>
    <col min="3" max="3" width="1.140625" style="19" customWidth="1"/>
    <col min="4" max="4" width="55.140625" style="19" customWidth="1"/>
    <col min="5" max="5" width="1.140625" style="19" customWidth="1"/>
    <col min="6" max="6" width="9.5703125" style="20" customWidth="1"/>
    <col min="7" max="7" width="1.140625" style="20" customWidth="1"/>
    <col min="8" max="8" width="9.5703125" style="20" customWidth="1"/>
    <col min="9" max="9" width="1.140625" style="20" customWidth="1"/>
    <col min="10" max="10" width="9.5703125" style="20" customWidth="1"/>
    <col min="11" max="11" width="1.140625" style="20" customWidth="1"/>
    <col min="12" max="12" width="9.5703125" style="20" customWidth="1"/>
    <col min="13" max="16384" width="1" style="19"/>
  </cols>
  <sheetData>
    <row r="2" spans="1:12">
      <c r="A2" s="108" t="s">
        <v>176</v>
      </c>
      <c r="B2" s="108"/>
      <c r="C2" s="108"/>
      <c r="D2" s="108"/>
      <c r="E2" s="108"/>
      <c r="F2" s="108"/>
      <c r="G2" s="108"/>
      <c r="H2" s="108"/>
      <c r="I2" s="108"/>
      <c r="J2" s="108"/>
      <c r="K2" s="108"/>
      <c r="L2" s="108"/>
    </row>
    <row r="3" spans="1:12">
      <c r="A3" s="51"/>
      <c r="B3" s="51"/>
      <c r="C3" s="51"/>
      <c r="D3" s="51"/>
      <c r="E3" s="51"/>
      <c r="F3" s="51"/>
      <c r="G3" s="51"/>
      <c r="H3" s="51"/>
      <c r="I3" s="51"/>
      <c r="J3" s="51"/>
      <c r="K3" s="51"/>
      <c r="L3" s="51"/>
    </row>
    <row r="5" spans="1:12">
      <c r="A5" s="106" t="s">
        <v>69</v>
      </c>
      <c r="B5" s="106"/>
      <c r="C5" s="106"/>
      <c r="D5" s="106"/>
      <c r="E5" s="106"/>
      <c r="F5" s="106"/>
      <c r="G5" s="106"/>
      <c r="H5" s="106"/>
      <c r="I5" s="106"/>
      <c r="J5" s="106"/>
      <c r="K5" s="106"/>
      <c r="L5" s="106"/>
    </row>
    <row r="6" spans="1:12" ht="101.25" customHeight="1">
      <c r="A6" s="107" t="s">
        <v>280</v>
      </c>
      <c r="B6" s="107"/>
      <c r="C6" s="107"/>
      <c r="D6" s="107"/>
      <c r="E6" s="107"/>
      <c r="F6" s="107"/>
      <c r="G6" s="107"/>
      <c r="H6" s="107"/>
      <c r="I6" s="107"/>
      <c r="J6" s="107"/>
      <c r="K6" s="107"/>
      <c r="L6" s="107"/>
    </row>
    <row r="7" spans="1:12">
      <c r="A7" s="50"/>
      <c r="B7" s="50"/>
      <c r="C7" s="50"/>
      <c r="D7" s="50"/>
      <c r="E7" s="50"/>
      <c r="F7" s="50"/>
      <c r="G7" s="50"/>
      <c r="H7" s="50"/>
      <c r="I7" s="50"/>
      <c r="J7" s="50"/>
      <c r="K7" s="50"/>
      <c r="L7" s="50"/>
    </row>
    <row r="9" spans="1:12">
      <c r="A9" s="109" t="s">
        <v>73</v>
      </c>
      <c r="B9" s="109"/>
      <c r="C9" s="109"/>
      <c r="D9" s="109"/>
      <c r="E9" s="109"/>
      <c r="F9" s="109"/>
      <c r="G9" s="109"/>
      <c r="H9" s="109"/>
      <c r="I9" s="109"/>
      <c r="J9" s="109"/>
      <c r="K9" s="109"/>
      <c r="L9" s="109"/>
    </row>
    <row r="10" spans="1:12" ht="47.25" customHeight="1">
      <c r="A10" s="107" t="s">
        <v>264</v>
      </c>
      <c r="B10" s="107"/>
      <c r="C10" s="107"/>
      <c r="D10" s="107"/>
      <c r="E10" s="107"/>
      <c r="F10" s="107"/>
      <c r="G10" s="107"/>
      <c r="H10" s="107"/>
      <c r="I10" s="107"/>
      <c r="J10" s="107"/>
      <c r="K10" s="107"/>
      <c r="L10" s="107"/>
    </row>
    <row r="12" spans="1:12">
      <c r="F12" s="110" t="s">
        <v>95</v>
      </c>
      <c r="G12" s="110"/>
      <c r="H12" s="110"/>
    </row>
    <row r="13" spans="1:12" ht="31.5">
      <c r="A13" s="45" t="s">
        <v>71</v>
      </c>
      <c r="B13" s="46" t="s">
        <v>72</v>
      </c>
      <c r="C13" s="47"/>
      <c r="D13" s="45" t="s">
        <v>10</v>
      </c>
      <c r="E13" s="47"/>
      <c r="F13" s="46" t="s">
        <v>96</v>
      </c>
      <c r="G13" s="48"/>
      <c r="H13" s="46" t="s">
        <v>11</v>
      </c>
      <c r="I13" s="48"/>
      <c r="J13" s="46" t="s">
        <v>18</v>
      </c>
      <c r="K13" s="48"/>
      <c r="L13" s="46" t="s">
        <v>19</v>
      </c>
    </row>
    <row r="14" spans="1:12">
      <c r="A14" s="19" t="s">
        <v>79</v>
      </c>
      <c r="B14" s="20">
        <v>720</v>
      </c>
      <c r="D14" s="19" t="s">
        <v>30</v>
      </c>
      <c r="F14" s="20" t="s">
        <v>124</v>
      </c>
      <c r="H14" s="20" t="s">
        <v>35</v>
      </c>
      <c r="J14" s="20">
        <v>5</v>
      </c>
      <c r="L14" s="20">
        <v>4</v>
      </c>
    </row>
    <row r="15" spans="1:12">
      <c r="A15" s="19" t="s">
        <v>80</v>
      </c>
      <c r="B15" s="20">
        <v>721</v>
      </c>
      <c r="D15" s="19" t="s">
        <v>31</v>
      </c>
      <c r="F15" s="20" t="s">
        <v>124</v>
      </c>
      <c r="H15" s="20" t="s">
        <v>17</v>
      </c>
      <c r="J15" s="20">
        <v>5</v>
      </c>
      <c r="L15" s="20">
        <v>4</v>
      </c>
    </row>
    <row r="16" spans="1:12">
      <c r="A16" s="19" t="s">
        <v>81</v>
      </c>
      <c r="B16" s="20">
        <v>723</v>
      </c>
      <c r="D16" s="19" t="s">
        <v>88</v>
      </c>
      <c r="F16" s="20" t="s">
        <v>124</v>
      </c>
      <c r="H16" s="20" t="s">
        <v>17</v>
      </c>
      <c r="J16" s="20">
        <v>5</v>
      </c>
      <c r="L16" s="20">
        <v>4</v>
      </c>
    </row>
    <row r="17" spans="1:12">
      <c r="A17" s="19" t="s">
        <v>82</v>
      </c>
      <c r="B17" s="20">
        <v>750</v>
      </c>
      <c r="D17" s="19" t="s">
        <v>89</v>
      </c>
      <c r="F17" s="20" t="s">
        <v>124</v>
      </c>
      <c r="H17" s="20" t="s">
        <v>35</v>
      </c>
      <c r="J17" s="20">
        <v>4</v>
      </c>
      <c r="L17" s="20">
        <v>4</v>
      </c>
    </row>
    <row r="18" spans="1:12">
      <c r="A18" s="19" t="s">
        <v>83</v>
      </c>
      <c r="B18" s="20">
        <v>751</v>
      </c>
      <c r="D18" s="19" t="s">
        <v>51</v>
      </c>
      <c r="F18" s="20" t="s">
        <v>124</v>
      </c>
      <c r="H18" s="20" t="s">
        <v>17</v>
      </c>
      <c r="J18" s="20">
        <v>5</v>
      </c>
      <c r="L18" s="20">
        <v>4</v>
      </c>
    </row>
    <row r="19" spans="1:12">
      <c r="A19" s="19" t="s">
        <v>53</v>
      </c>
      <c r="B19" s="20">
        <v>724</v>
      </c>
      <c r="D19" s="19" t="s">
        <v>137</v>
      </c>
      <c r="F19" s="20" t="s">
        <v>123</v>
      </c>
      <c r="H19" s="20" t="s">
        <v>35</v>
      </c>
      <c r="J19" s="20">
        <v>5</v>
      </c>
      <c r="L19" s="20">
        <v>4</v>
      </c>
    </row>
    <row r="23" spans="1:12">
      <c r="A23" s="49" t="s">
        <v>91</v>
      </c>
      <c r="B23" s="107" t="s">
        <v>171</v>
      </c>
      <c r="C23" s="107"/>
      <c r="D23" s="107"/>
      <c r="E23" s="107"/>
      <c r="F23" s="107"/>
      <c r="G23" s="107"/>
      <c r="H23" s="107"/>
      <c r="I23" s="107"/>
      <c r="J23" s="107"/>
      <c r="K23" s="107"/>
      <c r="L23" s="107"/>
    </row>
    <row r="24" spans="1:12" ht="30.75" customHeight="1">
      <c r="A24" s="49" t="s">
        <v>92</v>
      </c>
      <c r="B24" s="107" t="s">
        <v>172</v>
      </c>
      <c r="C24" s="107"/>
      <c r="D24" s="107"/>
      <c r="E24" s="107"/>
      <c r="F24" s="107"/>
      <c r="G24" s="107"/>
      <c r="H24" s="107"/>
      <c r="I24" s="107"/>
      <c r="J24" s="107"/>
      <c r="K24" s="107"/>
      <c r="L24" s="107"/>
    </row>
    <row r="25" spans="1:12" ht="30" customHeight="1">
      <c r="A25" s="49" t="s">
        <v>93</v>
      </c>
      <c r="B25" s="107" t="s">
        <v>94</v>
      </c>
      <c r="C25" s="107"/>
      <c r="D25" s="107"/>
      <c r="E25" s="107"/>
      <c r="F25" s="107"/>
      <c r="G25" s="107"/>
      <c r="H25" s="107"/>
      <c r="I25" s="107"/>
      <c r="J25" s="107"/>
      <c r="K25" s="107"/>
      <c r="L25" s="107"/>
    </row>
    <row r="26" spans="1:12" ht="48.75" customHeight="1">
      <c r="A26" s="49" t="s">
        <v>170</v>
      </c>
      <c r="B26" s="107" t="s">
        <v>173</v>
      </c>
      <c r="C26" s="107"/>
      <c r="D26" s="107"/>
      <c r="E26" s="107"/>
      <c r="F26" s="107"/>
      <c r="G26" s="107"/>
      <c r="H26" s="107"/>
      <c r="I26" s="107"/>
      <c r="J26" s="107"/>
      <c r="K26" s="107"/>
      <c r="L26" s="107"/>
    </row>
    <row r="27" spans="1:12" ht="48.75" customHeight="1">
      <c r="A27" s="49" t="s">
        <v>174</v>
      </c>
      <c r="B27" s="107" t="s">
        <v>138</v>
      </c>
      <c r="C27" s="107"/>
      <c r="D27" s="107"/>
      <c r="E27" s="107"/>
      <c r="F27" s="107"/>
      <c r="G27" s="107"/>
      <c r="H27" s="107"/>
      <c r="I27" s="107"/>
      <c r="J27" s="107"/>
      <c r="K27" s="107"/>
      <c r="L27" s="107"/>
    </row>
    <row r="28" spans="1:12">
      <c r="A28" s="49"/>
      <c r="B28" s="50"/>
      <c r="C28" s="50"/>
      <c r="D28" s="50"/>
      <c r="E28" s="50"/>
      <c r="F28" s="50"/>
      <c r="G28" s="50"/>
      <c r="H28" s="50"/>
      <c r="I28" s="50"/>
      <c r="J28" s="50"/>
      <c r="K28" s="50"/>
      <c r="L28" s="50"/>
    </row>
    <row r="30" spans="1:12">
      <c r="A30" s="109" t="s">
        <v>74</v>
      </c>
      <c r="B30" s="109"/>
      <c r="C30" s="109"/>
      <c r="D30" s="109"/>
      <c r="E30" s="109"/>
      <c r="F30" s="109"/>
      <c r="G30" s="109"/>
      <c r="H30" s="109"/>
      <c r="I30" s="109"/>
      <c r="J30" s="109"/>
      <c r="K30" s="109"/>
      <c r="L30" s="109"/>
    </row>
    <row r="31" spans="1:12" ht="36" customHeight="1">
      <c r="A31" s="105" t="s">
        <v>75</v>
      </c>
      <c r="B31" s="105"/>
      <c r="C31" s="105"/>
      <c r="D31" s="105"/>
      <c r="E31" s="105"/>
      <c r="F31" s="105"/>
      <c r="G31" s="105"/>
      <c r="H31" s="105"/>
      <c r="I31" s="105"/>
      <c r="J31" s="105"/>
      <c r="K31" s="105"/>
      <c r="L31" s="105"/>
    </row>
    <row r="32" spans="1:12">
      <c r="A32" s="22"/>
      <c r="B32" s="22"/>
      <c r="C32" s="22"/>
      <c r="D32" s="22"/>
      <c r="E32" s="22"/>
      <c r="F32" s="22"/>
      <c r="G32" s="22"/>
      <c r="H32" s="22"/>
      <c r="I32" s="22"/>
      <c r="J32" s="22"/>
      <c r="K32" s="22"/>
      <c r="L32" s="22"/>
    </row>
    <row r="34" spans="1:12">
      <c r="A34" s="106" t="s">
        <v>76</v>
      </c>
      <c r="B34" s="106"/>
      <c r="C34" s="106"/>
      <c r="D34" s="106"/>
      <c r="E34" s="106"/>
      <c r="F34" s="106"/>
      <c r="G34" s="106"/>
      <c r="H34" s="106"/>
      <c r="I34" s="106"/>
      <c r="J34" s="106"/>
      <c r="K34" s="106"/>
      <c r="L34" s="106"/>
    </row>
    <row r="35" spans="1:12" ht="49.5" customHeight="1">
      <c r="A35" s="105" t="s">
        <v>175</v>
      </c>
      <c r="B35" s="105"/>
      <c r="C35" s="105"/>
      <c r="D35" s="105"/>
      <c r="E35" s="105"/>
      <c r="F35" s="105"/>
      <c r="G35" s="105"/>
      <c r="H35" s="105"/>
      <c r="I35" s="105"/>
      <c r="J35" s="105"/>
      <c r="K35" s="105"/>
      <c r="L35" s="105"/>
    </row>
  </sheetData>
  <sheetProtection password="BEF9" sheet="1" objects="1" scenarios="1" selectLockedCells="1" selectUnlockedCells="1"/>
  <mergeCells count="15">
    <mergeCell ref="A10:L10"/>
    <mergeCell ref="A2:L2"/>
    <mergeCell ref="A5:L5"/>
    <mergeCell ref="A6:L6"/>
    <mergeCell ref="A9:L9"/>
    <mergeCell ref="A34:L34"/>
    <mergeCell ref="A35:L35"/>
    <mergeCell ref="B23:L23"/>
    <mergeCell ref="B26:L26"/>
    <mergeCell ref="F12:H12"/>
    <mergeCell ref="B24:L24"/>
    <mergeCell ref="B27:L27"/>
    <mergeCell ref="B25:L25"/>
    <mergeCell ref="A30:L30"/>
    <mergeCell ref="A31:L31"/>
  </mergeCells>
  <printOptions horizontalCentered="1"/>
  <pageMargins left="0.5" right="0.5" top="0.5" bottom="0.5" header="0.25" footer="0.25"/>
  <pageSetup scale="80" orientation="portrait" copies="0" r:id="rId1"/>
  <headerFooter>
    <oddHeader>&amp;COhio University Master's of Education (EDRE) Program of Study</oddHeader>
    <oddFooter>&amp;R(revised September, 2012)</oddFooter>
  </headerFooter>
</worksheet>
</file>

<file path=xl/worksheets/sheet6.xml><?xml version="1.0" encoding="utf-8"?>
<worksheet xmlns="http://schemas.openxmlformats.org/spreadsheetml/2006/main" xmlns:r="http://schemas.openxmlformats.org/officeDocument/2006/relationships">
  <sheetPr>
    <pageSetUpPr fitToPage="1"/>
  </sheetPr>
  <dimension ref="A2:M41"/>
  <sheetViews>
    <sheetView showGridLines="0" showRuler="0" view="pageLayout" zoomScaleNormal="100" workbookViewId="0"/>
  </sheetViews>
  <sheetFormatPr defaultColWidth="5.5703125" defaultRowHeight="15.75"/>
  <cols>
    <col min="1" max="1" width="13.85546875" style="18" customWidth="1"/>
    <col min="2" max="2" width="1" style="18" customWidth="1"/>
    <col min="3" max="3" width="39" style="18" customWidth="1"/>
    <col min="4" max="4" width="1.140625" style="18" customWidth="1"/>
    <col min="5" max="5" width="11.85546875" style="21" customWidth="1"/>
    <col min="6" max="6" width="1.140625" style="21" customWidth="1"/>
    <col min="7" max="7" width="15.28515625" style="21" customWidth="1"/>
    <col min="8" max="8" width="1" style="21" customWidth="1"/>
    <col min="9" max="9" width="7.140625" style="21" bestFit="1" customWidth="1"/>
    <col min="10" max="10" width="1.140625" style="21" customWidth="1"/>
    <col min="11" max="11" width="5" style="21" bestFit="1" customWidth="1"/>
    <col min="12" max="12" width="1.140625" style="21" customWidth="1"/>
    <col min="13" max="13" width="6.7109375" style="21" bestFit="1" customWidth="1"/>
    <col min="14" max="16384" width="5.5703125" style="15"/>
  </cols>
  <sheetData>
    <row r="2" spans="1:13">
      <c r="A2" s="35" t="s">
        <v>0</v>
      </c>
      <c r="B2" s="37"/>
      <c r="C2" s="132"/>
      <c r="D2" s="132"/>
      <c r="E2" s="132"/>
      <c r="F2" s="39"/>
      <c r="G2" s="35" t="s">
        <v>8</v>
      </c>
      <c r="H2" s="40"/>
      <c r="I2" s="132"/>
      <c r="J2" s="132"/>
      <c r="K2" s="132"/>
      <c r="L2" s="132"/>
      <c r="M2" s="133"/>
    </row>
    <row r="3" spans="1:13">
      <c r="A3" s="35" t="s">
        <v>144</v>
      </c>
      <c r="B3" s="38"/>
      <c r="C3" s="134"/>
      <c r="D3" s="134"/>
      <c r="E3" s="134"/>
      <c r="F3" s="44"/>
      <c r="G3" s="35" t="s">
        <v>151</v>
      </c>
      <c r="H3" s="40"/>
      <c r="I3" s="132"/>
      <c r="J3" s="132"/>
      <c r="K3" s="132"/>
      <c r="L3" s="132"/>
      <c r="M3" s="133"/>
    </row>
    <row r="4" spans="1:13" ht="31.5">
      <c r="A4" s="36" t="s">
        <v>153</v>
      </c>
      <c r="B4" s="37"/>
      <c r="C4" s="132"/>
      <c r="D4" s="132"/>
      <c r="E4" s="132"/>
      <c r="F4" s="132"/>
      <c r="G4" s="132"/>
      <c r="H4" s="132"/>
      <c r="I4" s="132"/>
      <c r="J4" s="132"/>
      <c r="K4" s="132"/>
      <c r="L4" s="132"/>
      <c r="M4" s="133"/>
    </row>
    <row r="5" spans="1:13">
      <c r="A5" s="126" t="s">
        <v>145</v>
      </c>
      <c r="B5" s="128"/>
      <c r="C5" s="130" t="s">
        <v>167</v>
      </c>
      <c r="D5" s="130"/>
      <c r="E5" s="130" t="s">
        <v>168</v>
      </c>
      <c r="F5" s="137"/>
      <c r="G5" s="35" t="s">
        <v>150</v>
      </c>
      <c r="H5" s="40"/>
      <c r="I5" s="135" t="s">
        <v>152</v>
      </c>
      <c r="J5" s="135"/>
      <c r="K5" s="135"/>
      <c r="L5" s="135"/>
      <c r="M5" s="136"/>
    </row>
    <row r="6" spans="1:13">
      <c r="A6" s="127"/>
      <c r="B6" s="129"/>
      <c r="C6" s="131"/>
      <c r="D6" s="131"/>
      <c r="E6" s="131"/>
      <c r="F6" s="138"/>
      <c r="G6" s="35" t="s">
        <v>169</v>
      </c>
      <c r="H6" s="40"/>
      <c r="I6" s="135" t="s">
        <v>263</v>
      </c>
      <c r="J6" s="135"/>
      <c r="K6" s="135"/>
      <c r="L6" s="135"/>
      <c r="M6" s="136"/>
    </row>
    <row r="7" spans="1:13" ht="31.5">
      <c r="A7" s="36" t="s">
        <v>154</v>
      </c>
      <c r="B7" s="37"/>
      <c r="C7" s="135"/>
      <c r="D7" s="135"/>
      <c r="E7" s="135"/>
      <c r="F7" s="39"/>
      <c r="G7" s="35" t="s">
        <v>155</v>
      </c>
      <c r="H7" s="40"/>
      <c r="I7" s="132"/>
      <c r="J7" s="132"/>
      <c r="K7" s="132"/>
      <c r="L7" s="132"/>
      <c r="M7" s="133"/>
    </row>
    <row r="8" spans="1:13" ht="31.5">
      <c r="A8" s="36" t="s">
        <v>156</v>
      </c>
      <c r="B8" s="37"/>
      <c r="C8" s="132"/>
      <c r="D8" s="132"/>
      <c r="E8" s="132"/>
      <c r="F8" s="132"/>
      <c r="G8" s="132"/>
      <c r="H8" s="132"/>
      <c r="I8" s="132"/>
      <c r="J8" s="132"/>
      <c r="K8" s="132"/>
      <c r="L8" s="132"/>
      <c r="M8" s="133"/>
    </row>
    <row r="9" spans="1:13" ht="31.5">
      <c r="A9" s="36" t="s">
        <v>157</v>
      </c>
      <c r="B9" s="37"/>
      <c r="C9" s="135"/>
      <c r="D9" s="135"/>
      <c r="E9" s="135"/>
      <c r="F9" s="39"/>
      <c r="G9" s="35" t="s">
        <v>155</v>
      </c>
      <c r="H9" s="40"/>
      <c r="I9" s="132"/>
      <c r="J9" s="132"/>
      <c r="K9" s="132"/>
      <c r="L9" s="132"/>
      <c r="M9" s="133"/>
    </row>
    <row r="10" spans="1:13" ht="31.5">
      <c r="A10" s="36" t="s">
        <v>158</v>
      </c>
      <c r="B10" s="37"/>
      <c r="C10" s="135"/>
      <c r="D10" s="135"/>
      <c r="E10" s="135"/>
      <c r="F10" s="39"/>
      <c r="G10" s="35" t="s">
        <v>155</v>
      </c>
      <c r="H10" s="40"/>
      <c r="I10" s="132"/>
      <c r="J10" s="132"/>
      <c r="K10" s="132"/>
      <c r="L10" s="132"/>
      <c r="M10" s="133"/>
    </row>
    <row r="11" spans="1:13">
      <c r="A11" s="17"/>
      <c r="C11" s="19"/>
      <c r="D11" s="19"/>
      <c r="E11" s="19"/>
      <c r="F11" s="20"/>
      <c r="G11" s="17"/>
      <c r="I11" s="19"/>
      <c r="J11" s="19"/>
      <c r="K11" s="19"/>
      <c r="L11" s="19"/>
      <c r="M11" s="19"/>
    </row>
    <row r="12" spans="1:13" ht="48" thickBot="1">
      <c r="A12" s="41" t="s">
        <v>9</v>
      </c>
      <c r="B12" s="22"/>
      <c r="C12" s="41" t="s">
        <v>279</v>
      </c>
      <c r="D12" s="22"/>
      <c r="E12" s="42" t="s">
        <v>261</v>
      </c>
      <c r="F12" s="23"/>
      <c r="G12" s="42" t="s">
        <v>262</v>
      </c>
      <c r="H12" s="24"/>
      <c r="I12" s="42" t="s">
        <v>18</v>
      </c>
      <c r="J12" s="24"/>
      <c r="K12" s="42" t="s">
        <v>19</v>
      </c>
      <c r="M12" s="43" t="s">
        <v>12</v>
      </c>
    </row>
    <row r="13" spans="1:13" ht="16.5" thickBot="1"/>
    <row r="14" spans="1:13" ht="16.5" thickBot="1">
      <c r="A14" s="25"/>
      <c r="B14" s="26"/>
      <c r="C14" s="34" t="s">
        <v>166</v>
      </c>
      <c r="D14" s="34"/>
      <c r="E14" s="34"/>
      <c r="F14" s="34"/>
      <c r="G14" s="34"/>
      <c r="H14" s="27"/>
      <c r="I14" s="28">
        <f>SUM(I15:I24)</f>
        <v>0</v>
      </c>
      <c r="J14" s="27"/>
      <c r="K14" s="28">
        <f>SUM(K15:K24)</f>
        <v>0</v>
      </c>
      <c r="L14" s="27"/>
      <c r="M14" s="29"/>
    </row>
    <row r="15" spans="1:13">
      <c r="A15" s="99"/>
      <c r="B15" s="100"/>
      <c r="C15" s="99"/>
      <c r="D15" s="100"/>
      <c r="E15" s="101"/>
      <c r="F15" s="102"/>
      <c r="G15" s="101"/>
      <c r="H15" s="102"/>
      <c r="I15" s="101"/>
      <c r="J15" s="102"/>
      <c r="K15" s="101"/>
      <c r="L15" s="102"/>
      <c r="M15" s="101"/>
    </row>
    <row r="16" spans="1:13">
      <c r="A16" s="103"/>
      <c r="B16" s="19"/>
      <c r="C16" s="103"/>
      <c r="D16" s="19"/>
      <c r="E16" s="78"/>
      <c r="F16" s="20"/>
      <c r="G16" s="78"/>
      <c r="H16" s="20"/>
      <c r="I16" s="78"/>
      <c r="J16" s="20"/>
      <c r="K16" s="78"/>
      <c r="L16" s="20"/>
      <c r="M16" s="78"/>
    </row>
    <row r="17" spans="1:13">
      <c r="A17" s="103"/>
      <c r="B17" s="19"/>
      <c r="C17" s="103"/>
      <c r="D17" s="19"/>
      <c r="E17" s="78"/>
      <c r="F17" s="20"/>
      <c r="G17" s="78"/>
      <c r="H17" s="20"/>
      <c r="I17" s="78"/>
      <c r="J17" s="20"/>
      <c r="K17" s="78"/>
      <c r="L17" s="20"/>
      <c r="M17" s="78"/>
    </row>
    <row r="18" spans="1:13">
      <c r="A18" s="103"/>
      <c r="B18" s="19"/>
      <c r="C18" s="103"/>
      <c r="D18" s="19"/>
      <c r="E18" s="78"/>
      <c r="F18" s="20"/>
      <c r="G18" s="78"/>
      <c r="H18" s="20"/>
      <c r="I18" s="78"/>
      <c r="J18" s="20"/>
      <c r="K18" s="78"/>
      <c r="L18" s="20"/>
      <c r="M18" s="78"/>
    </row>
    <row r="19" spans="1:13">
      <c r="A19" s="103"/>
      <c r="B19" s="19"/>
      <c r="C19" s="103"/>
      <c r="D19" s="19"/>
      <c r="E19" s="78"/>
      <c r="F19" s="20"/>
      <c r="G19" s="78"/>
      <c r="H19" s="20"/>
      <c r="I19" s="78"/>
      <c r="J19" s="20"/>
      <c r="K19" s="78"/>
      <c r="L19" s="20"/>
      <c r="M19" s="78"/>
    </row>
    <row r="20" spans="1:13">
      <c r="A20" s="103"/>
      <c r="B20" s="19"/>
      <c r="C20" s="103"/>
      <c r="D20" s="19"/>
      <c r="E20" s="78"/>
      <c r="F20" s="20"/>
      <c r="G20" s="78"/>
      <c r="H20" s="20"/>
      <c r="I20" s="78"/>
      <c r="J20" s="20"/>
      <c r="K20" s="78"/>
      <c r="L20" s="20"/>
      <c r="M20" s="78"/>
    </row>
    <row r="21" spans="1:13">
      <c r="A21" s="103"/>
      <c r="B21" s="19"/>
      <c r="C21" s="103"/>
      <c r="D21" s="19"/>
      <c r="E21" s="78"/>
      <c r="F21" s="20"/>
      <c r="G21" s="78"/>
      <c r="H21" s="20"/>
      <c r="I21" s="78"/>
      <c r="J21" s="20"/>
      <c r="K21" s="78"/>
      <c r="L21" s="20"/>
      <c r="M21" s="78"/>
    </row>
    <row r="22" spans="1:13">
      <c r="A22" s="103"/>
      <c r="B22" s="19"/>
      <c r="C22" s="103"/>
      <c r="D22" s="19"/>
      <c r="E22" s="78"/>
      <c r="F22" s="20"/>
      <c r="G22" s="78"/>
      <c r="H22" s="20"/>
      <c r="I22" s="78"/>
      <c r="J22" s="20"/>
      <c r="K22" s="78"/>
      <c r="L22" s="20"/>
      <c r="M22" s="78"/>
    </row>
    <row r="23" spans="1:13">
      <c r="A23" s="103"/>
      <c r="B23" s="19"/>
      <c r="C23" s="103"/>
      <c r="D23" s="19"/>
      <c r="E23" s="78"/>
      <c r="F23" s="20"/>
      <c r="G23" s="78"/>
      <c r="H23" s="20"/>
      <c r="I23" s="78"/>
      <c r="J23" s="20"/>
      <c r="K23" s="78"/>
      <c r="L23" s="20"/>
      <c r="M23" s="78"/>
    </row>
    <row r="24" spans="1:13" ht="16.5" thickBot="1">
      <c r="A24" s="33"/>
      <c r="B24" s="19"/>
      <c r="C24" s="33"/>
      <c r="D24" s="19"/>
      <c r="E24" s="32"/>
      <c r="F24" s="20"/>
      <c r="G24" s="32"/>
      <c r="H24" s="20"/>
      <c r="I24" s="32"/>
      <c r="J24" s="20"/>
      <c r="K24" s="32"/>
      <c r="L24" s="20"/>
      <c r="M24" s="32"/>
    </row>
    <row r="25" spans="1:13" ht="16.5" thickBot="1">
      <c r="A25" s="25"/>
      <c r="B25" s="26"/>
      <c r="C25" s="34" t="s">
        <v>160</v>
      </c>
      <c r="D25" s="34"/>
      <c r="E25" s="34"/>
      <c r="F25" s="34"/>
      <c r="G25" s="34"/>
      <c r="H25" s="27"/>
      <c r="I25" s="28">
        <f>SUM(I26:I33)</f>
        <v>0</v>
      </c>
      <c r="J25" s="28"/>
      <c r="K25" s="28">
        <f>SUM(K26:K33)</f>
        <v>0</v>
      </c>
      <c r="L25" s="27"/>
      <c r="M25" s="29"/>
    </row>
    <row r="26" spans="1:13">
      <c r="A26" s="99"/>
      <c r="B26" s="100"/>
      <c r="C26" s="99"/>
      <c r="D26" s="100"/>
      <c r="E26" s="101"/>
      <c r="F26" s="102"/>
      <c r="G26" s="101"/>
      <c r="H26" s="102"/>
      <c r="I26" s="101"/>
      <c r="J26" s="102"/>
      <c r="K26" s="101"/>
      <c r="L26" s="102"/>
      <c r="M26" s="101"/>
    </row>
    <row r="27" spans="1:13">
      <c r="A27" s="103"/>
      <c r="B27" s="19"/>
      <c r="C27" s="103"/>
      <c r="D27" s="19"/>
      <c r="E27" s="78"/>
      <c r="F27" s="20"/>
      <c r="G27" s="78"/>
      <c r="H27" s="20"/>
      <c r="I27" s="78"/>
      <c r="J27" s="20"/>
      <c r="K27" s="78"/>
      <c r="L27" s="20"/>
      <c r="M27" s="78"/>
    </row>
    <row r="28" spans="1:13">
      <c r="A28" s="103"/>
      <c r="B28" s="19"/>
      <c r="C28" s="103"/>
      <c r="D28" s="19"/>
      <c r="E28" s="78"/>
      <c r="F28" s="20"/>
      <c r="G28" s="78"/>
      <c r="H28" s="20"/>
      <c r="I28" s="78"/>
      <c r="J28" s="20"/>
      <c r="K28" s="78"/>
      <c r="L28" s="20"/>
      <c r="M28" s="78"/>
    </row>
    <row r="29" spans="1:13">
      <c r="A29" s="103"/>
      <c r="B29" s="19"/>
      <c r="C29" s="103"/>
      <c r="D29" s="19"/>
      <c r="E29" s="78"/>
      <c r="F29" s="20"/>
      <c r="G29" s="78"/>
      <c r="H29" s="20"/>
      <c r="I29" s="78"/>
      <c r="J29" s="20"/>
      <c r="K29" s="78"/>
      <c r="L29" s="20"/>
      <c r="M29" s="78"/>
    </row>
    <row r="30" spans="1:13">
      <c r="A30" s="103"/>
      <c r="B30" s="19"/>
      <c r="C30" s="103"/>
      <c r="D30" s="19"/>
      <c r="E30" s="78"/>
      <c r="F30" s="20"/>
      <c r="G30" s="78"/>
      <c r="H30" s="20"/>
      <c r="I30" s="78"/>
      <c r="J30" s="20"/>
      <c r="K30" s="78"/>
      <c r="L30" s="20"/>
      <c r="M30" s="78"/>
    </row>
    <row r="31" spans="1:13">
      <c r="A31" s="103"/>
      <c r="B31" s="19"/>
      <c r="C31" s="103"/>
      <c r="D31" s="19"/>
      <c r="E31" s="78"/>
      <c r="F31" s="20"/>
      <c r="G31" s="78"/>
      <c r="H31" s="20"/>
      <c r="I31" s="78"/>
      <c r="J31" s="20"/>
      <c r="K31" s="78"/>
      <c r="L31" s="20"/>
      <c r="M31" s="78"/>
    </row>
    <row r="32" spans="1:13">
      <c r="A32" s="103"/>
      <c r="B32" s="19"/>
      <c r="C32" s="103"/>
      <c r="D32" s="19"/>
      <c r="E32" s="78"/>
      <c r="F32" s="20"/>
      <c r="G32" s="78"/>
      <c r="H32" s="20"/>
      <c r="I32" s="78"/>
      <c r="J32" s="20"/>
      <c r="K32" s="78"/>
      <c r="L32" s="20"/>
      <c r="M32" s="78"/>
    </row>
    <row r="33" spans="1:13" ht="16.5" thickBot="1">
      <c r="A33" s="33"/>
      <c r="B33" s="19"/>
      <c r="C33" s="33"/>
      <c r="D33" s="19"/>
      <c r="E33" s="32"/>
      <c r="F33" s="20"/>
      <c r="G33" s="32"/>
      <c r="H33" s="20"/>
      <c r="I33" s="32"/>
      <c r="J33" s="20"/>
      <c r="K33" s="32"/>
      <c r="L33" s="20"/>
      <c r="M33" s="32"/>
    </row>
    <row r="34" spans="1:13" ht="16.5" thickBot="1">
      <c r="A34" s="25"/>
      <c r="B34" s="26"/>
      <c r="C34" s="125" t="s">
        <v>265</v>
      </c>
      <c r="D34" s="125"/>
      <c r="E34" s="125"/>
      <c r="F34" s="125"/>
      <c r="G34" s="125"/>
      <c r="H34" s="27"/>
      <c r="I34" s="28">
        <f>SUM(I35:I38)</f>
        <v>0</v>
      </c>
      <c r="J34" s="28"/>
      <c r="K34" s="28">
        <f>SUM(K35:K38)</f>
        <v>0</v>
      </c>
      <c r="L34" s="27"/>
      <c r="M34" s="29"/>
    </row>
    <row r="35" spans="1:13">
      <c r="A35" s="70" t="s">
        <v>162</v>
      </c>
      <c r="B35" s="19"/>
      <c r="C35" s="70" t="s">
        <v>163</v>
      </c>
      <c r="D35" s="19"/>
      <c r="E35" s="69"/>
      <c r="F35" s="20"/>
      <c r="G35" s="69"/>
      <c r="H35" s="20"/>
      <c r="I35" s="69"/>
      <c r="J35" s="20"/>
      <c r="K35" s="69"/>
      <c r="L35" s="20"/>
      <c r="M35" s="69"/>
    </row>
    <row r="36" spans="1:13">
      <c r="A36" s="70" t="s">
        <v>164</v>
      </c>
      <c r="B36" s="19"/>
      <c r="C36" s="70" t="s">
        <v>165</v>
      </c>
      <c r="D36" s="19"/>
      <c r="E36" s="69"/>
      <c r="F36" s="20"/>
      <c r="G36" s="69"/>
      <c r="H36" s="20"/>
      <c r="I36" s="69"/>
      <c r="J36" s="20"/>
      <c r="K36" s="69"/>
      <c r="L36" s="20"/>
      <c r="M36" s="69"/>
    </row>
    <row r="37" spans="1:13">
      <c r="A37" s="70"/>
      <c r="B37" s="19"/>
      <c r="C37" s="70"/>
      <c r="D37" s="19"/>
      <c r="E37" s="69"/>
      <c r="F37" s="20"/>
      <c r="G37" s="69"/>
      <c r="H37" s="20"/>
      <c r="I37" s="69"/>
      <c r="J37" s="20"/>
      <c r="K37" s="69"/>
      <c r="L37" s="20"/>
      <c r="M37" s="69"/>
    </row>
    <row r="38" spans="1:13" ht="16.5" thickBot="1"/>
    <row r="39" spans="1:13" ht="16.5" thickBot="1">
      <c r="A39" s="25"/>
      <c r="B39" s="93"/>
      <c r="C39" s="125" t="s">
        <v>186</v>
      </c>
      <c r="D39" s="125"/>
      <c r="E39" s="125"/>
      <c r="F39" s="125"/>
      <c r="G39" s="125"/>
      <c r="H39" s="27"/>
      <c r="I39" s="28">
        <f>SUM(I14,I25,I34)</f>
        <v>0</v>
      </c>
      <c r="J39" s="28"/>
      <c r="K39" s="28">
        <f>SUM(K14,K25,K34)</f>
        <v>0</v>
      </c>
      <c r="L39" s="27"/>
      <c r="M39" s="29"/>
    </row>
    <row r="40" spans="1:13" ht="16.5" thickBot="1"/>
    <row r="41" spans="1:13" ht="16.5" thickBot="1">
      <c r="A41" s="25"/>
      <c r="B41" s="93"/>
      <c r="C41" s="125" t="s">
        <v>187</v>
      </c>
      <c r="D41" s="125"/>
      <c r="E41" s="125"/>
      <c r="F41" s="125"/>
      <c r="G41" s="125"/>
      <c r="H41" s="27"/>
      <c r="I41" s="28"/>
      <c r="J41" s="28"/>
      <c r="K41" s="28">
        <f>(I39*(2/3))+(K39)</f>
        <v>0</v>
      </c>
      <c r="L41" s="27"/>
      <c r="M41" s="29"/>
    </row>
  </sheetData>
  <sheetProtection password="BEF9" sheet="1" objects="1" scenarios="1" insertRows="0"/>
  <mergeCells count="23">
    <mergeCell ref="C41:G41"/>
    <mergeCell ref="C2:E2"/>
    <mergeCell ref="I2:M2"/>
    <mergeCell ref="C3:E3"/>
    <mergeCell ref="I3:M3"/>
    <mergeCell ref="I5:M5"/>
    <mergeCell ref="C4:M4"/>
    <mergeCell ref="C7:E7"/>
    <mergeCell ref="I7:M7"/>
    <mergeCell ref="C9:E9"/>
    <mergeCell ref="I9:M9"/>
    <mergeCell ref="C8:M8"/>
    <mergeCell ref="I6:M6"/>
    <mergeCell ref="F5:F6"/>
    <mergeCell ref="C10:E10"/>
    <mergeCell ref="I10:M10"/>
    <mergeCell ref="C39:G39"/>
    <mergeCell ref="C34:G34"/>
    <mergeCell ref="A5:A6"/>
    <mergeCell ref="B5:B6"/>
    <mergeCell ref="C5:C6"/>
    <mergeCell ref="E5:E6"/>
    <mergeCell ref="D5:D6"/>
  </mergeCells>
  <printOptions horizontalCentered="1"/>
  <pageMargins left="0.5" right="0.5" top="0.5" bottom="0.5" header="0.25" footer="0.25"/>
  <pageSetup scale="90" orientation="portrait" copies="0" r:id="rId1"/>
  <headerFooter>
    <oddHeader>&amp;COhio University Master's of Education (EDRE) Program of Study&amp;RPage 1/1</oddHeader>
    <oddFooter>&amp;R(revised September, 2012)</oddFooter>
  </headerFooter>
</worksheet>
</file>

<file path=xl/worksheets/sheet7.xml><?xml version="1.0" encoding="utf-8"?>
<worksheet xmlns="http://schemas.openxmlformats.org/spreadsheetml/2006/main" xmlns:r="http://schemas.openxmlformats.org/officeDocument/2006/relationships">
  <sheetPr>
    <pageSetUpPr fitToPage="1"/>
  </sheetPr>
  <dimension ref="A2:G58"/>
  <sheetViews>
    <sheetView showGridLines="0" showRuler="0" view="pageLayout" zoomScaleNormal="100" workbookViewId="0"/>
  </sheetViews>
  <sheetFormatPr defaultRowHeight="15.75"/>
  <cols>
    <col min="1" max="1" width="11.7109375" style="68" bestFit="1" customWidth="1"/>
    <col min="2" max="2" width="46.28515625" style="52" bestFit="1" customWidth="1"/>
    <col min="3" max="3" width="7.7109375" style="52" customWidth="1"/>
    <col min="4" max="4" width="56.140625" style="52" bestFit="1" customWidth="1"/>
    <col min="5" max="16384" width="9.140625" style="52"/>
  </cols>
  <sheetData>
    <row r="2" spans="1:7">
      <c r="A2" s="108" t="s">
        <v>97</v>
      </c>
      <c r="B2" s="108"/>
      <c r="C2" s="108"/>
      <c r="D2" s="108"/>
      <c r="E2" s="53"/>
      <c r="F2" s="53"/>
      <c r="G2" s="53"/>
    </row>
    <row r="4" spans="1:7">
      <c r="A4" s="106" t="s">
        <v>197</v>
      </c>
      <c r="B4" s="106"/>
      <c r="C4" s="20"/>
      <c r="D4" s="19"/>
    </row>
    <row r="5" spans="1:7">
      <c r="A5" s="54"/>
      <c r="B5" s="54"/>
      <c r="C5" s="20"/>
      <c r="D5" s="19"/>
    </row>
    <row r="6" spans="1:7">
      <c r="A6" s="140" t="s">
        <v>99</v>
      </c>
      <c r="B6" s="140"/>
      <c r="C6" s="20"/>
      <c r="D6" s="55" t="s">
        <v>98</v>
      </c>
    </row>
    <row r="7" spans="1:7">
      <c r="A7" s="54"/>
      <c r="B7" s="54"/>
      <c r="C7" s="20"/>
      <c r="D7" s="54"/>
    </row>
    <row r="8" spans="1:7">
      <c r="A8" s="139" t="s">
        <v>207</v>
      </c>
      <c r="B8" s="139"/>
      <c r="C8" s="20"/>
      <c r="D8" s="54"/>
    </row>
    <row r="9" spans="1:7">
      <c r="A9" s="56" t="s">
        <v>189</v>
      </c>
      <c r="B9" s="67" t="s">
        <v>198</v>
      </c>
      <c r="C9" s="57"/>
      <c r="D9" s="58" t="s">
        <v>188</v>
      </c>
    </row>
    <row r="10" spans="1:7">
      <c r="A10" s="59"/>
      <c r="B10" s="19"/>
      <c r="C10" s="20"/>
      <c r="D10" s="60" t="s">
        <v>116</v>
      </c>
    </row>
    <row r="11" spans="1:7">
      <c r="A11" s="61" t="s">
        <v>190</v>
      </c>
      <c r="B11" s="33" t="s">
        <v>90</v>
      </c>
      <c r="C11" s="32"/>
      <c r="D11" s="62"/>
    </row>
    <row r="12" spans="1:7">
      <c r="A12" s="19"/>
      <c r="B12" s="19"/>
      <c r="C12" s="20"/>
      <c r="D12" s="19"/>
    </row>
    <row r="13" spans="1:7">
      <c r="A13" s="139" t="s">
        <v>127</v>
      </c>
      <c r="B13" s="139"/>
      <c r="C13" s="20"/>
      <c r="D13" s="19"/>
    </row>
    <row r="14" spans="1:7">
      <c r="A14" s="56" t="s">
        <v>191</v>
      </c>
      <c r="B14" s="67" t="s">
        <v>199</v>
      </c>
      <c r="C14" s="57"/>
      <c r="D14" s="63"/>
    </row>
    <row r="15" spans="1:7">
      <c r="A15" s="59" t="s">
        <v>192</v>
      </c>
      <c r="B15" s="19" t="s">
        <v>210</v>
      </c>
      <c r="C15" s="20"/>
      <c r="D15" s="60" t="s">
        <v>112</v>
      </c>
    </row>
    <row r="16" spans="1:7">
      <c r="A16" s="59" t="s">
        <v>193</v>
      </c>
      <c r="B16" s="19" t="s">
        <v>209</v>
      </c>
      <c r="C16" s="20"/>
      <c r="D16" s="60" t="s">
        <v>113</v>
      </c>
    </row>
    <row r="17" spans="1:4">
      <c r="A17" s="59" t="s">
        <v>162</v>
      </c>
      <c r="B17" s="19" t="s">
        <v>200</v>
      </c>
      <c r="C17" s="20"/>
      <c r="D17" s="60" t="s">
        <v>114</v>
      </c>
    </row>
    <row r="18" spans="1:4">
      <c r="A18" s="61" t="s">
        <v>164</v>
      </c>
      <c r="B18" s="33" t="s">
        <v>165</v>
      </c>
      <c r="C18" s="32"/>
      <c r="D18" s="62" t="s">
        <v>115</v>
      </c>
    </row>
    <row r="19" spans="1:4">
      <c r="A19" s="19"/>
      <c r="B19" s="19"/>
      <c r="C19" s="20"/>
      <c r="D19" s="19"/>
    </row>
    <row r="20" spans="1:4">
      <c r="A20" s="139" t="s">
        <v>208</v>
      </c>
      <c r="B20" s="139"/>
      <c r="C20" s="20"/>
      <c r="D20" s="19"/>
    </row>
    <row r="21" spans="1:4">
      <c r="A21" s="56" t="s">
        <v>24</v>
      </c>
      <c r="B21" s="67" t="s">
        <v>86</v>
      </c>
      <c r="C21" s="57"/>
      <c r="D21" s="63" t="s">
        <v>100</v>
      </c>
    </row>
    <row r="22" spans="1:4">
      <c r="A22" s="59" t="s">
        <v>78</v>
      </c>
      <c r="B22" s="19" t="s">
        <v>87</v>
      </c>
      <c r="C22" s="20"/>
      <c r="D22" s="64" t="s">
        <v>101</v>
      </c>
    </row>
    <row r="23" spans="1:4">
      <c r="A23" s="59" t="s">
        <v>79</v>
      </c>
      <c r="B23" s="19" t="s">
        <v>30</v>
      </c>
      <c r="C23" s="20"/>
      <c r="D23" s="64" t="s">
        <v>102</v>
      </c>
    </row>
    <row r="24" spans="1:4">
      <c r="A24" s="59" t="s">
        <v>80</v>
      </c>
      <c r="B24" s="19" t="s">
        <v>201</v>
      </c>
      <c r="C24" s="20"/>
      <c r="D24" s="64" t="s">
        <v>103</v>
      </c>
    </row>
    <row r="25" spans="1:4">
      <c r="A25" s="59" t="s">
        <v>81</v>
      </c>
      <c r="B25" s="19" t="s">
        <v>202</v>
      </c>
      <c r="C25" s="20"/>
      <c r="D25" s="64" t="s">
        <v>105</v>
      </c>
    </row>
    <row r="26" spans="1:4">
      <c r="A26" s="59" t="s">
        <v>54</v>
      </c>
      <c r="B26" s="19" t="s">
        <v>33</v>
      </c>
      <c r="C26" s="20"/>
      <c r="D26" s="64" t="s">
        <v>107</v>
      </c>
    </row>
    <row r="27" spans="1:4">
      <c r="A27" s="59" t="s">
        <v>82</v>
      </c>
      <c r="B27" s="19" t="s">
        <v>203</v>
      </c>
      <c r="C27" s="20"/>
      <c r="D27" s="64" t="s">
        <v>119</v>
      </c>
    </row>
    <row r="28" spans="1:4">
      <c r="A28" s="59" t="s">
        <v>83</v>
      </c>
      <c r="B28" s="19" t="s">
        <v>51</v>
      </c>
      <c r="C28" s="20"/>
      <c r="D28" s="64" t="s">
        <v>120</v>
      </c>
    </row>
    <row r="29" spans="1:4">
      <c r="A29" s="59" t="s">
        <v>55</v>
      </c>
      <c r="B29" s="19" t="s">
        <v>204</v>
      </c>
      <c r="C29" s="20"/>
      <c r="D29" s="64" t="s">
        <v>108</v>
      </c>
    </row>
    <row r="30" spans="1:4">
      <c r="A30" s="59" t="s">
        <v>84</v>
      </c>
      <c r="B30" s="19" t="s">
        <v>205</v>
      </c>
      <c r="C30" s="20"/>
      <c r="D30" s="64" t="s">
        <v>104</v>
      </c>
    </row>
    <row r="31" spans="1:4">
      <c r="A31" s="59" t="s">
        <v>27</v>
      </c>
      <c r="B31" s="19" t="s">
        <v>214</v>
      </c>
      <c r="C31" s="20"/>
      <c r="D31" s="64" t="s">
        <v>106</v>
      </c>
    </row>
    <row r="32" spans="1:4">
      <c r="A32" s="59"/>
      <c r="B32" s="19"/>
      <c r="C32" s="20"/>
      <c r="D32" s="64" t="s">
        <v>118</v>
      </c>
    </row>
    <row r="33" spans="1:4">
      <c r="A33" s="59" t="s">
        <v>56</v>
      </c>
      <c r="B33" s="19" t="s">
        <v>215</v>
      </c>
      <c r="C33" s="20"/>
      <c r="D33" s="64" t="s">
        <v>117</v>
      </c>
    </row>
    <row r="34" spans="1:4">
      <c r="A34" s="61" t="s">
        <v>53</v>
      </c>
      <c r="B34" s="33" t="s">
        <v>206</v>
      </c>
      <c r="C34" s="32"/>
      <c r="D34" s="65"/>
    </row>
    <row r="35" spans="1:4">
      <c r="A35" s="19"/>
      <c r="B35" s="19"/>
      <c r="C35" s="20"/>
    </row>
    <row r="36" spans="1:4">
      <c r="A36" s="139" t="s">
        <v>128</v>
      </c>
      <c r="B36" s="139"/>
      <c r="C36" s="20"/>
    </row>
    <row r="37" spans="1:4">
      <c r="A37" s="56" t="s">
        <v>194</v>
      </c>
      <c r="B37" s="67" t="s">
        <v>212</v>
      </c>
      <c r="C37" s="57"/>
      <c r="D37" s="63" t="s">
        <v>121</v>
      </c>
    </row>
    <row r="38" spans="1:4">
      <c r="A38" s="59" t="s">
        <v>133</v>
      </c>
      <c r="B38" s="19" t="s">
        <v>211</v>
      </c>
      <c r="C38" s="20"/>
      <c r="D38" s="64" t="s">
        <v>111</v>
      </c>
    </row>
    <row r="39" spans="1:4">
      <c r="A39" s="59" t="s">
        <v>195</v>
      </c>
      <c r="B39" s="19" t="s">
        <v>213</v>
      </c>
      <c r="C39" s="20"/>
      <c r="D39" s="64"/>
    </row>
    <row r="40" spans="1:4">
      <c r="A40" s="59" t="s">
        <v>85</v>
      </c>
      <c r="B40" s="19" t="s">
        <v>90</v>
      </c>
      <c r="C40" s="20"/>
      <c r="D40" s="64" t="s">
        <v>109</v>
      </c>
    </row>
    <row r="41" spans="1:4">
      <c r="A41" s="61" t="s">
        <v>196</v>
      </c>
      <c r="B41" s="33" t="s">
        <v>7</v>
      </c>
      <c r="C41" s="32"/>
      <c r="D41" s="65" t="s">
        <v>110</v>
      </c>
    </row>
    <row r="50" spans="4:4">
      <c r="D50" s="66"/>
    </row>
    <row r="51" spans="4:4">
      <c r="D51" s="66"/>
    </row>
    <row r="52" spans="4:4">
      <c r="D52" s="66"/>
    </row>
    <row r="53" spans="4:4">
      <c r="D53" s="66"/>
    </row>
    <row r="55" spans="4:4">
      <c r="D55" s="19"/>
    </row>
    <row r="56" spans="4:4">
      <c r="D56" s="19"/>
    </row>
    <row r="57" spans="4:4">
      <c r="D57" s="19"/>
    </row>
    <row r="58" spans="4:4">
      <c r="D58" s="19"/>
    </row>
  </sheetData>
  <sheetProtection password="BEF9" sheet="1" objects="1" scenarios="1"/>
  <mergeCells count="7">
    <mergeCell ref="A2:D2"/>
    <mergeCell ref="A8:B8"/>
    <mergeCell ref="A13:B13"/>
    <mergeCell ref="A20:B20"/>
    <mergeCell ref="A36:B36"/>
    <mergeCell ref="A6:B6"/>
    <mergeCell ref="A4:B4"/>
  </mergeCells>
  <printOptions horizontalCentered="1"/>
  <pageMargins left="0.7" right="0.7" top="0.75" bottom="0.75" header="0.3" footer="0.3"/>
  <pageSetup scale="74" orientation="portrait" copies="0" r:id="rId1"/>
  <headerFooter>
    <oddHeader>&amp;COhio University Educational Research and Evaluation (EDRE) Program of Study Information</oddHeader>
    <oddFooter>&amp;R(revised September, 2012)</oddFooter>
  </headerFooter>
</worksheet>
</file>

<file path=xl/worksheets/sheet8.xml><?xml version="1.0" encoding="utf-8"?>
<worksheet xmlns="http://schemas.openxmlformats.org/spreadsheetml/2006/main" xmlns:r="http://schemas.openxmlformats.org/officeDocument/2006/relationships">
  <sheetPr>
    <pageSetUpPr fitToPage="1"/>
  </sheetPr>
  <dimension ref="A1:M47"/>
  <sheetViews>
    <sheetView showGridLines="0" showRuler="0" view="pageLayout" zoomScaleNormal="100" workbookViewId="0"/>
  </sheetViews>
  <sheetFormatPr defaultColWidth="5.7109375" defaultRowHeight="15.75"/>
  <cols>
    <col min="1" max="1" width="12" style="18" customWidth="1"/>
    <col min="2" max="2" width="1" style="18" customWidth="1"/>
    <col min="3" max="3" width="37.42578125" style="18" customWidth="1"/>
    <col min="4" max="4" width="1.140625" style="18" customWidth="1"/>
    <col min="5" max="5" width="10.5703125" style="21" customWidth="1"/>
    <col min="6" max="6" width="1.140625" style="21" customWidth="1"/>
    <col min="7" max="7" width="14" style="21" customWidth="1"/>
    <col min="8" max="8" width="1" style="21" customWidth="1"/>
    <col min="9" max="9" width="7.140625" style="21" bestFit="1" customWidth="1"/>
    <col min="10" max="10" width="1.28515625" style="21" customWidth="1"/>
    <col min="11" max="11" width="5" style="21" bestFit="1" customWidth="1"/>
    <col min="12" max="12" width="1.42578125" style="21" customWidth="1"/>
    <col min="13" max="13" width="6.7109375" style="21" bestFit="1" customWidth="1"/>
    <col min="14" max="16384" width="5.7109375" style="15"/>
  </cols>
  <sheetData>
    <row r="1" spans="1:13">
      <c r="A1" s="71" t="s">
        <v>0</v>
      </c>
      <c r="B1" s="72"/>
      <c r="C1" s="114" t="s">
        <v>39</v>
      </c>
      <c r="D1" s="114"/>
      <c r="E1" s="114"/>
      <c r="F1" s="73"/>
      <c r="G1" s="71" t="s">
        <v>8</v>
      </c>
      <c r="H1" s="74"/>
      <c r="I1" s="114" t="s">
        <v>40</v>
      </c>
      <c r="J1" s="114"/>
      <c r="K1" s="114"/>
      <c r="L1" s="114"/>
      <c r="M1" s="114"/>
    </row>
    <row r="2" spans="1:13">
      <c r="A2" s="71" t="s">
        <v>144</v>
      </c>
      <c r="B2" s="72"/>
      <c r="C2" s="141" t="s">
        <v>239</v>
      </c>
      <c r="D2" s="114"/>
      <c r="E2" s="114"/>
      <c r="F2" s="73"/>
      <c r="G2" s="71" t="s">
        <v>151</v>
      </c>
      <c r="H2" s="74"/>
      <c r="I2" s="114">
        <v>2010</v>
      </c>
      <c r="J2" s="114"/>
      <c r="K2" s="114"/>
      <c r="L2" s="114"/>
      <c r="M2" s="114"/>
    </row>
    <row r="3" spans="1:13">
      <c r="A3" s="71" t="s">
        <v>145</v>
      </c>
      <c r="B3" s="72"/>
      <c r="C3" s="16" t="s">
        <v>148</v>
      </c>
      <c r="D3" s="75"/>
      <c r="E3" s="16" t="s">
        <v>242</v>
      </c>
      <c r="F3" s="73"/>
      <c r="G3" s="71" t="s">
        <v>146</v>
      </c>
      <c r="H3" s="74"/>
      <c r="I3" s="114" t="s">
        <v>147</v>
      </c>
      <c r="J3" s="114"/>
      <c r="K3" s="114"/>
      <c r="L3" s="114"/>
      <c r="M3" s="114"/>
    </row>
    <row r="4" spans="1:13">
      <c r="A4" s="71" t="s">
        <v>241</v>
      </c>
      <c r="B4" s="72"/>
      <c r="C4" s="114" t="s">
        <v>250</v>
      </c>
      <c r="D4" s="114"/>
      <c r="E4" s="114"/>
      <c r="F4" s="73"/>
      <c r="G4" s="71" t="s">
        <v>150</v>
      </c>
      <c r="H4" s="74"/>
      <c r="I4" s="114" t="s">
        <v>149</v>
      </c>
      <c r="J4" s="114"/>
      <c r="K4" s="114"/>
      <c r="L4" s="114"/>
      <c r="M4" s="114"/>
    </row>
    <row r="5" spans="1:13" ht="31.5">
      <c r="A5" s="76" t="s">
        <v>153</v>
      </c>
      <c r="B5" s="72"/>
      <c r="C5" s="114" t="s">
        <v>251</v>
      </c>
      <c r="D5" s="114"/>
      <c r="E5" s="114"/>
      <c r="F5" s="114"/>
      <c r="G5" s="114"/>
      <c r="H5" s="114"/>
      <c r="I5" s="114"/>
      <c r="J5" s="114"/>
      <c r="K5" s="114"/>
      <c r="L5" s="114"/>
      <c r="M5" s="114"/>
    </row>
    <row r="6" spans="1:13">
      <c r="A6" s="71"/>
      <c r="B6" s="72"/>
      <c r="C6" s="77"/>
      <c r="D6" s="77"/>
      <c r="E6" s="77"/>
      <c r="F6" s="73"/>
      <c r="G6" s="71"/>
      <c r="H6" s="74"/>
      <c r="I6" s="77"/>
      <c r="J6" s="77"/>
      <c r="K6" s="77"/>
      <c r="L6" s="77"/>
      <c r="M6" s="77"/>
    </row>
    <row r="7" spans="1:13" ht="48" thickBot="1">
      <c r="A7" s="41" t="s">
        <v>9</v>
      </c>
      <c r="B7" s="22"/>
      <c r="C7" s="41" t="s">
        <v>10</v>
      </c>
      <c r="D7" s="22"/>
      <c r="E7" s="42" t="s">
        <v>230</v>
      </c>
      <c r="F7" s="23"/>
      <c r="G7" s="42" t="s">
        <v>159</v>
      </c>
      <c r="H7" s="24"/>
      <c r="I7" s="42" t="s">
        <v>18</v>
      </c>
      <c r="J7" s="24"/>
      <c r="K7" s="42" t="s">
        <v>19</v>
      </c>
      <c r="M7" s="43" t="s">
        <v>12</v>
      </c>
    </row>
    <row r="8" spans="1:13" ht="16.5" thickBot="1"/>
    <row r="9" spans="1:13" ht="16.5" thickBot="1">
      <c r="A9" s="25" t="s">
        <v>13</v>
      </c>
      <c r="B9" s="26"/>
      <c r="C9" s="142" t="s">
        <v>42</v>
      </c>
      <c r="D9" s="142"/>
      <c r="E9" s="142"/>
      <c r="F9" s="142"/>
      <c r="G9" s="142"/>
      <c r="H9" s="27"/>
      <c r="I9" s="28">
        <f>SUM(I10:I21)</f>
        <v>25</v>
      </c>
      <c r="J9" s="27"/>
      <c r="K9" s="28">
        <f>SUM(K10:K21)</f>
        <v>8</v>
      </c>
      <c r="L9" s="27"/>
      <c r="M9" s="29"/>
    </row>
    <row r="10" spans="1:13">
      <c r="A10" s="30" t="s">
        <v>26</v>
      </c>
      <c r="B10" s="19"/>
      <c r="C10" s="30" t="s">
        <v>32</v>
      </c>
      <c r="D10" s="19"/>
      <c r="E10" s="31" t="s">
        <v>243</v>
      </c>
      <c r="F10" s="20"/>
      <c r="G10" s="32" t="s">
        <v>244</v>
      </c>
      <c r="H10" s="20"/>
      <c r="I10" s="31">
        <v>5</v>
      </c>
      <c r="J10" s="20"/>
      <c r="K10" s="31"/>
      <c r="L10" s="20"/>
      <c r="M10" s="31" t="s">
        <v>36</v>
      </c>
    </row>
    <row r="11" spans="1:13">
      <c r="A11" s="30" t="s">
        <v>27</v>
      </c>
      <c r="B11" s="19"/>
      <c r="C11" s="30" t="s">
        <v>58</v>
      </c>
      <c r="D11" s="19"/>
      <c r="E11" s="31" t="s">
        <v>232</v>
      </c>
      <c r="F11" s="20"/>
      <c r="G11" s="31" t="s">
        <v>220</v>
      </c>
      <c r="H11" s="20"/>
      <c r="I11" s="31"/>
      <c r="J11" s="20"/>
      <c r="K11" s="31">
        <v>4</v>
      </c>
      <c r="L11" s="20"/>
      <c r="M11" s="31"/>
    </row>
    <row r="12" spans="1:13">
      <c r="A12" s="30" t="s">
        <v>56</v>
      </c>
      <c r="B12" s="19"/>
      <c r="C12" s="30" t="s">
        <v>57</v>
      </c>
      <c r="D12" s="19"/>
      <c r="E12" s="31" t="s">
        <v>232</v>
      </c>
      <c r="F12" s="20"/>
      <c r="G12" s="32" t="s">
        <v>220</v>
      </c>
      <c r="H12" s="20"/>
      <c r="I12" s="31"/>
      <c r="J12" s="20"/>
      <c r="K12" s="31">
        <v>4</v>
      </c>
      <c r="L12" s="20"/>
      <c r="M12" s="31"/>
    </row>
    <row r="13" spans="1:13">
      <c r="A13" s="30" t="s">
        <v>22</v>
      </c>
      <c r="B13" s="19"/>
      <c r="C13" s="30" t="s">
        <v>59</v>
      </c>
      <c r="D13" s="19"/>
      <c r="E13" s="31" t="s">
        <v>231</v>
      </c>
      <c r="F13" s="20"/>
      <c r="G13" s="32" t="s">
        <v>227</v>
      </c>
      <c r="H13" s="20"/>
      <c r="I13" s="31">
        <v>2</v>
      </c>
      <c r="J13" s="20"/>
      <c r="K13" s="31"/>
      <c r="L13" s="20"/>
      <c r="M13" s="31"/>
    </row>
    <row r="14" spans="1:13">
      <c r="A14" s="30" t="s">
        <v>37</v>
      </c>
      <c r="B14" s="19"/>
      <c r="C14" s="30" t="s">
        <v>60</v>
      </c>
      <c r="D14" s="19"/>
      <c r="E14" s="31" t="s">
        <v>231</v>
      </c>
      <c r="F14" s="20"/>
      <c r="G14" s="32" t="s">
        <v>227</v>
      </c>
      <c r="H14" s="20"/>
      <c r="I14" s="31">
        <v>2</v>
      </c>
      <c r="J14" s="20"/>
      <c r="K14" s="31"/>
      <c r="L14" s="20"/>
      <c r="M14" s="31"/>
    </row>
    <row r="15" spans="1:13">
      <c r="A15" s="30" t="s">
        <v>140</v>
      </c>
      <c r="B15" s="19"/>
      <c r="C15" s="30" t="s">
        <v>142</v>
      </c>
      <c r="D15" s="19"/>
      <c r="E15" s="31" t="s">
        <v>231</v>
      </c>
      <c r="F15" s="20"/>
      <c r="G15" s="31" t="s">
        <v>217</v>
      </c>
      <c r="H15" s="20"/>
      <c r="I15" s="31">
        <v>4</v>
      </c>
      <c r="J15" s="20"/>
      <c r="K15" s="31"/>
      <c r="L15" s="20"/>
      <c r="M15" s="31" t="s">
        <v>36</v>
      </c>
    </row>
    <row r="16" spans="1:13">
      <c r="A16" s="30" t="s">
        <v>64</v>
      </c>
      <c r="B16" s="19"/>
      <c r="C16" s="30" t="s">
        <v>136</v>
      </c>
      <c r="D16" s="19"/>
      <c r="E16" s="31" t="s">
        <v>231</v>
      </c>
      <c r="F16" s="20"/>
      <c r="G16" s="31" t="s">
        <v>227</v>
      </c>
      <c r="H16" s="20"/>
      <c r="I16" s="31">
        <v>4</v>
      </c>
      <c r="J16" s="20"/>
      <c r="K16" s="31"/>
      <c r="L16" s="20"/>
      <c r="M16" s="31" t="s">
        <v>36</v>
      </c>
    </row>
    <row r="17" spans="1:13">
      <c r="A17" s="30" t="s">
        <v>65</v>
      </c>
      <c r="B17" s="19"/>
      <c r="C17" s="30" t="s">
        <v>66</v>
      </c>
      <c r="D17" s="19"/>
      <c r="E17" s="31" t="s">
        <v>246</v>
      </c>
      <c r="F17" s="20"/>
      <c r="G17" s="31" t="s">
        <v>247</v>
      </c>
      <c r="H17" s="20"/>
      <c r="I17" s="31">
        <v>4</v>
      </c>
      <c r="J17" s="20"/>
      <c r="K17" s="31"/>
      <c r="L17" s="20"/>
      <c r="M17" s="31" t="s">
        <v>36</v>
      </c>
    </row>
    <row r="18" spans="1:13">
      <c r="A18" s="30" t="s">
        <v>130</v>
      </c>
      <c r="B18" s="19"/>
      <c r="C18" s="30" t="s">
        <v>131</v>
      </c>
      <c r="D18" s="19"/>
      <c r="E18" s="31" t="s">
        <v>243</v>
      </c>
      <c r="F18" s="20"/>
      <c r="G18" s="31" t="s">
        <v>245</v>
      </c>
      <c r="H18" s="20"/>
      <c r="I18" s="31">
        <v>4</v>
      </c>
      <c r="J18" s="20"/>
      <c r="K18" s="31"/>
      <c r="L18" s="20"/>
      <c r="M18" s="31" t="s">
        <v>36</v>
      </c>
    </row>
    <row r="19" spans="1:13">
      <c r="A19" s="30"/>
      <c r="B19" s="19"/>
      <c r="C19" s="30"/>
      <c r="D19" s="19"/>
      <c r="E19" s="31"/>
      <c r="F19" s="20"/>
      <c r="G19" s="31"/>
      <c r="H19" s="20"/>
      <c r="I19" s="31"/>
      <c r="J19" s="20"/>
      <c r="K19" s="31"/>
      <c r="L19" s="20"/>
      <c r="M19" s="31"/>
    </row>
    <row r="20" spans="1:13">
      <c r="A20" s="30"/>
      <c r="B20" s="19"/>
      <c r="C20" s="30"/>
      <c r="D20" s="19"/>
      <c r="E20" s="31"/>
      <c r="F20" s="20"/>
      <c r="G20" s="31"/>
      <c r="H20" s="20"/>
      <c r="I20" s="31"/>
      <c r="J20" s="20"/>
      <c r="K20" s="31"/>
      <c r="L20" s="20"/>
      <c r="M20" s="31"/>
    </row>
    <row r="21" spans="1:13" ht="16.5" thickBot="1">
      <c r="D21" s="19"/>
      <c r="E21" s="20"/>
      <c r="F21" s="20"/>
      <c r="G21" s="20"/>
      <c r="H21" s="20"/>
      <c r="I21" s="20"/>
      <c r="J21" s="20"/>
      <c r="K21" s="20"/>
      <c r="L21" s="20"/>
      <c r="M21" s="20"/>
    </row>
    <row r="22" spans="1:13" ht="16.5" thickBot="1">
      <c r="A22" s="25" t="s">
        <v>14</v>
      </c>
      <c r="B22" s="26"/>
      <c r="C22" s="142" t="s">
        <v>41</v>
      </c>
      <c r="D22" s="142"/>
      <c r="E22" s="142"/>
      <c r="F22" s="142"/>
      <c r="G22" s="142"/>
      <c r="H22" s="27"/>
      <c r="I22" s="28">
        <f>SUM(I23:I31)</f>
        <v>17</v>
      </c>
      <c r="J22" s="27"/>
      <c r="K22" s="28">
        <f>SUM(K23:K31)</f>
        <v>12</v>
      </c>
      <c r="L22" s="27"/>
      <c r="M22" s="29"/>
    </row>
    <row r="23" spans="1:13">
      <c r="A23" s="33" t="s">
        <v>20</v>
      </c>
      <c r="B23" s="19"/>
      <c r="C23" s="33" t="s">
        <v>28</v>
      </c>
      <c r="D23" s="19"/>
      <c r="E23" s="31" t="s">
        <v>231</v>
      </c>
      <c r="F23" s="20"/>
      <c r="G23" s="31" t="s">
        <v>229</v>
      </c>
      <c r="H23" s="20"/>
      <c r="I23" s="31">
        <v>5</v>
      </c>
      <c r="J23" s="20"/>
      <c r="K23" s="31"/>
      <c r="L23" s="20"/>
      <c r="M23" s="31" t="s">
        <v>36</v>
      </c>
    </row>
    <row r="24" spans="1:13">
      <c r="A24" s="30" t="s">
        <v>54</v>
      </c>
      <c r="B24" s="19"/>
      <c r="C24" s="30" t="s">
        <v>33</v>
      </c>
      <c r="D24" s="19"/>
      <c r="E24" s="31" t="s">
        <v>232</v>
      </c>
      <c r="F24" s="20"/>
      <c r="G24" s="32" t="s">
        <v>222</v>
      </c>
      <c r="H24" s="20"/>
      <c r="I24" s="31"/>
      <c r="J24" s="20"/>
      <c r="K24" s="31">
        <v>4</v>
      </c>
      <c r="L24" s="20"/>
      <c r="M24" s="31"/>
    </row>
    <row r="25" spans="1:13">
      <c r="A25" s="30" t="s">
        <v>53</v>
      </c>
      <c r="B25" s="19"/>
      <c r="C25" s="30" t="s">
        <v>63</v>
      </c>
      <c r="D25" s="19"/>
      <c r="E25" s="31" t="s">
        <v>232</v>
      </c>
      <c r="F25" s="20"/>
      <c r="G25" s="31" t="s">
        <v>220</v>
      </c>
      <c r="H25" s="20"/>
      <c r="I25" s="31"/>
      <c r="J25" s="20"/>
      <c r="K25" s="31">
        <v>4</v>
      </c>
      <c r="L25" s="20"/>
      <c r="M25" s="31"/>
    </row>
    <row r="26" spans="1:13">
      <c r="A26" s="30" t="s">
        <v>24</v>
      </c>
      <c r="B26" s="19"/>
      <c r="C26" s="30" t="s">
        <v>29</v>
      </c>
      <c r="D26" s="19"/>
      <c r="E26" s="31" t="s">
        <v>232</v>
      </c>
      <c r="F26" s="20"/>
      <c r="G26" s="31" t="s">
        <v>222</v>
      </c>
      <c r="H26" s="20"/>
      <c r="I26" s="31"/>
      <c r="J26" s="20"/>
      <c r="K26" s="31">
        <v>4</v>
      </c>
      <c r="L26" s="20"/>
      <c r="M26" s="31"/>
    </row>
    <row r="27" spans="1:13">
      <c r="A27" s="30" t="s">
        <v>25</v>
      </c>
      <c r="B27" s="19"/>
      <c r="C27" s="30" t="s">
        <v>62</v>
      </c>
      <c r="D27" s="19"/>
      <c r="E27" s="31" t="s">
        <v>231</v>
      </c>
      <c r="F27" s="20"/>
      <c r="G27" s="31" t="s">
        <v>229</v>
      </c>
      <c r="H27" s="20"/>
      <c r="I27" s="31">
        <v>5</v>
      </c>
      <c r="J27" s="20"/>
      <c r="K27" s="31"/>
      <c r="L27" s="20"/>
      <c r="M27" s="31" t="s">
        <v>36</v>
      </c>
    </row>
    <row r="28" spans="1:13">
      <c r="A28" s="30" t="s">
        <v>23</v>
      </c>
      <c r="B28" s="19"/>
      <c r="C28" s="30" t="s">
        <v>61</v>
      </c>
      <c r="D28" s="19"/>
      <c r="E28" s="31" t="s">
        <v>231</v>
      </c>
      <c r="F28" s="20"/>
      <c r="G28" s="31" t="s">
        <v>228</v>
      </c>
      <c r="H28" s="20"/>
      <c r="I28" s="31">
        <v>3</v>
      </c>
      <c r="J28" s="20"/>
      <c r="K28" s="31"/>
      <c r="L28" s="20"/>
      <c r="M28" s="31" t="s">
        <v>67</v>
      </c>
    </row>
    <row r="29" spans="1:13">
      <c r="A29" s="30" t="s">
        <v>129</v>
      </c>
      <c r="B29" s="19"/>
      <c r="C29" s="30" t="s">
        <v>141</v>
      </c>
      <c r="D29" s="19"/>
      <c r="E29" s="31" t="s">
        <v>243</v>
      </c>
      <c r="F29" s="20"/>
      <c r="G29" s="31" t="s">
        <v>244</v>
      </c>
      <c r="H29" s="20"/>
      <c r="I29" s="31">
        <v>4</v>
      </c>
      <c r="J29" s="20"/>
      <c r="K29" s="31"/>
      <c r="L29" s="20"/>
      <c r="M29" s="31" t="s">
        <v>36</v>
      </c>
    </row>
    <row r="30" spans="1:13">
      <c r="A30" s="30"/>
      <c r="B30" s="19"/>
      <c r="C30" s="30"/>
      <c r="D30" s="19"/>
      <c r="E30" s="31"/>
      <c r="F30" s="20"/>
      <c r="G30" s="31"/>
      <c r="H30" s="20"/>
      <c r="I30" s="31"/>
      <c r="J30" s="20"/>
      <c r="K30" s="31"/>
      <c r="L30" s="20"/>
      <c r="M30" s="31"/>
    </row>
    <row r="31" spans="1:13" ht="16.5" thickBot="1"/>
    <row r="32" spans="1:13" ht="16.5" thickBot="1">
      <c r="A32" s="25" t="s">
        <v>15</v>
      </c>
      <c r="B32" s="26"/>
      <c r="C32" s="142" t="s">
        <v>38</v>
      </c>
      <c r="D32" s="142"/>
      <c r="E32" s="142"/>
      <c r="F32" s="142"/>
      <c r="G32" s="142"/>
      <c r="H32" s="27"/>
      <c r="I32" s="28">
        <f>SUM(I33:I38)</f>
        <v>9</v>
      </c>
      <c r="J32" s="28"/>
      <c r="K32" s="28">
        <f>SUM(K33:K38)</f>
        <v>6</v>
      </c>
      <c r="L32" s="27"/>
      <c r="M32" s="29"/>
    </row>
    <row r="33" spans="1:13">
      <c r="A33" s="30" t="s">
        <v>21</v>
      </c>
      <c r="B33" s="19"/>
      <c r="C33" s="30" t="s">
        <v>34</v>
      </c>
      <c r="D33" s="19"/>
      <c r="E33" s="31" t="s">
        <v>231</v>
      </c>
      <c r="F33" s="20"/>
      <c r="G33" s="31" t="s">
        <v>228</v>
      </c>
      <c r="H33" s="20"/>
      <c r="I33" s="31">
        <v>4</v>
      </c>
      <c r="J33" s="20"/>
      <c r="K33" s="31"/>
      <c r="L33" s="20"/>
      <c r="M33" s="31" t="s">
        <v>36</v>
      </c>
    </row>
    <row r="34" spans="1:13">
      <c r="A34" s="30" t="s">
        <v>50</v>
      </c>
      <c r="B34" s="19"/>
      <c r="C34" s="30" t="s">
        <v>51</v>
      </c>
      <c r="D34" s="19"/>
      <c r="E34" s="31" t="s">
        <v>231</v>
      </c>
      <c r="F34" s="20"/>
      <c r="G34" s="31" t="s">
        <v>229</v>
      </c>
      <c r="H34" s="20"/>
      <c r="I34" s="31">
        <v>5</v>
      </c>
      <c r="J34" s="20"/>
      <c r="K34" s="31"/>
      <c r="L34" s="20"/>
      <c r="M34" s="31" t="s">
        <v>36</v>
      </c>
    </row>
    <row r="35" spans="1:13">
      <c r="A35" s="30" t="s">
        <v>55</v>
      </c>
      <c r="B35" s="19"/>
      <c r="C35" s="30" t="s">
        <v>52</v>
      </c>
      <c r="D35" s="19"/>
      <c r="E35" s="31" t="s">
        <v>232</v>
      </c>
      <c r="F35" s="20"/>
      <c r="G35" s="31" t="s">
        <v>220</v>
      </c>
      <c r="H35" s="20"/>
      <c r="I35" s="31"/>
      <c r="J35" s="20"/>
      <c r="K35" s="31">
        <v>4</v>
      </c>
      <c r="L35" s="20"/>
      <c r="M35" s="31"/>
    </row>
    <row r="36" spans="1:13">
      <c r="A36" s="30" t="s">
        <v>133</v>
      </c>
      <c r="B36" s="19"/>
      <c r="C36" s="30" t="s">
        <v>132</v>
      </c>
      <c r="D36" s="19"/>
      <c r="E36" s="31" t="s">
        <v>232</v>
      </c>
      <c r="F36" s="20"/>
      <c r="G36" s="32" t="s">
        <v>222</v>
      </c>
      <c r="H36" s="20"/>
      <c r="I36" s="31"/>
      <c r="J36" s="20"/>
      <c r="K36" s="31">
        <v>2</v>
      </c>
      <c r="L36" s="20"/>
      <c r="M36" s="31"/>
    </row>
    <row r="37" spans="1:13">
      <c r="A37" s="30"/>
      <c r="B37" s="19"/>
      <c r="C37" s="30"/>
      <c r="D37" s="19"/>
      <c r="E37" s="31"/>
      <c r="F37" s="20"/>
      <c r="G37" s="31"/>
      <c r="H37" s="20"/>
      <c r="I37" s="31"/>
      <c r="J37" s="20"/>
      <c r="K37" s="31"/>
      <c r="L37" s="20"/>
      <c r="M37" s="31"/>
    </row>
    <row r="38" spans="1:13" ht="16.5" thickBot="1">
      <c r="A38" s="30"/>
      <c r="B38" s="19"/>
      <c r="C38" s="30"/>
      <c r="D38" s="19"/>
      <c r="E38" s="31"/>
      <c r="F38" s="20"/>
      <c r="G38" s="31"/>
      <c r="H38" s="20"/>
      <c r="I38" s="31"/>
      <c r="J38" s="20"/>
      <c r="K38" s="31"/>
      <c r="L38" s="20"/>
      <c r="M38" s="31"/>
    </row>
    <row r="39" spans="1:13" ht="16.5" thickBot="1">
      <c r="A39" s="25" t="s">
        <v>16</v>
      </c>
      <c r="B39" s="26"/>
      <c r="C39" s="142" t="s">
        <v>43</v>
      </c>
      <c r="D39" s="142"/>
      <c r="E39" s="142"/>
      <c r="F39" s="142"/>
      <c r="G39" s="142"/>
      <c r="H39" s="27"/>
      <c r="I39" s="28">
        <f>SUM(I40:I44)</f>
        <v>12</v>
      </c>
      <c r="J39" s="28"/>
      <c r="K39" s="28">
        <f>SUM(K40:K44)</f>
        <v>0</v>
      </c>
      <c r="L39" s="27"/>
      <c r="M39" s="29"/>
    </row>
    <row r="40" spans="1:13">
      <c r="A40" s="30" t="s">
        <v>44</v>
      </c>
      <c r="B40" s="19"/>
      <c r="C40" s="30" t="s">
        <v>46</v>
      </c>
      <c r="D40" s="19"/>
      <c r="E40" s="31" t="s">
        <v>243</v>
      </c>
      <c r="F40" s="20"/>
      <c r="G40" s="31" t="s">
        <v>247</v>
      </c>
      <c r="H40" s="20"/>
      <c r="I40" s="31">
        <v>4</v>
      </c>
      <c r="J40" s="20"/>
      <c r="K40" s="31"/>
      <c r="L40" s="20"/>
      <c r="M40" s="31" t="s">
        <v>36</v>
      </c>
    </row>
    <row r="41" spans="1:13">
      <c r="A41" s="30" t="s">
        <v>45</v>
      </c>
      <c r="B41" s="19"/>
      <c r="C41" s="30" t="s">
        <v>48</v>
      </c>
      <c r="D41" s="19"/>
      <c r="E41" s="31" t="s">
        <v>231</v>
      </c>
      <c r="F41" s="20"/>
      <c r="G41" s="31" t="s">
        <v>228</v>
      </c>
      <c r="H41" s="20"/>
      <c r="I41" s="31">
        <v>4</v>
      </c>
      <c r="J41" s="20"/>
      <c r="K41" s="31"/>
      <c r="L41" s="20"/>
      <c r="M41" s="31" t="s">
        <v>36</v>
      </c>
    </row>
    <row r="42" spans="1:13">
      <c r="A42" s="30" t="s">
        <v>49</v>
      </c>
      <c r="B42" s="19"/>
      <c r="C42" s="30" t="s">
        <v>47</v>
      </c>
      <c r="D42" s="19"/>
      <c r="E42" s="31" t="s">
        <v>231</v>
      </c>
      <c r="F42" s="20"/>
      <c r="G42" s="31" t="s">
        <v>227</v>
      </c>
      <c r="H42" s="20"/>
      <c r="I42" s="31">
        <v>4</v>
      </c>
      <c r="J42" s="20"/>
      <c r="K42" s="31"/>
      <c r="L42" s="20"/>
      <c r="M42" s="31" t="s">
        <v>36</v>
      </c>
    </row>
    <row r="43" spans="1:13">
      <c r="A43" s="30"/>
      <c r="B43" s="19"/>
      <c r="C43" s="30"/>
      <c r="D43" s="19"/>
      <c r="E43" s="31"/>
      <c r="F43" s="20"/>
      <c r="G43" s="31"/>
      <c r="H43" s="20"/>
      <c r="I43" s="31"/>
      <c r="J43" s="20"/>
      <c r="K43" s="31"/>
      <c r="L43" s="20"/>
      <c r="M43" s="31"/>
    </row>
    <row r="44" spans="1:13" ht="16.5" thickBot="1"/>
    <row r="45" spans="1:13" ht="16.5" thickBot="1">
      <c r="A45" s="25" t="s">
        <v>143</v>
      </c>
      <c r="B45" s="26"/>
      <c r="C45" s="125" t="s">
        <v>248</v>
      </c>
      <c r="D45" s="125"/>
      <c r="E45" s="125"/>
      <c r="F45" s="125"/>
      <c r="G45" s="125"/>
      <c r="H45" s="27"/>
      <c r="I45" s="28">
        <f>SUM(I46:I47)</f>
        <v>0</v>
      </c>
      <c r="J45" s="28"/>
      <c r="K45" s="28">
        <f>SUM(K46:K47)</f>
        <v>10</v>
      </c>
      <c r="L45" s="27"/>
      <c r="M45" s="29"/>
    </row>
    <row r="46" spans="1:13">
      <c r="A46" s="30" t="s">
        <v>196</v>
      </c>
      <c r="B46" s="19"/>
      <c r="C46" s="30" t="s">
        <v>7</v>
      </c>
      <c r="D46" s="19"/>
      <c r="E46" s="31"/>
      <c r="F46" s="20"/>
      <c r="G46" s="31"/>
      <c r="H46" s="20"/>
      <c r="I46" s="31"/>
      <c r="J46" s="20"/>
      <c r="K46" s="31">
        <v>10</v>
      </c>
      <c r="L46" s="20"/>
      <c r="M46" s="31"/>
    </row>
    <row r="47" spans="1:13">
      <c r="A47" s="30"/>
      <c r="B47" s="19"/>
      <c r="C47" s="30"/>
      <c r="D47" s="19"/>
      <c r="E47" s="31"/>
      <c r="F47" s="20"/>
      <c r="G47" s="31"/>
      <c r="H47" s="20"/>
      <c r="I47" s="31"/>
      <c r="J47" s="20"/>
      <c r="K47" s="31"/>
      <c r="L47" s="20"/>
      <c r="M47" s="31"/>
    </row>
  </sheetData>
  <sheetProtection password="BEF9" sheet="1" objects="1" scenarios="1" selectLockedCells="1" selectUnlockedCells="1"/>
  <mergeCells count="13">
    <mergeCell ref="C45:G45"/>
    <mergeCell ref="C1:E1"/>
    <mergeCell ref="I1:M1"/>
    <mergeCell ref="C2:E2"/>
    <mergeCell ref="I2:M2"/>
    <mergeCell ref="I3:M3"/>
    <mergeCell ref="C4:E4"/>
    <mergeCell ref="I4:M4"/>
    <mergeCell ref="C5:M5"/>
    <mergeCell ref="C9:G9"/>
    <mergeCell ref="C22:G22"/>
    <mergeCell ref="C32:G32"/>
    <mergeCell ref="C39:G39"/>
  </mergeCells>
  <hyperlinks>
    <hyperlink ref="C2" r:id="rId1"/>
  </hyperlinks>
  <printOptions horizontalCentered="1"/>
  <pageMargins left="0.5" right="0.5" top="0.5" bottom="0.5" header="0.25" footer="0.25"/>
  <pageSetup scale="93" orientation="portrait" copies="0" r:id="rId2"/>
</worksheet>
</file>

<file path=xl/worksheets/sheet9.xml><?xml version="1.0" encoding="utf-8"?>
<worksheet xmlns="http://schemas.openxmlformats.org/spreadsheetml/2006/main" xmlns:r="http://schemas.openxmlformats.org/officeDocument/2006/relationships">
  <sheetPr>
    <pageSetUpPr fitToPage="1"/>
  </sheetPr>
  <dimension ref="A1:J32"/>
  <sheetViews>
    <sheetView showGridLines="0" showRuler="0" view="pageLayout" zoomScaleNormal="100" workbookViewId="0"/>
  </sheetViews>
  <sheetFormatPr defaultColWidth="7.140625" defaultRowHeight="15"/>
  <cols>
    <col min="1" max="1" width="9.5703125" style="1" customWidth="1"/>
    <col min="2" max="2" width="3.140625" style="1" customWidth="1"/>
    <col min="3" max="4" width="25.5703125" style="1" customWidth="1"/>
    <col min="5" max="5" width="3.140625" style="1" customWidth="1"/>
    <col min="6" max="6" width="6.42578125" style="1" customWidth="1"/>
    <col min="7" max="7" width="3.140625" style="1" customWidth="1"/>
    <col min="8" max="8" width="6.42578125" style="1" customWidth="1"/>
    <col min="9" max="9" width="3.140625" style="1" customWidth="1"/>
    <col min="10" max="10" width="10.140625" style="4" customWidth="1"/>
    <col min="11" max="16384" width="7.140625" style="1"/>
  </cols>
  <sheetData>
    <row r="1" spans="1:10">
      <c r="A1" s="14" t="s">
        <v>0</v>
      </c>
      <c r="B1" s="13"/>
      <c r="C1" s="117" t="str">
        <f>'Sample PhD 1'!C1</f>
        <v>EDRE Student</v>
      </c>
      <c r="D1" s="117"/>
      <c r="F1" s="14" t="s">
        <v>8</v>
      </c>
      <c r="G1" s="117" t="str">
        <f>'Sample PhD 1'!I1</f>
        <v>P000000000</v>
      </c>
      <c r="H1" s="117"/>
      <c r="I1" s="117"/>
      <c r="J1" s="117"/>
    </row>
    <row r="2" spans="1:10">
      <c r="A2" s="2"/>
      <c r="B2" s="13"/>
      <c r="C2" s="7"/>
      <c r="D2" s="7"/>
      <c r="F2" s="3"/>
      <c r="G2" s="3"/>
      <c r="H2" s="7"/>
    </row>
    <row r="3" spans="1:10">
      <c r="A3" s="118" t="s">
        <v>135</v>
      </c>
      <c r="B3" s="118"/>
      <c r="C3" s="118"/>
      <c r="D3" s="118"/>
      <c r="E3" s="118"/>
      <c r="F3" s="118"/>
      <c r="G3" s="118"/>
      <c r="H3" s="118"/>
      <c r="I3" s="118"/>
      <c r="J3" s="118"/>
    </row>
    <row r="5" spans="1:10" ht="28.5">
      <c r="A5" s="119" t="s">
        <v>5</v>
      </c>
      <c r="B5" s="119"/>
      <c r="C5" s="119"/>
      <c r="D5" s="120"/>
      <c r="F5" s="12" t="s">
        <v>18</v>
      </c>
      <c r="H5" s="12" t="s">
        <v>19</v>
      </c>
      <c r="J5" s="12" t="s">
        <v>134</v>
      </c>
    </row>
    <row r="7" spans="1:10">
      <c r="A7" s="14" t="s">
        <v>3</v>
      </c>
      <c r="B7" s="13"/>
      <c r="C7" s="121" t="str">
        <f>'Sample PhD 1'!C9</f>
        <v>Statistics &amp; Quantitative Methods</v>
      </c>
      <c r="D7" s="121"/>
      <c r="E7" s="5"/>
      <c r="F7" s="9">
        <f>'Sample PhD 1'!I9</f>
        <v>25</v>
      </c>
      <c r="G7" s="10"/>
      <c r="H7" s="9">
        <f>'Sample PhD 1'!K9</f>
        <v>8</v>
      </c>
      <c r="I7" s="10"/>
      <c r="J7" s="83">
        <f>ROUND((F7*2/3)+H7,2)</f>
        <v>24.67</v>
      </c>
    </row>
    <row r="8" spans="1:10">
      <c r="C8" s="8"/>
      <c r="D8" s="8"/>
      <c r="F8" s="10"/>
      <c r="G8" s="10"/>
      <c r="H8" s="10"/>
      <c r="I8" s="10"/>
      <c r="J8" s="88"/>
    </row>
    <row r="9" spans="1:10">
      <c r="A9" s="14" t="s">
        <v>4</v>
      </c>
      <c r="B9" s="13"/>
      <c r="C9" s="121" t="str">
        <f>'Sample PhD 1'!C22</f>
        <v>Research Design, Measurement, &amp; Evaluation</v>
      </c>
      <c r="D9" s="121"/>
      <c r="E9" s="5"/>
      <c r="F9" s="9">
        <f>'Sample PhD 1'!I22</f>
        <v>17</v>
      </c>
      <c r="G9" s="10"/>
      <c r="H9" s="9">
        <f>'Sample PhD 1'!K22</f>
        <v>12</v>
      </c>
      <c r="I9" s="10"/>
      <c r="J9" s="83">
        <f>ROUND((F9*2/3)+H9,2)</f>
        <v>23.33</v>
      </c>
    </row>
    <row r="10" spans="1:10">
      <c r="C10" s="6"/>
      <c r="D10" s="6"/>
      <c r="F10" s="10"/>
      <c r="G10" s="10"/>
      <c r="H10" s="10"/>
      <c r="I10" s="10"/>
      <c r="J10" s="88"/>
    </row>
    <row r="11" spans="1:10">
      <c r="A11" s="14" t="s">
        <v>1</v>
      </c>
      <c r="B11" s="13"/>
      <c r="C11" s="121" t="str">
        <f>'Sample PhD 1'!C32</f>
        <v>Qualitative Methods</v>
      </c>
      <c r="D11" s="121"/>
      <c r="E11" s="5"/>
      <c r="F11" s="9">
        <f>'Sample PhD 1'!I32</f>
        <v>9</v>
      </c>
      <c r="G11" s="10"/>
      <c r="H11" s="9">
        <f>'Sample PhD 1'!K32</f>
        <v>6</v>
      </c>
      <c r="I11" s="10"/>
      <c r="J11" s="83">
        <f>ROUND((F11*2/3)+H11,2)</f>
        <v>12</v>
      </c>
    </row>
    <row r="12" spans="1:10">
      <c r="C12" s="6"/>
      <c r="D12" s="6"/>
      <c r="F12" s="10"/>
      <c r="G12" s="10"/>
      <c r="H12" s="10"/>
      <c r="I12" s="10"/>
      <c r="J12" s="88"/>
    </row>
    <row r="13" spans="1:10">
      <c r="A13" s="14" t="s">
        <v>2</v>
      </c>
      <c r="B13" s="13"/>
      <c r="C13" s="121" t="str">
        <f>'Sample PhD 1'!C39</f>
        <v>Higher Education &amp; Institutional Research</v>
      </c>
      <c r="D13" s="121"/>
      <c r="E13" s="5"/>
      <c r="F13" s="9">
        <f>'Sample PhD 1'!I39</f>
        <v>12</v>
      </c>
      <c r="G13" s="10"/>
      <c r="H13" s="9">
        <f>'Sample PhD 1'!K39</f>
        <v>0</v>
      </c>
      <c r="I13" s="10"/>
      <c r="J13" s="83">
        <f>ROUND((F13*2/3)+H13,2)</f>
        <v>8</v>
      </c>
    </row>
    <row r="14" spans="1:10">
      <c r="C14" s="6"/>
      <c r="D14" s="6"/>
      <c r="F14" s="10"/>
      <c r="G14" s="10"/>
      <c r="H14" s="10"/>
      <c r="I14" s="10"/>
      <c r="J14" s="88"/>
    </row>
    <row r="15" spans="1:10">
      <c r="A15" s="2"/>
      <c r="B15" s="13"/>
      <c r="C15" s="121" t="str">
        <f>'Sample PhD 1'!C45</f>
        <v>Dissertation (maximum of 10 semester hours)</v>
      </c>
      <c r="D15" s="121"/>
      <c r="E15" s="5"/>
      <c r="F15" s="9">
        <f>'Sample PhD 1'!I45</f>
        <v>0</v>
      </c>
      <c r="G15" s="10"/>
      <c r="H15" s="9">
        <f>'Sample PhD 1'!K45</f>
        <v>10</v>
      </c>
      <c r="I15" s="10"/>
      <c r="J15" s="83">
        <f>ROUND((F15*2/3)+H15,2)</f>
        <v>10</v>
      </c>
    </row>
    <row r="16" spans="1:10">
      <c r="F16" s="10"/>
      <c r="G16" s="10"/>
      <c r="H16" s="10"/>
      <c r="I16" s="10"/>
      <c r="J16" s="88"/>
    </row>
    <row r="17" spans="1:10">
      <c r="C17" s="122" t="s">
        <v>6</v>
      </c>
      <c r="D17" s="122"/>
      <c r="F17" s="83">
        <f>SUM(F6:F16)</f>
        <v>63</v>
      </c>
      <c r="G17" s="10"/>
      <c r="H17" s="83">
        <f>SUM(H6:H16)</f>
        <v>36</v>
      </c>
      <c r="I17" s="10"/>
      <c r="J17" s="83">
        <f>SUM(J6:J16)</f>
        <v>78</v>
      </c>
    </row>
    <row r="18" spans="1:10" ht="15.75" thickBot="1">
      <c r="D18" s="13"/>
      <c r="F18" s="10"/>
      <c r="G18" s="10"/>
      <c r="H18" s="10"/>
      <c r="I18" s="10"/>
      <c r="J18" s="11"/>
    </row>
    <row r="19" spans="1:10" ht="15.75" thickBot="1">
      <c r="C19" s="123" t="s">
        <v>259</v>
      </c>
      <c r="D19" s="124"/>
      <c r="E19" s="84"/>
      <c r="F19" s="86">
        <f>ROUND(F17*2/3,2)</f>
        <v>42</v>
      </c>
      <c r="G19" s="85" t="s">
        <v>257</v>
      </c>
      <c r="H19" s="86">
        <f>ROUND(H17*1,2)</f>
        <v>36</v>
      </c>
      <c r="I19" s="85" t="s">
        <v>258</v>
      </c>
      <c r="J19" s="87">
        <f>F19+H19</f>
        <v>78</v>
      </c>
    </row>
    <row r="21" spans="1:10">
      <c r="A21" s="115" t="s">
        <v>139</v>
      </c>
      <c r="B21" s="115"/>
      <c r="C21" s="116" t="s">
        <v>249</v>
      </c>
      <c r="D21" s="116"/>
      <c r="E21" s="116"/>
      <c r="F21" s="116"/>
      <c r="G21" s="116"/>
      <c r="H21" s="116"/>
      <c r="I21" s="116"/>
      <c r="J21" s="116"/>
    </row>
    <row r="22" spans="1:10">
      <c r="C22" s="116"/>
      <c r="D22" s="116"/>
      <c r="E22" s="116"/>
      <c r="F22" s="116"/>
      <c r="G22" s="116"/>
      <c r="H22" s="116"/>
      <c r="I22" s="116"/>
      <c r="J22" s="116"/>
    </row>
    <row r="23" spans="1:10">
      <c r="C23" s="116"/>
      <c r="D23" s="116"/>
      <c r="E23" s="116"/>
      <c r="F23" s="116"/>
      <c r="G23" s="116"/>
      <c r="H23" s="116"/>
      <c r="I23" s="116"/>
      <c r="J23" s="116"/>
    </row>
    <row r="24" spans="1:10">
      <c r="C24" s="116"/>
      <c r="D24" s="116"/>
      <c r="E24" s="116"/>
      <c r="F24" s="116"/>
      <c r="G24" s="116"/>
      <c r="H24" s="116"/>
      <c r="I24" s="116"/>
      <c r="J24" s="116"/>
    </row>
    <row r="25" spans="1:10">
      <c r="C25" s="116"/>
      <c r="D25" s="116"/>
      <c r="E25" s="116"/>
      <c r="F25" s="116"/>
      <c r="G25" s="116"/>
      <c r="H25" s="116"/>
      <c r="I25" s="116"/>
      <c r="J25" s="116"/>
    </row>
    <row r="26" spans="1:10">
      <c r="C26" s="116"/>
      <c r="D26" s="116"/>
      <c r="E26" s="116"/>
      <c r="F26" s="116"/>
      <c r="G26" s="116"/>
      <c r="H26" s="116"/>
      <c r="I26" s="116"/>
      <c r="J26" s="116"/>
    </row>
    <row r="27" spans="1:10">
      <c r="C27" s="116"/>
      <c r="D27" s="116"/>
      <c r="E27" s="116"/>
      <c r="F27" s="116"/>
      <c r="G27" s="116"/>
      <c r="H27" s="116"/>
      <c r="I27" s="116"/>
      <c r="J27" s="116"/>
    </row>
    <row r="28" spans="1:10">
      <c r="C28" s="116"/>
      <c r="D28" s="116"/>
      <c r="E28" s="116"/>
      <c r="F28" s="116"/>
      <c r="G28" s="116"/>
      <c r="H28" s="116"/>
      <c r="I28" s="116"/>
      <c r="J28" s="116"/>
    </row>
    <row r="29" spans="1:10">
      <c r="C29" s="116"/>
      <c r="D29" s="116"/>
      <c r="E29" s="116"/>
      <c r="F29" s="116"/>
      <c r="G29" s="116"/>
      <c r="H29" s="116"/>
      <c r="I29" s="116"/>
      <c r="J29" s="116"/>
    </row>
    <row r="30" spans="1:10">
      <c r="C30" s="116"/>
      <c r="D30" s="116"/>
      <c r="E30" s="116"/>
      <c r="F30" s="116"/>
      <c r="G30" s="116"/>
      <c r="H30" s="116"/>
      <c r="I30" s="116"/>
      <c r="J30" s="116"/>
    </row>
    <row r="31" spans="1:10">
      <c r="C31" s="116"/>
      <c r="D31" s="116"/>
      <c r="E31" s="116"/>
      <c r="F31" s="116"/>
      <c r="G31" s="116"/>
      <c r="H31" s="116"/>
      <c r="I31" s="116"/>
      <c r="J31" s="116"/>
    </row>
    <row r="32" spans="1:10">
      <c r="C32" s="116"/>
      <c r="D32" s="116"/>
      <c r="E32" s="116"/>
      <c r="F32" s="116"/>
      <c r="G32" s="116"/>
      <c r="H32" s="116"/>
      <c r="I32" s="116"/>
      <c r="J32" s="116"/>
    </row>
  </sheetData>
  <sheetProtection password="BEF9" sheet="1" objects="1" scenarios="1" selectLockedCells="1" selectUnlockedCells="1"/>
  <mergeCells count="13">
    <mergeCell ref="A21:B21"/>
    <mergeCell ref="C21:J32"/>
    <mergeCell ref="C1:D1"/>
    <mergeCell ref="G1:J1"/>
    <mergeCell ref="A3:J3"/>
    <mergeCell ref="A5:D5"/>
    <mergeCell ref="C7:D7"/>
    <mergeCell ref="C9:D9"/>
    <mergeCell ref="C11:D11"/>
    <mergeCell ref="C13:D13"/>
    <mergeCell ref="C15:D15"/>
    <mergeCell ref="C17:D17"/>
    <mergeCell ref="C19:D19"/>
  </mergeCells>
  <printOptions horizontalCentered="1"/>
  <pageMargins left="0.7" right="0.7" top="0.75" bottom="0.75" header="0.3" footer="0.3"/>
  <pageSetup scale="93" orientation="portrait" copies="0" r:id="rId1"/>
</worksheet>
</file>

<file path=xl/worksheets/sheet10.xml><?xml version="1.0" encoding="utf-8"?>
<worksheet xmlns="http://schemas.openxmlformats.org/spreadsheetml/2006/main" xmlns:r="http://schemas.openxmlformats.org/officeDocument/2006/relationships">
  <sheetPr>
    <pageSetUpPr fitToPage="1"/>
  </sheetPr>
  <dimension ref="A1:M42"/>
  <sheetViews>
    <sheetView showGridLines="0" showRuler="0" view="pageLayout" zoomScaleNormal="100" workbookViewId="0"/>
  </sheetViews>
  <sheetFormatPr defaultColWidth="5.5703125" defaultRowHeight="15.75"/>
  <cols>
    <col min="1" max="1" width="13.85546875" style="18" customWidth="1"/>
    <col min="2" max="2" width="1" style="18" customWidth="1"/>
    <col min="3" max="3" width="39" style="18" customWidth="1"/>
    <col min="4" max="4" width="1.140625" style="18" customWidth="1"/>
    <col min="5" max="5" width="10.5703125" style="21" customWidth="1"/>
    <col min="6" max="6" width="1.140625" style="21" customWidth="1"/>
    <col min="7" max="7" width="15.28515625" style="21" customWidth="1"/>
    <col min="8" max="8" width="1" style="21" customWidth="1"/>
    <col min="9" max="9" width="7.140625" style="21" bestFit="1" customWidth="1"/>
    <col min="10" max="10" width="1.140625" style="21" customWidth="1"/>
    <col min="11" max="11" width="5" style="21" bestFit="1" customWidth="1"/>
    <col min="12" max="12" width="1.140625" style="21" customWidth="1"/>
    <col min="13" max="13" width="6.7109375" style="21" bestFit="1" customWidth="1"/>
    <col min="14" max="16384" width="5.5703125" style="15"/>
  </cols>
  <sheetData>
    <row r="1" spans="1:13">
      <c r="A1" s="35" t="s">
        <v>0</v>
      </c>
      <c r="B1" s="37"/>
      <c r="C1" s="135" t="s">
        <v>39</v>
      </c>
      <c r="D1" s="135"/>
      <c r="E1" s="135"/>
      <c r="F1" s="39"/>
      <c r="G1" s="35" t="s">
        <v>8</v>
      </c>
      <c r="H1" s="40"/>
      <c r="I1" s="135" t="s">
        <v>40</v>
      </c>
      <c r="J1" s="135"/>
      <c r="K1" s="135"/>
      <c r="L1" s="135"/>
      <c r="M1" s="136"/>
    </row>
    <row r="2" spans="1:13">
      <c r="A2" s="35" t="s">
        <v>144</v>
      </c>
      <c r="B2" s="38"/>
      <c r="C2" s="143" t="s">
        <v>239</v>
      </c>
      <c r="D2" s="144"/>
      <c r="E2" s="144"/>
      <c r="F2" s="44"/>
      <c r="G2" s="35" t="s">
        <v>151</v>
      </c>
      <c r="H2" s="40"/>
      <c r="I2" s="135"/>
      <c r="J2" s="135"/>
      <c r="K2" s="135"/>
      <c r="L2" s="135"/>
      <c r="M2" s="136"/>
    </row>
    <row r="3" spans="1:13" ht="31.5">
      <c r="A3" s="36" t="s">
        <v>153</v>
      </c>
      <c r="B3" s="37"/>
      <c r="C3" s="135" t="s">
        <v>237</v>
      </c>
      <c r="D3" s="135"/>
      <c r="E3" s="135"/>
      <c r="F3" s="135"/>
      <c r="G3" s="135"/>
      <c r="H3" s="135"/>
      <c r="I3" s="135"/>
      <c r="J3" s="135"/>
      <c r="K3" s="135"/>
      <c r="L3" s="135"/>
      <c r="M3" s="136"/>
    </row>
    <row r="4" spans="1:13">
      <c r="A4" s="126" t="s">
        <v>145</v>
      </c>
      <c r="B4" s="128"/>
      <c r="C4" s="130" t="s">
        <v>167</v>
      </c>
      <c r="D4" s="130"/>
      <c r="E4" s="130" t="s">
        <v>168</v>
      </c>
      <c r="F4" s="137"/>
      <c r="G4" s="35" t="s">
        <v>150</v>
      </c>
      <c r="H4" s="40"/>
      <c r="I4" s="135" t="s">
        <v>152</v>
      </c>
      <c r="J4" s="135"/>
      <c r="K4" s="135"/>
      <c r="L4" s="135"/>
      <c r="M4" s="136"/>
    </row>
    <row r="5" spans="1:13">
      <c r="A5" s="127"/>
      <c r="B5" s="129"/>
      <c r="C5" s="131"/>
      <c r="D5" s="131"/>
      <c r="E5" s="131"/>
      <c r="F5" s="138"/>
      <c r="G5" s="35" t="s">
        <v>169</v>
      </c>
      <c r="H5" s="40"/>
      <c r="I5" s="135">
        <v>30</v>
      </c>
      <c r="J5" s="135"/>
      <c r="K5" s="135"/>
      <c r="L5" s="135"/>
      <c r="M5" s="136"/>
    </row>
    <row r="6" spans="1:13" ht="31.5">
      <c r="A6" s="36" t="s">
        <v>154</v>
      </c>
      <c r="B6" s="37"/>
      <c r="C6" s="135"/>
      <c r="D6" s="135"/>
      <c r="E6" s="135"/>
      <c r="F6" s="39"/>
      <c r="G6" s="35" t="s">
        <v>155</v>
      </c>
      <c r="H6" s="40"/>
      <c r="I6" s="135"/>
      <c r="J6" s="135"/>
      <c r="K6" s="135"/>
      <c r="L6" s="135"/>
      <c r="M6" s="136"/>
    </row>
    <row r="7" spans="1:13" ht="31.5">
      <c r="A7" s="36" t="s">
        <v>156</v>
      </c>
      <c r="B7" s="37"/>
      <c r="C7" s="135" t="s">
        <v>238</v>
      </c>
      <c r="D7" s="135"/>
      <c r="E7" s="135"/>
      <c r="F7" s="135"/>
      <c r="G7" s="135"/>
      <c r="H7" s="135"/>
      <c r="I7" s="135"/>
      <c r="J7" s="135"/>
      <c r="K7" s="135"/>
      <c r="L7" s="135"/>
      <c r="M7" s="136"/>
    </row>
    <row r="8" spans="1:13" ht="31.5">
      <c r="A8" s="36" t="s">
        <v>157</v>
      </c>
      <c r="B8" s="37"/>
      <c r="C8" s="135"/>
      <c r="D8" s="135"/>
      <c r="E8" s="135"/>
      <c r="F8" s="39"/>
      <c r="G8" s="35" t="s">
        <v>155</v>
      </c>
      <c r="H8" s="40"/>
      <c r="I8" s="135"/>
      <c r="J8" s="135"/>
      <c r="K8" s="135"/>
      <c r="L8" s="135"/>
      <c r="M8" s="136"/>
    </row>
    <row r="9" spans="1:13" ht="31.5">
      <c r="A9" s="36" t="s">
        <v>158</v>
      </c>
      <c r="B9" s="37"/>
      <c r="C9" s="135"/>
      <c r="D9" s="135"/>
      <c r="E9" s="135"/>
      <c r="F9" s="39"/>
      <c r="G9" s="35" t="s">
        <v>155</v>
      </c>
      <c r="H9" s="40"/>
      <c r="I9" s="135"/>
      <c r="J9" s="135"/>
      <c r="K9" s="135"/>
      <c r="L9" s="135"/>
      <c r="M9" s="136"/>
    </row>
    <row r="10" spans="1:13">
      <c r="A10" s="17"/>
      <c r="C10" s="19"/>
      <c r="D10" s="19"/>
      <c r="E10" s="19"/>
      <c r="F10" s="20"/>
      <c r="G10" s="17"/>
      <c r="I10" s="19"/>
      <c r="J10" s="19"/>
      <c r="K10" s="19"/>
      <c r="L10" s="19"/>
      <c r="M10" s="19"/>
    </row>
    <row r="11" spans="1:13" ht="48" thickBot="1">
      <c r="A11" s="41" t="s">
        <v>9</v>
      </c>
      <c r="B11" s="22"/>
      <c r="C11" s="41" t="s">
        <v>10</v>
      </c>
      <c r="D11" s="22"/>
      <c r="E11" s="42" t="s">
        <v>230</v>
      </c>
      <c r="F11" s="23"/>
      <c r="G11" s="42" t="s">
        <v>159</v>
      </c>
      <c r="H11" s="24"/>
      <c r="I11" s="42" t="s">
        <v>18</v>
      </c>
      <c r="J11" s="24"/>
      <c r="K11" s="42" t="s">
        <v>19</v>
      </c>
      <c r="M11" s="43" t="s">
        <v>12</v>
      </c>
    </row>
    <row r="12" spans="1:13" ht="16.5" thickBot="1"/>
    <row r="13" spans="1:13" ht="16.5" thickBot="1">
      <c r="A13" s="25"/>
      <c r="B13" s="26"/>
      <c r="C13" s="34" t="s">
        <v>166</v>
      </c>
      <c r="D13" s="34"/>
      <c r="E13" s="34"/>
      <c r="F13" s="34"/>
      <c r="G13" s="34"/>
      <c r="H13" s="27"/>
      <c r="I13" s="28">
        <f>SUM(I14:I24)</f>
        <v>12</v>
      </c>
      <c r="J13" s="27"/>
      <c r="K13" s="28">
        <f>SUM(K14:K24)</f>
        <v>16</v>
      </c>
      <c r="L13" s="27"/>
      <c r="M13" s="29"/>
    </row>
    <row r="14" spans="1:13">
      <c r="A14" s="33" t="s">
        <v>216</v>
      </c>
      <c r="B14" s="19"/>
      <c r="C14" s="33" t="s">
        <v>219</v>
      </c>
      <c r="D14" s="19"/>
      <c r="E14" s="31" t="s">
        <v>231</v>
      </c>
      <c r="F14" s="20"/>
      <c r="G14" s="31" t="s">
        <v>227</v>
      </c>
      <c r="H14" s="20"/>
      <c r="I14" s="31">
        <v>4</v>
      </c>
      <c r="J14" s="20"/>
      <c r="K14" s="31"/>
      <c r="L14" s="20"/>
      <c r="M14" s="31" t="s">
        <v>36</v>
      </c>
    </row>
    <row r="15" spans="1:13">
      <c r="A15" s="30" t="s">
        <v>218</v>
      </c>
      <c r="B15" s="19"/>
      <c r="C15" s="30" t="s">
        <v>30</v>
      </c>
      <c r="D15" s="19"/>
      <c r="E15" s="31" t="s">
        <v>231</v>
      </c>
      <c r="F15" s="20"/>
      <c r="G15" s="32" t="s">
        <v>217</v>
      </c>
      <c r="H15" s="20"/>
      <c r="I15" s="31">
        <v>5</v>
      </c>
      <c r="J15" s="20"/>
      <c r="K15" s="31"/>
      <c r="L15" s="20"/>
      <c r="M15" s="31" t="s">
        <v>235</v>
      </c>
    </row>
    <row r="16" spans="1:13">
      <c r="A16" s="30" t="s">
        <v>80</v>
      </c>
      <c r="B16" s="19"/>
      <c r="C16" s="30" t="s">
        <v>221</v>
      </c>
      <c r="D16" s="19"/>
      <c r="E16" s="31" t="s">
        <v>232</v>
      </c>
      <c r="F16" s="20"/>
      <c r="G16" s="32" t="s">
        <v>222</v>
      </c>
      <c r="H16" s="20"/>
      <c r="I16" s="31"/>
      <c r="J16" s="20"/>
      <c r="K16" s="31">
        <v>4</v>
      </c>
      <c r="L16" s="20"/>
      <c r="M16" s="31"/>
    </row>
    <row r="17" spans="1:13">
      <c r="A17" s="30" t="s">
        <v>82</v>
      </c>
      <c r="B17" s="19"/>
      <c r="C17" s="30" t="s">
        <v>223</v>
      </c>
      <c r="D17" s="19"/>
      <c r="E17" s="31" t="s">
        <v>232</v>
      </c>
      <c r="F17" s="20"/>
      <c r="G17" s="32" t="s">
        <v>220</v>
      </c>
      <c r="H17" s="20"/>
      <c r="I17" s="31"/>
      <c r="J17" s="20"/>
      <c r="K17" s="31">
        <v>4</v>
      </c>
      <c r="L17" s="20"/>
      <c r="M17" s="31" t="s">
        <v>235</v>
      </c>
    </row>
    <row r="18" spans="1:13">
      <c r="A18" s="30" t="s">
        <v>81</v>
      </c>
      <c r="B18" s="19"/>
      <c r="C18" s="30" t="s">
        <v>224</v>
      </c>
      <c r="D18" s="19"/>
      <c r="E18" s="31" t="s">
        <v>232</v>
      </c>
      <c r="F18" s="20"/>
      <c r="G18" s="32" t="s">
        <v>222</v>
      </c>
      <c r="H18" s="20"/>
      <c r="I18" s="31"/>
      <c r="J18" s="20"/>
      <c r="K18" s="31">
        <v>4</v>
      </c>
      <c r="L18" s="20"/>
      <c r="M18" s="31"/>
    </row>
    <row r="19" spans="1:13">
      <c r="A19" s="30" t="s">
        <v>234</v>
      </c>
      <c r="B19" s="19"/>
      <c r="C19" s="30" t="s">
        <v>233</v>
      </c>
      <c r="D19" s="19"/>
      <c r="E19" s="31" t="s">
        <v>232</v>
      </c>
      <c r="F19" s="20"/>
      <c r="G19" s="31" t="s">
        <v>220</v>
      </c>
      <c r="H19" s="20"/>
      <c r="I19" s="31">
        <v>3</v>
      </c>
      <c r="J19" s="20"/>
      <c r="K19" s="31"/>
      <c r="L19" s="20"/>
      <c r="M19" s="31" t="s">
        <v>36</v>
      </c>
    </row>
    <row r="20" spans="1:13">
      <c r="A20" s="30" t="s">
        <v>53</v>
      </c>
      <c r="B20" s="19"/>
      <c r="C20" s="30" t="s">
        <v>137</v>
      </c>
      <c r="D20" s="19"/>
      <c r="E20" s="31" t="s">
        <v>232</v>
      </c>
      <c r="F20" s="20"/>
      <c r="G20" s="31" t="s">
        <v>220</v>
      </c>
      <c r="H20" s="20"/>
      <c r="I20" s="31"/>
      <c r="J20" s="20"/>
      <c r="K20" s="31">
        <v>4</v>
      </c>
      <c r="L20" s="20"/>
      <c r="M20" s="31" t="s">
        <v>236</v>
      </c>
    </row>
    <row r="21" spans="1:13">
      <c r="A21" s="30"/>
      <c r="B21" s="19"/>
      <c r="C21" s="30"/>
      <c r="D21" s="19"/>
      <c r="E21" s="31"/>
      <c r="F21" s="20"/>
      <c r="G21" s="31"/>
      <c r="H21" s="20"/>
      <c r="I21" s="31"/>
      <c r="J21" s="20"/>
      <c r="K21" s="31"/>
      <c r="L21" s="20"/>
      <c r="M21" s="31"/>
    </row>
    <row r="22" spans="1:13">
      <c r="A22" s="30"/>
      <c r="B22" s="19"/>
      <c r="C22" s="30"/>
      <c r="D22" s="19"/>
      <c r="E22" s="31"/>
      <c r="F22" s="20"/>
      <c r="G22" s="31"/>
      <c r="H22" s="20"/>
      <c r="I22" s="31"/>
      <c r="J22" s="20"/>
      <c r="K22" s="31"/>
      <c r="L22" s="20"/>
      <c r="M22" s="31"/>
    </row>
    <row r="23" spans="1:13">
      <c r="A23" s="30"/>
      <c r="B23" s="19"/>
      <c r="C23" s="30"/>
      <c r="D23" s="19"/>
      <c r="E23" s="31"/>
      <c r="F23" s="20"/>
      <c r="G23" s="31"/>
      <c r="H23" s="20"/>
      <c r="I23" s="31"/>
      <c r="J23" s="20"/>
      <c r="K23" s="31"/>
      <c r="L23" s="20"/>
      <c r="M23" s="31"/>
    </row>
    <row r="24" spans="1:13" ht="16.5" thickBot="1">
      <c r="A24" s="33"/>
      <c r="B24" s="19"/>
      <c r="C24" s="33"/>
      <c r="D24" s="19"/>
      <c r="E24" s="31"/>
      <c r="F24" s="20"/>
      <c r="G24" s="31"/>
      <c r="H24" s="20"/>
      <c r="I24" s="31"/>
      <c r="J24" s="20"/>
      <c r="K24" s="31"/>
      <c r="L24" s="20"/>
      <c r="M24" s="31"/>
    </row>
    <row r="25" spans="1:13" ht="16.5" thickBot="1">
      <c r="A25" s="25"/>
      <c r="B25" s="26"/>
      <c r="C25" s="34" t="s">
        <v>160</v>
      </c>
      <c r="D25" s="34"/>
      <c r="E25" s="34"/>
      <c r="F25" s="34"/>
      <c r="G25" s="34"/>
      <c r="H25" s="27"/>
      <c r="I25" s="28">
        <f>SUM(I26:I34)</f>
        <v>12</v>
      </c>
      <c r="J25" s="28"/>
      <c r="K25" s="28">
        <f>SUM(K26:K34)</f>
        <v>0</v>
      </c>
      <c r="L25" s="27"/>
      <c r="M25" s="29"/>
    </row>
    <row r="26" spans="1:13">
      <c r="A26" s="30" t="s">
        <v>130</v>
      </c>
      <c r="B26" s="19"/>
      <c r="C26" s="30" t="s">
        <v>131</v>
      </c>
      <c r="D26" s="19"/>
      <c r="E26" s="31" t="s">
        <v>231</v>
      </c>
      <c r="F26" s="20"/>
      <c r="G26" s="31" t="s">
        <v>228</v>
      </c>
      <c r="H26" s="20"/>
      <c r="I26" s="31">
        <v>4</v>
      </c>
      <c r="J26" s="20"/>
      <c r="K26" s="31"/>
      <c r="L26" s="20"/>
      <c r="M26" s="31" t="s">
        <v>235</v>
      </c>
    </row>
    <row r="27" spans="1:13">
      <c r="A27" s="30" t="s">
        <v>225</v>
      </c>
      <c r="B27" s="19"/>
      <c r="C27" s="30" t="s">
        <v>131</v>
      </c>
      <c r="D27" s="19"/>
      <c r="E27" s="31" t="s">
        <v>231</v>
      </c>
      <c r="F27" s="20"/>
      <c r="G27" s="31" t="s">
        <v>229</v>
      </c>
      <c r="H27" s="20"/>
      <c r="I27" s="31">
        <v>4</v>
      </c>
      <c r="J27" s="20"/>
      <c r="K27" s="31"/>
      <c r="L27" s="20"/>
      <c r="M27" s="31" t="s">
        <v>236</v>
      </c>
    </row>
    <row r="28" spans="1:13">
      <c r="A28" s="30" t="s">
        <v>226</v>
      </c>
      <c r="B28" s="19"/>
      <c r="C28" s="30" t="s">
        <v>131</v>
      </c>
      <c r="D28" s="19"/>
      <c r="E28" s="31" t="s">
        <v>231</v>
      </c>
      <c r="F28" s="20"/>
      <c r="G28" s="32" t="s">
        <v>227</v>
      </c>
      <c r="H28" s="20"/>
      <c r="I28" s="31">
        <v>4</v>
      </c>
      <c r="J28" s="20"/>
      <c r="K28" s="31"/>
      <c r="L28" s="20"/>
      <c r="M28" s="31" t="s">
        <v>235</v>
      </c>
    </row>
    <row r="29" spans="1:13">
      <c r="A29" s="30"/>
      <c r="B29" s="19"/>
      <c r="C29" s="30"/>
      <c r="D29" s="19"/>
      <c r="E29" s="31"/>
      <c r="F29" s="20"/>
      <c r="G29" s="32"/>
      <c r="H29" s="20"/>
      <c r="I29" s="31"/>
      <c r="J29" s="20"/>
      <c r="K29" s="31"/>
      <c r="L29" s="20"/>
      <c r="M29" s="31"/>
    </row>
    <row r="30" spans="1:13">
      <c r="A30" s="30"/>
      <c r="B30" s="19"/>
      <c r="C30" s="30"/>
      <c r="D30" s="19"/>
      <c r="E30" s="31"/>
      <c r="F30" s="20"/>
      <c r="G30" s="31"/>
      <c r="H30" s="20"/>
      <c r="I30" s="31"/>
      <c r="J30" s="20"/>
      <c r="K30" s="31"/>
      <c r="L30" s="20"/>
      <c r="M30" s="31"/>
    </row>
    <row r="31" spans="1:13">
      <c r="A31" s="30"/>
      <c r="B31" s="19"/>
      <c r="C31" s="30"/>
      <c r="D31" s="19"/>
      <c r="E31" s="31"/>
      <c r="F31" s="20"/>
      <c r="G31" s="31"/>
      <c r="H31" s="20"/>
      <c r="I31" s="31"/>
      <c r="J31" s="20"/>
      <c r="K31" s="31"/>
      <c r="L31" s="20"/>
      <c r="M31" s="31"/>
    </row>
    <row r="32" spans="1:13">
      <c r="A32" s="30"/>
      <c r="B32" s="19"/>
      <c r="C32" s="30"/>
      <c r="D32" s="19"/>
      <c r="E32" s="31"/>
      <c r="F32" s="20"/>
      <c r="G32" s="31"/>
      <c r="H32" s="20"/>
      <c r="I32" s="31"/>
      <c r="J32" s="20"/>
      <c r="K32" s="31"/>
      <c r="L32" s="20"/>
      <c r="M32" s="31"/>
    </row>
    <row r="33" spans="1:13">
      <c r="A33" s="30"/>
      <c r="B33" s="19"/>
      <c r="C33" s="30"/>
      <c r="D33" s="19"/>
      <c r="E33" s="31"/>
      <c r="F33" s="20"/>
      <c r="G33" s="31"/>
      <c r="H33" s="20"/>
      <c r="I33" s="31"/>
      <c r="J33" s="20"/>
      <c r="K33" s="31"/>
      <c r="L33" s="20"/>
      <c r="M33" s="31"/>
    </row>
    <row r="34" spans="1:13" ht="16.5" thickBot="1">
      <c r="A34" s="30"/>
      <c r="B34" s="19"/>
      <c r="C34" s="30"/>
      <c r="D34" s="19"/>
      <c r="E34" s="31"/>
      <c r="F34" s="20"/>
      <c r="G34" s="31"/>
      <c r="H34" s="20"/>
      <c r="I34" s="31"/>
      <c r="J34" s="20"/>
      <c r="K34" s="31"/>
      <c r="L34" s="20"/>
      <c r="M34" s="31"/>
    </row>
    <row r="35" spans="1:13" ht="16.5" thickBot="1">
      <c r="A35" s="25"/>
      <c r="B35" s="26"/>
      <c r="C35" s="125" t="s">
        <v>161</v>
      </c>
      <c r="D35" s="125"/>
      <c r="E35" s="125"/>
      <c r="F35" s="125"/>
      <c r="G35" s="125"/>
      <c r="H35" s="27"/>
      <c r="I35" s="28">
        <f>SUM(I36:I39)</f>
        <v>0</v>
      </c>
      <c r="J35" s="28"/>
      <c r="K35" s="28">
        <f>SUM(K36:K39)</f>
        <v>4</v>
      </c>
      <c r="L35" s="27"/>
      <c r="M35" s="29"/>
    </row>
    <row r="36" spans="1:13">
      <c r="A36" s="30" t="s">
        <v>162</v>
      </c>
      <c r="B36" s="19"/>
      <c r="C36" s="30" t="s">
        <v>163</v>
      </c>
      <c r="D36" s="19"/>
      <c r="E36" s="31" t="s">
        <v>232</v>
      </c>
      <c r="F36" s="20"/>
      <c r="G36" s="31" t="s">
        <v>222</v>
      </c>
      <c r="H36" s="20"/>
      <c r="I36" s="31"/>
      <c r="J36" s="20"/>
      <c r="K36" s="31">
        <v>4</v>
      </c>
      <c r="L36" s="20"/>
      <c r="M36" s="31"/>
    </row>
    <row r="37" spans="1:13">
      <c r="A37" s="30" t="s">
        <v>164</v>
      </c>
      <c r="B37" s="19"/>
      <c r="C37" s="30" t="s">
        <v>165</v>
      </c>
      <c r="D37" s="19"/>
      <c r="E37" s="31"/>
      <c r="F37" s="20"/>
      <c r="G37" s="31"/>
      <c r="H37" s="20"/>
      <c r="I37" s="31"/>
      <c r="J37" s="20"/>
      <c r="K37" s="31"/>
      <c r="L37" s="20"/>
      <c r="M37" s="31"/>
    </row>
    <row r="38" spans="1:13">
      <c r="A38" s="30"/>
      <c r="B38" s="19"/>
      <c r="C38" s="30"/>
      <c r="D38" s="19"/>
      <c r="E38" s="31"/>
      <c r="F38" s="20"/>
      <c r="G38" s="31"/>
      <c r="H38" s="20"/>
      <c r="I38" s="31"/>
      <c r="J38" s="20"/>
      <c r="K38" s="31"/>
      <c r="L38" s="20"/>
      <c r="M38" s="31"/>
    </row>
    <row r="39" spans="1:13" ht="16.5" thickBot="1"/>
    <row r="40" spans="1:13" ht="16.5" thickBot="1">
      <c r="A40" s="25"/>
      <c r="B40" s="26"/>
      <c r="C40" s="125" t="s">
        <v>186</v>
      </c>
      <c r="D40" s="125"/>
      <c r="E40" s="125"/>
      <c r="F40" s="125"/>
      <c r="G40" s="125"/>
      <c r="H40" s="27"/>
      <c r="I40" s="28">
        <f>SUM(I13,I25,I35)</f>
        <v>24</v>
      </c>
      <c r="J40" s="28"/>
      <c r="K40" s="28">
        <f>SUM(K13,K25,K35)</f>
        <v>20</v>
      </c>
      <c r="L40" s="27"/>
      <c r="M40" s="29"/>
    </row>
    <row r="41" spans="1:13" ht="16.5" thickBot="1"/>
    <row r="42" spans="1:13" ht="16.5" thickBot="1">
      <c r="A42" s="25"/>
      <c r="B42" s="26"/>
      <c r="C42" s="125" t="s">
        <v>187</v>
      </c>
      <c r="D42" s="125"/>
      <c r="E42" s="125"/>
      <c r="F42" s="125"/>
      <c r="G42" s="125"/>
      <c r="H42" s="27"/>
      <c r="I42" s="28"/>
      <c r="J42" s="28"/>
      <c r="K42" s="28">
        <f>(I40*(2/3))+(K40)</f>
        <v>36</v>
      </c>
      <c r="L42" s="27"/>
      <c r="M42" s="29"/>
    </row>
  </sheetData>
  <sheetProtection password="BEF9" sheet="1" objects="1" scenarios="1" selectLockedCells="1" selectUnlockedCells="1"/>
  <mergeCells count="23">
    <mergeCell ref="C42:G42"/>
    <mergeCell ref="C8:E8"/>
    <mergeCell ref="I8:M8"/>
    <mergeCell ref="C9:E9"/>
    <mergeCell ref="I9:M9"/>
    <mergeCell ref="C35:G35"/>
    <mergeCell ref="C40:G40"/>
    <mergeCell ref="C7:M7"/>
    <mergeCell ref="C1:E1"/>
    <mergeCell ref="I1:M1"/>
    <mergeCell ref="C2:E2"/>
    <mergeCell ref="I2:M2"/>
    <mergeCell ref="C3:M3"/>
    <mergeCell ref="F4:F5"/>
    <mergeCell ref="I4:M4"/>
    <mergeCell ref="I5:M5"/>
    <mergeCell ref="C6:E6"/>
    <mergeCell ref="I6:M6"/>
    <mergeCell ref="A4:A5"/>
    <mergeCell ref="B4:B5"/>
    <mergeCell ref="C4:C5"/>
    <mergeCell ref="D4:D5"/>
    <mergeCell ref="E4:E5"/>
  </mergeCells>
  <hyperlinks>
    <hyperlink ref="C2" r:id="rId1"/>
  </hyperlinks>
  <printOptions horizontalCentered="1"/>
  <pageMargins left="0.5" right="0.5" top="0.5" bottom="0.5" header="0.25" footer="0.25"/>
  <pageSetup scale="91" orientation="portrait" copies="0"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Overview</vt:lpstr>
      <vt:lpstr>Ph.D. Guidelines</vt:lpstr>
      <vt:lpstr>PhD Page 1</vt:lpstr>
      <vt:lpstr>PhD Page 2</vt:lpstr>
      <vt:lpstr>M.Ed. Guidelines</vt:lpstr>
      <vt:lpstr>MEd Page 1</vt:lpstr>
      <vt:lpstr>EDRE Courses</vt:lpstr>
      <vt:lpstr>Sample PhD 1</vt:lpstr>
      <vt:lpstr>Sample PhD 2</vt:lpstr>
      <vt:lpstr>Sample MEd</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brooksg</dc:creator>
  <cp:lastModifiedBy>brooksg</cp:lastModifiedBy>
  <cp:lastPrinted>2012-09-04T14:27:45Z</cp:lastPrinted>
  <dcterms:created xsi:type="dcterms:W3CDTF">2012-01-22T13:18:50Z</dcterms:created>
  <dcterms:modified xsi:type="dcterms:W3CDTF">2012-09-07T17:42:55Z</dcterms:modified>
</cp:coreProperties>
</file>