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14292" windowHeight="6612" activeTab="1"/>
  </bookViews>
  <sheets>
    <sheet name="Instructions" sheetId="2" r:id="rId1"/>
    <sheet name="SBHC FY14 Budget Revision Form" sheetId="5" r:id="rId2"/>
    <sheet name="Sample Budget Revision Form" sheetId="6" r:id="rId3"/>
  </sheets>
  <definedNames>
    <definedName name="_xlnm.Print_Area" localSheetId="0">Instructions!$B:$K</definedName>
    <definedName name="_xlnm.Print_Area" localSheetId="2">'Sample Budget Revision Form'!$A$1:$J$66</definedName>
    <definedName name="_xlnm.Print_Area" localSheetId="1">'SBHC FY14 Budget Revision Form'!$A$1:$J$90</definedName>
    <definedName name="_xlnm.Print_Titles" localSheetId="2">'Sample Budget Revision Form'!$1:$10</definedName>
    <definedName name="_xlnm.Print_Titles" localSheetId="1">'SBHC FY14 Budget Revision Form'!$1:$10</definedName>
  </definedNames>
  <calcPr calcId="125725"/>
</workbook>
</file>

<file path=xl/calcChain.xml><?xml version="1.0" encoding="utf-8"?>
<calcChain xmlns="http://schemas.openxmlformats.org/spreadsheetml/2006/main">
  <c r="J56" i="5"/>
  <c r="J57"/>
  <c r="J58"/>
  <c r="J59"/>
  <c r="J46"/>
  <c r="H69"/>
  <c r="I69"/>
  <c r="J47"/>
  <c r="J48"/>
  <c r="J49"/>
  <c r="J50"/>
  <c r="J51"/>
  <c r="J52"/>
  <c r="J53"/>
  <c r="J54"/>
  <c r="J55"/>
  <c r="J60"/>
  <c r="J61"/>
  <c r="J62"/>
  <c r="J63"/>
  <c r="J64"/>
  <c r="J65"/>
  <c r="J52" i="6"/>
  <c r="J49" l="1"/>
  <c r="J75" i="5" l="1"/>
  <c r="J74"/>
  <c r="J73"/>
  <c r="J68"/>
  <c r="J67"/>
  <c r="J66"/>
  <c r="J42"/>
  <c r="J41"/>
  <c r="J40"/>
  <c r="J39"/>
  <c r="J38"/>
  <c r="J37"/>
  <c r="J33"/>
  <c r="J32"/>
  <c r="J31"/>
  <c r="J30"/>
  <c r="J29"/>
  <c r="J28"/>
  <c r="J24"/>
  <c r="J23"/>
  <c r="J22"/>
  <c r="J21"/>
  <c r="J20"/>
  <c r="J19"/>
  <c r="J18"/>
  <c r="J17"/>
  <c r="J16"/>
  <c r="J15"/>
  <c r="I43"/>
  <c r="J43" s="1"/>
  <c r="H43"/>
  <c r="H76"/>
  <c r="I76"/>
  <c r="J18" i="6"/>
  <c r="J16"/>
  <c r="J15"/>
  <c r="J28"/>
  <c r="J27"/>
  <c r="J26"/>
  <c r="J25"/>
  <c r="J24"/>
  <c r="J23"/>
  <c r="J35"/>
  <c r="J34"/>
  <c r="J33"/>
  <c r="J41"/>
  <c r="J42"/>
  <c r="J43"/>
  <c r="J40"/>
  <c r="J76" i="5" l="1"/>
  <c r="I44" i="6"/>
  <c r="I30"/>
  <c r="I17"/>
  <c r="J17" s="1"/>
  <c r="H44"/>
  <c r="H50" s="1"/>
  <c r="I37"/>
  <c r="H30"/>
  <c r="H20"/>
  <c r="J44" l="1"/>
  <c r="I50"/>
  <c r="J50" s="1"/>
  <c r="I48"/>
  <c r="J48" s="1"/>
  <c r="J30"/>
  <c r="H37"/>
  <c r="H48" s="1"/>
  <c r="H51" s="1"/>
  <c r="I20"/>
  <c r="J20" s="1"/>
  <c r="J37" l="1"/>
  <c r="J45" s="1"/>
  <c r="H45"/>
  <c r="H52" s="1"/>
  <c r="I51"/>
  <c r="I45"/>
  <c r="I52" s="1"/>
  <c r="J51" l="1"/>
  <c r="J69" i="5"/>
  <c r="I34"/>
  <c r="J34" s="1"/>
  <c r="H34"/>
  <c r="I25"/>
  <c r="J25" s="1"/>
  <c r="H25"/>
  <c r="H70" s="1"/>
  <c r="H77" s="1"/>
  <c r="J53" i="6" l="1"/>
  <c r="J70" i="5"/>
  <c r="J77" s="1"/>
  <c r="I70"/>
  <c r="I77" s="1"/>
  <c r="J78" l="1"/>
</calcChain>
</file>

<file path=xl/comments1.xml><?xml version="1.0" encoding="utf-8"?>
<comments xmlns="http://schemas.openxmlformats.org/spreadsheetml/2006/main">
  <authors>
    <author>dshoots</author>
  </authors>
  <commentList>
    <comment ref="E9" authorId="0">
      <text>
        <r>
          <rPr>
            <b/>
            <sz val="9"/>
            <color indexed="81"/>
            <rFont val="Tahoma"/>
            <family val="2"/>
          </rPr>
          <t>dshoots:</t>
        </r>
        <r>
          <rPr>
            <sz val="9"/>
            <color indexed="81"/>
            <rFont val="Tahoma"/>
            <family val="2"/>
          </rPr>
          <t xml:space="preserve">
Effective date of a budget revision must be a date after the signature date of the revision. No purchases under the revised budget can be made prior to receiving CDPHE approval. </t>
        </r>
      </text>
    </comment>
  </commentList>
</comments>
</file>

<file path=xl/comments2.xml><?xml version="1.0" encoding="utf-8"?>
<comments xmlns="http://schemas.openxmlformats.org/spreadsheetml/2006/main">
  <authors>
    <author>dshoots</author>
    <author>nversche</author>
  </authors>
  <commentList>
    <comment ref="I2" authorId="0">
      <text>
        <r>
          <rPr>
            <b/>
            <sz val="9"/>
            <color indexed="81"/>
            <rFont val="Tahoma"/>
            <family val="2"/>
          </rPr>
          <t>dshoots:</t>
        </r>
        <r>
          <rPr>
            <sz val="9"/>
            <color indexed="81"/>
            <rFont val="Tahoma"/>
            <family val="2"/>
          </rPr>
          <t xml:space="preserve">
Budget Revisions are required in most cases for cumalitative changes of 25% more between approved budget categories or$250,000, whichever is less. Budget revisions are also required to inccur expenses against a budget category not previously approved. To open a new budget category line, one must seek approval prior to inccuring expenditures against the new line. </t>
        </r>
      </text>
    </comment>
    <comment ref="E9" authorId="0">
      <text>
        <r>
          <rPr>
            <b/>
            <sz val="9"/>
            <color indexed="81"/>
            <rFont val="Tahoma"/>
            <family val="2"/>
          </rPr>
          <t>dshoots:</t>
        </r>
        <r>
          <rPr>
            <sz val="9"/>
            <color indexed="81"/>
            <rFont val="Tahoma"/>
            <family val="2"/>
          </rPr>
          <t xml:space="preserve">
Effective date of a budget revision must be a date after the signature date of the revision. No purchases under the revised budget can be made prior to receiving CDPHE approval. </t>
        </r>
      </text>
    </comment>
    <comment ref="B48" authorId="1">
      <text>
        <r>
          <rPr>
            <sz val="9"/>
            <color indexed="81"/>
            <rFont val="Tahoma"/>
            <family val="2"/>
          </rPr>
          <t>Description of the negotiated rate agreement is not necessary. Submit the agreement if rate is over 10%.</t>
        </r>
      </text>
    </comment>
  </commentList>
</comments>
</file>

<file path=xl/sharedStrings.xml><?xml version="1.0" encoding="utf-8"?>
<sst xmlns="http://schemas.openxmlformats.org/spreadsheetml/2006/main" count="187" uniqueCount="107">
  <si>
    <t>Contractor Name</t>
  </si>
  <si>
    <t>Expenditure Categories</t>
  </si>
  <si>
    <t>Personal Services</t>
  </si>
  <si>
    <t>Total Personal Services
(including fringe benefits)</t>
  </si>
  <si>
    <t>Supplies &amp; Operating Expenses</t>
  </si>
  <si>
    <t>Travel</t>
  </si>
  <si>
    <t>Contractual (payments to third parties or entities)</t>
  </si>
  <si>
    <t>SUB-TOTAL BEFORE INDIRECT</t>
  </si>
  <si>
    <t>Indirect</t>
  </si>
  <si>
    <t>Total Indirect</t>
  </si>
  <si>
    <t>Item</t>
  </si>
  <si>
    <t>Project Name</t>
  </si>
  <si>
    <t>Program Contact Name, Title, Phone and Email</t>
  </si>
  <si>
    <t>Fiscal Contact Name, Title, Phone and Email</t>
  </si>
  <si>
    <t>Colorado Department of Health and Environment (CDPHE)</t>
  </si>
  <si>
    <r>
      <rPr>
        <b/>
        <sz val="11"/>
        <color theme="1"/>
        <rFont val="Calibri"/>
        <family val="2"/>
        <scheme val="minor"/>
      </rPr>
      <t xml:space="preserve">Contractor Name: </t>
    </r>
    <r>
      <rPr>
        <sz val="11"/>
        <color theme="1"/>
        <rFont val="Calibri"/>
        <family val="2"/>
        <scheme val="minor"/>
      </rPr>
      <t>Enter your agency name</t>
    </r>
  </si>
  <si>
    <t>Enter your agency's fiscal contact information here</t>
  </si>
  <si>
    <t>Total Supplies &amp; Operating Expenses</t>
  </si>
  <si>
    <t>Total Travel Expenses</t>
  </si>
  <si>
    <t>Total Contractual Expenses</t>
  </si>
  <si>
    <t>Contact Information</t>
  </si>
  <si>
    <t>ABC Health Center</t>
  </si>
  <si>
    <t>Jane Smith, Executive Director, 303-888-5555, jane.smith@abchealthctr.org</t>
  </si>
  <si>
    <t>7/1/13 - 6/30/14</t>
  </si>
  <si>
    <t>Caring for Seniors Project</t>
  </si>
  <si>
    <t>SAMPLE BUDGET</t>
  </si>
  <si>
    <t>Executive Director, Jane Smith</t>
  </si>
  <si>
    <t>Finance Director, John Williams</t>
  </si>
  <si>
    <t>Administrative Assistant, Willie Wonka (PT Hourly employee)</t>
  </si>
  <si>
    <t>Accountant, Ruth Simpson</t>
  </si>
  <si>
    <t>Postage</t>
  </si>
  <si>
    <t>Copying/Printing</t>
  </si>
  <si>
    <t>Telephone</t>
  </si>
  <si>
    <t>Internet</t>
  </si>
  <si>
    <t>Office supplies</t>
  </si>
  <si>
    <t>Public education visual aids</t>
  </si>
  <si>
    <t>Enter your agency's program contact information here</t>
  </si>
  <si>
    <r>
      <rPr>
        <b/>
        <sz val="11"/>
        <color theme="1"/>
        <rFont val="Calibri"/>
        <family val="2"/>
        <scheme val="minor"/>
      </rPr>
      <t xml:space="preserve">Project Name: </t>
    </r>
    <r>
      <rPr>
        <sz val="11"/>
        <color theme="1"/>
        <rFont val="Calibri"/>
        <family val="2"/>
        <scheme val="minor"/>
      </rPr>
      <t xml:space="preserve"> Enter the  project name</t>
    </r>
  </si>
  <si>
    <t>How to use the Budget Revision Form</t>
  </si>
  <si>
    <t xml:space="preserve">   </t>
  </si>
  <si>
    <t xml:space="preserve">Colorado Department of Public Health and Environment
PREVENTION SERVICES DIVISION- BUDGET REVISION FORM                                                                                                                                                                                                </t>
  </si>
  <si>
    <t>ORIGINAL BUDGET</t>
  </si>
  <si>
    <t>REVISED BUDGET</t>
  </si>
  <si>
    <t>VARIANCE</t>
  </si>
  <si>
    <t>Position Title/              Employee Name</t>
  </si>
  <si>
    <t>THE BUDGET REVISION HAS BEEN APPROVED:</t>
  </si>
  <si>
    <t>CDPHE USE ONLY:</t>
  </si>
  <si>
    <t>Justification for Revision</t>
  </si>
  <si>
    <t>TOTAL OF ALL EXPENDITURE CATEGORIES</t>
  </si>
  <si>
    <t>Contract/Encumbrance Number</t>
  </si>
  <si>
    <t>Contract Period</t>
  </si>
  <si>
    <t>Negotiated Indirect cost rate (Federal, state, or CDPHE)</t>
  </si>
  <si>
    <t>DATED:________________________</t>
  </si>
  <si>
    <t>Signature of PROGRAM MANAGER:_________________________________________________              DATED:____________________</t>
  </si>
  <si>
    <t>Signature of PROGRAM FISCAL OFFICER:___________________________________________              DATED:_____________________</t>
  </si>
  <si>
    <r>
      <rPr>
        <b/>
        <sz val="11"/>
        <color theme="1"/>
        <rFont val="Calibri"/>
        <family val="2"/>
        <scheme val="minor"/>
      </rPr>
      <t>Contract Period:</t>
    </r>
    <r>
      <rPr>
        <sz val="11"/>
        <color theme="1"/>
        <rFont val="Calibri"/>
        <family val="2"/>
        <scheme val="minor"/>
      </rPr>
      <t xml:space="preserve">  Enter contract period dates</t>
    </r>
  </si>
  <si>
    <r>
      <rPr>
        <b/>
        <sz val="11"/>
        <color theme="1"/>
        <rFont val="Calibri"/>
        <family val="2"/>
        <scheme val="minor"/>
      </rPr>
      <t>Contract/Encumbrance Number:</t>
    </r>
    <r>
      <rPr>
        <sz val="11"/>
        <color theme="1"/>
        <rFont val="Calibri"/>
        <family val="2"/>
        <scheme val="minor"/>
      </rPr>
      <t xml:space="preserve">  Enter contract/encumbrance number. </t>
    </r>
  </si>
  <si>
    <t>Complete the top portion of the form by providing your Agency Name, Contract Period, Contract/Encumbrance Number, contact information for the Program and Fiscal contacts, and Project Name.</t>
  </si>
  <si>
    <t>THE BUDGET REVISION HAS BEEN DENIED FOR THE FOLLOWING REASON(S):</t>
  </si>
  <si>
    <t>Signature of Authorizing Agency Representative:_________________________________________________________            TITLE:  ____________________________________</t>
  </si>
  <si>
    <t>Budget Revision Form Instructions:</t>
  </si>
  <si>
    <t>John Williams, Finance Director, 303-888-5556, john.williams@abchealthctr.org</t>
  </si>
  <si>
    <t>Savings for this staff member as administrative assistant was trained to prepare invoices - for six months of project</t>
  </si>
  <si>
    <t>Administrative and billing support ($15 x 20 hours/weeks for 40 weeks for 100% of time)</t>
  </si>
  <si>
    <t>PO FLA PPG1300045 (SAMPLE NUMBER)</t>
  </si>
  <si>
    <t>Reduction in expense of office supplies</t>
  </si>
  <si>
    <t xml:space="preserve">In-Kind donation from printing company </t>
  </si>
  <si>
    <t>Mileage</t>
  </si>
  <si>
    <t>Lodging</t>
  </si>
  <si>
    <t>Per Diem</t>
  </si>
  <si>
    <t>Consultant</t>
  </si>
  <si>
    <t>Reason for Budget Revision:</t>
  </si>
  <si>
    <t>For each line item decrease, explain the reason for savings in the "justification for revision" section.</t>
  </si>
  <si>
    <t>For each line item increase, explain and justify how it is still within the original program objectives and within the contract agreement.</t>
  </si>
  <si>
    <t>See sample budget revision form for an example of a budget revision.</t>
  </si>
  <si>
    <t>Provide the signature from authorizing agency representative at bottom of page.</t>
  </si>
  <si>
    <t>If the revision request received by CDPHE has been determined to be outside the scope of the agreement by either the program manager or fiscal officer, a revised scope of work and budget will need to be submitted to CDPHE to initiate an amendment. Your agency will be informed by CDPHE if this is needed.</t>
  </si>
  <si>
    <t>If the revisions are appropriate and justified, the CDPHE program manager and fiscal officer will approve with signatures at the bottom of the justification page and return to your agency.</t>
  </si>
  <si>
    <t>Submit the signed budget revision form to your assigned PSD program manager for review, preferably via e-mail.</t>
  </si>
  <si>
    <t xml:space="preserve">TOTAL VARIANCE SHOULD EQUAL ZERO </t>
  </si>
  <si>
    <t>Indirect (other)</t>
  </si>
  <si>
    <t>The consultant costs have increased due to additional requirements in project.</t>
  </si>
  <si>
    <t>TOTAL VARIANCE SHOULD EQUAL ZERO</t>
  </si>
  <si>
    <t>Budget changed more than 25%</t>
  </si>
  <si>
    <t>Will be providing additional oversight of project (.75 FTE) due to additional requirements for project for the last nine months</t>
  </si>
  <si>
    <t>Discount for accounting services</t>
  </si>
  <si>
    <t>Effective Date of Budget Revision</t>
  </si>
  <si>
    <t>Indirect (modified or additional base)</t>
  </si>
  <si>
    <t xml:space="preserve">Purpose: </t>
  </si>
  <si>
    <r>
      <t xml:space="preserve">Effective Date of Budget Revision: </t>
    </r>
    <r>
      <rPr>
        <sz val="11"/>
        <color theme="1"/>
        <rFont val="Calibri"/>
        <family val="2"/>
        <scheme val="minor"/>
      </rPr>
      <t xml:space="preserve">Effective date of a budget revision must be a date after the signature/approval date of the revision. No purchases under the revised budget can be made prior to receiving CDPHE approval. </t>
    </r>
  </si>
  <si>
    <t>Signature of CONTRACT MANAGER (WHEN APPLICABLE) :___________________________________________              DATED:_____________________</t>
  </si>
  <si>
    <t>26 % of Total Direct Costs</t>
  </si>
  <si>
    <t>2% of Subcontracts</t>
  </si>
  <si>
    <t>Less Equipment (meaning 0% can be charged on these line items)</t>
  </si>
  <si>
    <t xml:space="preserve">
Budget Revisions are required in most cases for CUMULATIVE changes in excess of 25% of the total budget for direct costs or $250,000, whichever is less, between approved budget categories. Budget revisions are also required to incur expenses against a budget category not previously approved. To open a new budget category line, one must seek approval PRIOR to incurring expenditures against the new line. In addition, when requesting a line be opened for Contracts or Personnel Services, additional approvals and review of your contract scope of work  will be required and could take longer for approval. Please plan accordingly. </t>
  </si>
  <si>
    <t>If any budget category in your original budget will increase or decrease by more than 25% of your direct costs or $250,000, whichever is less, a budget revision request is required.</t>
  </si>
  <si>
    <t>Francesca Isabelle, Fiscal Officer, (303) 691-4963  francesca.isabelle@state.co.us</t>
  </si>
  <si>
    <t>Legal Name of Organization, dba</t>
  </si>
  <si>
    <r>
      <rPr>
        <b/>
        <sz val="14"/>
        <color theme="1"/>
        <rFont val="Calibri"/>
        <family val="2"/>
        <scheme val="minor"/>
      </rPr>
      <t>Position Title</t>
    </r>
    <r>
      <rPr>
        <b/>
        <sz val="11"/>
        <color theme="1"/>
        <rFont val="Calibri"/>
        <family val="2"/>
        <scheme val="minor"/>
      </rPr>
      <t xml:space="preserve">             Employee Name</t>
    </r>
  </si>
  <si>
    <t>Budget Revision Requests shall be submitted at least 90 days prior to the end of the budget period; by April 2, 2014</t>
  </si>
  <si>
    <t>Budget Revision #:      Effective Date:</t>
  </si>
  <si>
    <t xml:space="preserve">     Copy and paste funded</t>
  </si>
  <si>
    <t>lines from approved budget here.  Include all CDPHE funded lines- even those that will not change.</t>
  </si>
  <si>
    <t>Be sure to complete</t>
  </si>
  <si>
    <t>August 1, 2013 - June 30, 2014</t>
  </si>
  <si>
    <r>
      <t xml:space="preserve"> </t>
    </r>
    <r>
      <rPr>
        <sz val="11"/>
        <color theme="1"/>
        <rFont val="Calibri"/>
        <family val="2"/>
        <scheme val="minor"/>
      </rPr>
      <t>Jo English, SBHC Program Coordinator, 303.692.2386 jo.english@state.co.us</t>
    </r>
  </si>
  <si>
    <t>School-Based Health Center Program</t>
  </si>
</sst>
</file>

<file path=xl/styles.xml><?xml version="1.0" encoding="utf-8"?>
<styleSheet xmlns="http://schemas.openxmlformats.org/spreadsheetml/2006/main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5" formatCode="&quot;$&quot;#,##0.0_);[Red]\(&quot;$&quot;#,##0.0\)"/>
  </numFmts>
  <fonts count="34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0"/>
      <name val="Arial"/>
      <family val="2"/>
    </font>
    <font>
      <b/>
      <sz val="12"/>
      <name val="Segoe UI"/>
      <family val="2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Segoe UI"/>
      <family val="2"/>
    </font>
    <font>
      <b/>
      <sz val="12"/>
      <color theme="1"/>
      <name val="Segoe UI"/>
      <family val="2"/>
    </font>
    <font>
      <b/>
      <sz val="12"/>
      <color rgb="FF002060"/>
      <name val="Segoe UI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Segoe UI"/>
      <family val="2"/>
    </font>
    <font>
      <b/>
      <sz val="11"/>
      <color rgb="FF002060"/>
      <name val="Segoe UI"/>
      <family val="2"/>
    </font>
    <font>
      <b/>
      <sz val="14"/>
      <color theme="1"/>
      <name val="Segoe UI"/>
      <family val="2"/>
    </font>
    <font>
      <b/>
      <sz val="12"/>
      <color theme="7" tint="-0.249977111117893"/>
      <name val="Segoe UI"/>
      <family val="2"/>
    </font>
    <font>
      <b/>
      <sz val="14"/>
      <name val="Segoe UI"/>
      <family val="2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b/>
      <sz val="14"/>
      <color theme="1"/>
      <name val="Calibri"/>
      <family val="2"/>
      <scheme val="minor"/>
    </font>
    <font>
      <b/>
      <sz val="24"/>
      <color rgb="FF0070C0"/>
      <name val="Arial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sz val="11"/>
      <name val="Arial"/>
      <family val="2"/>
    </font>
    <font>
      <u/>
      <sz val="10"/>
      <color theme="10"/>
      <name val="Arial"/>
      <family val="2"/>
    </font>
    <font>
      <b/>
      <sz val="10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2"/>
      <color theme="1"/>
      <name val="Arial"/>
      <family val="2"/>
    </font>
    <font>
      <b/>
      <sz val="16"/>
      <color theme="1"/>
      <name val="Calibri"/>
      <family val="2"/>
      <scheme val="minor"/>
    </font>
    <font>
      <u/>
      <sz val="20"/>
      <color theme="10"/>
      <name val="Calibri"/>
      <family val="2"/>
    </font>
    <font>
      <sz val="20"/>
      <color theme="1"/>
      <name val="Arial"/>
      <family val="2"/>
    </font>
    <font>
      <b/>
      <i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0" fillId="0" borderId="0"/>
    <xf numFmtId="3" fontId="21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212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0" fillId="0" borderId="0" xfId="0" applyBorder="1"/>
    <xf numFmtId="0" fontId="0" fillId="0" borderId="2" xfId="0" applyBorder="1"/>
    <xf numFmtId="8" fontId="0" fillId="0" borderId="1" xfId="0" applyNumberFormat="1" applyBorder="1"/>
    <xf numFmtId="8" fontId="5" fillId="4" borderId="1" xfId="0" applyNumberFormat="1" applyFont="1" applyFill="1" applyBorder="1"/>
    <xf numFmtId="0" fontId="8" fillId="0" borderId="0" xfId="0" applyFont="1"/>
    <xf numFmtId="8" fontId="0" fillId="0" borderId="1" xfId="0" applyNumberFormat="1" applyBorder="1" applyProtection="1">
      <protection locked="0"/>
    </xf>
    <xf numFmtId="8" fontId="5" fillId="5" borderId="1" xfId="0" applyNumberFormat="1" applyFont="1" applyFill="1" applyBorder="1"/>
    <xf numFmtId="49" fontId="0" fillId="0" borderId="1" xfId="0" applyNumberFormat="1" applyBorder="1" applyAlignment="1" applyProtection="1">
      <alignment horizontal="center" vertical="center" wrapText="1"/>
      <protection locked="0"/>
    </xf>
    <xf numFmtId="8" fontId="9" fillId="2" borderId="3" xfId="0" applyNumberFormat="1" applyFont="1" applyFill="1" applyBorder="1"/>
    <xf numFmtId="0" fontId="0" fillId="0" borderId="1" xfId="0" applyBorder="1" applyAlignment="1" applyProtection="1">
      <alignment horizontal="left" wrapText="1"/>
      <protection locked="0"/>
    </xf>
    <xf numFmtId="0" fontId="0" fillId="0" borderId="0" xfId="0" applyFill="1"/>
    <xf numFmtId="0" fontId="5" fillId="0" borderId="1" xfId="0" applyFont="1" applyBorder="1" applyAlignment="1">
      <alignment horizontal="center"/>
    </xf>
    <xf numFmtId="0" fontId="5" fillId="0" borderId="1" xfId="0" applyFont="1" applyBorder="1" applyAlignment="1" applyProtection="1">
      <alignment horizontal="center" wrapText="1"/>
      <protection locked="0"/>
    </xf>
    <xf numFmtId="0" fontId="5" fillId="0" borderId="1" xfId="0" applyFont="1" applyFill="1" applyBorder="1" applyAlignment="1">
      <alignment horizontal="center" wrapText="1"/>
    </xf>
    <xf numFmtId="0" fontId="0" fillId="6" borderId="1" xfId="0" applyFill="1" applyBorder="1" applyAlignment="1" applyProtection="1">
      <alignment horizontal="left" wrapText="1"/>
      <protection locked="0"/>
    </xf>
    <xf numFmtId="0" fontId="15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49" fontId="0" fillId="0" borderId="0" xfId="0" applyNumberFormat="1" applyBorder="1" applyAlignment="1" applyProtection="1">
      <alignment horizontal="center" vertical="center" wrapText="1"/>
      <protection locked="0"/>
    </xf>
    <xf numFmtId="0" fontId="5" fillId="0" borderId="0" xfId="0" applyFont="1"/>
    <xf numFmtId="0" fontId="0" fillId="0" borderId="0" xfId="0" applyNumberFormat="1" applyAlignment="1">
      <alignment horizontal="center"/>
    </xf>
    <xf numFmtId="0" fontId="0" fillId="0" borderId="11" xfId="0" applyBorder="1" applyAlignment="1"/>
    <xf numFmtId="0" fontId="0" fillId="0" borderId="0" xfId="0" applyBorder="1" applyAlignment="1"/>
    <xf numFmtId="0" fontId="5" fillId="0" borderId="0" xfId="0" applyFont="1" applyBorder="1" applyAlignment="1"/>
    <xf numFmtId="0" fontId="0" fillId="0" borderId="12" xfId="0" applyBorder="1" applyAlignment="1"/>
    <xf numFmtId="0" fontId="0" fillId="0" borderId="13" xfId="0" applyBorder="1"/>
    <xf numFmtId="0" fontId="0" fillId="0" borderId="14" xfId="0" applyBorder="1"/>
    <xf numFmtId="0" fontId="0" fillId="2" borderId="9" xfId="0" applyFill="1" applyBorder="1"/>
    <xf numFmtId="0" fontId="5" fillId="2" borderId="8" xfId="0" applyFont="1" applyFill="1" applyBorder="1" applyAlignment="1"/>
    <xf numFmtId="0" fontId="0" fillId="2" borderId="9" xfId="0" applyFill="1" applyBorder="1" applyAlignment="1"/>
    <xf numFmtId="0" fontId="0" fillId="2" borderId="10" xfId="0" applyFill="1" applyBorder="1"/>
    <xf numFmtId="0" fontId="0" fillId="2" borderId="10" xfId="0" applyFill="1" applyBorder="1" applyAlignment="1"/>
    <xf numFmtId="0" fontId="0" fillId="0" borderId="1" xfId="0" applyBorder="1" applyAlignment="1" applyProtection="1">
      <alignment wrapText="1"/>
      <protection locked="0"/>
    </xf>
    <xf numFmtId="0" fontId="0" fillId="0" borderId="4" xfId="0" applyBorder="1" applyAlignment="1" applyProtection="1">
      <alignment horizontal="left" wrapText="1"/>
      <protection locked="0"/>
    </xf>
    <xf numFmtId="0" fontId="7" fillId="2" borderId="1" xfId="0" applyFont="1" applyFill="1" applyBorder="1" applyAlignment="1">
      <alignment horizontal="center" vertical="center" wrapText="1"/>
    </xf>
    <xf numFmtId="0" fontId="0" fillId="0" borderId="0" xfId="0" applyAlignment="1"/>
    <xf numFmtId="0" fontId="12" fillId="0" borderId="0" xfId="0" applyFont="1" applyAlignment="1" applyProtection="1">
      <alignment horizontal="center" vertical="center"/>
      <protection locked="0"/>
    </xf>
    <xf numFmtId="0" fontId="23" fillId="0" borderId="0" xfId="3" applyFont="1" applyAlignment="1">
      <alignment horizontal="left" vertical="center" wrapText="1"/>
    </xf>
    <xf numFmtId="0" fontId="23" fillId="0" borderId="0" xfId="3" applyFont="1" applyAlignment="1">
      <alignment horizontal="left" vertical="center"/>
    </xf>
    <xf numFmtId="0" fontId="19" fillId="0" borderId="0" xfId="0" applyFont="1"/>
    <xf numFmtId="0" fontId="2" fillId="4" borderId="11" xfId="8" applyFill="1" applyBorder="1" applyAlignment="1">
      <alignment horizontal="left" wrapText="1"/>
    </xf>
    <xf numFmtId="0" fontId="2" fillId="4" borderId="0" xfId="8" applyFill="1" applyBorder="1" applyAlignment="1">
      <alignment horizontal="left" wrapText="1"/>
    </xf>
    <xf numFmtId="0" fontId="2" fillId="4" borderId="12" xfId="8" applyFill="1" applyBorder="1" applyAlignment="1">
      <alignment horizontal="left" wrapText="1"/>
    </xf>
    <xf numFmtId="0" fontId="2" fillId="0" borderId="13" xfId="8" applyBorder="1" applyAlignment="1">
      <alignment horizontal="left"/>
    </xf>
    <xf numFmtId="0" fontId="2" fillId="0" borderId="2" xfId="8" applyBorder="1" applyAlignment="1">
      <alignment horizontal="left"/>
    </xf>
    <xf numFmtId="0" fontId="2" fillId="0" borderId="14" xfId="8" applyBorder="1" applyAlignment="1">
      <alignment horizontal="left"/>
    </xf>
    <xf numFmtId="164" fontId="0" fillId="0" borderId="1" xfId="0" applyNumberFormat="1" applyBorder="1" applyProtection="1">
      <protection locked="0"/>
    </xf>
    <xf numFmtId="164" fontId="0" fillId="0" borderId="1" xfId="0" applyNumberFormat="1" applyBorder="1"/>
    <xf numFmtId="164" fontId="5" fillId="4" borderId="1" xfId="0" applyNumberFormat="1" applyFont="1" applyFill="1" applyBorder="1"/>
    <xf numFmtId="164" fontId="5" fillId="0" borderId="1" xfId="0" applyNumberFormat="1" applyFont="1" applyFill="1" applyBorder="1" applyAlignment="1">
      <alignment horizontal="center" wrapText="1"/>
    </xf>
    <xf numFmtId="164" fontId="0" fillId="0" borderId="1" xfId="0" applyNumberFormat="1" applyBorder="1" applyAlignment="1" applyProtection="1">
      <alignment wrapText="1"/>
      <protection locked="0"/>
    </xf>
    <xf numFmtId="164" fontId="7" fillId="0" borderId="1" xfId="0" applyNumberFormat="1" applyFont="1" applyFill="1" applyBorder="1" applyAlignment="1">
      <alignment horizontal="center" vertical="center" wrapText="1"/>
    </xf>
    <xf numFmtId="0" fontId="18" fillId="0" borderId="0" xfId="0" applyFont="1" applyAlignment="1">
      <alignment wrapText="1"/>
    </xf>
    <xf numFmtId="0" fontId="5" fillId="2" borderId="8" xfId="0" applyFont="1" applyFill="1" applyBorder="1"/>
    <xf numFmtId="8" fontId="0" fillId="0" borderId="1" xfId="0" applyNumberFormat="1" applyBorder="1" applyAlignment="1" applyProtection="1">
      <protection locked="0"/>
    </xf>
    <xf numFmtId="0" fontId="0" fillId="0" borderId="1" xfId="0" applyBorder="1" applyAlignment="1" applyProtection="1">
      <alignment horizontal="left" wrapText="1"/>
      <protection locked="0"/>
    </xf>
    <xf numFmtId="0" fontId="0" fillId="0" borderId="1" xfId="0" applyBorder="1" applyAlignment="1" applyProtection="1">
      <alignment wrapText="1"/>
      <protection locked="0"/>
    </xf>
    <xf numFmtId="0" fontId="0" fillId="6" borderId="1" xfId="0" applyFill="1" applyBorder="1" applyAlignment="1" applyProtection="1">
      <alignment horizontal="left" wrapText="1"/>
      <protection locked="0"/>
    </xf>
    <xf numFmtId="8" fontId="0" fillId="0" borderId="1" xfId="0" applyNumberFormat="1" applyBorder="1"/>
    <xf numFmtId="8" fontId="0" fillId="0" borderId="1" xfId="0" applyNumberFormat="1" applyBorder="1" applyProtection="1">
      <protection locked="0"/>
    </xf>
    <xf numFmtId="0" fontId="26" fillId="0" borderId="0" xfId="0" applyFont="1"/>
    <xf numFmtId="8" fontId="5" fillId="0" borderId="0" xfId="0" applyNumberFormat="1" applyFont="1"/>
    <xf numFmtId="8" fontId="0" fillId="0" borderId="0" xfId="0" applyNumberFormat="1"/>
    <xf numFmtId="8" fontId="19" fillId="0" borderId="0" xfId="0" applyNumberFormat="1" applyFont="1"/>
    <xf numFmtId="0" fontId="6" fillId="6" borderId="0" xfId="0" applyFont="1" applyFill="1" applyBorder="1" applyAlignment="1">
      <alignment horizontal="left" vertical="center" wrapText="1"/>
    </xf>
    <xf numFmtId="8" fontId="25" fillId="6" borderId="0" xfId="0" applyNumberFormat="1" applyFont="1" applyFill="1" applyBorder="1"/>
    <xf numFmtId="8" fontId="25" fillId="6" borderId="1" xfId="0" applyNumberFormat="1" applyFont="1" applyFill="1" applyBorder="1"/>
    <xf numFmtId="8" fontId="5" fillId="3" borderId="3" xfId="0" applyNumberFormat="1" applyFont="1" applyFill="1" applyBorder="1"/>
    <xf numFmtId="164" fontId="5" fillId="3" borderId="3" xfId="0" applyNumberFormat="1" applyFont="1" applyFill="1" applyBorder="1"/>
    <xf numFmtId="164" fontId="5" fillId="3" borderId="1" xfId="0" applyNumberFormat="1" applyFont="1" applyFill="1" applyBorder="1"/>
    <xf numFmtId="0" fontId="19" fillId="0" borderId="0" xfId="0" applyFont="1" applyBorder="1"/>
    <xf numFmtId="165" fontId="25" fillId="6" borderId="0" xfId="0" applyNumberFormat="1" applyFont="1" applyFill="1" applyBorder="1"/>
    <xf numFmtId="165" fontId="25" fillId="6" borderId="1" xfId="0" applyNumberFormat="1" applyFont="1" applyFill="1" applyBorder="1"/>
    <xf numFmtId="8" fontId="0" fillId="4" borderId="1" xfId="0" applyNumberFormat="1" applyFill="1" applyBorder="1"/>
    <xf numFmtId="49" fontId="30" fillId="0" borderId="1" xfId="0" applyNumberFormat="1" applyFont="1" applyBorder="1" applyAlignment="1" applyProtection="1">
      <alignment horizontal="left" vertical="center" wrapText="1"/>
      <protection locked="0"/>
    </xf>
    <xf numFmtId="0" fontId="14" fillId="0" borderId="0" xfId="1" applyFont="1" applyAlignment="1" applyProtection="1">
      <alignment vertical="center"/>
      <protection locked="0"/>
    </xf>
    <xf numFmtId="0" fontId="12" fillId="0" borderId="0" xfId="0" applyFont="1" applyAlignment="1" applyProtection="1">
      <alignment vertical="center"/>
      <protection locked="0"/>
    </xf>
    <xf numFmtId="49" fontId="5" fillId="8" borderId="1" xfId="0" applyNumberFormat="1" applyFont="1" applyFill="1" applyBorder="1" applyAlignment="1" applyProtection="1">
      <alignment horizontal="left" vertical="center" wrapText="1"/>
      <protection locked="0"/>
    </xf>
    <xf numFmtId="49" fontId="30" fillId="8" borderId="1" xfId="0" applyNumberFormat="1" applyFont="1" applyFill="1" applyBorder="1" applyAlignment="1" applyProtection="1">
      <alignment horizontal="left" vertical="center" wrapText="1"/>
      <protection locked="0"/>
    </xf>
    <xf numFmtId="0" fontId="0" fillId="8" borderId="0" xfId="0" applyFill="1"/>
    <xf numFmtId="0" fontId="1" fillId="8" borderId="0" xfId="0" applyFont="1" applyFill="1"/>
    <xf numFmtId="0" fontId="29" fillId="0" borderId="0" xfId="0" applyFont="1" applyFill="1" applyAlignment="1"/>
    <xf numFmtId="0" fontId="31" fillId="0" borderId="0" xfId="1" applyFont="1" applyFill="1" applyAlignment="1" applyProtection="1"/>
    <xf numFmtId="0" fontId="32" fillId="0" borderId="0" xfId="0" applyFont="1" applyFill="1" applyAlignment="1"/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1" xfId="0" applyBorder="1" applyAlignment="1">
      <alignment horizontal="left" wrapText="1"/>
    </xf>
    <xf numFmtId="0" fontId="0" fillId="0" borderId="0" xfId="0" applyBorder="1" applyAlignment="1">
      <alignment horizontal="left" wrapText="1"/>
    </xf>
    <xf numFmtId="0" fontId="0" fillId="0" borderId="12" xfId="0" applyBorder="1" applyAlignment="1">
      <alignment horizontal="left" wrapText="1"/>
    </xf>
    <xf numFmtId="0" fontId="17" fillId="0" borderId="0" xfId="0" applyFont="1" applyAlignment="1">
      <alignment horizontal="center"/>
    </xf>
    <xf numFmtId="0" fontId="0" fillId="0" borderId="11" xfId="0" applyNumberFormat="1" applyBorder="1" applyAlignment="1">
      <alignment horizontal="left" wrapText="1"/>
    </xf>
    <xf numFmtId="0" fontId="0" fillId="0" borderId="0" xfId="0" applyNumberFormat="1" applyBorder="1" applyAlignment="1">
      <alignment horizontal="left" wrapText="1"/>
    </xf>
    <xf numFmtId="0" fontId="0" fillId="0" borderId="12" xfId="0" applyNumberFormat="1" applyBorder="1" applyAlignment="1">
      <alignment horizontal="left" wrapText="1"/>
    </xf>
    <xf numFmtId="0" fontId="5" fillId="0" borderId="0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0" fillId="8" borderId="0" xfId="0" applyFill="1" applyAlignment="1">
      <alignment horizontal="left" vertical="top" wrapText="1"/>
    </xf>
    <xf numFmtId="0" fontId="6" fillId="2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14" fontId="5" fillId="8" borderId="1" xfId="0" applyNumberFormat="1" applyFont="1" applyFill="1" applyBorder="1" applyAlignment="1" applyProtection="1">
      <alignment horizontal="left" vertical="center" wrapText="1"/>
      <protection locked="0"/>
    </xf>
    <xf numFmtId="14" fontId="0" fillId="8" borderId="1" xfId="0" applyNumberFormat="1" applyFill="1" applyBorder="1" applyAlignment="1">
      <alignment horizontal="left" vertical="center" wrapText="1"/>
    </xf>
    <xf numFmtId="14" fontId="0" fillId="8" borderId="1" xfId="0" applyNumberFormat="1" applyFill="1" applyBorder="1" applyAlignment="1">
      <alignment horizontal="left"/>
    </xf>
    <xf numFmtId="0" fontId="0" fillId="0" borderId="4" xfId="0" applyBorder="1" applyAlignment="1" applyProtection="1">
      <alignment horizontal="left" wrapText="1"/>
      <protection locked="0"/>
    </xf>
    <xf numFmtId="0" fontId="0" fillId="0" borderId="6" xfId="0" applyBorder="1" applyAlignment="1" applyProtection="1">
      <alignment horizontal="left" wrapText="1"/>
      <protection locked="0"/>
    </xf>
    <xf numFmtId="0" fontId="0" fillId="0" borderId="5" xfId="0" applyBorder="1" applyAlignment="1" applyProtection="1">
      <alignment horizontal="left" wrapText="1"/>
      <protection locked="0"/>
    </xf>
    <xf numFmtId="0" fontId="11" fillId="4" borderId="4" xfId="0" applyFont="1" applyFill="1" applyBorder="1" applyAlignment="1">
      <alignment horizontal="right" wrapText="1"/>
    </xf>
    <xf numFmtId="0" fontId="11" fillId="4" borderId="6" xfId="0" applyFont="1" applyFill="1" applyBorder="1" applyAlignment="1">
      <alignment horizontal="right" wrapText="1"/>
    </xf>
    <xf numFmtId="0" fontId="11" fillId="4" borderId="5" xfId="0" applyFont="1" applyFill="1" applyBorder="1" applyAlignment="1">
      <alignment horizontal="right" wrapText="1"/>
    </xf>
    <xf numFmtId="49" fontId="5" fillId="0" borderId="4" xfId="0" applyNumberFormat="1" applyFont="1" applyBorder="1" applyAlignment="1" applyProtection="1">
      <alignment horizontal="center" wrapText="1"/>
      <protection locked="0"/>
    </xf>
    <xf numFmtId="49" fontId="5" fillId="0" borderId="6" xfId="0" applyNumberFormat="1" applyFont="1" applyBorder="1" applyAlignment="1" applyProtection="1">
      <alignment horizontal="center" wrapText="1"/>
      <protection locked="0"/>
    </xf>
    <xf numFmtId="49" fontId="5" fillId="0" borderId="5" xfId="0" applyNumberFormat="1" applyFont="1" applyBorder="1" applyAlignment="1" applyProtection="1">
      <alignment horizontal="center" wrapText="1"/>
      <protection locked="0"/>
    </xf>
    <xf numFmtId="0" fontId="0" fillId="0" borderId="4" xfId="0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11" fillId="4" borderId="4" xfId="0" applyFont="1" applyFill="1" applyBorder="1" applyAlignment="1">
      <alignment horizontal="right"/>
    </xf>
    <xf numFmtId="0" fontId="11" fillId="4" borderId="6" xfId="0" applyFont="1" applyFill="1" applyBorder="1" applyAlignment="1">
      <alignment horizontal="right"/>
    </xf>
    <xf numFmtId="0" fontId="11" fillId="4" borderId="5" xfId="0" applyFont="1" applyFill="1" applyBorder="1" applyAlignment="1">
      <alignment horizontal="right"/>
    </xf>
    <xf numFmtId="0" fontId="10" fillId="5" borderId="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2" fillId="4" borderId="11" xfId="8" applyFill="1" applyBorder="1" applyAlignment="1">
      <alignment horizontal="left"/>
    </xf>
    <xf numFmtId="0" fontId="2" fillId="4" borderId="0" xfId="8" applyFill="1" applyBorder="1" applyAlignment="1">
      <alignment horizontal="left"/>
    </xf>
    <xf numFmtId="0" fontId="2" fillId="4" borderId="12" xfId="8" applyFill="1" applyBorder="1" applyAlignment="1">
      <alignment horizontal="left"/>
    </xf>
    <xf numFmtId="0" fontId="22" fillId="4" borderId="15" xfId="8" applyFont="1" applyFill="1" applyBorder="1" applyAlignment="1">
      <alignment horizontal="left" vertical="top"/>
    </xf>
    <xf numFmtId="0" fontId="22" fillId="4" borderId="7" xfId="8" applyFont="1" applyFill="1" applyBorder="1" applyAlignment="1">
      <alignment horizontal="left" vertical="top"/>
    </xf>
    <xf numFmtId="0" fontId="22" fillId="4" borderId="16" xfId="8" applyFont="1" applyFill="1" applyBorder="1" applyAlignment="1">
      <alignment horizontal="left" vertical="top"/>
    </xf>
    <xf numFmtId="0" fontId="22" fillId="4" borderId="13" xfId="8" applyFont="1" applyFill="1" applyBorder="1" applyAlignment="1">
      <alignment horizontal="left" vertical="top"/>
    </xf>
    <xf numFmtId="0" fontId="22" fillId="4" borderId="2" xfId="8" applyFont="1" applyFill="1" applyBorder="1" applyAlignment="1">
      <alignment horizontal="left" vertical="top"/>
    </xf>
    <xf numFmtId="0" fontId="22" fillId="4" borderId="14" xfId="8" applyFont="1" applyFill="1" applyBorder="1" applyAlignment="1">
      <alignment horizontal="left" vertical="top"/>
    </xf>
    <xf numFmtId="0" fontId="6" fillId="6" borderId="4" xfId="0" applyFont="1" applyFill="1" applyBorder="1" applyAlignment="1">
      <alignment horizontal="left" vertical="center" wrapText="1"/>
    </xf>
    <xf numFmtId="0" fontId="6" fillId="6" borderId="6" xfId="0" applyFont="1" applyFill="1" applyBorder="1" applyAlignment="1">
      <alignment horizontal="left" vertical="center" wrapText="1"/>
    </xf>
    <xf numFmtId="0" fontId="6" fillId="6" borderId="5" xfId="0" applyFont="1" applyFill="1" applyBorder="1" applyAlignment="1">
      <alignment horizontal="left" vertical="center" wrapText="1"/>
    </xf>
    <xf numFmtId="0" fontId="2" fillId="0" borderId="1" xfId="8" applyFill="1" applyBorder="1" applyAlignment="1">
      <alignment horizontal="left"/>
    </xf>
    <xf numFmtId="0" fontId="2" fillId="0" borderId="11" xfId="8" applyBorder="1" applyAlignment="1">
      <alignment horizontal="left"/>
    </xf>
    <xf numFmtId="0" fontId="2" fillId="0" borderId="0" xfId="8" applyBorder="1" applyAlignment="1">
      <alignment horizontal="left"/>
    </xf>
    <xf numFmtId="0" fontId="2" fillId="0" borderId="12" xfId="8" applyBorder="1" applyAlignment="1">
      <alignment horizontal="left"/>
    </xf>
    <xf numFmtId="0" fontId="22" fillId="7" borderId="8" xfId="8" applyFont="1" applyFill="1" applyBorder="1" applyAlignment="1">
      <alignment horizontal="left"/>
    </xf>
    <xf numFmtId="0" fontId="22" fillId="7" borderId="9" xfId="8" applyFont="1" applyFill="1" applyBorder="1" applyAlignment="1">
      <alignment horizontal="left"/>
    </xf>
    <xf numFmtId="0" fontId="22" fillId="7" borderId="10" xfId="8" applyFont="1" applyFill="1" applyBorder="1" applyAlignment="1">
      <alignment horizontal="left"/>
    </xf>
    <xf numFmtId="0" fontId="22" fillId="4" borderId="11" xfId="8" applyFont="1" applyFill="1" applyBorder="1" applyAlignment="1">
      <alignment horizontal="left"/>
    </xf>
    <xf numFmtId="0" fontId="22" fillId="4" borderId="0" xfId="8" applyFont="1" applyFill="1" applyBorder="1" applyAlignment="1">
      <alignment horizontal="left"/>
    </xf>
    <xf numFmtId="0" fontId="22" fillId="4" borderId="12" xfId="8" applyFont="1" applyFill="1" applyBorder="1" applyAlignment="1">
      <alignment horizontal="left"/>
    </xf>
    <xf numFmtId="0" fontId="2" fillId="4" borderId="11" xfId="8" applyFill="1" applyBorder="1" applyAlignment="1">
      <alignment horizontal="left" wrapText="1"/>
    </xf>
    <xf numFmtId="0" fontId="2" fillId="4" borderId="0" xfId="8" applyFill="1" applyBorder="1" applyAlignment="1">
      <alignment horizontal="left" wrapText="1"/>
    </xf>
    <xf numFmtId="0" fontId="2" fillId="4" borderId="12" xfId="8" applyFill="1" applyBorder="1" applyAlignment="1">
      <alignment horizontal="left" wrapText="1"/>
    </xf>
    <xf numFmtId="0" fontId="13" fillId="2" borderId="4" xfId="0" applyFont="1" applyFill="1" applyBorder="1" applyAlignment="1">
      <alignment horizontal="right" vertical="center" wrapText="1"/>
    </xf>
    <xf numFmtId="0" fontId="13" fillId="2" borderId="6" xfId="0" applyFont="1" applyFill="1" applyBorder="1" applyAlignment="1">
      <alignment horizontal="right" vertical="center" wrapText="1"/>
    </xf>
    <xf numFmtId="0" fontId="13" fillId="2" borderId="5" xfId="0" applyFont="1" applyFill="1" applyBorder="1" applyAlignment="1">
      <alignment horizontal="right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15" fillId="6" borderId="4" xfId="0" applyFont="1" applyFill="1" applyBorder="1" applyAlignment="1">
      <alignment horizontal="center" vertical="center" wrapText="1"/>
    </xf>
    <xf numFmtId="0" fontId="15" fillId="6" borderId="6" xfId="0" applyFont="1" applyFill="1" applyBorder="1" applyAlignment="1">
      <alignment horizontal="center" vertical="center" wrapText="1"/>
    </xf>
    <xf numFmtId="0" fontId="15" fillId="6" borderId="5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right" vertical="center" wrapText="1"/>
    </xf>
    <xf numFmtId="0" fontId="8" fillId="4" borderId="6" xfId="0" applyFont="1" applyFill="1" applyBorder="1" applyAlignment="1">
      <alignment horizontal="right" vertical="center" wrapText="1"/>
    </xf>
    <xf numFmtId="0" fontId="8" fillId="4" borderId="5" xfId="0" applyFont="1" applyFill="1" applyBorder="1" applyAlignment="1">
      <alignment horizontal="right" vertical="center" wrapText="1"/>
    </xf>
    <xf numFmtId="0" fontId="7" fillId="3" borderId="4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12" fillId="0" borderId="0" xfId="0" applyFont="1" applyAlignment="1">
      <alignment horizontal="center" wrapText="1"/>
    </xf>
    <xf numFmtId="0" fontId="0" fillId="0" borderId="0" xfId="0" applyAlignment="1"/>
    <xf numFmtId="0" fontId="0" fillId="0" borderId="5" xfId="0" applyBorder="1"/>
    <xf numFmtId="0" fontId="5" fillId="0" borderId="4" xfId="0" applyFont="1" applyBorder="1" applyAlignment="1">
      <alignment horizontal="left" vertical="center" wrapText="1"/>
    </xf>
    <xf numFmtId="49" fontId="0" fillId="0" borderId="1" xfId="0" applyNumberFormat="1" applyFill="1" applyBorder="1" applyAlignment="1" applyProtection="1">
      <alignment horizontal="left" vertical="center" wrapText="1"/>
      <protection locked="0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33" fillId="0" borderId="0" xfId="0" applyFont="1" applyAlignment="1">
      <alignment horizontal="center"/>
    </xf>
    <xf numFmtId="49" fontId="30" fillId="0" borderId="1" xfId="0" applyNumberFormat="1" applyFont="1" applyFill="1" applyBorder="1" applyAlignment="1" applyProtection="1">
      <alignment horizontal="left" vertical="center" wrapText="1"/>
      <protection locked="0"/>
    </xf>
    <xf numFmtId="0" fontId="30" fillId="0" borderId="1" xfId="0" applyFont="1" applyBorder="1" applyAlignment="1">
      <alignment horizontal="left" vertical="center" wrapText="1"/>
    </xf>
    <xf numFmtId="0" fontId="30" fillId="0" borderId="1" xfId="0" applyFont="1" applyBorder="1" applyAlignment="1">
      <alignment horizontal="left"/>
    </xf>
    <xf numFmtId="0" fontId="7" fillId="2" borderId="4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5" fillId="0" borderId="4" xfId="0" applyFont="1" applyBorder="1" applyAlignment="1" applyProtection="1">
      <alignment horizontal="center" wrapText="1"/>
      <protection locked="0"/>
    </xf>
    <xf numFmtId="0" fontId="5" fillId="0" borderId="6" xfId="0" applyFont="1" applyBorder="1" applyAlignment="1" applyProtection="1">
      <alignment horizontal="center" wrapText="1"/>
      <protection locked="0"/>
    </xf>
    <xf numFmtId="0" fontId="5" fillId="0" borderId="5" xfId="0" applyFont="1" applyBorder="1" applyAlignment="1" applyProtection="1">
      <alignment horizontal="center" wrapText="1"/>
      <protection locked="0"/>
    </xf>
    <xf numFmtId="0" fontId="0" fillId="0" borderId="4" xfId="0" applyFont="1" applyBorder="1" applyAlignment="1" applyProtection="1">
      <alignment horizontal="left" wrapText="1"/>
      <protection locked="0"/>
    </xf>
    <xf numFmtId="0" fontId="0" fillId="0" borderId="6" xfId="0" applyFont="1" applyBorder="1" applyAlignment="1" applyProtection="1">
      <alignment horizontal="left" wrapText="1"/>
      <protection locked="0"/>
    </xf>
    <xf numFmtId="0" fontId="0" fillId="0" borderId="5" xfId="0" applyFont="1" applyBorder="1" applyAlignment="1" applyProtection="1">
      <alignment horizontal="left" wrapText="1"/>
      <protection locked="0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18" fillId="0" borderId="0" xfId="0" applyFont="1" applyAlignment="1">
      <alignment horizontal="center" wrapText="1"/>
    </xf>
    <xf numFmtId="0" fontId="6" fillId="6" borderId="1" xfId="0" applyFont="1" applyFill="1" applyBorder="1" applyAlignment="1">
      <alignment horizontal="left" vertical="center" wrapText="1"/>
    </xf>
    <xf numFmtId="0" fontId="27" fillId="4" borderId="11" xfId="8" applyFont="1" applyFill="1" applyBorder="1" applyAlignment="1">
      <alignment horizontal="left" wrapText="1"/>
    </xf>
    <xf numFmtId="49" fontId="0" fillId="0" borderId="1" xfId="0" applyNumberFormat="1" applyFill="1" applyBorder="1" applyAlignment="1" applyProtection="1">
      <alignment horizontal="center" vertical="center" wrapText="1"/>
      <protection locked="0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/>
    <xf numFmtId="14" fontId="0" fillId="0" borderId="1" xfId="0" applyNumberFormat="1" applyFill="1" applyBorder="1" applyAlignment="1" applyProtection="1">
      <alignment horizontal="center" vertical="center" wrapText="1"/>
      <protection locked="0"/>
    </xf>
    <xf numFmtId="14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/>
    <xf numFmtId="0" fontId="0" fillId="0" borderId="4" xfId="0" applyBorder="1" applyAlignment="1" applyProtection="1">
      <alignment wrapText="1"/>
      <protection locked="0"/>
    </xf>
    <xf numFmtId="0" fontId="0" fillId="0" borderId="6" xfId="0" applyBorder="1" applyAlignment="1" applyProtection="1">
      <alignment wrapText="1"/>
      <protection locked="0"/>
    </xf>
    <xf numFmtId="0" fontId="0" fillId="0" borderId="5" xfId="0" applyBorder="1" applyAlignment="1" applyProtection="1">
      <alignment wrapText="1"/>
      <protection locked="0"/>
    </xf>
    <xf numFmtId="0" fontId="0" fillId="0" borderId="4" xfId="0" applyBorder="1" applyAlignment="1" applyProtection="1">
      <alignment horizontal="center" wrapText="1"/>
      <protection locked="0"/>
    </xf>
    <xf numFmtId="0" fontId="0" fillId="0" borderId="6" xfId="0" applyBorder="1" applyAlignment="1" applyProtection="1">
      <alignment horizontal="center" wrapText="1"/>
      <protection locked="0"/>
    </xf>
    <xf numFmtId="0" fontId="0" fillId="0" borderId="5" xfId="0" applyBorder="1" applyAlignment="1" applyProtection="1">
      <alignment horizontal="center" wrapText="1"/>
      <protection locked="0"/>
    </xf>
    <xf numFmtId="164" fontId="0" fillId="0" borderId="4" xfId="0" applyNumberFormat="1" applyBorder="1" applyAlignment="1" applyProtection="1">
      <alignment horizontal="center" wrapText="1"/>
      <protection locked="0"/>
    </xf>
    <xf numFmtId="164" fontId="0" fillId="0" borderId="6" xfId="0" applyNumberFormat="1" applyBorder="1" applyAlignment="1" applyProtection="1">
      <alignment horizontal="center" wrapText="1"/>
      <protection locked="0"/>
    </xf>
    <xf numFmtId="164" fontId="0" fillId="0" borderId="5" xfId="0" applyNumberFormat="1" applyBorder="1" applyAlignment="1" applyProtection="1">
      <alignment horizontal="center" wrapText="1"/>
      <protection locked="0"/>
    </xf>
    <xf numFmtId="0" fontId="13" fillId="2" borderId="17" xfId="0" applyFont="1" applyFill="1" applyBorder="1" applyAlignment="1">
      <alignment horizontal="right" vertical="center" wrapText="1"/>
    </xf>
    <xf numFmtId="0" fontId="13" fillId="2" borderId="7" xfId="0" applyFont="1" applyFill="1" applyBorder="1" applyAlignment="1">
      <alignment horizontal="right" vertical="center" wrapText="1"/>
    </xf>
    <xf numFmtId="0" fontId="13" fillId="2" borderId="18" xfId="0" applyFont="1" applyFill="1" applyBorder="1" applyAlignment="1">
      <alignment horizontal="right" vertical="center" wrapText="1"/>
    </xf>
    <xf numFmtId="0" fontId="0" fillId="0" borderId="4" xfId="0" applyFont="1" applyBorder="1" applyAlignment="1" applyProtection="1">
      <alignment horizontal="center" wrapText="1"/>
      <protection locked="0"/>
    </xf>
    <xf numFmtId="0" fontId="0" fillId="0" borderId="6" xfId="0" applyFont="1" applyBorder="1" applyAlignment="1" applyProtection="1">
      <alignment horizontal="center" wrapText="1"/>
      <protection locked="0"/>
    </xf>
    <xf numFmtId="0" fontId="0" fillId="0" borderId="5" xfId="0" applyFont="1" applyBorder="1" applyAlignment="1" applyProtection="1">
      <alignment horizontal="center" wrapText="1"/>
      <protection locked="0"/>
    </xf>
    <xf numFmtId="0" fontId="0" fillId="0" borderId="4" xfId="0" applyBorder="1" applyAlignment="1">
      <alignment horizontal="center" vertical="center" wrapText="1"/>
    </xf>
  </cellXfs>
  <cellStyles count="9">
    <cellStyle name="Comma0" xfId="4"/>
    <cellStyle name="Currency 2" xfId="5"/>
    <cellStyle name="Hyperlink" xfId="1" builtinId="8"/>
    <cellStyle name="Hyperlink 2" xfId="7"/>
    <cellStyle name="Normal" xfId="0" builtinId="0"/>
    <cellStyle name="Normal 2" xfId="2"/>
    <cellStyle name="Normal 3" xfId="3"/>
    <cellStyle name="Normal 4" xfId="8"/>
    <cellStyle name="Percent 2" xfId="6"/>
  </cellStyles>
  <dxfs count="0"/>
  <tableStyles count="0" defaultTableStyle="TableStyleMedium9" defaultPivotStyle="PivotStyleLight16"/>
  <colors>
    <mruColors>
      <color rgb="FF99CC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205741</xdr:colOff>
      <xdr:row>0</xdr:row>
      <xdr:rowOff>152400</xdr:rowOff>
    </xdr:from>
    <xdr:to>
      <xdr:col>2</xdr:col>
      <xdr:colOff>304800</xdr:colOff>
      <xdr:row>4</xdr:row>
      <xdr:rowOff>73927</xdr:rowOff>
    </xdr:to>
    <xdr:pic>
      <xdr:nvPicPr>
        <xdr:cNvPr id="2" name="Picture 1" descr="CEDPHE BW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5741" y="152400"/>
          <a:ext cx="708659" cy="74448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123825</xdr:rowOff>
    </xdr:from>
    <xdr:to>
      <xdr:col>1</xdr:col>
      <xdr:colOff>1400175</xdr:colOff>
      <xdr:row>4</xdr:row>
      <xdr:rowOff>9525</xdr:rowOff>
    </xdr:to>
    <xdr:pic>
      <xdr:nvPicPr>
        <xdr:cNvPr id="2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4825" y="123825"/>
          <a:ext cx="1143000" cy="1171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581025</xdr:colOff>
      <xdr:row>0</xdr:row>
      <xdr:rowOff>123825</xdr:rowOff>
    </xdr:from>
    <xdr:to>
      <xdr:col>2</xdr:col>
      <xdr:colOff>133350</xdr:colOff>
      <xdr:row>4</xdr:row>
      <xdr:rowOff>9525</xdr:rowOff>
    </xdr:to>
    <xdr:pic>
      <xdr:nvPicPr>
        <xdr:cNvPr id="2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32485" y="672465"/>
          <a:ext cx="1129665" cy="11582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S31"/>
  <sheetViews>
    <sheetView zoomScaleNormal="100" zoomScaleSheetLayoutView="100" workbookViewId="0">
      <selection activeCell="M28" sqref="M28"/>
    </sheetView>
  </sheetViews>
  <sheetFormatPr defaultRowHeight="14.4"/>
  <cols>
    <col min="1" max="1" width="3.109375" customWidth="1"/>
    <col min="11" max="11" width="38.109375" customWidth="1"/>
    <col min="13" max="13" width="44" customWidth="1"/>
  </cols>
  <sheetData>
    <row r="1" spans="2:13" ht="18">
      <c r="B1" s="92" t="s">
        <v>14</v>
      </c>
      <c r="C1" s="92"/>
      <c r="D1" s="92"/>
      <c r="E1" s="92"/>
      <c r="F1" s="92"/>
      <c r="G1" s="92"/>
      <c r="H1" s="92"/>
      <c r="I1" s="92"/>
      <c r="J1" s="92"/>
      <c r="K1" s="92"/>
    </row>
    <row r="3" spans="2:13" ht="18">
      <c r="B3" s="92" t="s">
        <v>38</v>
      </c>
      <c r="C3" s="92"/>
      <c r="D3" s="92"/>
      <c r="E3" s="92"/>
      <c r="F3" s="92"/>
      <c r="G3" s="92"/>
      <c r="H3" s="92"/>
      <c r="I3" s="92"/>
      <c r="J3" s="92"/>
      <c r="K3" s="92"/>
    </row>
    <row r="4" spans="2:13">
      <c r="B4" s="21"/>
    </row>
    <row r="5" spans="2:13">
      <c r="B5" s="21"/>
    </row>
    <row r="6" spans="2:13">
      <c r="B6" s="21" t="s">
        <v>88</v>
      </c>
      <c r="C6" s="98" t="s">
        <v>94</v>
      </c>
      <c r="D6" s="98"/>
      <c r="E6" s="98"/>
      <c r="F6" s="98"/>
      <c r="G6" s="98"/>
      <c r="H6" s="98"/>
      <c r="I6" s="98"/>
      <c r="J6" s="98"/>
      <c r="K6" s="98"/>
    </row>
    <row r="7" spans="2:13" ht="99.75" customHeight="1">
      <c r="B7" s="21"/>
      <c r="C7" s="98"/>
      <c r="D7" s="98"/>
      <c r="E7" s="98"/>
      <c r="F7" s="98"/>
      <c r="G7" s="98"/>
      <c r="H7" s="98"/>
      <c r="I7" s="98"/>
      <c r="J7" s="98"/>
      <c r="K7" s="98"/>
    </row>
    <row r="8" spans="2:13" ht="15" thickBot="1">
      <c r="B8" s="21"/>
    </row>
    <row r="9" spans="2:13">
      <c r="B9" s="30" t="s">
        <v>20</v>
      </c>
      <c r="C9" s="31"/>
      <c r="D9" s="31"/>
      <c r="E9" s="31"/>
      <c r="F9" s="31"/>
      <c r="G9" s="31"/>
      <c r="H9" s="31"/>
      <c r="I9" s="31"/>
      <c r="J9" s="31"/>
      <c r="K9" s="33"/>
      <c r="M9" s="39"/>
    </row>
    <row r="10" spans="2:13" ht="28.2" customHeight="1">
      <c r="B10" s="89" t="s">
        <v>57</v>
      </c>
      <c r="C10" s="90"/>
      <c r="D10" s="90"/>
      <c r="E10" s="90"/>
      <c r="F10" s="90"/>
      <c r="G10" s="90"/>
      <c r="H10" s="90"/>
      <c r="I10" s="90"/>
      <c r="J10" s="90"/>
      <c r="K10" s="91"/>
      <c r="M10" s="39" t="s">
        <v>39</v>
      </c>
    </row>
    <row r="11" spans="2:13" ht="15" customHeight="1">
      <c r="B11" s="23"/>
      <c r="C11" s="24"/>
      <c r="D11" s="24"/>
      <c r="E11" s="24"/>
      <c r="F11" s="24"/>
      <c r="G11" s="24"/>
      <c r="H11" s="24"/>
      <c r="I11" s="24"/>
      <c r="J11" s="24"/>
      <c r="K11" s="26"/>
      <c r="M11" s="39"/>
    </row>
    <row r="12" spans="2:13">
      <c r="B12" s="23" t="s">
        <v>15</v>
      </c>
      <c r="C12" s="24"/>
      <c r="D12" s="24"/>
      <c r="E12" s="24"/>
      <c r="F12" s="24"/>
      <c r="G12" s="3"/>
      <c r="H12" s="3"/>
      <c r="I12" s="25" t="s">
        <v>12</v>
      </c>
      <c r="J12" s="24"/>
      <c r="K12" s="26"/>
      <c r="M12" s="39" t="s">
        <v>39</v>
      </c>
    </row>
    <row r="13" spans="2:13">
      <c r="B13" s="23" t="s">
        <v>55</v>
      </c>
      <c r="C13" s="24"/>
      <c r="D13" s="24"/>
      <c r="E13" s="24"/>
      <c r="F13" s="24"/>
      <c r="G13" s="3"/>
      <c r="H13" s="3"/>
      <c r="I13" s="3" t="s">
        <v>36</v>
      </c>
      <c r="J13" s="24"/>
      <c r="K13" s="26"/>
      <c r="M13" s="39"/>
    </row>
    <row r="14" spans="2:13" ht="15" customHeight="1">
      <c r="B14" s="23" t="s">
        <v>56</v>
      </c>
      <c r="C14" s="24"/>
      <c r="D14" s="24"/>
      <c r="E14" s="24"/>
      <c r="F14" s="24"/>
      <c r="G14" s="3"/>
      <c r="H14" s="3"/>
      <c r="I14" s="25" t="s">
        <v>13</v>
      </c>
      <c r="J14" s="24"/>
      <c r="K14" s="26"/>
      <c r="M14" s="39"/>
    </row>
    <row r="15" spans="2:13" ht="15" customHeight="1">
      <c r="B15" s="23"/>
      <c r="C15" s="24"/>
      <c r="D15" s="24"/>
      <c r="E15" s="24"/>
      <c r="F15" s="24"/>
      <c r="G15" s="3"/>
      <c r="H15" s="3"/>
      <c r="I15" s="3" t="s">
        <v>16</v>
      </c>
      <c r="J15" s="24"/>
      <c r="K15" s="26"/>
      <c r="M15" s="39"/>
    </row>
    <row r="16" spans="2:13" ht="15" customHeight="1">
      <c r="B16" s="23"/>
      <c r="C16" s="24"/>
      <c r="D16" s="24"/>
      <c r="E16" s="24"/>
      <c r="F16" s="24"/>
      <c r="G16" s="3"/>
      <c r="H16" s="3"/>
      <c r="I16" s="24" t="s">
        <v>37</v>
      </c>
      <c r="J16" s="24"/>
      <c r="K16" s="26"/>
      <c r="M16" s="39"/>
    </row>
    <row r="17" spans="2:19" ht="66.75" customHeight="1">
      <c r="B17" s="23"/>
      <c r="C17" s="24"/>
      <c r="D17" s="24"/>
      <c r="E17" s="24"/>
      <c r="F17" s="24"/>
      <c r="G17" s="3"/>
      <c r="H17" s="3"/>
      <c r="I17" s="96" t="s">
        <v>89</v>
      </c>
      <c r="J17" s="96"/>
      <c r="K17" s="97"/>
      <c r="M17" s="39"/>
    </row>
    <row r="18" spans="2:19" ht="15" thickBot="1">
      <c r="B18" s="27"/>
      <c r="C18" s="4"/>
      <c r="D18" s="4"/>
      <c r="E18" s="4"/>
      <c r="F18" s="4"/>
      <c r="G18" s="4"/>
      <c r="H18" s="4"/>
      <c r="I18" s="4"/>
      <c r="J18" s="4"/>
      <c r="K18" s="28"/>
    </row>
    <row r="19" spans="2:19">
      <c r="B19" s="55" t="s">
        <v>60</v>
      </c>
      <c r="C19" s="29"/>
      <c r="D19" s="29"/>
      <c r="E19" s="29"/>
      <c r="F19" s="29"/>
      <c r="G19" s="29"/>
      <c r="H19" s="29"/>
      <c r="I19" s="29"/>
      <c r="J19" s="29"/>
      <c r="K19" s="32"/>
    </row>
    <row r="20" spans="2:19" ht="28.5" customHeight="1">
      <c r="B20" s="93" t="s">
        <v>95</v>
      </c>
      <c r="C20" s="94"/>
      <c r="D20" s="94"/>
      <c r="E20" s="94"/>
      <c r="F20" s="94"/>
      <c r="G20" s="94"/>
      <c r="H20" s="94"/>
      <c r="I20" s="94"/>
      <c r="J20" s="94"/>
      <c r="K20" s="95"/>
      <c r="L20" s="22"/>
      <c r="M20" s="39"/>
      <c r="N20" s="22"/>
      <c r="O20" s="22"/>
      <c r="P20" s="22"/>
      <c r="Q20" s="22"/>
      <c r="R20" s="22"/>
      <c r="S20" s="22"/>
    </row>
    <row r="21" spans="2:19">
      <c r="B21" s="23" t="s">
        <v>72</v>
      </c>
      <c r="C21" s="24"/>
      <c r="D21" s="24"/>
      <c r="E21" s="24"/>
      <c r="F21" s="24"/>
      <c r="G21" s="24"/>
      <c r="H21" s="24"/>
      <c r="I21" s="24"/>
      <c r="J21" s="24"/>
      <c r="K21" s="26"/>
      <c r="M21" s="40"/>
    </row>
    <row r="22" spans="2:19">
      <c r="B22" s="23" t="s">
        <v>73</v>
      </c>
      <c r="C22" s="24"/>
      <c r="D22" s="24"/>
      <c r="E22" s="24"/>
      <c r="F22" s="24"/>
      <c r="G22" s="24"/>
      <c r="H22" s="24"/>
      <c r="I22" s="24"/>
      <c r="J22" s="24"/>
      <c r="K22" s="26"/>
      <c r="M22" s="40"/>
    </row>
    <row r="23" spans="2:19">
      <c r="B23" s="23" t="s">
        <v>75</v>
      </c>
      <c r="C23" s="24"/>
      <c r="D23" s="24"/>
      <c r="E23" s="24"/>
      <c r="F23" s="24"/>
      <c r="G23" s="24"/>
      <c r="H23" s="24"/>
      <c r="I23" s="24"/>
      <c r="J23" s="24"/>
      <c r="K23" s="26"/>
      <c r="M23" s="40"/>
    </row>
    <row r="24" spans="2:19">
      <c r="B24" s="23" t="s">
        <v>74</v>
      </c>
      <c r="C24" s="24"/>
      <c r="D24" s="24"/>
      <c r="E24" s="24"/>
      <c r="F24" s="24"/>
      <c r="G24" s="24"/>
      <c r="H24" s="24"/>
      <c r="I24" s="24"/>
      <c r="J24" s="24"/>
      <c r="K24" s="26"/>
      <c r="M24" s="40"/>
    </row>
    <row r="25" spans="2:19">
      <c r="B25" s="23"/>
      <c r="C25" s="24"/>
      <c r="D25" s="24"/>
      <c r="E25" s="24"/>
      <c r="F25" s="24"/>
      <c r="G25" s="24"/>
      <c r="H25" s="24"/>
      <c r="I25" s="24"/>
      <c r="J25" s="24"/>
      <c r="K25" s="26"/>
      <c r="M25" s="40"/>
    </row>
    <row r="26" spans="2:19">
      <c r="B26" s="23" t="s">
        <v>78</v>
      </c>
      <c r="C26" s="24"/>
      <c r="D26" s="24"/>
      <c r="E26" s="24"/>
      <c r="F26" s="24"/>
      <c r="G26" s="24"/>
      <c r="H26" s="24"/>
      <c r="I26" s="24"/>
      <c r="J26" s="24"/>
      <c r="K26" s="26"/>
      <c r="M26" s="40"/>
    </row>
    <row r="27" spans="2:19">
      <c r="B27" s="23"/>
      <c r="C27" s="24"/>
      <c r="D27" s="24"/>
      <c r="E27" s="24"/>
      <c r="F27" s="24"/>
      <c r="G27" s="24"/>
      <c r="H27" s="24"/>
      <c r="I27" s="24"/>
      <c r="J27" s="24"/>
      <c r="K27" s="26"/>
      <c r="M27" s="40"/>
    </row>
    <row r="28" spans="2:19" ht="28.95" customHeight="1">
      <c r="B28" s="89" t="s">
        <v>77</v>
      </c>
      <c r="C28" s="90"/>
      <c r="D28" s="90"/>
      <c r="E28" s="90"/>
      <c r="F28" s="90"/>
      <c r="G28" s="90"/>
      <c r="H28" s="90"/>
      <c r="I28" s="90"/>
      <c r="J28" s="90"/>
      <c r="K28" s="91"/>
      <c r="M28" s="40"/>
    </row>
    <row r="29" spans="2:19">
      <c r="B29" s="23"/>
      <c r="C29" s="24"/>
      <c r="D29" s="24"/>
      <c r="E29" s="24"/>
      <c r="F29" s="24"/>
      <c r="G29" s="24"/>
      <c r="H29" s="24"/>
      <c r="I29" s="24"/>
      <c r="J29" s="24"/>
      <c r="K29" s="26"/>
      <c r="M29" s="40"/>
    </row>
    <row r="30" spans="2:19" ht="46.2" customHeight="1">
      <c r="B30" s="89" t="s">
        <v>76</v>
      </c>
      <c r="C30" s="90"/>
      <c r="D30" s="90"/>
      <c r="E30" s="90"/>
      <c r="F30" s="90"/>
      <c r="G30" s="90"/>
      <c r="H30" s="90"/>
      <c r="I30" s="90"/>
      <c r="J30" s="90"/>
      <c r="K30" s="91"/>
      <c r="M30" s="40"/>
    </row>
    <row r="31" spans="2:19" ht="15" thickBot="1">
      <c r="B31" s="27"/>
      <c r="C31" s="4"/>
      <c r="D31" s="4"/>
      <c r="E31" s="4"/>
      <c r="F31" s="4"/>
      <c r="G31" s="4"/>
      <c r="H31" s="4"/>
      <c r="I31" s="4"/>
      <c r="J31" s="4"/>
      <c r="K31" s="28"/>
      <c r="M31" s="39"/>
    </row>
  </sheetData>
  <mergeCells count="8">
    <mergeCell ref="B30:K30"/>
    <mergeCell ref="B3:K3"/>
    <mergeCell ref="B1:K1"/>
    <mergeCell ref="B20:K20"/>
    <mergeCell ref="B10:K10"/>
    <mergeCell ref="B28:K28"/>
    <mergeCell ref="I17:K17"/>
    <mergeCell ref="C6:K7"/>
  </mergeCells>
  <pageMargins left="0.7" right="0.7" top="0.75" bottom="0.75" header="0.3" footer="0.3"/>
  <pageSetup orientation="landscape" r:id="rId1"/>
  <headerFooter>
    <oddFooter>&amp;L&amp;"-,Bold"Budget with Justification Instructions&amp;C&amp;P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90"/>
  <sheetViews>
    <sheetView tabSelected="1" topLeftCell="A10" zoomScaleNormal="100" workbookViewId="0">
      <selection activeCell="B36" sqref="B36"/>
    </sheetView>
  </sheetViews>
  <sheetFormatPr defaultRowHeight="14.4"/>
  <cols>
    <col min="1" max="1" width="3.6640625" customWidth="1"/>
    <col min="2" max="2" width="23.88671875" customWidth="1"/>
    <col min="3" max="3" width="42" customWidth="1"/>
    <col min="4" max="4" width="16.109375" customWidth="1"/>
    <col min="5" max="5" width="12.5546875" customWidth="1"/>
    <col min="6" max="7" width="9.5546875" customWidth="1"/>
    <col min="8" max="9" width="12.88671875" customWidth="1"/>
    <col min="10" max="10" width="14" bestFit="1" customWidth="1"/>
    <col min="11" max="11" width="3.6640625" customWidth="1"/>
    <col min="13" max="13" width="12.33203125" customWidth="1"/>
    <col min="16" max="16" width="24.88671875" customWidth="1"/>
  </cols>
  <sheetData>
    <row r="1" spans="2:17" ht="51.75" customHeight="1">
      <c r="B1" s="164" t="s">
        <v>40</v>
      </c>
      <c r="C1" s="165"/>
      <c r="D1" s="165"/>
      <c r="E1" s="165"/>
      <c r="F1" s="165"/>
      <c r="G1" s="165"/>
      <c r="H1" s="165"/>
      <c r="I1" s="165"/>
      <c r="J1" s="165"/>
      <c r="K1" s="165"/>
    </row>
    <row r="2" spans="2:17" ht="16.5" customHeight="1">
      <c r="B2" s="37"/>
      <c r="C2" s="77"/>
      <c r="D2" s="77"/>
      <c r="E2" s="78"/>
      <c r="F2" s="78"/>
      <c r="G2" s="78"/>
      <c r="H2" s="78"/>
      <c r="I2" s="38"/>
      <c r="J2" s="37"/>
      <c r="K2" s="37"/>
    </row>
    <row r="3" spans="2:17" ht="16.5" customHeight="1">
      <c r="C3" s="171" t="s">
        <v>99</v>
      </c>
      <c r="D3" s="171"/>
      <c r="E3" s="171"/>
      <c r="F3" s="171"/>
      <c r="G3" s="171"/>
      <c r="H3" s="171"/>
      <c r="I3" s="171"/>
      <c r="J3" s="171"/>
    </row>
    <row r="4" spans="2:17" ht="16.5" customHeight="1">
      <c r="H4" s="13"/>
      <c r="I4" s="13"/>
      <c r="J4" s="13"/>
    </row>
    <row r="5" spans="2:17" ht="16.5" customHeight="1">
      <c r="H5" s="13"/>
      <c r="I5" s="13"/>
      <c r="J5" s="13"/>
    </row>
    <row r="6" spans="2:17" ht="48.75" customHeight="1">
      <c r="B6" s="1" t="s">
        <v>0</v>
      </c>
      <c r="C6" s="79" t="s">
        <v>97</v>
      </c>
      <c r="D6" s="20"/>
      <c r="E6" s="99" t="s">
        <v>12</v>
      </c>
      <c r="F6" s="166"/>
      <c r="G6" s="167" t="s">
        <v>105</v>
      </c>
      <c r="H6" s="162"/>
      <c r="I6" s="162"/>
      <c r="J6" s="163"/>
      <c r="L6" s="83"/>
      <c r="M6" s="83"/>
      <c r="N6" s="83"/>
      <c r="O6" s="83"/>
      <c r="P6" s="83"/>
      <c r="Q6" s="13"/>
    </row>
    <row r="7" spans="2:17" ht="33.75" customHeight="1">
      <c r="B7" s="2" t="s">
        <v>50</v>
      </c>
      <c r="C7" s="76" t="s">
        <v>104</v>
      </c>
      <c r="D7" s="20"/>
      <c r="E7" s="99" t="s">
        <v>13</v>
      </c>
      <c r="F7" s="100"/>
      <c r="G7" s="168" t="s">
        <v>96</v>
      </c>
      <c r="H7" s="169"/>
      <c r="I7" s="169"/>
      <c r="J7" s="170"/>
      <c r="L7" s="84"/>
      <c r="M7" s="85"/>
      <c r="N7" s="85"/>
      <c r="O7" s="85"/>
      <c r="P7" s="85"/>
      <c r="Q7" s="13"/>
    </row>
    <row r="8" spans="2:17" ht="33.75" customHeight="1">
      <c r="B8" s="1" t="s">
        <v>49</v>
      </c>
      <c r="C8" s="80"/>
      <c r="D8" s="20"/>
      <c r="E8" s="99" t="s">
        <v>11</v>
      </c>
      <c r="F8" s="100"/>
      <c r="G8" s="172" t="s">
        <v>106</v>
      </c>
      <c r="H8" s="173"/>
      <c r="I8" s="173"/>
      <c r="J8" s="174"/>
      <c r="L8" s="13"/>
      <c r="M8" s="13"/>
      <c r="N8" s="13"/>
      <c r="O8" s="13"/>
      <c r="P8" s="13"/>
      <c r="Q8" s="13"/>
    </row>
    <row r="9" spans="2:17" ht="31.5" customHeight="1">
      <c r="E9" s="99" t="s">
        <v>86</v>
      </c>
      <c r="F9" s="100"/>
      <c r="G9" s="101" t="s">
        <v>100</v>
      </c>
      <c r="H9" s="102"/>
      <c r="I9" s="102"/>
      <c r="J9" s="103"/>
      <c r="L9" s="82" t="s">
        <v>103</v>
      </c>
      <c r="M9" s="81"/>
      <c r="N9" s="13"/>
      <c r="O9" s="13"/>
    </row>
    <row r="10" spans="2:17" ht="15" thickBot="1">
      <c r="B10" s="4"/>
      <c r="C10" s="4"/>
      <c r="D10" s="4"/>
      <c r="E10" s="4"/>
      <c r="F10" s="4"/>
      <c r="G10" s="4"/>
      <c r="H10" s="4"/>
      <c r="I10" s="4"/>
      <c r="J10" s="4"/>
    </row>
    <row r="11" spans="2:17" ht="17.25" customHeight="1"/>
    <row r="12" spans="2:17" ht="33" customHeight="1">
      <c r="B12" s="175" t="s">
        <v>1</v>
      </c>
      <c r="C12" s="176"/>
      <c r="D12" s="176"/>
      <c r="E12" s="176"/>
      <c r="F12" s="176"/>
      <c r="G12" s="176"/>
      <c r="H12" s="176"/>
      <c r="I12" s="176"/>
      <c r="J12" s="177"/>
    </row>
    <row r="13" spans="2:17" ht="38.4">
      <c r="B13" s="158" t="s">
        <v>2</v>
      </c>
      <c r="C13" s="159"/>
      <c r="D13" s="159"/>
      <c r="E13" s="159"/>
      <c r="F13" s="159"/>
      <c r="G13" s="160"/>
      <c r="H13" s="36" t="s">
        <v>41</v>
      </c>
      <c r="I13" s="36" t="s">
        <v>42</v>
      </c>
      <c r="J13" s="36" t="s">
        <v>43</v>
      </c>
    </row>
    <row r="14" spans="2:17" ht="36" customHeight="1">
      <c r="B14" s="15" t="s">
        <v>98</v>
      </c>
      <c r="C14" s="178" t="s">
        <v>47</v>
      </c>
      <c r="D14" s="179"/>
      <c r="E14" s="179"/>
      <c r="F14" s="179"/>
      <c r="G14" s="180"/>
      <c r="H14" s="8"/>
      <c r="I14" s="8"/>
      <c r="J14" s="5"/>
    </row>
    <row r="15" spans="2:17">
      <c r="B15" s="57" t="s">
        <v>101</v>
      </c>
      <c r="C15" s="104" t="s">
        <v>102</v>
      </c>
      <c r="D15" s="105"/>
      <c r="E15" s="105"/>
      <c r="F15" s="105"/>
      <c r="G15" s="106"/>
      <c r="H15" s="56"/>
      <c r="I15" s="56"/>
      <c r="J15" s="5">
        <f>I15-H15</f>
        <v>0</v>
      </c>
    </row>
    <row r="16" spans="2:17">
      <c r="B16" s="57"/>
      <c r="C16" s="181"/>
      <c r="D16" s="182"/>
      <c r="E16" s="182"/>
      <c r="F16" s="182"/>
      <c r="G16" s="183"/>
      <c r="H16" s="56"/>
      <c r="I16" s="56"/>
      <c r="J16" s="60">
        <f t="shared" ref="J16:J25" si="0">I16-H16</f>
        <v>0</v>
      </c>
    </row>
    <row r="17" spans="2:10">
      <c r="B17" s="57"/>
      <c r="C17" s="181"/>
      <c r="D17" s="182"/>
      <c r="E17" s="182"/>
      <c r="F17" s="182"/>
      <c r="G17" s="183"/>
      <c r="H17" s="56"/>
      <c r="I17" s="56"/>
      <c r="J17" s="60">
        <f t="shared" si="0"/>
        <v>0</v>
      </c>
    </row>
    <row r="18" spans="2:10">
      <c r="B18" s="57"/>
      <c r="C18" s="181"/>
      <c r="D18" s="182"/>
      <c r="E18" s="182"/>
      <c r="F18" s="182"/>
      <c r="G18" s="183"/>
      <c r="H18" s="56"/>
      <c r="I18" s="56"/>
      <c r="J18" s="60">
        <f t="shared" si="0"/>
        <v>0</v>
      </c>
    </row>
    <row r="19" spans="2:10">
      <c r="B19" s="57"/>
      <c r="C19" s="181"/>
      <c r="D19" s="182"/>
      <c r="E19" s="182"/>
      <c r="F19" s="182"/>
      <c r="G19" s="183"/>
      <c r="H19" s="56"/>
      <c r="I19" s="56"/>
      <c r="J19" s="60">
        <f t="shared" si="0"/>
        <v>0</v>
      </c>
    </row>
    <row r="20" spans="2:10">
      <c r="B20" s="57"/>
      <c r="C20" s="181"/>
      <c r="D20" s="182"/>
      <c r="E20" s="182"/>
      <c r="F20" s="182"/>
      <c r="G20" s="183"/>
      <c r="H20" s="56"/>
      <c r="I20" s="56"/>
      <c r="J20" s="60">
        <f t="shared" si="0"/>
        <v>0</v>
      </c>
    </row>
    <row r="21" spans="2:10">
      <c r="B21" s="57"/>
      <c r="C21" s="181"/>
      <c r="D21" s="182"/>
      <c r="E21" s="182"/>
      <c r="F21" s="182"/>
      <c r="G21" s="183"/>
      <c r="H21" s="56"/>
      <c r="I21" s="56"/>
      <c r="J21" s="60">
        <f t="shared" si="0"/>
        <v>0</v>
      </c>
    </row>
    <row r="22" spans="2:10">
      <c r="B22" s="57"/>
      <c r="C22" s="181"/>
      <c r="D22" s="182"/>
      <c r="E22" s="182"/>
      <c r="F22" s="182"/>
      <c r="G22" s="183"/>
      <c r="H22" s="56"/>
      <c r="I22" s="56"/>
      <c r="J22" s="60">
        <f t="shared" si="0"/>
        <v>0</v>
      </c>
    </row>
    <row r="23" spans="2:10">
      <c r="B23" s="57"/>
      <c r="C23" s="181"/>
      <c r="D23" s="182"/>
      <c r="E23" s="182"/>
      <c r="F23" s="182"/>
      <c r="G23" s="183"/>
      <c r="H23" s="56"/>
      <c r="I23" s="56"/>
      <c r="J23" s="60">
        <f t="shared" si="0"/>
        <v>0</v>
      </c>
    </row>
    <row r="24" spans="2:10">
      <c r="B24" s="57"/>
      <c r="C24" s="181"/>
      <c r="D24" s="182"/>
      <c r="E24" s="182"/>
      <c r="F24" s="182"/>
      <c r="G24" s="183"/>
      <c r="H24" s="8"/>
      <c r="I24" s="8"/>
      <c r="J24" s="60">
        <f t="shared" si="0"/>
        <v>0</v>
      </c>
    </row>
    <row r="25" spans="2:10" ht="38.1" customHeight="1">
      <c r="B25" s="107" t="s">
        <v>3</v>
      </c>
      <c r="C25" s="108"/>
      <c r="D25" s="108"/>
      <c r="E25" s="108"/>
      <c r="F25" s="108"/>
      <c r="G25" s="109"/>
      <c r="H25" s="6">
        <f>SUM(H15:H24)</f>
        <v>0</v>
      </c>
      <c r="I25" s="6">
        <f t="shared" ref="I25" si="1">SUM(I15:I24)</f>
        <v>0</v>
      </c>
      <c r="J25" s="75">
        <f t="shared" si="0"/>
        <v>0</v>
      </c>
    </row>
    <row r="26" spans="2:10" ht="38.4">
      <c r="B26" s="158" t="s">
        <v>4</v>
      </c>
      <c r="C26" s="159"/>
      <c r="D26" s="159"/>
      <c r="E26" s="159"/>
      <c r="F26" s="159"/>
      <c r="G26" s="160"/>
      <c r="H26" s="36" t="s">
        <v>41</v>
      </c>
      <c r="I26" s="36" t="s">
        <v>42</v>
      </c>
      <c r="J26" s="36" t="s">
        <v>43</v>
      </c>
    </row>
    <row r="27" spans="2:10" ht="14.4" customHeight="1">
      <c r="B27" s="14" t="s">
        <v>10</v>
      </c>
      <c r="C27" s="110" t="s">
        <v>47</v>
      </c>
      <c r="D27" s="111"/>
      <c r="E27" s="111"/>
      <c r="F27" s="111"/>
      <c r="G27" s="112"/>
      <c r="H27" s="16"/>
      <c r="I27" s="16"/>
      <c r="J27" s="5"/>
    </row>
    <row r="28" spans="2:10" ht="14.4" customHeight="1">
      <c r="B28" s="35"/>
      <c r="C28" s="113"/>
      <c r="D28" s="114"/>
      <c r="E28" s="114"/>
      <c r="F28" s="114"/>
      <c r="G28" s="115"/>
      <c r="H28" s="48"/>
      <c r="I28" s="48"/>
      <c r="J28" s="60">
        <f t="shared" ref="J28:J34" si="2">I28-H28</f>
        <v>0</v>
      </c>
    </row>
    <row r="29" spans="2:10" ht="14.4" customHeight="1">
      <c r="B29" s="57"/>
      <c r="C29" s="113"/>
      <c r="D29" s="114"/>
      <c r="E29" s="114"/>
      <c r="F29" s="114"/>
      <c r="G29" s="115"/>
      <c r="H29" s="48"/>
      <c r="I29" s="48"/>
      <c r="J29" s="60">
        <f t="shared" si="2"/>
        <v>0</v>
      </c>
    </row>
    <row r="30" spans="2:10" ht="14.4" customHeight="1">
      <c r="B30" s="57"/>
      <c r="C30" s="113"/>
      <c r="D30" s="114"/>
      <c r="E30" s="114"/>
      <c r="F30" s="114"/>
      <c r="G30" s="115"/>
      <c r="H30" s="48"/>
      <c r="I30" s="48"/>
      <c r="J30" s="60">
        <f t="shared" si="2"/>
        <v>0</v>
      </c>
    </row>
    <row r="31" spans="2:10" ht="14.4" customHeight="1">
      <c r="B31" s="57"/>
      <c r="C31" s="104"/>
      <c r="D31" s="105"/>
      <c r="E31" s="105"/>
      <c r="F31" s="105"/>
      <c r="G31" s="106"/>
      <c r="H31" s="48"/>
      <c r="I31" s="48"/>
      <c r="J31" s="60">
        <f t="shared" si="2"/>
        <v>0</v>
      </c>
    </row>
    <row r="32" spans="2:10" ht="14.4" customHeight="1">
      <c r="B32" s="59"/>
      <c r="C32" s="104"/>
      <c r="D32" s="105"/>
      <c r="E32" s="105"/>
      <c r="F32" s="105"/>
      <c r="G32" s="106"/>
      <c r="H32" s="48"/>
      <c r="I32" s="48"/>
      <c r="J32" s="60">
        <f t="shared" si="2"/>
        <v>0</v>
      </c>
    </row>
    <row r="33" spans="2:10" ht="14.4" customHeight="1">
      <c r="B33" s="57"/>
      <c r="C33" s="104"/>
      <c r="D33" s="105"/>
      <c r="E33" s="105"/>
      <c r="F33" s="105"/>
      <c r="G33" s="106"/>
      <c r="H33" s="48"/>
      <c r="I33" s="48"/>
      <c r="J33" s="60">
        <f t="shared" si="2"/>
        <v>0</v>
      </c>
    </row>
    <row r="34" spans="2:10" ht="38.1" customHeight="1">
      <c r="B34" s="116" t="s">
        <v>17</v>
      </c>
      <c r="C34" s="117"/>
      <c r="D34" s="117"/>
      <c r="E34" s="117"/>
      <c r="F34" s="117"/>
      <c r="G34" s="118"/>
      <c r="H34" s="50">
        <f>SUM(H28:H33)</f>
        <v>0</v>
      </c>
      <c r="I34" s="50">
        <f>SUM(I28:I33)</f>
        <v>0</v>
      </c>
      <c r="J34" s="75">
        <f t="shared" si="2"/>
        <v>0</v>
      </c>
    </row>
    <row r="35" spans="2:10" ht="38.4">
      <c r="B35" s="158" t="s">
        <v>5</v>
      </c>
      <c r="C35" s="159"/>
      <c r="D35" s="159"/>
      <c r="E35" s="159"/>
      <c r="F35" s="159"/>
      <c r="G35" s="160"/>
      <c r="H35" s="36" t="s">
        <v>41</v>
      </c>
      <c r="I35" s="36" t="s">
        <v>42</v>
      </c>
      <c r="J35" s="36" t="s">
        <v>43</v>
      </c>
    </row>
    <row r="36" spans="2:10" ht="14.4" customHeight="1">
      <c r="B36" s="14" t="s">
        <v>10</v>
      </c>
      <c r="C36" s="110" t="s">
        <v>47</v>
      </c>
      <c r="D36" s="111"/>
      <c r="E36" s="111"/>
      <c r="F36" s="111"/>
      <c r="G36" s="112"/>
      <c r="H36" s="51"/>
      <c r="I36" s="51"/>
      <c r="J36" s="49"/>
    </row>
    <row r="37" spans="2:10">
      <c r="B37" s="57"/>
      <c r="C37" s="113"/>
      <c r="D37" s="114"/>
      <c r="E37" s="114"/>
      <c r="F37" s="114"/>
      <c r="G37" s="115"/>
      <c r="H37" s="48"/>
      <c r="I37" s="48"/>
      <c r="J37" s="60">
        <f t="shared" ref="J37:J43" si="3">I37-H37</f>
        <v>0</v>
      </c>
    </row>
    <row r="38" spans="2:10">
      <c r="B38" s="57"/>
      <c r="C38" s="113"/>
      <c r="D38" s="114"/>
      <c r="E38" s="114"/>
      <c r="F38" s="114"/>
      <c r="G38" s="115"/>
      <c r="H38" s="48"/>
      <c r="I38" s="48"/>
      <c r="J38" s="60">
        <f t="shared" si="3"/>
        <v>0</v>
      </c>
    </row>
    <row r="39" spans="2:10">
      <c r="B39" s="57"/>
      <c r="C39" s="113"/>
      <c r="D39" s="114"/>
      <c r="E39" s="114"/>
      <c r="F39" s="114"/>
      <c r="G39" s="115"/>
      <c r="H39" s="48"/>
      <c r="I39" s="48"/>
      <c r="J39" s="60">
        <f t="shared" si="3"/>
        <v>0</v>
      </c>
    </row>
    <row r="40" spans="2:10">
      <c r="B40" s="57"/>
      <c r="C40" s="104"/>
      <c r="D40" s="105"/>
      <c r="E40" s="105"/>
      <c r="F40" s="105"/>
      <c r="G40" s="106"/>
      <c r="H40" s="48"/>
      <c r="I40" s="48"/>
      <c r="J40" s="60">
        <f t="shared" si="3"/>
        <v>0</v>
      </c>
    </row>
    <row r="41" spans="2:10">
      <c r="B41" s="57"/>
      <c r="C41" s="104"/>
      <c r="D41" s="105"/>
      <c r="E41" s="105"/>
      <c r="F41" s="105"/>
      <c r="G41" s="106"/>
      <c r="H41" s="48"/>
      <c r="I41" s="48"/>
      <c r="J41" s="60">
        <f t="shared" si="3"/>
        <v>0</v>
      </c>
    </row>
    <row r="42" spans="2:10">
      <c r="B42" s="57"/>
      <c r="C42" s="104"/>
      <c r="D42" s="105"/>
      <c r="E42" s="105"/>
      <c r="F42" s="105"/>
      <c r="G42" s="106"/>
      <c r="H42" s="48"/>
      <c r="I42" s="48"/>
      <c r="J42" s="60">
        <f t="shared" si="3"/>
        <v>0</v>
      </c>
    </row>
    <row r="43" spans="2:10" ht="30.75" customHeight="1">
      <c r="B43" s="107" t="s">
        <v>18</v>
      </c>
      <c r="C43" s="108"/>
      <c r="D43" s="108"/>
      <c r="E43" s="108"/>
      <c r="F43" s="108"/>
      <c r="G43" s="109"/>
      <c r="H43" s="50">
        <f>SUM(H37:H42)</f>
        <v>0</v>
      </c>
      <c r="I43" s="50">
        <f>SUM(I37:I42)</f>
        <v>0</v>
      </c>
      <c r="J43" s="75">
        <f t="shared" si="3"/>
        <v>0</v>
      </c>
    </row>
    <row r="44" spans="2:10" ht="38.4">
      <c r="B44" s="158" t="s">
        <v>6</v>
      </c>
      <c r="C44" s="159"/>
      <c r="D44" s="159"/>
      <c r="E44" s="159"/>
      <c r="F44" s="159"/>
      <c r="G44" s="160"/>
      <c r="H44" s="36" t="s">
        <v>41</v>
      </c>
      <c r="I44" s="36" t="s">
        <v>42</v>
      </c>
      <c r="J44" s="36" t="s">
        <v>43</v>
      </c>
    </row>
    <row r="45" spans="2:10" ht="14.4" customHeight="1">
      <c r="B45" s="14" t="s">
        <v>10</v>
      </c>
      <c r="C45" s="110" t="s">
        <v>47</v>
      </c>
      <c r="D45" s="111"/>
      <c r="E45" s="111"/>
      <c r="F45" s="111"/>
      <c r="G45" s="112"/>
      <c r="H45" s="51"/>
      <c r="I45" s="51"/>
      <c r="J45" s="49"/>
    </row>
    <row r="46" spans="2:10">
      <c r="B46" s="57"/>
      <c r="C46" s="113"/>
      <c r="D46" s="114"/>
      <c r="E46" s="114"/>
      <c r="F46" s="114"/>
      <c r="G46" s="115"/>
      <c r="H46" s="48"/>
      <c r="I46" s="48"/>
      <c r="J46" s="60">
        <f>I46-H46</f>
        <v>0</v>
      </c>
    </row>
    <row r="47" spans="2:10">
      <c r="B47" s="59"/>
      <c r="C47" s="161"/>
      <c r="D47" s="162"/>
      <c r="E47" s="162"/>
      <c r="F47" s="162"/>
      <c r="G47" s="163"/>
      <c r="H47" s="48"/>
      <c r="I47" s="48"/>
      <c r="J47" s="60">
        <f t="shared" ref="J47:J69" si="4">I47-H47</f>
        <v>0</v>
      </c>
    </row>
    <row r="48" spans="2:10">
      <c r="B48" s="59"/>
      <c r="C48" s="161"/>
      <c r="D48" s="162"/>
      <c r="E48" s="162"/>
      <c r="F48" s="162"/>
      <c r="G48" s="163"/>
      <c r="H48" s="48"/>
      <c r="I48" s="48"/>
      <c r="J48" s="60">
        <f t="shared" si="4"/>
        <v>0</v>
      </c>
    </row>
    <row r="49" spans="2:10">
      <c r="B49" s="59"/>
      <c r="C49" s="161"/>
      <c r="D49" s="162"/>
      <c r="E49" s="162"/>
      <c r="F49" s="162"/>
      <c r="G49" s="163"/>
      <c r="H49" s="48"/>
      <c r="I49" s="48"/>
      <c r="J49" s="60">
        <f t="shared" si="4"/>
        <v>0</v>
      </c>
    </row>
    <row r="50" spans="2:10">
      <c r="B50" s="59"/>
      <c r="C50" s="161"/>
      <c r="D50" s="162"/>
      <c r="E50" s="162"/>
      <c r="F50" s="162"/>
      <c r="G50" s="163"/>
      <c r="H50" s="48"/>
      <c r="I50" s="48"/>
      <c r="J50" s="60">
        <f t="shared" si="4"/>
        <v>0</v>
      </c>
    </row>
    <row r="51" spans="2:10">
      <c r="B51" s="59"/>
      <c r="C51" s="161"/>
      <c r="D51" s="162"/>
      <c r="E51" s="162"/>
      <c r="F51" s="162"/>
      <c r="G51" s="163"/>
      <c r="H51" s="48"/>
      <c r="I51" s="48"/>
      <c r="J51" s="60">
        <f t="shared" si="4"/>
        <v>0</v>
      </c>
    </row>
    <row r="52" spans="2:10">
      <c r="B52" s="59"/>
      <c r="C52" s="161"/>
      <c r="D52" s="162"/>
      <c r="E52" s="162"/>
      <c r="F52" s="162"/>
      <c r="G52" s="163"/>
      <c r="H52" s="48"/>
      <c r="I52" s="48"/>
      <c r="J52" s="60">
        <f t="shared" si="4"/>
        <v>0</v>
      </c>
    </row>
    <row r="53" spans="2:10">
      <c r="B53" s="59"/>
      <c r="C53" s="161"/>
      <c r="D53" s="162"/>
      <c r="E53" s="162"/>
      <c r="F53" s="162"/>
      <c r="G53" s="163"/>
      <c r="H53" s="48"/>
      <c r="I53" s="48"/>
      <c r="J53" s="60">
        <f t="shared" si="4"/>
        <v>0</v>
      </c>
    </row>
    <row r="54" spans="2:10">
      <c r="B54" s="59"/>
      <c r="C54" s="161"/>
      <c r="D54" s="162"/>
      <c r="E54" s="162"/>
      <c r="F54" s="162"/>
      <c r="G54" s="163"/>
      <c r="H54" s="48"/>
      <c r="I54" s="48"/>
      <c r="J54" s="60">
        <f t="shared" si="4"/>
        <v>0</v>
      </c>
    </row>
    <row r="55" spans="2:10">
      <c r="B55" s="59"/>
      <c r="C55" s="161"/>
      <c r="D55" s="162"/>
      <c r="E55" s="162"/>
      <c r="F55" s="162"/>
      <c r="G55" s="163"/>
      <c r="H55" s="48"/>
      <c r="I55" s="48"/>
      <c r="J55" s="60">
        <f t="shared" si="4"/>
        <v>0</v>
      </c>
    </row>
    <row r="56" spans="2:10">
      <c r="B56" s="59"/>
      <c r="C56" s="86"/>
      <c r="D56" s="87"/>
      <c r="E56" s="87"/>
      <c r="F56" s="87"/>
      <c r="G56" s="88"/>
      <c r="H56" s="48"/>
      <c r="I56" s="48"/>
      <c r="J56" s="60">
        <f t="shared" si="4"/>
        <v>0</v>
      </c>
    </row>
    <row r="57" spans="2:10">
      <c r="B57" s="59"/>
      <c r="C57" s="86"/>
      <c r="D57" s="87"/>
      <c r="E57" s="87"/>
      <c r="F57" s="87"/>
      <c r="G57" s="88"/>
      <c r="H57" s="48"/>
      <c r="I57" s="48"/>
      <c r="J57" s="60">
        <f t="shared" si="4"/>
        <v>0</v>
      </c>
    </row>
    <row r="58" spans="2:10">
      <c r="B58" s="59"/>
      <c r="C58" s="86"/>
      <c r="D58" s="87"/>
      <c r="E58" s="87"/>
      <c r="F58" s="87"/>
      <c r="G58" s="88"/>
      <c r="H58" s="48"/>
      <c r="I58" s="48"/>
      <c r="J58" s="60">
        <f t="shared" si="4"/>
        <v>0</v>
      </c>
    </row>
    <row r="59" spans="2:10">
      <c r="B59" s="57"/>
      <c r="C59" s="161"/>
      <c r="D59" s="162"/>
      <c r="E59" s="162"/>
      <c r="F59" s="162"/>
      <c r="G59" s="163"/>
      <c r="H59" s="48"/>
      <c r="I59" s="48"/>
      <c r="J59" s="60">
        <f t="shared" si="4"/>
        <v>0</v>
      </c>
    </row>
    <row r="60" spans="2:10">
      <c r="B60" s="57"/>
      <c r="C60" s="161"/>
      <c r="D60" s="162"/>
      <c r="E60" s="162"/>
      <c r="F60" s="162"/>
      <c r="G60" s="163"/>
      <c r="H60" s="48"/>
      <c r="I60" s="48"/>
      <c r="J60" s="60">
        <f t="shared" si="4"/>
        <v>0</v>
      </c>
    </row>
    <row r="61" spans="2:10">
      <c r="B61" s="57"/>
      <c r="C61" s="161"/>
      <c r="D61" s="162"/>
      <c r="E61" s="162"/>
      <c r="F61" s="162"/>
      <c r="G61" s="163"/>
      <c r="H61" s="48"/>
      <c r="I61" s="48"/>
      <c r="J61" s="60">
        <f t="shared" si="4"/>
        <v>0</v>
      </c>
    </row>
    <row r="62" spans="2:10">
      <c r="B62" s="57"/>
      <c r="C62" s="161"/>
      <c r="D62" s="162"/>
      <c r="E62" s="162"/>
      <c r="F62" s="162"/>
      <c r="G62" s="163"/>
      <c r="H62" s="48"/>
      <c r="I62" s="48"/>
      <c r="J62" s="60">
        <f t="shared" si="4"/>
        <v>0</v>
      </c>
    </row>
    <row r="63" spans="2:10">
      <c r="B63" s="57"/>
      <c r="C63" s="161"/>
      <c r="D63" s="162"/>
      <c r="E63" s="162"/>
      <c r="F63" s="162"/>
      <c r="G63" s="163"/>
      <c r="H63" s="48"/>
      <c r="I63" s="48"/>
      <c r="J63" s="60">
        <f t="shared" si="4"/>
        <v>0</v>
      </c>
    </row>
    <row r="64" spans="2:10">
      <c r="B64" s="57"/>
      <c r="C64" s="161"/>
      <c r="D64" s="162"/>
      <c r="E64" s="162"/>
      <c r="F64" s="162"/>
      <c r="G64" s="163"/>
      <c r="H64" s="48"/>
      <c r="I64" s="48"/>
      <c r="J64" s="60">
        <f t="shared" si="4"/>
        <v>0</v>
      </c>
    </row>
    <row r="65" spans="1:10">
      <c r="B65" s="57"/>
      <c r="C65" s="104"/>
      <c r="D65" s="105"/>
      <c r="E65" s="105"/>
      <c r="F65" s="105"/>
      <c r="G65" s="106"/>
      <c r="H65" s="48"/>
      <c r="I65" s="48"/>
      <c r="J65" s="60">
        <f t="shared" si="4"/>
        <v>0</v>
      </c>
    </row>
    <row r="66" spans="1:10">
      <c r="B66" s="57"/>
      <c r="C66" s="104"/>
      <c r="D66" s="105"/>
      <c r="E66" s="105"/>
      <c r="F66" s="105"/>
      <c r="G66" s="106"/>
      <c r="H66" s="48"/>
      <c r="I66" s="48"/>
      <c r="J66" s="60">
        <f t="shared" si="4"/>
        <v>0</v>
      </c>
    </row>
    <row r="67" spans="1:10">
      <c r="B67" s="57"/>
      <c r="C67" s="104"/>
      <c r="D67" s="105"/>
      <c r="E67" s="105"/>
      <c r="F67" s="105"/>
      <c r="G67" s="106"/>
      <c r="H67" s="48"/>
      <c r="I67" s="48"/>
      <c r="J67" s="60">
        <f t="shared" si="4"/>
        <v>0</v>
      </c>
    </row>
    <row r="68" spans="1:10">
      <c r="B68" s="57"/>
      <c r="C68" s="104"/>
      <c r="D68" s="105"/>
      <c r="E68" s="105"/>
      <c r="F68" s="105"/>
      <c r="G68" s="106"/>
      <c r="H68" s="48"/>
      <c r="I68" s="48"/>
      <c r="J68" s="60">
        <f t="shared" si="4"/>
        <v>0</v>
      </c>
    </row>
    <row r="69" spans="1:10" ht="38.1" customHeight="1">
      <c r="A69" s="7"/>
      <c r="B69" s="107" t="s">
        <v>19</v>
      </c>
      <c r="C69" s="108"/>
      <c r="D69" s="108"/>
      <c r="E69" s="108"/>
      <c r="F69" s="108"/>
      <c r="G69" s="109"/>
      <c r="H69" s="50">
        <f>SUM(H46:H68)</f>
        <v>0</v>
      </c>
      <c r="I69" s="50">
        <f>SUM(I46:I68)</f>
        <v>0</v>
      </c>
      <c r="J69" s="75">
        <f t="shared" si="4"/>
        <v>0</v>
      </c>
    </row>
    <row r="70" spans="1:10" ht="28.5" customHeight="1">
      <c r="B70" s="119" t="s">
        <v>7</v>
      </c>
      <c r="C70" s="120"/>
      <c r="D70" s="120"/>
      <c r="E70" s="120"/>
      <c r="F70" s="120"/>
      <c r="G70" s="120"/>
      <c r="H70" s="9">
        <f>SUM(H25+H34+H43+H69)</f>
        <v>0</v>
      </c>
      <c r="I70" s="9">
        <f>SUM(I25+I34+I43+I69)</f>
        <v>0</v>
      </c>
      <c r="J70" s="9">
        <f>SUM(J25+J34+J43+J69)</f>
        <v>0</v>
      </c>
    </row>
    <row r="71" spans="1:10" ht="38.4">
      <c r="B71" s="149" t="s">
        <v>8</v>
      </c>
      <c r="C71" s="150"/>
      <c r="D71" s="150"/>
      <c r="E71" s="150"/>
      <c r="F71" s="150"/>
      <c r="G71" s="151"/>
      <c r="H71" s="36" t="s">
        <v>41</v>
      </c>
      <c r="I71" s="36" t="s">
        <v>42</v>
      </c>
      <c r="J71" s="36" t="s">
        <v>43</v>
      </c>
    </row>
    <row r="72" spans="1:10" ht="19.2">
      <c r="B72" s="18" t="s">
        <v>10</v>
      </c>
      <c r="C72" s="152" t="s">
        <v>47</v>
      </c>
      <c r="D72" s="153"/>
      <c r="E72" s="153"/>
      <c r="F72" s="153"/>
      <c r="G72" s="154"/>
      <c r="H72" s="53"/>
      <c r="I72" s="53"/>
      <c r="J72" s="53"/>
    </row>
    <row r="73" spans="1:10" s="19" customFormat="1" ht="43.2">
      <c r="B73" s="57" t="s">
        <v>51</v>
      </c>
      <c r="C73" s="104"/>
      <c r="D73" s="105"/>
      <c r="E73" s="105"/>
      <c r="F73" s="105"/>
      <c r="G73" s="106"/>
      <c r="H73" s="52"/>
      <c r="I73" s="52"/>
      <c r="J73" s="60">
        <f t="shared" ref="J73:J76" si="5">I73-H73</f>
        <v>0</v>
      </c>
    </row>
    <row r="74" spans="1:10" s="19" customFormat="1" ht="21.75" customHeight="1">
      <c r="B74" s="57" t="s">
        <v>80</v>
      </c>
      <c r="C74" s="104"/>
      <c r="D74" s="105"/>
      <c r="E74" s="105"/>
      <c r="F74" s="105"/>
      <c r="G74" s="106"/>
      <c r="H74" s="52"/>
      <c r="I74" s="52"/>
      <c r="J74" s="60">
        <f t="shared" si="5"/>
        <v>0</v>
      </c>
    </row>
    <row r="75" spans="1:10" s="19" customFormat="1" ht="36" customHeight="1">
      <c r="B75" s="57" t="s">
        <v>87</v>
      </c>
      <c r="C75" s="104"/>
      <c r="D75" s="105"/>
      <c r="E75" s="105"/>
      <c r="F75" s="105"/>
      <c r="G75" s="106"/>
      <c r="H75" s="52"/>
      <c r="I75" s="52"/>
      <c r="J75" s="60">
        <f t="shared" si="5"/>
        <v>0</v>
      </c>
    </row>
    <row r="76" spans="1:10" ht="24" customHeight="1">
      <c r="B76" s="155" t="s">
        <v>9</v>
      </c>
      <c r="C76" s="156"/>
      <c r="D76" s="156"/>
      <c r="E76" s="156"/>
      <c r="F76" s="156"/>
      <c r="G76" s="157"/>
      <c r="H76" s="50">
        <f>SUM(H73:H75)</f>
        <v>0</v>
      </c>
      <c r="I76" s="50">
        <f>SUM(I73:I75)</f>
        <v>0</v>
      </c>
      <c r="J76" s="75">
        <f t="shared" si="5"/>
        <v>0</v>
      </c>
    </row>
    <row r="77" spans="1:10" s="21" customFormat="1" ht="33.75" customHeight="1">
      <c r="B77" s="146" t="s">
        <v>48</v>
      </c>
      <c r="C77" s="147"/>
      <c r="D77" s="147"/>
      <c r="E77" s="147"/>
      <c r="F77" s="147"/>
      <c r="G77" s="148"/>
      <c r="H77" s="11">
        <f t="shared" ref="H77:I77" si="6">ROUND(H76+H70,0)</f>
        <v>0</v>
      </c>
      <c r="I77" s="11">
        <f t="shared" si="6"/>
        <v>0</v>
      </c>
      <c r="J77" s="11">
        <f>ROUND(J76+J70,0)</f>
        <v>0</v>
      </c>
    </row>
    <row r="78" spans="1:10" s="41" customFormat="1" ht="31.5" customHeight="1">
      <c r="B78" s="130" t="s">
        <v>79</v>
      </c>
      <c r="C78" s="131"/>
      <c r="D78" s="131"/>
      <c r="E78" s="131"/>
      <c r="F78" s="131"/>
      <c r="G78" s="131"/>
      <c r="H78" s="131"/>
      <c r="I78" s="132"/>
      <c r="J78" s="68">
        <f>J77</f>
        <v>0</v>
      </c>
    </row>
    <row r="79" spans="1:10" s="41" customFormat="1" ht="32.25" customHeight="1">
      <c r="B79" s="66"/>
      <c r="C79" s="66"/>
      <c r="D79" s="66"/>
      <c r="E79" s="66"/>
      <c r="F79" s="66"/>
      <c r="G79" s="66"/>
      <c r="H79" s="66"/>
      <c r="I79" s="66"/>
      <c r="J79" s="67"/>
    </row>
    <row r="80" spans="1:10" s="41" customFormat="1" ht="44.4" customHeight="1">
      <c r="B80" s="133" t="s">
        <v>59</v>
      </c>
      <c r="C80" s="133"/>
      <c r="D80" s="133"/>
      <c r="E80" s="133"/>
      <c r="F80" s="133"/>
      <c r="G80" s="133"/>
      <c r="H80" s="133"/>
      <c r="I80" s="133"/>
      <c r="J80" s="133"/>
    </row>
    <row r="81" spans="2:10" s="41" customFormat="1" ht="31.5" customHeight="1">
      <c r="B81" s="134" t="s">
        <v>52</v>
      </c>
      <c r="C81" s="135"/>
      <c r="D81" s="135"/>
      <c r="E81" s="135"/>
      <c r="F81" s="135"/>
      <c r="G81" s="135"/>
      <c r="H81" s="135"/>
      <c r="I81" s="135"/>
      <c r="J81" s="136"/>
    </row>
    <row r="82" spans="2:10" ht="15" thickBot="1">
      <c r="B82" s="45"/>
      <c r="C82" s="46"/>
      <c r="D82" s="46"/>
      <c r="E82" s="46"/>
      <c r="F82" s="46"/>
      <c r="G82" s="46"/>
      <c r="H82" s="46"/>
      <c r="I82" s="46"/>
      <c r="J82" s="47"/>
    </row>
    <row r="83" spans="2:10">
      <c r="B83" s="137" t="s">
        <v>46</v>
      </c>
      <c r="C83" s="138"/>
      <c r="D83" s="138"/>
      <c r="E83" s="138"/>
      <c r="F83" s="138"/>
      <c r="G83" s="138"/>
      <c r="H83" s="138"/>
      <c r="I83" s="138"/>
      <c r="J83" s="139"/>
    </row>
    <row r="84" spans="2:10" ht="18" customHeight="1">
      <c r="B84" s="140" t="s">
        <v>45</v>
      </c>
      <c r="C84" s="141"/>
      <c r="D84" s="141"/>
      <c r="E84" s="141"/>
      <c r="F84" s="141"/>
      <c r="G84" s="141"/>
      <c r="H84" s="141"/>
      <c r="I84" s="141"/>
      <c r="J84" s="142"/>
    </row>
    <row r="85" spans="2:10" ht="30" customHeight="1">
      <c r="B85" s="121" t="s">
        <v>53</v>
      </c>
      <c r="C85" s="122"/>
      <c r="D85" s="122"/>
      <c r="E85" s="122"/>
      <c r="F85" s="122"/>
      <c r="G85" s="122"/>
      <c r="H85" s="122"/>
      <c r="I85" s="122"/>
      <c r="J85" s="123"/>
    </row>
    <row r="86" spans="2:10" ht="30" customHeight="1">
      <c r="B86" s="121" t="s">
        <v>54</v>
      </c>
      <c r="C86" s="122"/>
      <c r="D86" s="122"/>
      <c r="E86" s="122"/>
      <c r="F86" s="122"/>
      <c r="G86" s="122"/>
      <c r="H86" s="122"/>
      <c r="I86" s="122"/>
      <c r="J86" s="123"/>
    </row>
    <row r="87" spans="2:10" ht="30" customHeight="1">
      <c r="B87" s="143" t="s">
        <v>90</v>
      </c>
      <c r="C87" s="144"/>
      <c r="D87" s="144"/>
      <c r="E87" s="144"/>
      <c r="F87" s="144"/>
      <c r="G87" s="144"/>
      <c r="H87" s="144"/>
      <c r="I87" s="144"/>
      <c r="J87" s="145"/>
    </row>
    <row r="88" spans="2:10" ht="21.75" customHeight="1">
      <c r="B88" s="42"/>
      <c r="C88" s="43"/>
      <c r="D88" s="43"/>
      <c r="E88" s="43"/>
      <c r="F88" s="43"/>
      <c r="G88" s="43"/>
      <c r="H88" s="43"/>
      <c r="I88" s="43"/>
      <c r="J88" s="44"/>
    </row>
    <row r="89" spans="2:10" ht="18" customHeight="1">
      <c r="B89" s="124" t="s">
        <v>58</v>
      </c>
      <c r="C89" s="125"/>
      <c r="D89" s="125"/>
      <c r="E89" s="125"/>
      <c r="F89" s="125"/>
      <c r="G89" s="125"/>
      <c r="H89" s="125"/>
      <c r="I89" s="125"/>
      <c r="J89" s="126"/>
    </row>
    <row r="90" spans="2:10" ht="41.4" customHeight="1" thickBot="1">
      <c r="B90" s="127"/>
      <c r="C90" s="128"/>
      <c r="D90" s="128"/>
      <c r="E90" s="128"/>
      <c r="F90" s="128"/>
      <c r="G90" s="128"/>
      <c r="H90" s="128"/>
      <c r="I90" s="128"/>
      <c r="J90" s="129"/>
    </row>
  </sheetData>
  <sheetProtection selectLockedCells="1"/>
  <mergeCells count="82">
    <mergeCell ref="E8:F8"/>
    <mergeCell ref="G8:J8"/>
    <mergeCell ref="B12:J12"/>
    <mergeCell ref="B13:G13"/>
    <mergeCell ref="B26:G26"/>
    <mergeCell ref="C14:G14"/>
    <mergeCell ref="C15:G15"/>
    <mergeCell ref="C16:G16"/>
    <mergeCell ref="C17:G17"/>
    <mergeCell ref="C22:G22"/>
    <mergeCell ref="C23:G23"/>
    <mergeCell ref="C24:G24"/>
    <mergeCell ref="C18:G18"/>
    <mergeCell ref="C19:G19"/>
    <mergeCell ref="C20:G20"/>
    <mergeCell ref="C21:G21"/>
    <mergeCell ref="B1:K1"/>
    <mergeCell ref="E6:F6"/>
    <mergeCell ref="G6:J6"/>
    <mergeCell ref="E7:F7"/>
    <mergeCell ref="G7:J7"/>
    <mergeCell ref="C3:J3"/>
    <mergeCell ref="B35:G35"/>
    <mergeCell ref="C40:G40"/>
    <mergeCell ref="C41:G41"/>
    <mergeCell ref="C42:G42"/>
    <mergeCell ref="C66:G66"/>
    <mergeCell ref="C46:G46"/>
    <mergeCell ref="C47:G47"/>
    <mergeCell ref="C59:G59"/>
    <mergeCell ref="C60:G60"/>
    <mergeCell ref="C65:G65"/>
    <mergeCell ref="C64:G64"/>
    <mergeCell ref="C63:G63"/>
    <mergeCell ref="B69:G69"/>
    <mergeCell ref="B44:G44"/>
    <mergeCell ref="B43:G43"/>
    <mergeCell ref="C45:G45"/>
    <mergeCell ref="C67:G67"/>
    <mergeCell ref="C68:G68"/>
    <mergeCell ref="C48:G48"/>
    <mergeCell ref="C49:G49"/>
    <mergeCell ref="C50:G50"/>
    <mergeCell ref="C51:G51"/>
    <mergeCell ref="C52:G52"/>
    <mergeCell ref="C53:G53"/>
    <mergeCell ref="C54:G54"/>
    <mergeCell ref="C55:G55"/>
    <mergeCell ref="C61:G61"/>
    <mergeCell ref="C62:G62"/>
    <mergeCell ref="B70:G70"/>
    <mergeCell ref="B86:J86"/>
    <mergeCell ref="B89:J90"/>
    <mergeCell ref="B78:I78"/>
    <mergeCell ref="B80:J80"/>
    <mergeCell ref="B81:J81"/>
    <mergeCell ref="B83:J83"/>
    <mergeCell ref="B84:J84"/>
    <mergeCell ref="B85:J85"/>
    <mergeCell ref="B87:J87"/>
    <mergeCell ref="B77:G77"/>
    <mergeCell ref="B71:G71"/>
    <mergeCell ref="C72:G72"/>
    <mergeCell ref="C73:G73"/>
    <mergeCell ref="C74:G74"/>
    <mergeCell ref="B76:G76"/>
    <mergeCell ref="E9:F9"/>
    <mergeCell ref="G9:J9"/>
    <mergeCell ref="C75:G75"/>
    <mergeCell ref="B25:G25"/>
    <mergeCell ref="C36:G36"/>
    <mergeCell ref="C37:G37"/>
    <mergeCell ref="C38:G38"/>
    <mergeCell ref="C39:G39"/>
    <mergeCell ref="C32:G32"/>
    <mergeCell ref="C33:G33"/>
    <mergeCell ref="B34:G34"/>
    <mergeCell ref="C27:G27"/>
    <mergeCell ref="C28:G28"/>
    <mergeCell ref="C29:G29"/>
    <mergeCell ref="C30:G30"/>
    <mergeCell ref="C31:G31"/>
  </mergeCells>
  <pageMargins left="0.25" right="0.25" top="0.5" bottom="0.75" header="0.3" footer="0.3"/>
  <pageSetup scale="62" fitToHeight="2" pageOrder="overThenDown" orientation="portrait" r:id="rId1"/>
  <headerFooter>
    <oddHeader>&amp;RExhibit C Budget</oddHeader>
    <oddFooter>&amp;CPage &amp;P of &amp;N
V. 1 Jan 2013</oddFooter>
  </headerFooter>
  <rowBreaks count="1" manualBreakCount="1">
    <brk id="43" max="9" man="1"/>
  </row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FD66"/>
  <sheetViews>
    <sheetView zoomScaleNormal="100" workbookViewId="0">
      <selection activeCell="N6" sqref="N6"/>
    </sheetView>
  </sheetViews>
  <sheetFormatPr defaultRowHeight="14.4"/>
  <cols>
    <col min="1" max="1" width="3.6640625" customWidth="1"/>
    <col min="2" max="2" width="23" customWidth="1"/>
    <col min="3" max="3" width="42" customWidth="1"/>
    <col min="4" max="4" width="16.109375" customWidth="1"/>
    <col min="5" max="5" width="12.5546875" customWidth="1"/>
    <col min="6" max="6" width="9.88671875" bestFit="1" customWidth="1"/>
    <col min="7" max="7" width="9.5546875" customWidth="1"/>
    <col min="8" max="9" width="12.88671875" customWidth="1"/>
    <col min="10" max="10" width="15.109375" bestFit="1" customWidth="1"/>
    <col min="11" max="11" width="3.6640625" customWidth="1"/>
    <col min="12" max="12" width="11.109375" bestFit="1" customWidth="1"/>
  </cols>
  <sheetData>
    <row r="1" spans="2:12 16384:16384" ht="51.75" customHeight="1">
      <c r="B1" s="164" t="s">
        <v>40</v>
      </c>
      <c r="C1" s="165"/>
      <c r="D1" s="165"/>
      <c r="E1" s="165"/>
      <c r="F1" s="165"/>
      <c r="G1" s="165"/>
      <c r="H1" s="165"/>
      <c r="I1" s="165"/>
      <c r="J1" s="165"/>
      <c r="K1" s="165"/>
    </row>
    <row r="2" spans="2:12 16384:16384" ht="16.2" customHeight="1">
      <c r="B2" s="37"/>
      <c r="G2" s="62" t="s">
        <v>71</v>
      </c>
    </row>
    <row r="3" spans="2:12 16384:16384" ht="16.5" customHeight="1">
      <c r="G3" s="62" t="s">
        <v>83</v>
      </c>
    </row>
    <row r="4" spans="2:12 16384:16384" ht="16.5" customHeight="1">
      <c r="H4" s="13"/>
      <c r="I4" s="13"/>
      <c r="J4" s="13"/>
    </row>
    <row r="5" spans="2:12 16384:16384" ht="30" customHeight="1">
      <c r="B5" s="187" t="s">
        <v>25</v>
      </c>
      <c r="C5" s="187"/>
      <c r="D5" s="187"/>
      <c r="E5" s="187"/>
      <c r="F5" s="187"/>
      <c r="G5" s="187"/>
      <c r="H5" s="187"/>
      <c r="I5" s="187"/>
      <c r="J5" s="187"/>
      <c r="K5" s="54"/>
    </row>
    <row r="6" spans="2:12 16384:16384" ht="43.95" customHeight="1">
      <c r="B6" s="1" t="s">
        <v>0</v>
      </c>
      <c r="C6" s="10" t="s">
        <v>21</v>
      </c>
      <c r="D6" s="20"/>
      <c r="E6" s="99" t="s">
        <v>12</v>
      </c>
      <c r="F6" s="166"/>
      <c r="G6" s="211" t="s">
        <v>22</v>
      </c>
      <c r="H6" s="185"/>
      <c r="I6" s="185"/>
      <c r="J6" s="186"/>
    </row>
    <row r="7" spans="2:12 16384:16384" ht="33.75" customHeight="1">
      <c r="B7" s="2" t="s">
        <v>50</v>
      </c>
      <c r="C7" s="10" t="s">
        <v>23</v>
      </c>
      <c r="D7" s="20"/>
      <c r="E7" s="99" t="s">
        <v>13</v>
      </c>
      <c r="F7" s="100"/>
      <c r="G7" s="190" t="s">
        <v>61</v>
      </c>
      <c r="H7" s="191"/>
      <c r="I7" s="191"/>
      <c r="J7" s="192"/>
    </row>
    <row r="8" spans="2:12 16384:16384" ht="33.75" customHeight="1">
      <c r="B8" s="1" t="s">
        <v>49</v>
      </c>
      <c r="C8" s="10" t="s">
        <v>64</v>
      </c>
      <c r="D8" s="20"/>
      <c r="E8" s="99" t="s">
        <v>11</v>
      </c>
      <c r="F8" s="100"/>
      <c r="G8" s="190" t="s">
        <v>24</v>
      </c>
      <c r="H8" s="191"/>
      <c r="I8" s="191"/>
      <c r="J8" s="192"/>
    </row>
    <row r="9" spans="2:12 16384:16384" ht="37.5" customHeight="1">
      <c r="E9" s="99" t="s">
        <v>86</v>
      </c>
      <c r="F9" s="100"/>
      <c r="G9" s="193">
        <v>41365</v>
      </c>
      <c r="H9" s="194"/>
      <c r="I9" s="194"/>
      <c r="J9" s="195"/>
    </row>
    <row r="10" spans="2:12 16384:16384" ht="15" thickBot="1">
      <c r="B10" s="4"/>
      <c r="C10" s="4"/>
      <c r="D10" s="4"/>
      <c r="E10" s="4"/>
      <c r="F10" s="4"/>
      <c r="G10" s="4"/>
      <c r="H10" s="4"/>
      <c r="I10" s="4"/>
      <c r="J10" s="4"/>
    </row>
    <row r="11" spans="2:12 16384:16384">
      <c r="B11" s="3"/>
      <c r="C11" s="3"/>
      <c r="D11" s="3"/>
      <c r="E11" s="3"/>
      <c r="F11" s="3"/>
      <c r="G11" s="3"/>
      <c r="H11" s="3"/>
      <c r="I11" s="3"/>
      <c r="J11" s="3"/>
    </row>
    <row r="12" spans="2:12 16384:16384" ht="35.25" customHeight="1">
      <c r="B12" s="175" t="s">
        <v>1</v>
      </c>
      <c r="C12" s="176"/>
      <c r="D12" s="176"/>
      <c r="E12" s="176"/>
      <c r="F12" s="176"/>
      <c r="G12" s="176"/>
      <c r="H12" s="176"/>
      <c r="I12" s="176"/>
      <c r="J12" s="177"/>
    </row>
    <row r="13" spans="2:12 16384:16384" ht="38.4">
      <c r="B13" s="158" t="s">
        <v>2</v>
      </c>
      <c r="C13" s="159"/>
      <c r="D13" s="159"/>
      <c r="E13" s="159"/>
      <c r="F13" s="159"/>
      <c r="G13" s="160"/>
      <c r="H13" s="36" t="s">
        <v>41</v>
      </c>
      <c r="I13" s="36" t="s">
        <v>42</v>
      </c>
      <c r="J13" s="36" t="s">
        <v>43</v>
      </c>
    </row>
    <row r="14" spans="2:12 16384:16384" ht="28.5" customHeight="1">
      <c r="B14" s="15" t="s">
        <v>44</v>
      </c>
      <c r="C14" s="178" t="s">
        <v>47</v>
      </c>
      <c r="D14" s="179"/>
      <c r="E14" s="179"/>
      <c r="F14" s="179"/>
      <c r="G14" s="180"/>
      <c r="H14" s="8"/>
      <c r="I14" s="8"/>
      <c r="J14" s="5"/>
    </row>
    <row r="15" spans="2:12 16384:16384" ht="45" customHeight="1">
      <c r="B15" s="12" t="s">
        <v>26</v>
      </c>
      <c r="C15" s="104" t="s">
        <v>84</v>
      </c>
      <c r="D15" s="105"/>
      <c r="E15" s="105"/>
      <c r="F15" s="105"/>
      <c r="G15" s="106"/>
      <c r="H15" s="56">
        <v>15732</v>
      </c>
      <c r="I15" s="56">
        <v>28822.5</v>
      </c>
      <c r="J15" s="60">
        <f t="shared" ref="J15:J18" si="0">+I15-H15</f>
        <v>13090.5</v>
      </c>
      <c r="L15" s="64"/>
      <c r="XFD15" s="64"/>
    </row>
    <row r="16" spans="2:12 16384:16384" ht="45" customHeight="1">
      <c r="B16" s="12" t="s">
        <v>27</v>
      </c>
      <c r="C16" s="104" t="s">
        <v>62</v>
      </c>
      <c r="D16" s="105"/>
      <c r="E16" s="105"/>
      <c r="F16" s="105"/>
      <c r="G16" s="106"/>
      <c r="H16" s="56">
        <v>8784</v>
      </c>
      <c r="I16" s="56">
        <v>7596</v>
      </c>
      <c r="J16" s="60">
        <f t="shared" si="0"/>
        <v>-1188</v>
      </c>
      <c r="L16" s="64"/>
    </row>
    <row r="17" spans="2:12" ht="46.2" customHeight="1">
      <c r="B17" s="12" t="s">
        <v>28</v>
      </c>
      <c r="C17" s="104" t="s">
        <v>63</v>
      </c>
      <c r="D17" s="105"/>
      <c r="E17" s="105"/>
      <c r="F17" s="105"/>
      <c r="G17" s="106"/>
      <c r="H17" s="56">
        <v>10800</v>
      </c>
      <c r="I17" s="56">
        <f>D17</f>
        <v>0</v>
      </c>
      <c r="J17" s="60">
        <f t="shared" si="0"/>
        <v>-10800</v>
      </c>
      <c r="L17" s="64"/>
    </row>
    <row r="18" spans="2:12">
      <c r="B18" s="12" t="s">
        <v>29</v>
      </c>
      <c r="C18" s="104" t="s">
        <v>85</v>
      </c>
      <c r="D18" s="182"/>
      <c r="E18" s="182"/>
      <c r="F18" s="182"/>
      <c r="G18" s="183"/>
      <c r="H18" s="56">
        <v>8000</v>
      </c>
      <c r="I18" s="56">
        <v>6700</v>
      </c>
      <c r="J18" s="60">
        <f t="shared" si="0"/>
        <v>-1300</v>
      </c>
    </row>
    <row r="19" spans="2:12">
      <c r="B19" s="12"/>
      <c r="C19" s="208"/>
      <c r="D19" s="209"/>
      <c r="E19" s="209"/>
      <c r="F19" s="209"/>
      <c r="G19" s="210"/>
      <c r="H19" s="56"/>
      <c r="I19" s="56"/>
      <c r="J19" s="5"/>
    </row>
    <row r="20" spans="2:12" ht="38.1" customHeight="1">
      <c r="B20" s="107" t="s">
        <v>3</v>
      </c>
      <c r="C20" s="108"/>
      <c r="D20" s="108"/>
      <c r="E20" s="108"/>
      <c r="F20" s="108"/>
      <c r="G20" s="109"/>
      <c r="H20" s="6">
        <f t="shared" ref="H20:I20" si="1">SUM(H15:H19)</f>
        <v>43316</v>
      </c>
      <c r="I20" s="6">
        <f t="shared" si="1"/>
        <v>43118.5</v>
      </c>
      <c r="J20" s="6">
        <f>+I20-H20</f>
        <v>-197.5</v>
      </c>
      <c r="L20" s="64"/>
    </row>
    <row r="21" spans="2:12" ht="38.4">
      <c r="B21" s="158" t="s">
        <v>4</v>
      </c>
      <c r="C21" s="159"/>
      <c r="D21" s="159"/>
      <c r="E21" s="159"/>
      <c r="F21" s="159"/>
      <c r="G21" s="159"/>
      <c r="H21" s="36" t="s">
        <v>41</v>
      </c>
      <c r="I21" s="36" t="s">
        <v>42</v>
      </c>
      <c r="J21" s="36" t="s">
        <v>43</v>
      </c>
    </row>
    <row r="22" spans="2:12" ht="14.4" customHeight="1">
      <c r="B22" s="14" t="s">
        <v>10</v>
      </c>
      <c r="C22" s="110" t="s">
        <v>47</v>
      </c>
      <c r="D22" s="111"/>
      <c r="E22" s="111"/>
      <c r="F22" s="111"/>
      <c r="G22" s="112"/>
      <c r="H22" s="16"/>
      <c r="I22" s="16"/>
      <c r="J22" s="5"/>
    </row>
    <row r="23" spans="2:12" ht="14.4" customHeight="1">
      <c r="B23" s="57" t="s">
        <v>32</v>
      </c>
      <c r="C23" s="113"/>
      <c r="D23" s="114"/>
      <c r="E23" s="114"/>
      <c r="F23" s="114"/>
      <c r="G23" s="115"/>
      <c r="H23" s="61">
        <v>225</v>
      </c>
      <c r="I23" s="48">
        <v>225</v>
      </c>
      <c r="J23" s="60">
        <f t="shared" ref="J23:J28" si="2">+I23-H23</f>
        <v>0</v>
      </c>
    </row>
    <row r="24" spans="2:12" ht="14.4" customHeight="1">
      <c r="B24" s="58" t="s">
        <v>35</v>
      </c>
      <c r="C24" s="104" t="s">
        <v>66</v>
      </c>
      <c r="D24" s="105"/>
      <c r="E24" s="105"/>
      <c r="F24" s="105"/>
      <c r="G24" s="106"/>
      <c r="H24" s="61">
        <v>500</v>
      </c>
      <c r="I24" s="48">
        <v>400</v>
      </c>
      <c r="J24" s="60">
        <f t="shared" si="2"/>
        <v>-100</v>
      </c>
    </row>
    <row r="25" spans="2:12" ht="14.4" customHeight="1">
      <c r="B25" s="58" t="s">
        <v>30</v>
      </c>
      <c r="C25" s="113"/>
      <c r="D25" s="114"/>
      <c r="E25" s="114"/>
      <c r="F25" s="114"/>
      <c r="G25" s="115"/>
      <c r="H25" s="61">
        <v>125</v>
      </c>
      <c r="I25" s="48">
        <v>125</v>
      </c>
      <c r="J25" s="60">
        <f t="shared" si="2"/>
        <v>0</v>
      </c>
    </row>
    <row r="26" spans="2:12" ht="14.4" customHeight="1">
      <c r="B26" s="59" t="s">
        <v>31</v>
      </c>
      <c r="C26" s="104" t="s">
        <v>66</v>
      </c>
      <c r="D26" s="105"/>
      <c r="E26" s="105"/>
      <c r="F26" s="105"/>
      <c r="G26" s="106"/>
      <c r="H26" s="61">
        <v>750</v>
      </c>
      <c r="I26" s="48">
        <v>298</v>
      </c>
      <c r="J26" s="60">
        <f t="shared" si="2"/>
        <v>-452</v>
      </c>
    </row>
    <row r="27" spans="2:12" ht="14.4" customHeight="1">
      <c r="B27" s="57" t="s">
        <v>34</v>
      </c>
      <c r="C27" s="104" t="s">
        <v>65</v>
      </c>
      <c r="D27" s="105"/>
      <c r="E27" s="105"/>
      <c r="F27" s="105"/>
      <c r="G27" s="106"/>
      <c r="H27" s="61">
        <v>110</v>
      </c>
      <c r="I27" s="48">
        <v>50</v>
      </c>
      <c r="J27" s="60">
        <f t="shared" si="2"/>
        <v>-60</v>
      </c>
    </row>
    <row r="28" spans="2:12" ht="14.4" customHeight="1">
      <c r="B28" s="57" t="s">
        <v>33</v>
      </c>
      <c r="C28" s="104"/>
      <c r="D28" s="105"/>
      <c r="E28" s="105"/>
      <c r="F28" s="105"/>
      <c r="G28" s="106"/>
      <c r="H28" s="61">
        <v>269.90999999999997</v>
      </c>
      <c r="I28" s="48">
        <v>269.91000000000003</v>
      </c>
      <c r="J28" s="60">
        <f t="shared" si="2"/>
        <v>0</v>
      </c>
    </row>
    <row r="29" spans="2:12" ht="14.4" customHeight="1">
      <c r="B29" s="12"/>
      <c r="C29" s="199"/>
      <c r="D29" s="200"/>
      <c r="E29" s="200"/>
      <c r="F29" s="200"/>
      <c r="G29" s="201"/>
      <c r="H29" s="48"/>
      <c r="I29" s="48"/>
      <c r="J29" s="49"/>
    </row>
    <row r="30" spans="2:12" ht="38.1" customHeight="1">
      <c r="B30" s="107" t="s">
        <v>17</v>
      </c>
      <c r="C30" s="108"/>
      <c r="D30" s="108"/>
      <c r="E30" s="108"/>
      <c r="F30" s="108"/>
      <c r="G30" s="109"/>
      <c r="H30" s="50">
        <f>SUM(H23:H29)</f>
        <v>1979.9099999999999</v>
      </c>
      <c r="I30" s="50">
        <f>SUM(I23:I29)</f>
        <v>1367.91</v>
      </c>
      <c r="J30" s="6">
        <f>+I30-H30</f>
        <v>-611.99999999999977</v>
      </c>
    </row>
    <row r="31" spans="2:12" ht="38.4">
      <c r="B31" s="158" t="s">
        <v>5</v>
      </c>
      <c r="C31" s="159"/>
      <c r="D31" s="159"/>
      <c r="E31" s="159"/>
      <c r="F31" s="159"/>
      <c r="G31" s="159"/>
      <c r="H31" s="36" t="s">
        <v>41</v>
      </c>
      <c r="I31" s="36" t="s">
        <v>42</v>
      </c>
      <c r="J31" s="36" t="s">
        <v>43</v>
      </c>
    </row>
    <row r="32" spans="2:12" ht="14.4" customHeight="1">
      <c r="B32" s="14" t="s">
        <v>10</v>
      </c>
      <c r="C32" s="110" t="s">
        <v>47</v>
      </c>
      <c r="D32" s="111"/>
      <c r="E32" s="111"/>
      <c r="F32" s="111"/>
      <c r="G32" s="112"/>
      <c r="H32" s="51"/>
      <c r="I32" s="51"/>
      <c r="J32" s="49"/>
    </row>
    <row r="33" spans="1:10">
      <c r="B33" s="58" t="s">
        <v>67</v>
      </c>
      <c r="C33" s="202"/>
      <c r="D33" s="203"/>
      <c r="E33" s="203"/>
      <c r="F33" s="203"/>
      <c r="G33" s="204"/>
      <c r="H33" s="48">
        <v>13.75</v>
      </c>
      <c r="I33" s="48">
        <v>13.75</v>
      </c>
      <c r="J33" s="60">
        <f t="shared" ref="J33:J35" si="3">+I33-H33</f>
        <v>0</v>
      </c>
    </row>
    <row r="34" spans="1:10">
      <c r="B34" s="58" t="s">
        <v>68</v>
      </c>
      <c r="C34" s="202"/>
      <c r="D34" s="203"/>
      <c r="E34" s="203"/>
      <c r="F34" s="203"/>
      <c r="G34" s="204"/>
      <c r="H34" s="48">
        <v>200</v>
      </c>
      <c r="I34" s="48">
        <v>200</v>
      </c>
      <c r="J34" s="60">
        <f t="shared" si="3"/>
        <v>0</v>
      </c>
    </row>
    <row r="35" spans="1:10">
      <c r="B35" s="58" t="s">
        <v>69</v>
      </c>
      <c r="C35" s="202"/>
      <c r="D35" s="203"/>
      <c r="E35" s="203"/>
      <c r="F35" s="203"/>
      <c r="G35" s="204"/>
      <c r="H35" s="48">
        <v>80</v>
      </c>
      <c r="I35" s="48">
        <v>80</v>
      </c>
      <c r="J35" s="60">
        <f t="shared" si="3"/>
        <v>0</v>
      </c>
    </row>
    <row r="36" spans="1:10">
      <c r="B36" s="12"/>
      <c r="C36" s="199"/>
      <c r="D36" s="200"/>
      <c r="E36" s="200"/>
      <c r="F36" s="200"/>
      <c r="G36" s="201"/>
      <c r="H36" s="48"/>
      <c r="I36" s="48"/>
      <c r="J36" s="49"/>
    </row>
    <row r="37" spans="1:10" ht="30.75" customHeight="1">
      <c r="B37" s="107" t="s">
        <v>18</v>
      </c>
      <c r="C37" s="108"/>
      <c r="D37" s="108"/>
      <c r="E37" s="108"/>
      <c r="F37" s="108"/>
      <c r="G37" s="109"/>
      <c r="H37" s="50">
        <f>SUM(H33:H36)</f>
        <v>293.75</v>
      </c>
      <c r="I37" s="50">
        <f>SUM(I33:I36)</f>
        <v>293.75</v>
      </c>
      <c r="J37" s="50">
        <f>+I37-H37</f>
        <v>0</v>
      </c>
    </row>
    <row r="38" spans="1:10" ht="38.4">
      <c r="B38" s="158" t="s">
        <v>6</v>
      </c>
      <c r="C38" s="159"/>
      <c r="D38" s="159"/>
      <c r="E38" s="159"/>
      <c r="F38" s="159"/>
      <c r="G38" s="159"/>
      <c r="H38" s="36" t="s">
        <v>41</v>
      </c>
      <c r="I38" s="36" t="s">
        <v>42</v>
      </c>
      <c r="J38" s="36" t="s">
        <v>43</v>
      </c>
    </row>
    <row r="39" spans="1:10" ht="14.4" customHeight="1">
      <c r="B39" s="14" t="s">
        <v>10</v>
      </c>
      <c r="C39" s="110" t="s">
        <v>47</v>
      </c>
      <c r="D39" s="111"/>
      <c r="E39" s="111"/>
      <c r="F39" s="111"/>
      <c r="G39" s="112"/>
      <c r="H39" s="51"/>
      <c r="I39" s="51"/>
      <c r="J39" s="49"/>
    </row>
    <row r="40" spans="1:10" ht="15" customHeight="1">
      <c r="B40" s="58" t="s">
        <v>70</v>
      </c>
      <c r="C40" s="113" t="s">
        <v>81</v>
      </c>
      <c r="D40" s="114"/>
      <c r="E40" s="114"/>
      <c r="F40" s="114"/>
      <c r="G40" s="115"/>
      <c r="H40" s="48">
        <v>5000</v>
      </c>
      <c r="I40" s="48">
        <v>6000</v>
      </c>
      <c r="J40" s="60">
        <f>+I40-H40</f>
        <v>1000</v>
      </c>
    </row>
    <row r="41" spans="1:10">
      <c r="B41" s="17"/>
      <c r="C41" s="184"/>
      <c r="D41" s="185"/>
      <c r="E41" s="185"/>
      <c r="F41" s="185"/>
      <c r="G41" s="186"/>
      <c r="H41" s="48"/>
      <c r="I41" s="48"/>
      <c r="J41" s="60">
        <f t="shared" ref="J41:J44" si="4">+I41-H41</f>
        <v>0</v>
      </c>
    </row>
    <row r="42" spans="1:10">
      <c r="B42" s="12"/>
      <c r="C42" s="199"/>
      <c r="D42" s="200"/>
      <c r="E42" s="200"/>
      <c r="F42" s="200"/>
      <c r="G42" s="201"/>
      <c r="H42" s="48"/>
      <c r="I42" s="48"/>
      <c r="J42" s="60">
        <f t="shared" si="4"/>
        <v>0</v>
      </c>
    </row>
    <row r="43" spans="1:10">
      <c r="B43" s="12"/>
      <c r="C43" s="199"/>
      <c r="D43" s="200"/>
      <c r="E43" s="200"/>
      <c r="F43" s="200"/>
      <c r="G43" s="201"/>
      <c r="H43" s="48"/>
      <c r="I43" s="48"/>
      <c r="J43" s="60">
        <f t="shared" si="4"/>
        <v>0</v>
      </c>
    </row>
    <row r="44" spans="1:10" ht="38.1" customHeight="1">
      <c r="A44" s="7"/>
      <c r="B44" s="107" t="s">
        <v>19</v>
      </c>
      <c r="C44" s="108"/>
      <c r="D44" s="108"/>
      <c r="E44" s="108"/>
      <c r="F44" s="108"/>
      <c r="G44" s="109"/>
      <c r="H44" s="50">
        <f>SUM(H40:H43)</f>
        <v>5000</v>
      </c>
      <c r="I44" s="50">
        <f>SUM(I40:I43)</f>
        <v>6000</v>
      </c>
      <c r="J44" s="50">
        <f t="shared" si="4"/>
        <v>1000</v>
      </c>
    </row>
    <row r="45" spans="1:10" ht="28.5" customHeight="1">
      <c r="B45" s="119" t="s">
        <v>7</v>
      </c>
      <c r="C45" s="120"/>
      <c r="D45" s="120"/>
      <c r="E45" s="120"/>
      <c r="F45" s="120"/>
      <c r="G45" s="120"/>
      <c r="H45" s="9">
        <f>SUM(H20+H30+H37+H44)</f>
        <v>50589.66</v>
      </c>
      <c r="I45" s="9">
        <f>SUM(I20+I30+I37+I44)</f>
        <v>50780.160000000003</v>
      </c>
      <c r="J45" s="9">
        <f>SUM(J20+J30+J37+J44)</f>
        <v>190.50000000000023</v>
      </c>
    </row>
    <row r="46" spans="1:10" ht="38.4">
      <c r="B46" s="149" t="s">
        <v>8</v>
      </c>
      <c r="C46" s="150"/>
      <c r="D46" s="150"/>
      <c r="E46" s="150"/>
      <c r="F46" s="150"/>
      <c r="G46" s="151"/>
      <c r="H46" s="36" t="s">
        <v>41</v>
      </c>
      <c r="I46" s="36" t="s">
        <v>42</v>
      </c>
      <c r="J46" s="36" t="s">
        <v>43</v>
      </c>
    </row>
    <row r="47" spans="1:10" ht="19.2">
      <c r="B47" s="18" t="s">
        <v>10</v>
      </c>
      <c r="C47" s="152" t="s">
        <v>47</v>
      </c>
      <c r="D47" s="153"/>
      <c r="E47" s="153"/>
      <c r="F47" s="153"/>
      <c r="G47" s="154"/>
      <c r="H47" s="53"/>
      <c r="I47" s="53"/>
      <c r="J47" s="53"/>
    </row>
    <row r="48" spans="1:10" s="19" customFormat="1" ht="43.2">
      <c r="B48" s="34" t="s">
        <v>51</v>
      </c>
      <c r="C48" s="196" t="s">
        <v>91</v>
      </c>
      <c r="D48" s="197"/>
      <c r="E48" s="197"/>
      <c r="F48" s="197"/>
      <c r="G48" s="198"/>
      <c r="H48" s="52">
        <f>+(H37+H30+H20)*0.26</f>
        <v>11853.311600000001</v>
      </c>
      <c r="I48" s="52">
        <f>+(I37+I30+I20)*0.26</f>
        <v>11642.841600000002</v>
      </c>
      <c r="J48" s="60">
        <f t="shared" ref="J48:J51" si="5">+I48-H48</f>
        <v>-210.46999999999935</v>
      </c>
    </row>
    <row r="49" spans="2:12" s="19" customFormat="1" ht="18" customHeight="1">
      <c r="B49" s="58" t="s">
        <v>80</v>
      </c>
      <c r="C49" s="196" t="s">
        <v>93</v>
      </c>
      <c r="D49" s="197"/>
      <c r="E49" s="197"/>
      <c r="F49" s="197"/>
      <c r="G49" s="198"/>
      <c r="H49" s="52"/>
      <c r="I49" s="52"/>
      <c r="J49" s="60">
        <f t="shared" si="5"/>
        <v>0</v>
      </c>
    </row>
    <row r="50" spans="2:12" s="19" customFormat="1" ht="36" customHeight="1">
      <c r="B50" s="58" t="s">
        <v>87</v>
      </c>
      <c r="C50" s="196" t="s">
        <v>92</v>
      </c>
      <c r="D50" s="197"/>
      <c r="E50" s="197"/>
      <c r="F50" s="197"/>
      <c r="G50" s="198"/>
      <c r="H50" s="52">
        <f>+H44*0.02</f>
        <v>100</v>
      </c>
      <c r="I50" s="52">
        <f>+I44*0.02</f>
        <v>120</v>
      </c>
      <c r="J50" s="60">
        <f>+I50-H50</f>
        <v>20</v>
      </c>
    </row>
    <row r="51" spans="2:12" ht="24" customHeight="1">
      <c r="B51" s="155" t="s">
        <v>9</v>
      </c>
      <c r="C51" s="156"/>
      <c r="D51" s="156"/>
      <c r="E51" s="156"/>
      <c r="F51" s="156"/>
      <c r="G51" s="157"/>
      <c r="H51" s="69">
        <f>SUM(H48:H50)</f>
        <v>11953.311600000001</v>
      </c>
      <c r="I51" s="70">
        <f>SUM(I48:I50)</f>
        <v>11762.841600000002</v>
      </c>
      <c r="J51" s="71">
        <f t="shared" si="5"/>
        <v>-190.46999999999935</v>
      </c>
    </row>
    <row r="52" spans="2:12" s="21" customFormat="1" ht="33.75" customHeight="1">
      <c r="B52" s="205" t="s">
        <v>48</v>
      </c>
      <c r="C52" s="206"/>
      <c r="D52" s="206"/>
      <c r="E52" s="206"/>
      <c r="F52" s="206"/>
      <c r="G52" s="207"/>
      <c r="H52" s="11">
        <f>ROUND(H45+H51,0)</f>
        <v>62543</v>
      </c>
      <c r="I52" s="11">
        <f t="shared" ref="I52" si="6">ROUND(I45+I51,0)</f>
        <v>62543</v>
      </c>
      <c r="J52" s="11">
        <f>ROUND(J45+J51,0)</f>
        <v>0</v>
      </c>
      <c r="L52" s="63"/>
    </row>
    <row r="53" spans="2:12" s="41" customFormat="1" ht="35.25" customHeight="1">
      <c r="B53" s="188" t="s">
        <v>82</v>
      </c>
      <c r="C53" s="188"/>
      <c r="D53" s="188"/>
      <c r="E53" s="188"/>
      <c r="F53" s="188"/>
      <c r="G53" s="188"/>
      <c r="H53" s="188"/>
      <c r="I53" s="188"/>
      <c r="J53" s="74">
        <f>J52</f>
        <v>0</v>
      </c>
    </row>
    <row r="54" spans="2:12" s="72" customFormat="1" ht="24" customHeight="1">
      <c r="B54" s="66"/>
      <c r="C54" s="66"/>
      <c r="D54" s="66"/>
      <c r="E54" s="66"/>
      <c r="F54" s="66"/>
      <c r="G54" s="66"/>
      <c r="H54" s="66"/>
      <c r="I54" s="66"/>
      <c r="J54" s="73"/>
    </row>
    <row r="55" spans="2:12" s="41" customFormat="1" ht="44.4" customHeight="1">
      <c r="B55" s="133" t="s">
        <v>59</v>
      </c>
      <c r="C55" s="133"/>
      <c r="D55" s="133"/>
      <c r="E55" s="133"/>
      <c r="F55" s="133"/>
      <c r="G55" s="133"/>
      <c r="H55" s="133"/>
      <c r="I55" s="133"/>
      <c r="J55" s="133"/>
      <c r="L55" s="65"/>
    </row>
    <row r="56" spans="2:12" s="41" customFormat="1" ht="31.5" customHeight="1">
      <c r="B56" s="134" t="s">
        <v>52</v>
      </c>
      <c r="C56" s="135"/>
      <c r="D56" s="135"/>
      <c r="E56" s="135"/>
      <c r="F56" s="135"/>
      <c r="G56" s="135"/>
      <c r="H56" s="135"/>
      <c r="I56" s="135"/>
      <c r="J56" s="136"/>
    </row>
    <row r="57" spans="2:12" ht="15" thickBot="1">
      <c r="B57" s="45"/>
      <c r="C57" s="46"/>
      <c r="D57" s="46"/>
      <c r="E57" s="46"/>
      <c r="F57" s="46"/>
      <c r="G57" s="46"/>
      <c r="H57" s="46"/>
      <c r="I57" s="46"/>
      <c r="J57" s="47"/>
    </row>
    <row r="58" spans="2:12">
      <c r="B58" s="137" t="s">
        <v>46</v>
      </c>
      <c r="C58" s="138"/>
      <c r="D58" s="138"/>
      <c r="E58" s="138"/>
      <c r="F58" s="138"/>
      <c r="G58" s="138"/>
      <c r="H58" s="138"/>
      <c r="I58" s="138"/>
      <c r="J58" s="139"/>
    </row>
    <row r="59" spans="2:12" ht="18" customHeight="1">
      <c r="B59" s="140" t="s">
        <v>45</v>
      </c>
      <c r="C59" s="141"/>
      <c r="D59" s="141"/>
      <c r="E59" s="141"/>
      <c r="F59" s="141"/>
      <c r="G59" s="141"/>
      <c r="H59" s="141"/>
      <c r="I59" s="141"/>
      <c r="J59" s="142"/>
    </row>
    <row r="60" spans="2:12" ht="30" customHeight="1">
      <c r="B60" s="121" t="s">
        <v>53</v>
      </c>
      <c r="C60" s="122"/>
      <c r="D60" s="122"/>
      <c r="E60" s="122"/>
      <c r="F60" s="122"/>
      <c r="G60" s="122"/>
      <c r="H60" s="122"/>
      <c r="I60" s="122"/>
      <c r="J60" s="123"/>
    </row>
    <row r="61" spans="2:12" ht="30" customHeight="1">
      <c r="B61" s="143" t="s">
        <v>54</v>
      </c>
      <c r="C61" s="144"/>
      <c r="D61" s="144"/>
      <c r="E61" s="144"/>
      <c r="F61" s="144"/>
      <c r="G61" s="144"/>
      <c r="H61" s="144"/>
      <c r="I61" s="144"/>
      <c r="J61" s="145"/>
    </row>
    <row r="62" spans="2:12" ht="36" customHeight="1">
      <c r="B62" s="189" t="s">
        <v>87</v>
      </c>
      <c r="C62" s="144"/>
      <c r="D62" s="144"/>
      <c r="E62" s="144"/>
      <c r="F62" s="144"/>
      <c r="G62" s="144"/>
      <c r="H62" s="144"/>
      <c r="I62" s="144"/>
      <c r="J62" s="145"/>
    </row>
    <row r="63" spans="2:12" ht="5.4" customHeight="1">
      <c r="B63" s="42"/>
      <c r="C63" s="43"/>
      <c r="D63" s="43"/>
      <c r="E63" s="43"/>
      <c r="F63" s="43"/>
      <c r="G63" s="43"/>
      <c r="H63" s="43"/>
      <c r="I63" s="43"/>
      <c r="J63" s="44"/>
    </row>
    <row r="64" spans="2:12" ht="18" customHeight="1">
      <c r="B64" s="124" t="s">
        <v>58</v>
      </c>
      <c r="C64" s="125"/>
      <c r="D64" s="125"/>
      <c r="E64" s="125"/>
      <c r="F64" s="125"/>
      <c r="G64" s="125"/>
      <c r="H64" s="125"/>
      <c r="I64" s="125"/>
      <c r="J64" s="126"/>
    </row>
    <row r="65" spans="2:10" ht="41.4" customHeight="1" thickBot="1">
      <c r="B65" s="127"/>
      <c r="C65" s="128"/>
      <c r="D65" s="128"/>
      <c r="E65" s="128"/>
      <c r="F65" s="128"/>
      <c r="G65" s="128"/>
      <c r="H65" s="128"/>
      <c r="I65" s="128"/>
      <c r="J65" s="129"/>
    </row>
    <row r="66" spans="2:10" ht="30">
      <c r="B66" s="187" t="s">
        <v>25</v>
      </c>
      <c r="C66" s="187"/>
      <c r="D66" s="187"/>
      <c r="E66" s="187"/>
      <c r="F66" s="187"/>
      <c r="G66" s="187"/>
      <c r="H66" s="187"/>
      <c r="I66" s="187"/>
      <c r="J66" s="187"/>
    </row>
  </sheetData>
  <sheetProtection selectLockedCells="1"/>
  <mergeCells count="61">
    <mergeCell ref="B1:K1"/>
    <mergeCell ref="E6:F6"/>
    <mergeCell ref="G6:J6"/>
    <mergeCell ref="E7:F7"/>
    <mergeCell ref="G7:J7"/>
    <mergeCell ref="B5:J5"/>
    <mergeCell ref="B52:G52"/>
    <mergeCell ref="B46:G46"/>
    <mergeCell ref="C19:G19"/>
    <mergeCell ref="B20:G20"/>
    <mergeCell ref="C22:G22"/>
    <mergeCell ref="C23:G23"/>
    <mergeCell ref="C24:G24"/>
    <mergeCell ref="B31:G31"/>
    <mergeCell ref="C25:G25"/>
    <mergeCell ref="C26:G26"/>
    <mergeCell ref="C27:G27"/>
    <mergeCell ref="C28:G28"/>
    <mergeCell ref="C29:G29"/>
    <mergeCell ref="B30:G30"/>
    <mergeCell ref="C47:G47"/>
    <mergeCell ref="C48:G48"/>
    <mergeCell ref="C49:G49"/>
    <mergeCell ref="B51:G51"/>
    <mergeCell ref="C15:G15"/>
    <mergeCell ref="C16:G16"/>
    <mergeCell ref="C17:G17"/>
    <mergeCell ref="C18:G18"/>
    <mergeCell ref="C50:G50"/>
    <mergeCell ref="B21:G21"/>
    <mergeCell ref="B44:G44"/>
    <mergeCell ref="C42:G42"/>
    <mergeCell ref="C43:G43"/>
    <mergeCell ref="C32:G32"/>
    <mergeCell ref="C33:G33"/>
    <mergeCell ref="C34:G34"/>
    <mergeCell ref="C35:G35"/>
    <mergeCell ref="C36:G36"/>
    <mergeCell ref="E8:F8"/>
    <mergeCell ref="G8:J8"/>
    <mergeCell ref="B12:J12"/>
    <mergeCell ref="B13:G13"/>
    <mergeCell ref="C14:G14"/>
    <mergeCell ref="E9:F9"/>
    <mergeCell ref="G9:J9"/>
    <mergeCell ref="B66:J66"/>
    <mergeCell ref="B53:I53"/>
    <mergeCell ref="B55:J55"/>
    <mergeCell ref="B56:J56"/>
    <mergeCell ref="B58:J58"/>
    <mergeCell ref="B59:J59"/>
    <mergeCell ref="B60:J60"/>
    <mergeCell ref="B62:J62"/>
    <mergeCell ref="B61:J61"/>
    <mergeCell ref="B64:J65"/>
    <mergeCell ref="B45:G45"/>
    <mergeCell ref="B38:G38"/>
    <mergeCell ref="B37:G37"/>
    <mergeCell ref="C39:G39"/>
    <mergeCell ref="C40:G40"/>
    <mergeCell ref="C41:G41"/>
  </mergeCells>
  <pageMargins left="0.25" right="0.25" top="0.5" bottom="0.75" header="0.3" footer="0.3"/>
  <pageSetup scale="64" fitToHeight="3" pageOrder="overThenDown" orientation="portrait" r:id="rId1"/>
  <headerFooter>
    <oddHeader>&amp;RExhibit C Budget</oddHeader>
    <oddFooter>&amp;CPage &amp;P of &amp;N
V. 1 Jan 2013</oddFooter>
  </headerFooter>
  <rowBreaks count="1" manualBreakCount="1">
    <brk id="37" max="9" man="1"/>
  </row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Instructions</vt:lpstr>
      <vt:lpstr>SBHC FY14 Budget Revision Form</vt:lpstr>
      <vt:lpstr>Sample Budget Revision Form</vt:lpstr>
      <vt:lpstr>Instructions!Print_Area</vt:lpstr>
      <vt:lpstr>'Sample Budget Revision Form'!Print_Area</vt:lpstr>
      <vt:lpstr>'SBHC FY14 Budget Revision Form'!Print_Area</vt:lpstr>
      <vt:lpstr>'Sample Budget Revision Form'!Print_Titles</vt:lpstr>
      <vt:lpstr>'SBHC FY14 Budget Revision Form'!Print_Titles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Deborah J. Polk</dc:creator>
  <cp:lastModifiedBy>Public Health &amp; Environment</cp:lastModifiedBy>
  <cp:lastPrinted>2013-08-20T01:23:43Z</cp:lastPrinted>
  <dcterms:created xsi:type="dcterms:W3CDTF">2012-03-29T18:30:04Z</dcterms:created>
  <dcterms:modified xsi:type="dcterms:W3CDTF">2014-01-24T15:55:28Z</dcterms:modified>
</cp:coreProperties>
</file>