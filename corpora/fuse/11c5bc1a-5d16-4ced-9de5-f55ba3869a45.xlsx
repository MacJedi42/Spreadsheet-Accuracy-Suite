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120" windowWidth="12120" windowHeight="8670" activeTab="1"/>
  </bookViews>
  <sheets>
    <sheet name="Instructions" sheetId="4" r:id="rId1"/>
    <sheet name="Report" sheetId="1" r:id="rId2"/>
    <sheet name="HoursPer" sheetId="3" r:id="rId3"/>
  </sheets>
  <definedNames>
    <definedName name="District">Report!$D$4</definedName>
    <definedName name="HoursPer">HoursPer!$A$11:$G$541</definedName>
    <definedName name="_xlnm.Print_Area" localSheetId="0">Instructions!$A$1:$B$60</definedName>
    <definedName name="_xlnm.Print_Area" localSheetId="1">Report!$A$12:$S$178</definedName>
    <definedName name="_xlnm.Print_Titles" localSheetId="1">Report!$1:$11</definedName>
    <definedName name="Query_from_Databridge" localSheetId="2">HoursPer!$A$3:$F$541</definedName>
  </definedNames>
  <calcPr calcId="145621" fullCalcOnLoad="1"/>
</workbook>
</file>

<file path=xl/calcChain.xml><?xml version="1.0" encoding="utf-8"?>
<calcChain xmlns="http://schemas.openxmlformats.org/spreadsheetml/2006/main">
  <c r="I6" i="1" l="1"/>
  <c r="F39" i="1"/>
  <c r="G40" i="1" s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F40" i="1"/>
  <c r="H40" i="1"/>
  <c r="J40" i="1"/>
  <c r="L40" i="1"/>
  <c r="N40" i="1"/>
  <c r="P40" i="1"/>
  <c r="R40" i="1"/>
  <c r="E124" i="1"/>
  <c r="H124" i="1"/>
  <c r="J124" i="1"/>
  <c r="F124" i="1"/>
  <c r="G124" i="1"/>
  <c r="I124" i="1"/>
  <c r="G47" i="1"/>
  <c r="H47" i="1"/>
  <c r="I47" i="1"/>
  <c r="E47" i="1"/>
  <c r="D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R174" i="1" s="1"/>
  <c r="S173" i="1"/>
  <c r="S174" i="1" s="1"/>
  <c r="I4" i="1"/>
  <c r="I5" i="1" s="1"/>
  <c r="D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R167" i="1" s="1"/>
  <c r="S166" i="1"/>
  <c r="D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R160" i="1" s="1"/>
  <c r="S159" i="1"/>
  <c r="D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S153" i="1" s="1"/>
  <c r="D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R146" i="1" s="1"/>
  <c r="S145" i="1"/>
  <c r="D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S139" i="1" s="1"/>
  <c r="D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R132" i="1" s="1"/>
  <c r="S131" i="1"/>
  <c r="D124" i="1"/>
  <c r="K124" i="1"/>
  <c r="L124" i="1"/>
  <c r="M124" i="1"/>
  <c r="N124" i="1"/>
  <c r="O124" i="1"/>
  <c r="P124" i="1"/>
  <c r="Q124" i="1"/>
  <c r="R124" i="1"/>
  <c r="R125" i="1" s="1"/>
  <c r="S124" i="1"/>
  <c r="D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S118" i="1" s="1"/>
  <c r="D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R111" i="1" s="1"/>
  <c r="S110" i="1"/>
  <c r="D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S104" i="1" s="1"/>
  <c r="D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R97" i="1" s="1"/>
  <c r="S96" i="1"/>
  <c r="D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S90" i="1" s="1"/>
  <c r="D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R83" i="1" s="1"/>
  <c r="S82" i="1"/>
  <c r="D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S76" i="1" s="1"/>
  <c r="D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R69" i="1" s="1"/>
  <c r="S68" i="1"/>
  <c r="D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S62" i="1" s="1"/>
  <c r="D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S55" i="1" s="1"/>
  <c r="D47" i="1"/>
  <c r="F47" i="1"/>
  <c r="J47" i="1"/>
  <c r="K47" i="1"/>
  <c r="L47" i="1"/>
  <c r="M47" i="1"/>
  <c r="N47" i="1"/>
  <c r="O47" i="1"/>
  <c r="P47" i="1"/>
  <c r="Q47" i="1"/>
  <c r="R47" i="1"/>
  <c r="S47" i="1"/>
  <c r="S48" i="1" s="1"/>
  <c r="D39" i="1"/>
  <c r="E39" i="1"/>
  <c r="E54" i="1"/>
  <c r="E61" i="1"/>
  <c r="E68" i="1"/>
  <c r="E75" i="1"/>
  <c r="E82" i="1"/>
  <c r="E89" i="1"/>
  <c r="E96" i="1"/>
  <c r="E103" i="1"/>
  <c r="E110" i="1"/>
  <c r="E117" i="1"/>
  <c r="E131" i="1"/>
  <c r="E138" i="1"/>
  <c r="E145" i="1"/>
  <c r="E152" i="1"/>
  <c r="E159" i="1"/>
  <c r="E166" i="1"/>
  <c r="E173" i="1"/>
  <c r="G9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11" i="3"/>
  <c r="F9" i="3"/>
  <c r="B47" i="1"/>
  <c r="B54" i="1"/>
  <c r="B61" i="1"/>
  <c r="B68" i="1"/>
  <c r="B75" i="1"/>
  <c r="B82" i="1"/>
  <c r="B89" i="1"/>
  <c r="B96" i="1"/>
  <c r="B103" i="1"/>
  <c r="B110" i="1"/>
  <c r="B117" i="1"/>
  <c r="B124" i="1"/>
  <c r="B131" i="1"/>
  <c r="B138" i="1"/>
  <c r="B145" i="1"/>
  <c r="B152" i="1"/>
  <c r="B159" i="1"/>
  <c r="B166" i="1"/>
  <c r="B173" i="1"/>
  <c r="B39" i="1"/>
  <c r="R48" i="1" l="1"/>
  <c r="P48" i="1"/>
  <c r="N48" i="1"/>
  <c r="L48" i="1"/>
  <c r="J48" i="1"/>
  <c r="R55" i="1"/>
  <c r="P55" i="1"/>
  <c r="N55" i="1"/>
  <c r="L55" i="1"/>
  <c r="J55" i="1"/>
  <c r="H55" i="1"/>
  <c r="F55" i="1"/>
  <c r="P69" i="1"/>
  <c r="N69" i="1"/>
  <c r="L69" i="1"/>
  <c r="J69" i="1"/>
  <c r="H69" i="1"/>
  <c r="F69" i="1"/>
  <c r="Q48" i="1"/>
  <c r="O48" i="1"/>
  <c r="M48" i="1"/>
  <c r="K48" i="1"/>
  <c r="F48" i="1"/>
  <c r="H48" i="1"/>
  <c r="G48" i="1"/>
  <c r="I48" i="1"/>
  <c r="Q55" i="1"/>
  <c r="O55" i="1"/>
  <c r="M55" i="1"/>
  <c r="K55" i="1"/>
  <c r="I55" i="1"/>
  <c r="G55" i="1"/>
  <c r="Q62" i="1"/>
  <c r="O62" i="1"/>
  <c r="M62" i="1"/>
  <c r="K62" i="1"/>
  <c r="I62" i="1"/>
  <c r="G62" i="1"/>
  <c r="R62" i="1"/>
  <c r="P62" i="1"/>
  <c r="N62" i="1"/>
  <c r="L62" i="1"/>
  <c r="J62" i="1"/>
  <c r="H62" i="1"/>
  <c r="F62" i="1"/>
  <c r="S69" i="1"/>
  <c r="Q69" i="1"/>
  <c r="O69" i="1"/>
  <c r="M69" i="1"/>
  <c r="K69" i="1"/>
  <c r="I69" i="1"/>
  <c r="G69" i="1"/>
  <c r="R76" i="1"/>
  <c r="P76" i="1"/>
  <c r="N76" i="1"/>
  <c r="L76" i="1"/>
  <c r="J76" i="1"/>
  <c r="H76" i="1"/>
  <c r="F76" i="1"/>
  <c r="S83" i="1"/>
  <c r="Q83" i="1"/>
  <c r="O83" i="1"/>
  <c r="M83" i="1"/>
  <c r="K83" i="1"/>
  <c r="I83" i="1"/>
  <c r="G83" i="1"/>
  <c r="R90" i="1"/>
  <c r="P90" i="1"/>
  <c r="N90" i="1"/>
  <c r="L90" i="1"/>
  <c r="J90" i="1"/>
  <c r="H90" i="1"/>
  <c r="F90" i="1"/>
  <c r="S97" i="1"/>
  <c r="Q97" i="1"/>
  <c r="O97" i="1"/>
  <c r="M97" i="1"/>
  <c r="K97" i="1"/>
  <c r="I97" i="1"/>
  <c r="G97" i="1"/>
  <c r="R104" i="1"/>
  <c r="P104" i="1"/>
  <c r="N104" i="1"/>
  <c r="L104" i="1"/>
  <c r="J104" i="1"/>
  <c r="H104" i="1"/>
  <c r="F104" i="1"/>
  <c r="S111" i="1"/>
  <c r="Q111" i="1"/>
  <c r="O111" i="1"/>
  <c r="M111" i="1"/>
  <c r="K111" i="1"/>
  <c r="I111" i="1"/>
  <c r="G111" i="1"/>
  <c r="R118" i="1"/>
  <c r="P118" i="1"/>
  <c r="N118" i="1"/>
  <c r="L118" i="1"/>
  <c r="J118" i="1"/>
  <c r="H118" i="1"/>
  <c r="F118" i="1"/>
  <c r="S125" i="1"/>
  <c r="Q125" i="1"/>
  <c r="O125" i="1"/>
  <c r="M125" i="1"/>
  <c r="K125" i="1"/>
  <c r="S132" i="1"/>
  <c r="Q132" i="1"/>
  <c r="O132" i="1"/>
  <c r="M132" i="1"/>
  <c r="K132" i="1"/>
  <c r="I132" i="1"/>
  <c r="G132" i="1"/>
  <c r="R139" i="1"/>
  <c r="P139" i="1"/>
  <c r="N139" i="1"/>
  <c r="L139" i="1"/>
  <c r="J139" i="1"/>
  <c r="H139" i="1"/>
  <c r="F139" i="1"/>
  <c r="S146" i="1"/>
  <c r="Q146" i="1"/>
  <c r="O146" i="1"/>
  <c r="M146" i="1"/>
  <c r="K146" i="1"/>
  <c r="I146" i="1"/>
  <c r="G146" i="1"/>
  <c r="R153" i="1"/>
  <c r="P153" i="1"/>
  <c r="N153" i="1"/>
  <c r="L153" i="1"/>
  <c r="J153" i="1"/>
  <c r="H153" i="1"/>
  <c r="F153" i="1"/>
  <c r="S160" i="1"/>
  <c r="Q160" i="1"/>
  <c r="O160" i="1"/>
  <c r="M160" i="1"/>
  <c r="K160" i="1"/>
  <c r="I160" i="1"/>
  <c r="G160" i="1"/>
  <c r="Q76" i="1"/>
  <c r="O76" i="1"/>
  <c r="M76" i="1"/>
  <c r="K76" i="1"/>
  <c r="I76" i="1"/>
  <c r="G76" i="1"/>
  <c r="P83" i="1"/>
  <c r="N83" i="1"/>
  <c r="L83" i="1"/>
  <c r="J83" i="1"/>
  <c r="H83" i="1"/>
  <c r="F83" i="1"/>
  <c r="Q90" i="1"/>
  <c r="O90" i="1"/>
  <c r="M90" i="1"/>
  <c r="K90" i="1"/>
  <c r="I90" i="1"/>
  <c r="G90" i="1"/>
  <c r="P97" i="1"/>
  <c r="N97" i="1"/>
  <c r="L97" i="1"/>
  <c r="J97" i="1"/>
  <c r="H97" i="1"/>
  <c r="F97" i="1"/>
  <c r="Q104" i="1"/>
  <c r="O104" i="1"/>
  <c r="M104" i="1"/>
  <c r="K104" i="1"/>
  <c r="I104" i="1"/>
  <c r="G104" i="1"/>
  <c r="P111" i="1"/>
  <c r="N111" i="1"/>
  <c r="L111" i="1"/>
  <c r="J111" i="1"/>
  <c r="H111" i="1"/>
  <c r="F111" i="1"/>
  <c r="Q118" i="1"/>
  <c r="O118" i="1"/>
  <c r="M118" i="1"/>
  <c r="K118" i="1"/>
  <c r="I118" i="1"/>
  <c r="G118" i="1"/>
  <c r="P125" i="1"/>
  <c r="N125" i="1"/>
  <c r="L125" i="1"/>
  <c r="P132" i="1"/>
  <c r="N132" i="1"/>
  <c r="L132" i="1"/>
  <c r="J132" i="1"/>
  <c r="H132" i="1"/>
  <c r="F132" i="1"/>
  <c r="Q139" i="1"/>
  <c r="O139" i="1"/>
  <c r="M139" i="1"/>
  <c r="K139" i="1"/>
  <c r="I139" i="1"/>
  <c r="G139" i="1"/>
  <c r="P146" i="1"/>
  <c r="N146" i="1"/>
  <c r="L146" i="1"/>
  <c r="J146" i="1"/>
  <c r="H146" i="1"/>
  <c r="F146" i="1"/>
  <c r="Q153" i="1"/>
  <c r="O153" i="1"/>
  <c r="M153" i="1"/>
  <c r="K153" i="1"/>
  <c r="I153" i="1"/>
  <c r="G153" i="1"/>
  <c r="P160" i="1"/>
  <c r="N160" i="1"/>
  <c r="L160" i="1"/>
  <c r="J160" i="1"/>
  <c r="H160" i="1"/>
  <c r="F160" i="1"/>
  <c r="P167" i="1"/>
  <c r="N167" i="1"/>
  <c r="L167" i="1"/>
  <c r="J167" i="1"/>
  <c r="H167" i="1"/>
  <c r="F167" i="1"/>
  <c r="S167" i="1"/>
  <c r="Q167" i="1"/>
  <c r="O167" i="1"/>
  <c r="M167" i="1"/>
  <c r="K167" i="1"/>
  <c r="I167" i="1"/>
  <c r="G167" i="1"/>
  <c r="P174" i="1"/>
  <c r="N174" i="1"/>
  <c r="L174" i="1"/>
  <c r="J174" i="1"/>
  <c r="H174" i="1"/>
  <c r="F174" i="1"/>
  <c r="I125" i="1"/>
  <c r="F125" i="1"/>
  <c r="H125" i="1"/>
  <c r="Q174" i="1"/>
  <c r="O174" i="1"/>
  <c r="M174" i="1"/>
  <c r="K174" i="1"/>
  <c r="I174" i="1"/>
  <c r="G174" i="1"/>
  <c r="G125" i="1"/>
  <c r="J125" i="1"/>
  <c r="S40" i="1"/>
  <c r="Q40" i="1"/>
  <c r="O40" i="1"/>
  <c r="M40" i="1"/>
  <c r="K40" i="1"/>
  <c r="Q41" i="1" s="1"/>
  <c r="I40" i="1"/>
  <c r="Q42" i="1" l="1"/>
  <c r="Q44" i="1"/>
  <c r="J41" i="1"/>
  <c r="F41" i="1"/>
  <c r="R41" i="1"/>
  <c r="S175" i="1"/>
  <c r="Q175" i="1"/>
  <c r="O175" i="1"/>
  <c r="M175" i="1"/>
  <c r="K175" i="1"/>
  <c r="I175" i="1"/>
  <c r="G175" i="1"/>
  <c r="R175" i="1"/>
  <c r="N175" i="1"/>
  <c r="J175" i="1"/>
  <c r="F175" i="1"/>
  <c r="P175" i="1"/>
  <c r="L175" i="1"/>
  <c r="H175" i="1"/>
  <c r="G41" i="1"/>
  <c r="M41" i="1"/>
  <c r="I41" i="1"/>
  <c r="P41" i="1"/>
  <c r="L41" i="1"/>
  <c r="H41" i="1"/>
  <c r="O41" i="1"/>
  <c r="S41" i="1"/>
  <c r="S168" i="1"/>
  <c r="Q168" i="1"/>
  <c r="O168" i="1"/>
  <c r="M168" i="1"/>
  <c r="K168" i="1"/>
  <c r="I168" i="1"/>
  <c r="G168" i="1"/>
  <c r="R168" i="1"/>
  <c r="N168" i="1"/>
  <c r="J168" i="1"/>
  <c r="F168" i="1"/>
  <c r="P168" i="1"/>
  <c r="L168" i="1"/>
  <c r="H168" i="1"/>
  <c r="S161" i="1"/>
  <c r="Q161" i="1"/>
  <c r="O161" i="1"/>
  <c r="M161" i="1"/>
  <c r="K161" i="1"/>
  <c r="I161" i="1"/>
  <c r="G161" i="1"/>
  <c r="R161" i="1"/>
  <c r="N161" i="1"/>
  <c r="J161" i="1"/>
  <c r="F161" i="1"/>
  <c r="P161" i="1"/>
  <c r="L161" i="1"/>
  <c r="H161" i="1"/>
  <c r="S147" i="1"/>
  <c r="Q147" i="1"/>
  <c r="O147" i="1"/>
  <c r="M147" i="1"/>
  <c r="K147" i="1"/>
  <c r="I147" i="1"/>
  <c r="G147" i="1"/>
  <c r="R147" i="1"/>
  <c r="N147" i="1"/>
  <c r="J147" i="1"/>
  <c r="F147" i="1"/>
  <c r="P147" i="1"/>
  <c r="L147" i="1"/>
  <c r="H147" i="1"/>
  <c r="S133" i="1"/>
  <c r="Q133" i="1"/>
  <c r="O133" i="1"/>
  <c r="M133" i="1"/>
  <c r="K133" i="1"/>
  <c r="I133" i="1"/>
  <c r="G133" i="1"/>
  <c r="R133" i="1"/>
  <c r="P133" i="1"/>
  <c r="N133" i="1"/>
  <c r="L133" i="1"/>
  <c r="J133" i="1"/>
  <c r="H133" i="1"/>
  <c r="F133" i="1"/>
  <c r="S154" i="1"/>
  <c r="Q154" i="1"/>
  <c r="O154" i="1"/>
  <c r="M154" i="1"/>
  <c r="K154" i="1"/>
  <c r="I154" i="1"/>
  <c r="G154" i="1"/>
  <c r="R154" i="1"/>
  <c r="N154" i="1"/>
  <c r="J154" i="1"/>
  <c r="F154" i="1"/>
  <c r="P154" i="1"/>
  <c r="L154" i="1"/>
  <c r="H154" i="1"/>
  <c r="R105" i="1"/>
  <c r="P105" i="1"/>
  <c r="N105" i="1"/>
  <c r="L105" i="1"/>
  <c r="J105" i="1"/>
  <c r="H105" i="1"/>
  <c r="F105" i="1"/>
  <c r="S105" i="1"/>
  <c r="O105" i="1"/>
  <c r="K105" i="1"/>
  <c r="G105" i="1"/>
  <c r="Q105" i="1"/>
  <c r="M105" i="1"/>
  <c r="I105" i="1"/>
  <c r="R77" i="1"/>
  <c r="P77" i="1"/>
  <c r="N77" i="1"/>
  <c r="L77" i="1"/>
  <c r="J77" i="1"/>
  <c r="H77" i="1"/>
  <c r="F77" i="1"/>
  <c r="S77" i="1"/>
  <c r="Q77" i="1"/>
  <c r="O77" i="1"/>
  <c r="M77" i="1"/>
  <c r="K77" i="1"/>
  <c r="I77" i="1"/>
  <c r="G77" i="1"/>
  <c r="R70" i="1"/>
  <c r="P70" i="1"/>
  <c r="N70" i="1"/>
  <c r="L70" i="1"/>
  <c r="J70" i="1"/>
  <c r="H70" i="1"/>
  <c r="F70" i="1"/>
  <c r="S70" i="1"/>
  <c r="Q70" i="1"/>
  <c r="O70" i="1"/>
  <c r="M70" i="1"/>
  <c r="K70" i="1"/>
  <c r="I70" i="1"/>
  <c r="G70" i="1"/>
  <c r="R56" i="1"/>
  <c r="P56" i="1"/>
  <c r="N56" i="1"/>
  <c r="L56" i="1"/>
  <c r="J56" i="1"/>
  <c r="H56" i="1"/>
  <c r="F56" i="1"/>
  <c r="S56" i="1"/>
  <c r="Q56" i="1"/>
  <c r="O56" i="1"/>
  <c r="M56" i="1"/>
  <c r="K56" i="1"/>
  <c r="I56" i="1"/>
  <c r="G56" i="1"/>
  <c r="N41" i="1"/>
  <c r="K41" i="1"/>
  <c r="S126" i="1"/>
  <c r="Q126" i="1"/>
  <c r="O126" i="1"/>
  <c r="M126" i="1"/>
  <c r="K126" i="1"/>
  <c r="I126" i="1"/>
  <c r="G126" i="1"/>
  <c r="R126" i="1"/>
  <c r="P126" i="1"/>
  <c r="N126" i="1"/>
  <c r="L126" i="1"/>
  <c r="J126" i="1"/>
  <c r="H126" i="1"/>
  <c r="F126" i="1"/>
  <c r="R112" i="1"/>
  <c r="P112" i="1"/>
  <c r="N112" i="1"/>
  <c r="L112" i="1"/>
  <c r="J112" i="1"/>
  <c r="H112" i="1"/>
  <c r="F112" i="1"/>
  <c r="S112" i="1"/>
  <c r="O112" i="1"/>
  <c r="K112" i="1"/>
  <c r="G112" i="1"/>
  <c r="Q112" i="1"/>
  <c r="M112" i="1"/>
  <c r="I112" i="1"/>
  <c r="R98" i="1"/>
  <c r="P98" i="1"/>
  <c r="N98" i="1"/>
  <c r="L98" i="1"/>
  <c r="J98" i="1"/>
  <c r="H98" i="1"/>
  <c r="F98" i="1"/>
  <c r="S98" i="1"/>
  <c r="O98" i="1"/>
  <c r="K98" i="1"/>
  <c r="G98" i="1"/>
  <c r="Q98" i="1"/>
  <c r="M98" i="1"/>
  <c r="I98" i="1"/>
  <c r="R84" i="1"/>
  <c r="P84" i="1"/>
  <c r="N84" i="1"/>
  <c r="L84" i="1"/>
  <c r="J84" i="1"/>
  <c r="H84" i="1"/>
  <c r="F84" i="1"/>
  <c r="S84" i="1"/>
  <c r="Q84" i="1"/>
  <c r="O84" i="1"/>
  <c r="M84" i="1"/>
  <c r="K84" i="1"/>
  <c r="I84" i="1"/>
  <c r="G84" i="1"/>
  <c r="S140" i="1"/>
  <c r="Q140" i="1"/>
  <c r="O140" i="1"/>
  <c r="M140" i="1"/>
  <c r="K140" i="1"/>
  <c r="I140" i="1"/>
  <c r="G140" i="1"/>
  <c r="R140" i="1"/>
  <c r="N140" i="1"/>
  <c r="J140" i="1"/>
  <c r="F140" i="1"/>
  <c r="P140" i="1"/>
  <c r="L140" i="1"/>
  <c r="H140" i="1"/>
  <c r="S119" i="1"/>
  <c r="Q119" i="1"/>
  <c r="O119" i="1"/>
  <c r="M119" i="1"/>
  <c r="K119" i="1"/>
  <c r="I119" i="1"/>
  <c r="G119" i="1"/>
  <c r="R119" i="1"/>
  <c r="P119" i="1"/>
  <c r="N119" i="1"/>
  <c r="L119" i="1"/>
  <c r="J119" i="1"/>
  <c r="H119" i="1"/>
  <c r="F119" i="1"/>
  <c r="R91" i="1"/>
  <c r="P91" i="1"/>
  <c r="N91" i="1"/>
  <c r="L91" i="1"/>
  <c r="J91" i="1"/>
  <c r="H91" i="1"/>
  <c r="F91" i="1"/>
  <c r="S91" i="1"/>
  <c r="Q91" i="1"/>
  <c r="O91" i="1"/>
  <c r="M91" i="1"/>
  <c r="K91" i="1"/>
  <c r="I91" i="1"/>
  <c r="G91" i="1"/>
  <c r="R63" i="1"/>
  <c r="P63" i="1"/>
  <c r="N63" i="1"/>
  <c r="L63" i="1"/>
  <c r="J63" i="1"/>
  <c r="H63" i="1"/>
  <c r="F63" i="1"/>
  <c r="S63" i="1"/>
  <c r="Q63" i="1"/>
  <c r="O63" i="1"/>
  <c r="M63" i="1"/>
  <c r="K63" i="1"/>
  <c r="I63" i="1"/>
  <c r="G63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H52" i="1" l="1"/>
  <c r="H50" i="1"/>
  <c r="H51" i="1" s="1"/>
  <c r="L52" i="1"/>
  <c r="L50" i="1"/>
  <c r="L51" i="1" s="1"/>
  <c r="N52" i="1"/>
  <c r="N50" i="1"/>
  <c r="N51" i="1" s="1"/>
  <c r="R50" i="1"/>
  <c r="R51" i="1" s="1"/>
  <c r="R52" i="1"/>
  <c r="G66" i="1"/>
  <c r="G64" i="1"/>
  <c r="G65" i="1" s="1"/>
  <c r="O66" i="1"/>
  <c r="O64" i="1"/>
  <c r="O65" i="1" s="1"/>
  <c r="H64" i="1"/>
  <c r="H65" i="1" s="1"/>
  <c r="H66" i="1"/>
  <c r="P64" i="1"/>
  <c r="P65" i="1" s="1"/>
  <c r="P66" i="1"/>
  <c r="G94" i="1"/>
  <c r="G92" i="1"/>
  <c r="G93" i="1" s="1"/>
  <c r="O94" i="1"/>
  <c r="O92" i="1"/>
  <c r="O93" i="1" s="1"/>
  <c r="H92" i="1"/>
  <c r="H93" i="1" s="1"/>
  <c r="H94" i="1"/>
  <c r="P92" i="1"/>
  <c r="P93" i="1" s="1"/>
  <c r="P94" i="1"/>
  <c r="J122" i="1"/>
  <c r="J120" i="1"/>
  <c r="J121" i="1" s="1"/>
  <c r="N122" i="1"/>
  <c r="N120" i="1"/>
  <c r="N121" i="1" s="1"/>
  <c r="I122" i="1"/>
  <c r="I120" i="1"/>
  <c r="I121" i="1" s="1"/>
  <c r="Q122" i="1"/>
  <c r="Q120" i="1"/>
  <c r="Q121" i="1" s="1"/>
  <c r="P141" i="1"/>
  <c r="P142" i="1" s="1"/>
  <c r="P143" i="1"/>
  <c r="J143" i="1"/>
  <c r="J141" i="1"/>
  <c r="J142" i="1" s="1"/>
  <c r="I143" i="1"/>
  <c r="I141" i="1"/>
  <c r="I142" i="1" s="1"/>
  <c r="Q143" i="1"/>
  <c r="Q141" i="1"/>
  <c r="Q142" i="1" s="1"/>
  <c r="K85" i="1"/>
  <c r="K86" i="1" s="1"/>
  <c r="K87" i="1"/>
  <c r="G52" i="1"/>
  <c r="G50" i="1"/>
  <c r="G51" i="1" s="1"/>
  <c r="I52" i="1"/>
  <c r="I50" i="1"/>
  <c r="I51" i="1" s="1"/>
  <c r="K52" i="1"/>
  <c r="K50" i="1"/>
  <c r="K51" i="1" s="1"/>
  <c r="M52" i="1"/>
  <c r="M50" i="1"/>
  <c r="M51" i="1" s="1"/>
  <c r="O52" i="1"/>
  <c r="O50" i="1"/>
  <c r="O51" i="1" s="1"/>
  <c r="Q52" i="1"/>
  <c r="Q50" i="1"/>
  <c r="Q51" i="1" s="1"/>
  <c r="S50" i="1"/>
  <c r="S51" i="1" s="1"/>
  <c r="S52" i="1"/>
  <c r="I66" i="1"/>
  <c r="I64" i="1"/>
  <c r="I65" i="1" s="1"/>
  <c r="M66" i="1"/>
  <c r="M64" i="1"/>
  <c r="M65" i="1" s="1"/>
  <c r="Q66" i="1"/>
  <c r="Q64" i="1"/>
  <c r="Q65" i="1" s="1"/>
  <c r="F66" i="1"/>
  <c r="F64" i="1"/>
  <c r="J66" i="1"/>
  <c r="J64" i="1"/>
  <c r="J65" i="1" s="1"/>
  <c r="N66" i="1"/>
  <c r="N64" i="1"/>
  <c r="N65" i="1" s="1"/>
  <c r="R66" i="1"/>
  <c r="R64" i="1"/>
  <c r="R65" i="1" s="1"/>
  <c r="I94" i="1"/>
  <c r="I92" i="1"/>
  <c r="I93" i="1" s="1"/>
  <c r="M94" i="1"/>
  <c r="M92" i="1"/>
  <c r="M93" i="1" s="1"/>
  <c r="Q94" i="1"/>
  <c r="Q92" i="1"/>
  <c r="Q93" i="1" s="1"/>
  <c r="F94" i="1"/>
  <c r="F92" i="1"/>
  <c r="J94" i="1"/>
  <c r="J92" i="1"/>
  <c r="J93" i="1" s="1"/>
  <c r="N94" i="1"/>
  <c r="N92" i="1"/>
  <c r="N93" i="1" s="1"/>
  <c r="R94" i="1"/>
  <c r="R92" i="1"/>
  <c r="R93" i="1" s="1"/>
  <c r="H120" i="1"/>
  <c r="H121" i="1" s="1"/>
  <c r="H122" i="1"/>
  <c r="L120" i="1"/>
  <c r="L121" i="1" s="1"/>
  <c r="L122" i="1"/>
  <c r="P120" i="1"/>
  <c r="P121" i="1" s="1"/>
  <c r="P122" i="1"/>
  <c r="G122" i="1"/>
  <c r="G120" i="1"/>
  <c r="G121" i="1" s="1"/>
  <c r="K122" i="1"/>
  <c r="K120" i="1"/>
  <c r="K121" i="1" s="1"/>
  <c r="O122" i="1"/>
  <c r="O120" i="1"/>
  <c r="O121" i="1" s="1"/>
  <c r="S122" i="1"/>
  <c r="S120" i="1"/>
  <c r="S121" i="1" s="1"/>
  <c r="L143" i="1"/>
  <c r="L141" i="1"/>
  <c r="L142" i="1" s="1"/>
  <c r="F141" i="1"/>
  <c r="F143" i="1"/>
  <c r="N141" i="1"/>
  <c r="N142" i="1" s="1"/>
  <c r="N143" i="1"/>
  <c r="G143" i="1"/>
  <c r="G141" i="1"/>
  <c r="G142" i="1" s="1"/>
  <c r="K143" i="1"/>
  <c r="K141" i="1"/>
  <c r="K142" i="1" s="1"/>
  <c r="O143" i="1"/>
  <c r="O141" i="1"/>
  <c r="O142" i="1" s="1"/>
  <c r="S143" i="1"/>
  <c r="S141" i="1"/>
  <c r="S142" i="1" s="1"/>
  <c r="I85" i="1"/>
  <c r="I86" i="1" s="1"/>
  <c r="I87" i="1"/>
  <c r="M85" i="1"/>
  <c r="M86" i="1" s="1"/>
  <c r="M87" i="1"/>
  <c r="Q85" i="1"/>
  <c r="Q86" i="1" s="1"/>
  <c r="Q87" i="1"/>
  <c r="F85" i="1"/>
  <c r="F87" i="1"/>
  <c r="J85" i="1"/>
  <c r="J86" i="1" s="1"/>
  <c r="J87" i="1"/>
  <c r="N85" i="1"/>
  <c r="N86" i="1" s="1"/>
  <c r="N87" i="1"/>
  <c r="R85" i="1"/>
  <c r="R86" i="1" s="1"/>
  <c r="R87" i="1"/>
  <c r="M99" i="1"/>
  <c r="M100" i="1" s="1"/>
  <c r="M101" i="1"/>
  <c r="G99" i="1"/>
  <c r="G100" i="1" s="1"/>
  <c r="G101" i="1"/>
  <c r="O99" i="1"/>
  <c r="O100" i="1" s="1"/>
  <c r="O101" i="1"/>
  <c r="F99" i="1"/>
  <c r="F101" i="1"/>
  <c r="J99" i="1"/>
  <c r="J100" i="1" s="1"/>
  <c r="J101" i="1"/>
  <c r="N99" i="1"/>
  <c r="N100" i="1" s="1"/>
  <c r="N101" i="1"/>
  <c r="R99" i="1"/>
  <c r="R100" i="1" s="1"/>
  <c r="R101" i="1"/>
  <c r="M113" i="1"/>
  <c r="M114" i="1" s="1"/>
  <c r="M115" i="1"/>
  <c r="G113" i="1"/>
  <c r="G114" i="1" s="1"/>
  <c r="G115" i="1"/>
  <c r="O113" i="1"/>
  <c r="O114" i="1" s="1"/>
  <c r="O115" i="1"/>
  <c r="F113" i="1"/>
  <c r="F115" i="1"/>
  <c r="J113" i="1"/>
  <c r="J114" i="1" s="1"/>
  <c r="J115" i="1"/>
  <c r="N113" i="1"/>
  <c r="N114" i="1" s="1"/>
  <c r="N115" i="1"/>
  <c r="R113" i="1"/>
  <c r="R114" i="1" s="1"/>
  <c r="R115" i="1"/>
  <c r="H129" i="1"/>
  <c r="H127" i="1"/>
  <c r="H128" i="1" s="1"/>
  <c r="L129" i="1"/>
  <c r="L127" i="1"/>
  <c r="L128" i="1" s="1"/>
  <c r="P129" i="1"/>
  <c r="P127" i="1"/>
  <c r="P128" i="1" s="1"/>
  <c r="G129" i="1"/>
  <c r="G127" i="1"/>
  <c r="G128" i="1" s="1"/>
  <c r="K129" i="1"/>
  <c r="K127" i="1"/>
  <c r="K128" i="1" s="1"/>
  <c r="O129" i="1"/>
  <c r="O127" i="1"/>
  <c r="O128" i="1" s="1"/>
  <c r="S129" i="1"/>
  <c r="S127" i="1"/>
  <c r="S128" i="1" s="1"/>
  <c r="N42" i="1"/>
  <c r="N44" i="1"/>
  <c r="I59" i="1"/>
  <c r="I57" i="1"/>
  <c r="I58" i="1" s="1"/>
  <c r="M59" i="1"/>
  <c r="M57" i="1"/>
  <c r="M58" i="1" s="1"/>
  <c r="Q59" i="1"/>
  <c r="Q57" i="1"/>
  <c r="Q58" i="1" s="1"/>
  <c r="F57" i="1"/>
  <c r="F59" i="1"/>
  <c r="J59" i="1"/>
  <c r="J57" i="1"/>
  <c r="J58" i="1" s="1"/>
  <c r="N59" i="1"/>
  <c r="N57" i="1"/>
  <c r="N58" i="1" s="1"/>
  <c r="R59" i="1"/>
  <c r="R57" i="1"/>
  <c r="R58" i="1" s="1"/>
  <c r="I71" i="1"/>
  <c r="I72" i="1" s="1"/>
  <c r="I73" i="1"/>
  <c r="M71" i="1"/>
  <c r="M72" i="1" s="1"/>
  <c r="M73" i="1"/>
  <c r="Q71" i="1"/>
  <c r="Q72" i="1" s="1"/>
  <c r="Q73" i="1"/>
  <c r="F71" i="1"/>
  <c r="F73" i="1"/>
  <c r="J71" i="1"/>
  <c r="J72" i="1" s="1"/>
  <c r="J73" i="1"/>
  <c r="N71" i="1"/>
  <c r="N72" i="1" s="1"/>
  <c r="N73" i="1"/>
  <c r="R71" i="1"/>
  <c r="R72" i="1" s="1"/>
  <c r="R73" i="1"/>
  <c r="I80" i="1"/>
  <c r="I78" i="1"/>
  <c r="I79" i="1" s="1"/>
  <c r="M80" i="1"/>
  <c r="M78" i="1"/>
  <c r="M79" i="1" s="1"/>
  <c r="Q80" i="1"/>
  <c r="Q78" i="1"/>
  <c r="Q79" i="1" s="1"/>
  <c r="F80" i="1"/>
  <c r="F78" i="1"/>
  <c r="J80" i="1"/>
  <c r="J78" i="1"/>
  <c r="J79" i="1" s="1"/>
  <c r="N80" i="1"/>
  <c r="N78" i="1"/>
  <c r="N79" i="1" s="1"/>
  <c r="R80" i="1"/>
  <c r="R78" i="1"/>
  <c r="R79" i="1" s="1"/>
  <c r="M108" i="1"/>
  <c r="M106" i="1"/>
  <c r="M107" i="1" s="1"/>
  <c r="G106" i="1"/>
  <c r="G107" i="1" s="1"/>
  <c r="G108" i="1"/>
  <c r="O106" i="1"/>
  <c r="O107" i="1" s="1"/>
  <c r="O108" i="1"/>
  <c r="F108" i="1"/>
  <c r="F106" i="1"/>
  <c r="J108" i="1"/>
  <c r="J106" i="1"/>
  <c r="J107" i="1" s="1"/>
  <c r="N108" i="1"/>
  <c r="N106" i="1"/>
  <c r="N107" i="1" s="1"/>
  <c r="R108" i="1"/>
  <c r="R106" i="1"/>
  <c r="R107" i="1" s="1"/>
  <c r="L157" i="1"/>
  <c r="L155" i="1"/>
  <c r="L156" i="1" s="1"/>
  <c r="F157" i="1"/>
  <c r="F155" i="1"/>
  <c r="N157" i="1"/>
  <c r="N155" i="1"/>
  <c r="N156" i="1" s="1"/>
  <c r="G157" i="1"/>
  <c r="G155" i="1"/>
  <c r="G156" i="1" s="1"/>
  <c r="K157" i="1"/>
  <c r="K155" i="1"/>
  <c r="K156" i="1" s="1"/>
  <c r="O157" i="1"/>
  <c r="O155" i="1"/>
  <c r="O156" i="1" s="1"/>
  <c r="S157" i="1"/>
  <c r="S155" i="1"/>
  <c r="S156" i="1" s="1"/>
  <c r="H134" i="1"/>
  <c r="H135" i="1" s="1"/>
  <c r="H136" i="1"/>
  <c r="L134" i="1"/>
  <c r="L135" i="1" s="1"/>
  <c r="L136" i="1"/>
  <c r="P134" i="1"/>
  <c r="P135" i="1" s="1"/>
  <c r="P136" i="1"/>
  <c r="G134" i="1"/>
  <c r="G135" i="1" s="1"/>
  <c r="G136" i="1"/>
  <c r="K134" i="1"/>
  <c r="K135" i="1" s="1"/>
  <c r="K136" i="1"/>
  <c r="O134" i="1"/>
  <c r="O135" i="1" s="1"/>
  <c r="O136" i="1"/>
  <c r="S134" i="1"/>
  <c r="S135" i="1" s="1"/>
  <c r="S136" i="1"/>
  <c r="L148" i="1"/>
  <c r="L149" i="1" s="1"/>
  <c r="L150" i="1"/>
  <c r="F148" i="1"/>
  <c r="F150" i="1"/>
  <c r="N148" i="1"/>
  <c r="N149" i="1" s="1"/>
  <c r="N150" i="1"/>
  <c r="G148" i="1"/>
  <c r="G149" i="1" s="1"/>
  <c r="G150" i="1"/>
  <c r="K148" i="1"/>
  <c r="K149" i="1" s="1"/>
  <c r="K150" i="1"/>
  <c r="O148" i="1"/>
  <c r="O149" i="1" s="1"/>
  <c r="O150" i="1"/>
  <c r="S148" i="1"/>
  <c r="S149" i="1" s="1"/>
  <c r="S150" i="1"/>
  <c r="L162" i="1"/>
  <c r="L163" i="1" s="1"/>
  <c r="L164" i="1"/>
  <c r="F162" i="1"/>
  <c r="F164" i="1"/>
  <c r="N162" i="1"/>
  <c r="N163" i="1" s="1"/>
  <c r="N164" i="1"/>
  <c r="G162" i="1"/>
  <c r="G163" i="1" s="1"/>
  <c r="G164" i="1"/>
  <c r="K162" i="1"/>
  <c r="K163" i="1" s="1"/>
  <c r="K164" i="1"/>
  <c r="O162" i="1"/>
  <c r="O163" i="1" s="1"/>
  <c r="O164" i="1"/>
  <c r="S162" i="1"/>
  <c r="S163" i="1" s="1"/>
  <c r="S164" i="1"/>
  <c r="L169" i="1"/>
  <c r="L170" i="1" s="1"/>
  <c r="L171" i="1"/>
  <c r="F169" i="1"/>
  <c r="F171" i="1"/>
  <c r="N169" i="1"/>
  <c r="N170" i="1" s="1"/>
  <c r="N171" i="1"/>
  <c r="G169" i="1"/>
  <c r="G170" i="1" s="1"/>
  <c r="G171" i="1"/>
  <c r="K169" i="1"/>
  <c r="K170" i="1" s="1"/>
  <c r="K171" i="1"/>
  <c r="O169" i="1"/>
  <c r="O170" i="1" s="1"/>
  <c r="O171" i="1"/>
  <c r="S169" i="1"/>
  <c r="S170" i="1" s="1"/>
  <c r="S171" i="1"/>
  <c r="O42" i="1"/>
  <c r="O44" i="1"/>
  <c r="L42" i="1"/>
  <c r="L44" i="1"/>
  <c r="I42" i="1"/>
  <c r="I44" i="1"/>
  <c r="G42" i="1"/>
  <c r="G44" i="1"/>
  <c r="L176" i="1"/>
  <c r="L177" i="1" s="1"/>
  <c r="L178" i="1"/>
  <c r="F176" i="1"/>
  <c r="F178" i="1"/>
  <c r="N176" i="1"/>
  <c r="N177" i="1" s="1"/>
  <c r="N178" i="1"/>
  <c r="G176" i="1"/>
  <c r="G177" i="1" s="1"/>
  <c r="G178" i="1"/>
  <c r="K176" i="1"/>
  <c r="K177" i="1" s="1"/>
  <c r="K178" i="1"/>
  <c r="O176" i="1"/>
  <c r="O177" i="1" s="1"/>
  <c r="O178" i="1"/>
  <c r="S176" i="1"/>
  <c r="S177" i="1" s="1"/>
  <c r="S178" i="1"/>
  <c r="F42" i="1"/>
  <c r="F44" i="1"/>
  <c r="F52" i="1"/>
  <c r="F50" i="1"/>
  <c r="J52" i="1"/>
  <c r="J50" i="1"/>
  <c r="J51" i="1" s="1"/>
  <c r="P52" i="1"/>
  <c r="P50" i="1"/>
  <c r="P51" i="1" s="1"/>
  <c r="K66" i="1"/>
  <c r="K64" i="1"/>
  <c r="K65" i="1" s="1"/>
  <c r="S66" i="1"/>
  <c r="S64" i="1"/>
  <c r="S65" i="1" s="1"/>
  <c r="L64" i="1"/>
  <c r="L65" i="1" s="1"/>
  <c r="L66" i="1"/>
  <c r="K94" i="1"/>
  <c r="K92" i="1"/>
  <c r="K93" i="1" s="1"/>
  <c r="S94" i="1"/>
  <c r="S92" i="1"/>
  <c r="S93" i="1" s="1"/>
  <c r="L92" i="1"/>
  <c r="L93" i="1" s="1"/>
  <c r="L94" i="1"/>
  <c r="F122" i="1"/>
  <c r="F120" i="1"/>
  <c r="R122" i="1"/>
  <c r="R120" i="1"/>
  <c r="R121" i="1" s="1"/>
  <c r="M122" i="1"/>
  <c r="M120" i="1"/>
  <c r="M121" i="1" s="1"/>
  <c r="H141" i="1"/>
  <c r="H142" i="1" s="1"/>
  <c r="H143" i="1"/>
  <c r="R143" i="1"/>
  <c r="R141" i="1"/>
  <c r="R142" i="1" s="1"/>
  <c r="M143" i="1"/>
  <c r="M141" i="1"/>
  <c r="M142" i="1" s="1"/>
  <c r="G85" i="1"/>
  <c r="G86" i="1" s="1"/>
  <c r="G87" i="1"/>
  <c r="O85" i="1"/>
  <c r="O86" i="1" s="1"/>
  <c r="O87" i="1"/>
  <c r="S85" i="1"/>
  <c r="S86" i="1" s="1"/>
  <c r="S87" i="1"/>
  <c r="H85" i="1"/>
  <c r="H86" i="1" s="1"/>
  <c r="H87" i="1"/>
  <c r="L85" i="1"/>
  <c r="L86" i="1" s="1"/>
  <c r="L87" i="1"/>
  <c r="P85" i="1"/>
  <c r="P86" i="1" s="1"/>
  <c r="P87" i="1"/>
  <c r="I99" i="1"/>
  <c r="I100" i="1" s="1"/>
  <c r="I101" i="1"/>
  <c r="Q99" i="1"/>
  <c r="Q100" i="1" s="1"/>
  <c r="Q101" i="1"/>
  <c r="Q36" i="1" s="1"/>
  <c r="K99" i="1"/>
  <c r="K100" i="1" s="1"/>
  <c r="K101" i="1"/>
  <c r="S99" i="1"/>
  <c r="S100" i="1" s="1"/>
  <c r="S101" i="1"/>
  <c r="H99" i="1"/>
  <c r="H100" i="1" s="1"/>
  <c r="H101" i="1"/>
  <c r="L99" i="1"/>
  <c r="L100" i="1" s="1"/>
  <c r="L101" i="1"/>
  <c r="P99" i="1"/>
  <c r="P100" i="1" s="1"/>
  <c r="P101" i="1"/>
  <c r="I113" i="1"/>
  <c r="I114" i="1" s="1"/>
  <c r="I115" i="1"/>
  <c r="Q113" i="1"/>
  <c r="Q114" i="1" s="1"/>
  <c r="Q115" i="1"/>
  <c r="K113" i="1"/>
  <c r="K114" i="1" s="1"/>
  <c r="K115" i="1"/>
  <c r="S113" i="1"/>
  <c r="S114" i="1" s="1"/>
  <c r="S115" i="1"/>
  <c r="H113" i="1"/>
  <c r="H114" i="1" s="1"/>
  <c r="H115" i="1"/>
  <c r="L113" i="1"/>
  <c r="L114" i="1" s="1"/>
  <c r="L115" i="1"/>
  <c r="P113" i="1"/>
  <c r="P114" i="1" s="1"/>
  <c r="P115" i="1"/>
  <c r="F129" i="1"/>
  <c r="F127" i="1"/>
  <c r="J129" i="1"/>
  <c r="J127" i="1"/>
  <c r="J128" i="1" s="1"/>
  <c r="N129" i="1"/>
  <c r="N127" i="1"/>
  <c r="N128" i="1" s="1"/>
  <c r="R129" i="1"/>
  <c r="R127" i="1"/>
  <c r="R128" i="1" s="1"/>
  <c r="I129" i="1"/>
  <c r="I127" i="1"/>
  <c r="I128" i="1" s="1"/>
  <c r="M129" i="1"/>
  <c r="M127" i="1"/>
  <c r="M128" i="1" s="1"/>
  <c r="Q129" i="1"/>
  <c r="Q127" i="1"/>
  <c r="Q128" i="1" s="1"/>
  <c r="K42" i="1"/>
  <c r="K44" i="1"/>
  <c r="G57" i="1"/>
  <c r="G58" i="1" s="1"/>
  <c r="G59" i="1"/>
  <c r="K57" i="1"/>
  <c r="K58" i="1" s="1"/>
  <c r="K59" i="1"/>
  <c r="O57" i="1"/>
  <c r="O58" i="1" s="1"/>
  <c r="O59" i="1"/>
  <c r="S57" i="1"/>
  <c r="S58" i="1" s="1"/>
  <c r="S59" i="1"/>
  <c r="H59" i="1"/>
  <c r="H57" i="1"/>
  <c r="H58" i="1" s="1"/>
  <c r="L59" i="1"/>
  <c r="L57" i="1"/>
  <c r="L58" i="1" s="1"/>
  <c r="P59" i="1"/>
  <c r="P57" i="1"/>
  <c r="P58" i="1" s="1"/>
  <c r="G71" i="1"/>
  <c r="G72" i="1" s="1"/>
  <c r="G73" i="1"/>
  <c r="K71" i="1"/>
  <c r="K72" i="1" s="1"/>
  <c r="K73" i="1"/>
  <c r="O71" i="1"/>
  <c r="O72" i="1" s="1"/>
  <c r="O73" i="1"/>
  <c r="S71" i="1"/>
  <c r="S72" i="1" s="1"/>
  <c r="S73" i="1"/>
  <c r="H71" i="1"/>
  <c r="H72" i="1" s="1"/>
  <c r="H73" i="1"/>
  <c r="L71" i="1"/>
  <c r="L72" i="1" s="1"/>
  <c r="L73" i="1"/>
  <c r="P71" i="1"/>
  <c r="P72" i="1" s="1"/>
  <c r="P73" i="1"/>
  <c r="G78" i="1"/>
  <c r="G79" i="1" s="1"/>
  <c r="G80" i="1"/>
  <c r="K78" i="1"/>
  <c r="K79" i="1" s="1"/>
  <c r="K80" i="1"/>
  <c r="O78" i="1"/>
  <c r="O79" i="1" s="1"/>
  <c r="O80" i="1"/>
  <c r="S78" i="1"/>
  <c r="S79" i="1" s="1"/>
  <c r="S80" i="1"/>
  <c r="H80" i="1"/>
  <c r="H78" i="1"/>
  <c r="H79" i="1" s="1"/>
  <c r="L80" i="1"/>
  <c r="L78" i="1"/>
  <c r="L79" i="1" s="1"/>
  <c r="P80" i="1"/>
  <c r="P78" i="1"/>
  <c r="P79" i="1" s="1"/>
  <c r="I108" i="1"/>
  <c r="I106" i="1"/>
  <c r="I107" i="1" s="1"/>
  <c r="Q108" i="1"/>
  <c r="Q106" i="1"/>
  <c r="Q107" i="1" s="1"/>
  <c r="K106" i="1"/>
  <c r="K107" i="1" s="1"/>
  <c r="K108" i="1"/>
  <c r="S106" i="1"/>
  <c r="S107" i="1" s="1"/>
  <c r="S108" i="1"/>
  <c r="H108" i="1"/>
  <c r="H106" i="1"/>
  <c r="H107" i="1" s="1"/>
  <c r="L108" i="1"/>
  <c r="L106" i="1"/>
  <c r="L107" i="1" s="1"/>
  <c r="P108" i="1"/>
  <c r="P106" i="1"/>
  <c r="P107" i="1" s="1"/>
  <c r="H157" i="1"/>
  <c r="H155" i="1"/>
  <c r="H156" i="1" s="1"/>
  <c r="P157" i="1"/>
  <c r="P155" i="1"/>
  <c r="P156" i="1" s="1"/>
  <c r="J157" i="1"/>
  <c r="J155" i="1"/>
  <c r="J156" i="1" s="1"/>
  <c r="R157" i="1"/>
  <c r="R155" i="1"/>
  <c r="R156" i="1" s="1"/>
  <c r="I155" i="1"/>
  <c r="I156" i="1" s="1"/>
  <c r="I157" i="1"/>
  <c r="M155" i="1"/>
  <c r="M156" i="1" s="1"/>
  <c r="M157" i="1"/>
  <c r="Q155" i="1"/>
  <c r="Q156" i="1" s="1"/>
  <c r="Q157" i="1"/>
  <c r="F134" i="1"/>
  <c r="F136" i="1"/>
  <c r="J134" i="1"/>
  <c r="J135" i="1" s="1"/>
  <c r="J136" i="1"/>
  <c r="N134" i="1"/>
  <c r="N135" i="1" s="1"/>
  <c r="N136" i="1"/>
  <c r="R134" i="1"/>
  <c r="R135" i="1" s="1"/>
  <c r="R136" i="1"/>
  <c r="I134" i="1"/>
  <c r="I135" i="1" s="1"/>
  <c r="I136" i="1"/>
  <c r="M134" i="1"/>
  <c r="M135" i="1" s="1"/>
  <c r="M136" i="1"/>
  <c r="Q134" i="1"/>
  <c r="Q135" i="1" s="1"/>
  <c r="Q136" i="1"/>
  <c r="H148" i="1"/>
  <c r="H149" i="1" s="1"/>
  <c r="H150" i="1"/>
  <c r="P148" i="1"/>
  <c r="P149" i="1" s="1"/>
  <c r="P150" i="1"/>
  <c r="J148" i="1"/>
  <c r="J149" i="1" s="1"/>
  <c r="J150" i="1"/>
  <c r="R148" i="1"/>
  <c r="R149" i="1" s="1"/>
  <c r="R150" i="1"/>
  <c r="I148" i="1"/>
  <c r="I149" i="1" s="1"/>
  <c r="I150" i="1"/>
  <c r="M148" i="1"/>
  <c r="M149" i="1" s="1"/>
  <c r="M150" i="1"/>
  <c r="Q148" i="1"/>
  <c r="Q149" i="1" s="1"/>
  <c r="Q150" i="1"/>
  <c r="H162" i="1"/>
  <c r="H163" i="1" s="1"/>
  <c r="H164" i="1"/>
  <c r="P162" i="1"/>
  <c r="P163" i="1" s="1"/>
  <c r="P164" i="1"/>
  <c r="J162" i="1"/>
  <c r="J163" i="1" s="1"/>
  <c r="J164" i="1"/>
  <c r="R162" i="1"/>
  <c r="R163" i="1" s="1"/>
  <c r="R164" i="1"/>
  <c r="I162" i="1"/>
  <c r="I163" i="1" s="1"/>
  <c r="I164" i="1"/>
  <c r="M162" i="1"/>
  <c r="M163" i="1" s="1"/>
  <c r="M164" i="1"/>
  <c r="Q162" i="1"/>
  <c r="Q163" i="1" s="1"/>
  <c r="Q164" i="1"/>
  <c r="H169" i="1"/>
  <c r="H170" i="1" s="1"/>
  <c r="H171" i="1"/>
  <c r="P169" i="1"/>
  <c r="P170" i="1" s="1"/>
  <c r="P171" i="1"/>
  <c r="J169" i="1"/>
  <c r="J170" i="1" s="1"/>
  <c r="J171" i="1"/>
  <c r="R169" i="1"/>
  <c r="R170" i="1" s="1"/>
  <c r="R171" i="1"/>
  <c r="I169" i="1"/>
  <c r="I170" i="1" s="1"/>
  <c r="I171" i="1"/>
  <c r="M169" i="1"/>
  <c r="M170" i="1" s="1"/>
  <c r="M171" i="1"/>
  <c r="Q169" i="1"/>
  <c r="Q170" i="1" s="1"/>
  <c r="Q171" i="1"/>
  <c r="S42" i="1"/>
  <c r="S44" i="1"/>
  <c r="S36" i="1" s="1"/>
  <c r="H42" i="1"/>
  <c r="H44" i="1"/>
  <c r="P42" i="1"/>
  <c r="P44" i="1"/>
  <c r="M42" i="1"/>
  <c r="M44" i="1"/>
  <c r="M36" i="1" s="1"/>
  <c r="H176" i="1"/>
  <c r="H177" i="1" s="1"/>
  <c r="H178" i="1"/>
  <c r="P176" i="1"/>
  <c r="P177" i="1" s="1"/>
  <c r="P178" i="1"/>
  <c r="J176" i="1"/>
  <c r="J177" i="1" s="1"/>
  <c r="J178" i="1"/>
  <c r="R176" i="1"/>
  <c r="R177" i="1" s="1"/>
  <c r="R178" i="1"/>
  <c r="I176" i="1"/>
  <c r="I177" i="1" s="1"/>
  <c r="I178" i="1"/>
  <c r="M176" i="1"/>
  <c r="M177" i="1" s="1"/>
  <c r="M178" i="1"/>
  <c r="Q176" i="1"/>
  <c r="Q177" i="1" s="1"/>
  <c r="Q178" i="1"/>
  <c r="R42" i="1"/>
  <c r="R44" i="1"/>
  <c r="R36" i="1" s="1"/>
  <c r="J42" i="1"/>
  <c r="J44" i="1"/>
  <c r="J36" i="1" s="1"/>
  <c r="Q34" i="1"/>
  <c r="Q43" i="1"/>
  <c r="Q35" i="1" s="1"/>
  <c r="P36" i="1" l="1"/>
  <c r="J43" i="1"/>
  <c r="J35" i="1" s="1"/>
  <c r="J34" i="1"/>
  <c r="R43" i="1"/>
  <c r="R35" i="1" s="1"/>
  <c r="R34" i="1"/>
  <c r="M34" i="1"/>
  <c r="M43" i="1"/>
  <c r="M35" i="1" s="1"/>
  <c r="P43" i="1"/>
  <c r="P35" i="1" s="1"/>
  <c r="P34" i="1"/>
  <c r="H43" i="1"/>
  <c r="H35" i="1" s="1"/>
  <c r="H34" i="1"/>
  <c r="S34" i="1"/>
  <c r="S43" i="1"/>
  <c r="S35" i="1" s="1"/>
  <c r="F135" i="1"/>
  <c r="D135" i="1" s="1"/>
  <c r="B135" i="1" s="1"/>
  <c r="D134" i="1"/>
  <c r="K34" i="1"/>
  <c r="K43" i="1"/>
  <c r="K35" i="1" s="1"/>
  <c r="E129" i="1"/>
  <c r="E122" i="1"/>
  <c r="E52" i="1"/>
  <c r="E44" i="1"/>
  <c r="F36" i="1"/>
  <c r="E178" i="1"/>
  <c r="G36" i="1"/>
  <c r="I36" i="1"/>
  <c r="L36" i="1"/>
  <c r="O36" i="1"/>
  <c r="E171" i="1"/>
  <c r="E164" i="1"/>
  <c r="E150" i="1"/>
  <c r="F156" i="1"/>
  <c r="D156" i="1" s="1"/>
  <c r="B156" i="1" s="1"/>
  <c r="D155" i="1"/>
  <c r="F107" i="1"/>
  <c r="D107" i="1" s="1"/>
  <c r="B107" i="1" s="1"/>
  <c r="D106" i="1"/>
  <c r="F79" i="1"/>
  <c r="D79" i="1" s="1"/>
  <c r="B79" i="1" s="1"/>
  <c r="D78" i="1"/>
  <c r="E73" i="1"/>
  <c r="E59" i="1"/>
  <c r="N36" i="1"/>
  <c r="E115" i="1"/>
  <c r="E101" i="1"/>
  <c r="E87" i="1"/>
  <c r="E143" i="1"/>
  <c r="F93" i="1"/>
  <c r="D93" i="1" s="1"/>
  <c r="B93" i="1" s="1"/>
  <c r="D92" i="1"/>
  <c r="F65" i="1"/>
  <c r="D65" i="1" s="1"/>
  <c r="B65" i="1" s="1"/>
  <c r="D64" i="1"/>
  <c r="H36" i="1"/>
  <c r="E136" i="1"/>
  <c r="K36" i="1"/>
  <c r="F128" i="1"/>
  <c r="D128" i="1" s="1"/>
  <c r="B128" i="1" s="1"/>
  <c r="D127" i="1"/>
  <c r="F121" i="1"/>
  <c r="D121" i="1" s="1"/>
  <c r="B121" i="1" s="1"/>
  <c r="D120" i="1"/>
  <c r="F51" i="1"/>
  <c r="D51" i="1" s="1"/>
  <c r="B51" i="1" s="1"/>
  <c r="D50" i="1"/>
  <c r="D42" i="1"/>
  <c r="F43" i="1"/>
  <c r="F34" i="1"/>
  <c r="D176" i="1"/>
  <c r="F177" i="1"/>
  <c r="D177" i="1" s="1"/>
  <c r="B177" i="1" s="1"/>
  <c r="G34" i="1"/>
  <c r="G43" i="1"/>
  <c r="G35" i="1" s="1"/>
  <c r="I34" i="1"/>
  <c r="I43" i="1"/>
  <c r="I35" i="1" s="1"/>
  <c r="L43" i="1"/>
  <c r="L35" i="1" s="1"/>
  <c r="L34" i="1"/>
  <c r="O34" i="1"/>
  <c r="O43" i="1"/>
  <c r="O35" i="1" s="1"/>
  <c r="D169" i="1"/>
  <c r="F170" i="1"/>
  <c r="D170" i="1" s="1"/>
  <c r="B170" i="1" s="1"/>
  <c r="F163" i="1"/>
  <c r="D163" i="1" s="1"/>
  <c r="B163" i="1" s="1"/>
  <c r="D162" i="1"/>
  <c r="F149" i="1"/>
  <c r="D149" i="1" s="1"/>
  <c r="B149" i="1" s="1"/>
  <c r="D148" i="1"/>
  <c r="E157" i="1"/>
  <c r="E108" i="1"/>
  <c r="E80" i="1"/>
  <c r="F72" i="1"/>
  <c r="D72" i="1" s="1"/>
  <c r="B72" i="1" s="1"/>
  <c r="D71" i="1"/>
  <c r="F58" i="1"/>
  <c r="D58" i="1" s="1"/>
  <c r="B58" i="1" s="1"/>
  <c r="D57" i="1"/>
  <c r="N43" i="1"/>
  <c r="N35" i="1" s="1"/>
  <c r="N34" i="1"/>
  <c r="F114" i="1"/>
  <c r="D114" i="1" s="1"/>
  <c r="B114" i="1" s="1"/>
  <c r="D113" i="1"/>
  <c r="F100" i="1"/>
  <c r="D100" i="1" s="1"/>
  <c r="B100" i="1" s="1"/>
  <c r="D99" i="1"/>
  <c r="F86" i="1"/>
  <c r="D86" i="1" s="1"/>
  <c r="B86" i="1" s="1"/>
  <c r="D85" i="1"/>
  <c r="F142" i="1"/>
  <c r="D142" i="1" s="1"/>
  <c r="B142" i="1" s="1"/>
  <c r="D141" i="1"/>
  <c r="E94" i="1"/>
  <c r="E66" i="1"/>
  <c r="D43" i="1" l="1"/>
  <c r="B43" i="1" s="1"/>
  <c r="F35" i="1"/>
  <c r="D35" i="1" s="1"/>
  <c r="E36" i="1"/>
  <c r="D34" i="1"/>
</calcChain>
</file>

<file path=xl/connections.xml><?xml version="1.0" encoding="utf-8"?>
<connections xmlns="http://schemas.openxmlformats.org/spreadsheetml/2006/main">
  <connection id="1" name="Connection" type="1" refreshedVersion="2" background="1" saveData="1">
    <dbPr connection="Description=Databridge;DRIVER=SQL Server;SERVER=MDEDATAB;UID=MONA;APP=Microsoft Data Access Components;WSID=TQECBTDB51;DATABASE=DataBridge;Trusted_Connection=Yes" command="SELECT speddist.dat_yer, speddist.dst_num, speddist.dst_tye, speddist.num_mnt_sch_day, speddist.num_day_sch_trm, speddist.num_hrs_sch_trm, speddist.apl_agy_dst_num, speddist.apl_agy_dst_tye, speddist.dir_fdr_num, speddist.num_hrs_fut_sml, speddist.use_idt_cst_rat, speddist.idt_cst_rat, speddist.mat_adj_reg, speddist.mat_adj_sml, speddist.pbc_enr, speddist.npc_enr, speddist.pbc_enr_rce_srv, speddist.npc_enr_rce_srv, speddist.lep_enr, speddist.psw, speddist.use_hst_lvy_ath, speddist.upd_cat, speddist.tses_apl_app, speddist.fnl_pay_app, speddist.lep_spl_mat_exp, speddist.lep_spl_mat_aid, speddist.tui_amt_rcv, speddist.tui_amt_exp, speddist.tui_aid, speddist.tui_est_acu, speddist.new_dst_spd, speddist.pct_est_acu, speddist.new_dst_lep, speddist.new_dst_smr, speddist.crt_ord_plc_exp, speddist.crt_ord_est_acu, speddist.new_spd_tra_cst, speddist.gened_rvn_per_pu, speddist.app_rcv_stt_fnd, speddist.opn_ovr_edrs, speddist.cht_bas_dat_yer, speddist.moe_adj_bas_exp, speddist.sto_pov_enr_aln_b, speddist.sto_pov_enr_aln_f, speddist.undup_sped_cnt_x000d__x000a_FROM DataBridge.databridge_app_user.speddist speddist_x000d__x000a_WHERE (speddist.dat_yer='07-08')"/>
  </connection>
</connections>
</file>

<file path=xl/sharedStrings.xml><?xml version="1.0" encoding="utf-8"?>
<sst xmlns="http://schemas.openxmlformats.org/spreadsheetml/2006/main" count="979" uniqueCount="585">
  <si>
    <t>Annual</t>
  </si>
  <si>
    <t>Salary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</si>
  <si>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</si>
  <si>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</si>
  <si>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</si>
  <si>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</si>
  <si>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</si>
  <si>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</si>
  <si>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</si>
  <si>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</si>
  <si>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</si>
  <si>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</si>
  <si>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</si>
  <si>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</si>
  <si>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</si>
  <si>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</si>
  <si>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</si>
  <si>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</si>
  <si>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</si>
  <si>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</si>
  <si>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</si>
  <si>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</si>
  <si>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N/A</t>
  </si>
  <si>
    <t>TOTALS</t>
  </si>
  <si>
    <t>DISTRIBUTION OF FTE'S AND SALARIES AMONG DISABILITY CODES</t>
  </si>
  <si>
    <t>Contract</t>
  </si>
  <si>
    <t>Days</t>
  </si>
  <si>
    <t>FY 2008 Hours Per School Year</t>
  </si>
  <si>
    <t>dst_num</t>
  </si>
  <si>
    <t>dst_tye</t>
  </si>
  <si>
    <t>num_mnt_sch_day</t>
  </si>
  <si>
    <t>num_day_sch_trm</t>
  </si>
  <si>
    <t>num_hrs_sch_trm</t>
  </si>
  <si>
    <t>Hours</t>
  </si>
  <si>
    <t>Minutes</t>
  </si>
  <si>
    <t>Per Year</t>
  </si>
  <si>
    <t>Per Day</t>
  </si>
  <si>
    <t>District number:</t>
  </si>
  <si>
    <t>AITKIN</t>
  </si>
  <si>
    <t>MINNEAPOLIS</t>
  </si>
  <si>
    <t>HILL CITY</t>
  </si>
  <si>
    <t>MCGREGOR</t>
  </si>
  <si>
    <t>SOUTH ST. PAUL</t>
  </si>
  <si>
    <t>ANOKA-HENNEPIN</t>
  </si>
  <si>
    <t>CENTENNIAL</t>
  </si>
  <si>
    <t>COLUMBIA HEIGHTS</t>
  </si>
  <si>
    <t>FRIDLEY</t>
  </si>
  <si>
    <t>ST. FRANCIS</t>
  </si>
  <si>
    <t>SPRING LAKE PARK</t>
  </si>
  <si>
    <t>DETROIT LAKES</t>
  </si>
  <si>
    <t>FRAZEE</t>
  </si>
  <si>
    <t>PINE POINT</t>
  </si>
  <si>
    <t>BEMIDJI</t>
  </si>
  <si>
    <t>BLACKDUCK</t>
  </si>
  <si>
    <t>KELLIHER</t>
  </si>
  <si>
    <t>RED LAKE</t>
  </si>
  <si>
    <t>SAUK RAPIDS</t>
  </si>
  <si>
    <t>FOLEY</t>
  </si>
  <si>
    <t>ORTONVILLE</t>
  </si>
  <si>
    <t>ST. CLAIR</t>
  </si>
  <si>
    <t>MANKATO</t>
  </si>
  <si>
    <t>COMFREY</t>
  </si>
  <si>
    <t>SLEEPY EYE</t>
  </si>
  <si>
    <t>SPRINGFIELD</t>
  </si>
  <si>
    <t>NEW ULM</t>
  </si>
  <si>
    <t>BARNUM</t>
  </si>
  <si>
    <t>CARLTON</t>
  </si>
  <si>
    <t>CLOQUET</t>
  </si>
  <si>
    <t>CROMWELL</t>
  </si>
  <si>
    <t>MOOSE LAKE</t>
  </si>
  <si>
    <t>ESKO</t>
  </si>
  <si>
    <t>WRENSHALL</t>
  </si>
  <si>
    <t>NORWOOD</t>
  </si>
  <si>
    <t>WACONIA</t>
  </si>
  <si>
    <t>WATERTOWN-MAYER</t>
  </si>
  <si>
    <t>CHASKA</t>
  </si>
  <si>
    <t>WALKER-AKELEY</t>
  </si>
  <si>
    <t>CASS LAKE</t>
  </si>
  <si>
    <t>PILLAGER</t>
  </si>
  <si>
    <t>REMER</t>
  </si>
  <si>
    <t>MONTEVIDEO</t>
  </si>
  <si>
    <t>NORTH BRANCH</t>
  </si>
  <si>
    <t>RUSH CITY</t>
  </si>
  <si>
    <t>BARNESVILLE</t>
  </si>
  <si>
    <t>HAWLEY</t>
  </si>
  <si>
    <t>MOORHEAD</t>
  </si>
  <si>
    <t>BAGLEY</t>
  </si>
  <si>
    <t>COOK COUNTY</t>
  </si>
  <si>
    <t>MOUNTAIN LAKE</t>
  </si>
  <si>
    <t>WINDOM</t>
  </si>
  <si>
    <t>BRAINERD</t>
  </si>
  <si>
    <t>CROSBY</t>
  </si>
  <si>
    <t>PEQUOT LAKES</t>
  </si>
  <si>
    <t>BURNSVILLE</t>
  </si>
  <si>
    <t>FARMINGTON</t>
  </si>
  <si>
    <t>LAKEVILLE</t>
  </si>
  <si>
    <t>RANDOLPH</t>
  </si>
  <si>
    <t>ROSEMOUNT-APPLE</t>
  </si>
  <si>
    <t>WEST ST. PAUL</t>
  </si>
  <si>
    <t>INVER GROVE</t>
  </si>
  <si>
    <t>HASTINGS</t>
  </si>
  <si>
    <t>HAYFIELD</t>
  </si>
  <si>
    <t>KASSON-MANTORVIL</t>
  </si>
  <si>
    <t>ALEXANDRIA</t>
  </si>
  <si>
    <t>BRANDON</t>
  </si>
  <si>
    <t>EVANSVILLE</t>
  </si>
  <si>
    <t>OSAKIS</t>
  </si>
  <si>
    <t>CHATFIELD</t>
  </si>
  <si>
    <t>LANESBORO</t>
  </si>
  <si>
    <t>MABEL-CANTON</t>
  </si>
  <si>
    <t>RUSHFORD-PETERSO</t>
  </si>
  <si>
    <t>ALBERT LEA</t>
  </si>
  <si>
    <t>ALDEN</t>
  </si>
  <si>
    <t>CANNON FALLS</t>
  </si>
  <si>
    <t>GOODHUE</t>
  </si>
  <si>
    <t>PINE ISLAND</t>
  </si>
  <si>
    <t>RED WING</t>
  </si>
  <si>
    <t>ASHBY</t>
  </si>
  <si>
    <t>HERMAN-NORCROSS</t>
  </si>
  <si>
    <t>HOPKINS</t>
  </si>
  <si>
    <t>BLOOMINGTON</t>
  </si>
  <si>
    <t>EDEN PRAIRIE</t>
  </si>
  <si>
    <t>EDINA</t>
  </si>
  <si>
    <t>MINNETONKA</t>
  </si>
  <si>
    <t>WESTONKA</t>
  </si>
  <si>
    <t>ORONO</t>
  </si>
  <si>
    <t>OSSEO</t>
  </si>
  <si>
    <t>RICHFIELD</t>
  </si>
  <si>
    <t>ROBBINSDALE</t>
  </si>
  <si>
    <t>ST. ANTHONY-NEW</t>
  </si>
  <si>
    <t>ST. LOUIS PARK</t>
  </si>
  <si>
    <t>WAYZATA</t>
  </si>
  <si>
    <t>BROOKLYN CENTER</t>
  </si>
  <si>
    <t>HOUSTON</t>
  </si>
  <si>
    <t>SPRING GROVE</t>
  </si>
  <si>
    <t>CALEDONIA</t>
  </si>
  <si>
    <t>LACRESCENT</t>
  </si>
  <si>
    <t>LAPORTE</t>
  </si>
  <si>
    <t>NEVIS</t>
  </si>
  <si>
    <t>PARK RAPIDS</t>
  </si>
  <si>
    <t>BRAHAM</t>
  </si>
  <si>
    <t>GREENWAY</t>
  </si>
  <si>
    <t>DEER RIVER</t>
  </si>
  <si>
    <t>GRAND RAPIDS</t>
  </si>
  <si>
    <t>NASHWAUK-KEEWATI</t>
  </si>
  <si>
    <t>FRANCONIA</t>
  </si>
  <si>
    <t>HERON LAKE-OKABE</t>
  </si>
  <si>
    <t>MORA</t>
  </si>
  <si>
    <t>OGILVIE</t>
  </si>
  <si>
    <t>NEW LONDON-SPICE</t>
  </si>
  <si>
    <t>WILLMAR</t>
  </si>
  <si>
    <t>LANCASTER</t>
  </si>
  <si>
    <t>INTERNATIONAL FA</t>
  </si>
  <si>
    <t>LITTLEFORK-BIG F</t>
  </si>
  <si>
    <t>SOUTH KOOCHICHIN</t>
  </si>
  <si>
    <t>BELLINGHAM</t>
  </si>
  <si>
    <t>DAWSON</t>
  </si>
  <si>
    <t>LAKE SUPERIOR</t>
  </si>
  <si>
    <t>LAKE OF THE WOOD</t>
  </si>
  <si>
    <t>CLEVELAND</t>
  </si>
  <si>
    <t>LECENTER</t>
  </si>
  <si>
    <t>MONTGOMERY</t>
  </si>
  <si>
    <t>HENDRICKS</t>
  </si>
  <si>
    <t>IVANHOE</t>
  </si>
  <si>
    <t>LAKE BENTON</t>
  </si>
  <si>
    <t>BALATON</t>
  </si>
  <si>
    <t>MARSHALL</t>
  </si>
  <si>
    <t>MINNEOTA</t>
  </si>
  <si>
    <t>LYND</t>
  </si>
  <si>
    <t>TRACY</t>
  </si>
  <si>
    <t>HUTCHINSON</t>
  </si>
  <si>
    <t>LESTER PRAIRIE</t>
  </si>
  <si>
    <t>MAHNOMEN</t>
  </si>
  <si>
    <t>WAUBUN</t>
  </si>
  <si>
    <t>NEWFOLDEN</t>
  </si>
  <si>
    <t>GRYGLA</t>
  </si>
  <si>
    <t>TRUMAN</t>
  </si>
  <si>
    <t>EDEN VALLEY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</si>
  <si>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</si>
  <si>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</si>
  <si>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</si>
  <si>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</si>
  <si>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</si>
  <si>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</si>
  <si>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</si>
  <si>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</si>
  <si>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</t>
  </si>
  <si>
    <t>UPSALA</t>
  </si>
  <si>
    <t>AUSTIN</t>
  </si>
  <si>
    <t>GRAND MEADOW</t>
  </si>
  <si>
    <t>LYLE</t>
  </si>
  <si>
    <t>LEROY</t>
  </si>
  <si>
    <t>SOUTHLAND</t>
  </si>
  <si>
    <t>FULDA</t>
  </si>
  <si>
    <t>NICOLLET</t>
  </si>
  <si>
    <t>ST. PETER</t>
  </si>
  <si>
    <t>ADRIAN</t>
  </si>
  <si>
    <t>BREWSTER</t>
  </si>
  <si>
    <t>ELLSWORTH</t>
  </si>
  <si>
    <t>ROUND LAKE</t>
  </si>
  <si>
    <t>WORTHINGTON</t>
  </si>
  <si>
    <t>BYRON</t>
  </si>
  <si>
    <t>DOVER-EYOTA</t>
  </si>
  <si>
    <t>STEWARTVILLE</t>
  </si>
  <si>
    <t>ROCHESTER</t>
  </si>
  <si>
    <t>BATTLE LAKE</t>
  </si>
  <si>
    <t>FERGUS FALLS</t>
  </si>
  <si>
    <t>HENNING</t>
  </si>
  <si>
    <t>PARKERS PRAIRIE</t>
  </si>
  <si>
    <t>PELICAN RAPIDS</t>
  </si>
  <si>
    <t>PERHAM</t>
  </si>
  <si>
    <t>UNDERWOOD</t>
  </si>
  <si>
    <t>NEW YORK MILLS</t>
  </si>
  <si>
    <t>GOODRIDGE</t>
  </si>
  <si>
    <t>THIEF RIVER FALL</t>
  </si>
  <si>
    <t>WILLOW RIVER</t>
  </si>
  <si>
    <t>PINE CITY</t>
  </si>
  <si>
    <t>EDGERTON</t>
  </si>
  <si>
    <t>CLIMAX</t>
  </si>
  <si>
    <t>CROOKSTON</t>
  </si>
  <si>
    <t>EAST GRAND FORKS</t>
  </si>
  <si>
    <t>FERTILE-BELTRAMI</t>
  </si>
  <si>
    <t>FISHER</t>
  </si>
  <si>
    <t>FOSSTON</t>
  </si>
  <si>
    <t>CYRUS</t>
  </si>
  <si>
    <t>MOUNDS VIEW</t>
  </si>
  <si>
    <t>NORTH ST. PAUL-M</t>
  </si>
  <si>
    <t>ROSEVILLE</t>
  </si>
  <si>
    <t>WHITE BEAR LAKE</t>
  </si>
  <si>
    <t>ST. PAUL</t>
  </si>
  <si>
    <t>OKLEE</t>
  </si>
  <si>
    <t>PLUMMER</t>
  </si>
  <si>
    <t>RED LAKE FALLS</t>
  </si>
  <si>
    <t>MILROY</t>
  </si>
  <si>
    <t>WABASSO</t>
  </si>
  <si>
    <t>FARIBAULT</t>
  </si>
  <si>
    <t>NORTHFIELD</t>
  </si>
  <si>
    <t>HILLS-BEAVER CRE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</si>
  <si>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</si>
  <si>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</si>
  <si>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</si>
  <si>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</si>
  <si>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</si>
  <si>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</si>
  <si>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</si>
  <si>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</si>
  <si>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</si>
  <si>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</si>
  <si>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</si>
  <si>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</t>
  </si>
  <si>
    <t>MOUNTAIN IRON-BU</t>
  </si>
  <si>
    <t>BELLE PLAINE</t>
  </si>
  <si>
    <t>JORDAN</t>
  </si>
  <si>
    <t>PRIOR LAKE</t>
  </si>
  <si>
    <t>SHAKOPEE</t>
  </si>
  <si>
    <t>NEW PRAGUE</t>
  </si>
  <si>
    <t>BECKER</t>
  </si>
  <si>
    <t>BIG LAKE</t>
  </si>
  <si>
    <t>ELK RIVER</t>
  </si>
  <si>
    <t>HOLDINGFORD</t>
  </si>
  <si>
    <t>KIMBALL</t>
  </si>
  <si>
    <t>MELROSE</t>
  </si>
  <si>
    <t>PAYNESVILLE</t>
  </si>
  <si>
    <t>ST. CLOUD</t>
  </si>
  <si>
    <t>SAUK CENTRE</t>
  </si>
  <si>
    <t>ALBANY</t>
  </si>
  <si>
    <t>SARTELL</t>
  </si>
  <si>
    <t>COLD SPRING</t>
  </si>
  <si>
    <t>BLOOMING PRAIRIE</t>
  </si>
  <si>
    <t>OWATONNA</t>
  </si>
  <si>
    <t>MEDFORD</t>
  </si>
  <si>
    <t>HANCOCK</t>
  </si>
  <si>
    <t>MORRIS</t>
  </si>
  <si>
    <t>CHOKIO-ALBERTA</t>
  </si>
  <si>
    <t>KERKHOVEN-MURDOC</t>
  </si>
  <si>
    <t>BENSON</t>
  </si>
  <si>
    <t>BERTHA-HEWITT</t>
  </si>
  <si>
    <t>BROWERVILLE</t>
  </si>
  <si>
    <t>BROWNS VALLEY</t>
  </si>
  <si>
    <t>WHEATON</t>
  </si>
  <si>
    <t>WABASHA</t>
  </si>
  <si>
    <t>LAKE CITY</t>
  </si>
  <si>
    <t>PRINSBURG</t>
  </si>
  <si>
    <t>VERNDALE</t>
  </si>
  <si>
    <t>SEBEKA</t>
  </si>
  <si>
    <t>MENAHGA</t>
  </si>
  <si>
    <t>WASECA</t>
  </si>
  <si>
    <t>FOREST LAKE</t>
  </si>
  <si>
    <t>MAHTOMEDI</t>
  </si>
  <si>
    <t>SOUTH WASHINGTON</t>
  </si>
  <si>
    <t>STILLWATER</t>
  </si>
  <si>
    <t>BUTTERFIELD</t>
  </si>
  <si>
    <t>MADELIA</t>
  </si>
  <si>
    <t>ST. JAMES</t>
  </si>
  <si>
    <t>BRECKENRIDGE</t>
  </si>
  <si>
    <t>ROTHSAY</t>
  </si>
  <si>
    <t>CAMPBELL-TINTAH</t>
  </si>
  <si>
    <t>LEWISTON</t>
  </si>
  <si>
    <t>ST. CHARLES</t>
  </si>
  <si>
    <t>WINONA</t>
  </si>
  <si>
    <t>ANNANDALE</t>
  </si>
  <si>
    <t>BUFFALO</t>
  </si>
  <si>
    <t>DELANO</t>
  </si>
  <si>
    <t>MAPLE LAKE</t>
  </si>
  <si>
    <t>MONTICELLO</t>
  </si>
  <si>
    <t>ROCKFORD</t>
  </si>
  <si>
    <t>ST. MICHAEL-ALBE</t>
  </si>
  <si>
    <t>CANBY</t>
  </si>
  <si>
    <t>CAMBRIDGE-ISANTI</t>
  </si>
  <si>
    <t>MILACA</t>
  </si>
  <si>
    <t>ULEN-HITTERDAL</t>
  </si>
  <si>
    <t>LAKE CRYSTAL-WEL</t>
  </si>
  <si>
    <t>TRITON</t>
  </si>
  <si>
    <t>UNITED SOUTH CENTRAL</t>
  </si>
  <si>
    <t>MAPLE RIVER</t>
  </si>
  <si>
    <t>KINGSLAND</t>
  </si>
  <si>
    <t>ST. LOUIS COUNTY</t>
  </si>
  <si>
    <t>WATERVILLE-ELYSIAN-MO</t>
  </si>
  <si>
    <t>CHISAGO LAKES AREA</t>
  </si>
  <si>
    <t>MINNEWASKA</t>
  </si>
  <si>
    <t>EVELETH-GILBERT</t>
  </si>
  <si>
    <t>WADENA-DEER CREEK</t>
  </si>
  <si>
    <t>BUFFALO LAKE-HECTOR</t>
  </si>
  <si>
    <t>DILWORTH-GLYNDON</t>
  </si>
  <si>
    <t>HINCKLEY-FINLAYS</t>
  </si>
  <si>
    <t>LAKEVIEW</t>
  </si>
  <si>
    <t>NRHEG</t>
  </si>
  <si>
    <t>MURRAY COUNTY</t>
  </si>
  <si>
    <t>STAPLES-MOTLEY</t>
  </si>
  <si>
    <t>KITTSON CENTRAL</t>
  </si>
  <si>
    <t>KENYON-WANAMINGO</t>
  </si>
  <si>
    <t>PINE RIVER-BACKU</t>
  </si>
  <si>
    <t>WARREN-ALVARADO-</t>
  </si>
  <si>
    <t>MACCRAY</t>
  </si>
  <si>
    <t>LUVERNE</t>
  </si>
  <si>
    <t>YELLOW MEDICINE EAST</t>
  </si>
  <si>
    <t>FILMORE CENTRAL</t>
  </si>
  <si>
    <t>NORMAN COUNTY EAST</t>
  </si>
  <si>
    <t>SIBLEY EAST</t>
  </si>
  <si>
    <t>CLEARBROOK-GONVICK</t>
  </si>
  <si>
    <t>WEST CENTRAL AREA</t>
  </si>
  <si>
    <t>KARLSTAD-STRANDQ</t>
  </si>
  <si>
    <t>BELGRADE-BROOTEN-ELR</t>
  </si>
  <si>
    <t>G.F.W.</t>
  </si>
  <si>
    <t>A.C.G.C.</t>
  </si>
  <si>
    <t>LESUEUR-HENDERSO</t>
  </si>
  <si>
    <t>MARTIN COUNTY</t>
  </si>
  <si>
    <t>HALSTAD-HENDRUM</t>
  </si>
  <si>
    <t>OLIVIA-BIRD ISLA</t>
  </si>
  <si>
    <t>GRANADA HUNTLEY-</t>
  </si>
  <si>
    <t>SANDSTONE-ASKOV</t>
  </si>
  <si>
    <t>WIN-E-MAC</t>
  </si>
  <si>
    <t>GREENBUSH-MIDDLE RIV</t>
  </si>
  <si>
    <t>HOWARD LAKE-WAVERLY-W</t>
  </si>
  <si>
    <t>PIPESTONE-JASPER</t>
  </si>
  <si>
    <t>MESABI EAST</t>
  </si>
  <si>
    <t>FAIRMONT AREA SCHOOLS</t>
  </si>
  <si>
    <t>LONG PRAIRIE-GREY EA</t>
  </si>
  <si>
    <t>CEDAR MOUNTAIN</t>
  </si>
  <si>
    <t>EAGLE BEND-CLARISSA</t>
  </si>
  <si>
    <t>ZUMBROTA-MAZEPPA</t>
  </si>
  <si>
    <t>JANESVILLE-WALDO</t>
  </si>
  <si>
    <t>MADISON-MARIETTA-LACQ</t>
  </si>
  <si>
    <t>ADA-BORUP</t>
  </si>
  <si>
    <t>STEPHEN-ARGYLE</t>
  </si>
  <si>
    <t>GLENCOE-SILVER LAKE</t>
  </si>
  <si>
    <t>BLUE EARTH-DELAVAN-EL</t>
  </si>
  <si>
    <t>RED ROCK CENTRAL</t>
  </si>
  <si>
    <t>GLENVILLE-EMMONS</t>
  </si>
  <si>
    <t>MCLEOD WEST SCHOOLS</t>
  </si>
  <si>
    <t>CLINTON-GRACEVILLE-BE</t>
  </si>
  <si>
    <t>LAKE PARK-AUDUBON</t>
  </si>
  <si>
    <t>DRSH</t>
  </si>
  <si>
    <t>JACKSON COUNTY CENTRA</t>
  </si>
  <si>
    <t>REDWOOD AREA SCHOOLS</t>
  </si>
  <si>
    <t>WESTBROOK-WALNUT GROV</t>
  </si>
  <si>
    <t>PLAINVIEW-ELGIN-MILLV</t>
  </si>
  <si>
    <t>RUSSELL-TYLER-RUTHTON</t>
  </si>
  <si>
    <t>CITY ACADEMY</t>
  </si>
  <si>
    <t>BLUFFVIEW MONTESSORI</t>
  </si>
  <si>
    <t>NEW HEIGHTS CHARTER S</t>
  </si>
  <si>
    <t>CEDAR RIVERSIDE COMMU</t>
  </si>
  <si>
    <t>METRO DEAF CHARTER SC</t>
  </si>
  <si>
    <t>SKILLS FOR TOMORROW C</t>
  </si>
  <si>
    <t>MINNESOTA NEW COUNTRY</t>
  </si>
  <si>
    <t>PACT CHARTER SCHOOL</t>
  </si>
  <si>
    <t>NEW VISIONS CHARTER S</t>
  </si>
  <si>
    <t>EMILY CHARTER SCHOOL</t>
  </si>
  <si>
    <t>COMMUNITY OF PEACE AC</t>
  </si>
  <si>
    <t>WORLD LEARNER CHARTER</t>
  </si>
  <si>
    <t>MINNESOTA TRANSITIONS</t>
  </si>
  <si>
    <t>ACORN DUAL LANGUAGE C</t>
  </si>
  <si>
    <t>EDISON CHARTER SCHOOL</t>
  </si>
  <si>
    <t>CYBER VILLAGE ACADEMY</t>
  </si>
  <si>
    <t>E.C.H.O. CHARTER SCHO</t>
  </si>
  <si>
    <t>HIGHER GROUND ACADEMY</t>
  </si>
  <si>
    <t>ECI' NOMPA WOONSPE</t>
  </si>
  <si>
    <t>NEW SPIRIT SCHOOL</t>
  </si>
  <si>
    <t>ODYSSEY CHARTER SCHOO</t>
  </si>
  <si>
    <t>MINNESOTA TECHNOLOGY</t>
  </si>
  <si>
    <t>HARVEST PREP SCHOOL/S</t>
  </si>
  <si>
    <t>CONCORDIA CREATIVE LE</t>
  </si>
  <si>
    <t>FACE TO FACE ACADEMY</t>
  </si>
  <si>
    <t>SOJOURNER TRUTH ACADE</t>
  </si>
  <si>
    <t>HIGH SCHOOL FOR RECOR</t>
  </si>
  <si>
    <t>TWIN CITIES ACADEMY</t>
  </si>
  <si>
    <t>MATH &amp; SCIENCE ACADEM</t>
  </si>
  <si>
    <t>HEART OF THE EARTH CH</t>
  </si>
  <si>
    <t>PEAKS-ALEXANDRIA</t>
  </si>
  <si>
    <t>LAKE SUPERIOR HIGH SC</t>
  </si>
  <si>
    <t>GREAT RIVER EDUCATION</t>
  </si>
  <si>
    <t>COON RAPIDS LEARNING</t>
  </si>
  <si>
    <t>LAFAYETTE PUBLIC CHAR</t>
  </si>
  <si>
    <t>FOUR DIRECTIONS CHART</t>
  </si>
  <si>
    <t>NORTH LAKES ACADEMY C</t>
  </si>
  <si>
    <t>LACRESCENT MONTESSORI</t>
  </si>
  <si>
    <t>NERSTRAND CHARTER SCH</t>
  </si>
  <si>
    <t>ROCHESTER OFF CAMPUS</t>
  </si>
  <si>
    <t>EL COLEGIO CHARTER SC</t>
  </si>
  <si>
    <t>SCHOOLCRAFT LEARNING</t>
  </si>
  <si>
    <t>CROSSLAKE COMMUNITY C</t>
  </si>
  <si>
    <t>STUDIO ACADEMY CHARTE</t>
  </si>
  <si>
    <t>RIVERWAY LEARNING COM</t>
  </si>
  <si>
    <t>RIVERBEND ACADEMY CHA</t>
  </si>
  <si>
    <t>AURORA CHARTER SCHOOL</t>
  </si>
  <si>
    <t>EXCELL ACADEMY</t>
  </si>
  <si>
    <t>HOPE ACADEMY CHARTER</t>
  </si>
  <si>
    <t>YANKTON COUNTRY CHART</t>
  </si>
  <si>
    <t>ACADEMIA CESAR CHAVEZ</t>
  </si>
  <si>
    <t>AGRICULTURAL FOOD SCI</t>
  </si>
  <si>
    <t>AVALON SCHOL</t>
  </si>
  <si>
    <t>TWIN CITIES INTERNATI</t>
  </si>
  <si>
    <t>MN INTERNATIONAL MIDD</t>
  </si>
  <si>
    <t>FRIENDSHIP ACADEMY OF</t>
  </si>
  <si>
    <t>PILLAGER AREA CHARTER</t>
  </si>
  <si>
    <t>COVENANT</t>
  </si>
  <si>
    <t>BLUESKY</t>
  </si>
  <si>
    <t>RIDGEWAY COMMUNITY SC</t>
  </si>
  <si>
    <t>NORTH SHORE COMMUNITY</t>
  </si>
  <si>
    <t>HARBOR CITY INTERNATI</t>
  </si>
  <si>
    <t>WOODSON INSTITUTE FOR</t>
  </si>
  <si>
    <t>SAGE ACADEMY CHARTER</t>
  </si>
  <si>
    <t>URBAN ACADEMY</t>
  </si>
  <si>
    <t>NEW CITY SCHOOL</t>
  </si>
  <si>
    <t>PRAIRIE CREEK COMMUNI</t>
  </si>
  <si>
    <t>SE MN ARTS &amp; TECHNOLO</t>
  </si>
  <si>
    <t>WATERSHED HIGH SCHOOL</t>
  </si>
  <si>
    <t>NEW CENTURY CHARTER S</t>
  </si>
  <si>
    <t>TRIO WOLF CREEK DISTA</t>
  </si>
  <si>
    <t>PARTNERSHIP ACADEMY,</t>
  </si>
  <si>
    <t>NOVA CLASSICAL</t>
  </si>
  <si>
    <t>TAREK IBN ZIYAD</t>
  </si>
  <si>
    <t>GREAT EXPECTATIONS</t>
  </si>
  <si>
    <t>MINNESOTA NORTH STAR</t>
  </si>
  <si>
    <t>MN INTERNSHIP</t>
  </si>
  <si>
    <t>HMONG ACADEMY</t>
  </si>
  <si>
    <t>LIBERTY HIGH SCHOOL</t>
  </si>
  <si>
    <t>GREAT RIVER SCHOOL</t>
  </si>
  <si>
    <t>TREKNORTH HIGH</t>
  </si>
  <si>
    <t>VOYAGEURS EXPE</t>
  </si>
  <si>
    <t>GENERAL JOHN VESSEY L</t>
  </si>
  <si>
    <t>SOBRIETY HIGH</t>
  </si>
  <si>
    <t>MAIN STREET SCHOOL OF</t>
  </si>
  <si>
    <t>AUGSBURG ACADEMY FOR</t>
  </si>
  <si>
    <t>ST PAUL CONSERVATORY</t>
  </si>
  <si>
    <t>FRASER ACADEMY</t>
  </si>
  <si>
    <t>ASCENSION ACADEMY</t>
  </si>
  <si>
    <t>MINNEAPOLIS ACADEMY</t>
  </si>
  <si>
    <t>LAKES INTERNATIONAL L</t>
  </si>
  <si>
    <t>KALEIDOSCOPE CHARTER</t>
  </si>
  <si>
    <t>RIVER HEIGHTS CHARTER</t>
  </si>
  <si>
    <t>ST. CROIX PREPARATORY</t>
  </si>
  <si>
    <t>UBAH MEDICAL ACADEMY</t>
  </si>
  <si>
    <t>EAGLE RIDGE ACADEMY</t>
  </si>
  <si>
    <t>DAKOTA AREA COMMUNITY</t>
  </si>
  <si>
    <t>BEACON ACADEMY</t>
  </si>
  <si>
    <t>WORTHINGTON AREA LANG</t>
  </si>
  <si>
    <t>PRAIRIE SEEDS ACADEMY</t>
  </si>
  <si>
    <t>TEAM ACADEMY</t>
  </si>
  <si>
    <t>MARY MCVOY EARLY LITE</t>
  </si>
  <si>
    <t>LIGHTHOUSE ACADEMY OF</t>
  </si>
  <si>
    <t>TWIN CITIES ACADEMY H</t>
  </si>
  <si>
    <t>BEACON PREPARATORY SC</t>
  </si>
  <si>
    <t>ADAM ABDULLE ACADEMY</t>
  </si>
  <si>
    <t>SOUL ACADEMY CHARTER</t>
  </si>
  <si>
    <t>SWAN RIVER MONTESSORI</t>
  </si>
  <si>
    <t>MILROY AREA CHARTER S</t>
  </si>
  <si>
    <t>LOVEWORKS ACADEMY FOR</t>
  </si>
  <si>
    <t>YINGHUA ACADEMY</t>
  </si>
  <si>
    <t>PAIDEIA ACADEMY CHART</t>
  </si>
  <si>
    <t>STRIDE ACADEMY CHARTE</t>
  </si>
  <si>
    <t>NEW MILLENNIUM ACADEM</t>
  </si>
  <si>
    <t>GREEN ISLE COMMUNITY</t>
  </si>
  <si>
    <t>BIRCH GROVE COMMUNITY</t>
  </si>
  <si>
    <t>NORTHERN LIGHTS COMMU</t>
  </si>
  <si>
    <t>ACADEMY OF BIOSCIENCE</t>
  </si>
  <si>
    <t>CYGNUS ACADEMY</t>
  </si>
  <si>
    <t>MINNESOTA ONLINE HIGH</t>
  </si>
  <si>
    <t>EDVISIONS OFF CAMPUS</t>
  </si>
  <si>
    <t>TWIN CITIES GERMAN IM</t>
  </si>
  <si>
    <t>DUGSI ACADEMY</t>
  </si>
  <si>
    <t>RECOVERY SCHOOL OF SO</t>
  </si>
  <si>
    <t>NAYTAUWAUSH COMMUNITY</t>
  </si>
  <si>
    <t>NEW SALEM ACADEMY</t>
  </si>
  <si>
    <t>DAKOTA ACADEMY</t>
  </si>
  <si>
    <t>SEVEN HILLS CLASSICAL</t>
  </si>
  <si>
    <t>SPECTRUM HIGH SCHOOL</t>
  </si>
  <si>
    <t>NEW DISCOVERIES MONTE</t>
  </si>
  <si>
    <t>SOUTHSIDE FAMILY CHAR</t>
  </si>
  <si>
    <t>LEARNING FOR LEADERSH</t>
  </si>
  <si>
    <t>NAME UNAVAILABLE</t>
  </si>
  <si>
    <t>Teacher's Name</t>
  </si>
  <si>
    <t>Threshold portion:</t>
  </si>
  <si>
    <t>FILL IN THE YELLOW CELLS FOR UP TO 20 TEACHERS</t>
  </si>
  <si>
    <t>DON'T MESS WITH THE THRESHOLD PORTION!</t>
  </si>
  <si>
    <t>District's Minutes Per Day:</t>
  </si>
  <si>
    <t>District's Hours Per Day:</t>
  </si>
  <si>
    <t>Contract Days</t>
  </si>
  <si>
    <t>Contract Hours</t>
  </si>
  <si>
    <t>Annual Salary</t>
  </si>
  <si>
    <t>Inputs</t>
  </si>
  <si>
    <t>Revised Pupils</t>
  </si>
  <si>
    <t>Pupil Portions</t>
  </si>
  <si>
    <t>Hourly</t>
  </si>
  <si>
    <t>Salary =</t>
  </si>
  <si>
    <t>Disability Dispursement 20070914 20 Teachers</t>
  </si>
  <si>
    <t>SPEECH</t>
  </si>
  <si>
    <t>SLD</t>
  </si>
  <si>
    <t>EB/D</t>
  </si>
  <si>
    <t>AUTISM</t>
  </si>
  <si>
    <t>T B I</t>
  </si>
  <si>
    <t>S M I</t>
  </si>
  <si>
    <t>-MOD</t>
  </si>
  <si>
    <t>MILD</t>
  </si>
  <si>
    <t>SEV</t>
  </si>
  <si>
    <t>PHYS</t>
  </si>
  <si>
    <t>DEAF</t>
  </si>
  <si>
    <t>/HH</t>
  </si>
  <si>
    <t>-PROF</t>
  </si>
  <si>
    <t>BLIND</t>
  </si>
  <si>
    <t>/VIS</t>
  </si>
  <si>
    <t>-BLD</t>
  </si>
  <si>
    <t>OTH</t>
  </si>
  <si>
    <t>-HLTH</t>
  </si>
  <si>
    <t>DEV</t>
  </si>
  <si>
    <t>DELAY</t>
  </si>
  <si>
    <t>Instructions</t>
  </si>
  <si>
    <t>The purpose of this file is to distribute teachers' salaries and contract hours among disability categories.</t>
  </si>
  <si>
    <t>To use the file, you enter the following teacher-specific data into the yellow cells of the "Report" worksheet:</t>
  </si>
  <si>
    <t>total contact days,</t>
  </si>
  <si>
    <t>total annual salary, and</t>
  </si>
  <si>
    <t>*</t>
  </si>
  <si>
    <t>The file allows you to enter data for up to 20 teachers.  If you have more than 20 teachers, you have to</t>
  </si>
  <si>
    <t>The inputs section is followed by a "TOTALS" section the adds up the results for individual teachers.</t>
  </si>
  <si>
    <t>The come the detailed calculations, with six lines for each individual teacher:</t>
  </si>
  <si>
    <t>This line simply restates the inputs that were entered in the yellow cells.</t>
  </si>
  <si>
    <t>pupil contacts by disability.</t>
  </si>
  <si>
    <t>In this line, a given disability's pupil count is eliminated if it represents less than 10% of a teacher's</t>
  </si>
  <si>
    <t>This shows the portion of pupils from the "Revised Pupils" line that are associated with each</t>
  </si>
  <si>
    <t>category of disability.  Assuming that a teacher's overall pupil count is greater than zero,</t>
  </si>
  <si>
    <t>the values in the "Pupil Portions" line will add up to 100%.</t>
  </si>
  <si>
    <t>In this line, the total number of contract days that were entered for a teacher in the yellow section</t>
  </si>
  <si>
    <t>are distributed across disability categories in proportion to the "Pupil Portions" line.</t>
  </si>
  <si>
    <t>The number of hours per day varies from district to district.  One of the yellow cells lets the user</t>
  </si>
  <si>
    <t>explained below.</t>
  </si>
  <si>
    <t>The file also lets the user specify a particular district, and to specify a "threshold portion" that will be</t>
  </si>
  <si>
    <t>total number of pupil contacts.  This 10% is the default "threshold portion", as noted above.</t>
  </si>
  <si>
    <t>You probably don't want to change this 10% value.</t>
  </si>
  <si>
    <t>specify a particular district.  The file will automatically look up the hours per day for the district that</t>
  </si>
  <si>
    <t>was specified as one of the inputs, and will use this value to convert contract days to contract hours.</t>
  </si>
  <si>
    <t>In this line, the salary that was entered for a teacher in the yellow section is distributed across</t>
  </si>
  <si>
    <t>disability categories in proportion to the "Pupil Portions" line.</t>
  </si>
  <si>
    <t>As already noted, the totals across teachers for contract days, contract hours, and annual salaries</t>
  </si>
  <si>
    <t>are shown in the TOTALS section that immediately follows the inputs.</t>
  </si>
  <si>
    <t>district number in the yellow cells</t>
  </si>
  <si>
    <t>DO NOT CHANGE the threshold cell unless requested by MDE</t>
  </si>
  <si>
    <t>create multiple versions of the file.</t>
  </si>
  <si>
    <t>EDRS DATA</t>
  </si>
  <si>
    <t>The lines in the shaded (light green) area are the data that may be entered on EDRS.  It is the data below:</t>
  </si>
  <si>
    <t>Please address any spreadsheet questions to Bob Porter at bob.porter@state.mn.us, or at 651-582-8851.</t>
  </si>
  <si>
    <t>Tuition questions go the George Holt at 651-582-889 or email to george.holt@state.mn.us or</t>
  </si>
  <si>
    <t>Jeanne Krile at 651-582-8637 or email to jeanne.krile@state.mn.us</t>
  </si>
  <si>
    <t>EDRS question may be sent to Mike Matlock or Mona Regan. Mike's phone number is 651-582-8379 or email</t>
  </si>
  <si>
    <t>to mike.matlock@state.mn.us. Mona' phone number is 651-582-8638 or email to mona.regan@state.mn.us</t>
  </si>
  <si>
    <t>District's Contract Days: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</si>
</sst>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#,##0.0000"/>
    <numFmt numFmtId="167" formatCode="&quot;$&quot;#,##0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</font>
    <font>
      <b/>
      <sz val="10"/>
      <color indexed="10"/>
      <name val="Arial"/>
      <family val="2"/>
    </font>
    <font>
      <sz val="10"/>
      <color indexed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1" fillId="0" borderId="0" xfId="0" quotePrefix="1" applyFont="1" applyBorder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0" fillId="0" borderId="0" xfId="0" applyNumberForma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0" fillId="0" borderId="0" xfId="0" applyAlignment="1">
      <alignment horizontal="right"/>
    </xf>
    <xf numFmtId="14" fontId="1" fillId="0" borderId="0" xfId="0" applyNumberFormat="1" applyFont="1"/>
    <xf numFmtId="4" fontId="0" fillId="0" borderId="0" xfId="0" applyNumberFormat="1"/>
    <xf numFmtId="0" fontId="0" fillId="2" borderId="1" xfId="0" applyFill="1" applyBorder="1"/>
    <xf numFmtId="0" fontId="0" fillId="0" borderId="0" xfId="0" applyAlignment="1">
      <alignment horizontal="left"/>
    </xf>
    <xf numFmtId="37" fontId="0" fillId="0" borderId="0" xfId="0" applyNumberFormat="1"/>
    <xf numFmtId="0" fontId="1" fillId="2" borderId="1" xfId="0" applyFont="1" applyFill="1" applyBorder="1" applyAlignment="1">
      <alignment horizontal="left"/>
    </xf>
    <xf numFmtId="3" fontId="1" fillId="2" borderId="1" xfId="0" quotePrefix="1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0" fontId="1" fillId="2" borderId="1" xfId="0" quotePrefix="1" applyFont="1" applyFill="1" applyBorder="1" applyAlignment="1">
      <alignment horizontal="left"/>
    </xf>
    <xf numFmtId="2" fontId="1" fillId="2" borderId="1" xfId="0" applyNumberFormat="1" applyFont="1" applyFill="1" applyBorder="1"/>
    <xf numFmtId="0" fontId="3" fillId="0" borderId="0" xfId="0" applyFont="1"/>
    <xf numFmtId="0" fontId="0" fillId="0" borderId="0" xfId="0" applyFill="1" applyBorder="1"/>
    <xf numFmtId="3" fontId="0" fillId="3" borderId="0" xfId="0" applyNumberFormat="1" applyFill="1"/>
    <xf numFmtId="4" fontId="0" fillId="0" borderId="0" xfId="0" applyNumberFormat="1" applyAlignment="1">
      <alignment horizontal="left"/>
    </xf>
    <xf numFmtId="37" fontId="0" fillId="0" borderId="0" xfId="0" applyNumberFormat="1" applyAlignment="1">
      <alignment horizontal="left"/>
    </xf>
    <xf numFmtId="3" fontId="1" fillId="0" borderId="0" xfId="0" applyNumberFormat="1" applyFont="1" applyBorder="1" applyAlignment="1">
      <alignment horizontal="right"/>
    </xf>
    <xf numFmtId="3" fontId="1" fillId="2" borderId="1" xfId="0" applyNumberFormat="1" applyFont="1" applyFill="1" applyBorder="1" applyAlignment="1">
      <alignment horizontal="left"/>
    </xf>
    <xf numFmtId="3" fontId="1" fillId="2" borderId="1" xfId="0" quotePrefix="1" applyNumberFormat="1" applyFont="1" applyFill="1" applyBorder="1" applyAlignment="1">
      <alignment horizontal="left"/>
    </xf>
    <xf numFmtId="3" fontId="1" fillId="0" borderId="0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3" fontId="0" fillId="3" borderId="0" xfId="0" applyNumberFormat="1" applyFill="1" applyAlignment="1">
      <alignment horizontal="right"/>
    </xf>
    <xf numFmtId="3" fontId="1" fillId="0" borderId="0" xfId="0" quotePrefix="1" applyNumberFormat="1" applyFont="1" applyAlignment="1">
      <alignment horizontal="right"/>
    </xf>
    <xf numFmtId="167" fontId="1" fillId="2" borderId="1" xfId="0" applyNumberFormat="1" applyFont="1" applyFill="1" applyBorder="1" applyAlignment="1">
      <alignment horizontal="right"/>
    </xf>
    <xf numFmtId="167" fontId="0" fillId="3" borderId="0" xfId="0" applyNumberFormat="1" applyFill="1" applyAlignment="1">
      <alignment horizontal="right"/>
    </xf>
    <xf numFmtId="167" fontId="0" fillId="3" borderId="0" xfId="0" applyNumberFormat="1" applyFill="1"/>
    <xf numFmtId="165" fontId="0" fillId="0" borderId="0" xfId="0" applyNumberFormat="1"/>
    <xf numFmtId="3" fontId="1" fillId="0" borderId="0" xfId="0" applyNumberFormat="1" applyFont="1" applyFill="1" applyBorder="1" applyAlignment="1">
      <alignment horizontal="right"/>
    </xf>
    <xf numFmtId="3" fontId="0" fillId="0" borderId="0" xfId="0" applyNumberFormat="1" applyFill="1" applyAlignment="1">
      <alignment horizontal="right"/>
    </xf>
    <xf numFmtId="3" fontId="1" fillId="0" borderId="0" xfId="0" applyNumberFormat="1" applyFont="1" applyFill="1"/>
    <xf numFmtId="167" fontId="0" fillId="0" borderId="0" xfId="0" applyNumberFormat="1" applyFill="1" applyAlignment="1">
      <alignment horizontal="right"/>
    </xf>
    <xf numFmtId="167" fontId="1" fillId="0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Databridge" connectionId="1" autoFormatId="16" applyNumberFormats="0" applyBorderFormats="0" applyFontFormats="1" applyPatternFormats="1" applyAlignmentFormats="0" applyWidthHeightFormats="0">
  <queryTableRefresh nextId="47">
    <queryTableFields count="6">
      <queryTableField id="2" name="dst_num"/>
      <queryTableField id="3" name="dst_tye"/>
      <queryTableField id="46" dataBound="0" fillFormulas="1"/>
      <queryTableField id="4" name="num_mnt_sch_day"/>
      <queryTableField id="5" name="num_day_sch_trm"/>
      <queryTableField id="6" name="num_hrs_sch_trm"/>
    </queryTableFields>
    <queryTableDeletedFields count="40">
      <deletedField name="apl_agy_dst_num"/>
      <deletedField name="apl_agy_dst_tye"/>
      <deletedField name="dir_fdr_num"/>
      <deletedField name="num_hrs_fut_sml"/>
      <deletedField name="use_idt_cst_rat"/>
      <deletedField name="idt_cst_rat"/>
      <deletedField name="mat_adj_reg"/>
      <deletedField name="mat_adj_sml"/>
      <deletedField name="pbc_enr"/>
      <deletedField name="npc_enr"/>
      <deletedField name="pbc_enr_rce_srv"/>
      <deletedField name="npc_enr_rce_srv"/>
      <deletedField name="lep_enr"/>
      <deletedField name="psw"/>
      <deletedField name="use_hst_lvy_ath"/>
      <deletedField name="upd_cat"/>
      <deletedField name="tses_apl_app"/>
      <deletedField name="fnl_pay_app"/>
      <deletedField name="lep_spl_mat_exp"/>
      <deletedField name="lep_spl_mat_aid"/>
      <deletedField name="tui_amt_rcv"/>
      <deletedField name="tui_amt_exp"/>
      <deletedField name="tui_aid"/>
      <deletedField name="tui_est_acu"/>
      <deletedField name="new_dst_spd"/>
      <deletedField name="pct_est_acu"/>
      <deletedField name="new_dst_lep"/>
      <deletedField name="new_dst_smr"/>
      <deletedField name="crt_ord_plc_exp"/>
      <deletedField name="crt_ord_est_acu"/>
      <deletedField name="new_spd_tra_cst"/>
      <deletedField name="gened_rvn_per_pu"/>
      <deletedField name="app_rcv_stt_fnd"/>
      <deletedField name="opn_ovr_edrs"/>
      <deletedField name="cht_bas_dat_yer"/>
      <deletedField name="moe_adj_bas_exp"/>
      <deletedField name="sto_pov_enr_aln_b"/>
      <deletedField name="sto_pov_enr_aln_f"/>
      <deletedField name="undup_sped_cnt"/>
      <deletedField name="dat_yer"/>
    </queryTableDeletedFields>
    <sortState ref="A5:F541">
      <sortCondition ref="A4"/>
    </sortState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63"/>
  <sheetViews>
    <sheetView workbookViewId="0">
      <selection activeCell="B64" sqref="B64"/>
    </sheetView>
  </sheetViews>
  <sheetFormatPr defaultRowHeight="12.75" x14ac:dyDescent="0.2"/>
  <cols>
    <col min="1" max="1" width="4.7109375" customWidth="1"/>
    <col min="2" max="2" width="91.7109375" customWidth="1"/>
  </cols>
  <sheetData>
    <row r="1" spans="1:2" x14ac:dyDescent="0.2">
      <c r="A1" t="s">
        <v>546</v>
      </c>
    </row>
    <row r="3" spans="1:2" x14ac:dyDescent="0.2">
      <c r="A3" t="s">
        <v>547</v>
      </c>
    </row>
    <row r="5" spans="1:2" x14ac:dyDescent="0.2">
      <c r="A5" t="s">
        <v>548</v>
      </c>
    </row>
    <row r="6" spans="1:2" x14ac:dyDescent="0.2">
      <c r="A6" t="s">
        <v>551</v>
      </c>
      <c r="B6" t="s">
        <v>574</v>
      </c>
    </row>
    <row r="7" spans="1:2" x14ac:dyDescent="0.2">
      <c r="A7" t="s">
        <v>551</v>
      </c>
      <c r="B7" t="s">
        <v>575</v>
      </c>
    </row>
    <row r="8" spans="1:2" x14ac:dyDescent="0.2">
      <c r="A8" t="s">
        <v>551</v>
      </c>
      <c r="B8" t="s">
        <v>549</v>
      </c>
    </row>
    <row r="9" spans="1:2" x14ac:dyDescent="0.2">
      <c r="A9" t="s">
        <v>551</v>
      </c>
      <c r="B9" t="s">
        <v>550</v>
      </c>
    </row>
    <row r="10" spans="1:2" x14ac:dyDescent="0.2">
      <c r="A10" t="s">
        <v>551</v>
      </c>
      <c r="B10" t="s">
        <v>556</v>
      </c>
    </row>
    <row r="12" spans="1:2" x14ac:dyDescent="0.2">
      <c r="A12" t="s">
        <v>552</v>
      </c>
    </row>
    <row r="13" spans="1:2" x14ac:dyDescent="0.2">
      <c r="A13" t="s">
        <v>576</v>
      </c>
    </row>
    <row r="15" spans="1:2" x14ac:dyDescent="0.2">
      <c r="A15" t="s">
        <v>565</v>
      </c>
    </row>
    <row r="16" spans="1:2" x14ac:dyDescent="0.2">
      <c r="A16" t="s">
        <v>564</v>
      </c>
    </row>
    <row r="18" spans="1:2" x14ac:dyDescent="0.2">
      <c r="A18" t="s">
        <v>553</v>
      </c>
    </row>
    <row r="20" spans="1:2" x14ac:dyDescent="0.2">
      <c r="A20" t="s">
        <v>554</v>
      </c>
    </row>
    <row r="22" spans="1:2" x14ac:dyDescent="0.2">
      <c r="A22">
        <v>1</v>
      </c>
      <c r="B22" s="15" t="s">
        <v>520</v>
      </c>
    </row>
    <row r="23" spans="1:2" x14ac:dyDescent="0.2">
      <c r="B23" s="15"/>
    </row>
    <row r="24" spans="1:2" x14ac:dyDescent="0.2">
      <c r="B24" s="15" t="s">
        <v>555</v>
      </c>
    </row>
    <row r="25" spans="1:2" x14ac:dyDescent="0.2">
      <c r="B25" s="15"/>
    </row>
    <row r="26" spans="1:2" x14ac:dyDescent="0.2">
      <c r="A26">
        <v>2</v>
      </c>
      <c r="B26" t="s">
        <v>521</v>
      </c>
    </row>
    <row r="27" spans="1:2" x14ac:dyDescent="0.2">
      <c r="B27" s="15"/>
    </row>
    <row r="28" spans="1:2" x14ac:dyDescent="0.2">
      <c r="B28" s="15" t="s">
        <v>557</v>
      </c>
    </row>
    <row r="29" spans="1:2" x14ac:dyDescent="0.2">
      <c r="B29" s="15" t="s">
        <v>566</v>
      </c>
    </row>
    <row r="30" spans="1:2" x14ac:dyDescent="0.2">
      <c r="B30" s="15" t="s">
        <v>567</v>
      </c>
    </row>
    <row r="31" spans="1:2" x14ac:dyDescent="0.2">
      <c r="B31" s="15"/>
    </row>
    <row r="32" spans="1:2" x14ac:dyDescent="0.2">
      <c r="A32">
        <v>3</v>
      </c>
      <c r="B32" t="s">
        <v>522</v>
      </c>
    </row>
    <row r="33" spans="1:2" x14ac:dyDescent="0.2">
      <c r="B33" s="15"/>
    </row>
    <row r="34" spans="1:2" x14ac:dyDescent="0.2">
      <c r="B34" s="15" t="s">
        <v>558</v>
      </c>
    </row>
    <row r="35" spans="1:2" x14ac:dyDescent="0.2">
      <c r="B35" s="15" t="s">
        <v>559</v>
      </c>
    </row>
    <row r="36" spans="1:2" x14ac:dyDescent="0.2">
      <c r="B36" s="15" t="s">
        <v>560</v>
      </c>
    </row>
    <row r="38" spans="1:2" x14ac:dyDescent="0.2">
      <c r="A38">
        <v>4</v>
      </c>
      <c r="B38" s="15" t="s">
        <v>517</v>
      </c>
    </row>
    <row r="40" spans="1:2" x14ac:dyDescent="0.2">
      <c r="B40" s="15" t="s">
        <v>561</v>
      </c>
    </row>
    <row r="41" spans="1:2" x14ac:dyDescent="0.2">
      <c r="B41" t="s">
        <v>562</v>
      </c>
    </row>
    <row r="43" spans="1:2" x14ac:dyDescent="0.2">
      <c r="A43" s="42" t="s">
        <v>577</v>
      </c>
    </row>
    <row r="44" spans="1:2" x14ac:dyDescent="0.2">
      <c r="B44" s="42" t="s">
        <v>578</v>
      </c>
    </row>
    <row r="45" spans="1:2" x14ac:dyDescent="0.2">
      <c r="A45">
        <v>5</v>
      </c>
      <c r="B45" t="s">
        <v>518</v>
      </c>
    </row>
    <row r="47" spans="1:2" x14ac:dyDescent="0.2">
      <c r="B47" t="s">
        <v>563</v>
      </c>
    </row>
    <row r="48" spans="1:2" x14ac:dyDescent="0.2">
      <c r="B48" t="s">
        <v>568</v>
      </c>
    </row>
    <row r="49" spans="1:2" x14ac:dyDescent="0.2">
      <c r="B49" t="s">
        <v>569</v>
      </c>
    </row>
    <row r="51" spans="1:2" x14ac:dyDescent="0.2">
      <c r="A51">
        <v>6</v>
      </c>
      <c r="B51" t="s">
        <v>519</v>
      </c>
    </row>
    <row r="53" spans="1:2" x14ac:dyDescent="0.2">
      <c r="B53" s="15" t="s">
        <v>570</v>
      </c>
    </row>
    <row r="54" spans="1:2" x14ac:dyDescent="0.2">
      <c r="B54" t="s">
        <v>571</v>
      </c>
    </row>
    <row r="56" spans="1:2" x14ac:dyDescent="0.2">
      <c r="A56" t="s">
        <v>572</v>
      </c>
    </row>
    <row r="57" spans="1:2" x14ac:dyDescent="0.2">
      <c r="A57" t="s">
        <v>573</v>
      </c>
    </row>
    <row r="59" spans="1:2" x14ac:dyDescent="0.2">
      <c r="A59" t="s">
        <v>579</v>
      </c>
    </row>
    <row r="60" spans="1:2" x14ac:dyDescent="0.2">
      <c r="A60" t="s">
        <v>580</v>
      </c>
    </row>
    <row r="61" spans="1:2" x14ac:dyDescent="0.2">
      <c r="B61" t="s">
        <v>581</v>
      </c>
    </row>
    <row r="62" spans="1:2" x14ac:dyDescent="0.2">
      <c r="A62" t="s">
        <v>582</v>
      </c>
    </row>
    <row r="63" spans="1:2" x14ac:dyDescent="0.2">
      <c r="B63" t="s">
        <v>583</v>
      </c>
    </row>
  </sheetData>
  <phoneticPr fontId="2" type="noConversion"/>
  <pageMargins left="0.75" right="0.75" top="1" bottom="1" header="0.5" footer="0.5"/>
  <pageSetup scale="9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Y1341"/>
  <sheetViews>
    <sheetView tabSelected="1" zoomScale="75" zoomScaleNormal="75" workbookViewId="0">
      <pane ySplit="11" topLeftCell="A12" activePane="bottomLeft" state="frozen"/>
      <selection pane="bottomLeft" activeCell="D5" sqref="D5"/>
    </sheetView>
  </sheetViews>
  <sheetFormatPr defaultRowHeight="12.75" x14ac:dyDescent="0.2"/>
  <cols>
    <col min="1" max="1" width="6.7109375" customWidth="1"/>
    <col min="2" max="2" width="16.7109375" style="14" customWidth="1"/>
    <col min="3" max="3" width="18.7109375" customWidth="1"/>
    <col min="4" max="4" width="8.7109375" customWidth="1"/>
    <col min="5" max="5" width="12.7109375" customWidth="1"/>
    <col min="6" max="19" width="8.7109375" customWidth="1"/>
    <col min="20" max="21" width="4.7109375" customWidth="1"/>
    <col min="22" max="23" width="12.7109375" customWidth="1"/>
    <col min="24" max="24" width="29.5703125" customWidth="1"/>
    <col min="25" max="25" width="8.7109375" customWidth="1"/>
    <col min="26" max="26" width="12.7109375" customWidth="1"/>
    <col min="27" max="40" width="8.7109375" customWidth="1"/>
    <col min="41" max="103" width="12.7109375" customWidth="1"/>
  </cols>
  <sheetData>
    <row r="1" spans="1:103" x14ac:dyDescent="0.2">
      <c r="A1" s="1" t="s">
        <v>24</v>
      </c>
      <c r="D1" s="1"/>
      <c r="E1" s="1"/>
      <c r="F1" s="1"/>
      <c r="G1" s="21" t="s">
        <v>514</v>
      </c>
      <c r="I1" s="1"/>
      <c r="J1" s="1"/>
      <c r="K1" s="1"/>
      <c r="L1" s="1"/>
      <c r="M1" s="1"/>
      <c r="N1" s="1"/>
      <c r="O1" s="1"/>
      <c r="P1" s="1"/>
      <c r="Q1" s="1"/>
      <c r="R1" s="1"/>
      <c r="S1" s="5" t="s">
        <v>525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 x14ac:dyDescent="0.2">
      <c r="A2" s="1" t="s">
        <v>513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1">
        <v>39342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</row>
    <row r="3" spans="1:103" x14ac:dyDescent="0.2">
      <c r="A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</row>
    <row r="4" spans="1:103" x14ac:dyDescent="0.2">
      <c r="B4" s="8" t="s">
        <v>37</v>
      </c>
      <c r="D4" s="13">
        <v>911</v>
      </c>
      <c r="E4" s="1"/>
      <c r="F4" t="s">
        <v>515</v>
      </c>
      <c r="I4" s="7">
        <f>VLOOKUP(District,HoursPer,4)</f>
        <v>450</v>
      </c>
      <c r="J4" s="1"/>
      <c r="K4" s="1"/>
      <c r="L4" s="1"/>
      <c r="M4" s="1"/>
      <c r="N4" s="1"/>
      <c r="O4" s="1"/>
      <c r="P4" s="1"/>
      <c r="Q4" s="1"/>
      <c r="R4" s="1"/>
      <c r="S4" s="1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</row>
    <row r="5" spans="1:103" x14ac:dyDescent="0.2">
      <c r="B5" s="14" t="s">
        <v>512</v>
      </c>
      <c r="C5" s="1"/>
      <c r="D5" s="20">
        <v>0.1</v>
      </c>
      <c r="F5" t="s">
        <v>516</v>
      </c>
      <c r="I5" s="12">
        <f>I4/60</f>
        <v>7.5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r="6" spans="1:103" x14ac:dyDescent="0.2">
      <c r="B6" s="8"/>
      <c r="D6" s="22"/>
      <c r="F6" s="1" t="s">
        <v>584</v>
      </c>
      <c r="G6" s="1"/>
      <c r="H6" s="1"/>
      <c r="I6" s="5">
        <f>VLOOKUP(District,HoursPer,5,FALSE)</f>
        <v>184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 spans="1:103" x14ac:dyDescent="0.2">
      <c r="C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</row>
    <row r="8" spans="1:103" x14ac:dyDescent="0.2">
      <c r="F8" s="3">
        <v>401</v>
      </c>
      <c r="G8" s="3">
        <v>402</v>
      </c>
      <c r="H8" s="3">
        <v>403</v>
      </c>
      <c r="I8" s="3">
        <v>404</v>
      </c>
      <c r="J8" s="3">
        <v>405</v>
      </c>
      <c r="K8" s="3">
        <v>406</v>
      </c>
      <c r="L8" s="3">
        <v>407</v>
      </c>
      <c r="M8" s="3">
        <v>408</v>
      </c>
      <c r="N8" s="3">
        <v>409</v>
      </c>
      <c r="O8" s="3">
        <v>410</v>
      </c>
      <c r="P8" s="3">
        <v>411</v>
      </c>
      <c r="Q8" s="3">
        <v>412</v>
      </c>
      <c r="R8" s="3">
        <v>414</v>
      </c>
      <c r="S8" s="3">
        <v>416</v>
      </c>
      <c r="T8" s="1"/>
      <c r="U8" s="3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</row>
    <row r="9" spans="1:103" x14ac:dyDescent="0.2">
      <c r="C9" s="2"/>
      <c r="D9" s="10" t="s">
        <v>25</v>
      </c>
      <c r="E9" s="3" t="s">
        <v>0</v>
      </c>
      <c r="F9" s="6"/>
      <c r="G9" s="6" t="s">
        <v>533</v>
      </c>
      <c r="H9" s="32" t="s">
        <v>534</v>
      </c>
      <c r="I9" s="6"/>
      <c r="J9" s="32" t="s">
        <v>536</v>
      </c>
      <c r="K9" s="32" t="s">
        <v>539</v>
      </c>
      <c r="L9" s="6"/>
      <c r="M9" s="6"/>
      <c r="N9" s="32" t="s">
        <v>536</v>
      </c>
      <c r="O9" s="32" t="s">
        <v>542</v>
      </c>
      <c r="P9" s="6"/>
      <c r="Q9" s="32" t="s">
        <v>544</v>
      </c>
      <c r="R9" s="6"/>
      <c r="S9" s="6"/>
      <c r="T9" s="1"/>
      <c r="U9" s="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</row>
    <row r="10" spans="1:103" x14ac:dyDescent="0.2">
      <c r="C10" s="2" t="s">
        <v>511</v>
      </c>
      <c r="D10" s="3" t="s">
        <v>26</v>
      </c>
      <c r="E10" s="3" t="s">
        <v>1</v>
      </c>
      <c r="F10" s="6" t="s">
        <v>526</v>
      </c>
      <c r="G10" s="32" t="s">
        <v>532</v>
      </c>
      <c r="H10" s="32" t="s">
        <v>538</v>
      </c>
      <c r="I10" s="6" t="s">
        <v>535</v>
      </c>
      <c r="J10" s="6" t="s">
        <v>537</v>
      </c>
      <c r="K10" s="32" t="s">
        <v>540</v>
      </c>
      <c r="L10" s="6" t="s">
        <v>527</v>
      </c>
      <c r="M10" s="6" t="s">
        <v>528</v>
      </c>
      <c r="N10" s="32" t="s">
        <v>541</v>
      </c>
      <c r="O10" s="32" t="s">
        <v>543</v>
      </c>
      <c r="P10" s="6" t="s">
        <v>529</v>
      </c>
      <c r="Q10" s="6" t="s">
        <v>545</v>
      </c>
      <c r="R10" s="6" t="s">
        <v>530</v>
      </c>
      <c r="S10" s="6" t="s">
        <v>531</v>
      </c>
      <c r="T10" s="1"/>
      <c r="U10" s="3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2">
      <c r="C11" s="2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1"/>
      <c r="U11" s="3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</row>
    <row r="12" spans="1:103" x14ac:dyDescent="0.2">
      <c r="A12" s="15">
        <v>1</v>
      </c>
      <c r="B12" s="25" t="s">
        <v>520</v>
      </c>
      <c r="C12" s="16"/>
      <c r="D12" s="18"/>
      <c r="E12" s="33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9"/>
      <c r="U12" s="26"/>
      <c r="V12" s="9"/>
      <c r="W12" s="9"/>
      <c r="X12" s="27" t="s">
        <v>2</v>
      </c>
      <c r="Y12" s="17">
        <v>49</v>
      </c>
      <c r="Z12" s="18">
        <v>15928</v>
      </c>
      <c r="AA12" s="18">
        <v>68</v>
      </c>
      <c r="AB12" s="18">
        <v>70</v>
      </c>
      <c r="AC12" s="18">
        <v>71</v>
      </c>
      <c r="AD12" s="18">
        <v>75</v>
      </c>
      <c r="AE12" s="18">
        <v>1</v>
      </c>
      <c r="AF12" s="18">
        <v>19</v>
      </c>
      <c r="AG12" s="18">
        <v>41</v>
      </c>
      <c r="AH12" s="18">
        <v>23</v>
      </c>
      <c r="AI12" s="18">
        <v>22</v>
      </c>
      <c r="AJ12" s="18">
        <v>8</v>
      </c>
      <c r="AK12" s="18">
        <v>7</v>
      </c>
      <c r="AL12" s="18">
        <v>62</v>
      </c>
      <c r="AM12" s="18">
        <v>88</v>
      </c>
      <c r="AN12" s="18">
        <v>62</v>
      </c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</row>
    <row r="13" spans="1:103" x14ac:dyDescent="0.2">
      <c r="A13" s="15">
        <v>2</v>
      </c>
      <c r="B13" s="25" t="s">
        <v>520</v>
      </c>
      <c r="C13" s="16"/>
      <c r="D13" s="17"/>
      <c r="E13" s="33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9"/>
      <c r="U13" s="9"/>
      <c r="V13" s="9"/>
      <c r="W13" s="9"/>
      <c r="X13" s="27" t="s">
        <v>3</v>
      </c>
      <c r="Y13" s="17">
        <v>115</v>
      </c>
      <c r="Z13" s="18">
        <v>12216</v>
      </c>
      <c r="AA13" s="18">
        <v>41</v>
      </c>
      <c r="AB13" s="18">
        <v>28</v>
      </c>
      <c r="AC13" s="18">
        <v>46</v>
      </c>
      <c r="AD13" s="18">
        <v>90</v>
      </c>
      <c r="AE13" s="18">
        <v>57</v>
      </c>
      <c r="AF13" s="18">
        <v>53</v>
      </c>
      <c r="AG13" s="18">
        <v>27</v>
      </c>
      <c r="AH13" s="18">
        <v>49</v>
      </c>
      <c r="AI13" s="18">
        <v>26</v>
      </c>
      <c r="AJ13" s="18">
        <v>25</v>
      </c>
      <c r="AK13" s="18">
        <v>16</v>
      </c>
      <c r="AL13" s="18">
        <v>86</v>
      </c>
      <c r="AM13" s="18">
        <v>48</v>
      </c>
      <c r="AN13" s="18">
        <v>33</v>
      </c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</row>
    <row r="14" spans="1:103" x14ac:dyDescent="0.2">
      <c r="A14" s="15">
        <v>3</v>
      </c>
      <c r="B14" s="25" t="s">
        <v>520</v>
      </c>
      <c r="C14" s="16"/>
      <c r="D14" s="17"/>
      <c r="E14" s="33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9"/>
      <c r="U14" s="9"/>
      <c r="V14" s="9"/>
      <c r="W14" s="9"/>
      <c r="X14" s="27" t="s">
        <v>4</v>
      </c>
      <c r="Y14" s="17">
        <v>54</v>
      </c>
      <c r="Z14" s="18">
        <v>9509</v>
      </c>
      <c r="AA14" s="18">
        <v>56</v>
      </c>
      <c r="AB14" s="18">
        <v>22</v>
      </c>
      <c r="AC14" s="18">
        <v>31</v>
      </c>
      <c r="AD14" s="18">
        <v>2</v>
      </c>
      <c r="AE14" s="18">
        <v>38</v>
      </c>
      <c r="AF14" s="18">
        <v>77</v>
      </c>
      <c r="AG14" s="18">
        <v>51</v>
      </c>
      <c r="AH14" s="18">
        <v>97</v>
      </c>
      <c r="AI14" s="18">
        <v>84</v>
      </c>
      <c r="AJ14" s="18">
        <v>96</v>
      </c>
      <c r="AK14" s="18">
        <v>80</v>
      </c>
      <c r="AL14" s="18">
        <v>7</v>
      </c>
      <c r="AM14" s="18">
        <v>25</v>
      </c>
      <c r="AN14" s="18">
        <v>65</v>
      </c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</row>
    <row r="15" spans="1:103" x14ac:dyDescent="0.2">
      <c r="A15" s="15">
        <v>4</v>
      </c>
      <c r="B15" s="25" t="s">
        <v>520</v>
      </c>
      <c r="C15" s="16"/>
      <c r="D15" s="17"/>
      <c r="E15" s="33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9"/>
      <c r="U15" s="9"/>
      <c r="V15" s="9"/>
      <c r="W15" s="9"/>
      <c r="X15" s="27" t="s">
        <v>5</v>
      </c>
      <c r="Y15" s="17">
        <v>71</v>
      </c>
      <c r="Z15" s="18">
        <v>83648</v>
      </c>
      <c r="AA15" s="18">
        <v>52</v>
      </c>
      <c r="AB15" s="18">
        <v>99</v>
      </c>
      <c r="AC15" s="18">
        <v>35</v>
      </c>
      <c r="AD15" s="18">
        <v>46</v>
      </c>
      <c r="AE15" s="18">
        <v>28</v>
      </c>
      <c r="AF15" s="18">
        <v>54</v>
      </c>
      <c r="AG15" s="18">
        <v>91</v>
      </c>
      <c r="AH15" s="18">
        <v>37</v>
      </c>
      <c r="AI15" s="18">
        <v>23</v>
      </c>
      <c r="AJ15" s="18">
        <v>62</v>
      </c>
      <c r="AK15" s="18">
        <v>68</v>
      </c>
      <c r="AL15" s="18">
        <v>79</v>
      </c>
      <c r="AM15" s="18">
        <v>97</v>
      </c>
      <c r="AN15" s="18">
        <v>35</v>
      </c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</row>
    <row r="16" spans="1:103" x14ac:dyDescent="0.2">
      <c r="A16" s="15">
        <v>5</v>
      </c>
      <c r="B16" s="25" t="s">
        <v>520</v>
      </c>
      <c r="C16" s="16"/>
      <c r="D16" s="17"/>
      <c r="E16" s="33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9"/>
      <c r="U16" s="9"/>
      <c r="V16" s="9"/>
      <c r="W16" s="9"/>
      <c r="X16" s="27" t="s">
        <v>6</v>
      </c>
      <c r="Y16" s="17">
        <v>153</v>
      </c>
      <c r="Z16" s="18">
        <v>65682</v>
      </c>
      <c r="AA16" s="18">
        <v>18</v>
      </c>
      <c r="AB16" s="18">
        <v>58</v>
      </c>
      <c r="AC16" s="18">
        <v>7</v>
      </c>
      <c r="AD16" s="18">
        <v>34</v>
      </c>
      <c r="AE16" s="18">
        <v>19</v>
      </c>
      <c r="AF16" s="18">
        <v>75</v>
      </c>
      <c r="AG16" s="18">
        <v>26</v>
      </c>
      <c r="AH16" s="18">
        <v>91</v>
      </c>
      <c r="AI16" s="18">
        <v>81</v>
      </c>
      <c r="AJ16" s="18">
        <v>51</v>
      </c>
      <c r="AK16" s="18">
        <v>61</v>
      </c>
      <c r="AL16" s="18">
        <v>29</v>
      </c>
      <c r="AM16" s="18">
        <v>12</v>
      </c>
      <c r="AN16" s="18">
        <v>58</v>
      </c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</row>
    <row r="17" spans="1:103" x14ac:dyDescent="0.2">
      <c r="A17" s="15">
        <v>6</v>
      </c>
      <c r="B17" s="25" t="s">
        <v>520</v>
      </c>
      <c r="C17" s="16"/>
      <c r="D17" s="17"/>
      <c r="E17" s="33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9"/>
      <c r="U17" s="9"/>
      <c r="V17" s="9"/>
      <c r="W17" s="9"/>
      <c r="X17" s="27" t="s">
        <v>7</v>
      </c>
      <c r="Y17" s="17">
        <v>33</v>
      </c>
      <c r="Z17" s="18">
        <v>4212</v>
      </c>
      <c r="AA17" s="18">
        <v>82</v>
      </c>
      <c r="AB17" s="18">
        <v>35</v>
      </c>
      <c r="AC17" s="18">
        <v>88</v>
      </c>
      <c r="AD17" s="18">
        <v>64</v>
      </c>
      <c r="AE17" s="18">
        <v>58</v>
      </c>
      <c r="AF17" s="18">
        <v>59</v>
      </c>
      <c r="AG17" s="18">
        <v>60</v>
      </c>
      <c r="AH17" s="18">
        <v>85</v>
      </c>
      <c r="AI17" s="18">
        <v>83</v>
      </c>
      <c r="AJ17" s="18">
        <v>29</v>
      </c>
      <c r="AK17" s="18">
        <v>82</v>
      </c>
      <c r="AL17" s="18">
        <v>37</v>
      </c>
      <c r="AM17" s="18">
        <v>79</v>
      </c>
      <c r="AN17" s="18">
        <v>94</v>
      </c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</row>
    <row r="18" spans="1:103" x14ac:dyDescent="0.2">
      <c r="A18" s="15">
        <v>7</v>
      </c>
      <c r="B18" s="25" t="s">
        <v>520</v>
      </c>
      <c r="C18" s="16"/>
      <c r="D18" s="17"/>
      <c r="E18" s="33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9"/>
      <c r="U18" s="9"/>
      <c r="V18" s="9"/>
      <c r="W18" s="9"/>
      <c r="X18" s="27" t="s">
        <v>8</v>
      </c>
      <c r="Y18" s="17">
        <v>40</v>
      </c>
      <c r="Z18" s="18">
        <v>87984</v>
      </c>
      <c r="AA18" s="18">
        <v>16</v>
      </c>
      <c r="AB18" s="18">
        <v>70</v>
      </c>
      <c r="AC18" s="18">
        <v>50</v>
      </c>
      <c r="AD18" s="18">
        <v>64</v>
      </c>
      <c r="AE18" s="18">
        <v>33</v>
      </c>
      <c r="AF18" s="18">
        <v>89</v>
      </c>
      <c r="AG18" s="18">
        <v>70</v>
      </c>
      <c r="AH18" s="18">
        <v>73</v>
      </c>
      <c r="AI18" s="18">
        <v>96</v>
      </c>
      <c r="AJ18" s="18">
        <v>45</v>
      </c>
      <c r="AK18" s="18">
        <v>49</v>
      </c>
      <c r="AL18" s="18">
        <v>92</v>
      </c>
      <c r="AM18" s="18">
        <v>5</v>
      </c>
      <c r="AN18" s="18">
        <v>48</v>
      </c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</row>
    <row r="19" spans="1:103" x14ac:dyDescent="0.2">
      <c r="A19" s="15">
        <v>8</v>
      </c>
      <c r="B19" s="25" t="s">
        <v>520</v>
      </c>
      <c r="C19" s="16"/>
      <c r="D19" s="17"/>
      <c r="E19" s="33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9"/>
      <c r="U19" s="9"/>
      <c r="V19" s="9"/>
      <c r="W19" s="9"/>
      <c r="X19" s="27" t="s">
        <v>9</v>
      </c>
      <c r="Y19" s="17">
        <v>3</v>
      </c>
      <c r="Z19" s="18">
        <v>38713</v>
      </c>
      <c r="AA19" s="18">
        <v>19</v>
      </c>
      <c r="AB19" s="18">
        <v>65</v>
      </c>
      <c r="AC19" s="18">
        <v>77</v>
      </c>
      <c r="AD19" s="18">
        <v>16</v>
      </c>
      <c r="AE19" s="18">
        <v>52</v>
      </c>
      <c r="AF19" s="18">
        <v>41</v>
      </c>
      <c r="AG19" s="18">
        <v>93</v>
      </c>
      <c r="AH19" s="18">
        <v>98</v>
      </c>
      <c r="AI19" s="18">
        <v>95</v>
      </c>
      <c r="AJ19" s="18">
        <v>77</v>
      </c>
      <c r="AK19" s="18">
        <v>21</v>
      </c>
      <c r="AL19" s="18">
        <v>25</v>
      </c>
      <c r="AM19" s="18">
        <v>47</v>
      </c>
      <c r="AN19" s="18">
        <v>18</v>
      </c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</row>
    <row r="20" spans="1:103" x14ac:dyDescent="0.2">
      <c r="A20" s="15">
        <v>9</v>
      </c>
      <c r="B20" s="25" t="s">
        <v>520</v>
      </c>
      <c r="C20" s="16"/>
      <c r="D20" s="17"/>
      <c r="E20" s="33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9"/>
      <c r="U20" s="9"/>
      <c r="V20" s="9"/>
      <c r="W20" s="9"/>
      <c r="X20" s="27" t="s">
        <v>10</v>
      </c>
      <c r="Y20" s="17">
        <v>21</v>
      </c>
      <c r="Z20" s="18">
        <v>64675</v>
      </c>
      <c r="AA20" s="18">
        <v>73</v>
      </c>
      <c r="AB20" s="18">
        <v>78</v>
      </c>
      <c r="AC20" s="18">
        <v>43</v>
      </c>
      <c r="AD20" s="18">
        <v>22</v>
      </c>
      <c r="AE20" s="18">
        <v>7</v>
      </c>
      <c r="AF20" s="18">
        <v>1</v>
      </c>
      <c r="AG20" s="18">
        <v>9</v>
      </c>
      <c r="AH20" s="18">
        <v>29</v>
      </c>
      <c r="AI20" s="18">
        <v>27</v>
      </c>
      <c r="AJ20" s="18">
        <v>57</v>
      </c>
      <c r="AK20" s="18">
        <v>6</v>
      </c>
      <c r="AL20" s="18">
        <v>90</v>
      </c>
      <c r="AM20" s="18">
        <v>52</v>
      </c>
      <c r="AN20" s="18">
        <v>33</v>
      </c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</row>
    <row r="21" spans="1:103" x14ac:dyDescent="0.2">
      <c r="A21" s="15">
        <v>10</v>
      </c>
      <c r="B21" s="25" t="s">
        <v>520</v>
      </c>
      <c r="C21" s="16"/>
      <c r="D21" s="17"/>
      <c r="E21" s="33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9"/>
      <c r="U21" s="9"/>
      <c r="V21" s="9"/>
      <c r="W21" s="9"/>
      <c r="X21" s="27" t="s">
        <v>11</v>
      </c>
      <c r="Y21" s="17">
        <v>64</v>
      </c>
      <c r="Z21" s="18">
        <v>35907</v>
      </c>
      <c r="AA21" s="18">
        <v>14</v>
      </c>
      <c r="AB21" s="18">
        <v>15</v>
      </c>
      <c r="AC21" s="18">
        <v>62</v>
      </c>
      <c r="AD21" s="18">
        <v>53</v>
      </c>
      <c r="AE21" s="18">
        <v>83</v>
      </c>
      <c r="AF21" s="18">
        <v>9</v>
      </c>
      <c r="AG21" s="18">
        <v>65</v>
      </c>
      <c r="AH21" s="18">
        <v>12</v>
      </c>
      <c r="AI21" s="18">
        <v>83</v>
      </c>
      <c r="AJ21" s="18">
        <v>39</v>
      </c>
      <c r="AK21" s="18">
        <v>21</v>
      </c>
      <c r="AL21" s="18">
        <v>95</v>
      </c>
      <c r="AM21" s="18">
        <v>96</v>
      </c>
      <c r="AN21" s="18">
        <v>3</v>
      </c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</row>
    <row r="22" spans="1:103" x14ac:dyDescent="0.2">
      <c r="A22" s="15">
        <v>11</v>
      </c>
      <c r="B22" s="25" t="s">
        <v>520</v>
      </c>
      <c r="C22" s="16"/>
      <c r="D22" s="17"/>
      <c r="E22" s="33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9"/>
      <c r="U22" s="9"/>
      <c r="V22" s="9"/>
      <c r="W22" s="9"/>
      <c r="X22" s="27" t="s">
        <v>12</v>
      </c>
      <c r="Y22" s="17">
        <v>137</v>
      </c>
      <c r="Z22" s="18">
        <v>42353</v>
      </c>
      <c r="AA22" s="18">
        <v>92</v>
      </c>
      <c r="AB22" s="18">
        <v>3</v>
      </c>
      <c r="AC22" s="18">
        <v>54</v>
      </c>
      <c r="AD22" s="18">
        <v>5</v>
      </c>
      <c r="AE22" s="18">
        <v>39</v>
      </c>
      <c r="AF22" s="18">
        <v>22</v>
      </c>
      <c r="AG22" s="18">
        <v>31</v>
      </c>
      <c r="AH22" s="18">
        <v>95</v>
      </c>
      <c r="AI22" s="18">
        <v>13</v>
      </c>
      <c r="AJ22" s="18">
        <v>89</v>
      </c>
      <c r="AK22" s="18">
        <v>2</v>
      </c>
      <c r="AL22" s="18">
        <v>36</v>
      </c>
      <c r="AM22" s="18">
        <v>86</v>
      </c>
      <c r="AN22" s="18">
        <v>38</v>
      </c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</row>
    <row r="23" spans="1:103" x14ac:dyDescent="0.2">
      <c r="A23" s="15">
        <v>12</v>
      </c>
      <c r="B23" s="25" t="s">
        <v>520</v>
      </c>
      <c r="C23" s="16"/>
      <c r="D23" s="17"/>
      <c r="E23" s="33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9"/>
      <c r="U23" s="9"/>
      <c r="V23" s="9"/>
      <c r="W23" s="9"/>
      <c r="X23" s="27" t="s">
        <v>13</v>
      </c>
      <c r="Y23" s="17">
        <v>171</v>
      </c>
      <c r="Z23" s="18">
        <v>26991</v>
      </c>
      <c r="AA23" s="18">
        <v>9</v>
      </c>
      <c r="AB23" s="18">
        <v>1</v>
      </c>
      <c r="AC23" s="18">
        <v>80</v>
      </c>
      <c r="AD23" s="18">
        <v>35</v>
      </c>
      <c r="AE23" s="18">
        <v>55</v>
      </c>
      <c r="AF23" s="18">
        <v>13</v>
      </c>
      <c r="AG23" s="18">
        <v>50</v>
      </c>
      <c r="AH23" s="18">
        <v>69</v>
      </c>
      <c r="AI23" s="18">
        <v>61</v>
      </c>
      <c r="AJ23" s="18">
        <v>31</v>
      </c>
      <c r="AK23" s="18">
        <v>54</v>
      </c>
      <c r="AL23" s="18">
        <v>27</v>
      </c>
      <c r="AM23" s="18">
        <v>55</v>
      </c>
      <c r="AN23" s="18">
        <v>59</v>
      </c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</row>
    <row r="24" spans="1:103" x14ac:dyDescent="0.2">
      <c r="A24" s="15">
        <v>13</v>
      </c>
      <c r="B24" s="25" t="s">
        <v>520</v>
      </c>
      <c r="C24" s="16"/>
      <c r="D24" s="17"/>
      <c r="E24" s="33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9"/>
      <c r="U24" s="9"/>
      <c r="V24" s="9"/>
      <c r="W24" s="9"/>
      <c r="X24" s="28" t="s">
        <v>14</v>
      </c>
      <c r="Y24" s="17">
        <v>64</v>
      </c>
      <c r="Z24" s="18">
        <v>71158</v>
      </c>
      <c r="AA24" s="18">
        <v>16</v>
      </c>
      <c r="AB24" s="18">
        <v>16</v>
      </c>
      <c r="AC24" s="18">
        <v>29</v>
      </c>
      <c r="AD24" s="18">
        <v>9</v>
      </c>
      <c r="AE24" s="18">
        <v>35</v>
      </c>
      <c r="AF24" s="18">
        <v>53</v>
      </c>
      <c r="AG24" s="18">
        <v>70</v>
      </c>
      <c r="AH24" s="18">
        <v>26</v>
      </c>
      <c r="AI24" s="18">
        <v>83</v>
      </c>
      <c r="AJ24" s="18">
        <v>80</v>
      </c>
      <c r="AK24" s="18">
        <v>70</v>
      </c>
      <c r="AL24" s="18">
        <v>53</v>
      </c>
      <c r="AM24" s="18">
        <v>89</v>
      </c>
      <c r="AN24" s="18">
        <v>56</v>
      </c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</row>
    <row r="25" spans="1:103" x14ac:dyDescent="0.2">
      <c r="A25" s="15">
        <v>14</v>
      </c>
      <c r="B25" s="25" t="s">
        <v>520</v>
      </c>
      <c r="C25" s="19"/>
      <c r="D25" s="17"/>
      <c r="E25" s="33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9"/>
      <c r="U25" s="9"/>
      <c r="V25" s="9"/>
      <c r="W25" s="9"/>
      <c r="X25" s="28" t="s">
        <v>15</v>
      </c>
      <c r="Y25" s="17">
        <v>164</v>
      </c>
      <c r="Z25" s="18">
        <v>61786</v>
      </c>
      <c r="AA25" s="18">
        <v>56</v>
      </c>
      <c r="AB25" s="18">
        <v>28</v>
      </c>
      <c r="AC25" s="18">
        <v>21</v>
      </c>
      <c r="AD25" s="18">
        <v>3</v>
      </c>
      <c r="AE25" s="18">
        <v>79</v>
      </c>
      <c r="AF25" s="18">
        <v>22</v>
      </c>
      <c r="AG25" s="18">
        <v>68</v>
      </c>
      <c r="AH25" s="18">
        <v>67</v>
      </c>
      <c r="AI25" s="18">
        <v>86</v>
      </c>
      <c r="AJ25" s="18">
        <v>99</v>
      </c>
      <c r="AK25" s="18">
        <v>24</v>
      </c>
      <c r="AL25" s="18">
        <v>89</v>
      </c>
      <c r="AM25" s="18">
        <v>34</v>
      </c>
      <c r="AN25" s="18">
        <v>45</v>
      </c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</row>
    <row r="26" spans="1:103" x14ac:dyDescent="0.2">
      <c r="A26" s="15">
        <v>15</v>
      </c>
      <c r="B26" s="25" t="s">
        <v>520</v>
      </c>
      <c r="C26" s="16"/>
      <c r="D26" s="17"/>
      <c r="E26" s="33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9"/>
      <c r="U26" s="9"/>
      <c r="V26" s="9"/>
      <c r="W26" s="9"/>
      <c r="X26" s="27" t="s">
        <v>16</v>
      </c>
      <c r="Y26" s="17">
        <v>141</v>
      </c>
      <c r="Z26" s="18">
        <v>36766</v>
      </c>
      <c r="AA26" s="18">
        <v>98</v>
      </c>
      <c r="AB26" s="18">
        <v>23</v>
      </c>
      <c r="AC26" s="18">
        <v>29</v>
      </c>
      <c r="AD26" s="18">
        <v>83</v>
      </c>
      <c r="AE26" s="18">
        <v>26</v>
      </c>
      <c r="AF26" s="18">
        <v>20</v>
      </c>
      <c r="AG26" s="18">
        <v>1</v>
      </c>
      <c r="AH26" s="18">
        <v>95</v>
      </c>
      <c r="AI26" s="18">
        <v>33</v>
      </c>
      <c r="AJ26" s="18">
        <v>44</v>
      </c>
      <c r="AK26" s="18">
        <v>97</v>
      </c>
      <c r="AL26" s="18">
        <v>71</v>
      </c>
      <c r="AM26" s="18">
        <v>68</v>
      </c>
      <c r="AN26" s="18">
        <v>21</v>
      </c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</row>
    <row r="27" spans="1:103" x14ac:dyDescent="0.2">
      <c r="A27" s="15">
        <v>16</v>
      </c>
      <c r="B27" s="25" t="s">
        <v>520</v>
      </c>
      <c r="C27" s="16"/>
      <c r="D27" s="17"/>
      <c r="E27" s="33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9"/>
      <c r="U27" s="9"/>
      <c r="V27" s="9"/>
      <c r="W27" s="9"/>
      <c r="X27" s="27" t="s">
        <v>17</v>
      </c>
      <c r="Y27" s="17">
        <v>49</v>
      </c>
      <c r="Z27" s="18">
        <v>4335</v>
      </c>
      <c r="AA27" s="18">
        <v>74</v>
      </c>
      <c r="AB27" s="18">
        <v>74</v>
      </c>
      <c r="AC27" s="18">
        <v>98</v>
      </c>
      <c r="AD27" s="18">
        <v>18</v>
      </c>
      <c r="AE27" s="18">
        <v>72</v>
      </c>
      <c r="AF27" s="18">
        <v>78</v>
      </c>
      <c r="AG27" s="18">
        <v>86</v>
      </c>
      <c r="AH27" s="18">
        <v>81</v>
      </c>
      <c r="AI27" s="18">
        <v>19</v>
      </c>
      <c r="AJ27" s="18">
        <v>19</v>
      </c>
      <c r="AK27" s="18">
        <v>67</v>
      </c>
      <c r="AL27" s="18">
        <v>92</v>
      </c>
      <c r="AM27" s="18">
        <v>94</v>
      </c>
      <c r="AN27" s="18">
        <v>64</v>
      </c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</row>
    <row r="28" spans="1:103" x14ac:dyDescent="0.2">
      <c r="A28" s="15">
        <v>17</v>
      </c>
      <c r="B28" s="25" t="s">
        <v>520</v>
      </c>
      <c r="C28" s="16"/>
      <c r="D28" s="17"/>
      <c r="E28" s="33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9"/>
      <c r="U28" s="9"/>
      <c r="V28" s="9"/>
      <c r="W28" s="9"/>
      <c r="X28" s="27" t="s">
        <v>18</v>
      </c>
      <c r="Y28" s="17">
        <v>103</v>
      </c>
      <c r="Z28" s="18">
        <v>37867</v>
      </c>
      <c r="AA28" s="18">
        <v>78</v>
      </c>
      <c r="AB28" s="18">
        <v>90</v>
      </c>
      <c r="AC28" s="18">
        <v>64</v>
      </c>
      <c r="AD28" s="18">
        <v>4</v>
      </c>
      <c r="AE28" s="18">
        <v>17</v>
      </c>
      <c r="AF28" s="18">
        <v>66</v>
      </c>
      <c r="AG28" s="18">
        <v>46</v>
      </c>
      <c r="AH28" s="18">
        <v>86</v>
      </c>
      <c r="AI28" s="18">
        <v>42</v>
      </c>
      <c r="AJ28" s="18">
        <v>37</v>
      </c>
      <c r="AK28" s="18">
        <v>44</v>
      </c>
      <c r="AL28" s="18">
        <v>5</v>
      </c>
      <c r="AM28" s="18">
        <v>87</v>
      </c>
      <c r="AN28" s="18">
        <v>99</v>
      </c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</row>
    <row r="29" spans="1:103" x14ac:dyDescent="0.2">
      <c r="A29" s="15">
        <v>18</v>
      </c>
      <c r="B29" s="25" t="s">
        <v>520</v>
      </c>
      <c r="C29" s="19"/>
      <c r="D29" s="17"/>
      <c r="E29" s="33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9"/>
      <c r="U29" s="9"/>
      <c r="V29" s="9"/>
      <c r="W29" s="9"/>
      <c r="X29" s="28" t="s">
        <v>19</v>
      </c>
      <c r="Y29" s="17">
        <v>37</v>
      </c>
      <c r="Z29" s="18">
        <v>16450</v>
      </c>
      <c r="AA29" s="18">
        <v>88</v>
      </c>
      <c r="AB29" s="18">
        <v>43</v>
      </c>
      <c r="AC29" s="18">
        <v>31</v>
      </c>
      <c r="AD29" s="18">
        <v>98</v>
      </c>
      <c r="AE29" s="18">
        <v>66</v>
      </c>
      <c r="AF29" s="18">
        <v>27</v>
      </c>
      <c r="AG29" s="18">
        <v>23</v>
      </c>
      <c r="AH29" s="18">
        <v>61</v>
      </c>
      <c r="AI29" s="18">
        <v>37</v>
      </c>
      <c r="AJ29" s="18">
        <v>59</v>
      </c>
      <c r="AK29" s="18">
        <v>32</v>
      </c>
      <c r="AL29" s="18">
        <v>76</v>
      </c>
      <c r="AM29" s="18">
        <v>78</v>
      </c>
      <c r="AN29" s="18">
        <v>77</v>
      </c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</row>
    <row r="30" spans="1:103" x14ac:dyDescent="0.2">
      <c r="A30" s="15">
        <v>19</v>
      </c>
      <c r="B30" s="25" t="s">
        <v>520</v>
      </c>
      <c r="C30" s="16"/>
      <c r="D30" s="17"/>
      <c r="E30" s="33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9"/>
      <c r="U30" s="9"/>
      <c r="V30" s="9"/>
      <c r="W30" s="9"/>
      <c r="X30" s="27" t="s">
        <v>20</v>
      </c>
      <c r="Y30" s="17">
        <v>125</v>
      </c>
      <c r="Z30" s="18">
        <v>34969</v>
      </c>
      <c r="AA30" s="18">
        <v>68</v>
      </c>
      <c r="AB30" s="18">
        <v>22</v>
      </c>
      <c r="AC30" s="18">
        <v>64</v>
      </c>
      <c r="AD30" s="18">
        <v>86</v>
      </c>
      <c r="AE30" s="18">
        <v>63</v>
      </c>
      <c r="AF30" s="18">
        <v>58</v>
      </c>
      <c r="AG30" s="18">
        <v>21</v>
      </c>
      <c r="AH30" s="18">
        <v>5</v>
      </c>
      <c r="AI30" s="18">
        <v>79</v>
      </c>
      <c r="AJ30" s="18">
        <v>97</v>
      </c>
      <c r="AK30" s="18">
        <v>51</v>
      </c>
      <c r="AL30" s="18">
        <v>73</v>
      </c>
      <c r="AM30" s="18">
        <v>18</v>
      </c>
      <c r="AN30" s="18">
        <v>65</v>
      </c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</row>
    <row r="31" spans="1:103" x14ac:dyDescent="0.2">
      <c r="A31" s="15">
        <v>20</v>
      </c>
      <c r="B31" s="25" t="s">
        <v>520</v>
      </c>
      <c r="C31" s="19"/>
      <c r="D31" s="17"/>
      <c r="E31" s="33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9"/>
      <c r="U31" s="9"/>
      <c r="V31" s="9"/>
      <c r="W31" s="9"/>
      <c r="X31" s="28" t="s">
        <v>21</v>
      </c>
      <c r="Y31" s="17">
        <v>31</v>
      </c>
      <c r="Z31" s="18">
        <v>32559</v>
      </c>
      <c r="AA31" s="18">
        <v>49</v>
      </c>
      <c r="AB31" s="18">
        <v>35</v>
      </c>
      <c r="AC31" s="18">
        <v>35</v>
      </c>
      <c r="AD31" s="18">
        <v>31</v>
      </c>
      <c r="AE31" s="18">
        <v>27</v>
      </c>
      <c r="AF31" s="18">
        <v>40</v>
      </c>
      <c r="AG31" s="18">
        <v>79</v>
      </c>
      <c r="AH31" s="18">
        <v>41</v>
      </c>
      <c r="AI31" s="18">
        <v>67</v>
      </c>
      <c r="AJ31" s="18">
        <v>89</v>
      </c>
      <c r="AK31" s="18">
        <v>15</v>
      </c>
      <c r="AL31" s="18">
        <v>95</v>
      </c>
      <c r="AM31" s="18">
        <v>72</v>
      </c>
      <c r="AN31" s="18">
        <v>32</v>
      </c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</row>
    <row r="32" spans="1:103" x14ac:dyDescent="0.2">
      <c r="C32" s="1"/>
      <c r="D32" s="2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</row>
    <row r="33" spans="1:103" x14ac:dyDescent="0.2">
      <c r="C33" s="1"/>
      <c r="D33" s="2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</row>
    <row r="34" spans="1:103" x14ac:dyDescent="0.2">
      <c r="B34" s="14" t="s">
        <v>23</v>
      </c>
      <c r="C34" t="s">
        <v>517</v>
      </c>
      <c r="D34" s="26">
        <f>SUM(F34:S34)</f>
        <v>0</v>
      </c>
      <c r="E34" s="30" t="s">
        <v>22</v>
      </c>
      <c r="F34" s="9">
        <f t="shared" ref="F34:S36" si="0">SUMIF($U$39:$U$178,$U34,F$39:F$178)</f>
        <v>0</v>
      </c>
      <c r="G34" s="9">
        <f t="shared" si="0"/>
        <v>0</v>
      </c>
      <c r="H34" s="9">
        <f t="shared" si="0"/>
        <v>0</v>
      </c>
      <c r="I34" s="9">
        <f t="shared" si="0"/>
        <v>0</v>
      </c>
      <c r="J34" s="9">
        <f t="shared" si="0"/>
        <v>0</v>
      </c>
      <c r="K34" s="9">
        <f t="shared" si="0"/>
        <v>0</v>
      </c>
      <c r="L34" s="9">
        <f t="shared" si="0"/>
        <v>0</v>
      </c>
      <c r="M34" s="9">
        <f t="shared" si="0"/>
        <v>0</v>
      </c>
      <c r="N34" s="9">
        <f t="shared" si="0"/>
        <v>0</v>
      </c>
      <c r="O34" s="9">
        <f t="shared" si="0"/>
        <v>0</v>
      </c>
      <c r="P34" s="9">
        <f t="shared" si="0"/>
        <v>0</v>
      </c>
      <c r="Q34" s="9">
        <f t="shared" si="0"/>
        <v>0</v>
      </c>
      <c r="R34" s="9">
        <f t="shared" si="0"/>
        <v>0</v>
      </c>
      <c r="S34" s="9">
        <f t="shared" si="0"/>
        <v>0</v>
      </c>
      <c r="T34" s="9"/>
      <c r="U34" s="9">
        <v>1</v>
      </c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</row>
    <row r="35" spans="1:103" x14ac:dyDescent="0.2">
      <c r="C35" t="s">
        <v>518</v>
      </c>
      <c r="D35" s="37">
        <f>SUM(F35:S35)</f>
        <v>0</v>
      </c>
      <c r="E35" s="38" t="s">
        <v>22</v>
      </c>
      <c r="F35" s="39">
        <f t="shared" si="0"/>
        <v>0</v>
      </c>
      <c r="G35" s="39">
        <f t="shared" si="0"/>
        <v>0</v>
      </c>
      <c r="H35" s="39">
        <f t="shared" si="0"/>
        <v>0</v>
      </c>
      <c r="I35" s="39">
        <f t="shared" si="0"/>
        <v>0</v>
      </c>
      <c r="J35" s="39">
        <f t="shared" si="0"/>
        <v>0</v>
      </c>
      <c r="K35" s="39">
        <f t="shared" si="0"/>
        <v>0</v>
      </c>
      <c r="L35" s="39">
        <f t="shared" si="0"/>
        <v>0</v>
      </c>
      <c r="M35" s="39">
        <f t="shared" si="0"/>
        <v>0</v>
      </c>
      <c r="N35" s="39">
        <f t="shared" si="0"/>
        <v>0</v>
      </c>
      <c r="O35" s="39">
        <f t="shared" si="0"/>
        <v>0</v>
      </c>
      <c r="P35" s="39">
        <f t="shared" si="0"/>
        <v>0</v>
      </c>
      <c r="Q35" s="39">
        <f t="shared" si="0"/>
        <v>0</v>
      </c>
      <c r="R35" s="39">
        <f t="shared" si="0"/>
        <v>0</v>
      </c>
      <c r="S35" s="39">
        <f t="shared" si="0"/>
        <v>0</v>
      </c>
      <c r="T35" s="9"/>
      <c r="U35" s="9">
        <v>2</v>
      </c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</row>
    <row r="36" spans="1:103" x14ac:dyDescent="0.2">
      <c r="C36" t="s">
        <v>519</v>
      </c>
      <c r="D36" s="40" t="s">
        <v>22</v>
      </c>
      <c r="E36" s="41">
        <f>SUM(F36:S36)</f>
        <v>0</v>
      </c>
      <c r="F36" s="41">
        <f t="shared" si="0"/>
        <v>0</v>
      </c>
      <c r="G36" s="41">
        <f t="shared" si="0"/>
        <v>0</v>
      </c>
      <c r="H36" s="41">
        <f t="shared" si="0"/>
        <v>0</v>
      </c>
      <c r="I36" s="41">
        <f t="shared" si="0"/>
        <v>0</v>
      </c>
      <c r="J36" s="41">
        <f t="shared" si="0"/>
        <v>0</v>
      </c>
      <c r="K36" s="41">
        <f t="shared" si="0"/>
        <v>0</v>
      </c>
      <c r="L36" s="41">
        <f t="shared" si="0"/>
        <v>0</v>
      </c>
      <c r="M36" s="41">
        <f t="shared" si="0"/>
        <v>0</v>
      </c>
      <c r="N36" s="41">
        <f t="shared" si="0"/>
        <v>0</v>
      </c>
      <c r="O36" s="41">
        <f t="shared" si="0"/>
        <v>0</v>
      </c>
      <c r="P36" s="41">
        <f t="shared" si="0"/>
        <v>0</v>
      </c>
      <c r="Q36" s="41">
        <f t="shared" si="0"/>
        <v>0</v>
      </c>
      <c r="R36" s="41">
        <f t="shared" si="0"/>
        <v>0</v>
      </c>
      <c r="S36" s="41">
        <f t="shared" si="0"/>
        <v>0</v>
      </c>
      <c r="T36" s="9"/>
      <c r="U36" s="9">
        <v>3</v>
      </c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</row>
    <row r="37" spans="1:103" x14ac:dyDescent="0.2">
      <c r="C37" s="1"/>
      <c r="D37" s="29"/>
      <c r="E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</row>
    <row r="38" spans="1:103" x14ac:dyDescent="0.2">
      <c r="C38" s="1"/>
      <c r="D38" s="2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</row>
    <row r="39" spans="1:103" x14ac:dyDescent="0.2">
      <c r="A39" s="15">
        <v>1</v>
      </c>
      <c r="B39" s="14">
        <f>C12</f>
        <v>0</v>
      </c>
      <c r="C39" s="15" t="s">
        <v>520</v>
      </c>
      <c r="D39" s="7">
        <f t="shared" ref="D39:S39" si="1">D12</f>
        <v>0</v>
      </c>
      <c r="E39" s="7">
        <f t="shared" si="1"/>
        <v>0</v>
      </c>
      <c r="F39" s="7">
        <f t="shared" si="1"/>
        <v>0</v>
      </c>
      <c r="G39" s="7">
        <f t="shared" si="1"/>
        <v>0</v>
      </c>
      <c r="H39" s="7">
        <f t="shared" si="1"/>
        <v>0</v>
      </c>
      <c r="I39" s="7">
        <f t="shared" si="1"/>
        <v>0</v>
      </c>
      <c r="J39" s="7">
        <f t="shared" si="1"/>
        <v>0</v>
      </c>
      <c r="K39" s="7">
        <f t="shared" si="1"/>
        <v>0</v>
      </c>
      <c r="L39" s="7">
        <f t="shared" si="1"/>
        <v>0</v>
      </c>
      <c r="M39" s="7">
        <f t="shared" si="1"/>
        <v>0</v>
      </c>
      <c r="N39" s="7">
        <f t="shared" si="1"/>
        <v>0</v>
      </c>
      <c r="O39" s="7">
        <f t="shared" si="1"/>
        <v>0</v>
      </c>
      <c r="P39" s="7">
        <f t="shared" si="1"/>
        <v>0</v>
      </c>
      <c r="Q39" s="7">
        <f t="shared" si="1"/>
        <v>0</v>
      </c>
      <c r="R39" s="7">
        <f t="shared" si="1"/>
        <v>0</v>
      </c>
      <c r="S39" s="7">
        <f t="shared" si="1"/>
        <v>0</v>
      </c>
      <c r="T39" s="9"/>
      <c r="U39" s="9"/>
      <c r="V39" s="9"/>
      <c r="W39" s="7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</row>
    <row r="40" spans="1:103" x14ac:dyDescent="0.2">
      <c r="A40" s="15"/>
      <c r="C40" t="s">
        <v>521</v>
      </c>
      <c r="D40" s="30" t="s">
        <v>22</v>
      </c>
      <c r="E40" s="30" t="s">
        <v>22</v>
      </c>
      <c r="F40" s="7">
        <f t="shared" ref="F40:S40" si="2">IF(F39&lt;$D$5*SUM($F39:$S39),0,F39)</f>
        <v>0</v>
      </c>
      <c r="G40" s="7">
        <f t="shared" si="2"/>
        <v>0</v>
      </c>
      <c r="H40" s="7">
        <f t="shared" si="2"/>
        <v>0</v>
      </c>
      <c r="I40" s="7">
        <f t="shared" si="2"/>
        <v>0</v>
      </c>
      <c r="J40" s="7">
        <f t="shared" si="2"/>
        <v>0</v>
      </c>
      <c r="K40" s="7">
        <f t="shared" si="2"/>
        <v>0</v>
      </c>
      <c r="L40" s="7">
        <f t="shared" si="2"/>
        <v>0</v>
      </c>
      <c r="M40" s="7">
        <f t="shared" si="2"/>
        <v>0</v>
      </c>
      <c r="N40" s="7">
        <f t="shared" si="2"/>
        <v>0</v>
      </c>
      <c r="O40" s="7">
        <f t="shared" si="2"/>
        <v>0</v>
      </c>
      <c r="P40" s="7">
        <f t="shared" si="2"/>
        <v>0</v>
      </c>
      <c r="Q40" s="7">
        <f t="shared" si="2"/>
        <v>0</v>
      </c>
      <c r="R40" s="7">
        <f t="shared" si="2"/>
        <v>0</v>
      </c>
      <c r="S40" s="7">
        <f t="shared" si="2"/>
        <v>0</v>
      </c>
      <c r="T40" s="9"/>
      <c r="U40" s="9"/>
      <c r="V40" s="9"/>
      <c r="W40" s="7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</row>
    <row r="41" spans="1:103" x14ac:dyDescent="0.2">
      <c r="A41" s="15"/>
      <c r="B41" s="14" t="s">
        <v>523</v>
      </c>
      <c r="C41" t="s">
        <v>522</v>
      </c>
      <c r="D41" s="30" t="s">
        <v>22</v>
      </c>
      <c r="E41" s="30" t="s">
        <v>22</v>
      </c>
      <c r="F41" s="36">
        <f t="shared" ref="F41:S41" si="3">IF(SUM($F40:$S40)=0,0,F40/SUM($F40:$S40))</f>
        <v>0</v>
      </c>
      <c r="G41" s="36">
        <f t="shared" si="3"/>
        <v>0</v>
      </c>
      <c r="H41" s="36">
        <f t="shared" si="3"/>
        <v>0</v>
      </c>
      <c r="I41" s="36">
        <f t="shared" si="3"/>
        <v>0</v>
      </c>
      <c r="J41" s="36">
        <f t="shared" si="3"/>
        <v>0</v>
      </c>
      <c r="K41" s="36">
        <f t="shared" si="3"/>
        <v>0</v>
      </c>
      <c r="L41" s="36">
        <f t="shared" si="3"/>
        <v>0</v>
      </c>
      <c r="M41" s="36">
        <f t="shared" si="3"/>
        <v>0</v>
      </c>
      <c r="N41" s="36">
        <f t="shared" si="3"/>
        <v>0</v>
      </c>
      <c r="O41" s="36">
        <f t="shared" si="3"/>
        <v>0</v>
      </c>
      <c r="P41" s="36">
        <f t="shared" si="3"/>
        <v>0</v>
      </c>
      <c r="Q41" s="36">
        <f t="shared" si="3"/>
        <v>0</v>
      </c>
      <c r="R41" s="36">
        <f t="shared" si="3"/>
        <v>0</v>
      </c>
      <c r="S41" s="36">
        <f t="shared" si="3"/>
        <v>0</v>
      </c>
      <c r="T41" s="9"/>
      <c r="U41" s="9"/>
      <c r="V41" s="9"/>
      <c r="W41" s="7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</row>
    <row r="42" spans="1:103" x14ac:dyDescent="0.2">
      <c r="A42" s="15"/>
      <c r="B42" s="14" t="s">
        <v>524</v>
      </c>
      <c r="C42" t="s">
        <v>517</v>
      </c>
      <c r="D42" s="7">
        <f>SUM(F42:S42)</f>
        <v>0</v>
      </c>
      <c r="E42" s="30" t="s">
        <v>22</v>
      </c>
      <c r="F42" s="7">
        <f>$D39*F41</f>
        <v>0</v>
      </c>
      <c r="G42" s="7">
        <f t="shared" ref="G42:S42" si="4">$D39*G41</f>
        <v>0</v>
      </c>
      <c r="H42" s="7">
        <f t="shared" si="4"/>
        <v>0</v>
      </c>
      <c r="I42" s="7">
        <f t="shared" si="4"/>
        <v>0</v>
      </c>
      <c r="J42" s="7">
        <f t="shared" si="4"/>
        <v>0</v>
      </c>
      <c r="K42" s="7">
        <f t="shared" si="4"/>
        <v>0</v>
      </c>
      <c r="L42" s="7">
        <f t="shared" si="4"/>
        <v>0</v>
      </c>
      <c r="M42" s="7">
        <f t="shared" si="4"/>
        <v>0</v>
      </c>
      <c r="N42" s="7">
        <f t="shared" si="4"/>
        <v>0</v>
      </c>
      <c r="O42" s="7">
        <f t="shared" si="4"/>
        <v>0</v>
      </c>
      <c r="P42" s="7">
        <f t="shared" si="4"/>
        <v>0</v>
      </c>
      <c r="Q42" s="7">
        <f t="shared" si="4"/>
        <v>0</v>
      </c>
      <c r="R42" s="7">
        <f t="shared" si="4"/>
        <v>0</v>
      </c>
      <c r="S42" s="7">
        <f t="shared" si="4"/>
        <v>0</v>
      </c>
      <c r="T42" s="9"/>
      <c r="U42" s="9">
        <v>1</v>
      </c>
      <c r="V42" s="9"/>
      <c r="W42" s="7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</row>
    <row r="43" spans="1:103" x14ac:dyDescent="0.2">
      <c r="A43" s="15"/>
      <c r="B43" s="24">
        <f>IF(D43=0,0,E44/D43)</f>
        <v>0</v>
      </c>
      <c r="C43" t="s">
        <v>518</v>
      </c>
      <c r="D43" s="23">
        <f>SUM(F43:S43)</f>
        <v>0</v>
      </c>
      <c r="E43" s="31" t="s">
        <v>22</v>
      </c>
      <c r="F43" s="23">
        <f>$I$5*F42</f>
        <v>0</v>
      </c>
      <c r="G43" s="23">
        <f t="shared" ref="G43:S43" si="5">$I$5*G42</f>
        <v>0</v>
      </c>
      <c r="H43" s="23">
        <f t="shared" si="5"/>
        <v>0</v>
      </c>
      <c r="I43" s="23">
        <f t="shared" si="5"/>
        <v>0</v>
      </c>
      <c r="J43" s="23">
        <f t="shared" si="5"/>
        <v>0</v>
      </c>
      <c r="K43" s="23">
        <f t="shared" si="5"/>
        <v>0</v>
      </c>
      <c r="L43" s="23">
        <f t="shared" si="5"/>
        <v>0</v>
      </c>
      <c r="M43" s="23">
        <f t="shared" si="5"/>
        <v>0</v>
      </c>
      <c r="N43" s="23">
        <f t="shared" si="5"/>
        <v>0</v>
      </c>
      <c r="O43" s="23">
        <f t="shared" si="5"/>
        <v>0</v>
      </c>
      <c r="P43" s="23">
        <f t="shared" si="5"/>
        <v>0</v>
      </c>
      <c r="Q43" s="23">
        <f t="shared" si="5"/>
        <v>0</v>
      </c>
      <c r="R43" s="23">
        <f t="shared" si="5"/>
        <v>0</v>
      </c>
      <c r="S43" s="23">
        <f t="shared" si="5"/>
        <v>0</v>
      </c>
      <c r="T43" s="9"/>
      <c r="U43" s="9">
        <v>2</v>
      </c>
      <c r="V43" s="9"/>
      <c r="W43" s="7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</row>
    <row r="44" spans="1:103" x14ac:dyDescent="0.2">
      <c r="A44" s="15"/>
      <c r="C44" t="s">
        <v>519</v>
      </c>
      <c r="D44" s="34" t="s">
        <v>22</v>
      </c>
      <c r="E44" s="35">
        <f>SUM(F44:S44)</f>
        <v>0</v>
      </c>
      <c r="F44" s="35">
        <f>$E39*F41</f>
        <v>0</v>
      </c>
      <c r="G44" s="35">
        <f t="shared" ref="G44:S44" si="6">$E39*G41</f>
        <v>0</v>
      </c>
      <c r="H44" s="35">
        <f t="shared" si="6"/>
        <v>0</v>
      </c>
      <c r="I44" s="35">
        <f t="shared" si="6"/>
        <v>0</v>
      </c>
      <c r="J44" s="35">
        <f t="shared" si="6"/>
        <v>0</v>
      </c>
      <c r="K44" s="35">
        <f t="shared" si="6"/>
        <v>0</v>
      </c>
      <c r="L44" s="35">
        <f t="shared" si="6"/>
        <v>0</v>
      </c>
      <c r="M44" s="35">
        <f t="shared" si="6"/>
        <v>0</v>
      </c>
      <c r="N44" s="35">
        <f t="shared" si="6"/>
        <v>0</v>
      </c>
      <c r="O44" s="35">
        <f t="shared" si="6"/>
        <v>0</v>
      </c>
      <c r="P44" s="35">
        <f t="shared" si="6"/>
        <v>0</v>
      </c>
      <c r="Q44" s="35">
        <f t="shared" si="6"/>
        <v>0</v>
      </c>
      <c r="R44" s="35">
        <f t="shared" si="6"/>
        <v>0</v>
      </c>
      <c r="S44" s="35">
        <f t="shared" si="6"/>
        <v>0</v>
      </c>
      <c r="T44" s="9"/>
      <c r="U44" s="9">
        <v>3</v>
      </c>
      <c r="V44" s="9"/>
      <c r="W44" s="7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</row>
    <row r="45" spans="1:103" x14ac:dyDescent="0.2">
      <c r="A45" s="15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9"/>
      <c r="U45" s="9"/>
      <c r="V45" s="9"/>
      <c r="W45" s="7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</row>
    <row r="46" spans="1:103" x14ac:dyDescent="0.2">
      <c r="A46" s="15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9"/>
      <c r="U46" s="9"/>
      <c r="V46" s="9"/>
      <c r="W46" s="7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</row>
    <row r="47" spans="1:103" x14ac:dyDescent="0.2">
      <c r="A47" s="15">
        <v>2</v>
      </c>
      <c r="B47" s="14">
        <f>C13</f>
        <v>0</v>
      </c>
      <c r="C47" s="15" t="s">
        <v>520</v>
      </c>
      <c r="D47" s="7">
        <f t="shared" ref="D47:R47" si="7">D13</f>
        <v>0</v>
      </c>
      <c r="E47" s="7">
        <f t="shared" si="7"/>
        <v>0</v>
      </c>
      <c r="F47" s="7">
        <f t="shared" si="7"/>
        <v>0</v>
      </c>
      <c r="G47" s="7">
        <f t="shared" si="7"/>
        <v>0</v>
      </c>
      <c r="H47" s="7">
        <f t="shared" si="7"/>
        <v>0</v>
      </c>
      <c r="I47" s="7">
        <f t="shared" si="7"/>
        <v>0</v>
      </c>
      <c r="J47" s="7">
        <f t="shared" si="7"/>
        <v>0</v>
      </c>
      <c r="K47" s="7">
        <f t="shared" si="7"/>
        <v>0</v>
      </c>
      <c r="L47" s="7">
        <f t="shared" si="7"/>
        <v>0</v>
      </c>
      <c r="M47" s="7">
        <f t="shared" si="7"/>
        <v>0</v>
      </c>
      <c r="N47" s="7">
        <f t="shared" si="7"/>
        <v>0</v>
      </c>
      <c r="O47" s="7">
        <f t="shared" si="7"/>
        <v>0</v>
      </c>
      <c r="P47" s="7">
        <f t="shared" si="7"/>
        <v>0</v>
      </c>
      <c r="Q47" s="7">
        <f t="shared" si="7"/>
        <v>0</v>
      </c>
      <c r="R47" s="7">
        <f t="shared" si="7"/>
        <v>0</v>
      </c>
      <c r="S47" s="7">
        <f>S13</f>
        <v>0</v>
      </c>
      <c r="T47" s="9"/>
      <c r="U47" s="9"/>
      <c r="V47" s="9"/>
      <c r="W47" s="7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</row>
    <row r="48" spans="1:103" x14ac:dyDescent="0.2">
      <c r="A48" s="15"/>
      <c r="C48" t="s">
        <v>521</v>
      </c>
      <c r="D48" s="30" t="s">
        <v>22</v>
      </c>
      <c r="E48" s="30" t="s">
        <v>22</v>
      </c>
      <c r="F48" s="7">
        <f t="shared" ref="F48:S48" si="8">IF(F47&lt;$D$5*SUM($F47:$S47),0,F47)</f>
        <v>0</v>
      </c>
      <c r="G48" s="7">
        <f t="shared" si="8"/>
        <v>0</v>
      </c>
      <c r="H48" s="7">
        <f t="shared" si="8"/>
        <v>0</v>
      </c>
      <c r="I48" s="7">
        <f t="shared" si="8"/>
        <v>0</v>
      </c>
      <c r="J48" s="7">
        <f t="shared" si="8"/>
        <v>0</v>
      </c>
      <c r="K48" s="7">
        <f t="shared" si="8"/>
        <v>0</v>
      </c>
      <c r="L48" s="7">
        <f t="shared" si="8"/>
        <v>0</v>
      </c>
      <c r="M48" s="7">
        <f t="shared" si="8"/>
        <v>0</v>
      </c>
      <c r="N48" s="7">
        <f t="shared" si="8"/>
        <v>0</v>
      </c>
      <c r="O48" s="7">
        <f t="shared" si="8"/>
        <v>0</v>
      </c>
      <c r="P48" s="7">
        <f t="shared" si="8"/>
        <v>0</v>
      </c>
      <c r="Q48" s="7">
        <f t="shared" si="8"/>
        <v>0</v>
      </c>
      <c r="R48" s="7">
        <f t="shared" si="8"/>
        <v>0</v>
      </c>
      <c r="S48" s="7">
        <f t="shared" si="8"/>
        <v>0</v>
      </c>
      <c r="T48" s="9"/>
      <c r="U48" s="9"/>
      <c r="V48" s="9"/>
      <c r="W48" s="7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</row>
    <row r="49" spans="1:103" x14ac:dyDescent="0.2">
      <c r="A49" s="15"/>
      <c r="B49" s="14" t="s">
        <v>523</v>
      </c>
      <c r="C49" t="s">
        <v>522</v>
      </c>
      <c r="D49" s="30" t="s">
        <v>22</v>
      </c>
      <c r="E49" s="30" t="s">
        <v>22</v>
      </c>
      <c r="F49" s="36">
        <f t="shared" ref="F49:S49" si="9">IF(SUM($F48:$S48)=0,0,F48/SUM($F48:$S48))</f>
        <v>0</v>
      </c>
      <c r="G49" s="36">
        <f t="shared" si="9"/>
        <v>0</v>
      </c>
      <c r="H49" s="36">
        <f t="shared" si="9"/>
        <v>0</v>
      </c>
      <c r="I49" s="36">
        <f t="shared" si="9"/>
        <v>0</v>
      </c>
      <c r="J49" s="36">
        <f t="shared" si="9"/>
        <v>0</v>
      </c>
      <c r="K49" s="36">
        <f t="shared" si="9"/>
        <v>0</v>
      </c>
      <c r="L49" s="36">
        <f t="shared" si="9"/>
        <v>0</v>
      </c>
      <c r="M49" s="36">
        <f t="shared" si="9"/>
        <v>0</v>
      </c>
      <c r="N49" s="36">
        <f t="shared" si="9"/>
        <v>0</v>
      </c>
      <c r="O49" s="36">
        <f t="shared" si="9"/>
        <v>0</v>
      </c>
      <c r="P49" s="36">
        <f t="shared" si="9"/>
        <v>0</v>
      </c>
      <c r="Q49" s="36">
        <f t="shared" si="9"/>
        <v>0</v>
      </c>
      <c r="R49" s="36">
        <f t="shared" si="9"/>
        <v>0</v>
      </c>
      <c r="S49" s="36">
        <f t="shared" si="9"/>
        <v>0</v>
      </c>
      <c r="T49" s="9"/>
      <c r="U49" s="9"/>
      <c r="V49" s="9"/>
      <c r="W49" s="7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</row>
    <row r="50" spans="1:103" x14ac:dyDescent="0.2">
      <c r="A50" s="15"/>
      <c r="B50" s="14" t="s">
        <v>524</v>
      </c>
      <c r="C50" t="s">
        <v>517</v>
      </c>
      <c r="D50" s="7">
        <f>SUM(F50:S50)</f>
        <v>0</v>
      </c>
      <c r="E50" s="30" t="s">
        <v>22</v>
      </c>
      <c r="F50" s="7">
        <f t="shared" ref="F50:S50" si="10">$D47*F49</f>
        <v>0</v>
      </c>
      <c r="G50" s="7">
        <f t="shared" si="10"/>
        <v>0</v>
      </c>
      <c r="H50" s="7">
        <f t="shared" si="10"/>
        <v>0</v>
      </c>
      <c r="I50" s="7">
        <f t="shared" si="10"/>
        <v>0</v>
      </c>
      <c r="J50" s="7">
        <f t="shared" si="10"/>
        <v>0</v>
      </c>
      <c r="K50" s="7">
        <f t="shared" si="10"/>
        <v>0</v>
      </c>
      <c r="L50" s="7">
        <f t="shared" si="10"/>
        <v>0</v>
      </c>
      <c r="M50" s="7">
        <f t="shared" si="10"/>
        <v>0</v>
      </c>
      <c r="N50" s="7">
        <f t="shared" si="10"/>
        <v>0</v>
      </c>
      <c r="O50" s="7">
        <f t="shared" si="10"/>
        <v>0</v>
      </c>
      <c r="P50" s="7">
        <f t="shared" si="10"/>
        <v>0</v>
      </c>
      <c r="Q50" s="7">
        <f t="shared" si="10"/>
        <v>0</v>
      </c>
      <c r="R50" s="7">
        <f t="shared" si="10"/>
        <v>0</v>
      </c>
      <c r="S50" s="7">
        <f t="shared" si="10"/>
        <v>0</v>
      </c>
      <c r="T50" s="9"/>
      <c r="U50" s="9">
        <v>1</v>
      </c>
      <c r="V50" s="9"/>
      <c r="W50" s="7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</row>
    <row r="51" spans="1:103" x14ac:dyDescent="0.2">
      <c r="A51" s="15"/>
      <c r="B51" s="24">
        <f>IF(D51=0,0,E52/D51)</f>
        <v>0</v>
      </c>
      <c r="C51" t="s">
        <v>518</v>
      </c>
      <c r="D51" s="23">
        <f>SUM(F51:S51)</f>
        <v>0</v>
      </c>
      <c r="E51" s="31" t="s">
        <v>22</v>
      </c>
      <c r="F51" s="23">
        <f t="shared" ref="F51:S51" si="11">$I$5*F50</f>
        <v>0</v>
      </c>
      <c r="G51" s="23">
        <f t="shared" si="11"/>
        <v>0</v>
      </c>
      <c r="H51" s="23">
        <f t="shared" si="11"/>
        <v>0</v>
      </c>
      <c r="I51" s="23">
        <f t="shared" si="11"/>
        <v>0</v>
      </c>
      <c r="J51" s="23">
        <f t="shared" si="11"/>
        <v>0</v>
      </c>
      <c r="K51" s="23">
        <f t="shared" si="11"/>
        <v>0</v>
      </c>
      <c r="L51" s="23">
        <f t="shared" si="11"/>
        <v>0</v>
      </c>
      <c r="M51" s="23">
        <f t="shared" si="11"/>
        <v>0</v>
      </c>
      <c r="N51" s="23">
        <f t="shared" si="11"/>
        <v>0</v>
      </c>
      <c r="O51" s="23">
        <f t="shared" si="11"/>
        <v>0</v>
      </c>
      <c r="P51" s="23">
        <f t="shared" si="11"/>
        <v>0</v>
      </c>
      <c r="Q51" s="23">
        <f t="shared" si="11"/>
        <v>0</v>
      </c>
      <c r="R51" s="23">
        <f t="shared" si="11"/>
        <v>0</v>
      </c>
      <c r="S51" s="23">
        <f t="shared" si="11"/>
        <v>0</v>
      </c>
      <c r="T51" s="9"/>
      <c r="U51" s="9">
        <v>2</v>
      </c>
      <c r="V51" s="9"/>
      <c r="W51" s="7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</row>
    <row r="52" spans="1:103" x14ac:dyDescent="0.2">
      <c r="A52" s="15"/>
      <c r="C52" t="s">
        <v>519</v>
      </c>
      <c r="D52" s="34" t="s">
        <v>22</v>
      </c>
      <c r="E52" s="35">
        <f>SUM(F52:S52)</f>
        <v>0</v>
      </c>
      <c r="F52" s="35">
        <f>$E47*F49</f>
        <v>0</v>
      </c>
      <c r="G52" s="35">
        <f t="shared" ref="G52:S52" si="12">$E47*G49</f>
        <v>0</v>
      </c>
      <c r="H52" s="35">
        <f t="shared" si="12"/>
        <v>0</v>
      </c>
      <c r="I52" s="35">
        <f t="shared" si="12"/>
        <v>0</v>
      </c>
      <c r="J52" s="35">
        <f t="shared" si="12"/>
        <v>0</v>
      </c>
      <c r="K52" s="35">
        <f t="shared" si="12"/>
        <v>0</v>
      </c>
      <c r="L52" s="35">
        <f t="shared" si="12"/>
        <v>0</v>
      </c>
      <c r="M52" s="35">
        <f t="shared" si="12"/>
        <v>0</v>
      </c>
      <c r="N52" s="35">
        <f t="shared" si="12"/>
        <v>0</v>
      </c>
      <c r="O52" s="35">
        <f t="shared" si="12"/>
        <v>0</v>
      </c>
      <c r="P52" s="35">
        <f t="shared" si="12"/>
        <v>0</v>
      </c>
      <c r="Q52" s="35">
        <f t="shared" si="12"/>
        <v>0</v>
      </c>
      <c r="R52" s="35">
        <f t="shared" si="12"/>
        <v>0</v>
      </c>
      <c r="S52" s="35">
        <f t="shared" si="12"/>
        <v>0</v>
      </c>
      <c r="T52" s="9"/>
      <c r="U52" s="9">
        <v>3</v>
      </c>
      <c r="V52" s="9"/>
      <c r="W52" s="7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</row>
    <row r="53" spans="1:103" x14ac:dyDescent="0.2">
      <c r="A53" s="15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9"/>
      <c r="U53" s="9"/>
      <c r="V53" s="9"/>
      <c r="W53" s="7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</row>
    <row r="54" spans="1:103" x14ac:dyDescent="0.2">
      <c r="A54" s="15">
        <v>3</v>
      </c>
      <c r="B54" s="14">
        <f>C14</f>
        <v>0</v>
      </c>
      <c r="C54" s="15" t="s">
        <v>520</v>
      </c>
      <c r="D54" s="7">
        <f t="shared" ref="D54:R54" si="13">D14</f>
        <v>0</v>
      </c>
      <c r="E54" s="7">
        <f t="shared" si="13"/>
        <v>0</v>
      </c>
      <c r="F54" s="7">
        <f t="shared" si="13"/>
        <v>0</v>
      </c>
      <c r="G54" s="7">
        <f t="shared" si="13"/>
        <v>0</v>
      </c>
      <c r="H54" s="7">
        <f t="shared" si="13"/>
        <v>0</v>
      </c>
      <c r="I54" s="7">
        <f t="shared" si="13"/>
        <v>0</v>
      </c>
      <c r="J54" s="7">
        <f t="shared" si="13"/>
        <v>0</v>
      </c>
      <c r="K54" s="7">
        <f t="shared" si="13"/>
        <v>0</v>
      </c>
      <c r="L54" s="7">
        <f t="shared" si="13"/>
        <v>0</v>
      </c>
      <c r="M54" s="7">
        <f t="shared" si="13"/>
        <v>0</v>
      </c>
      <c r="N54" s="7">
        <f t="shared" si="13"/>
        <v>0</v>
      </c>
      <c r="O54" s="7">
        <f t="shared" si="13"/>
        <v>0</v>
      </c>
      <c r="P54" s="7">
        <f t="shared" si="13"/>
        <v>0</v>
      </c>
      <c r="Q54" s="7">
        <f t="shared" si="13"/>
        <v>0</v>
      </c>
      <c r="R54" s="7">
        <f t="shared" si="13"/>
        <v>0</v>
      </c>
      <c r="S54" s="7">
        <f>S14</f>
        <v>0</v>
      </c>
      <c r="T54" s="9"/>
      <c r="U54" s="9"/>
      <c r="V54" s="9"/>
      <c r="W54" s="7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</row>
    <row r="55" spans="1:103" x14ac:dyDescent="0.2">
      <c r="A55" s="15"/>
      <c r="C55" t="s">
        <v>521</v>
      </c>
      <c r="D55" s="30" t="s">
        <v>22</v>
      </c>
      <c r="E55" s="30" t="s">
        <v>22</v>
      </c>
      <c r="F55" s="7">
        <f t="shared" ref="F55:S55" si="14">IF(F54&lt;$D$5*SUM($F54:$S54),0,F54)</f>
        <v>0</v>
      </c>
      <c r="G55" s="7">
        <f t="shared" si="14"/>
        <v>0</v>
      </c>
      <c r="H55" s="7">
        <f t="shared" si="14"/>
        <v>0</v>
      </c>
      <c r="I55" s="7">
        <f t="shared" si="14"/>
        <v>0</v>
      </c>
      <c r="J55" s="7">
        <f t="shared" si="14"/>
        <v>0</v>
      </c>
      <c r="K55" s="7">
        <f t="shared" si="14"/>
        <v>0</v>
      </c>
      <c r="L55" s="7">
        <f t="shared" si="14"/>
        <v>0</v>
      </c>
      <c r="M55" s="7">
        <f t="shared" si="14"/>
        <v>0</v>
      </c>
      <c r="N55" s="7">
        <f t="shared" si="14"/>
        <v>0</v>
      </c>
      <c r="O55" s="7">
        <f t="shared" si="14"/>
        <v>0</v>
      </c>
      <c r="P55" s="7">
        <f t="shared" si="14"/>
        <v>0</v>
      </c>
      <c r="Q55" s="7">
        <f t="shared" si="14"/>
        <v>0</v>
      </c>
      <c r="R55" s="7">
        <f t="shared" si="14"/>
        <v>0</v>
      </c>
      <c r="S55" s="7">
        <f t="shared" si="14"/>
        <v>0</v>
      </c>
      <c r="T55" s="9"/>
      <c r="U55" s="9"/>
      <c r="V55" s="9"/>
      <c r="W55" s="7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</row>
    <row r="56" spans="1:103" x14ac:dyDescent="0.2">
      <c r="A56" s="15"/>
      <c r="B56" s="14" t="s">
        <v>523</v>
      </c>
      <c r="C56" t="s">
        <v>522</v>
      </c>
      <c r="D56" s="30" t="s">
        <v>22</v>
      </c>
      <c r="E56" s="30" t="s">
        <v>22</v>
      </c>
      <c r="F56" s="36">
        <f t="shared" ref="F56:S56" si="15">IF(SUM($F55:$S55)=0,0,F55/SUM($F55:$S55))</f>
        <v>0</v>
      </c>
      <c r="G56" s="36">
        <f t="shared" si="15"/>
        <v>0</v>
      </c>
      <c r="H56" s="36">
        <f t="shared" si="15"/>
        <v>0</v>
      </c>
      <c r="I56" s="36">
        <f t="shared" si="15"/>
        <v>0</v>
      </c>
      <c r="J56" s="36">
        <f t="shared" si="15"/>
        <v>0</v>
      </c>
      <c r="K56" s="36">
        <f t="shared" si="15"/>
        <v>0</v>
      </c>
      <c r="L56" s="36">
        <f t="shared" si="15"/>
        <v>0</v>
      </c>
      <c r="M56" s="36">
        <f t="shared" si="15"/>
        <v>0</v>
      </c>
      <c r="N56" s="36">
        <f t="shared" si="15"/>
        <v>0</v>
      </c>
      <c r="O56" s="36">
        <f t="shared" si="15"/>
        <v>0</v>
      </c>
      <c r="P56" s="36">
        <f t="shared" si="15"/>
        <v>0</v>
      </c>
      <c r="Q56" s="36">
        <f t="shared" si="15"/>
        <v>0</v>
      </c>
      <c r="R56" s="36">
        <f t="shared" si="15"/>
        <v>0</v>
      </c>
      <c r="S56" s="36">
        <f t="shared" si="15"/>
        <v>0</v>
      </c>
      <c r="T56" s="9"/>
      <c r="U56" s="9"/>
      <c r="V56" s="9"/>
      <c r="W56" s="7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</row>
    <row r="57" spans="1:103" x14ac:dyDescent="0.2">
      <c r="A57" s="15"/>
      <c r="B57" s="14" t="s">
        <v>524</v>
      </c>
      <c r="C57" t="s">
        <v>517</v>
      </c>
      <c r="D57" s="7">
        <f>SUM(F57:S57)</f>
        <v>0</v>
      </c>
      <c r="E57" s="30" t="s">
        <v>22</v>
      </c>
      <c r="F57" s="7">
        <f t="shared" ref="F57:S57" si="16">$D54*F56</f>
        <v>0</v>
      </c>
      <c r="G57" s="7">
        <f t="shared" si="16"/>
        <v>0</v>
      </c>
      <c r="H57" s="7">
        <f t="shared" si="16"/>
        <v>0</v>
      </c>
      <c r="I57" s="7">
        <f t="shared" si="16"/>
        <v>0</v>
      </c>
      <c r="J57" s="7">
        <f t="shared" si="16"/>
        <v>0</v>
      </c>
      <c r="K57" s="7">
        <f t="shared" si="16"/>
        <v>0</v>
      </c>
      <c r="L57" s="7">
        <f t="shared" si="16"/>
        <v>0</v>
      </c>
      <c r="M57" s="7">
        <f t="shared" si="16"/>
        <v>0</v>
      </c>
      <c r="N57" s="7">
        <f t="shared" si="16"/>
        <v>0</v>
      </c>
      <c r="O57" s="7">
        <f t="shared" si="16"/>
        <v>0</v>
      </c>
      <c r="P57" s="7">
        <f t="shared" si="16"/>
        <v>0</v>
      </c>
      <c r="Q57" s="7">
        <f t="shared" si="16"/>
        <v>0</v>
      </c>
      <c r="R57" s="7">
        <f t="shared" si="16"/>
        <v>0</v>
      </c>
      <c r="S57" s="7">
        <f t="shared" si="16"/>
        <v>0</v>
      </c>
      <c r="T57" s="9"/>
      <c r="U57" s="9">
        <v>1</v>
      </c>
      <c r="V57" s="9"/>
      <c r="W57" s="7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</row>
    <row r="58" spans="1:103" x14ac:dyDescent="0.2">
      <c r="A58" s="15"/>
      <c r="B58" s="24">
        <f>IF(D58=0,0,E59/D58)</f>
        <v>0</v>
      </c>
      <c r="C58" t="s">
        <v>518</v>
      </c>
      <c r="D58" s="23">
        <f>SUM(F58:S58)</f>
        <v>0</v>
      </c>
      <c r="E58" s="31" t="s">
        <v>22</v>
      </c>
      <c r="F58" s="23">
        <f t="shared" ref="F58:S58" si="17">$I$5*F57</f>
        <v>0</v>
      </c>
      <c r="G58" s="23">
        <f t="shared" si="17"/>
        <v>0</v>
      </c>
      <c r="H58" s="23">
        <f t="shared" si="17"/>
        <v>0</v>
      </c>
      <c r="I58" s="23">
        <f t="shared" si="17"/>
        <v>0</v>
      </c>
      <c r="J58" s="23">
        <f t="shared" si="17"/>
        <v>0</v>
      </c>
      <c r="K58" s="23">
        <f t="shared" si="17"/>
        <v>0</v>
      </c>
      <c r="L58" s="23">
        <f t="shared" si="17"/>
        <v>0</v>
      </c>
      <c r="M58" s="23">
        <f t="shared" si="17"/>
        <v>0</v>
      </c>
      <c r="N58" s="23">
        <f t="shared" si="17"/>
        <v>0</v>
      </c>
      <c r="O58" s="23">
        <f t="shared" si="17"/>
        <v>0</v>
      </c>
      <c r="P58" s="23">
        <f t="shared" si="17"/>
        <v>0</v>
      </c>
      <c r="Q58" s="23">
        <f t="shared" si="17"/>
        <v>0</v>
      </c>
      <c r="R58" s="23">
        <f t="shared" si="17"/>
        <v>0</v>
      </c>
      <c r="S58" s="23">
        <f t="shared" si="17"/>
        <v>0</v>
      </c>
      <c r="T58" s="9"/>
      <c r="U58" s="9">
        <v>2</v>
      </c>
      <c r="V58" s="9"/>
      <c r="W58" s="7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</row>
    <row r="59" spans="1:103" x14ac:dyDescent="0.2">
      <c r="A59" s="15"/>
      <c r="C59" t="s">
        <v>519</v>
      </c>
      <c r="D59" s="34" t="s">
        <v>22</v>
      </c>
      <c r="E59" s="35">
        <f>SUM(F59:S59)</f>
        <v>0</v>
      </c>
      <c r="F59" s="35">
        <f>$E54*F56</f>
        <v>0</v>
      </c>
      <c r="G59" s="35">
        <f t="shared" ref="G59:S59" si="18">$E54*G56</f>
        <v>0</v>
      </c>
      <c r="H59" s="35">
        <f t="shared" si="18"/>
        <v>0</v>
      </c>
      <c r="I59" s="35">
        <f t="shared" si="18"/>
        <v>0</v>
      </c>
      <c r="J59" s="35">
        <f t="shared" si="18"/>
        <v>0</v>
      </c>
      <c r="K59" s="35">
        <f t="shared" si="18"/>
        <v>0</v>
      </c>
      <c r="L59" s="35">
        <f t="shared" si="18"/>
        <v>0</v>
      </c>
      <c r="M59" s="35">
        <f t="shared" si="18"/>
        <v>0</v>
      </c>
      <c r="N59" s="35">
        <f t="shared" si="18"/>
        <v>0</v>
      </c>
      <c r="O59" s="35">
        <f t="shared" si="18"/>
        <v>0</v>
      </c>
      <c r="P59" s="35">
        <f t="shared" si="18"/>
        <v>0</v>
      </c>
      <c r="Q59" s="35">
        <f t="shared" si="18"/>
        <v>0</v>
      </c>
      <c r="R59" s="35">
        <f t="shared" si="18"/>
        <v>0</v>
      </c>
      <c r="S59" s="35">
        <f t="shared" si="18"/>
        <v>0</v>
      </c>
      <c r="T59" s="9"/>
      <c r="U59" s="9">
        <v>3</v>
      </c>
      <c r="V59" s="9"/>
      <c r="W59" s="7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</row>
    <row r="60" spans="1:103" x14ac:dyDescent="0.2">
      <c r="A60" s="15"/>
      <c r="C60" s="15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9"/>
      <c r="U60" s="9"/>
      <c r="V60" s="9"/>
      <c r="W60" s="7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</row>
    <row r="61" spans="1:103" x14ac:dyDescent="0.2">
      <c r="A61" s="15">
        <v>4</v>
      </c>
      <c r="B61" s="14">
        <f>C15</f>
        <v>0</v>
      </c>
      <c r="C61" s="15" t="s">
        <v>520</v>
      </c>
      <c r="D61" s="7">
        <f t="shared" ref="D61:S61" si="19">D15</f>
        <v>0</v>
      </c>
      <c r="E61" s="7">
        <f t="shared" si="19"/>
        <v>0</v>
      </c>
      <c r="F61" s="7">
        <f t="shared" si="19"/>
        <v>0</v>
      </c>
      <c r="G61" s="7">
        <f t="shared" si="19"/>
        <v>0</v>
      </c>
      <c r="H61" s="7">
        <f t="shared" si="19"/>
        <v>0</v>
      </c>
      <c r="I61" s="7">
        <f t="shared" si="19"/>
        <v>0</v>
      </c>
      <c r="J61" s="7">
        <f t="shared" si="19"/>
        <v>0</v>
      </c>
      <c r="K61" s="7">
        <f t="shared" si="19"/>
        <v>0</v>
      </c>
      <c r="L61" s="7">
        <f t="shared" si="19"/>
        <v>0</v>
      </c>
      <c r="M61" s="7">
        <f t="shared" si="19"/>
        <v>0</v>
      </c>
      <c r="N61" s="7">
        <f t="shared" si="19"/>
        <v>0</v>
      </c>
      <c r="O61" s="7">
        <f t="shared" si="19"/>
        <v>0</v>
      </c>
      <c r="P61" s="7">
        <f t="shared" si="19"/>
        <v>0</v>
      </c>
      <c r="Q61" s="7">
        <f t="shared" si="19"/>
        <v>0</v>
      </c>
      <c r="R61" s="7">
        <f t="shared" si="19"/>
        <v>0</v>
      </c>
      <c r="S61" s="7">
        <f t="shared" si="19"/>
        <v>0</v>
      </c>
      <c r="T61" s="9"/>
      <c r="U61" s="9"/>
      <c r="V61" s="9"/>
      <c r="W61" s="7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</row>
    <row r="62" spans="1:103" x14ac:dyDescent="0.2">
      <c r="A62" s="15"/>
      <c r="C62" t="s">
        <v>521</v>
      </c>
      <c r="D62" s="30" t="s">
        <v>22</v>
      </c>
      <c r="E62" s="30" t="s">
        <v>22</v>
      </c>
      <c r="F62" s="7">
        <f t="shared" ref="F62:S62" si="20">IF(F61&lt;$D$5*SUM($F61:$S61),0,F61)</f>
        <v>0</v>
      </c>
      <c r="G62" s="7">
        <f t="shared" si="20"/>
        <v>0</v>
      </c>
      <c r="H62" s="7">
        <f t="shared" si="20"/>
        <v>0</v>
      </c>
      <c r="I62" s="7">
        <f t="shared" si="20"/>
        <v>0</v>
      </c>
      <c r="J62" s="7">
        <f t="shared" si="20"/>
        <v>0</v>
      </c>
      <c r="K62" s="7">
        <f t="shared" si="20"/>
        <v>0</v>
      </c>
      <c r="L62" s="7">
        <f t="shared" si="20"/>
        <v>0</v>
      </c>
      <c r="M62" s="7">
        <f t="shared" si="20"/>
        <v>0</v>
      </c>
      <c r="N62" s="7">
        <f t="shared" si="20"/>
        <v>0</v>
      </c>
      <c r="O62" s="7">
        <f t="shared" si="20"/>
        <v>0</v>
      </c>
      <c r="P62" s="7">
        <f t="shared" si="20"/>
        <v>0</v>
      </c>
      <c r="Q62" s="7">
        <f t="shared" si="20"/>
        <v>0</v>
      </c>
      <c r="R62" s="7">
        <f t="shared" si="20"/>
        <v>0</v>
      </c>
      <c r="S62" s="7">
        <f t="shared" si="20"/>
        <v>0</v>
      </c>
      <c r="T62" s="9"/>
      <c r="U62" s="9"/>
      <c r="V62" s="9"/>
      <c r="W62" s="7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</row>
    <row r="63" spans="1:103" x14ac:dyDescent="0.2">
      <c r="A63" s="15"/>
      <c r="B63" s="14" t="s">
        <v>523</v>
      </c>
      <c r="C63" t="s">
        <v>522</v>
      </c>
      <c r="D63" s="30" t="s">
        <v>22</v>
      </c>
      <c r="E63" s="30" t="s">
        <v>22</v>
      </c>
      <c r="F63" s="36">
        <f t="shared" ref="F63:S63" si="21">IF(SUM($F62:$S62)=0,0,F62/SUM($F62:$S62))</f>
        <v>0</v>
      </c>
      <c r="G63" s="36">
        <f t="shared" si="21"/>
        <v>0</v>
      </c>
      <c r="H63" s="36">
        <f t="shared" si="21"/>
        <v>0</v>
      </c>
      <c r="I63" s="36">
        <f t="shared" si="21"/>
        <v>0</v>
      </c>
      <c r="J63" s="36">
        <f t="shared" si="21"/>
        <v>0</v>
      </c>
      <c r="K63" s="36">
        <f t="shared" si="21"/>
        <v>0</v>
      </c>
      <c r="L63" s="36">
        <f t="shared" si="21"/>
        <v>0</v>
      </c>
      <c r="M63" s="36">
        <f t="shared" si="21"/>
        <v>0</v>
      </c>
      <c r="N63" s="36">
        <f t="shared" si="21"/>
        <v>0</v>
      </c>
      <c r="O63" s="36">
        <f t="shared" si="21"/>
        <v>0</v>
      </c>
      <c r="P63" s="36">
        <f t="shared" si="21"/>
        <v>0</v>
      </c>
      <c r="Q63" s="36">
        <f t="shared" si="21"/>
        <v>0</v>
      </c>
      <c r="R63" s="36">
        <f t="shared" si="21"/>
        <v>0</v>
      </c>
      <c r="S63" s="36">
        <f t="shared" si="21"/>
        <v>0</v>
      </c>
      <c r="T63" s="9"/>
      <c r="U63" s="9"/>
      <c r="V63" s="9"/>
      <c r="W63" s="7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</row>
    <row r="64" spans="1:103" x14ac:dyDescent="0.2">
      <c r="A64" s="15"/>
      <c r="B64" s="14" t="s">
        <v>524</v>
      </c>
      <c r="C64" t="s">
        <v>517</v>
      </c>
      <c r="D64" s="7">
        <f>SUM(F64:S64)</f>
        <v>0</v>
      </c>
      <c r="E64" s="30" t="s">
        <v>22</v>
      </c>
      <c r="F64" s="7">
        <f t="shared" ref="F64:S64" si="22">$D61*F63</f>
        <v>0</v>
      </c>
      <c r="G64" s="7">
        <f t="shared" si="22"/>
        <v>0</v>
      </c>
      <c r="H64" s="7">
        <f t="shared" si="22"/>
        <v>0</v>
      </c>
      <c r="I64" s="7">
        <f t="shared" si="22"/>
        <v>0</v>
      </c>
      <c r="J64" s="7">
        <f t="shared" si="22"/>
        <v>0</v>
      </c>
      <c r="K64" s="7">
        <f t="shared" si="22"/>
        <v>0</v>
      </c>
      <c r="L64" s="7">
        <f t="shared" si="22"/>
        <v>0</v>
      </c>
      <c r="M64" s="7">
        <f t="shared" si="22"/>
        <v>0</v>
      </c>
      <c r="N64" s="7">
        <f t="shared" si="22"/>
        <v>0</v>
      </c>
      <c r="O64" s="7">
        <f t="shared" si="22"/>
        <v>0</v>
      </c>
      <c r="P64" s="7">
        <f t="shared" si="22"/>
        <v>0</v>
      </c>
      <c r="Q64" s="7">
        <f t="shared" si="22"/>
        <v>0</v>
      </c>
      <c r="R64" s="7">
        <f t="shared" si="22"/>
        <v>0</v>
      </c>
      <c r="S64" s="7">
        <f t="shared" si="22"/>
        <v>0</v>
      </c>
      <c r="T64" s="9"/>
      <c r="U64" s="9">
        <v>1</v>
      </c>
      <c r="V64" s="9"/>
      <c r="W64" s="7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</row>
    <row r="65" spans="1:103" x14ac:dyDescent="0.2">
      <c r="A65" s="15"/>
      <c r="B65" s="24">
        <f>IF(D65=0,0,E66/D65)</f>
        <v>0</v>
      </c>
      <c r="C65" t="s">
        <v>518</v>
      </c>
      <c r="D65" s="23">
        <f>SUM(F65:S65)</f>
        <v>0</v>
      </c>
      <c r="E65" s="31" t="s">
        <v>22</v>
      </c>
      <c r="F65" s="23">
        <f t="shared" ref="F65:S65" si="23">$I$5*F64</f>
        <v>0</v>
      </c>
      <c r="G65" s="23">
        <f t="shared" si="23"/>
        <v>0</v>
      </c>
      <c r="H65" s="23">
        <f t="shared" si="23"/>
        <v>0</v>
      </c>
      <c r="I65" s="23">
        <f t="shared" si="23"/>
        <v>0</v>
      </c>
      <c r="J65" s="23">
        <f t="shared" si="23"/>
        <v>0</v>
      </c>
      <c r="K65" s="23">
        <f t="shared" si="23"/>
        <v>0</v>
      </c>
      <c r="L65" s="23">
        <f t="shared" si="23"/>
        <v>0</v>
      </c>
      <c r="M65" s="23">
        <f t="shared" si="23"/>
        <v>0</v>
      </c>
      <c r="N65" s="23">
        <f t="shared" si="23"/>
        <v>0</v>
      </c>
      <c r="O65" s="23">
        <f t="shared" si="23"/>
        <v>0</v>
      </c>
      <c r="P65" s="23">
        <f t="shared" si="23"/>
        <v>0</v>
      </c>
      <c r="Q65" s="23">
        <f t="shared" si="23"/>
        <v>0</v>
      </c>
      <c r="R65" s="23">
        <f t="shared" si="23"/>
        <v>0</v>
      </c>
      <c r="S65" s="23">
        <f t="shared" si="23"/>
        <v>0</v>
      </c>
      <c r="T65" s="9"/>
      <c r="U65" s="9">
        <v>2</v>
      </c>
      <c r="V65" s="9"/>
      <c r="W65" s="7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</row>
    <row r="66" spans="1:103" x14ac:dyDescent="0.2">
      <c r="A66" s="15"/>
      <c r="C66" t="s">
        <v>519</v>
      </c>
      <c r="D66" s="34" t="s">
        <v>22</v>
      </c>
      <c r="E66" s="35">
        <f>SUM(F66:S66)</f>
        <v>0</v>
      </c>
      <c r="F66" s="35">
        <f>$E61*F63</f>
        <v>0</v>
      </c>
      <c r="G66" s="35">
        <f t="shared" ref="G66:S66" si="24">$E61*G63</f>
        <v>0</v>
      </c>
      <c r="H66" s="35">
        <f t="shared" si="24"/>
        <v>0</v>
      </c>
      <c r="I66" s="35">
        <f t="shared" si="24"/>
        <v>0</v>
      </c>
      <c r="J66" s="35">
        <f t="shared" si="24"/>
        <v>0</v>
      </c>
      <c r="K66" s="35">
        <f t="shared" si="24"/>
        <v>0</v>
      </c>
      <c r="L66" s="35">
        <f t="shared" si="24"/>
        <v>0</v>
      </c>
      <c r="M66" s="35">
        <f t="shared" si="24"/>
        <v>0</v>
      </c>
      <c r="N66" s="35">
        <f t="shared" si="24"/>
        <v>0</v>
      </c>
      <c r="O66" s="35">
        <f t="shared" si="24"/>
        <v>0</v>
      </c>
      <c r="P66" s="35">
        <f t="shared" si="24"/>
        <v>0</v>
      </c>
      <c r="Q66" s="35">
        <f t="shared" si="24"/>
        <v>0</v>
      </c>
      <c r="R66" s="35">
        <f t="shared" si="24"/>
        <v>0</v>
      </c>
      <c r="S66" s="35">
        <f t="shared" si="24"/>
        <v>0</v>
      </c>
      <c r="T66" s="9"/>
      <c r="U66" s="9">
        <v>3</v>
      </c>
      <c r="V66" s="9"/>
      <c r="W66" s="7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</row>
    <row r="67" spans="1:103" x14ac:dyDescent="0.2">
      <c r="A67" s="15"/>
      <c r="C67" s="15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9"/>
      <c r="U67" s="9"/>
      <c r="V67" s="9"/>
      <c r="W67" s="7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</row>
    <row r="68" spans="1:103" x14ac:dyDescent="0.2">
      <c r="A68" s="15">
        <v>5</v>
      </c>
      <c r="B68" s="14">
        <f>C16</f>
        <v>0</v>
      </c>
      <c r="C68" s="15" t="s">
        <v>520</v>
      </c>
      <c r="D68" s="7">
        <f t="shared" ref="D68:S68" si="25">D16</f>
        <v>0</v>
      </c>
      <c r="E68" s="7">
        <f t="shared" si="25"/>
        <v>0</v>
      </c>
      <c r="F68" s="7">
        <f t="shared" si="25"/>
        <v>0</v>
      </c>
      <c r="G68" s="7">
        <f t="shared" si="25"/>
        <v>0</v>
      </c>
      <c r="H68" s="7">
        <f t="shared" si="25"/>
        <v>0</v>
      </c>
      <c r="I68" s="7">
        <f t="shared" si="25"/>
        <v>0</v>
      </c>
      <c r="J68" s="7">
        <f t="shared" si="25"/>
        <v>0</v>
      </c>
      <c r="K68" s="7">
        <f t="shared" si="25"/>
        <v>0</v>
      </c>
      <c r="L68" s="7">
        <f t="shared" si="25"/>
        <v>0</v>
      </c>
      <c r="M68" s="7">
        <f t="shared" si="25"/>
        <v>0</v>
      </c>
      <c r="N68" s="7">
        <f t="shared" si="25"/>
        <v>0</v>
      </c>
      <c r="O68" s="7">
        <f t="shared" si="25"/>
        <v>0</v>
      </c>
      <c r="P68" s="7">
        <f t="shared" si="25"/>
        <v>0</v>
      </c>
      <c r="Q68" s="7">
        <f t="shared" si="25"/>
        <v>0</v>
      </c>
      <c r="R68" s="7">
        <f t="shared" si="25"/>
        <v>0</v>
      </c>
      <c r="S68" s="7">
        <f t="shared" si="25"/>
        <v>0</v>
      </c>
      <c r="T68" s="9"/>
      <c r="U68" s="9"/>
      <c r="V68" s="9"/>
      <c r="W68" s="7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</row>
    <row r="69" spans="1:103" x14ac:dyDescent="0.2">
      <c r="A69" s="15"/>
      <c r="C69" t="s">
        <v>521</v>
      </c>
      <c r="D69" s="30" t="s">
        <v>22</v>
      </c>
      <c r="E69" s="30" t="s">
        <v>22</v>
      </c>
      <c r="F69" s="7">
        <f t="shared" ref="F69:S69" si="26">IF(F68&lt;$D$5*SUM($F68:$S68),0,F68)</f>
        <v>0</v>
      </c>
      <c r="G69" s="7">
        <f t="shared" si="26"/>
        <v>0</v>
      </c>
      <c r="H69" s="7">
        <f t="shared" si="26"/>
        <v>0</v>
      </c>
      <c r="I69" s="7">
        <f t="shared" si="26"/>
        <v>0</v>
      </c>
      <c r="J69" s="7">
        <f t="shared" si="26"/>
        <v>0</v>
      </c>
      <c r="K69" s="7">
        <f t="shared" si="26"/>
        <v>0</v>
      </c>
      <c r="L69" s="7">
        <f t="shared" si="26"/>
        <v>0</v>
      </c>
      <c r="M69" s="7">
        <f t="shared" si="26"/>
        <v>0</v>
      </c>
      <c r="N69" s="7">
        <f t="shared" si="26"/>
        <v>0</v>
      </c>
      <c r="O69" s="7">
        <f t="shared" si="26"/>
        <v>0</v>
      </c>
      <c r="P69" s="7">
        <f t="shared" si="26"/>
        <v>0</v>
      </c>
      <c r="Q69" s="7">
        <f t="shared" si="26"/>
        <v>0</v>
      </c>
      <c r="R69" s="7">
        <f t="shared" si="26"/>
        <v>0</v>
      </c>
      <c r="S69" s="7">
        <f t="shared" si="26"/>
        <v>0</v>
      </c>
      <c r="T69" s="9"/>
      <c r="U69" s="9"/>
      <c r="V69" s="9"/>
      <c r="W69" s="7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</row>
    <row r="70" spans="1:103" x14ac:dyDescent="0.2">
      <c r="A70" s="15"/>
      <c r="B70" s="14" t="s">
        <v>523</v>
      </c>
      <c r="C70" t="s">
        <v>522</v>
      </c>
      <c r="D70" s="30" t="s">
        <v>22</v>
      </c>
      <c r="E70" s="30" t="s">
        <v>22</v>
      </c>
      <c r="F70" s="36">
        <f t="shared" ref="F70:S70" si="27">IF(SUM($F69:$S69)=0,0,F69/SUM($F69:$S69))</f>
        <v>0</v>
      </c>
      <c r="G70" s="36">
        <f t="shared" si="27"/>
        <v>0</v>
      </c>
      <c r="H70" s="36">
        <f t="shared" si="27"/>
        <v>0</v>
      </c>
      <c r="I70" s="36">
        <f t="shared" si="27"/>
        <v>0</v>
      </c>
      <c r="J70" s="36">
        <f t="shared" si="27"/>
        <v>0</v>
      </c>
      <c r="K70" s="36">
        <f t="shared" si="27"/>
        <v>0</v>
      </c>
      <c r="L70" s="36">
        <f t="shared" si="27"/>
        <v>0</v>
      </c>
      <c r="M70" s="36">
        <f t="shared" si="27"/>
        <v>0</v>
      </c>
      <c r="N70" s="36">
        <f t="shared" si="27"/>
        <v>0</v>
      </c>
      <c r="O70" s="36">
        <f t="shared" si="27"/>
        <v>0</v>
      </c>
      <c r="P70" s="36">
        <f t="shared" si="27"/>
        <v>0</v>
      </c>
      <c r="Q70" s="36">
        <f t="shared" si="27"/>
        <v>0</v>
      </c>
      <c r="R70" s="36">
        <f t="shared" si="27"/>
        <v>0</v>
      </c>
      <c r="S70" s="36">
        <f t="shared" si="27"/>
        <v>0</v>
      </c>
      <c r="T70" s="9"/>
      <c r="U70" s="9"/>
      <c r="V70" s="9"/>
      <c r="W70" s="7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</row>
    <row r="71" spans="1:103" x14ac:dyDescent="0.2">
      <c r="A71" s="15"/>
      <c r="B71" s="14" t="s">
        <v>524</v>
      </c>
      <c r="C71" t="s">
        <v>517</v>
      </c>
      <c r="D71" s="7">
        <f>SUM(F71:S71)</f>
        <v>0</v>
      </c>
      <c r="E71" s="30" t="s">
        <v>22</v>
      </c>
      <c r="F71" s="7">
        <f t="shared" ref="F71:S71" si="28">$D68*F70</f>
        <v>0</v>
      </c>
      <c r="G71" s="7">
        <f t="shared" si="28"/>
        <v>0</v>
      </c>
      <c r="H71" s="7">
        <f t="shared" si="28"/>
        <v>0</v>
      </c>
      <c r="I71" s="7">
        <f t="shared" si="28"/>
        <v>0</v>
      </c>
      <c r="J71" s="7">
        <f t="shared" si="28"/>
        <v>0</v>
      </c>
      <c r="K71" s="7">
        <f t="shared" si="28"/>
        <v>0</v>
      </c>
      <c r="L71" s="7">
        <f t="shared" si="28"/>
        <v>0</v>
      </c>
      <c r="M71" s="7">
        <f t="shared" si="28"/>
        <v>0</v>
      </c>
      <c r="N71" s="7">
        <f t="shared" si="28"/>
        <v>0</v>
      </c>
      <c r="O71" s="7">
        <f t="shared" si="28"/>
        <v>0</v>
      </c>
      <c r="P71" s="7">
        <f t="shared" si="28"/>
        <v>0</v>
      </c>
      <c r="Q71" s="7">
        <f t="shared" si="28"/>
        <v>0</v>
      </c>
      <c r="R71" s="7">
        <f t="shared" si="28"/>
        <v>0</v>
      </c>
      <c r="S71" s="7">
        <f t="shared" si="28"/>
        <v>0</v>
      </c>
      <c r="T71" s="9"/>
      <c r="U71" s="9">
        <v>1</v>
      </c>
      <c r="V71" s="9"/>
      <c r="W71" s="7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</row>
    <row r="72" spans="1:103" x14ac:dyDescent="0.2">
      <c r="A72" s="15"/>
      <c r="B72" s="24">
        <f>IF(D72=0,0,E73/D72)</f>
        <v>0</v>
      </c>
      <c r="C72" t="s">
        <v>518</v>
      </c>
      <c r="D72" s="23">
        <f>SUM(F72:S72)</f>
        <v>0</v>
      </c>
      <c r="E72" s="31" t="s">
        <v>22</v>
      </c>
      <c r="F72" s="23">
        <f t="shared" ref="F72:S72" si="29">$I$5*F71</f>
        <v>0</v>
      </c>
      <c r="G72" s="23">
        <f t="shared" si="29"/>
        <v>0</v>
      </c>
      <c r="H72" s="23">
        <f t="shared" si="29"/>
        <v>0</v>
      </c>
      <c r="I72" s="23">
        <f t="shared" si="29"/>
        <v>0</v>
      </c>
      <c r="J72" s="23">
        <f t="shared" si="29"/>
        <v>0</v>
      </c>
      <c r="K72" s="23">
        <f t="shared" si="29"/>
        <v>0</v>
      </c>
      <c r="L72" s="23">
        <f t="shared" si="29"/>
        <v>0</v>
      </c>
      <c r="M72" s="23">
        <f t="shared" si="29"/>
        <v>0</v>
      </c>
      <c r="N72" s="23">
        <f t="shared" si="29"/>
        <v>0</v>
      </c>
      <c r="O72" s="23">
        <f t="shared" si="29"/>
        <v>0</v>
      </c>
      <c r="P72" s="23">
        <f t="shared" si="29"/>
        <v>0</v>
      </c>
      <c r="Q72" s="23">
        <f t="shared" si="29"/>
        <v>0</v>
      </c>
      <c r="R72" s="23">
        <f t="shared" si="29"/>
        <v>0</v>
      </c>
      <c r="S72" s="23">
        <f t="shared" si="29"/>
        <v>0</v>
      </c>
      <c r="T72" s="9"/>
      <c r="U72" s="9">
        <v>2</v>
      </c>
      <c r="V72" s="9"/>
      <c r="W72" s="7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</row>
    <row r="73" spans="1:103" x14ac:dyDescent="0.2">
      <c r="A73" s="15"/>
      <c r="C73" t="s">
        <v>519</v>
      </c>
      <c r="D73" s="34" t="s">
        <v>22</v>
      </c>
      <c r="E73" s="35">
        <f>SUM(F73:S73)</f>
        <v>0</v>
      </c>
      <c r="F73" s="35">
        <f>$E68*F70</f>
        <v>0</v>
      </c>
      <c r="G73" s="35">
        <f t="shared" ref="G73:S73" si="30">$E68*G70</f>
        <v>0</v>
      </c>
      <c r="H73" s="35">
        <f t="shared" si="30"/>
        <v>0</v>
      </c>
      <c r="I73" s="35">
        <f t="shared" si="30"/>
        <v>0</v>
      </c>
      <c r="J73" s="35">
        <f t="shared" si="30"/>
        <v>0</v>
      </c>
      <c r="K73" s="35">
        <f t="shared" si="30"/>
        <v>0</v>
      </c>
      <c r="L73" s="35">
        <f t="shared" si="30"/>
        <v>0</v>
      </c>
      <c r="M73" s="35">
        <f t="shared" si="30"/>
        <v>0</v>
      </c>
      <c r="N73" s="35">
        <f t="shared" si="30"/>
        <v>0</v>
      </c>
      <c r="O73" s="35">
        <f t="shared" si="30"/>
        <v>0</v>
      </c>
      <c r="P73" s="35">
        <f t="shared" si="30"/>
        <v>0</v>
      </c>
      <c r="Q73" s="35">
        <f t="shared" si="30"/>
        <v>0</v>
      </c>
      <c r="R73" s="35">
        <f t="shared" si="30"/>
        <v>0</v>
      </c>
      <c r="S73" s="35">
        <f t="shared" si="30"/>
        <v>0</v>
      </c>
      <c r="T73" s="9"/>
      <c r="U73" s="9">
        <v>3</v>
      </c>
      <c r="V73" s="9"/>
      <c r="W73" s="7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</row>
    <row r="74" spans="1:103" x14ac:dyDescent="0.2">
      <c r="A74" s="15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9"/>
      <c r="U74" s="9"/>
      <c r="V74" s="9"/>
      <c r="W74" s="7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</row>
    <row r="75" spans="1:103" x14ac:dyDescent="0.2">
      <c r="A75" s="15">
        <v>6</v>
      </c>
      <c r="B75" s="14">
        <f>C17</f>
        <v>0</v>
      </c>
      <c r="C75" s="15" t="s">
        <v>520</v>
      </c>
      <c r="D75" s="7">
        <f t="shared" ref="D75:S75" si="31">D17</f>
        <v>0</v>
      </c>
      <c r="E75" s="7">
        <f t="shared" si="31"/>
        <v>0</v>
      </c>
      <c r="F75" s="7">
        <f t="shared" si="31"/>
        <v>0</v>
      </c>
      <c r="G75" s="7">
        <f t="shared" si="31"/>
        <v>0</v>
      </c>
      <c r="H75" s="7">
        <f t="shared" si="31"/>
        <v>0</v>
      </c>
      <c r="I75" s="7">
        <f t="shared" si="31"/>
        <v>0</v>
      </c>
      <c r="J75" s="7">
        <f t="shared" si="31"/>
        <v>0</v>
      </c>
      <c r="K75" s="7">
        <f t="shared" si="31"/>
        <v>0</v>
      </c>
      <c r="L75" s="7">
        <f t="shared" si="31"/>
        <v>0</v>
      </c>
      <c r="M75" s="7">
        <f t="shared" si="31"/>
        <v>0</v>
      </c>
      <c r="N75" s="7">
        <f t="shared" si="31"/>
        <v>0</v>
      </c>
      <c r="O75" s="7">
        <f t="shared" si="31"/>
        <v>0</v>
      </c>
      <c r="P75" s="7">
        <f t="shared" si="31"/>
        <v>0</v>
      </c>
      <c r="Q75" s="7">
        <f t="shared" si="31"/>
        <v>0</v>
      </c>
      <c r="R75" s="7">
        <f t="shared" si="31"/>
        <v>0</v>
      </c>
      <c r="S75" s="7">
        <f t="shared" si="31"/>
        <v>0</v>
      </c>
      <c r="T75" s="9"/>
      <c r="U75" s="9"/>
      <c r="V75" s="9"/>
      <c r="W75" s="7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</row>
    <row r="76" spans="1:103" x14ac:dyDescent="0.2">
      <c r="A76" s="15"/>
      <c r="C76" t="s">
        <v>521</v>
      </c>
      <c r="D76" s="30" t="s">
        <v>22</v>
      </c>
      <c r="E76" s="30" t="s">
        <v>22</v>
      </c>
      <c r="F76" s="7">
        <f t="shared" ref="F76:S76" si="32">IF(F75&lt;$D$5*SUM($F75:$S75),0,F75)</f>
        <v>0</v>
      </c>
      <c r="G76" s="7">
        <f t="shared" si="32"/>
        <v>0</v>
      </c>
      <c r="H76" s="7">
        <f t="shared" si="32"/>
        <v>0</v>
      </c>
      <c r="I76" s="7">
        <f t="shared" si="32"/>
        <v>0</v>
      </c>
      <c r="J76" s="7">
        <f t="shared" si="32"/>
        <v>0</v>
      </c>
      <c r="K76" s="7">
        <f t="shared" si="32"/>
        <v>0</v>
      </c>
      <c r="L76" s="7">
        <f t="shared" si="32"/>
        <v>0</v>
      </c>
      <c r="M76" s="7">
        <f t="shared" si="32"/>
        <v>0</v>
      </c>
      <c r="N76" s="7">
        <f t="shared" si="32"/>
        <v>0</v>
      </c>
      <c r="O76" s="7">
        <f t="shared" si="32"/>
        <v>0</v>
      </c>
      <c r="P76" s="7">
        <f t="shared" si="32"/>
        <v>0</v>
      </c>
      <c r="Q76" s="7">
        <f t="shared" si="32"/>
        <v>0</v>
      </c>
      <c r="R76" s="7">
        <f t="shared" si="32"/>
        <v>0</v>
      </c>
      <c r="S76" s="7">
        <f t="shared" si="32"/>
        <v>0</v>
      </c>
      <c r="T76" s="9"/>
      <c r="U76" s="9"/>
      <c r="V76" s="9"/>
      <c r="W76" s="7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</row>
    <row r="77" spans="1:103" x14ac:dyDescent="0.2">
      <c r="A77" s="15"/>
      <c r="B77" s="14" t="s">
        <v>523</v>
      </c>
      <c r="C77" t="s">
        <v>522</v>
      </c>
      <c r="D77" s="30" t="s">
        <v>22</v>
      </c>
      <c r="E77" s="30" t="s">
        <v>22</v>
      </c>
      <c r="F77" s="36">
        <f t="shared" ref="F77:S77" si="33">IF(SUM($F76:$S76)=0,0,F76/SUM($F76:$S76))</f>
        <v>0</v>
      </c>
      <c r="G77" s="36">
        <f t="shared" si="33"/>
        <v>0</v>
      </c>
      <c r="H77" s="36">
        <f t="shared" si="33"/>
        <v>0</v>
      </c>
      <c r="I77" s="36">
        <f t="shared" si="33"/>
        <v>0</v>
      </c>
      <c r="J77" s="36">
        <f t="shared" si="33"/>
        <v>0</v>
      </c>
      <c r="K77" s="36">
        <f t="shared" si="33"/>
        <v>0</v>
      </c>
      <c r="L77" s="36">
        <f t="shared" si="33"/>
        <v>0</v>
      </c>
      <c r="M77" s="36">
        <f t="shared" si="33"/>
        <v>0</v>
      </c>
      <c r="N77" s="36">
        <f t="shared" si="33"/>
        <v>0</v>
      </c>
      <c r="O77" s="36">
        <f t="shared" si="33"/>
        <v>0</v>
      </c>
      <c r="P77" s="36">
        <f t="shared" si="33"/>
        <v>0</v>
      </c>
      <c r="Q77" s="36">
        <f t="shared" si="33"/>
        <v>0</v>
      </c>
      <c r="R77" s="36">
        <f t="shared" si="33"/>
        <v>0</v>
      </c>
      <c r="S77" s="36">
        <f t="shared" si="33"/>
        <v>0</v>
      </c>
      <c r="T77" s="9"/>
      <c r="U77" s="9"/>
      <c r="V77" s="9"/>
      <c r="W77" s="7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</row>
    <row r="78" spans="1:103" x14ac:dyDescent="0.2">
      <c r="A78" s="15"/>
      <c r="B78" s="14" t="s">
        <v>524</v>
      </c>
      <c r="C78" t="s">
        <v>517</v>
      </c>
      <c r="D78" s="7">
        <f>SUM(F78:S78)</f>
        <v>0</v>
      </c>
      <c r="E78" s="30" t="s">
        <v>22</v>
      </c>
      <c r="F78" s="7">
        <f t="shared" ref="F78:S78" si="34">$D75*F77</f>
        <v>0</v>
      </c>
      <c r="G78" s="7">
        <f t="shared" si="34"/>
        <v>0</v>
      </c>
      <c r="H78" s="7">
        <f t="shared" si="34"/>
        <v>0</v>
      </c>
      <c r="I78" s="7">
        <f t="shared" si="34"/>
        <v>0</v>
      </c>
      <c r="J78" s="7">
        <f t="shared" si="34"/>
        <v>0</v>
      </c>
      <c r="K78" s="7">
        <f t="shared" si="34"/>
        <v>0</v>
      </c>
      <c r="L78" s="7">
        <f t="shared" si="34"/>
        <v>0</v>
      </c>
      <c r="M78" s="7">
        <f t="shared" si="34"/>
        <v>0</v>
      </c>
      <c r="N78" s="7">
        <f t="shared" si="34"/>
        <v>0</v>
      </c>
      <c r="O78" s="7">
        <f t="shared" si="34"/>
        <v>0</v>
      </c>
      <c r="P78" s="7">
        <f t="shared" si="34"/>
        <v>0</v>
      </c>
      <c r="Q78" s="7">
        <f t="shared" si="34"/>
        <v>0</v>
      </c>
      <c r="R78" s="7">
        <f t="shared" si="34"/>
        <v>0</v>
      </c>
      <c r="S78" s="7">
        <f t="shared" si="34"/>
        <v>0</v>
      </c>
      <c r="T78" s="9"/>
      <c r="U78" s="9">
        <v>1</v>
      </c>
      <c r="V78" s="9"/>
      <c r="W78" s="7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</row>
    <row r="79" spans="1:103" x14ac:dyDescent="0.2">
      <c r="A79" s="15"/>
      <c r="B79" s="24">
        <f>IF(D79=0,0,E80/D79)</f>
        <v>0</v>
      </c>
      <c r="C79" t="s">
        <v>518</v>
      </c>
      <c r="D79" s="23">
        <f>SUM(F79:S79)</f>
        <v>0</v>
      </c>
      <c r="E79" s="31" t="s">
        <v>22</v>
      </c>
      <c r="F79" s="23">
        <f t="shared" ref="F79:S79" si="35">$I$5*F78</f>
        <v>0</v>
      </c>
      <c r="G79" s="23">
        <f t="shared" si="35"/>
        <v>0</v>
      </c>
      <c r="H79" s="23">
        <f t="shared" si="35"/>
        <v>0</v>
      </c>
      <c r="I79" s="23">
        <f t="shared" si="35"/>
        <v>0</v>
      </c>
      <c r="J79" s="23">
        <f t="shared" si="35"/>
        <v>0</v>
      </c>
      <c r="K79" s="23">
        <f t="shared" si="35"/>
        <v>0</v>
      </c>
      <c r="L79" s="23">
        <f t="shared" si="35"/>
        <v>0</v>
      </c>
      <c r="M79" s="23">
        <f t="shared" si="35"/>
        <v>0</v>
      </c>
      <c r="N79" s="23">
        <f t="shared" si="35"/>
        <v>0</v>
      </c>
      <c r="O79" s="23">
        <f t="shared" si="35"/>
        <v>0</v>
      </c>
      <c r="P79" s="23">
        <f t="shared" si="35"/>
        <v>0</v>
      </c>
      <c r="Q79" s="23">
        <f t="shared" si="35"/>
        <v>0</v>
      </c>
      <c r="R79" s="23">
        <f t="shared" si="35"/>
        <v>0</v>
      </c>
      <c r="S79" s="23">
        <f t="shared" si="35"/>
        <v>0</v>
      </c>
      <c r="T79" s="9"/>
      <c r="U79" s="9">
        <v>2</v>
      </c>
      <c r="V79" s="9"/>
      <c r="W79" s="7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</row>
    <row r="80" spans="1:103" x14ac:dyDescent="0.2">
      <c r="A80" s="15"/>
      <c r="C80" t="s">
        <v>519</v>
      </c>
      <c r="D80" s="34" t="s">
        <v>22</v>
      </c>
      <c r="E80" s="35">
        <f>SUM(F80:S80)</f>
        <v>0</v>
      </c>
      <c r="F80" s="35">
        <f>$E75*F77</f>
        <v>0</v>
      </c>
      <c r="G80" s="35">
        <f t="shared" ref="G80:S80" si="36">$E75*G77</f>
        <v>0</v>
      </c>
      <c r="H80" s="35">
        <f t="shared" si="36"/>
        <v>0</v>
      </c>
      <c r="I80" s="35">
        <f t="shared" si="36"/>
        <v>0</v>
      </c>
      <c r="J80" s="35">
        <f t="shared" si="36"/>
        <v>0</v>
      </c>
      <c r="K80" s="35">
        <f t="shared" si="36"/>
        <v>0</v>
      </c>
      <c r="L80" s="35">
        <f t="shared" si="36"/>
        <v>0</v>
      </c>
      <c r="M80" s="35">
        <f t="shared" si="36"/>
        <v>0</v>
      </c>
      <c r="N80" s="35">
        <f t="shared" si="36"/>
        <v>0</v>
      </c>
      <c r="O80" s="35">
        <f t="shared" si="36"/>
        <v>0</v>
      </c>
      <c r="P80" s="35">
        <f t="shared" si="36"/>
        <v>0</v>
      </c>
      <c r="Q80" s="35">
        <f t="shared" si="36"/>
        <v>0</v>
      </c>
      <c r="R80" s="35">
        <f t="shared" si="36"/>
        <v>0</v>
      </c>
      <c r="S80" s="35">
        <f t="shared" si="36"/>
        <v>0</v>
      </c>
      <c r="T80" s="9"/>
      <c r="U80" s="9">
        <v>3</v>
      </c>
      <c r="V80" s="9"/>
      <c r="W80" s="7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</row>
    <row r="81" spans="1:103" x14ac:dyDescent="0.2">
      <c r="A81" s="15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9"/>
      <c r="U81" s="9"/>
      <c r="V81" s="9"/>
      <c r="W81" s="7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</row>
    <row r="82" spans="1:103" x14ac:dyDescent="0.2">
      <c r="A82" s="15">
        <v>7</v>
      </c>
      <c r="B82" s="14">
        <f>C18</f>
        <v>0</v>
      </c>
      <c r="C82" s="15" t="s">
        <v>520</v>
      </c>
      <c r="D82" s="7">
        <f t="shared" ref="D82:S82" si="37">D18</f>
        <v>0</v>
      </c>
      <c r="E82" s="7">
        <f t="shared" si="37"/>
        <v>0</v>
      </c>
      <c r="F82" s="7">
        <f t="shared" si="37"/>
        <v>0</v>
      </c>
      <c r="G82" s="7">
        <f t="shared" si="37"/>
        <v>0</v>
      </c>
      <c r="H82" s="7">
        <f t="shared" si="37"/>
        <v>0</v>
      </c>
      <c r="I82" s="7">
        <f t="shared" si="37"/>
        <v>0</v>
      </c>
      <c r="J82" s="7">
        <f t="shared" si="37"/>
        <v>0</v>
      </c>
      <c r="K82" s="7">
        <f t="shared" si="37"/>
        <v>0</v>
      </c>
      <c r="L82" s="7">
        <f t="shared" si="37"/>
        <v>0</v>
      </c>
      <c r="M82" s="7">
        <f t="shared" si="37"/>
        <v>0</v>
      </c>
      <c r="N82" s="7">
        <f t="shared" si="37"/>
        <v>0</v>
      </c>
      <c r="O82" s="7">
        <f t="shared" si="37"/>
        <v>0</v>
      </c>
      <c r="P82" s="7">
        <f t="shared" si="37"/>
        <v>0</v>
      </c>
      <c r="Q82" s="7">
        <f t="shared" si="37"/>
        <v>0</v>
      </c>
      <c r="R82" s="7">
        <f t="shared" si="37"/>
        <v>0</v>
      </c>
      <c r="S82" s="7">
        <f t="shared" si="37"/>
        <v>0</v>
      </c>
      <c r="T82" s="9"/>
      <c r="U82" s="9"/>
      <c r="V82" s="9"/>
      <c r="W82" s="7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</row>
    <row r="83" spans="1:103" x14ac:dyDescent="0.2">
      <c r="A83" s="15"/>
      <c r="C83" t="s">
        <v>521</v>
      </c>
      <c r="D83" s="30" t="s">
        <v>22</v>
      </c>
      <c r="E83" s="30" t="s">
        <v>22</v>
      </c>
      <c r="F83" s="7">
        <f t="shared" ref="F83:S83" si="38">IF(F82&lt;$D$5*SUM($F82:$S82),0,F82)</f>
        <v>0</v>
      </c>
      <c r="G83" s="7">
        <f t="shared" si="38"/>
        <v>0</v>
      </c>
      <c r="H83" s="7">
        <f t="shared" si="38"/>
        <v>0</v>
      </c>
      <c r="I83" s="7">
        <f t="shared" si="38"/>
        <v>0</v>
      </c>
      <c r="J83" s="7">
        <f t="shared" si="38"/>
        <v>0</v>
      </c>
      <c r="K83" s="7">
        <f t="shared" si="38"/>
        <v>0</v>
      </c>
      <c r="L83" s="7">
        <f t="shared" si="38"/>
        <v>0</v>
      </c>
      <c r="M83" s="7">
        <f t="shared" si="38"/>
        <v>0</v>
      </c>
      <c r="N83" s="7">
        <f t="shared" si="38"/>
        <v>0</v>
      </c>
      <c r="O83" s="7">
        <f t="shared" si="38"/>
        <v>0</v>
      </c>
      <c r="P83" s="7">
        <f t="shared" si="38"/>
        <v>0</v>
      </c>
      <c r="Q83" s="7">
        <f t="shared" si="38"/>
        <v>0</v>
      </c>
      <c r="R83" s="7">
        <f t="shared" si="38"/>
        <v>0</v>
      </c>
      <c r="S83" s="7">
        <f t="shared" si="38"/>
        <v>0</v>
      </c>
      <c r="T83" s="9"/>
      <c r="U83" s="9"/>
      <c r="V83" s="9"/>
      <c r="W83" s="7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</row>
    <row r="84" spans="1:103" x14ac:dyDescent="0.2">
      <c r="A84" s="15"/>
      <c r="B84" s="14" t="s">
        <v>523</v>
      </c>
      <c r="C84" t="s">
        <v>522</v>
      </c>
      <c r="D84" s="30" t="s">
        <v>22</v>
      </c>
      <c r="E84" s="30" t="s">
        <v>22</v>
      </c>
      <c r="F84" s="36">
        <f t="shared" ref="F84:S84" si="39">IF(SUM($F83:$S83)=0,0,F83/SUM($F83:$S83))</f>
        <v>0</v>
      </c>
      <c r="G84" s="36">
        <f t="shared" si="39"/>
        <v>0</v>
      </c>
      <c r="H84" s="36">
        <f t="shared" si="39"/>
        <v>0</v>
      </c>
      <c r="I84" s="36">
        <f t="shared" si="39"/>
        <v>0</v>
      </c>
      <c r="J84" s="36">
        <f t="shared" si="39"/>
        <v>0</v>
      </c>
      <c r="K84" s="36">
        <f t="shared" si="39"/>
        <v>0</v>
      </c>
      <c r="L84" s="36">
        <f t="shared" si="39"/>
        <v>0</v>
      </c>
      <c r="M84" s="36">
        <f t="shared" si="39"/>
        <v>0</v>
      </c>
      <c r="N84" s="36">
        <f t="shared" si="39"/>
        <v>0</v>
      </c>
      <c r="O84" s="36">
        <f t="shared" si="39"/>
        <v>0</v>
      </c>
      <c r="P84" s="36">
        <f t="shared" si="39"/>
        <v>0</v>
      </c>
      <c r="Q84" s="36">
        <f t="shared" si="39"/>
        <v>0</v>
      </c>
      <c r="R84" s="36">
        <f t="shared" si="39"/>
        <v>0</v>
      </c>
      <c r="S84" s="36">
        <f t="shared" si="39"/>
        <v>0</v>
      </c>
      <c r="T84" s="9"/>
      <c r="U84" s="9"/>
      <c r="V84" s="9"/>
      <c r="W84" s="7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</row>
    <row r="85" spans="1:103" x14ac:dyDescent="0.2">
      <c r="A85" s="15"/>
      <c r="B85" s="14" t="s">
        <v>524</v>
      </c>
      <c r="C85" t="s">
        <v>517</v>
      </c>
      <c r="D85" s="7">
        <f>SUM(F85:S85)</f>
        <v>0</v>
      </c>
      <c r="E85" s="30" t="s">
        <v>22</v>
      </c>
      <c r="F85" s="7">
        <f t="shared" ref="F85:S85" si="40">$D82*F84</f>
        <v>0</v>
      </c>
      <c r="G85" s="7">
        <f t="shared" si="40"/>
        <v>0</v>
      </c>
      <c r="H85" s="7">
        <f t="shared" si="40"/>
        <v>0</v>
      </c>
      <c r="I85" s="7">
        <f t="shared" si="40"/>
        <v>0</v>
      </c>
      <c r="J85" s="7">
        <f t="shared" si="40"/>
        <v>0</v>
      </c>
      <c r="K85" s="7">
        <f t="shared" si="40"/>
        <v>0</v>
      </c>
      <c r="L85" s="7">
        <f t="shared" si="40"/>
        <v>0</v>
      </c>
      <c r="M85" s="7">
        <f t="shared" si="40"/>
        <v>0</v>
      </c>
      <c r="N85" s="7">
        <f t="shared" si="40"/>
        <v>0</v>
      </c>
      <c r="O85" s="7">
        <f t="shared" si="40"/>
        <v>0</v>
      </c>
      <c r="P85" s="7">
        <f t="shared" si="40"/>
        <v>0</v>
      </c>
      <c r="Q85" s="7">
        <f t="shared" si="40"/>
        <v>0</v>
      </c>
      <c r="R85" s="7">
        <f t="shared" si="40"/>
        <v>0</v>
      </c>
      <c r="S85" s="7">
        <f t="shared" si="40"/>
        <v>0</v>
      </c>
      <c r="T85" s="9"/>
      <c r="U85" s="9">
        <v>1</v>
      </c>
      <c r="V85" s="9"/>
      <c r="W85" s="7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</row>
    <row r="86" spans="1:103" x14ac:dyDescent="0.2">
      <c r="A86" s="15"/>
      <c r="B86" s="24">
        <f>IF(D86=0,0,E87/D86)</f>
        <v>0</v>
      </c>
      <c r="C86" t="s">
        <v>518</v>
      </c>
      <c r="D86" s="23">
        <f>SUM(F86:S86)</f>
        <v>0</v>
      </c>
      <c r="E86" s="31" t="s">
        <v>22</v>
      </c>
      <c r="F86" s="23">
        <f t="shared" ref="F86:S86" si="41">$I$5*F85</f>
        <v>0</v>
      </c>
      <c r="G86" s="23">
        <f t="shared" si="41"/>
        <v>0</v>
      </c>
      <c r="H86" s="23">
        <f t="shared" si="41"/>
        <v>0</v>
      </c>
      <c r="I86" s="23">
        <f t="shared" si="41"/>
        <v>0</v>
      </c>
      <c r="J86" s="23">
        <f t="shared" si="41"/>
        <v>0</v>
      </c>
      <c r="K86" s="23">
        <f t="shared" si="41"/>
        <v>0</v>
      </c>
      <c r="L86" s="23">
        <f t="shared" si="41"/>
        <v>0</v>
      </c>
      <c r="M86" s="23">
        <f t="shared" si="41"/>
        <v>0</v>
      </c>
      <c r="N86" s="23">
        <f t="shared" si="41"/>
        <v>0</v>
      </c>
      <c r="O86" s="23">
        <f t="shared" si="41"/>
        <v>0</v>
      </c>
      <c r="P86" s="23">
        <f t="shared" si="41"/>
        <v>0</v>
      </c>
      <c r="Q86" s="23">
        <f t="shared" si="41"/>
        <v>0</v>
      </c>
      <c r="R86" s="23">
        <f t="shared" si="41"/>
        <v>0</v>
      </c>
      <c r="S86" s="23">
        <f t="shared" si="41"/>
        <v>0</v>
      </c>
      <c r="T86" s="9"/>
      <c r="U86" s="9">
        <v>2</v>
      </c>
      <c r="V86" s="9"/>
      <c r="W86" s="7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</row>
    <row r="87" spans="1:103" x14ac:dyDescent="0.2">
      <c r="A87" s="15"/>
      <c r="C87" t="s">
        <v>519</v>
      </c>
      <c r="D87" s="34" t="s">
        <v>22</v>
      </c>
      <c r="E87" s="35">
        <f>SUM(F87:S87)</f>
        <v>0</v>
      </c>
      <c r="F87" s="35">
        <f>$E82*F84</f>
        <v>0</v>
      </c>
      <c r="G87" s="35">
        <f t="shared" ref="G87:S87" si="42">$E82*G84</f>
        <v>0</v>
      </c>
      <c r="H87" s="35">
        <f t="shared" si="42"/>
        <v>0</v>
      </c>
      <c r="I87" s="35">
        <f t="shared" si="42"/>
        <v>0</v>
      </c>
      <c r="J87" s="35">
        <f t="shared" si="42"/>
        <v>0</v>
      </c>
      <c r="K87" s="35">
        <f t="shared" si="42"/>
        <v>0</v>
      </c>
      <c r="L87" s="35">
        <f t="shared" si="42"/>
        <v>0</v>
      </c>
      <c r="M87" s="35">
        <f t="shared" si="42"/>
        <v>0</v>
      </c>
      <c r="N87" s="35">
        <f t="shared" si="42"/>
        <v>0</v>
      </c>
      <c r="O87" s="35">
        <f t="shared" si="42"/>
        <v>0</v>
      </c>
      <c r="P87" s="35">
        <f t="shared" si="42"/>
        <v>0</v>
      </c>
      <c r="Q87" s="35">
        <f t="shared" si="42"/>
        <v>0</v>
      </c>
      <c r="R87" s="35">
        <f t="shared" si="42"/>
        <v>0</v>
      </c>
      <c r="S87" s="35">
        <f t="shared" si="42"/>
        <v>0</v>
      </c>
      <c r="T87" s="9"/>
      <c r="U87" s="9">
        <v>3</v>
      </c>
      <c r="V87" s="9"/>
      <c r="W87" s="7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</row>
    <row r="88" spans="1:103" x14ac:dyDescent="0.2">
      <c r="A88" s="15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9"/>
      <c r="U88" s="9"/>
      <c r="V88" s="9"/>
      <c r="W88" s="7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</row>
    <row r="89" spans="1:103" x14ac:dyDescent="0.2">
      <c r="A89" s="15">
        <v>8</v>
      </c>
      <c r="B89" s="14">
        <f>C19</f>
        <v>0</v>
      </c>
      <c r="C89" s="15" t="s">
        <v>520</v>
      </c>
      <c r="D89" s="7">
        <f t="shared" ref="D89:S89" si="43">D19</f>
        <v>0</v>
      </c>
      <c r="E89" s="7">
        <f t="shared" si="43"/>
        <v>0</v>
      </c>
      <c r="F89" s="7">
        <f t="shared" si="43"/>
        <v>0</v>
      </c>
      <c r="G89" s="7">
        <f t="shared" si="43"/>
        <v>0</v>
      </c>
      <c r="H89" s="7">
        <f t="shared" si="43"/>
        <v>0</v>
      </c>
      <c r="I89" s="7">
        <f t="shared" si="43"/>
        <v>0</v>
      </c>
      <c r="J89" s="7">
        <f t="shared" si="43"/>
        <v>0</v>
      </c>
      <c r="K89" s="7">
        <f t="shared" si="43"/>
        <v>0</v>
      </c>
      <c r="L89" s="7">
        <f t="shared" si="43"/>
        <v>0</v>
      </c>
      <c r="M89" s="7">
        <f t="shared" si="43"/>
        <v>0</v>
      </c>
      <c r="N89" s="7">
        <f t="shared" si="43"/>
        <v>0</v>
      </c>
      <c r="O89" s="7">
        <f t="shared" si="43"/>
        <v>0</v>
      </c>
      <c r="P89" s="7">
        <f t="shared" si="43"/>
        <v>0</v>
      </c>
      <c r="Q89" s="7">
        <f t="shared" si="43"/>
        <v>0</v>
      </c>
      <c r="R89" s="7">
        <f t="shared" si="43"/>
        <v>0</v>
      </c>
      <c r="S89" s="7">
        <f t="shared" si="43"/>
        <v>0</v>
      </c>
      <c r="T89" s="9"/>
      <c r="U89" s="9"/>
      <c r="V89" s="9"/>
      <c r="W89" s="7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</row>
    <row r="90" spans="1:103" x14ac:dyDescent="0.2">
      <c r="A90" s="15"/>
      <c r="C90" t="s">
        <v>521</v>
      </c>
      <c r="D90" s="30" t="s">
        <v>22</v>
      </c>
      <c r="E90" s="30" t="s">
        <v>22</v>
      </c>
      <c r="F90" s="7">
        <f t="shared" ref="F90:S90" si="44">IF(F89&lt;$D$5*SUM($F89:$S89),0,F89)</f>
        <v>0</v>
      </c>
      <c r="G90" s="7">
        <f t="shared" si="44"/>
        <v>0</v>
      </c>
      <c r="H90" s="7">
        <f t="shared" si="44"/>
        <v>0</v>
      </c>
      <c r="I90" s="7">
        <f t="shared" si="44"/>
        <v>0</v>
      </c>
      <c r="J90" s="7">
        <f t="shared" si="44"/>
        <v>0</v>
      </c>
      <c r="K90" s="7">
        <f t="shared" si="44"/>
        <v>0</v>
      </c>
      <c r="L90" s="7">
        <f t="shared" si="44"/>
        <v>0</v>
      </c>
      <c r="M90" s="7">
        <f t="shared" si="44"/>
        <v>0</v>
      </c>
      <c r="N90" s="7">
        <f t="shared" si="44"/>
        <v>0</v>
      </c>
      <c r="O90" s="7">
        <f t="shared" si="44"/>
        <v>0</v>
      </c>
      <c r="P90" s="7">
        <f t="shared" si="44"/>
        <v>0</v>
      </c>
      <c r="Q90" s="7">
        <f t="shared" si="44"/>
        <v>0</v>
      </c>
      <c r="R90" s="7">
        <f t="shared" si="44"/>
        <v>0</v>
      </c>
      <c r="S90" s="7">
        <f t="shared" si="44"/>
        <v>0</v>
      </c>
      <c r="T90" s="9"/>
      <c r="U90" s="9"/>
      <c r="V90" s="9"/>
      <c r="W90" s="7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</row>
    <row r="91" spans="1:103" x14ac:dyDescent="0.2">
      <c r="A91" s="15"/>
      <c r="B91" s="14" t="s">
        <v>523</v>
      </c>
      <c r="C91" t="s">
        <v>522</v>
      </c>
      <c r="D91" s="30" t="s">
        <v>22</v>
      </c>
      <c r="E91" s="30" t="s">
        <v>22</v>
      </c>
      <c r="F91" s="36">
        <f t="shared" ref="F91:S91" si="45">IF(SUM($F90:$S90)=0,0,F90/SUM($F90:$S90))</f>
        <v>0</v>
      </c>
      <c r="G91" s="36">
        <f t="shared" si="45"/>
        <v>0</v>
      </c>
      <c r="H91" s="36">
        <f t="shared" si="45"/>
        <v>0</v>
      </c>
      <c r="I91" s="36">
        <f t="shared" si="45"/>
        <v>0</v>
      </c>
      <c r="J91" s="36">
        <f t="shared" si="45"/>
        <v>0</v>
      </c>
      <c r="K91" s="36">
        <f t="shared" si="45"/>
        <v>0</v>
      </c>
      <c r="L91" s="36">
        <f t="shared" si="45"/>
        <v>0</v>
      </c>
      <c r="M91" s="36">
        <f t="shared" si="45"/>
        <v>0</v>
      </c>
      <c r="N91" s="36">
        <f t="shared" si="45"/>
        <v>0</v>
      </c>
      <c r="O91" s="36">
        <f t="shared" si="45"/>
        <v>0</v>
      </c>
      <c r="P91" s="36">
        <f t="shared" si="45"/>
        <v>0</v>
      </c>
      <c r="Q91" s="36">
        <f t="shared" si="45"/>
        <v>0</v>
      </c>
      <c r="R91" s="36">
        <f t="shared" si="45"/>
        <v>0</v>
      </c>
      <c r="S91" s="36">
        <f t="shared" si="45"/>
        <v>0</v>
      </c>
      <c r="T91" s="9"/>
      <c r="U91" s="9"/>
      <c r="V91" s="9"/>
      <c r="W91" s="7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</row>
    <row r="92" spans="1:103" x14ac:dyDescent="0.2">
      <c r="A92" s="15"/>
      <c r="B92" s="14" t="s">
        <v>524</v>
      </c>
      <c r="C92" t="s">
        <v>517</v>
      </c>
      <c r="D92" s="7">
        <f>SUM(F92:S92)</f>
        <v>0</v>
      </c>
      <c r="E92" s="30" t="s">
        <v>22</v>
      </c>
      <c r="F92" s="7">
        <f t="shared" ref="F92:S92" si="46">$D89*F91</f>
        <v>0</v>
      </c>
      <c r="G92" s="7">
        <f t="shared" si="46"/>
        <v>0</v>
      </c>
      <c r="H92" s="7">
        <f t="shared" si="46"/>
        <v>0</v>
      </c>
      <c r="I92" s="7">
        <f t="shared" si="46"/>
        <v>0</v>
      </c>
      <c r="J92" s="7">
        <f t="shared" si="46"/>
        <v>0</v>
      </c>
      <c r="K92" s="7">
        <f t="shared" si="46"/>
        <v>0</v>
      </c>
      <c r="L92" s="7">
        <f t="shared" si="46"/>
        <v>0</v>
      </c>
      <c r="M92" s="7">
        <f t="shared" si="46"/>
        <v>0</v>
      </c>
      <c r="N92" s="7">
        <f t="shared" si="46"/>
        <v>0</v>
      </c>
      <c r="O92" s="7">
        <f t="shared" si="46"/>
        <v>0</v>
      </c>
      <c r="P92" s="7">
        <f t="shared" si="46"/>
        <v>0</v>
      </c>
      <c r="Q92" s="7">
        <f t="shared" si="46"/>
        <v>0</v>
      </c>
      <c r="R92" s="7">
        <f t="shared" si="46"/>
        <v>0</v>
      </c>
      <c r="S92" s="7">
        <f t="shared" si="46"/>
        <v>0</v>
      </c>
      <c r="T92" s="9"/>
      <c r="U92" s="9">
        <v>1</v>
      </c>
      <c r="V92" s="9"/>
      <c r="W92" s="7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</row>
    <row r="93" spans="1:103" x14ac:dyDescent="0.2">
      <c r="A93" s="15"/>
      <c r="B93" s="24">
        <f>IF(D93=0,0,E94/D93)</f>
        <v>0</v>
      </c>
      <c r="C93" t="s">
        <v>518</v>
      </c>
      <c r="D93" s="23">
        <f>SUM(F93:S93)</f>
        <v>0</v>
      </c>
      <c r="E93" s="31" t="s">
        <v>22</v>
      </c>
      <c r="F93" s="23">
        <f t="shared" ref="F93:S93" si="47">$I$5*F92</f>
        <v>0</v>
      </c>
      <c r="G93" s="23">
        <f t="shared" si="47"/>
        <v>0</v>
      </c>
      <c r="H93" s="23">
        <f t="shared" si="47"/>
        <v>0</v>
      </c>
      <c r="I93" s="23">
        <f t="shared" si="47"/>
        <v>0</v>
      </c>
      <c r="J93" s="23">
        <f t="shared" si="47"/>
        <v>0</v>
      </c>
      <c r="K93" s="23">
        <f t="shared" si="47"/>
        <v>0</v>
      </c>
      <c r="L93" s="23">
        <f t="shared" si="47"/>
        <v>0</v>
      </c>
      <c r="M93" s="23">
        <f t="shared" si="47"/>
        <v>0</v>
      </c>
      <c r="N93" s="23">
        <f t="shared" si="47"/>
        <v>0</v>
      </c>
      <c r="O93" s="23">
        <f t="shared" si="47"/>
        <v>0</v>
      </c>
      <c r="P93" s="23">
        <f t="shared" si="47"/>
        <v>0</v>
      </c>
      <c r="Q93" s="23">
        <f t="shared" si="47"/>
        <v>0</v>
      </c>
      <c r="R93" s="23">
        <f t="shared" si="47"/>
        <v>0</v>
      </c>
      <c r="S93" s="23">
        <f t="shared" si="47"/>
        <v>0</v>
      </c>
      <c r="T93" s="9"/>
      <c r="U93" s="9">
        <v>2</v>
      </c>
      <c r="V93" s="9"/>
      <c r="W93" s="7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</row>
    <row r="94" spans="1:103" x14ac:dyDescent="0.2">
      <c r="A94" s="15"/>
      <c r="C94" t="s">
        <v>519</v>
      </c>
      <c r="D94" s="34" t="s">
        <v>22</v>
      </c>
      <c r="E94" s="35">
        <f>SUM(F94:S94)</f>
        <v>0</v>
      </c>
      <c r="F94" s="35">
        <f>$E89*F91</f>
        <v>0</v>
      </c>
      <c r="G94" s="35">
        <f t="shared" ref="G94:S94" si="48">$E89*G91</f>
        <v>0</v>
      </c>
      <c r="H94" s="35">
        <f t="shared" si="48"/>
        <v>0</v>
      </c>
      <c r="I94" s="35">
        <f t="shared" si="48"/>
        <v>0</v>
      </c>
      <c r="J94" s="35">
        <f t="shared" si="48"/>
        <v>0</v>
      </c>
      <c r="K94" s="35">
        <f t="shared" si="48"/>
        <v>0</v>
      </c>
      <c r="L94" s="35">
        <f t="shared" si="48"/>
        <v>0</v>
      </c>
      <c r="M94" s="35">
        <f t="shared" si="48"/>
        <v>0</v>
      </c>
      <c r="N94" s="35">
        <f t="shared" si="48"/>
        <v>0</v>
      </c>
      <c r="O94" s="35">
        <f t="shared" si="48"/>
        <v>0</v>
      </c>
      <c r="P94" s="35">
        <f t="shared" si="48"/>
        <v>0</v>
      </c>
      <c r="Q94" s="35">
        <f t="shared" si="48"/>
        <v>0</v>
      </c>
      <c r="R94" s="35">
        <f t="shared" si="48"/>
        <v>0</v>
      </c>
      <c r="S94" s="35">
        <f t="shared" si="48"/>
        <v>0</v>
      </c>
      <c r="T94" s="9"/>
      <c r="U94" s="9">
        <v>3</v>
      </c>
      <c r="V94" s="9"/>
      <c r="W94" s="7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</row>
    <row r="95" spans="1:103" x14ac:dyDescent="0.2">
      <c r="A95" s="15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9"/>
      <c r="U95" s="9"/>
      <c r="V95" s="9"/>
      <c r="W95" s="7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</row>
    <row r="96" spans="1:103" x14ac:dyDescent="0.2">
      <c r="A96" s="15">
        <v>9</v>
      </c>
      <c r="B96" s="14">
        <f>C20</f>
        <v>0</v>
      </c>
      <c r="C96" s="15" t="s">
        <v>520</v>
      </c>
      <c r="D96" s="7">
        <f t="shared" ref="D96:S96" si="49">D20</f>
        <v>0</v>
      </c>
      <c r="E96" s="7">
        <f t="shared" si="49"/>
        <v>0</v>
      </c>
      <c r="F96" s="7">
        <f t="shared" si="49"/>
        <v>0</v>
      </c>
      <c r="G96" s="7">
        <f t="shared" si="49"/>
        <v>0</v>
      </c>
      <c r="H96" s="7">
        <f t="shared" si="49"/>
        <v>0</v>
      </c>
      <c r="I96" s="7">
        <f t="shared" si="49"/>
        <v>0</v>
      </c>
      <c r="J96" s="7">
        <f t="shared" si="49"/>
        <v>0</v>
      </c>
      <c r="K96" s="7">
        <f t="shared" si="49"/>
        <v>0</v>
      </c>
      <c r="L96" s="7">
        <f t="shared" si="49"/>
        <v>0</v>
      </c>
      <c r="M96" s="7">
        <f t="shared" si="49"/>
        <v>0</v>
      </c>
      <c r="N96" s="7">
        <f t="shared" si="49"/>
        <v>0</v>
      </c>
      <c r="O96" s="7">
        <f t="shared" si="49"/>
        <v>0</v>
      </c>
      <c r="P96" s="7">
        <f t="shared" si="49"/>
        <v>0</v>
      </c>
      <c r="Q96" s="7">
        <f t="shared" si="49"/>
        <v>0</v>
      </c>
      <c r="R96" s="7">
        <f t="shared" si="49"/>
        <v>0</v>
      </c>
      <c r="S96" s="7">
        <f t="shared" si="49"/>
        <v>0</v>
      </c>
      <c r="T96" s="9"/>
      <c r="U96" s="9"/>
      <c r="V96" s="9"/>
      <c r="W96" s="7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</row>
    <row r="97" spans="1:103" x14ac:dyDescent="0.2">
      <c r="A97" s="15"/>
      <c r="C97" t="s">
        <v>521</v>
      </c>
      <c r="D97" s="30" t="s">
        <v>22</v>
      </c>
      <c r="E97" s="30" t="s">
        <v>22</v>
      </c>
      <c r="F97" s="7">
        <f t="shared" ref="F97:S97" si="50">IF(F96&lt;$D$5*SUM($F96:$S96),0,F96)</f>
        <v>0</v>
      </c>
      <c r="G97" s="7">
        <f t="shared" si="50"/>
        <v>0</v>
      </c>
      <c r="H97" s="7">
        <f t="shared" si="50"/>
        <v>0</v>
      </c>
      <c r="I97" s="7">
        <f t="shared" si="50"/>
        <v>0</v>
      </c>
      <c r="J97" s="7">
        <f t="shared" si="50"/>
        <v>0</v>
      </c>
      <c r="K97" s="7">
        <f t="shared" si="50"/>
        <v>0</v>
      </c>
      <c r="L97" s="7">
        <f t="shared" si="50"/>
        <v>0</v>
      </c>
      <c r="M97" s="7">
        <f t="shared" si="50"/>
        <v>0</v>
      </c>
      <c r="N97" s="7">
        <f t="shared" si="50"/>
        <v>0</v>
      </c>
      <c r="O97" s="7">
        <f t="shared" si="50"/>
        <v>0</v>
      </c>
      <c r="P97" s="7">
        <f t="shared" si="50"/>
        <v>0</v>
      </c>
      <c r="Q97" s="7">
        <f t="shared" si="50"/>
        <v>0</v>
      </c>
      <c r="R97" s="7">
        <f t="shared" si="50"/>
        <v>0</v>
      </c>
      <c r="S97" s="7">
        <f t="shared" si="50"/>
        <v>0</v>
      </c>
      <c r="T97" s="9"/>
      <c r="U97" s="9"/>
      <c r="V97" s="9"/>
      <c r="W97" s="7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</row>
    <row r="98" spans="1:103" x14ac:dyDescent="0.2">
      <c r="A98" s="15"/>
      <c r="B98" s="14" t="s">
        <v>523</v>
      </c>
      <c r="C98" t="s">
        <v>522</v>
      </c>
      <c r="D98" s="30" t="s">
        <v>22</v>
      </c>
      <c r="E98" s="30" t="s">
        <v>22</v>
      </c>
      <c r="F98" s="36">
        <f t="shared" ref="F98:S98" si="51">IF(SUM($F97:$S97)=0,0,F97/SUM($F97:$S97))</f>
        <v>0</v>
      </c>
      <c r="G98" s="36">
        <f t="shared" si="51"/>
        <v>0</v>
      </c>
      <c r="H98" s="36">
        <f t="shared" si="51"/>
        <v>0</v>
      </c>
      <c r="I98" s="36">
        <f t="shared" si="51"/>
        <v>0</v>
      </c>
      <c r="J98" s="36">
        <f t="shared" si="51"/>
        <v>0</v>
      </c>
      <c r="K98" s="36">
        <f t="shared" si="51"/>
        <v>0</v>
      </c>
      <c r="L98" s="36">
        <f t="shared" si="51"/>
        <v>0</v>
      </c>
      <c r="M98" s="36">
        <f t="shared" si="51"/>
        <v>0</v>
      </c>
      <c r="N98" s="36">
        <f t="shared" si="51"/>
        <v>0</v>
      </c>
      <c r="O98" s="36">
        <f t="shared" si="51"/>
        <v>0</v>
      </c>
      <c r="P98" s="36">
        <f t="shared" si="51"/>
        <v>0</v>
      </c>
      <c r="Q98" s="36">
        <f t="shared" si="51"/>
        <v>0</v>
      </c>
      <c r="R98" s="36">
        <f t="shared" si="51"/>
        <v>0</v>
      </c>
      <c r="S98" s="36">
        <f t="shared" si="51"/>
        <v>0</v>
      </c>
      <c r="T98" s="9"/>
      <c r="U98" s="7"/>
      <c r="V98" s="9"/>
      <c r="W98" s="7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</row>
    <row r="99" spans="1:103" x14ac:dyDescent="0.2">
      <c r="A99" s="15"/>
      <c r="B99" s="14" t="s">
        <v>524</v>
      </c>
      <c r="C99" t="s">
        <v>517</v>
      </c>
      <c r="D99" s="7">
        <f>SUM(F99:S99)</f>
        <v>0</v>
      </c>
      <c r="E99" s="30" t="s">
        <v>22</v>
      </c>
      <c r="F99" s="7">
        <f t="shared" ref="F99:S99" si="52">$D96*F98</f>
        <v>0</v>
      </c>
      <c r="G99" s="7">
        <f t="shared" si="52"/>
        <v>0</v>
      </c>
      <c r="H99" s="7">
        <f t="shared" si="52"/>
        <v>0</v>
      </c>
      <c r="I99" s="7">
        <f t="shared" si="52"/>
        <v>0</v>
      </c>
      <c r="J99" s="7">
        <f t="shared" si="52"/>
        <v>0</v>
      </c>
      <c r="K99" s="7">
        <f t="shared" si="52"/>
        <v>0</v>
      </c>
      <c r="L99" s="7">
        <f t="shared" si="52"/>
        <v>0</v>
      </c>
      <c r="M99" s="7">
        <f t="shared" si="52"/>
        <v>0</v>
      </c>
      <c r="N99" s="7">
        <f t="shared" si="52"/>
        <v>0</v>
      </c>
      <c r="O99" s="7">
        <f t="shared" si="52"/>
        <v>0</v>
      </c>
      <c r="P99" s="7">
        <f t="shared" si="52"/>
        <v>0</v>
      </c>
      <c r="Q99" s="7">
        <f t="shared" si="52"/>
        <v>0</v>
      </c>
      <c r="R99" s="7">
        <f t="shared" si="52"/>
        <v>0</v>
      </c>
      <c r="S99" s="7">
        <f t="shared" si="52"/>
        <v>0</v>
      </c>
      <c r="T99" s="9"/>
      <c r="U99" s="9">
        <v>1</v>
      </c>
      <c r="V99" s="9"/>
      <c r="W99" s="7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</row>
    <row r="100" spans="1:103" x14ac:dyDescent="0.2">
      <c r="A100" s="15"/>
      <c r="B100" s="24">
        <f>IF(D100=0,0,E101/D100)</f>
        <v>0</v>
      </c>
      <c r="C100" t="s">
        <v>518</v>
      </c>
      <c r="D100" s="23">
        <f>SUM(F100:S100)</f>
        <v>0</v>
      </c>
      <c r="E100" s="31" t="s">
        <v>22</v>
      </c>
      <c r="F100" s="23">
        <f t="shared" ref="F100:S100" si="53">$I$5*F99</f>
        <v>0</v>
      </c>
      <c r="G100" s="23">
        <f t="shared" si="53"/>
        <v>0</v>
      </c>
      <c r="H100" s="23">
        <f t="shared" si="53"/>
        <v>0</v>
      </c>
      <c r="I100" s="23">
        <f t="shared" si="53"/>
        <v>0</v>
      </c>
      <c r="J100" s="23">
        <f t="shared" si="53"/>
        <v>0</v>
      </c>
      <c r="K100" s="23">
        <f t="shared" si="53"/>
        <v>0</v>
      </c>
      <c r="L100" s="23">
        <f t="shared" si="53"/>
        <v>0</v>
      </c>
      <c r="M100" s="23">
        <f t="shared" si="53"/>
        <v>0</v>
      </c>
      <c r="N100" s="23">
        <f t="shared" si="53"/>
        <v>0</v>
      </c>
      <c r="O100" s="23">
        <f t="shared" si="53"/>
        <v>0</v>
      </c>
      <c r="P100" s="23">
        <f t="shared" si="53"/>
        <v>0</v>
      </c>
      <c r="Q100" s="23">
        <f t="shared" si="53"/>
        <v>0</v>
      </c>
      <c r="R100" s="23">
        <f t="shared" si="53"/>
        <v>0</v>
      </c>
      <c r="S100" s="23">
        <f t="shared" si="53"/>
        <v>0</v>
      </c>
      <c r="T100" s="9"/>
      <c r="U100" s="9">
        <v>2</v>
      </c>
      <c r="V100" s="9"/>
      <c r="W100" s="7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</row>
    <row r="101" spans="1:103" x14ac:dyDescent="0.2">
      <c r="A101" s="15"/>
      <c r="C101" t="s">
        <v>519</v>
      </c>
      <c r="D101" s="34" t="s">
        <v>22</v>
      </c>
      <c r="E101" s="35">
        <f>SUM(F101:S101)</f>
        <v>0</v>
      </c>
      <c r="F101" s="35">
        <f>$E96*F98</f>
        <v>0</v>
      </c>
      <c r="G101" s="35">
        <f t="shared" ref="G101:S101" si="54">$E96*G98</f>
        <v>0</v>
      </c>
      <c r="H101" s="35">
        <f t="shared" si="54"/>
        <v>0</v>
      </c>
      <c r="I101" s="35">
        <f t="shared" si="54"/>
        <v>0</v>
      </c>
      <c r="J101" s="35">
        <f t="shared" si="54"/>
        <v>0</v>
      </c>
      <c r="K101" s="35">
        <f t="shared" si="54"/>
        <v>0</v>
      </c>
      <c r="L101" s="35">
        <f t="shared" si="54"/>
        <v>0</v>
      </c>
      <c r="M101" s="35">
        <f t="shared" si="54"/>
        <v>0</v>
      </c>
      <c r="N101" s="35">
        <f t="shared" si="54"/>
        <v>0</v>
      </c>
      <c r="O101" s="35">
        <f t="shared" si="54"/>
        <v>0</v>
      </c>
      <c r="P101" s="35">
        <f t="shared" si="54"/>
        <v>0</v>
      </c>
      <c r="Q101" s="35">
        <f t="shared" si="54"/>
        <v>0</v>
      </c>
      <c r="R101" s="35">
        <f t="shared" si="54"/>
        <v>0</v>
      </c>
      <c r="S101" s="35">
        <f t="shared" si="54"/>
        <v>0</v>
      </c>
      <c r="T101" s="9"/>
      <c r="U101" s="9">
        <v>3</v>
      </c>
      <c r="V101" s="9"/>
      <c r="W101" s="7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</row>
    <row r="102" spans="1:103" x14ac:dyDescent="0.2">
      <c r="A102" s="15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9"/>
      <c r="U102" s="9"/>
      <c r="V102" s="9"/>
      <c r="W102" s="7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</row>
    <row r="103" spans="1:103" x14ac:dyDescent="0.2">
      <c r="A103" s="15">
        <v>10</v>
      </c>
      <c r="B103" s="14">
        <f>C21</f>
        <v>0</v>
      </c>
      <c r="C103" s="15" t="s">
        <v>520</v>
      </c>
      <c r="D103" s="7">
        <f t="shared" ref="D103:S103" si="55">D21</f>
        <v>0</v>
      </c>
      <c r="E103" s="7">
        <f t="shared" si="55"/>
        <v>0</v>
      </c>
      <c r="F103" s="7">
        <f t="shared" si="55"/>
        <v>0</v>
      </c>
      <c r="G103" s="7">
        <f t="shared" si="55"/>
        <v>0</v>
      </c>
      <c r="H103" s="7">
        <f t="shared" si="55"/>
        <v>0</v>
      </c>
      <c r="I103" s="7">
        <f t="shared" si="55"/>
        <v>0</v>
      </c>
      <c r="J103" s="7">
        <f t="shared" si="55"/>
        <v>0</v>
      </c>
      <c r="K103" s="7">
        <f t="shared" si="55"/>
        <v>0</v>
      </c>
      <c r="L103" s="7">
        <f t="shared" si="55"/>
        <v>0</v>
      </c>
      <c r="M103" s="7">
        <f t="shared" si="55"/>
        <v>0</v>
      </c>
      <c r="N103" s="7">
        <f t="shared" si="55"/>
        <v>0</v>
      </c>
      <c r="O103" s="7">
        <f t="shared" si="55"/>
        <v>0</v>
      </c>
      <c r="P103" s="7">
        <f t="shared" si="55"/>
        <v>0</v>
      </c>
      <c r="Q103" s="7">
        <f t="shared" si="55"/>
        <v>0</v>
      </c>
      <c r="R103" s="7">
        <f t="shared" si="55"/>
        <v>0</v>
      </c>
      <c r="S103" s="7">
        <f t="shared" si="55"/>
        <v>0</v>
      </c>
      <c r="T103" s="9"/>
      <c r="U103" s="9"/>
      <c r="V103" s="9"/>
      <c r="W103" s="7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</row>
    <row r="104" spans="1:103" x14ac:dyDescent="0.2">
      <c r="A104" s="15"/>
      <c r="C104" t="s">
        <v>521</v>
      </c>
      <c r="D104" s="30" t="s">
        <v>22</v>
      </c>
      <c r="E104" s="30" t="s">
        <v>22</v>
      </c>
      <c r="F104" s="7">
        <f t="shared" ref="F104:S104" si="56">IF(F103&lt;$D$5*SUM($F103:$S103),0,F103)</f>
        <v>0</v>
      </c>
      <c r="G104" s="7">
        <f t="shared" si="56"/>
        <v>0</v>
      </c>
      <c r="H104" s="7">
        <f t="shared" si="56"/>
        <v>0</v>
      </c>
      <c r="I104" s="7">
        <f t="shared" si="56"/>
        <v>0</v>
      </c>
      <c r="J104" s="7">
        <f t="shared" si="56"/>
        <v>0</v>
      </c>
      <c r="K104" s="7">
        <f t="shared" si="56"/>
        <v>0</v>
      </c>
      <c r="L104" s="7">
        <f t="shared" si="56"/>
        <v>0</v>
      </c>
      <c r="M104" s="7">
        <f t="shared" si="56"/>
        <v>0</v>
      </c>
      <c r="N104" s="7">
        <f t="shared" si="56"/>
        <v>0</v>
      </c>
      <c r="O104" s="7">
        <f t="shared" si="56"/>
        <v>0</v>
      </c>
      <c r="P104" s="7">
        <f t="shared" si="56"/>
        <v>0</v>
      </c>
      <c r="Q104" s="7">
        <f t="shared" si="56"/>
        <v>0</v>
      </c>
      <c r="R104" s="7">
        <f t="shared" si="56"/>
        <v>0</v>
      </c>
      <c r="S104" s="7">
        <f t="shared" si="56"/>
        <v>0</v>
      </c>
      <c r="T104" s="9"/>
      <c r="U104" s="9"/>
      <c r="V104" s="9"/>
      <c r="W104" s="7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</row>
    <row r="105" spans="1:103" x14ac:dyDescent="0.2">
      <c r="A105" s="15"/>
      <c r="B105" s="14" t="s">
        <v>523</v>
      </c>
      <c r="C105" t="s">
        <v>522</v>
      </c>
      <c r="D105" s="30" t="s">
        <v>22</v>
      </c>
      <c r="E105" s="30" t="s">
        <v>22</v>
      </c>
      <c r="F105" s="36">
        <f t="shared" ref="F105:S105" si="57">IF(SUM($F104:$S104)=0,0,F104/SUM($F104:$S104))</f>
        <v>0</v>
      </c>
      <c r="G105" s="36">
        <f t="shared" si="57"/>
        <v>0</v>
      </c>
      <c r="H105" s="36">
        <f t="shared" si="57"/>
        <v>0</v>
      </c>
      <c r="I105" s="36">
        <f t="shared" si="57"/>
        <v>0</v>
      </c>
      <c r="J105" s="36">
        <f t="shared" si="57"/>
        <v>0</v>
      </c>
      <c r="K105" s="36">
        <f t="shared" si="57"/>
        <v>0</v>
      </c>
      <c r="L105" s="36">
        <f t="shared" si="57"/>
        <v>0</v>
      </c>
      <c r="M105" s="36">
        <f t="shared" si="57"/>
        <v>0</v>
      </c>
      <c r="N105" s="36">
        <f t="shared" si="57"/>
        <v>0</v>
      </c>
      <c r="O105" s="36">
        <f t="shared" si="57"/>
        <v>0</v>
      </c>
      <c r="P105" s="36">
        <f t="shared" si="57"/>
        <v>0</v>
      </c>
      <c r="Q105" s="36">
        <f t="shared" si="57"/>
        <v>0</v>
      </c>
      <c r="R105" s="36">
        <f t="shared" si="57"/>
        <v>0</v>
      </c>
      <c r="S105" s="36">
        <f t="shared" si="57"/>
        <v>0</v>
      </c>
      <c r="T105" s="9"/>
      <c r="U105" s="9"/>
      <c r="V105" s="9"/>
      <c r="W105" s="7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</row>
    <row r="106" spans="1:103" x14ac:dyDescent="0.2">
      <c r="A106" s="15"/>
      <c r="B106" s="14" t="s">
        <v>524</v>
      </c>
      <c r="C106" t="s">
        <v>517</v>
      </c>
      <c r="D106" s="7">
        <f>SUM(F106:S106)</f>
        <v>0</v>
      </c>
      <c r="E106" s="30" t="s">
        <v>22</v>
      </c>
      <c r="F106" s="7">
        <f t="shared" ref="F106:S106" si="58">$D103*F105</f>
        <v>0</v>
      </c>
      <c r="G106" s="7">
        <f t="shared" si="58"/>
        <v>0</v>
      </c>
      <c r="H106" s="7">
        <f t="shared" si="58"/>
        <v>0</v>
      </c>
      <c r="I106" s="7">
        <f t="shared" si="58"/>
        <v>0</v>
      </c>
      <c r="J106" s="7">
        <f t="shared" si="58"/>
        <v>0</v>
      </c>
      <c r="K106" s="7">
        <f t="shared" si="58"/>
        <v>0</v>
      </c>
      <c r="L106" s="7">
        <f t="shared" si="58"/>
        <v>0</v>
      </c>
      <c r="M106" s="7">
        <f t="shared" si="58"/>
        <v>0</v>
      </c>
      <c r="N106" s="7">
        <f t="shared" si="58"/>
        <v>0</v>
      </c>
      <c r="O106" s="7">
        <f t="shared" si="58"/>
        <v>0</v>
      </c>
      <c r="P106" s="7">
        <f t="shared" si="58"/>
        <v>0</v>
      </c>
      <c r="Q106" s="7">
        <f t="shared" si="58"/>
        <v>0</v>
      </c>
      <c r="R106" s="7">
        <f t="shared" si="58"/>
        <v>0</v>
      </c>
      <c r="S106" s="7">
        <f t="shared" si="58"/>
        <v>0</v>
      </c>
      <c r="T106" s="9"/>
      <c r="U106" s="9">
        <v>1</v>
      </c>
      <c r="V106" s="9"/>
      <c r="W106" s="7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</row>
    <row r="107" spans="1:103" x14ac:dyDescent="0.2">
      <c r="A107" s="15"/>
      <c r="B107" s="24">
        <f>IF(D107=0,0,E108/D107)</f>
        <v>0</v>
      </c>
      <c r="C107" t="s">
        <v>518</v>
      </c>
      <c r="D107" s="23">
        <f>SUM(F107:S107)</f>
        <v>0</v>
      </c>
      <c r="E107" s="31" t="s">
        <v>22</v>
      </c>
      <c r="F107" s="23">
        <f t="shared" ref="F107:S107" si="59">$I$5*F106</f>
        <v>0</v>
      </c>
      <c r="G107" s="23">
        <f t="shared" si="59"/>
        <v>0</v>
      </c>
      <c r="H107" s="23">
        <f t="shared" si="59"/>
        <v>0</v>
      </c>
      <c r="I107" s="23">
        <f t="shared" si="59"/>
        <v>0</v>
      </c>
      <c r="J107" s="23">
        <f t="shared" si="59"/>
        <v>0</v>
      </c>
      <c r="K107" s="23">
        <f t="shared" si="59"/>
        <v>0</v>
      </c>
      <c r="L107" s="23">
        <f t="shared" si="59"/>
        <v>0</v>
      </c>
      <c r="M107" s="23">
        <f t="shared" si="59"/>
        <v>0</v>
      </c>
      <c r="N107" s="23">
        <f t="shared" si="59"/>
        <v>0</v>
      </c>
      <c r="O107" s="23">
        <f t="shared" si="59"/>
        <v>0</v>
      </c>
      <c r="P107" s="23">
        <f t="shared" si="59"/>
        <v>0</v>
      </c>
      <c r="Q107" s="23">
        <f t="shared" si="59"/>
        <v>0</v>
      </c>
      <c r="R107" s="23">
        <f t="shared" si="59"/>
        <v>0</v>
      </c>
      <c r="S107" s="23">
        <f t="shared" si="59"/>
        <v>0</v>
      </c>
      <c r="T107" s="9"/>
      <c r="U107" s="9">
        <v>2</v>
      </c>
      <c r="V107" s="9"/>
      <c r="W107" s="7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</row>
    <row r="108" spans="1:103" x14ac:dyDescent="0.2">
      <c r="A108" s="15"/>
      <c r="C108" t="s">
        <v>519</v>
      </c>
      <c r="D108" s="34" t="s">
        <v>22</v>
      </c>
      <c r="E108" s="35">
        <f>SUM(F108:S108)</f>
        <v>0</v>
      </c>
      <c r="F108" s="35">
        <f>$E103*F105</f>
        <v>0</v>
      </c>
      <c r="G108" s="35">
        <f t="shared" ref="G108:S108" si="60">$E103*G105</f>
        <v>0</v>
      </c>
      <c r="H108" s="35">
        <f t="shared" si="60"/>
        <v>0</v>
      </c>
      <c r="I108" s="35">
        <f t="shared" si="60"/>
        <v>0</v>
      </c>
      <c r="J108" s="35">
        <f t="shared" si="60"/>
        <v>0</v>
      </c>
      <c r="K108" s="35">
        <f t="shared" si="60"/>
        <v>0</v>
      </c>
      <c r="L108" s="35">
        <f t="shared" si="60"/>
        <v>0</v>
      </c>
      <c r="M108" s="35">
        <f t="shared" si="60"/>
        <v>0</v>
      </c>
      <c r="N108" s="35">
        <f t="shared" si="60"/>
        <v>0</v>
      </c>
      <c r="O108" s="35">
        <f t="shared" si="60"/>
        <v>0</v>
      </c>
      <c r="P108" s="35">
        <f t="shared" si="60"/>
        <v>0</v>
      </c>
      <c r="Q108" s="35">
        <f t="shared" si="60"/>
        <v>0</v>
      </c>
      <c r="R108" s="35">
        <f t="shared" si="60"/>
        <v>0</v>
      </c>
      <c r="S108" s="35">
        <f t="shared" si="60"/>
        <v>0</v>
      </c>
      <c r="T108" s="9"/>
      <c r="U108" s="9">
        <v>3</v>
      </c>
      <c r="V108" s="9"/>
      <c r="W108" s="7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</row>
    <row r="109" spans="1:103" x14ac:dyDescent="0.2">
      <c r="A109" s="15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9"/>
      <c r="U109" s="9"/>
      <c r="V109" s="9"/>
      <c r="W109" s="7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</row>
    <row r="110" spans="1:103" x14ac:dyDescent="0.2">
      <c r="A110" s="15">
        <v>11</v>
      </c>
      <c r="B110" s="14">
        <f>C22</f>
        <v>0</v>
      </c>
      <c r="C110" s="15" t="s">
        <v>520</v>
      </c>
      <c r="D110" s="7">
        <f t="shared" ref="D110:S110" si="61">D22</f>
        <v>0</v>
      </c>
      <c r="E110" s="7">
        <f t="shared" si="61"/>
        <v>0</v>
      </c>
      <c r="F110" s="7">
        <f t="shared" si="61"/>
        <v>0</v>
      </c>
      <c r="G110" s="7">
        <f t="shared" si="61"/>
        <v>0</v>
      </c>
      <c r="H110" s="7">
        <f t="shared" si="61"/>
        <v>0</v>
      </c>
      <c r="I110" s="7">
        <f t="shared" si="61"/>
        <v>0</v>
      </c>
      <c r="J110" s="7">
        <f t="shared" si="61"/>
        <v>0</v>
      </c>
      <c r="K110" s="7">
        <f t="shared" si="61"/>
        <v>0</v>
      </c>
      <c r="L110" s="7">
        <f t="shared" si="61"/>
        <v>0</v>
      </c>
      <c r="M110" s="7">
        <f t="shared" si="61"/>
        <v>0</v>
      </c>
      <c r="N110" s="7">
        <f t="shared" si="61"/>
        <v>0</v>
      </c>
      <c r="O110" s="7">
        <f t="shared" si="61"/>
        <v>0</v>
      </c>
      <c r="P110" s="7">
        <f t="shared" si="61"/>
        <v>0</v>
      </c>
      <c r="Q110" s="7">
        <f t="shared" si="61"/>
        <v>0</v>
      </c>
      <c r="R110" s="7">
        <f t="shared" si="61"/>
        <v>0</v>
      </c>
      <c r="S110" s="7">
        <f t="shared" si="61"/>
        <v>0</v>
      </c>
      <c r="T110" s="9"/>
      <c r="U110" s="9"/>
      <c r="V110" s="9"/>
      <c r="W110" s="7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</row>
    <row r="111" spans="1:103" x14ac:dyDescent="0.2">
      <c r="A111" s="15"/>
      <c r="C111" t="s">
        <v>521</v>
      </c>
      <c r="D111" s="30" t="s">
        <v>22</v>
      </c>
      <c r="E111" s="30" t="s">
        <v>22</v>
      </c>
      <c r="F111" s="7">
        <f t="shared" ref="F111:S111" si="62">IF(F110&lt;$D$5*SUM($F110:$S110),0,F110)</f>
        <v>0</v>
      </c>
      <c r="G111" s="7">
        <f t="shared" si="62"/>
        <v>0</v>
      </c>
      <c r="H111" s="7">
        <f t="shared" si="62"/>
        <v>0</v>
      </c>
      <c r="I111" s="7">
        <f t="shared" si="62"/>
        <v>0</v>
      </c>
      <c r="J111" s="7">
        <f t="shared" si="62"/>
        <v>0</v>
      </c>
      <c r="K111" s="7">
        <f t="shared" si="62"/>
        <v>0</v>
      </c>
      <c r="L111" s="7">
        <f t="shared" si="62"/>
        <v>0</v>
      </c>
      <c r="M111" s="7">
        <f t="shared" si="62"/>
        <v>0</v>
      </c>
      <c r="N111" s="7">
        <f t="shared" si="62"/>
        <v>0</v>
      </c>
      <c r="O111" s="7">
        <f t="shared" si="62"/>
        <v>0</v>
      </c>
      <c r="P111" s="7">
        <f t="shared" si="62"/>
        <v>0</v>
      </c>
      <c r="Q111" s="7">
        <f t="shared" si="62"/>
        <v>0</v>
      </c>
      <c r="R111" s="7">
        <f t="shared" si="62"/>
        <v>0</v>
      </c>
      <c r="S111" s="7">
        <f t="shared" si="62"/>
        <v>0</v>
      </c>
      <c r="T111" s="9"/>
      <c r="U111" s="9"/>
      <c r="V111" s="9"/>
      <c r="W111" s="7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</row>
    <row r="112" spans="1:103" x14ac:dyDescent="0.2">
      <c r="A112" s="15"/>
      <c r="B112" s="14" t="s">
        <v>523</v>
      </c>
      <c r="C112" t="s">
        <v>522</v>
      </c>
      <c r="D112" s="30" t="s">
        <v>22</v>
      </c>
      <c r="E112" s="30" t="s">
        <v>22</v>
      </c>
      <c r="F112" s="36">
        <f t="shared" ref="F112:S112" si="63">IF(SUM($F111:$S111)=0,0,F111/SUM($F111:$S111))</f>
        <v>0</v>
      </c>
      <c r="G112" s="36">
        <f t="shared" si="63"/>
        <v>0</v>
      </c>
      <c r="H112" s="36">
        <f t="shared" si="63"/>
        <v>0</v>
      </c>
      <c r="I112" s="36">
        <f t="shared" si="63"/>
        <v>0</v>
      </c>
      <c r="J112" s="36">
        <f t="shared" si="63"/>
        <v>0</v>
      </c>
      <c r="K112" s="36">
        <f t="shared" si="63"/>
        <v>0</v>
      </c>
      <c r="L112" s="36">
        <f t="shared" si="63"/>
        <v>0</v>
      </c>
      <c r="M112" s="36">
        <f t="shared" si="63"/>
        <v>0</v>
      </c>
      <c r="N112" s="36">
        <f t="shared" si="63"/>
        <v>0</v>
      </c>
      <c r="O112" s="36">
        <f t="shared" si="63"/>
        <v>0</v>
      </c>
      <c r="P112" s="36">
        <f t="shared" si="63"/>
        <v>0</v>
      </c>
      <c r="Q112" s="36">
        <f t="shared" si="63"/>
        <v>0</v>
      </c>
      <c r="R112" s="36">
        <f t="shared" si="63"/>
        <v>0</v>
      </c>
      <c r="S112" s="36">
        <f t="shared" si="63"/>
        <v>0</v>
      </c>
      <c r="T112" s="9"/>
      <c r="U112" s="9"/>
      <c r="V112" s="9"/>
      <c r="W112" s="7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</row>
    <row r="113" spans="1:103" x14ac:dyDescent="0.2">
      <c r="A113" s="15"/>
      <c r="B113" s="14" t="s">
        <v>524</v>
      </c>
      <c r="C113" t="s">
        <v>517</v>
      </c>
      <c r="D113" s="7">
        <f>SUM(F113:S113)</f>
        <v>0</v>
      </c>
      <c r="E113" s="30" t="s">
        <v>22</v>
      </c>
      <c r="F113" s="7">
        <f t="shared" ref="F113:S113" si="64">$D110*F112</f>
        <v>0</v>
      </c>
      <c r="G113" s="7">
        <f t="shared" si="64"/>
        <v>0</v>
      </c>
      <c r="H113" s="7">
        <f t="shared" si="64"/>
        <v>0</v>
      </c>
      <c r="I113" s="7">
        <f t="shared" si="64"/>
        <v>0</v>
      </c>
      <c r="J113" s="7">
        <f t="shared" si="64"/>
        <v>0</v>
      </c>
      <c r="K113" s="7">
        <f t="shared" si="64"/>
        <v>0</v>
      </c>
      <c r="L113" s="7">
        <f t="shared" si="64"/>
        <v>0</v>
      </c>
      <c r="M113" s="7">
        <f t="shared" si="64"/>
        <v>0</v>
      </c>
      <c r="N113" s="7">
        <f t="shared" si="64"/>
        <v>0</v>
      </c>
      <c r="O113" s="7">
        <f t="shared" si="64"/>
        <v>0</v>
      </c>
      <c r="P113" s="7">
        <f t="shared" si="64"/>
        <v>0</v>
      </c>
      <c r="Q113" s="7">
        <f t="shared" si="64"/>
        <v>0</v>
      </c>
      <c r="R113" s="7">
        <f t="shared" si="64"/>
        <v>0</v>
      </c>
      <c r="S113" s="7">
        <f t="shared" si="64"/>
        <v>0</v>
      </c>
      <c r="T113" s="9"/>
      <c r="U113" s="9">
        <v>1</v>
      </c>
      <c r="V113" s="9"/>
      <c r="W113" s="7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</row>
    <row r="114" spans="1:103" x14ac:dyDescent="0.2">
      <c r="A114" s="15"/>
      <c r="B114" s="24">
        <f>IF(D114=0,0,E115/D114)</f>
        <v>0</v>
      </c>
      <c r="C114" t="s">
        <v>518</v>
      </c>
      <c r="D114" s="23">
        <f>SUM(F114:S114)</f>
        <v>0</v>
      </c>
      <c r="E114" s="31" t="s">
        <v>22</v>
      </c>
      <c r="F114" s="23">
        <f t="shared" ref="F114:S114" si="65">$I$5*F113</f>
        <v>0</v>
      </c>
      <c r="G114" s="23">
        <f t="shared" si="65"/>
        <v>0</v>
      </c>
      <c r="H114" s="23">
        <f t="shared" si="65"/>
        <v>0</v>
      </c>
      <c r="I114" s="23">
        <f t="shared" si="65"/>
        <v>0</v>
      </c>
      <c r="J114" s="23">
        <f t="shared" si="65"/>
        <v>0</v>
      </c>
      <c r="K114" s="23">
        <f t="shared" si="65"/>
        <v>0</v>
      </c>
      <c r="L114" s="23">
        <f t="shared" si="65"/>
        <v>0</v>
      </c>
      <c r="M114" s="23">
        <f t="shared" si="65"/>
        <v>0</v>
      </c>
      <c r="N114" s="23">
        <f t="shared" si="65"/>
        <v>0</v>
      </c>
      <c r="O114" s="23">
        <f t="shared" si="65"/>
        <v>0</v>
      </c>
      <c r="P114" s="23">
        <f t="shared" si="65"/>
        <v>0</v>
      </c>
      <c r="Q114" s="23">
        <f t="shared" si="65"/>
        <v>0</v>
      </c>
      <c r="R114" s="23">
        <f t="shared" si="65"/>
        <v>0</v>
      </c>
      <c r="S114" s="23">
        <f t="shared" si="65"/>
        <v>0</v>
      </c>
      <c r="T114" s="9"/>
      <c r="U114" s="9">
        <v>2</v>
      </c>
      <c r="V114" s="9"/>
      <c r="W114" s="7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</row>
    <row r="115" spans="1:103" x14ac:dyDescent="0.2">
      <c r="A115" s="15"/>
      <c r="C115" t="s">
        <v>519</v>
      </c>
      <c r="D115" s="34" t="s">
        <v>22</v>
      </c>
      <c r="E115" s="35">
        <f>SUM(F115:S115)</f>
        <v>0</v>
      </c>
      <c r="F115" s="35">
        <f>$E110*F112</f>
        <v>0</v>
      </c>
      <c r="G115" s="35">
        <f t="shared" ref="G115:S115" si="66">$E110*G112</f>
        <v>0</v>
      </c>
      <c r="H115" s="35">
        <f t="shared" si="66"/>
        <v>0</v>
      </c>
      <c r="I115" s="35">
        <f t="shared" si="66"/>
        <v>0</v>
      </c>
      <c r="J115" s="35">
        <f t="shared" si="66"/>
        <v>0</v>
      </c>
      <c r="K115" s="35">
        <f t="shared" si="66"/>
        <v>0</v>
      </c>
      <c r="L115" s="35">
        <f t="shared" si="66"/>
        <v>0</v>
      </c>
      <c r="M115" s="35">
        <f t="shared" si="66"/>
        <v>0</v>
      </c>
      <c r="N115" s="35">
        <f t="shared" si="66"/>
        <v>0</v>
      </c>
      <c r="O115" s="35">
        <f t="shared" si="66"/>
        <v>0</v>
      </c>
      <c r="P115" s="35">
        <f t="shared" si="66"/>
        <v>0</v>
      </c>
      <c r="Q115" s="35">
        <f t="shared" si="66"/>
        <v>0</v>
      </c>
      <c r="R115" s="35">
        <f t="shared" si="66"/>
        <v>0</v>
      </c>
      <c r="S115" s="35">
        <f t="shared" si="66"/>
        <v>0</v>
      </c>
      <c r="T115" s="9"/>
      <c r="U115" s="9">
        <v>3</v>
      </c>
      <c r="V115" s="9"/>
      <c r="W115" s="7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</row>
    <row r="116" spans="1:103" x14ac:dyDescent="0.2">
      <c r="A116" s="15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9"/>
      <c r="U116" s="9"/>
      <c r="V116" s="9"/>
      <c r="W116" s="7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</row>
    <row r="117" spans="1:103" x14ac:dyDescent="0.2">
      <c r="A117" s="15">
        <v>12</v>
      </c>
      <c r="B117" s="14">
        <f>C23</f>
        <v>0</v>
      </c>
      <c r="C117" s="15" t="s">
        <v>520</v>
      </c>
      <c r="D117" s="7">
        <f t="shared" ref="D117:S117" si="67">D23</f>
        <v>0</v>
      </c>
      <c r="E117" s="7">
        <f t="shared" si="67"/>
        <v>0</v>
      </c>
      <c r="F117" s="7">
        <f t="shared" si="67"/>
        <v>0</v>
      </c>
      <c r="G117" s="7">
        <f t="shared" si="67"/>
        <v>0</v>
      </c>
      <c r="H117" s="7">
        <f t="shared" si="67"/>
        <v>0</v>
      </c>
      <c r="I117" s="7">
        <f t="shared" si="67"/>
        <v>0</v>
      </c>
      <c r="J117" s="7">
        <f t="shared" si="67"/>
        <v>0</v>
      </c>
      <c r="K117" s="7">
        <f t="shared" si="67"/>
        <v>0</v>
      </c>
      <c r="L117" s="7">
        <f t="shared" si="67"/>
        <v>0</v>
      </c>
      <c r="M117" s="7">
        <f t="shared" si="67"/>
        <v>0</v>
      </c>
      <c r="N117" s="7">
        <f t="shared" si="67"/>
        <v>0</v>
      </c>
      <c r="O117" s="7">
        <f t="shared" si="67"/>
        <v>0</v>
      </c>
      <c r="P117" s="7">
        <f t="shared" si="67"/>
        <v>0</v>
      </c>
      <c r="Q117" s="7">
        <f t="shared" si="67"/>
        <v>0</v>
      </c>
      <c r="R117" s="7">
        <f t="shared" si="67"/>
        <v>0</v>
      </c>
      <c r="S117" s="7">
        <f t="shared" si="67"/>
        <v>0</v>
      </c>
      <c r="T117" s="9"/>
      <c r="U117" s="9"/>
      <c r="V117" s="9"/>
      <c r="W117" s="7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</row>
    <row r="118" spans="1:103" x14ac:dyDescent="0.2">
      <c r="A118" s="15"/>
      <c r="C118" t="s">
        <v>521</v>
      </c>
      <c r="D118" s="30" t="s">
        <v>22</v>
      </c>
      <c r="E118" s="30" t="s">
        <v>22</v>
      </c>
      <c r="F118" s="7">
        <f t="shared" ref="F118:S118" si="68">IF(F117&lt;$D$5*SUM($F117:$S117),0,F117)</f>
        <v>0</v>
      </c>
      <c r="G118" s="7">
        <f t="shared" si="68"/>
        <v>0</v>
      </c>
      <c r="H118" s="7">
        <f t="shared" si="68"/>
        <v>0</v>
      </c>
      <c r="I118" s="7">
        <f t="shared" si="68"/>
        <v>0</v>
      </c>
      <c r="J118" s="7">
        <f t="shared" si="68"/>
        <v>0</v>
      </c>
      <c r="K118" s="7">
        <f t="shared" si="68"/>
        <v>0</v>
      </c>
      <c r="L118" s="7">
        <f t="shared" si="68"/>
        <v>0</v>
      </c>
      <c r="M118" s="7">
        <f t="shared" si="68"/>
        <v>0</v>
      </c>
      <c r="N118" s="7">
        <f t="shared" si="68"/>
        <v>0</v>
      </c>
      <c r="O118" s="7">
        <f t="shared" si="68"/>
        <v>0</v>
      </c>
      <c r="P118" s="7">
        <f t="shared" si="68"/>
        <v>0</v>
      </c>
      <c r="Q118" s="7">
        <f t="shared" si="68"/>
        <v>0</v>
      </c>
      <c r="R118" s="7">
        <f t="shared" si="68"/>
        <v>0</v>
      </c>
      <c r="S118" s="7">
        <f t="shared" si="68"/>
        <v>0</v>
      </c>
      <c r="T118" s="9"/>
      <c r="U118" s="9"/>
      <c r="V118" s="9"/>
      <c r="W118" s="7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</row>
    <row r="119" spans="1:103" x14ac:dyDescent="0.2">
      <c r="A119" s="15"/>
      <c r="B119" s="14" t="s">
        <v>523</v>
      </c>
      <c r="C119" t="s">
        <v>522</v>
      </c>
      <c r="D119" s="30" t="s">
        <v>22</v>
      </c>
      <c r="E119" s="30" t="s">
        <v>22</v>
      </c>
      <c r="F119" s="36">
        <f t="shared" ref="F119:S119" si="69">IF(SUM($F118:$S118)=0,0,F118/SUM($F118:$S118))</f>
        <v>0</v>
      </c>
      <c r="G119" s="36">
        <f t="shared" si="69"/>
        <v>0</v>
      </c>
      <c r="H119" s="36">
        <f t="shared" si="69"/>
        <v>0</v>
      </c>
      <c r="I119" s="36">
        <f t="shared" si="69"/>
        <v>0</v>
      </c>
      <c r="J119" s="36">
        <f t="shared" si="69"/>
        <v>0</v>
      </c>
      <c r="K119" s="36">
        <f t="shared" si="69"/>
        <v>0</v>
      </c>
      <c r="L119" s="36">
        <f t="shared" si="69"/>
        <v>0</v>
      </c>
      <c r="M119" s="36">
        <f t="shared" si="69"/>
        <v>0</v>
      </c>
      <c r="N119" s="36">
        <f t="shared" si="69"/>
        <v>0</v>
      </c>
      <c r="O119" s="36">
        <f t="shared" si="69"/>
        <v>0</v>
      </c>
      <c r="P119" s="36">
        <f t="shared" si="69"/>
        <v>0</v>
      </c>
      <c r="Q119" s="36">
        <f t="shared" si="69"/>
        <v>0</v>
      </c>
      <c r="R119" s="36">
        <f t="shared" si="69"/>
        <v>0</v>
      </c>
      <c r="S119" s="36">
        <f t="shared" si="69"/>
        <v>0</v>
      </c>
      <c r="T119" s="9"/>
      <c r="U119" s="9"/>
      <c r="V119" s="9"/>
      <c r="W119" s="7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</row>
    <row r="120" spans="1:103" x14ac:dyDescent="0.2">
      <c r="A120" s="15"/>
      <c r="B120" s="14" t="s">
        <v>524</v>
      </c>
      <c r="C120" t="s">
        <v>517</v>
      </c>
      <c r="D120" s="7">
        <f>SUM(F120:S120)</f>
        <v>0</v>
      </c>
      <c r="E120" s="30" t="s">
        <v>22</v>
      </c>
      <c r="F120" s="7">
        <f t="shared" ref="F120:S120" si="70">$D117*F119</f>
        <v>0</v>
      </c>
      <c r="G120" s="7">
        <f t="shared" si="70"/>
        <v>0</v>
      </c>
      <c r="H120" s="7">
        <f t="shared" si="70"/>
        <v>0</v>
      </c>
      <c r="I120" s="7">
        <f t="shared" si="70"/>
        <v>0</v>
      </c>
      <c r="J120" s="7">
        <f t="shared" si="70"/>
        <v>0</v>
      </c>
      <c r="K120" s="7">
        <f t="shared" si="70"/>
        <v>0</v>
      </c>
      <c r="L120" s="7">
        <f t="shared" si="70"/>
        <v>0</v>
      </c>
      <c r="M120" s="7">
        <f t="shared" si="70"/>
        <v>0</v>
      </c>
      <c r="N120" s="7">
        <f t="shared" si="70"/>
        <v>0</v>
      </c>
      <c r="O120" s="7">
        <f t="shared" si="70"/>
        <v>0</v>
      </c>
      <c r="P120" s="7">
        <f t="shared" si="70"/>
        <v>0</v>
      </c>
      <c r="Q120" s="7">
        <f t="shared" si="70"/>
        <v>0</v>
      </c>
      <c r="R120" s="7">
        <f t="shared" si="70"/>
        <v>0</v>
      </c>
      <c r="S120" s="7">
        <f t="shared" si="70"/>
        <v>0</v>
      </c>
      <c r="T120" s="9"/>
      <c r="U120" s="9">
        <v>1</v>
      </c>
      <c r="V120" s="9"/>
      <c r="W120" s="7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</row>
    <row r="121" spans="1:103" x14ac:dyDescent="0.2">
      <c r="A121" s="15"/>
      <c r="B121" s="24">
        <f>IF(D121=0,0,E122/D121)</f>
        <v>0</v>
      </c>
      <c r="C121" t="s">
        <v>518</v>
      </c>
      <c r="D121" s="23">
        <f>SUM(F121:S121)</f>
        <v>0</v>
      </c>
      <c r="E121" s="31" t="s">
        <v>22</v>
      </c>
      <c r="F121" s="23">
        <f t="shared" ref="F121:S121" si="71">$I$5*F120</f>
        <v>0</v>
      </c>
      <c r="G121" s="23">
        <f t="shared" si="71"/>
        <v>0</v>
      </c>
      <c r="H121" s="23">
        <f t="shared" si="71"/>
        <v>0</v>
      </c>
      <c r="I121" s="23">
        <f t="shared" si="71"/>
        <v>0</v>
      </c>
      <c r="J121" s="23">
        <f t="shared" si="71"/>
        <v>0</v>
      </c>
      <c r="K121" s="23">
        <f t="shared" si="71"/>
        <v>0</v>
      </c>
      <c r="L121" s="23">
        <f t="shared" si="71"/>
        <v>0</v>
      </c>
      <c r="M121" s="23">
        <f t="shared" si="71"/>
        <v>0</v>
      </c>
      <c r="N121" s="23">
        <f t="shared" si="71"/>
        <v>0</v>
      </c>
      <c r="O121" s="23">
        <f t="shared" si="71"/>
        <v>0</v>
      </c>
      <c r="P121" s="23">
        <f t="shared" si="71"/>
        <v>0</v>
      </c>
      <c r="Q121" s="23">
        <f t="shared" si="71"/>
        <v>0</v>
      </c>
      <c r="R121" s="23">
        <f t="shared" si="71"/>
        <v>0</v>
      </c>
      <c r="S121" s="23">
        <f t="shared" si="71"/>
        <v>0</v>
      </c>
      <c r="T121" s="9"/>
      <c r="U121" s="9">
        <v>2</v>
      </c>
      <c r="V121" s="9"/>
      <c r="W121" s="7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</row>
    <row r="122" spans="1:103" x14ac:dyDescent="0.2">
      <c r="A122" s="15"/>
      <c r="C122" t="s">
        <v>519</v>
      </c>
      <c r="D122" s="34" t="s">
        <v>22</v>
      </c>
      <c r="E122" s="35">
        <f>SUM(F122:S122)</f>
        <v>0</v>
      </c>
      <c r="F122" s="35">
        <f>$E117*F119</f>
        <v>0</v>
      </c>
      <c r="G122" s="35">
        <f t="shared" ref="G122:S122" si="72">$E117*G119</f>
        <v>0</v>
      </c>
      <c r="H122" s="35">
        <f t="shared" si="72"/>
        <v>0</v>
      </c>
      <c r="I122" s="35">
        <f t="shared" si="72"/>
        <v>0</v>
      </c>
      <c r="J122" s="35">
        <f t="shared" si="72"/>
        <v>0</v>
      </c>
      <c r="K122" s="35">
        <f t="shared" si="72"/>
        <v>0</v>
      </c>
      <c r="L122" s="35">
        <f t="shared" si="72"/>
        <v>0</v>
      </c>
      <c r="M122" s="35">
        <f t="shared" si="72"/>
        <v>0</v>
      </c>
      <c r="N122" s="35">
        <f t="shared" si="72"/>
        <v>0</v>
      </c>
      <c r="O122" s="35">
        <f t="shared" si="72"/>
        <v>0</v>
      </c>
      <c r="P122" s="35">
        <f t="shared" si="72"/>
        <v>0</v>
      </c>
      <c r="Q122" s="35">
        <f t="shared" si="72"/>
        <v>0</v>
      </c>
      <c r="R122" s="35">
        <f t="shared" si="72"/>
        <v>0</v>
      </c>
      <c r="S122" s="35">
        <f t="shared" si="72"/>
        <v>0</v>
      </c>
      <c r="T122" s="9"/>
      <c r="U122" s="9">
        <v>3</v>
      </c>
      <c r="V122" s="9"/>
      <c r="W122" s="7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</row>
    <row r="123" spans="1:103" x14ac:dyDescent="0.2">
      <c r="A123" s="15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9"/>
      <c r="U123" s="9"/>
      <c r="V123" s="9"/>
      <c r="W123" s="7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</row>
    <row r="124" spans="1:103" x14ac:dyDescent="0.2">
      <c r="A124" s="15">
        <v>13</v>
      </c>
      <c r="B124" s="14">
        <f>C24</f>
        <v>0</v>
      </c>
      <c r="C124" s="15" t="s">
        <v>520</v>
      </c>
      <c r="D124" s="7">
        <f t="shared" ref="D124:S124" si="73">D24</f>
        <v>0</v>
      </c>
      <c r="E124" s="7">
        <f t="shared" si="73"/>
        <v>0</v>
      </c>
      <c r="F124" s="7">
        <f t="shared" si="73"/>
        <v>0</v>
      </c>
      <c r="G124" s="7">
        <f t="shared" si="73"/>
        <v>0</v>
      </c>
      <c r="H124" s="7">
        <f t="shared" si="73"/>
        <v>0</v>
      </c>
      <c r="I124" s="7">
        <f t="shared" si="73"/>
        <v>0</v>
      </c>
      <c r="J124" s="7">
        <f t="shared" si="73"/>
        <v>0</v>
      </c>
      <c r="K124" s="7">
        <f t="shared" si="73"/>
        <v>0</v>
      </c>
      <c r="L124" s="7">
        <f t="shared" si="73"/>
        <v>0</v>
      </c>
      <c r="M124" s="7">
        <f t="shared" si="73"/>
        <v>0</v>
      </c>
      <c r="N124" s="7">
        <f t="shared" si="73"/>
        <v>0</v>
      </c>
      <c r="O124" s="7">
        <f t="shared" si="73"/>
        <v>0</v>
      </c>
      <c r="P124" s="7">
        <f t="shared" si="73"/>
        <v>0</v>
      </c>
      <c r="Q124" s="7">
        <f t="shared" si="73"/>
        <v>0</v>
      </c>
      <c r="R124" s="7">
        <f t="shared" si="73"/>
        <v>0</v>
      </c>
      <c r="S124" s="7">
        <f t="shared" si="73"/>
        <v>0</v>
      </c>
      <c r="T124" s="9"/>
      <c r="U124" s="9"/>
      <c r="V124" s="9"/>
      <c r="W124" s="7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</row>
    <row r="125" spans="1:103" x14ac:dyDescent="0.2">
      <c r="A125" s="15"/>
      <c r="C125" t="s">
        <v>521</v>
      </c>
      <c r="D125" s="30" t="s">
        <v>22</v>
      </c>
      <c r="E125" s="30" t="s">
        <v>22</v>
      </c>
      <c r="F125" s="7">
        <f t="shared" ref="F125:S125" si="74">IF(F124&lt;$D$5*SUM($F124:$S124),0,F124)</f>
        <v>0</v>
      </c>
      <c r="G125" s="7">
        <f t="shared" si="74"/>
        <v>0</v>
      </c>
      <c r="H125" s="7">
        <f t="shared" si="74"/>
        <v>0</v>
      </c>
      <c r="I125" s="7">
        <f t="shared" si="74"/>
        <v>0</v>
      </c>
      <c r="J125" s="7">
        <f t="shared" si="74"/>
        <v>0</v>
      </c>
      <c r="K125" s="7">
        <f t="shared" si="74"/>
        <v>0</v>
      </c>
      <c r="L125" s="7">
        <f t="shared" si="74"/>
        <v>0</v>
      </c>
      <c r="M125" s="7">
        <f t="shared" si="74"/>
        <v>0</v>
      </c>
      <c r="N125" s="7">
        <f t="shared" si="74"/>
        <v>0</v>
      </c>
      <c r="O125" s="7">
        <f t="shared" si="74"/>
        <v>0</v>
      </c>
      <c r="P125" s="7">
        <f t="shared" si="74"/>
        <v>0</v>
      </c>
      <c r="Q125" s="7">
        <f t="shared" si="74"/>
        <v>0</v>
      </c>
      <c r="R125" s="7">
        <f t="shared" si="74"/>
        <v>0</v>
      </c>
      <c r="S125" s="7">
        <f t="shared" si="74"/>
        <v>0</v>
      </c>
      <c r="T125" s="9"/>
      <c r="U125" s="9"/>
      <c r="V125" s="9"/>
      <c r="W125" s="7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</row>
    <row r="126" spans="1:103" x14ac:dyDescent="0.2">
      <c r="A126" s="15"/>
      <c r="B126" s="14" t="s">
        <v>523</v>
      </c>
      <c r="C126" t="s">
        <v>522</v>
      </c>
      <c r="D126" s="30" t="s">
        <v>22</v>
      </c>
      <c r="E126" s="30" t="s">
        <v>22</v>
      </c>
      <c r="F126" s="36">
        <f t="shared" ref="F126:S126" si="75">IF(SUM($F125:$S125)=0,0,F125/SUM($F125:$S125))</f>
        <v>0</v>
      </c>
      <c r="G126" s="36">
        <f t="shared" si="75"/>
        <v>0</v>
      </c>
      <c r="H126" s="36">
        <f t="shared" si="75"/>
        <v>0</v>
      </c>
      <c r="I126" s="36">
        <f t="shared" si="75"/>
        <v>0</v>
      </c>
      <c r="J126" s="36">
        <f t="shared" si="75"/>
        <v>0</v>
      </c>
      <c r="K126" s="36">
        <f t="shared" si="75"/>
        <v>0</v>
      </c>
      <c r="L126" s="36">
        <f t="shared" si="75"/>
        <v>0</v>
      </c>
      <c r="M126" s="36">
        <f t="shared" si="75"/>
        <v>0</v>
      </c>
      <c r="N126" s="36">
        <f t="shared" si="75"/>
        <v>0</v>
      </c>
      <c r="O126" s="36">
        <f t="shared" si="75"/>
        <v>0</v>
      </c>
      <c r="P126" s="36">
        <f t="shared" si="75"/>
        <v>0</v>
      </c>
      <c r="Q126" s="36">
        <f t="shared" si="75"/>
        <v>0</v>
      </c>
      <c r="R126" s="36">
        <f t="shared" si="75"/>
        <v>0</v>
      </c>
      <c r="S126" s="36">
        <f t="shared" si="75"/>
        <v>0</v>
      </c>
      <c r="T126" s="9"/>
      <c r="U126" s="9"/>
      <c r="V126" s="9"/>
      <c r="W126" s="7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</row>
    <row r="127" spans="1:103" x14ac:dyDescent="0.2">
      <c r="A127" s="15"/>
      <c r="B127" s="14" t="s">
        <v>524</v>
      </c>
      <c r="C127" t="s">
        <v>517</v>
      </c>
      <c r="D127" s="7">
        <f>SUM(F127:S127)</f>
        <v>0</v>
      </c>
      <c r="E127" s="30" t="s">
        <v>22</v>
      </c>
      <c r="F127" s="7">
        <f t="shared" ref="F127:S127" si="76">$D124*F126</f>
        <v>0</v>
      </c>
      <c r="G127" s="7">
        <f t="shared" si="76"/>
        <v>0</v>
      </c>
      <c r="H127" s="7">
        <f t="shared" si="76"/>
        <v>0</v>
      </c>
      <c r="I127" s="7">
        <f t="shared" si="76"/>
        <v>0</v>
      </c>
      <c r="J127" s="7">
        <f t="shared" si="76"/>
        <v>0</v>
      </c>
      <c r="K127" s="7">
        <f t="shared" si="76"/>
        <v>0</v>
      </c>
      <c r="L127" s="7">
        <f t="shared" si="76"/>
        <v>0</v>
      </c>
      <c r="M127" s="7">
        <f t="shared" si="76"/>
        <v>0</v>
      </c>
      <c r="N127" s="7">
        <f t="shared" si="76"/>
        <v>0</v>
      </c>
      <c r="O127" s="7">
        <f t="shared" si="76"/>
        <v>0</v>
      </c>
      <c r="P127" s="7">
        <f t="shared" si="76"/>
        <v>0</v>
      </c>
      <c r="Q127" s="7">
        <f t="shared" si="76"/>
        <v>0</v>
      </c>
      <c r="R127" s="7">
        <f t="shared" si="76"/>
        <v>0</v>
      </c>
      <c r="S127" s="7">
        <f t="shared" si="76"/>
        <v>0</v>
      </c>
      <c r="T127" s="9"/>
      <c r="U127" s="9">
        <v>1</v>
      </c>
      <c r="V127" s="9"/>
      <c r="W127" s="7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</row>
    <row r="128" spans="1:103" x14ac:dyDescent="0.2">
      <c r="A128" s="15"/>
      <c r="B128" s="24">
        <f>IF(D128=0,0,E129/D128)</f>
        <v>0</v>
      </c>
      <c r="C128" t="s">
        <v>518</v>
      </c>
      <c r="D128" s="23">
        <f>SUM(F128:S128)</f>
        <v>0</v>
      </c>
      <c r="E128" s="31" t="s">
        <v>22</v>
      </c>
      <c r="F128" s="23">
        <f t="shared" ref="F128:S128" si="77">$I$5*F127</f>
        <v>0</v>
      </c>
      <c r="G128" s="23">
        <f t="shared" si="77"/>
        <v>0</v>
      </c>
      <c r="H128" s="23">
        <f t="shared" si="77"/>
        <v>0</v>
      </c>
      <c r="I128" s="23">
        <f t="shared" si="77"/>
        <v>0</v>
      </c>
      <c r="J128" s="23">
        <f t="shared" si="77"/>
        <v>0</v>
      </c>
      <c r="K128" s="23">
        <f t="shared" si="77"/>
        <v>0</v>
      </c>
      <c r="L128" s="23">
        <f t="shared" si="77"/>
        <v>0</v>
      </c>
      <c r="M128" s="23">
        <f t="shared" si="77"/>
        <v>0</v>
      </c>
      <c r="N128" s="23">
        <f t="shared" si="77"/>
        <v>0</v>
      </c>
      <c r="O128" s="23">
        <f t="shared" si="77"/>
        <v>0</v>
      </c>
      <c r="P128" s="23">
        <f t="shared" si="77"/>
        <v>0</v>
      </c>
      <c r="Q128" s="23">
        <f t="shared" si="77"/>
        <v>0</v>
      </c>
      <c r="R128" s="23">
        <f t="shared" si="77"/>
        <v>0</v>
      </c>
      <c r="S128" s="23">
        <f t="shared" si="77"/>
        <v>0</v>
      </c>
      <c r="T128" s="9"/>
      <c r="U128" s="9">
        <v>2</v>
      </c>
      <c r="V128" s="9"/>
      <c r="W128" s="7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</row>
    <row r="129" spans="1:103" x14ac:dyDescent="0.2">
      <c r="A129" s="15"/>
      <c r="C129" t="s">
        <v>519</v>
      </c>
      <c r="D129" s="34" t="s">
        <v>22</v>
      </c>
      <c r="E129" s="35">
        <f>SUM(F129:S129)</f>
        <v>0</v>
      </c>
      <c r="F129" s="35">
        <f>$E124*F126</f>
        <v>0</v>
      </c>
      <c r="G129" s="35">
        <f t="shared" ref="G129:S129" si="78">$E124*G126</f>
        <v>0</v>
      </c>
      <c r="H129" s="35">
        <f t="shared" si="78"/>
        <v>0</v>
      </c>
      <c r="I129" s="35">
        <f t="shared" si="78"/>
        <v>0</v>
      </c>
      <c r="J129" s="35">
        <f t="shared" si="78"/>
        <v>0</v>
      </c>
      <c r="K129" s="35">
        <f t="shared" si="78"/>
        <v>0</v>
      </c>
      <c r="L129" s="35">
        <f t="shared" si="78"/>
        <v>0</v>
      </c>
      <c r="M129" s="35">
        <f t="shared" si="78"/>
        <v>0</v>
      </c>
      <c r="N129" s="35">
        <f t="shared" si="78"/>
        <v>0</v>
      </c>
      <c r="O129" s="35">
        <f t="shared" si="78"/>
        <v>0</v>
      </c>
      <c r="P129" s="35">
        <f t="shared" si="78"/>
        <v>0</v>
      </c>
      <c r="Q129" s="35">
        <f t="shared" si="78"/>
        <v>0</v>
      </c>
      <c r="R129" s="35">
        <f t="shared" si="78"/>
        <v>0</v>
      </c>
      <c r="S129" s="35">
        <f t="shared" si="78"/>
        <v>0</v>
      </c>
      <c r="T129" s="9"/>
      <c r="U129" s="9">
        <v>3</v>
      </c>
      <c r="V129" s="9"/>
      <c r="W129" s="7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</row>
    <row r="130" spans="1:103" x14ac:dyDescent="0.2">
      <c r="A130" s="15"/>
      <c r="C130" s="15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9"/>
      <c r="U130" s="9"/>
      <c r="V130" s="9"/>
      <c r="W130" s="7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</row>
    <row r="131" spans="1:103" x14ac:dyDescent="0.2">
      <c r="A131" s="15">
        <v>14</v>
      </c>
      <c r="B131" s="14">
        <f>C25</f>
        <v>0</v>
      </c>
      <c r="C131" s="15" t="s">
        <v>520</v>
      </c>
      <c r="D131" s="7">
        <f t="shared" ref="D131:S131" si="79">D25</f>
        <v>0</v>
      </c>
      <c r="E131" s="7">
        <f t="shared" si="79"/>
        <v>0</v>
      </c>
      <c r="F131" s="7">
        <f t="shared" si="79"/>
        <v>0</v>
      </c>
      <c r="G131" s="7">
        <f t="shared" si="79"/>
        <v>0</v>
      </c>
      <c r="H131" s="7">
        <f t="shared" si="79"/>
        <v>0</v>
      </c>
      <c r="I131" s="7">
        <f t="shared" si="79"/>
        <v>0</v>
      </c>
      <c r="J131" s="7">
        <f t="shared" si="79"/>
        <v>0</v>
      </c>
      <c r="K131" s="7">
        <f t="shared" si="79"/>
        <v>0</v>
      </c>
      <c r="L131" s="7">
        <f t="shared" si="79"/>
        <v>0</v>
      </c>
      <c r="M131" s="7">
        <f t="shared" si="79"/>
        <v>0</v>
      </c>
      <c r="N131" s="7">
        <f t="shared" si="79"/>
        <v>0</v>
      </c>
      <c r="O131" s="7">
        <f t="shared" si="79"/>
        <v>0</v>
      </c>
      <c r="P131" s="7">
        <f t="shared" si="79"/>
        <v>0</v>
      </c>
      <c r="Q131" s="7">
        <f t="shared" si="79"/>
        <v>0</v>
      </c>
      <c r="R131" s="7">
        <f t="shared" si="79"/>
        <v>0</v>
      </c>
      <c r="S131" s="7">
        <f t="shared" si="79"/>
        <v>0</v>
      </c>
      <c r="T131" s="9"/>
      <c r="U131" s="9"/>
      <c r="V131" s="9"/>
      <c r="W131" s="7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</row>
    <row r="132" spans="1:103" x14ac:dyDescent="0.2">
      <c r="A132" s="15"/>
      <c r="C132" t="s">
        <v>521</v>
      </c>
      <c r="D132" s="30" t="s">
        <v>22</v>
      </c>
      <c r="E132" s="30" t="s">
        <v>22</v>
      </c>
      <c r="F132" s="7">
        <f t="shared" ref="F132:S132" si="80">IF(F131&lt;$D$5*SUM($F131:$S131),0,F131)</f>
        <v>0</v>
      </c>
      <c r="G132" s="7">
        <f t="shared" si="80"/>
        <v>0</v>
      </c>
      <c r="H132" s="7">
        <f t="shared" si="80"/>
        <v>0</v>
      </c>
      <c r="I132" s="7">
        <f t="shared" si="80"/>
        <v>0</v>
      </c>
      <c r="J132" s="7">
        <f t="shared" si="80"/>
        <v>0</v>
      </c>
      <c r="K132" s="7">
        <f t="shared" si="80"/>
        <v>0</v>
      </c>
      <c r="L132" s="7">
        <f t="shared" si="80"/>
        <v>0</v>
      </c>
      <c r="M132" s="7">
        <f t="shared" si="80"/>
        <v>0</v>
      </c>
      <c r="N132" s="7">
        <f t="shared" si="80"/>
        <v>0</v>
      </c>
      <c r="O132" s="7">
        <f t="shared" si="80"/>
        <v>0</v>
      </c>
      <c r="P132" s="7">
        <f t="shared" si="80"/>
        <v>0</v>
      </c>
      <c r="Q132" s="7">
        <f t="shared" si="80"/>
        <v>0</v>
      </c>
      <c r="R132" s="7">
        <f t="shared" si="80"/>
        <v>0</v>
      </c>
      <c r="S132" s="7">
        <f t="shared" si="80"/>
        <v>0</v>
      </c>
      <c r="T132" s="9"/>
      <c r="U132" s="9"/>
      <c r="V132" s="9"/>
      <c r="W132" s="7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</row>
    <row r="133" spans="1:103" x14ac:dyDescent="0.2">
      <c r="A133" s="15"/>
      <c r="B133" s="14" t="s">
        <v>523</v>
      </c>
      <c r="C133" t="s">
        <v>522</v>
      </c>
      <c r="D133" s="30" t="s">
        <v>22</v>
      </c>
      <c r="E133" s="30" t="s">
        <v>22</v>
      </c>
      <c r="F133" s="36">
        <f t="shared" ref="F133:S133" si="81">IF(SUM($F132:$S132)=0,0,F132/SUM($F132:$S132))</f>
        <v>0</v>
      </c>
      <c r="G133" s="36">
        <f t="shared" si="81"/>
        <v>0</v>
      </c>
      <c r="H133" s="36">
        <f t="shared" si="81"/>
        <v>0</v>
      </c>
      <c r="I133" s="36">
        <f t="shared" si="81"/>
        <v>0</v>
      </c>
      <c r="J133" s="36">
        <f t="shared" si="81"/>
        <v>0</v>
      </c>
      <c r="K133" s="36">
        <f t="shared" si="81"/>
        <v>0</v>
      </c>
      <c r="L133" s="36">
        <f t="shared" si="81"/>
        <v>0</v>
      </c>
      <c r="M133" s="36">
        <f t="shared" si="81"/>
        <v>0</v>
      </c>
      <c r="N133" s="36">
        <f t="shared" si="81"/>
        <v>0</v>
      </c>
      <c r="O133" s="36">
        <f t="shared" si="81"/>
        <v>0</v>
      </c>
      <c r="P133" s="36">
        <f t="shared" si="81"/>
        <v>0</v>
      </c>
      <c r="Q133" s="36">
        <f t="shared" si="81"/>
        <v>0</v>
      </c>
      <c r="R133" s="36">
        <f t="shared" si="81"/>
        <v>0</v>
      </c>
      <c r="S133" s="36">
        <f t="shared" si="81"/>
        <v>0</v>
      </c>
      <c r="T133" s="9"/>
      <c r="U133" s="9"/>
      <c r="V133" s="9"/>
      <c r="W133" s="7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</row>
    <row r="134" spans="1:103" x14ac:dyDescent="0.2">
      <c r="A134" s="15"/>
      <c r="B134" s="14" t="s">
        <v>524</v>
      </c>
      <c r="C134" t="s">
        <v>517</v>
      </c>
      <c r="D134" s="7">
        <f>SUM(F134:S134)</f>
        <v>0</v>
      </c>
      <c r="E134" s="30" t="s">
        <v>22</v>
      </c>
      <c r="F134" s="7">
        <f t="shared" ref="F134:S134" si="82">$D131*F133</f>
        <v>0</v>
      </c>
      <c r="G134" s="7">
        <f t="shared" si="82"/>
        <v>0</v>
      </c>
      <c r="H134" s="7">
        <f t="shared" si="82"/>
        <v>0</v>
      </c>
      <c r="I134" s="7">
        <f t="shared" si="82"/>
        <v>0</v>
      </c>
      <c r="J134" s="7">
        <f t="shared" si="82"/>
        <v>0</v>
      </c>
      <c r="K134" s="7">
        <f t="shared" si="82"/>
        <v>0</v>
      </c>
      <c r="L134" s="7">
        <f t="shared" si="82"/>
        <v>0</v>
      </c>
      <c r="M134" s="7">
        <f t="shared" si="82"/>
        <v>0</v>
      </c>
      <c r="N134" s="7">
        <f t="shared" si="82"/>
        <v>0</v>
      </c>
      <c r="O134" s="7">
        <f t="shared" si="82"/>
        <v>0</v>
      </c>
      <c r="P134" s="7">
        <f t="shared" si="82"/>
        <v>0</v>
      </c>
      <c r="Q134" s="7">
        <f t="shared" si="82"/>
        <v>0</v>
      </c>
      <c r="R134" s="7">
        <f t="shared" si="82"/>
        <v>0</v>
      </c>
      <c r="S134" s="7">
        <f t="shared" si="82"/>
        <v>0</v>
      </c>
      <c r="T134" s="9"/>
      <c r="U134" s="9">
        <v>1</v>
      </c>
      <c r="V134" s="9"/>
      <c r="W134" s="7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</row>
    <row r="135" spans="1:103" x14ac:dyDescent="0.2">
      <c r="A135" s="15"/>
      <c r="B135" s="24">
        <f>IF(D135=0,0,E136/D135)</f>
        <v>0</v>
      </c>
      <c r="C135" t="s">
        <v>518</v>
      </c>
      <c r="D135" s="23">
        <f>SUM(F135:S135)</f>
        <v>0</v>
      </c>
      <c r="E135" s="31" t="s">
        <v>22</v>
      </c>
      <c r="F135" s="23">
        <f t="shared" ref="F135:S135" si="83">$I$5*F134</f>
        <v>0</v>
      </c>
      <c r="G135" s="23">
        <f t="shared" si="83"/>
        <v>0</v>
      </c>
      <c r="H135" s="23">
        <f t="shared" si="83"/>
        <v>0</v>
      </c>
      <c r="I135" s="23">
        <f t="shared" si="83"/>
        <v>0</v>
      </c>
      <c r="J135" s="23">
        <f t="shared" si="83"/>
        <v>0</v>
      </c>
      <c r="K135" s="23">
        <f t="shared" si="83"/>
        <v>0</v>
      </c>
      <c r="L135" s="23">
        <f t="shared" si="83"/>
        <v>0</v>
      </c>
      <c r="M135" s="23">
        <f t="shared" si="83"/>
        <v>0</v>
      </c>
      <c r="N135" s="23">
        <f t="shared" si="83"/>
        <v>0</v>
      </c>
      <c r="O135" s="23">
        <f t="shared" si="83"/>
        <v>0</v>
      </c>
      <c r="P135" s="23">
        <f t="shared" si="83"/>
        <v>0</v>
      </c>
      <c r="Q135" s="23">
        <f t="shared" si="83"/>
        <v>0</v>
      </c>
      <c r="R135" s="23">
        <f t="shared" si="83"/>
        <v>0</v>
      </c>
      <c r="S135" s="23">
        <f t="shared" si="83"/>
        <v>0</v>
      </c>
      <c r="T135" s="9"/>
      <c r="U135" s="9">
        <v>2</v>
      </c>
      <c r="V135" s="9"/>
      <c r="W135" s="7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</row>
    <row r="136" spans="1:103" x14ac:dyDescent="0.2">
      <c r="A136" s="15"/>
      <c r="C136" t="s">
        <v>519</v>
      </c>
      <c r="D136" s="34" t="s">
        <v>22</v>
      </c>
      <c r="E136" s="35">
        <f>SUM(F136:S136)</f>
        <v>0</v>
      </c>
      <c r="F136" s="35">
        <f>$E131*F133</f>
        <v>0</v>
      </c>
      <c r="G136" s="35">
        <f t="shared" ref="G136:S136" si="84">$E131*G133</f>
        <v>0</v>
      </c>
      <c r="H136" s="35">
        <f t="shared" si="84"/>
        <v>0</v>
      </c>
      <c r="I136" s="35">
        <f t="shared" si="84"/>
        <v>0</v>
      </c>
      <c r="J136" s="35">
        <f t="shared" si="84"/>
        <v>0</v>
      </c>
      <c r="K136" s="35">
        <f t="shared" si="84"/>
        <v>0</v>
      </c>
      <c r="L136" s="35">
        <f t="shared" si="84"/>
        <v>0</v>
      </c>
      <c r="M136" s="35">
        <f t="shared" si="84"/>
        <v>0</v>
      </c>
      <c r="N136" s="35">
        <f t="shared" si="84"/>
        <v>0</v>
      </c>
      <c r="O136" s="35">
        <f t="shared" si="84"/>
        <v>0</v>
      </c>
      <c r="P136" s="35">
        <f t="shared" si="84"/>
        <v>0</v>
      </c>
      <c r="Q136" s="35">
        <f t="shared" si="84"/>
        <v>0</v>
      </c>
      <c r="R136" s="35">
        <f t="shared" si="84"/>
        <v>0</v>
      </c>
      <c r="S136" s="35">
        <f t="shared" si="84"/>
        <v>0</v>
      </c>
      <c r="T136" s="9"/>
      <c r="U136" s="9">
        <v>3</v>
      </c>
      <c r="V136" s="9"/>
      <c r="W136" s="7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</row>
    <row r="137" spans="1:103" x14ac:dyDescent="0.2">
      <c r="A137" s="15"/>
      <c r="C137" s="15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9"/>
      <c r="U137" s="9"/>
      <c r="V137" s="9"/>
      <c r="W137" s="7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</row>
    <row r="138" spans="1:103" x14ac:dyDescent="0.2">
      <c r="A138" s="15">
        <v>15</v>
      </c>
      <c r="B138" s="14">
        <f>C26</f>
        <v>0</v>
      </c>
      <c r="C138" s="15" t="s">
        <v>520</v>
      </c>
      <c r="D138" s="7">
        <f t="shared" ref="D138:S138" si="85">D26</f>
        <v>0</v>
      </c>
      <c r="E138" s="7">
        <f t="shared" si="85"/>
        <v>0</v>
      </c>
      <c r="F138" s="7">
        <f t="shared" si="85"/>
        <v>0</v>
      </c>
      <c r="G138" s="7">
        <f t="shared" si="85"/>
        <v>0</v>
      </c>
      <c r="H138" s="7">
        <f t="shared" si="85"/>
        <v>0</v>
      </c>
      <c r="I138" s="7">
        <f t="shared" si="85"/>
        <v>0</v>
      </c>
      <c r="J138" s="7">
        <f t="shared" si="85"/>
        <v>0</v>
      </c>
      <c r="K138" s="7">
        <f t="shared" si="85"/>
        <v>0</v>
      </c>
      <c r="L138" s="7">
        <f t="shared" si="85"/>
        <v>0</v>
      </c>
      <c r="M138" s="7">
        <f t="shared" si="85"/>
        <v>0</v>
      </c>
      <c r="N138" s="7">
        <f t="shared" si="85"/>
        <v>0</v>
      </c>
      <c r="O138" s="7">
        <f t="shared" si="85"/>
        <v>0</v>
      </c>
      <c r="P138" s="7">
        <f t="shared" si="85"/>
        <v>0</v>
      </c>
      <c r="Q138" s="7">
        <f t="shared" si="85"/>
        <v>0</v>
      </c>
      <c r="R138" s="7">
        <f t="shared" si="85"/>
        <v>0</v>
      </c>
      <c r="S138" s="7">
        <f t="shared" si="85"/>
        <v>0</v>
      </c>
      <c r="T138" s="9"/>
      <c r="U138" s="9"/>
      <c r="V138" s="9"/>
      <c r="W138" s="7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</row>
    <row r="139" spans="1:103" x14ac:dyDescent="0.2">
      <c r="A139" s="15"/>
      <c r="C139" t="s">
        <v>521</v>
      </c>
      <c r="D139" s="30" t="s">
        <v>22</v>
      </c>
      <c r="E139" s="30" t="s">
        <v>22</v>
      </c>
      <c r="F139" s="7">
        <f t="shared" ref="F139:S139" si="86">IF(F138&lt;$D$5*SUM($F138:$S138),0,F138)</f>
        <v>0</v>
      </c>
      <c r="G139" s="7">
        <f t="shared" si="86"/>
        <v>0</v>
      </c>
      <c r="H139" s="7">
        <f t="shared" si="86"/>
        <v>0</v>
      </c>
      <c r="I139" s="7">
        <f t="shared" si="86"/>
        <v>0</v>
      </c>
      <c r="J139" s="7">
        <f t="shared" si="86"/>
        <v>0</v>
      </c>
      <c r="K139" s="7">
        <f t="shared" si="86"/>
        <v>0</v>
      </c>
      <c r="L139" s="7">
        <f t="shared" si="86"/>
        <v>0</v>
      </c>
      <c r="M139" s="7">
        <f t="shared" si="86"/>
        <v>0</v>
      </c>
      <c r="N139" s="7">
        <f t="shared" si="86"/>
        <v>0</v>
      </c>
      <c r="O139" s="7">
        <f t="shared" si="86"/>
        <v>0</v>
      </c>
      <c r="P139" s="7">
        <f t="shared" si="86"/>
        <v>0</v>
      </c>
      <c r="Q139" s="7">
        <f t="shared" si="86"/>
        <v>0</v>
      </c>
      <c r="R139" s="7">
        <f t="shared" si="86"/>
        <v>0</v>
      </c>
      <c r="S139" s="7">
        <f t="shared" si="86"/>
        <v>0</v>
      </c>
      <c r="T139" s="9"/>
      <c r="U139" s="9"/>
      <c r="V139" s="9"/>
      <c r="W139" s="7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</row>
    <row r="140" spans="1:103" x14ac:dyDescent="0.2">
      <c r="A140" s="15"/>
      <c r="B140" s="14" t="s">
        <v>523</v>
      </c>
      <c r="C140" t="s">
        <v>522</v>
      </c>
      <c r="D140" s="30" t="s">
        <v>22</v>
      </c>
      <c r="E140" s="30" t="s">
        <v>22</v>
      </c>
      <c r="F140" s="36">
        <f t="shared" ref="F140:S140" si="87">IF(SUM($F139:$S139)=0,0,F139/SUM($F139:$S139))</f>
        <v>0</v>
      </c>
      <c r="G140" s="36">
        <f t="shared" si="87"/>
        <v>0</v>
      </c>
      <c r="H140" s="36">
        <f t="shared" si="87"/>
        <v>0</v>
      </c>
      <c r="I140" s="36">
        <f t="shared" si="87"/>
        <v>0</v>
      </c>
      <c r="J140" s="36">
        <f t="shared" si="87"/>
        <v>0</v>
      </c>
      <c r="K140" s="36">
        <f t="shared" si="87"/>
        <v>0</v>
      </c>
      <c r="L140" s="36">
        <f t="shared" si="87"/>
        <v>0</v>
      </c>
      <c r="M140" s="36">
        <f t="shared" si="87"/>
        <v>0</v>
      </c>
      <c r="N140" s="36">
        <f t="shared" si="87"/>
        <v>0</v>
      </c>
      <c r="O140" s="36">
        <f t="shared" si="87"/>
        <v>0</v>
      </c>
      <c r="P140" s="36">
        <f t="shared" si="87"/>
        <v>0</v>
      </c>
      <c r="Q140" s="36">
        <f t="shared" si="87"/>
        <v>0</v>
      </c>
      <c r="R140" s="36">
        <f t="shared" si="87"/>
        <v>0</v>
      </c>
      <c r="S140" s="36">
        <f t="shared" si="87"/>
        <v>0</v>
      </c>
      <c r="T140" s="9"/>
      <c r="U140" s="9"/>
      <c r="V140" s="9"/>
      <c r="W140" s="7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</row>
    <row r="141" spans="1:103" x14ac:dyDescent="0.2">
      <c r="A141" s="15"/>
      <c r="B141" s="14" t="s">
        <v>524</v>
      </c>
      <c r="C141" t="s">
        <v>517</v>
      </c>
      <c r="D141" s="7">
        <f>SUM(F141:S141)</f>
        <v>0</v>
      </c>
      <c r="E141" s="30" t="s">
        <v>22</v>
      </c>
      <c r="F141" s="7">
        <f t="shared" ref="F141:S141" si="88">$D138*F140</f>
        <v>0</v>
      </c>
      <c r="G141" s="7">
        <f t="shared" si="88"/>
        <v>0</v>
      </c>
      <c r="H141" s="7">
        <f t="shared" si="88"/>
        <v>0</v>
      </c>
      <c r="I141" s="7">
        <f t="shared" si="88"/>
        <v>0</v>
      </c>
      <c r="J141" s="7">
        <f t="shared" si="88"/>
        <v>0</v>
      </c>
      <c r="K141" s="7">
        <f t="shared" si="88"/>
        <v>0</v>
      </c>
      <c r="L141" s="7">
        <f t="shared" si="88"/>
        <v>0</v>
      </c>
      <c r="M141" s="7">
        <f t="shared" si="88"/>
        <v>0</v>
      </c>
      <c r="N141" s="7">
        <f t="shared" si="88"/>
        <v>0</v>
      </c>
      <c r="O141" s="7">
        <f t="shared" si="88"/>
        <v>0</v>
      </c>
      <c r="P141" s="7">
        <f t="shared" si="88"/>
        <v>0</v>
      </c>
      <c r="Q141" s="7">
        <f t="shared" si="88"/>
        <v>0</v>
      </c>
      <c r="R141" s="7">
        <f t="shared" si="88"/>
        <v>0</v>
      </c>
      <c r="S141" s="7">
        <f t="shared" si="88"/>
        <v>0</v>
      </c>
      <c r="T141" s="9"/>
      <c r="U141" s="9">
        <v>1</v>
      </c>
      <c r="V141" s="9"/>
      <c r="W141" s="7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</row>
    <row r="142" spans="1:103" x14ac:dyDescent="0.2">
      <c r="A142" s="15"/>
      <c r="B142" s="24">
        <f>IF(D142=0,0,E143/D142)</f>
        <v>0</v>
      </c>
      <c r="C142" t="s">
        <v>518</v>
      </c>
      <c r="D142" s="23">
        <f>SUM(F142:S142)</f>
        <v>0</v>
      </c>
      <c r="E142" s="31" t="s">
        <v>22</v>
      </c>
      <c r="F142" s="23">
        <f t="shared" ref="F142:S142" si="89">$I$5*F141</f>
        <v>0</v>
      </c>
      <c r="G142" s="23">
        <f t="shared" si="89"/>
        <v>0</v>
      </c>
      <c r="H142" s="23">
        <f t="shared" si="89"/>
        <v>0</v>
      </c>
      <c r="I142" s="23">
        <f t="shared" si="89"/>
        <v>0</v>
      </c>
      <c r="J142" s="23">
        <f t="shared" si="89"/>
        <v>0</v>
      </c>
      <c r="K142" s="23">
        <f t="shared" si="89"/>
        <v>0</v>
      </c>
      <c r="L142" s="23">
        <f t="shared" si="89"/>
        <v>0</v>
      </c>
      <c r="M142" s="23">
        <f t="shared" si="89"/>
        <v>0</v>
      </c>
      <c r="N142" s="23">
        <f t="shared" si="89"/>
        <v>0</v>
      </c>
      <c r="O142" s="23">
        <f t="shared" si="89"/>
        <v>0</v>
      </c>
      <c r="P142" s="23">
        <f t="shared" si="89"/>
        <v>0</v>
      </c>
      <c r="Q142" s="23">
        <f t="shared" si="89"/>
        <v>0</v>
      </c>
      <c r="R142" s="23">
        <f t="shared" si="89"/>
        <v>0</v>
      </c>
      <c r="S142" s="23">
        <f t="shared" si="89"/>
        <v>0</v>
      </c>
      <c r="T142" s="9"/>
      <c r="U142" s="9">
        <v>2</v>
      </c>
      <c r="V142" s="9"/>
      <c r="W142" s="7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</row>
    <row r="143" spans="1:103" x14ac:dyDescent="0.2">
      <c r="A143" s="15"/>
      <c r="C143" t="s">
        <v>519</v>
      </c>
      <c r="D143" s="34" t="s">
        <v>22</v>
      </c>
      <c r="E143" s="35">
        <f>SUM(F143:S143)</f>
        <v>0</v>
      </c>
      <c r="F143" s="35">
        <f>$E138*F140</f>
        <v>0</v>
      </c>
      <c r="G143" s="35">
        <f t="shared" ref="G143:S143" si="90">$E138*G140</f>
        <v>0</v>
      </c>
      <c r="H143" s="35">
        <f t="shared" si="90"/>
        <v>0</v>
      </c>
      <c r="I143" s="35">
        <f t="shared" si="90"/>
        <v>0</v>
      </c>
      <c r="J143" s="35">
        <f t="shared" si="90"/>
        <v>0</v>
      </c>
      <c r="K143" s="35">
        <f t="shared" si="90"/>
        <v>0</v>
      </c>
      <c r="L143" s="35">
        <f t="shared" si="90"/>
        <v>0</v>
      </c>
      <c r="M143" s="35">
        <f t="shared" si="90"/>
        <v>0</v>
      </c>
      <c r="N143" s="35">
        <f t="shared" si="90"/>
        <v>0</v>
      </c>
      <c r="O143" s="35">
        <f t="shared" si="90"/>
        <v>0</v>
      </c>
      <c r="P143" s="35">
        <f t="shared" si="90"/>
        <v>0</v>
      </c>
      <c r="Q143" s="35">
        <f t="shared" si="90"/>
        <v>0</v>
      </c>
      <c r="R143" s="35">
        <f t="shared" si="90"/>
        <v>0</v>
      </c>
      <c r="S143" s="35">
        <f t="shared" si="90"/>
        <v>0</v>
      </c>
      <c r="T143" s="9"/>
      <c r="U143" s="9">
        <v>3</v>
      </c>
      <c r="V143" s="9"/>
      <c r="W143" s="7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</row>
    <row r="144" spans="1:103" x14ac:dyDescent="0.2">
      <c r="A144" s="15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9"/>
      <c r="U144" s="9"/>
      <c r="V144" s="9"/>
      <c r="W144" s="7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</row>
    <row r="145" spans="1:103" x14ac:dyDescent="0.2">
      <c r="A145" s="15">
        <v>16</v>
      </c>
      <c r="B145" s="14">
        <f>C27</f>
        <v>0</v>
      </c>
      <c r="C145" s="15" t="s">
        <v>520</v>
      </c>
      <c r="D145" s="7">
        <f t="shared" ref="D145:S145" si="91">D27</f>
        <v>0</v>
      </c>
      <c r="E145" s="7">
        <f t="shared" si="91"/>
        <v>0</v>
      </c>
      <c r="F145" s="7">
        <f t="shared" si="91"/>
        <v>0</v>
      </c>
      <c r="G145" s="7">
        <f t="shared" si="91"/>
        <v>0</v>
      </c>
      <c r="H145" s="7">
        <f t="shared" si="91"/>
        <v>0</v>
      </c>
      <c r="I145" s="7">
        <f t="shared" si="91"/>
        <v>0</v>
      </c>
      <c r="J145" s="7">
        <f t="shared" si="91"/>
        <v>0</v>
      </c>
      <c r="K145" s="7">
        <f t="shared" si="91"/>
        <v>0</v>
      </c>
      <c r="L145" s="7">
        <f t="shared" si="91"/>
        <v>0</v>
      </c>
      <c r="M145" s="7">
        <f t="shared" si="91"/>
        <v>0</v>
      </c>
      <c r="N145" s="7">
        <f t="shared" si="91"/>
        <v>0</v>
      </c>
      <c r="O145" s="7">
        <f t="shared" si="91"/>
        <v>0</v>
      </c>
      <c r="P145" s="7">
        <f t="shared" si="91"/>
        <v>0</v>
      </c>
      <c r="Q145" s="7">
        <f t="shared" si="91"/>
        <v>0</v>
      </c>
      <c r="R145" s="7">
        <f t="shared" si="91"/>
        <v>0</v>
      </c>
      <c r="S145" s="7">
        <f t="shared" si="91"/>
        <v>0</v>
      </c>
      <c r="T145" s="9"/>
      <c r="U145" s="9"/>
      <c r="V145" s="9"/>
      <c r="W145" s="7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</row>
    <row r="146" spans="1:103" x14ac:dyDescent="0.2">
      <c r="A146" s="15"/>
      <c r="C146" t="s">
        <v>521</v>
      </c>
      <c r="D146" s="30" t="s">
        <v>22</v>
      </c>
      <c r="E146" s="30" t="s">
        <v>22</v>
      </c>
      <c r="F146" s="7">
        <f t="shared" ref="F146:S146" si="92">IF(F145&lt;$D$5*SUM($F145:$S145),0,F145)</f>
        <v>0</v>
      </c>
      <c r="G146" s="7">
        <f t="shared" si="92"/>
        <v>0</v>
      </c>
      <c r="H146" s="7">
        <f t="shared" si="92"/>
        <v>0</v>
      </c>
      <c r="I146" s="7">
        <f t="shared" si="92"/>
        <v>0</v>
      </c>
      <c r="J146" s="7">
        <f t="shared" si="92"/>
        <v>0</v>
      </c>
      <c r="K146" s="7">
        <f t="shared" si="92"/>
        <v>0</v>
      </c>
      <c r="L146" s="7">
        <f t="shared" si="92"/>
        <v>0</v>
      </c>
      <c r="M146" s="7">
        <f t="shared" si="92"/>
        <v>0</v>
      </c>
      <c r="N146" s="7">
        <f t="shared" si="92"/>
        <v>0</v>
      </c>
      <c r="O146" s="7">
        <f t="shared" si="92"/>
        <v>0</v>
      </c>
      <c r="P146" s="7">
        <f t="shared" si="92"/>
        <v>0</v>
      </c>
      <c r="Q146" s="7">
        <f t="shared" si="92"/>
        <v>0</v>
      </c>
      <c r="R146" s="7">
        <f t="shared" si="92"/>
        <v>0</v>
      </c>
      <c r="S146" s="7">
        <f t="shared" si="92"/>
        <v>0</v>
      </c>
      <c r="T146" s="9"/>
      <c r="U146" s="9"/>
      <c r="V146" s="9"/>
      <c r="W146" s="7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</row>
    <row r="147" spans="1:103" x14ac:dyDescent="0.2">
      <c r="A147" s="15"/>
      <c r="B147" s="14" t="s">
        <v>523</v>
      </c>
      <c r="C147" t="s">
        <v>522</v>
      </c>
      <c r="D147" s="30" t="s">
        <v>22</v>
      </c>
      <c r="E147" s="30" t="s">
        <v>22</v>
      </c>
      <c r="F147" s="36">
        <f t="shared" ref="F147:S147" si="93">IF(SUM($F146:$S146)=0,0,F146/SUM($F146:$S146))</f>
        <v>0</v>
      </c>
      <c r="G147" s="36">
        <f t="shared" si="93"/>
        <v>0</v>
      </c>
      <c r="H147" s="36">
        <f t="shared" si="93"/>
        <v>0</v>
      </c>
      <c r="I147" s="36">
        <f t="shared" si="93"/>
        <v>0</v>
      </c>
      <c r="J147" s="36">
        <f t="shared" si="93"/>
        <v>0</v>
      </c>
      <c r="K147" s="36">
        <f t="shared" si="93"/>
        <v>0</v>
      </c>
      <c r="L147" s="36">
        <f t="shared" si="93"/>
        <v>0</v>
      </c>
      <c r="M147" s="36">
        <f t="shared" si="93"/>
        <v>0</v>
      </c>
      <c r="N147" s="36">
        <f t="shared" si="93"/>
        <v>0</v>
      </c>
      <c r="O147" s="36">
        <f t="shared" si="93"/>
        <v>0</v>
      </c>
      <c r="P147" s="36">
        <f t="shared" si="93"/>
        <v>0</v>
      </c>
      <c r="Q147" s="36">
        <f t="shared" si="93"/>
        <v>0</v>
      </c>
      <c r="R147" s="36">
        <f t="shared" si="93"/>
        <v>0</v>
      </c>
      <c r="S147" s="36">
        <f t="shared" si="93"/>
        <v>0</v>
      </c>
      <c r="T147" s="9"/>
      <c r="U147" s="9"/>
      <c r="V147" s="9"/>
      <c r="W147" s="7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</row>
    <row r="148" spans="1:103" x14ac:dyDescent="0.2">
      <c r="A148" s="15"/>
      <c r="B148" s="14" t="s">
        <v>524</v>
      </c>
      <c r="C148" t="s">
        <v>517</v>
      </c>
      <c r="D148" s="7">
        <f>SUM(F148:S148)</f>
        <v>0</v>
      </c>
      <c r="E148" s="30" t="s">
        <v>22</v>
      </c>
      <c r="F148" s="7">
        <f t="shared" ref="F148:S148" si="94">$D145*F147</f>
        <v>0</v>
      </c>
      <c r="G148" s="7">
        <f t="shared" si="94"/>
        <v>0</v>
      </c>
      <c r="H148" s="7">
        <f t="shared" si="94"/>
        <v>0</v>
      </c>
      <c r="I148" s="7">
        <f t="shared" si="94"/>
        <v>0</v>
      </c>
      <c r="J148" s="7">
        <f t="shared" si="94"/>
        <v>0</v>
      </c>
      <c r="K148" s="7">
        <f t="shared" si="94"/>
        <v>0</v>
      </c>
      <c r="L148" s="7">
        <f t="shared" si="94"/>
        <v>0</v>
      </c>
      <c r="M148" s="7">
        <f t="shared" si="94"/>
        <v>0</v>
      </c>
      <c r="N148" s="7">
        <f t="shared" si="94"/>
        <v>0</v>
      </c>
      <c r="O148" s="7">
        <f t="shared" si="94"/>
        <v>0</v>
      </c>
      <c r="P148" s="7">
        <f t="shared" si="94"/>
        <v>0</v>
      </c>
      <c r="Q148" s="7">
        <f t="shared" si="94"/>
        <v>0</v>
      </c>
      <c r="R148" s="7">
        <f t="shared" si="94"/>
        <v>0</v>
      </c>
      <c r="S148" s="7">
        <f t="shared" si="94"/>
        <v>0</v>
      </c>
      <c r="T148" s="9"/>
      <c r="U148" s="9">
        <v>1</v>
      </c>
      <c r="V148" s="9"/>
      <c r="W148" s="7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</row>
    <row r="149" spans="1:103" x14ac:dyDescent="0.2">
      <c r="A149" s="15"/>
      <c r="B149" s="24">
        <f>IF(D149=0,0,E150/D149)</f>
        <v>0</v>
      </c>
      <c r="C149" t="s">
        <v>518</v>
      </c>
      <c r="D149" s="23">
        <f>SUM(F149:S149)</f>
        <v>0</v>
      </c>
      <c r="E149" s="31" t="s">
        <v>22</v>
      </c>
      <c r="F149" s="23">
        <f t="shared" ref="F149:S149" si="95">$I$5*F148</f>
        <v>0</v>
      </c>
      <c r="G149" s="23">
        <f t="shared" si="95"/>
        <v>0</v>
      </c>
      <c r="H149" s="23">
        <f t="shared" si="95"/>
        <v>0</v>
      </c>
      <c r="I149" s="23">
        <f t="shared" si="95"/>
        <v>0</v>
      </c>
      <c r="J149" s="23">
        <f t="shared" si="95"/>
        <v>0</v>
      </c>
      <c r="K149" s="23">
        <f t="shared" si="95"/>
        <v>0</v>
      </c>
      <c r="L149" s="23">
        <f t="shared" si="95"/>
        <v>0</v>
      </c>
      <c r="M149" s="23">
        <f t="shared" si="95"/>
        <v>0</v>
      </c>
      <c r="N149" s="23">
        <f t="shared" si="95"/>
        <v>0</v>
      </c>
      <c r="O149" s="23">
        <f t="shared" si="95"/>
        <v>0</v>
      </c>
      <c r="P149" s="23">
        <f t="shared" si="95"/>
        <v>0</v>
      </c>
      <c r="Q149" s="23">
        <f t="shared" si="95"/>
        <v>0</v>
      </c>
      <c r="R149" s="23">
        <f t="shared" si="95"/>
        <v>0</v>
      </c>
      <c r="S149" s="23">
        <f t="shared" si="95"/>
        <v>0</v>
      </c>
      <c r="T149" s="9"/>
      <c r="U149" s="9">
        <v>2</v>
      </c>
      <c r="V149" s="9"/>
      <c r="W149" s="7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</row>
    <row r="150" spans="1:103" x14ac:dyDescent="0.2">
      <c r="A150" s="15"/>
      <c r="C150" t="s">
        <v>519</v>
      </c>
      <c r="D150" s="34" t="s">
        <v>22</v>
      </c>
      <c r="E150" s="35">
        <f>SUM(F150:S150)</f>
        <v>0</v>
      </c>
      <c r="F150" s="35">
        <f>$E145*F147</f>
        <v>0</v>
      </c>
      <c r="G150" s="35">
        <f t="shared" ref="G150:S150" si="96">$E145*G147</f>
        <v>0</v>
      </c>
      <c r="H150" s="35">
        <f t="shared" si="96"/>
        <v>0</v>
      </c>
      <c r="I150" s="35">
        <f t="shared" si="96"/>
        <v>0</v>
      </c>
      <c r="J150" s="35">
        <f t="shared" si="96"/>
        <v>0</v>
      </c>
      <c r="K150" s="35">
        <f t="shared" si="96"/>
        <v>0</v>
      </c>
      <c r="L150" s="35">
        <f t="shared" si="96"/>
        <v>0</v>
      </c>
      <c r="M150" s="35">
        <f t="shared" si="96"/>
        <v>0</v>
      </c>
      <c r="N150" s="35">
        <f t="shared" si="96"/>
        <v>0</v>
      </c>
      <c r="O150" s="35">
        <f t="shared" si="96"/>
        <v>0</v>
      </c>
      <c r="P150" s="35">
        <f t="shared" si="96"/>
        <v>0</v>
      </c>
      <c r="Q150" s="35">
        <f t="shared" si="96"/>
        <v>0</v>
      </c>
      <c r="R150" s="35">
        <f t="shared" si="96"/>
        <v>0</v>
      </c>
      <c r="S150" s="35">
        <f t="shared" si="96"/>
        <v>0</v>
      </c>
      <c r="T150" s="9"/>
      <c r="U150" s="9">
        <v>3</v>
      </c>
      <c r="V150" s="9"/>
      <c r="W150" s="7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</row>
    <row r="151" spans="1:103" x14ac:dyDescent="0.2">
      <c r="A151" s="15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9"/>
      <c r="U151" s="9"/>
      <c r="V151" s="9"/>
      <c r="W151" s="7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</row>
    <row r="152" spans="1:103" x14ac:dyDescent="0.2">
      <c r="A152" s="15">
        <v>17</v>
      </c>
      <c r="B152" s="14">
        <f>C28</f>
        <v>0</v>
      </c>
      <c r="C152" s="15" t="s">
        <v>520</v>
      </c>
      <c r="D152" s="7">
        <f t="shared" ref="D152:S152" si="97">D28</f>
        <v>0</v>
      </c>
      <c r="E152" s="7">
        <f t="shared" si="97"/>
        <v>0</v>
      </c>
      <c r="F152" s="7">
        <f t="shared" si="97"/>
        <v>0</v>
      </c>
      <c r="G152" s="7">
        <f t="shared" si="97"/>
        <v>0</v>
      </c>
      <c r="H152" s="7">
        <f t="shared" si="97"/>
        <v>0</v>
      </c>
      <c r="I152" s="7">
        <f t="shared" si="97"/>
        <v>0</v>
      </c>
      <c r="J152" s="7">
        <f t="shared" si="97"/>
        <v>0</v>
      </c>
      <c r="K152" s="7">
        <f t="shared" si="97"/>
        <v>0</v>
      </c>
      <c r="L152" s="7">
        <f t="shared" si="97"/>
        <v>0</v>
      </c>
      <c r="M152" s="7">
        <f t="shared" si="97"/>
        <v>0</v>
      </c>
      <c r="N152" s="7">
        <f t="shared" si="97"/>
        <v>0</v>
      </c>
      <c r="O152" s="7">
        <f t="shared" si="97"/>
        <v>0</v>
      </c>
      <c r="P152" s="7">
        <f t="shared" si="97"/>
        <v>0</v>
      </c>
      <c r="Q152" s="7">
        <f t="shared" si="97"/>
        <v>0</v>
      </c>
      <c r="R152" s="7">
        <f t="shared" si="97"/>
        <v>0</v>
      </c>
      <c r="S152" s="7">
        <f t="shared" si="97"/>
        <v>0</v>
      </c>
      <c r="T152" s="9"/>
      <c r="U152" s="9"/>
      <c r="V152" s="9"/>
      <c r="W152" s="7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</row>
    <row r="153" spans="1:103" x14ac:dyDescent="0.2">
      <c r="A153" s="15"/>
      <c r="C153" t="s">
        <v>521</v>
      </c>
      <c r="D153" s="30" t="s">
        <v>22</v>
      </c>
      <c r="E153" s="30" t="s">
        <v>22</v>
      </c>
      <c r="F153" s="7">
        <f t="shared" ref="F153:S153" si="98">IF(F152&lt;$D$5*SUM($F152:$S152),0,F152)</f>
        <v>0</v>
      </c>
      <c r="G153" s="7">
        <f t="shared" si="98"/>
        <v>0</v>
      </c>
      <c r="H153" s="7">
        <f t="shared" si="98"/>
        <v>0</v>
      </c>
      <c r="I153" s="7">
        <f t="shared" si="98"/>
        <v>0</v>
      </c>
      <c r="J153" s="7">
        <f t="shared" si="98"/>
        <v>0</v>
      </c>
      <c r="K153" s="7">
        <f t="shared" si="98"/>
        <v>0</v>
      </c>
      <c r="L153" s="7">
        <f t="shared" si="98"/>
        <v>0</v>
      </c>
      <c r="M153" s="7">
        <f t="shared" si="98"/>
        <v>0</v>
      </c>
      <c r="N153" s="7">
        <f t="shared" si="98"/>
        <v>0</v>
      </c>
      <c r="O153" s="7">
        <f t="shared" si="98"/>
        <v>0</v>
      </c>
      <c r="P153" s="7">
        <f t="shared" si="98"/>
        <v>0</v>
      </c>
      <c r="Q153" s="7">
        <f t="shared" si="98"/>
        <v>0</v>
      </c>
      <c r="R153" s="7">
        <f t="shared" si="98"/>
        <v>0</v>
      </c>
      <c r="S153" s="7">
        <f t="shared" si="98"/>
        <v>0</v>
      </c>
      <c r="T153" s="9"/>
      <c r="U153" s="9"/>
      <c r="V153" s="9"/>
      <c r="W153" s="7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</row>
    <row r="154" spans="1:103" x14ac:dyDescent="0.2">
      <c r="A154" s="15"/>
      <c r="B154" s="14" t="s">
        <v>523</v>
      </c>
      <c r="C154" t="s">
        <v>522</v>
      </c>
      <c r="D154" s="30" t="s">
        <v>22</v>
      </c>
      <c r="E154" s="30" t="s">
        <v>22</v>
      </c>
      <c r="F154" s="36">
        <f t="shared" ref="F154:S154" si="99">IF(SUM($F153:$S153)=0,0,F153/SUM($F153:$S153))</f>
        <v>0</v>
      </c>
      <c r="G154" s="36">
        <f t="shared" si="99"/>
        <v>0</v>
      </c>
      <c r="H154" s="36">
        <f t="shared" si="99"/>
        <v>0</v>
      </c>
      <c r="I154" s="36">
        <f t="shared" si="99"/>
        <v>0</v>
      </c>
      <c r="J154" s="36">
        <f t="shared" si="99"/>
        <v>0</v>
      </c>
      <c r="K154" s="36">
        <f t="shared" si="99"/>
        <v>0</v>
      </c>
      <c r="L154" s="36">
        <f t="shared" si="99"/>
        <v>0</v>
      </c>
      <c r="M154" s="36">
        <f t="shared" si="99"/>
        <v>0</v>
      </c>
      <c r="N154" s="36">
        <f t="shared" si="99"/>
        <v>0</v>
      </c>
      <c r="O154" s="36">
        <f t="shared" si="99"/>
        <v>0</v>
      </c>
      <c r="P154" s="36">
        <f t="shared" si="99"/>
        <v>0</v>
      </c>
      <c r="Q154" s="36">
        <f t="shared" si="99"/>
        <v>0</v>
      </c>
      <c r="R154" s="36">
        <f t="shared" si="99"/>
        <v>0</v>
      </c>
      <c r="S154" s="36">
        <f t="shared" si="99"/>
        <v>0</v>
      </c>
      <c r="T154" s="9"/>
      <c r="U154" s="9"/>
      <c r="V154" s="9"/>
      <c r="W154" s="7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</row>
    <row r="155" spans="1:103" x14ac:dyDescent="0.2">
      <c r="A155" s="15"/>
      <c r="B155" s="14" t="s">
        <v>524</v>
      </c>
      <c r="C155" t="s">
        <v>517</v>
      </c>
      <c r="D155" s="7">
        <f>SUM(F155:S155)</f>
        <v>0</v>
      </c>
      <c r="E155" s="30" t="s">
        <v>22</v>
      </c>
      <c r="F155" s="7">
        <f t="shared" ref="F155:S155" si="100">$D152*F154</f>
        <v>0</v>
      </c>
      <c r="G155" s="7">
        <f t="shared" si="100"/>
        <v>0</v>
      </c>
      <c r="H155" s="7">
        <f t="shared" si="100"/>
        <v>0</v>
      </c>
      <c r="I155" s="7">
        <f t="shared" si="100"/>
        <v>0</v>
      </c>
      <c r="J155" s="7">
        <f t="shared" si="100"/>
        <v>0</v>
      </c>
      <c r="K155" s="7">
        <f t="shared" si="100"/>
        <v>0</v>
      </c>
      <c r="L155" s="7">
        <f t="shared" si="100"/>
        <v>0</v>
      </c>
      <c r="M155" s="7">
        <f t="shared" si="100"/>
        <v>0</v>
      </c>
      <c r="N155" s="7">
        <f t="shared" si="100"/>
        <v>0</v>
      </c>
      <c r="O155" s="7">
        <f t="shared" si="100"/>
        <v>0</v>
      </c>
      <c r="P155" s="7">
        <f t="shared" si="100"/>
        <v>0</v>
      </c>
      <c r="Q155" s="7">
        <f t="shared" si="100"/>
        <v>0</v>
      </c>
      <c r="R155" s="7">
        <f t="shared" si="100"/>
        <v>0</v>
      </c>
      <c r="S155" s="7">
        <f t="shared" si="100"/>
        <v>0</v>
      </c>
      <c r="T155" s="9"/>
      <c r="U155" s="9">
        <v>1</v>
      </c>
      <c r="V155" s="9"/>
      <c r="W155" s="7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</row>
    <row r="156" spans="1:103" x14ac:dyDescent="0.2">
      <c r="A156" s="15"/>
      <c r="B156" s="24">
        <f>IF(D156=0,0,E157/D156)</f>
        <v>0</v>
      </c>
      <c r="C156" t="s">
        <v>518</v>
      </c>
      <c r="D156" s="23">
        <f>SUM(F156:S156)</f>
        <v>0</v>
      </c>
      <c r="E156" s="31" t="s">
        <v>22</v>
      </c>
      <c r="F156" s="23">
        <f t="shared" ref="F156:S156" si="101">$I$5*F155</f>
        <v>0</v>
      </c>
      <c r="G156" s="23">
        <f t="shared" si="101"/>
        <v>0</v>
      </c>
      <c r="H156" s="23">
        <f t="shared" si="101"/>
        <v>0</v>
      </c>
      <c r="I156" s="23">
        <f t="shared" si="101"/>
        <v>0</v>
      </c>
      <c r="J156" s="23">
        <f t="shared" si="101"/>
        <v>0</v>
      </c>
      <c r="K156" s="23">
        <f t="shared" si="101"/>
        <v>0</v>
      </c>
      <c r="L156" s="23">
        <f t="shared" si="101"/>
        <v>0</v>
      </c>
      <c r="M156" s="23">
        <f t="shared" si="101"/>
        <v>0</v>
      </c>
      <c r="N156" s="23">
        <f t="shared" si="101"/>
        <v>0</v>
      </c>
      <c r="O156" s="23">
        <f t="shared" si="101"/>
        <v>0</v>
      </c>
      <c r="P156" s="23">
        <f t="shared" si="101"/>
        <v>0</v>
      </c>
      <c r="Q156" s="23">
        <f t="shared" si="101"/>
        <v>0</v>
      </c>
      <c r="R156" s="23">
        <f t="shared" si="101"/>
        <v>0</v>
      </c>
      <c r="S156" s="23">
        <f t="shared" si="101"/>
        <v>0</v>
      </c>
      <c r="T156" s="9"/>
      <c r="U156" s="9">
        <v>2</v>
      </c>
      <c r="V156" s="9"/>
      <c r="W156" s="7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</row>
    <row r="157" spans="1:103" x14ac:dyDescent="0.2">
      <c r="A157" s="15"/>
      <c r="C157" t="s">
        <v>519</v>
      </c>
      <c r="D157" s="34" t="s">
        <v>22</v>
      </c>
      <c r="E157" s="35">
        <f>SUM(F157:S157)</f>
        <v>0</v>
      </c>
      <c r="F157" s="35">
        <f>$E152*F154</f>
        <v>0</v>
      </c>
      <c r="G157" s="35">
        <f t="shared" ref="G157:S157" si="102">$E152*G154</f>
        <v>0</v>
      </c>
      <c r="H157" s="35">
        <f t="shared" si="102"/>
        <v>0</v>
      </c>
      <c r="I157" s="35">
        <f t="shared" si="102"/>
        <v>0</v>
      </c>
      <c r="J157" s="35">
        <f t="shared" si="102"/>
        <v>0</v>
      </c>
      <c r="K157" s="35">
        <f t="shared" si="102"/>
        <v>0</v>
      </c>
      <c r="L157" s="35">
        <f t="shared" si="102"/>
        <v>0</v>
      </c>
      <c r="M157" s="35">
        <f t="shared" si="102"/>
        <v>0</v>
      </c>
      <c r="N157" s="35">
        <f t="shared" si="102"/>
        <v>0</v>
      </c>
      <c r="O157" s="35">
        <f t="shared" si="102"/>
        <v>0</v>
      </c>
      <c r="P157" s="35">
        <f t="shared" si="102"/>
        <v>0</v>
      </c>
      <c r="Q157" s="35">
        <f t="shared" si="102"/>
        <v>0</v>
      </c>
      <c r="R157" s="35">
        <f t="shared" si="102"/>
        <v>0</v>
      </c>
      <c r="S157" s="35">
        <f t="shared" si="102"/>
        <v>0</v>
      </c>
      <c r="T157" s="9"/>
      <c r="U157" s="9">
        <v>3</v>
      </c>
      <c r="V157" s="9"/>
      <c r="W157" s="7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</row>
    <row r="158" spans="1:103" x14ac:dyDescent="0.2">
      <c r="A158" s="15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9"/>
      <c r="U158" s="9"/>
      <c r="V158" s="9"/>
      <c r="W158" s="7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</row>
    <row r="159" spans="1:103" x14ac:dyDescent="0.2">
      <c r="A159" s="15">
        <v>18</v>
      </c>
      <c r="B159" s="14">
        <f>C29</f>
        <v>0</v>
      </c>
      <c r="C159" s="15" t="s">
        <v>520</v>
      </c>
      <c r="D159" s="7">
        <f t="shared" ref="D159:S159" si="103">D29</f>
        <v>0</v>
      </c>
      <c r="E159" s="7">
        <f t="shared" si="103"/>
        <v>0</v>
      </c>
      <c r="F159" s="7">
        <f t="shared" si="103"/>
        <v>0</v>
      </c>
      <c r="G159" s="7">
        <f t="shared" si="103"/>
        <v>0</v>
      </c>
      <c r="H159" s="7">
        <f t="shared" si="103"/>
        <v>0</v>
      </c>
      <c r="I159" s="7">
        <f t="shared" si="103"/>
        <v>0</v>
      </c>
      <c r="J159" s="7">
        <f t="shared" si="103"/>
        <v>0</v>
      </c>
      <c r="K159" s="7">
        <f t="shared" si="103"/>
        <v>0</v>
      </c>
      <c r="L159" s="7">
        <f t="shared" si="103"/>
        <v>0</v>
      </c>
      <c r="M159" s="7">
        <f t="shared" si="103"/>
        <v>0</v>
      </c>
      <c r="N159" s="7">
        <f t="shared" si="103"/>
        <v>0</v>
      </c>
      <c r="O159" s="7">
        <f t="shared" si="103"/>
        <v>0</v>
      </c>
      <c r="P159" s="7">
        <f t="shared" si="103"/>
        <v>0</v>
      </c>
      <c r="Q159" s="7">
        <f t="shared" si="103"/>
        <v>0</v>
      </c>
      <c r="R159" s="7">
        <f t="shared" si="103"/>
        <v>0</v>
      </c>
      <c r="S159" s="7">
        <f t="shared" si="103"/>
        <v>0</v>
      </c>
      <c r="T159" s="9"/>
      <c r="U159" s="9"/>
      <c r="V159" s="9"/>
      <c r="W159" s="7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</row>
    <row r="160" spans="1:103" x14ac:dyDescent="0.2">
      <c r="A160" s="15"/>
      <c r="C160" t="s">
        <v>521</v>
      </c>
      <c r="D160" s="30" t="s">
        <v>22</v>
      </c>
      <c r="E160" s="30" t="s">
        <v>22</v>
      </c>
      <c r="F160" s="7">
        <f t="shared" ref="F160:S160" si="104">IF(F159&lt;$D$5*SUM($F159:$S159),0,F159)</f>
        <v>0</v>
      </c>
      <c r="G160" s="7">
        <f t="shared" si="104"/>
        <v>0</v>
      </c>
      <c r="H160" s="7">
        <f t="shared" si="104"/>
        <v>0</v>
      </c>
      <c r="I160" s="7">
        <f t="shared" si="104"/>
        <v>0</v>
      </c>
      <c r="J160" s="7">
        <f t="shared" si="104"/>
        <v>0</v>
      </c>
      <c r="K160" s="7">
        <f t="shared" si="104"/>
        <v>0</v>
      </c>
      <c r="L160" s="7">
        <f t="shared" si="104"/>
        <v>0</v>
      </c>
      <c r="M160" s="7">
        <f t="shared" si="104"/>
        <v>0</v>
      </c>
      <c r="N160" s="7">
        <f t="shared" si="104"/>
        <v>0</v>
      </c>
      <c r="O160" s="7">
        <f t="shared" si="104"/>
        <v>0</v>
      </c>
      <c r="P160" s="7">
        <f t="shared" si="104"/>
        <v>0</v>
      </c>
      <c r="Q160" s="7">
        <f t="shared" si="104"/>
        <v>0</v>
      </c>
      <c r="R160" s="7">
        <f t="shared" si="104"/>
        <v>0</v>
      </c>
      <c r="S160" s="7">
        <f t="shared" si="104"/>
        <v>0</v>
      </c>
      <c r="T160" s="9"/>
      <c r="U160" s="9"/>
      <c r="V160" s="9"/>
      <c r="W160" s="7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</row>
    <row r="161" spans="1:103" x14ac:dyDescent="0.2">
      <c r="A161" s="15"/>
      <c r="B161" s="14" t="s">
        <v>523</v>
      </c>
      <c r="C161" t="s">
        <v>522</v>
      </c>
      <c r="D161" s="30" t="s">
        <v>22</v>
      </c>
      <c r="E161" s="30" t="s">
        <v>22</v>
      </c>
      <c r="F161" s="36">
        <f t="shared" ref="F161:S161" si="105">IF(SUM($F160:$S160)=0,0,F160/SUM($F160:$S160))</f>
        <v>0</v>
      </c>
      <c r="G161" s="36">
        <f t="shared" si="105"/>
        <v>0</v>
      </c>
      <c r="H161" s="36">
        <f t="shared" si="105"/>
        <v>0</v>
      </c>
      <c r="I161" s="36">
        <f t="shared" si="105"/>
        <v>0</v>
      </c>
      <c r="J161" s="36">
        <f t="shared" si="105"/>
        <v>0</v>
      </c>
      <c r="K161" s="36">
        <f t="shared" si="105"/>
        <v>0</v>
      </c>
      <c r="L161" s="36">
        <f t="shared" si="105"/>
        <v>0</v>
      </c>
      <c r="M161" s="36">
        <f t="shared" si="105"/>
        <v>0</v>
      </c>
      <c r="N161" s="36">
        <f t="shared" si="105"/>
        <v>0</v>
      </c>
      <c r="O161" s="36">
        <f t="shared" si="105"/>
        <v>0</v>
      </c>
      <c r="P161" s="36">
        <f t="shared" si="105"/>
        <v>0</v>
      </c>
      <c r="Q161" s="36">
        <f t="shared" si="105"/>
        <v>0</v>
      </c>
      <c r="R161" s="36">
        <f t="shared" si="105"/>
        <v>0</v>
      </c>
      <c r="S161" s="36">
        <f t="shared" si="105"/>
        <v>0</v>
      </c>
      <c r="T161" s="9"/>
      <c r="U161" s="9"/>
      <c r="V161" s="9"/>
      <c r="W161" s="7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</row>
    <row r="162" spans="1:103" x14ac:dyDescent="0.2">
      <c r="A162" s="15"/>
      <c r="B162" s="14" t="s">
        <v>524</v>
      </c>
      <c r="C162" t="s">
        <v>517</v>
      </c>
      <c r="D162" s="7">
        <f>SUM(F162:S162)</f>
        <v>0</v>
      </c>
      <c r="E162" s="30" t="s">
        <v>22</v>
      </c>
      <c r="F162" s="7">
        <f t="shared" ref="F162:S162" si="106">$D159*F161</f>
        <v>0</v>
      </c>
      <c r="G162" s="7">
        <f t="shared" si="106"/>
        <v>0</v>
      </c>
      <c r="H162" s="7">
        <f t="shared" si="106"/>
        <v>0</v>
      </c>
      <c r="I162" s="7">
        <f t="shared" si="106"/>
        <v>0</v>
      </c>
      <c r="J162" s="7">
        <f t="shared" si="106"/>
        <v>0</v>
      </c>
      <c r="K162" s="7">
        <f t="shared" si="106"/>
        <v>0</v>
      </c>
      <c r="L162" s="7">
        <f t="shared" si="106"/>
        <v>0</v>
      </c>
      <c r="M162" s="7">
        <f t="shared" si="106"/>
        <v>0</v>
      </c>
      <c r="N162" s="7">
        <f t="shared" si="106"/>
        <v>0</v>
      </c>
      <c r="O162" s="7">
        <f t="shared" si="106"/>
        <v>0</v>
      </c>
      <c r="P162" s="7">
        <f t="shared" si="106"/>
        <v>0</v>
      </c>
      <c r="Q162" s="7">
        <f t="shared" si="106"/>
        <v>0</v>
      </c>
      <c r="R162" s="7">
        <f t="shared" si="106"/>
        <v>0</v>
      </c>
      <c r="S162" s="7">
        <f t="shared" si="106"/>
        <v>0</v>
      </c>
      <c r="T162" s="9"/>
      <c r="U162" s="9">
        <v>1</v>
      </c>
      <c r="V162" s="9"/>
      <c r="W162" s="7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</row>
    <row r="163" spans="1:103" x14ac:dyDescent="0.2">
      <c r="A163" s="15"/>
      <c r="B163" s="24">
        <f>IF(D163=0,0,E164/D163)</f>
        <v>0</v>
      </c>
      <c r="C163" t="s">
        <v>518</v>
      </c>
      <c r="D163" s="23">
        <f>SUM(F163:S163)</f>
        <v>0</v>
      </c>
      <c r="E163" s="31" t="s">
        <v>22</v>
      </c>
      <c r="F163" s="23">
        <f t="shared" ref="F163:S163" si="107">$I$5*F162</f>
        <v>0</v>
      </c>
      <c r="G163" s="23">
        <f t="shared" si="107"/>
        <v>0</v>
      </c>
      <c r="H163" s="23">
        <f t="shared" si="107"/>
        <v>0</v>
      </c>
      <c r="I163" s="23">
        <f t="shared" si="107"/>
        <v>0</v>
      </c>
      <c r="J163" s="23">
        <f t="shared" si="107"/>
        <v>0</v>
      </c>
      <c r="K163" s="23">
        <f t="shared" si="107"/>
        <v>0</v>
      </c>
      <c r="L163" s="23">
        <f t="shared" si="107"/>
        <v>0</v>
      </c>
      <c r="M163" s="23">
        <f t="shared" si="107"/>
        <v>0</v>
      </c>
      <c r="N163" s="23">
        <f t="shared" si="107"/>
        <v>0</v>
      </c>
      <c r="O163" s="23">
        <f t="shared" si="107"/>
        <v>0</v>
      </c>
      <c r="P163" s="23">
        <f t="shared" si="107"/>
        <v>0</v>
      </c>
      <c r="Q163" s="23">
        <f t="shared" si="107"/>
        <v>0</v>
      </c>
      <c r="R163" s="23">
        <f t="shared" si="107"/>
        <v>0</v>
      </c>
      <c r="S163" s="23">
        <f t="shared" si="107"/>
        <v>0</v>
      </c>
      <c r="T163" s="9"/>
      <c r="U163" s="9">
        <v>2</v>
      </c>
      <c r="V163" s="9"/>
      <c r="W163" s="7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</row>
    <row r="164" spans="1:103" x14ac:dyDescent="0.2">
      <c r="A164" s="15"/>
      <c r="C164" t="s">
        <v>519</v>
      </c>
      <c r="D164" s="34" t="s">
        <v>22</v>
      </c>
      <c r="E164" s="35">
        <f>SUM(F164:S164)</f>
        <v>0</v>
      </c>
      <c r="F164" s="35">
        <f>$E159*F161</f>
        <v>0</v>
      </c>
      <c r="G164" s="35">
        <f t="shared" ref="G164:S164" si="108">$E159*G161</f>
        <v>0</v>
      </c>
      <c r="H164" s="35">
        <f t="shared" si="108"/>
        <v>0</v>
      </c>
      <c r="I164" s="35">
        <f t="shared" si="108"/>
        <v>0</v>
      </c>
      <c r="J164" s="35">
        <f t="shared" si="108"/>
        <v>0</v>
      </c>
      <c r="K164" s="35">
        <f t="shared" si="108"/>
        <v>0</v>
      </c>
      <c r="L164" s="35">
        <f t="shared" si="108"/>
        <v>0</v>
      </c>
      <c r="M164" s="35">
        <f t="shared" si="108"/>
        <v>0</v>
      </c>
      <c r="N164" s="35">
        <f t="shared" si="108"/>
        <v>0</v>
      </c>
      <c r="O164" s="35">
        <f t="shared" si="108"/>
        <v>0</v>
      </c>
      <c r="P164" s="35">
        <f t="shared" si="108"/>
        <v>0</v>
      </c>
      <c r="Q164" s="35">
        <f t="shared" si="108"/>
        <v>0</v>
      </c>
      <c r="R164" s="35">
        <f t="shared" si="108"/>
        <v>0</v>
      </c>
      <c r="S164" s="35">
        <f t="shared" si="108"/>
        <v>0</v>
      </c>
      <c r="T164" s="9"/>
      <c r="U164" s="9">
        <v>3</v>
      </c>
      <c r="V164" s="9"/>
      <c r="W164" s="7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</row>
    <row r="165" spans="1:103" x14ac:dyDescent="0.2">
      <c r="A165" s="15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9"/>
      <c r="U165" s="9"/>
      <c r="V165" s="9"/>
      <c r="W165" s="7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</row>
    <row r="166" spans="1:103" x14ac:dyDescent="0.2">
      <c r="A166" s="15">
        <v>19</v>
      </c>
      <c r="B166" s="14">
        <f>C30</f>
        <v>0</v>
      </c>
      <c r="C166" s="15" t="s">
        <v>520</v>
      </c>
      <c r="D166" s="7">
        <f t="shared" ref="D166:S166" si="109">D30</f>
        <v>0</v>
      </c>
      <c r="E166" s="7">
        <f t="shared" si="109"/>
        <v>0</v>
      </c>
      <c r="F166" s="7">
        <f t="shared" si="109"/>
        <v>0</v>
      </c>
      <c r="G166" s="7">
        <f t="shared" si="109"/>
        <v>0</v>
      </c>
      <c r="H166" s="7">
        <f t="shared" si="109"/>
        <v>0</v>
      </c>
      <c r="I166" s="7">
        <f t="shared" si="109"/>
        <v>0</v>
      </c>
      <c r="J166" s="7">
        <f t="shared" si="109"/>
        <v>0</v>
      </c>
      <c r="K166" s="7">
        <f t="shared" si="109"/>
        <v>0</v>
      </c>
      <c r="L166" s="7">
        <f t="shared" si="109"/>
        <v>0</v>
      </c>
      <c r="M166" s="7">
        <f t="shared" si="109"/>
        <v>0</v>
      </c>
      <c r="N166" s="7">
        <f t="shared" si="109"/>
        <v>0</v>
      </c>
      <c r="O166" s="7">
        <f t="shared" si="109"/>
        <v>0</v>
      </c>
      <c r="P166" s="7">
        <f t="shared" si="109"/>
        <v>0</v>
      </c>
      <c r="Q166" s="7">
        <f t="shared" si="109"/>
        <v>0</v>
      </c>
      <c r="R166" s="7">
        <f t="shared" si="109"/>
        <v>0</v>
      </c>
      <c r="S166" s="7">
        <f t="shared" si="109"/>
        <v>0</v>
      </c>
      <c r="T166" s="9"/>
      <c r="U166" s="9"/>
      <c r="V166" s="9"/>
      <c r="W166" s="7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</row>
    <row r="167" spans="1:103" x14ac:dyDescent="0.2">
      <c r="A167" s="15"/>
      <c r="C167" t="s">
        <v>521</v>
      </c>
      <c r="D167" s="30" t="s">
        <v>22</v>
      </c>
      <c r="E167" s="30" t="s">
        <v>22</v>
      </c>
      <c r="F167" s="7">
        <f t="shared" ref="F167:S167" si="110">IF(F166&lt;$D$5*SUM($F166:$S166),0,F166)</f>
        <v>0</v>
      </c>
      <c r="G167" s="7">
        <f t="shared" si="110"/>
        <v>0</v>
      </c>
      <c r="H167" s="7">
        <f t="shared" si="110"/>
        <v>0</v>
      </c>
      <c r="I167" s="7">
        <f t="shared" si="110"/>
        <v>0</v>
      </c>
      <c r="J167" s="7">
        <f t="shared" si="110"/>
        <v>0</v>
      </c>
      <c r="K167" s="7">
        <f t="shared" si="110"/>
        <v>0</v>
      </c>
      <c r="L167" s="7">
        <f t="shared" si="110"/>
        <v>0</v>
      </c>
      <c r="M167" s="7">
        <f t="shared" si="110"/>
        <v>0</v>
      </c>
      <c r="N167" s="7">
        <f t="shared" si="110"/>
        <v>0</v>
      </c>
      <c r="O167" s="7">
        <f t="shared" si="110"/>
        <v>0</v>
      </c>
      <c r="P167" s="7">
        <f t="shared" si="110"/>
        <v>0</v>
      </c>
      <c r="Q167" s="7">
        <f t="shared" si="110"/>
        <v>0</v>
      </c>
      <c r="R167" s="7">
        <f t="shared" si="110"/>
        <v>0</v>
      </c>
      <c r="S167" s="7">
        <f t="shared" si="110"/>
        <v>0</v>
      </c>
      <c r="T167" s="9"/>
      <c r="U167" s="9"/>
      <c r="V167" s="9"/>
      <c r="W167" s="7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</row>
    <row r="168" spans="1:103" x14ac:dyDescent="0.2">
      <c r="A168" s="15"/>
      <c r="B168" s="14" t="s">
        <v>523</v>
      </c>
      <c r="C168" t="s">
        <v>522</v>
      </c>
      <c r="D168" s="30" t="s">
        <v>22</v>
      </c>
      <c r="E168" s="30" t="s">
        <v>22</v>
      </c>
      <c r="F168" s="36">
        <f t="shared" ref="F168:S168" si="111">IF(SUM($F167:$S167)=0,0,F167/SUM($F167:$S167))</f>
        <v>0</v>
      </c>
      <c r="G168" s="36">
        <f t="shared" si="111"/>
        <v>0</v>
      </c>
      <c r="H168" s="36">
        <f t="shared" si="111"/>
        <v>0</v>
      </c>
      <c r="I168" s="36">
        <f t="shared" si="111"/>
        <v>0</v>
      </c>
      <c r="J168" s="36">
        <f t="shared" si="111"/>
        <v>0</v>
      </c>
      <c r="K168" s="36">
        <f t="shared" si="111"/>
        <v>0</v>
      </c>
      <c r="L168" s="36">
        <f t="shared" si="111"/>
        <v>0</v>
      </c>
      <c r="M168" s="36">
        <f t="shared" si="111"/>
        <v>0</v>
      </c>
      <c r="N168" s="36">
        <f t="shared" si="111"/>
        <v>0</v>
      </c>
      <c r="O168" s="36">
        <f t="shared" si="111"/>
        <v>0</v>
      </c>
      <c r="P168" s="36">
        <f t="shared" si="111"/>
        <v>0</v>
      </c>
      <c r="Q168" s="36">
        <f t="shared" si="111"/>
        <v>0</v>
      </c>
      <c r="R168" s="36">
        <f t="shared" si="111"/>
        <v>0</v>
      </c>
      <c r="S168" s="36">
        <f t="shared" si="111"/>
        <v>0</v>
      </c>
      <c r="T168" s="9"/>
      <c r="U168" s="9"/>
      <c r="V168" s="9"/>
      <c r="W168" s="7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</row>
    <row r="169" spans="1:103" x14ac:dyDescent="0.2">
      <c r="A169" s="15"/>
      <c r="B169" s="14" t="s">
        <v>524</v>
      </c>
      <c r="C169" t="s">
        <v>517</v>
      </c>
      <c r="D169" s="7">
        <f>SUM(F169:S169)</f>
        <v>0</v>
      </c>
      <c r="E169" s="30" t="s">
        <v>22</v>
      </c>
      <c r="F169" s="7">
        <f t="shared" ref="F169:S169" si="112">$D166*F168</f>
        <v>0</v>
      </c>
      <c r="G169" s="7">
        <f t="shared" si="112"/>
        <v>0</v>
      </c>
      <c r="H169" s="7">
        <f t="shared" si="112"/>
        <v>0</v>
      </c>
      <c r="I169" s="7">
        <f t="shared" si="112"/>
        <v>0</v>
      </c>
      <c r="J169" s="7">
        <f t="shared" si="112"/>
        <v>0</v>
      </c>
      <c r="K169" s="7">
        <f t="shared" si="112"/>
        <v>0</v>
      </c>
      <c r="L169" s="7">
        <f t="shared" si="112"/>
        <v>0</v>
      </c>
      <c r="M169" s="7">
        <f t="shared" si="112"/>
        <v>0</v>
      </c>
      <c r="N169" s="7">
        <f t="shared" si="112"/>
        <v>0</v>
      </c>
      <c r="O169" s="7">
        <f t="shared" si="112"/>
        <v>0</v>
      </c>
      <c r="P169" s="7">
        <f t="shared" si="112"/>
        <v>0</v>
      </c>
      <c r="Q169" s="7">
        <f t="shared" si="112"/>
        <v>0</v>
      </c>
      <c r="R169" s="7">
        <f t="shared" si="112"/>
        <v>0</v>
      </c>
      <c r="S169" s="7">
        <f t="shared" si="112"/>
        <v>0</v>
      </c>
      <c r="T169" s="9"/>
      <c r="U169" s="9">
        <v>1</v>
      </c>
      <c r="V169" s="9"/>
      <c r="W169" s="7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</row>
    <row r="170" spans="1:103" x14ac:dyDescent="0.2">
      <c r="A170" s="15"/>
      <c r="B170" s="24">
        <f>IF(D170=0,0,E171/D170)</f>
        <v>0</v>
      </c>
      <c r="C170" t="s">
        <v>518</v>
      </c>
      <c r="D170" s="23">
        <f>SUM(F170:S170)</f>
        <v>0</v>
      </c>
      <c r="E170" s="31" t="s">
        <v>22</v>
      </c>
      <c r="F170" s="23">
        <f t="shared" ref="F170:S170" si="113">$I$5*F169</f>
        <v>0</v>
      </c>
      <c r="G170" s="23">
        <f t="shared" si="113"/>
        <v>0</v>
      </c>
      <c r="H170" s="23">
        <f t="shared" si="113"/>
        <v>0</v>
      </c>
      <c r="I170" s="23">
        <f t="shared" si="113"/>
        <v>0</v>
      </c>
      <c r="J170" s="23">
        <f t="shared" si="113"/>
        <v>0</v>
      </c>
      <c r="K170" s="23">
        <f t="shared" si="113"/>
        <v>0</v>
      </c>
      <c r="L170" s="23">
        <f t="shared" si="113"/>
        <v>0</v>
      </c>
      <c r="M170" s="23">
        <f t="shared" si="113"/>
        <v>0</v>
      </c>
      <c r="N170" s="23">
        <f t="shared" si="113"/>
        <v>0</v>
      </c>
      <c r="O170" s="23">
        <f t="shared" si="113"/>
        <v>0</v>
      </c>
      <c r="P170" s="23">
        <f t="shared" si="113"/>
        <v>0</v>
      </c>
      <c r="Q170" s="23">
        <f t="shared" si="113"/>
        <v>0</v>
      </c>
      <c r="R170" s="23">
        <f t="shared" si="113"/>
        <v>0</v>
      </c>
      <c r="S170" s="23">
        <f t="shared" si="113"/>
        <v>0</v>
      </c>
      <c r="T170" s="9"/>
      <c r="U170" s="9">
        <v>2</v>
      </c>
      <c r="V170" s="9"/>
      <c r="W170" s="7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</row>
    <row r="171" spans="1:103" x14ac:dyDescent="0.2">
      <c r="A171" s="15"/>
      <c r="C171" t="s">
        <v>519</v>
      </c>
      <c r="D171" s="34" t="s">
        <v>22</v>
      </c>
      <c r="E171" s="35">
        <f>SUM(F171:S171)</f>
        <v>0</v>
      </c>
      <c r="F171" s="35">
        <f>$E166*F168</f>
        <v>0</v>
      </c>
      <c r="G171" s="35">
        <f t="shared" ref="G171:S171" si="114">$E166*G168</f>
        <v>0</v>
      </c>
      <c r="H171" s="35">
        <f t="shared" si="114"/>
        <v>0</v>
      </c>
      <c r="I171" s="35">
        <f t="shared" si="114"/>
        <v>0</v>
      </c>
      <c r="J171" s="35">
        <f t="shared" si="114"/>
        <v>0</v>
      </c>
      <c r="K171" s="35">
        <f t="shared" si="114"/>
        <v>0</v>
      </c>
      <c r="L171" s="35">
        <f t="shared" si="114"/>
        <v>0</v>
      </c>
      <c r="M171" s="35">
        <f t="shared" si="114"/>
        <v>0</v>
      </c>
      <c r="N171" s="35">
        <f t="shared" si="114"/>
        <v>0</v>
      </c>
      <c r="O171" s="35">
        <f t="shared" si="114"/>
        <v>0</v>
      </c>
      <c r="P171" s="35">
        <f t="shared" si="114"/>
        <v>0</v>
      </c>
      <c r="Q171" s="35">
        <f t="shared" si="114"/>
        <v>0</v>
      </c>
      <c r="R171" s="35">
        <f t="shared" si="114"/>
        <v>0</v>
      </c>
      <c r="S171" s="35">
        <f t="shared" si="114"/>
        <v>0</v>
      </c>
      <c r="T171" s="9"/>
      <c r="U171" s="9">
        <v>3</v>
      </c>
      <c r="V171" s="9"/>
      <c r="W171" s="7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</row>
    <row r="172" spans="1:103" x14ac:dyDescent="0.2">
      <c r="A172" s="15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9"/>
      <c r="U172" s="9"/>
      <c r="V172" s="9"/>
      <c r="W172" s="7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</row>
    <row r="173" spans="1:103" x14ac:dyDescent="0.2">
      <c r="A173" s="15">
        <v>20</v>
      </c>
      <c r="B173" s="14">
        <f>C31</f>
        <v>0</v>
      </c>
      <c r="C173" s="15" t="s">
        <v>520</v>
      </c>
      <c r="D173" s="7">
        <f t="shared" ref="D173:S173" si="115">D31</f>
        <v>0</v>
      </c>
      <c r="E173" s="7">
        <f t="shared" si="115"/>
        <v>0</v>
      </c>
      <c r="F173" s="7">
        <f t="shared" si="115"/>
        <v>0</v>
      </c>
      <c r="G173" s="7">
        <f t="shared" si="115"/>
        <v>0</v>
      </c>
      <c r="H173" s="7">
        <f t="shared" si="115"/>
        <v>0</v>
      </c>
      <c r="I173" s="7">
        <f t="shared" si="115"/>
        <v>0</v>
      </c>
      <c r="J173" s="7">
        <f t="shared" si="115"/>
        <v>0</v>
      </c>
      <c r="K173" s="7">
        <f t="shared" si="115"/>
        <v>0</v>
      </c>
      <c r="L173" s="7">
        <f t="shared" si="115"/>
        <v>0</v>
      </c>
      <c r="M173" s="7">
        <f t="shared" si="115"/>
        <v>0</v>
      </c>
      <c r="N173" s="7">
        <f t="shared" si="115"/>
        <v>0</v>
      </c>
      <c r="O173" s="7">
        <f t="shared" si="115"/>
        <v>0</v>
      </c>
      <c r="P173" s="7">
        <f t="shared" si="115"/>
        <v>0</v>
      </c>
      <c r="Q173" s="7">
        <f t="shared" si="115"/>
        <v>0</v>
      </c>
      <c r="R173" s="7">
        <f t="shared" si="115"/>
        <v>0</v>
      </c>
      <c r="S173" s="7">
        <f t="shared" si="115"/>
        <v>0</v>
      </c>
      <c r="T173" s="9"/>
      <c r="U173" s="9"/>
      <c r="V173" s="9"/>
      <c r="W173" s="7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</row>
    <row r="174" spans="1:103" x14ac:dyDescent="0.2">
      <c r="A174" s="15"/>
      <c r="C174" t="s">
        <v>521</v>
      </c>
      <c r="D174" s="30" t="s">
        <v>22</v>
      </c>
      <c r="E174" s="30" t="s">
        <v>22</v>
      </c>
      <c r="F174" s="7">
        <f t="shared" ref="F174:S174" si="116">IF(F173&lt;$D$5*SUM($F173:$S173),0,F173)</f>
        <v>0</v>
      </c>
      <c r="G174" s="7">
        <f t="shared" si="116"/>
        <v>0</v>
      </c>
      <c r="H174" s="7">
        <f t="shared" si="116"/>
        <v>0</v>
      </c>
      <c r="I174" s="7">
        <f t="shared" si="116"/>
        <v>0</v>
      </c>
      <c r="J174" s="7">
        <f t="shared" si="116"/>
        <v>0</v>
      </c>
      <c r="K174" s="7">
        <f t="shared" si="116"/>
        <v>0</v>
      </c>
      <c r="L174" s="7">
        <f t="shared" si="116"/>
        <v>0</v>
      </c>
      <c r="M174" s="7">
        <f t="shared" si="116"/>
        <v>0</v>
      </c>
      <c r="N174" s="7">
        <f t="shared" si="116"/>
        <v>0</v>
      </c>
      <c r="O174" s="7">
        <f t="shared" si="116"/>
        <v>0</v>
      </c>
      <c r="P174" s="7">
        <f t="shared" si="116"/>
        <v>0</v>
      </c>
      <c r="Q174" s="7">
        <f t="shared" si="116"/>
        <v>0</v>
      </c>
      <c r="R174" s="7">
        <f t="shared" si="116"/>
        <v>0</v>
      </c>
      <c r="S174" s="7">
        <f t="shared" si="116"/>
        <v>0</v>
      </c>
      <c r="T174" s="9"/>
      <c r="U174" s="9"/>
      <c r="V174" s="9"/>
      <c r="W174" s="7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</row>
    <row r="175" spans="1:103" x14ac:dyDescent="0.2">
      <c r="A175" s="15"/>
      <c r="B175" s="14" t="s">
        <v>523</v>
      </c>
      <c r="C175" t="s">
        <v>522</v>
      </c>
      <c r="D175" s="30" t="s">
        <v>22</v>
      </c>
      <c r="E175" s="30" t="s">
        <v>22</v>
      </c>
      <c r="F175" s="36">
        <f t="shared" ref="F175:S175" si="117">IF(SUM($F174:$S174)=0,0,F174/SUM($F174:$S174))</f>
        <v>0</v>
      </c>
      <c r="G175" s="36">
        <f t="shared" si="117"/>
        <v>0</v>
      </c>
      <c r="H175" s="36">
        <f t="shared" si="117"/>
        <v>0</v>
      </c>
      <c r="I175" s="36">
        <f t="shared" si="117"/>
        <v>0</v>
      </c>
      <c r="J175" s="36">
        <f t="shared" si="117"/>
        <v>0</v>
      </c>
      <c r="K175" s="36">
        <f t="shared" si="117"/>
        <v>0</v>
      </c>
      <c r="L175" s="36">
        <f t="shared" si="117"/>
        <v>0</v>
      </c>
      <c r="M175" s="36">
        <f t="shared" si="117"/>
        <v>0</v>
      </c>
      <c r="N175" s="36">
        <f t="shared" si="117"/>
        <v>0</v>
      </c>
      <c r="O175" s="36">
        <f t="shared" si="117"/>
        <v>0</v>
      </c>
      <c r="P175" s="36">
        <f t="shared" si="117"/>
        <v>0</v>
      </c>
      <c r="Q175" s="36">
        <f t="shared" si="117"/>
        <v>0</v>
      </c>
      <c r="R175" s="36">
        <f t="shared" si="117"/>
        <v>0</v>
      </c>
      <c r="S175" s="36">
        <f t="shared" si="117"/>
        <v>0</v>
      </c>
      <c r="T175" s="9"/>
      <c r="U175" s="7"/>
      <c r="V175" s="9"/>
      <c r="W175" s="7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</row>
    <row r="176" spans="1:103" x14ac:dyDescent="0.2">
      <c r="A176" s="15"/>
      <c r="B176" s="14" t="s">
        <v>524</v>
      </c>
      <c r="C176" t="s">
        <v>517</v>
      </c>
      <c r="D176" s="7">
        <f>SUM(F176:S176)</f>
        <v>0</v>
      </c>
      <c r="E176" s="30" t="s">
        <v>22</v>
      </c>
      <c r="F176" s="7">
        <f t="shared" ref="F176:S176" si="118">$D173*F175</f>
        <v>0</v>
      </c>
      <c r="G176" s="7">
        <f t="shared" si="118"/>
        <v>0</v>
      </c>
      <c r="H176" s="7">
        <f t="shared" si="118"/>
        <v>0</v>
      </c>
      <c r="I176" s="7">
        <f t="shared" si="118"/>
        <v>0</v>
      </c>
      <c r="J176" s="7">
        <f t="shared" si="118"/>
        <v>0</v>
      </c>
      <c r="K176" s="7">
        <f t="shared" si="118"/>
        <v>0</v>
      </c>
      <c r="L176" s="7">
        <f t="shared" si="118"/>
        <v>0</v>
      </c>
      <c r="M176" s="7">
        <f t="shared" si="118"/>
        <v>0</v>
      </c>
      <c r="N176" s="7">
        <f t="shared" si="118"/>
        <v>0</v>
      </c>
      <c r="O176" s="7">
        <f t="shared" si="118"/>
        <v>0</v>
      </c>
      <c r="P176" s="7">
        <f t="shared" si="118"/>
        <v>0</v>
      </c>
      <c r="Q176" s="7">
        <f t="shared" si="118"/>
        <v>0</v>
      </c>
      <c r="R176" s="7">
        <f t="shared" si="118"/>
        <v>0</v>
      </c>
      <c r="S176" s="7">
        <f t="shared" si="118"/>
        <v>0</v>
      </c>
      <c r="T176" s="9"/>
      <c r="U176" s="9">
        <v>1</v>
      </c>
      <c r="V176" s="9"/>
      <c r="W176" s="7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</row>
    <row r="177" spans="1:103" x14ac:dyDescent="0.2">
      <c r="A177" s="15"/>
      <c r="B177" s="24">
        <f>IF(D177=0,0,E178/D177)</f>
        <v>0</v>
      </c>
      <c r="C177" t="s">
        <v>518</v>
      </c>
      <c r="D177" s="23">
        <f>SUM(F177:S177)</f>
        <v>0</v>
      </c>
      <c r="E177" s="31" t="s">
        <v>22</v>
      </c>
      <c r="F177" s="23">
        <f t="shared" ref="F177:S177" si="119">$I$5*F176</f>
        <v>0</v>
      </c>
      <c r="G177" s="23">
        <f t="shared" si="119"/>
        <v>0</v>
      </c>
      <c r="H177" s="23">
        <f t="shared" si="119"/>
        <v>0</v>
      </c>
      <c r="I177" s="23">
        <f t="shared" si="119"/>
        <v>0</v>
      </c>
      <c r="J177" s="23">
        <f t="shared" si="119"/>
        <v>0</v>
      </c>
      <c r="K177" s="23">
        <f t="shared" si="119"/>
        <v>0</v>
      </c>
      <c r="L177" s="23">
        <f t="shared" si="119"/>
        <v>0</v>
      </c>
      <c r="M177" s="23">
        <f t="shared" si="119"/>
        <v>0</v>
      </c>
      <c r="N177" s="23">
        <f t="shared" si="119"/>
        <v>0</v>
      </c>
      <c r="O177" s="23">
        <f t="shared" si="119"/>
        <v>0</v>
      </c>
      <c r="P177" s="23">
        <f t="shared" si="119"/>
        <v>0</v>
      </c>
      <c r="Q177" s="23">
        <f t="shared" si="119"/>
        <v>0</v>
      </c>
      <c r="R177" s="23">
        <f t="shared" si="119"/>
        <v>0</v>
      </c>
      <c r="S177" s="23">
        <f t="shared" si="119"/>
        <v>0</v>
      </c>
      <c r="T177" s="9"/>
      <c r="U177" s="9">
        <v>2</v>
      </c>
      <c r="V177" s="9"/>
      <c r="W177" s="7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</row>
    <row r="178" spans="1:103" x14ac:dyDescent="0.2">
      <c r="A178" s="15"/>
      <c r="C178" t="s">
        <v>519</v>
      </c>
      <c r="D178" s="34" t="s">
        <v>22</v>
      </c>
      <c r="E178" s="35">
        <f>SUM(F178:S178)</f>
        <v>0</v>
      </c>
      <c r="F178" s="35">
        <f>$E173*F175</f>
        <v>0</v>
      </c>
      <c r="G178" s="35">
        <f t="shared" ref="G178:S178" si="120">$E173*G175</f>
        <v>0</v>
      </c>
      <c r="H178" s="35">
        <f t="shared" si="120"/>
        <v>0</v>
      </c>
      <c r="I178" s="35">
        <f t="shared" si="120"/>
        <v>0</v>
      </c>
      <c r="J178" s="35">
        <f t="shared" si="120"/>
        <v>0</v>
      </c>
      <c r="K178" s="35">
        <f t="shared" si="120"/>
        <v>0</v>
      </c>
      <c r="L178" s="35">
        <f t="shared" si="120"/>
        <v>0</v>
      </c>
      <c r="M178" s="35">
        <f t="shared" si="120"/>
        <v>0</v>
      </c>
      <c r="N178" s="35">
        <f t="shared" si="120"/>
        <v>0</v>
      </c>
      <c r="O178" s="35">
        <f t="shared" si="120"/>
        <v>0</v>
      </c>
      <c r="P178" s="35">
        <f t="shared" si="120"/>
        <v>0</v>
      </c>
      <c r="Q178" s="35">
        <f t="shared" si="120"/>
        <v>0</v>
      </c>
      <c r="R178" s="35">
        <f t="shared" si="120"/>
        <v>0</v>
      </c>
      <c r="S178" s="35">
        <f t="shared" si="120"/>
        <v>0</v>
      </c>
      <c r="T178" s="9"/>
      <c r="U178" s="9">
        <v>3</v>
      </c>
      <c r="V178" s="9"/>
      <c r="W178" s="7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</row>
    <row r="179" spans="1:103" x14ac:dyDescent="0.2">
      <c r="A179" s="15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</row>
    <row r="180" spans="1:103" x14ac:dyDescent="0.2">
      <c r="A180" s="15"/>
      <c r="C180" s="1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</row>
    <row r="181" spans="1:103" x14ac:dyDescent="0.2">
      <c r="C181" s="1"/>
      <c r="D181" s="29"/>
      <c r="E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</row>
    <row r="182" spans="1:103" x14ac:dyDescent="0.2">
      <c r="C182" s="1"/>
      <c r="D182" s="29"/>
      <c r="E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</row>
    <row r="183" spans="1:103" x14ac:dyDescent="0.2">
      <c r="A183" s="15"/>
      <c r="D183" s="26"/>
      <c r="E183" s="6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</row>
    <row r="184" spans="1:103" x14ac:dyDescent="0.2">
      <c r="A184" s="15"/>
      <c r="C184" s="1"/>
      <c r="D184" s="26"/>
      <c r="E184" s="6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</row>
    <row r="185" spans="1:103" x14ac:dyDescent="0.2">
      <c r="A185" s="15"/>
      <c r="C185" s="1"/>
      <c r="D185" s="26"/>
      <c r="E185" s="6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</row>
    <row r="186" spans="1:103" x14ac:dyDescent="0.2">
      <c r="A186" s="15"/>
      <c r="C186" s="1"/>
      <c r="D186" s="26"/>
      <c r="E186" s="6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</row>
    <row r="187" spans="1:103" x14ac:dyDescent="0.2">
      <c r="A187" s="15"/>
      <c r="C187" s="1"/>
      <c r="D187" s="26"/>
      <c r="E187" s="6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</row>
    <row r="188" spans="1:103" x14ac:dyDescent="0.2">
      <c r="A188" s="15"/>
      <c r="C188" s="1"/>
      <c r="D188" s="26"/>
      <c r="E188" s="6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</row>
    <row r="189" spans="1:103" x14ac:dyDescent="0.2">
      <c r="A189" s="15"/>
      <c r="C189" s="1"/>
      <c r="D189" s="26"/>
      <c r="E189" s="6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</row>
    <row r="190" spans="1:103" x14ac:dyDescent="0.2">
      <c r="A190" s="15"/>
      <c r="C190" s="1"/>
      <c r="D190" s="26"/>
      <c r="E190" s="6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</row>
    <row r="191" spans="1:103" x14ac:dyDescent="0.2">
      <c r="A191" s="15"/>
      <c r="C191" s="1"/>
      <c r="D191" s="26"/>
      <c r="E191" s="6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</row>
    <row r="192" spans="1:103" x14ac:dyDescent="0.2">
      <c r="A192" s="15"/>
      <c r="C192" s="1"/>
      <c r="D192" s="26"/>
      <c r="E192" s="6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</row>
    <row r="193" spans="1:103" x14ac:dyDescent="0.2">
      <c r="A193" s="15"/>
      <c r="C193" s="1"/>
      <c r="D193" s="26"/>
      <c r="E193" s="6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</row>
    <row r="194" spans="1:103" x14ac:dyDescent="0.2">
      <c r="A194" s="15"/>
      <c r="C194" s="1"/>
      <c r="D194" s="26"/>
      <c r="E194" s="6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</row>
    <row r="195" spans="1:103" x14ac:dyDescent="0.2">
      <c r="A195" s="15"/>
      <c r="C195" s="1"/>
      <c r="D195" s="26"/>
      <c r="E195" s="6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</row>
    <row r="196" spans="1:103" x14ac:dyDescent="0.2">
      <c r="A196" s="15"/>
      <c r="C196" s="1"/>
      <c r="D196" s="26"/>
      <c r="E196" s="6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</row>
    <row r="197" spans="1:103" x14ac:dyDescent="0.2">
      <c r="A197" s="15"/>
      <c r="C197" s="1"/>
      <c r="D197" s="26"/>
      <c r="E197" s="6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</row>
    <row r="198" spans="1:103" x14ac:dyDescent="0.2">
      <c r="A198" s="15"/>
      <c r="C198" s="1"/>
      <c r="D198" s="26"/>
      <c r="E198" s="6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</row>
    <row r="199" spans="1:103" x14ac:dyDescent="0.2">
      <c r="A199" s="15"/>
      <c r="C199" s="1"/>
      <c r="D199" s="26"/>
      <c r="E199" s="6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</row>
    <row r="200" spans="1:103" x14ac:dyDescent="0.2">
      <c r="A200" s="15"/>
      <c r="C200" s="1"/>
      <c r="D200" s="26"/>
      <c r="E200" s="6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</row>
    <row r="201" spans="1:103" x14ac:dyDescent="0.2">
      <c r="A201" s="15"/>
      <c r="C201" s="1"/>
      <c r="D201" s="26"/>
      <c r="E201" s="6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</row>
    <row r="202" spans="1:103" x14ac:dyDescent="0.2">
      <c r="A202" s="15"/>
      <c r="C202" s="1"/>
      <c r="D202" s="26"/>
      <c r="E202" s="6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</row>
    <row r="203" spans="1:103" x14ac:dyDescent="0.2">
      <c r="C203" s="1"/>
      <c r="D203" s="2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</row>
    <row r="204" spans="1:103" x14ac:dyDescent="0.2">
      <c r="C204" s="1"/>
      <c r="D204" s="2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</row>
    <row r="205" spans="1:103" x14ac:dyDescent="0.2">
      <c r="C205" s="1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</row>
    <row r="206" spans="1:103" x14ac:dyDescent="0.2">
      <c r="A206" s="15"/>
      <c r="C206" s="1"/>
      <c r="D206" s="26"/>
      <c r="E206" s="26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</row>
    <row r="207" spans="1:103" x14ac:dyDescent="0.2">
      <c r="A207" s="15"/>
      <c r="C207" s="1"/>
      <c r="D207" s="26"/>
      <c r="E207" s="26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</row>
    <row r="208" spans="1:103" x14ac:dyDescent="0.2">
      <c r="A208" s="15"/>
      <c r="C208" s="1"/>
      <c r="D208" s="26"/>
      <c r="E208" s="26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</row>
    <row r="209" spans="1:103" x14ac:dyDescent="0.2">
      <c r="A209" s="15"/>
      <c r="C209" s="1"/>
      <c r="D209" s="26"/>
      <c r="E209" s="26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</row>
    <row r="210" spans="1:103" x14ac:dyDescent="0.2">
      <c r="A210" s="15"/>
      <c r="C210" s="1"/>
      <c r="D210" s="26"/>
      <c r="E210" s="26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</row>
    <row r="211" spans="1:103" x14ac:dyDescent="0.2">
      <c r="A211" s="15"/>
      <c r="C211" s="1"/>
      <c r="D211" s="26"/>
      <c r="E211" s="26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</row>
    <row r="212" spans="1:103" x14ac:dyDescent="0.2">
      <c r="A212" s="15"/>
      <c r="C212" s="1"/>
      <c r="D212" s="26"/>
      <c r="E212" s="26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</row>
    <row r="213" spans="1:103" x14ac:dyDescent="0.2">
      <c r="A213" s="15"/>
      <c r="C213" s="1"/>
      <c r="D213" s="26"/>
      <c r="E213" s="26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</row>
    <row r="214" spans="1:103" x14ac:dyDescent="0.2">
      <c r="A214" s="15"/>
      <c r="C214" s="1"/>
      <c r="D214" s="26"/>
      <c r="E214" s="26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</row>
    <row r="215" spans="1:103" x14ac:dyDescent="0.2">
      <c r="A215" s="15"/>
      <c r="C215" s="1"/>
      <c r="D215" s="26"/>
      <c r="E215" s="26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</row>
    <row r="216" spans="1:103" x14ac:dyDescent="0.2">
      <c r="A216" s="15"/>
      <c r="C216" s="1"/>
      <c r="D216" s="26"/>
      <c r="E216" s="26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</row>
    <row r="217" spans="1:103" x14ac:dyDescent="0.2">
      <c r="A217" s="15"/>
      <c r="C217" s="1"/>
      <c r="D217" s="26"/>
      <c r="E217" s="26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</row>
    <row r="218" spans="1:103" x14ac:dyDescent="0.2">
      <c r="A218" s="15"/>
      <c r="C218" s="1"/>
      <c r="D218" s="26"/>
      <c r="E218" s="26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</row>
    <row r="219" spans="1:103" x14ac:dyDescent="0.2">
      <c r="A219" s="15"/>
      <c r="C219" s="1"/>
      <c r="D219" s="26"/>
      <c r="E219" s="26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</row>
    <row r="220" spans="1:103" x14ac:dyDescent="0.2">
      <c r="A220" s="15"/>
      <c r="C220" s="1"/>
      <c r="D220" s="26"/>
      <c r="E220" s="26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</row>
    <row r="221" spans="1:103" x14ac:dyDescent="0.2">
      <c r="A221" s="15"/>
      <c r="C221" s="1"/>
      <c r="D221" s="26"/>
      <c r="E221" s="26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</row>
    <row r="222" spans="1:103" x14ac:dyDescent="0.2">
      <c r="A222" s="15"/>
      <c r="C222" s="1"/>
      <c r="D222" s="26"/>
      <c r="E222" s="26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</row>
    <row r="223" spans="1:103" x14ac:dyDescent="0.2">
      <c r="A223" s="15"/>
      <c r="C223" s="1"/>
      <c r="D223" s="26"/>
      <c r="E223" s="26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</row>
    <row r="224" spans="1:103" x14ac:dyDescent="0.2">
      <c r="A224" s="15"/>
      <c r="C224" s="1"/>
      <c r="D224" s="26"/>
      <c r="E224" s="26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</row>
    <row r="225" spans="1:103" x14ac:dyDescent="0.2">
      <c r="A225" s="15"/>
      <c r="C225" s="1"/>
      <c r="D225" s="26"/>
      <c r="E225" s="26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</row>
    <row r="226" spans="1:103" x14ac:dyDescent="0.2">
      <c r="C226" s="1"/>
      <c r="D226" s="2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</row>
    <row r="227" spans="1:103" x14ac:dyDescent="0.2">
      <c r="C227" s="1"/>
      <c r="D227" s="2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</row>
    <row r="228" spans="1:103" x14ac:dyDescent="0.2">
      <c r="C228" s="1"/>
      <c r="D228" s="26"/>
      <c r="E228" s="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</row>
    <row r="229" spans="1:103" x14ac:dyDescent="0.2">
      <c r="A229" s="15"/>
      <c r="D229" s="2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</row>
    <row r="230" spans="1:103" x14ac:dyDescent="0.2">
      <c r="A230" s="15"/>
      <c r="D230" s="2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</row>
    <row r="231" spans="1:103" x14ac:dyDescent="0.2">
      <c r="A231" s="15"/>
      <c r="D231" s="2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</row>
    <row r="232" spans="1:103" x14ac:dyDescent="0.2">
      <c r="A232" s="15"/>
      <c r="D232" s="2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</row>
    <row r="233" spans="1:103" x14ac:dyDescent="0.2">
      <c r="A233" s="15"/>
      <c r="D233" s="2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</row>
    <row r="234" spans="1:103" x14ac:dyDescent="0.2">
      <c r="A234" s="15"/>
      <c r="D234" s="2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</row>
    <row r="235" spans="1:103" x14ac:dyDescent="0.2">
      <c r="A235" s="15"/>
      <c r="D235" s="2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</row>
    <row r="236" spans="1:103" x14ac:dyDescent="0.2">
      <c r="A236" s="15"/>
      <c r="D236" s="2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</row>
    <row r="237" spans="1:103" x14ac:dyDescent="0.2">
      <c r="A237" s="15"/>
      <c r="D237" s="2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</row>
    <row r="238" spans="1:103" x14ac:dyDescent="0.2">
      <c r="A238" s="15"/>
      <c r="D238" s="2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</row>
    <row r="239" spans="1:103" x14ac:dyDescent="0.2">
      <c r="A239" s="15"/>
      <c r="D239" s="2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</row>
    <row r="240" spans="1:103" x14ac:dyDescent="0.2">
      <c r="A240" s="15"/>
      <c r="D240" s="2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</row>
    <row r="241" spans="1:103" x14ac:dyDescent="0.2">
      <c r="A241" s="15"/>
      <c r="D241" s="2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</row>
    <row r="242" spans="1:103" x14ac:dyDescent="0.2">
      <c r="A242" s="15"/>
      <c r="D242" s="2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</row>
    <row r="243" spans="1:103" x14ac:dyDescent="0.2">
      <c r="A243" s="15"/>
      <c r="D243" s="2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</row>
    <row r="244" spans="1:103" x14ac:dyDescent="0.2">
      <c r="A244" s="15"/>
      <c r="D244" s="2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</row>
    <row r="245" spans="1:103" x14ac:dyDescent="0.2">
      <c r="A245" s="15"/>
      <c r="D245" s="2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</row>
    <row r="246" spans="1:103" x14ac:dyDescent="0.2">
      <c r="A246" s="15"/>
      <c r="D246" s="2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</row>
    <row r="247" spans="1:103" x14ac:dyDescent="0.2">
      <c r="A247" s="15"/>
      <c r="D247" s="2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</row>
    <row r="248" spans="1:103" x14ac:dyDescent="0.2">
      <c r="A248" s="15"/>
      <c r="D248" s="2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</row>
    <row r="249" spans="1:103" x14ac:dyDescent="0.2">
      <c r="C249" s="1"/>
      <c r="D249" s="2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</row>
    <row r="250" spans="1:103" x14ac:dyDescent="0.2">
      <c r="C250" s="1"/>
      <c r="D250" s="26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</row>
    <row r="251" spans="1:103" x14ac:dyDescent="0.2">
      <c r="A251" s="15"/>
      <c r="C251" s="1"/>
      <c r="D251" s="26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</row>
    <row r="252" spans="1:103" x14ac:dyDescent="0.2">
      <c r="A252" s="15"/>
      <c r="C252" s="1"/>
      <c r="D252" s="26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</row>
    <row r="253" spans="1:103" x14ac:dyDescent="0.2">
      <c r="A253" s="15"/>
      <c r="C253" s="1"/>
      <c r="D253" s="26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</row>
    <row r="254" spans="1:103" x14ac:dyDescent="0.2">
      <c r="A254" s="15"/>
      <c r="C254" s="1"/>
      <c r="D254" s="26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</row>
    <row r="255" spans="1:103" x14ac:dyDescent="0.2">
      <c r="A255" s="15"/>
      <c r="C255" s="1"/>
      <c r="D255" s="26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</row>
    <row r="256" spans="1:103" x14ac:dyDescent="0.2">
      <c r="A256" s="15"/>
      <c r="C256" s="1"/>
      <c r="D256" s="26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</row>
    <row r="257" spans="1:103" x14ac:dyDescent="0.2">
      <c r="A257" s="15"/>
      <c r="C257" s="1"/>
      <c r="D257" s="26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</row>
    <row r="258" spans="1:103" x14ac:dyDescent="0.2">
      <c r="A258" s="15"/>
      <c r="C258" s="1"/>
      <c r="D258" s="26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</row>
    <row r="259" spans="1:103" x14ac:dyDescent="0.2">
      <c r="A259" s="15"/>
      <c r="C259" s="1"/>
      <c r="D259" s="26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</row>
    <row r="260" spans="1:103" x14ac:dyDescent="0.2">
      <c r="A260" s="15"/>
      <c r="C260" s="1"/>
      <c r="D260" s="26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</row>
    <row r="261" spans="1:103" x14ac:dyDescent="0.2">
      <c r="A261" s="15"/>
      <c r="C261" s="1"/>
      <c r="D261" s="26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</row>
    <row r="262" spans="1:103" x14ac:dyDescent="0.2">
      <c r="A262" s="15"/>
      <c r="C262" s="1"/>
      <c r="D262" s="26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</row>
    <row r="263" spans="1:103" x14ac:dyDescent="0.2">
      <c r="A263" s="15"/>
      <c r="C263" s="1"/>
      <c r="D263" s="26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</row>
    <row r="264" spans="1:103" x14ac:dyDescent="0.2">
      <c r="A264" s="15"/>
      <c r="C264" s="1"/>
      <c r="D264" s="26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</row>
    <row r="265" spans="1:103" x14ac:dyDescent="0.2">
      <c r="A265" s="15"/>
      <c r="C265" s="1"/>
      <c r="D265" s="26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</row>
    <row r="266" spans="1:103" x14ac:dyDescent="0.2">
      <c r="A266" s="15"/>
      <c r="C266" s="1"/>
      <c r="D266" s="26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</row>
    <row r="267" spans="1:103" x14ac:dyDescent="0.2">
      <c r="A267" s="15"/>
      <c r="C267" s="1"/>
      <c r="D267" s="26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</row>
    <row r="268" spans="1:103" x14ac:dyDescent="0.2">
      <c r="A268" s="15"/>
      <c r="C268" s="1"/>
      <c r="D268" s="26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</row>
    <row r="269" spans="1:103" x14ac:dyDescent="0.2">
      <c r="A269" s="15"/>
      <c r="C269" s="1"/>
      <c r="D269" s="26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</row>
    <row r="270" spans="1:103" x14ac:dyDescent="0.2">
      <c r="A270" s="15"/>
      <c r="C270" s="1"/>
      <c r="D270" s="26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</row>
    <row r="271" spans="1:103" x14ac:dyDescent="0.2">
      <c r="C271" s="1"/>
      <c r="D271" s="2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</row>
    <row r="272" spans="1:103" x14ac:dyDescent="0.2">
      <c r="C272" s="1"/>
      <c r="D272" s="2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</row>
    <row r="273" spans="3:103" x14ac:dyDescent="0.2">
      <c r="C273" s="1"/>
      <c r="D273" s="2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</row>
    <row r="274" spans="3:103" x14ac:dyDescent="0.2">
      <c r="C274" s="1"/>
      <c r="D274" s="2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</row>
    <row r="275" spans="3:103" x14ac:dyDescent="0.2">
      <c r="C275" s="1"/>
      <c r="D275" s="2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</row>
    <row r="276" spans="3:103" x14ac:dyDescent="0.2">
      <c r="C276" s="1"/>
      <c r="D276" s="2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</row>
    <row r="277" spans="3:103" x14ac:dyDescent="0.2">
      <c r="C277" s="1"/>
      <c r="D277" s="2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</row>
    <row r="278" spans="3:103" x14ac:dyDescent="0.2">
      <c r="C278" s="1"/>
      <c r="D278" s="2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</row>
    <row r="279" spans="3:103" x14ac:dyDescent="0.2">
      <c r="C279" s="1"/>
      <c r="D279" s="2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</row>
    <row r="280" spans="3:103" x14ac:dyDescent="0.2">
      <c r="C280" s="1"/>
      <c r="D280" s="2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</row>
    <row r="281" spans="3:103" x14ac:dyDescent="0.2">
      <c r="C281" s="1"/>
      <c r="D281" s="2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</row>
    <row r="282" spans="3:103" x14ac:dyDescent="0.2">
      <c r="C282" s="1"/>
      <c r="D282" s="2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</row>
    <row r="283" spans="3:103" x14ac:dyDescent="0.2">
      <c r="C283" s="1"/>
      <c r="D283" s="2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</row>
    <row r="284" spans="3:103" x14ac:dyDescent="0.2">
      <c r="C284" s="1"/>
      <c r="D284" s="2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</row>
    <row r="285" spans="3:103" x14ac:dyDescent="0.2">
      <c r="C285" s="1"/>
      <c r="D285" s="2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</row>
    <row r="286" spans="3:103" x14ac:dyDescent="0.2">
      <c r="C286" s="1"/>
      <c r="D286" s="2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</row>
    <row r="287" spans="3:103" x14ac:dyDescent="0.2">
      <c r="C287" s="1"/>
      <c r="D287" s="2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</row>
    <row r="288" spans="3:103" x14ac:dyDescent="0.2">
      <c r="C288" s="1"/>
      <c r="D288" s="2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</row>
    <row r="289" spans="3:103" x14ac:dyDescent="0.2">
      <c r="C289" s="1"/>
      <c r="D289" s="2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</row>
    <row r="290" spans="3:103" x14ac:dyDescent="0.2">
      <c r="C290" s="1"/>
      <c r="D290" s="2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</row>
    <row r="291" spans="3:103" x14ac:dyDescent="0.2">
      <c r="C291" s="1"/>
      <c r="D291" s="2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</row>
    <row r="292" spans="3:103" x14ac:dyDescent="0.2">
      <c r="C292" s="1"/>
      <c r="D292" s="2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</row>
    <row r="293" spans="3:103" x14ac:dyDescent="0.2">
      <c r="C293" s="1"/>
      <c r="D293" s="2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</row>
    <row r="294" spans="3:103" x14ac:dyDescent="0.2">
      <c r="C294" s="1"/>
      <c r="D294" s="2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</row>
    <row r="295" spans="3:103" x14ac:dyDescent="0.2">
      <c r="C295" s="1"/>
      <c r="D295" s="2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</row>
    <row r="296" spans="3:103" x14ac:dyDescent="0.2">
      <c r="C296" s="1"/>
      <c r="D296" s="2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</row>
    <row r="297" spans="3:103" x14ac:dyDescent="0.2">
      <c r="C297" s="1"/>
      <c r="D297" s="2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</row>
    <row r="298" spans="3:103" x14ac:dyDescent="0.2">
      <c r="C298" s="1"/>
      <c r="D298" s="2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</row>
    <row r="299" spans="3:103" x14ac:dyDescent="0.2">
      <c r="C299" s="1"/>
      <c r="D299" s="2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</row>
    <row r="300" spans="3:103" x14ac:dyDescent="0.2">
      <c r="C300" s="1"/>
      <c r="D300" s="2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</row>
    <row r="301" spans="3:103" x14ac:dyDescent="0.2">
      <c r="C301" s="1"/>
      <c r="D301" s="2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</row>
    <row r="302" spans="3:103" x14ac:dyDescent="0.2">
      <c r="C302" s="1"/>
      <c r="D302" s="2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</row>
    <row r="303" spans="3:103" x14ac:dyDescent="0.2">
      <c r="C303" s="1"/>
      <c r="D303" s="2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</row>
    <row r="304" spans="3:103" x14ac:dyDescent="0.2">
      <c r="C304" s="1"/>
      <c r="D304" s="2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</row>
    <row r="305" spans="3:103" x14ac:dyDescent="0.2">
      <c r="C305" s="1"/>
      <c r="D305" s="2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</row>
    <row r="306" spans="3:103" x14ac:dyDescent="0.2">
      <c r="C306" s="1"/>
      <c r="D306" s="2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</row>
    <row r="307" spans="3:103" x14ac:dyDescent="0.2">
      <c r="C307" s="1"/>
      <c r="D307" s="2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</row>
    <row r="308" spans="3:103" x14ac:dyDescent="0.2">
      <c r="C308" s="1"/>
      <c r="D308" s="2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</row>
    <row r="309" spans="3:103" x14ac:dyDescent="0.2">
      <c r="C309" s="1"/>
      <c r="D309" s="2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</row>
    <row r="310" spans="3:103" x14ac:dyDescent="0.2">
      <c r="C310" s="1"/>
      <c r="D310" s="2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</row>
    <row r="311" spans="3:103" x14ac:dyDescent="0.2">
      <c r="C311" s="1"/>
      <c r="D311" s="2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</row>
    <row r="312" spans="3:103" x14ac:dyDescent="0.2">
      <c r="C312" s="1"/>
      <c r="D312" s="2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</row>
    <row r="313" spans="3:103" x14ac:dyDescent="0.2">
      <c r="C313" s="1"/>
      <c r="D313" s="2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</row>
    <row r="314" spans="3:103" x14ac:dyDescent="0.2">
      <c r="C314" s="1"/>
      <c r="D314" s="2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</row>
    <row r="315" spans="3:103" x14ac:dyDescent="0.2">
      <c r="C315" s="1"/>
      <c r="D315" s="2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</row>
    <row r="316" spans="3:103" x14ac:dyDescent="0.2">
      <c r="C316" s="1"/>
      <c r="D316" s="2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</row>
    <row r="317" spans="3:103" x14ac:dyDescent="0.2">
      <c r="C317" s="1"/>
      <c r="D317" s="2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</row>
    <row r="318" spans="3:103" x14ac:dyDescent="0.2">
      <c r="C318" s="1"/>
      <c r="D318" s="2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</row>
    <row r="319" spans="3:103" x14ac:dyDescent="0.2">
      <c r="C319" s="1"/>
      <c r="D319" s="2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</row>
    <row r="320" spans="3:103" x14ac:dyDescent="0.2">
      <c r="C320" s="1"/>
      <c r="D320" s="2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</row>
    <row r="321" spans="3:103" x14ac:dyDescent="0.2">
      <c r="C321" s="1"/>
      <c r="D321" s="2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</row>
    <row r="322" spans="3:103" x14ac:dyDescent="0.2">
      <c r="C322" s="1"/>
      <c r="D322" s="2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</row>
    <row r="323" spans="3:103" x14ac:dyDescent="0.2">
      <c r="C323" s="1"/>
      <c r="D323" s="2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</row>
    <row r="324" spans="3:103" x14ac:dyDescent="0.2">
      <c r="C324" s="1"/>
      <c r="D324" s="2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</row>
    <row r="325" spans="3:103" x14ac:dyDescent="0.2">
      <c r="C325" s="1"/>
      <c r="D325" s="2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</row>
    <row r="326" spans="3:103" x14ac:dyDescent="0.2">
      <c r="C326" s="1"/>
      <c r="D326" s="2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</row>
    <row r="327" spans="3:103" x14ac:dyDescent="0.2">
      <c r="C327" s="1"/>
      <c r="D327" s="2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</row>
    <row r="328" spans="3:103" x14ac:dyDescent="0.2">
      <c r="C328" s="1"/>
      <c r="D328" s="2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</row>
    <row r="329" spans="3:103" x14ac:dyDescent="0.2">
      <c r="C329" s="1"/>
      <c r="D329" s="2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</row>
    <row r="330" spans="3:103" x14ac:dyDescent="0.2">
      <c r="C330" s="1"/>
      <c r="D330" s="2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</row>
    <row r="331" spans="3:103" x14ac:dyDescent="0.2">
      <c r="C331" s="1"/>
      <c r="D331" s="2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</row>
    <row r="332" spans="3:103" x14ac:dyDescent="0.2">
      <c r="C332" s="1"/>
      <c r="D332" s="2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</row>
    <row r="333" spans="3:103" x14ac:dyDescent="0.2">
      <c r="C333" s="1"/>
      <c r="D333" s="2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</row>
    <row r="334" spans="3:103" x14ac:dyDescent="0.2">
      <c r="C334" s="1"/>
      <c r="D334" s="2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</row>
    <row r="335" spans="3:103" x14ac:dyDescent="0.2">
      <c r="C335" s="1"/>
      <c r="D335" s="2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</row>
    <row r="336" spans="3:103" x14ac:dyDescent="0.2">
      <c r="C336" s="1"/>
      <c r="D336" s="2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</row>
    <row r="337" spans="3:103" x14ac:dyDescent="0.2">
      <c r="C337" s="1"/>
      <c r="D337" s="2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</row>
    <row r="338" spans="3:103" x14ac:dyDescent="0.2">
      <c r="C338" s="1"/>
      <c r="D338" s="2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</row>
    <row r="339" spans="3:103" x14ac:dyDescent="0.2">
      <c r="C339" s="1"/>
      <c r="D339" s="2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</row>
    <row r="340" spans="3:103" x14ac:dyDescent="0.2">
      <c r="C340" s="1"/>
      <c r="D340" s="2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</row>
    <row r="341" spans="3:103" x14ac:dyDescent="0.2">
      <c r="C341" s="1"/>
      <c r="D341" s="2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</row>
    <row r="342" spans="3:103" x14ac:dyDescent="0.2">
      <c r="C342" s="1"/>
      <c r="D342" s="2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</row>
    <row r="343" spans="3:103" x14ac:dyDescent="0.2">
      <c r="C343" s="1"/>
      <c r="D343" s="2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</row>
    <row r="344" spans="3:103" x14ac:dyDescent="0.2">
      <c r="C344" s="1"/>
      <c r="D344" s="2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</row>
    <row r="345" spans="3:103" x14ac:dyDescent="0.2">
      <c r="C345" s="1"/>
      <c r="D345" s="2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</row>
    <row r="346" spans="3:103" x14ac:dyDescent="0.2">
      <c r="C346" s="1"/>
      <c r="D346" s="2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</row>
    <row r="347" spans="3:103" x14ac:dyDescent="0.2">
      <c r="C347" s="1"/>
      <c r="D347" s="2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</row>
    <row r="348" spans="3:103" x14ac:dyDescent="0.2">
      <c r="C348" s="1"/>
      <c r="D348" s="2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</row>
    <row r="349" spans="3:103" x14ac:dyDescent="0.2">
      <c r="C349" s="1"/>
      <c r="D349" s="2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</row>
    <row r="350" spans="3:103" x14ac:dyDescent="0.2">
      <c r="C350" s="1"/>
      <c r="D350" s="2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</row>
    <row r="351" spans="3:103" x14ac:dyDescent="0.2">
      <c r="C351" s="1"/>
      <c r="D351" s="2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</row>
    <row r="352" spans="3:103" x14ac:dyDescent="0.2">
      <c r="C352" s="1"/>
      <c r="D352" s="2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</row>
    <row r="353" spans="3:103" x14ac:dyDescent="0.2">
      <c r="C353" s="1"/>
      <c r="D353" s="2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</row>
    <row r="354" spans="3:103" x14ac:dyDescent="0.2">
      <c r="C354" s="1"/>
      <c r="D354" s="2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</row>
    <row r="355" spans="3:103" x14ac:dyDescent="0.2">
      <c r="C355" s="1"/>
      <c r="D355" s="2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</row>
    <row r="356" spans="3:103" x14ac:dyDescent="0.2">
      <c r="C356" s="1"/>
      <c r="D356" s="2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</row>
    <row r="357" spans="3:103" x14ac:dyDescent="0.2">
      <c r="C357" s="1"/>
      <c r="D357" s="2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</row>
    <row r="358" spans="3:103" x14ac:dyDescent="0.2">
      <c r="C358" s="1"/>
      <c r="D358" s="2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</row>
    <row r="359" spans="3:103" x14ac:dyDescent="0.2">
      <c r="C359" s="1"/>
      <c r="D359" s="2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</row>
    <row r="360" spans="3:103" x14ac:dyDescent="0.2">
      <c r="C360" s="1"/>
      <c r="D360" s="2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</row>
    <row r="361" spans="3:103" x14ac:dyDescent="0.2">
      <c r="C361" s="1"/>
      <c r="D361" s="2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</row>
    <row r="362" spans="3:103" x14ac:dyDescent="0.2">
      <c r="C362" s="1"/>
      <c r="D362" s="2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</row>
    <row r="363" spans="3:103" x14ac:dyDescent="0.2">
      <c r="C363" s="1"/>
      <c r="D363" s="2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</row>
    <row r="364" spans="3:103" x14ac:dyDescent="0.2">
      <c r="C364" s="1"/>
      <c r="D364" s="2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</row>
    <row r="365" spans="3:103" x14ac:dyDescent="0.2">
      <c r="C365" s="1"/>
      <c r="D365" s="2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</row>
    <row r="366" spans="3:103" x14ac:dyDescent="0.2">
      <c r="C366" s="1"/>
      <c r="D366" s="2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</row>
    <row r="367" spans="3:103" x14ac:dyDescent="0.2">
      <c r="C367" s="1"/>
      <c r="D367" s="2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</row>
    <row r="368" spans="3:103" x14ac:dyDescent="0.2">
      <c r="C368" s="1"/>
      <c r="D368" s="2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</row>
    <row r="369" spans="3:103" x14ac:dyDescent="0.2">
      <c r="C369" s="1"/>
      <c r="D369" s="2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</row>
    <row r="370" spans="3:103" x14ac:dyDescent="0.2">
      <c r="C370" s="1"/>
      <c r="D370" s="2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</row>
    <row r="371" spans="3:103" x14ac:dyDescent="0.2">
      <c r="C371" s="1"/>
      <c r="D371" s="2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</row>
    <row r="372" spans="3:103" x14ac:dyDescent="0.2">
      <c r="C372" s="1"/>
      <c r="D372" s="2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</row>
    <row r="373" spans="3:103" x14ac:dyDescent="0.2">
      <c r="C373" s="1"/>
      <c r="D373" s="2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</row>
    <row r="374" spans="3:103" x14ac:dyDescent="0.2">
      <c r="C374" s="1"/>
      <c r="D374" s="2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</row>
    <row r="375" spans="3:103" x14ac:dyDescent="0.2">
      <c r="C375" s="1"/>
      <c r="D375" s="2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</row>
    <row r="376" spans="3:103" x14ac:dyDescent="0.2">
      <c r="C376" s="1"/>
      <c r="D376" s="2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</row>
    <row r="377" spans="3:103" x14ac:dyDescent="0.2">
      <c r="C377" s="1"/>
      <c r="D377" s="2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</row>
    <row r="378" spans="3:103" x14ac:dyDescent="0.2">
      <c r="C378" s="1"/>
      <c r="D378" s="2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</row>
    <row r="379" spans="3:103" x14ac:dyDescent="0.2">
      <c r="C379" s="1"/>
      <c r="D379" s="2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</row>
    <row r="380" spans="3:103" x14ac:dyDescent="0.2">
      <c r="C380" s="1"/>
      <c r="D380" s="2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</row>
    <row r="381" spans="3:103" x14ac:dyDescent="0.2">
      <c r="C381" s="1"/>
      <c r="D381" s="2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</row>
    <row r="382" spans="3:103" x14ac:dyDescent="0.2">
      <c r="C382" s="1"/>
      <c r="D382" s="2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</row>
    <row r="383" spans="3:103" x14ac:dyDescent="0.2">
      <c r="C383" s="1"/>
      <c r="D383" s="2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</row>
    <row r="384" spans="3:103" x14ac:dyDescent="0.2">
      <c r="C384" s="1"/>
      <c r="D384" s="2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</row>
    <row r="385" spans="3:103" x14ac:dyDescent="0.2">
      <c r="C385" s="1"/>
      <c r="D385" s="2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</row>
    <row r="386" spans="3:103" x14ac:dyDescent="0.2">
      <c r="C386" s="1"/>
      <c r="D386" s="2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</row>
    <row r="387" spans="3:103" x14ac:dyDescent="0.2">
      <c r="C387" s="1"/>
      <c r="D387" s="2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</row>
    <row r="388" spans="3:103" x14ac:dyDescent="0.2">
      <c r="C388" s="1"/>
      <c r="D388" s="2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</row>
    <row r="389" spans="3:103" x14ac:dyDescent="0.2">
      <c r="C389" s="1"/>
      <c r="D389" s="2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</row>
    <row r="390" spans="3:103" x14ac:dyDescent="0.2">
      <c r="C390" s="1"/>
      <c r="D390" s="2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</row>
    <row r="391" spans="3:103" x14ac:dyDescent="0.2">
      <c r="C391" s="1"/>
      <c r="D391" s="2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</row>
    <row r="392" spans="3:103" x14ac:dyDescent="0.2">
      <c r="C392" s="1"/>
      <c r="D392" s="2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</row>
    <row r="393" spans="3:103" x14ac:dyDescent="0.2">
      <c r="C393" s="1"/>
      <c r="D393" s="2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</row>
    <row r="394" spans="3:103" x14ac:dyDescent="0.2">
      <c r="C394" s="1"/>
      <c r="D394" s="2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</row>
    <row r="395" spans="3:103" x14ac:dyDescent="0.2">
      <c r="C395" s="1"/>
      <c r="D395" s="2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</row>
    <row r="396" spans="3:103" x14ac:dyDescent="0.2">
      <c r="C396" s="1"/>
      <c r="D396" s="2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</row>
    <row r="397" spans="3:103" x14ac:dyDescent="0.2">
      <c r="C397" s="1"/>
      <c r="D397" s="2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</row>
    <row r="398" spans="3:103" x14ac:dyDescent="0.2">
      <c r="C398" s="1"/>
      <c r="D398" s="2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</row>
    <row r="399" spans="3:103" x14ac:dyDescent="0.2">
      <c r="C399" s="1"/>
      <c r="D399" s="2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</row>
    <row r="400" spans="3:103" x14ac:dyDescent="0.2">
      <c r="C400" s="1"/>
      <c r="D400" s="2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</row>
    <row r="401" spans="3:103" x14ac:dyDescent="0.2">
      <c r="C401" s="1"/>
      <c r="D401" s="2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</row>
    <row r="402" spans="3:103" x14ac:dyDescent="0.2">
      <c r="C402" s="1"/>
      <c r="D402" s="2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</row>
    <row r="403" spans="3:103" x14ac:dyDescent="0.2">
      <c r="C403" s="1"/>
      <c r="D403" s="2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</row>
    <row r="404" spans="3:103" x14ac:dyDescent="0.2">
      <c r="C404" s="1"/>
      <c r="D404" s="2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</row>
    <row r="405" spans="3:103" x14ac:dyDescent="0.2">
      <c r="C405" s="1"/>
      <c r="D405" s="2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</row>
    <row r="406" spans="3:103" x14ac:dyDescent="0.2">
      <c r="C406" s="1"/>
      <c r="D406" s="2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</row>
    <row r="407" spans="3:103" x14ac:dyDescent="0.2">
      <c r="C407" s="1"/>
      <c r="D407" s="2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</row>
    <row r="408" spans="3:103" x14ac:dyDescent="0.2">
      <c r="C408" s="1"/>
      <c r="D408" s="2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</row>
    <row r="409" spans="3:103" x14ac:dyDescent="0.2">
      <c r="C409" s="1"/>
      <c r="D409" s="2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</row>
    <row r="410" spans="3:103" x14ac:dyDescent="0.2">
      <c r="C410" s="1"/>
      <c r="D410" s="2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</row>
    <row r="411" spans="3:103" x14ac:dyDescent="0.2">
      <c r="C411" s="1"/>
      <c r="D411" s="2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</row>
    <row r="412" spans="3:103" x14ac:dyDescent="0.2">
      <c r="C412" s="1"/>
      <c r="D412" s="2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</row>
    <row r="413" spans="3:103" x14ac:dyDescent="0.2">
      <c r="C413" s="1"/>
      <c r="D413" s="2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</row>
    <row r="414" spans="3:103" x14ac:dyDescent="0.2">
      <c r="C414" s="1"/>
      <c r="D414" s="2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</row>
    <row r="415" spans="3:103" x14ac:dyDescent="0.2">
      <c r="C415" s="1"/>
      <c r="D415" s="2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</row>
    <row r="416" spans="3:103" x14ac:dyDescent="0.2">
      <c r="C416" s="1"/>
      <c r="D416" s="2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</row>
    <row r="417" spans="3:103" x14ac:dyDescent="0.2">
      <c r="C417" s="1"/>
      <c r="D417" s="2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</row>
    <row r="418" spans="3:103" x14ac:dyDescent="0.2">
      <c r="C418" s="1"/>
      <c r="D418" s="2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</row>
    <row r="419" spans="3:103" x14ac:dyDescent="0.2">
      <c r="C419" s="1"/>
      <c r="D419" s="2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</row>
    <row r="420" spans="3:103" x14ac:dyDescent="0.2">
      <c r="C420" s="1"/>
      <c r="D420" s="2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</row>
    <row r="421" spans="3:103" x14ac:dyDescent="0.2">
      <c r="C421" s="1"/>
      <c r="D421" s="2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</row>
    <row r="422" spans="3:103" x14ac:dyDescent="0.2">
      <c r="C422" s="1"/>
      <c r="D422" s="2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</row>
    <row r="423" spans="3:103" x14ac:dyDescent="0.2">
      <c r="C423" s="1"/>
      <c r="D423" s="2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</row>
    <row r="424" spans="3:103" x14ac:dyDescent="0.2">
      <c r="C424" s="1"/>
      <c r="D424" s="2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</row>
    <row r="425" spans="3:103" x14ac:dyDescent="0.2">
      <c r="C425" s="1"/>
      <c r="D425" s="2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</row>
    <row r="426" spans="3:103" x14ac:dyDescent="0.2">
      <c r="C426" s="1"/>
      <c r="D426" s="2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</row>
    <row r="427" spans="3:103" x14ac:dyDescent="0.2">
      <c r="C427" s="1"/>
      <c r="D427" s="2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</row>
    <row r="428" spans="3:103" x14ac:dyDescent="0.2">
      <c r="C428" s="1"/>
      <c r="D428" s="2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</row>
    <row r="429" spans="3:103" x14ac:dyDescent="0.2">
      <c r="C429" s="1"/>
      <c r="D429" s="2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</row>
    <row r="430" spans="3:103" x14ac:dyDescent="0.2">
      <c r="C430" s="1"/>
      <c r="D430" s="2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</row>
    <row r="431" spans="3:103" x14ac:dyDescent="0.2">
      <c r="C431" s="1"/>
      <c r="D431" s="2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</row>
    <row r="432" spans="3:103" x14ac:dyDescent="0.2">
      <c r="C432" s="1"/>
      <c r="D432" s="2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</row>
    <row r="433" spans="3:103" x14ac:dyDescent="0.2">
      <c r="C433" s="1"/>
      <c r="D433" s="2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</row>
    <row r="434" spans="3:103" x14ac:dyDescent="0.2">
      <c r="C434" s="1"/>
      <c r="D434" s="2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</row>
    <row r="435" spans="3:103" x14ac:dyDescent="0.2">
      <c r="C435" s="1"/>
      <c r="D435" s="2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</row>
    <row r="436" spans="3:103" x14ac:dyDescent="0.2">
      <c r="C436" s="1"/>
      <c r="D436" s="2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</row>
    <row r="437" spans="3:103" x14ac:dyDescent="0.2">
      <c r="C437" s="1"/>
      <c r="D437" s="2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</row>
    <row r="438" spans="3:103" x14ac:dyDescent="0.2">
      <c r="C438" s="1"/>
      <c r="D438" s="2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</row>
    <row r="439" spans="3:103" x14ac:dyDescent="0.2">
      <c r="C439" s="1"/>
      <c r="D439" s="2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</row>
    <row r="440" spans="3:103" x14ac:dyDescent="0.2">
      <c r="C440" s="1"/>
      <c r="D440" s="2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</row>
    <row r="441" spans="3:103" x14ac:dyDescent="0.2">
      <c r="C441" s="1"/>
      <c r="D441" s="2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</row>
    <row r="442" spans="3:103" x14ac:dyDescent="0.2">
      <c r="C442" s="1"/>
      <c r="D442" s="2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</row>
    <row r="443" spans="3:103" x14ac:dyDescent="0.2">
      <c r="C443" s="1"/>
      <c r="D443" s="2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</row>
    <row r="444" spans="3:103" x14ac:dyDescent="0.2">
      <c r="C444" s="1"/>
      <c r="D444" s="2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</row>
    <row r="445" spans="3:103" x14ac:dyDescent="0.2">
      <c r="C445" s="1"/>
      <c r="D445" s="2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</row>
    <row r="446" spans="3:103" x14ac:dyDescent="0.2">
      <c r="C446" s="1"/>
      <c r="D446" s="2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</row>
    <row r="447" spans="3:103" x14ac:dyDescent="0.2">
      <c r="C447" s="1"/>
      <c r="D447" s="2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</row>
    <row r="448" spans="3:103" x14ac:dyDescent="0.2">
      <c r="C448" s="1"/>
      <c r="D448" s="2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</row>
    <row r="449" spans="3:103" x14ac:dyDescent="0.2">
      <c r="C449" s="1"/>
      <c r="D449" s="2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</row>
    <row r="450" spans="3:103" x14ac:dyDescent="0.2">
      <c r="C450" s="1"/>
      <c r="D450" s="2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</row>
    <row r="451" spans="3:103" x14ac:dyDescent="0.2">
      <c r="C451" s="1"/>
      <c r="D451" s="2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</row>
    <row r="452" spans="3:103" x14ac:dyDescent="0.2">
      <c r="C452" s="1"/>
      <c r="D452" s="2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</row>
    <row r="453" spans="3:103" x14ac:dyDescent="0.2">
      <c r="C453" s="1"/>
      <c r="D453" s="2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</row>
    <row r="454" spans="3:103" x14ac:dyDescent="0.2">
      <c r="C454" s="1"/>
      <c r="D454" s="2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</row>
    <row r="455" spans="3:103" x14ac:dyDescent="0.2">
      <c r="C455" s="1"/>
      <c r="D455" s="2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</row>
    <row r="456" spans="3:103" x14ac:dyDescent="0.2">
      <c r="C456" s="1"/>
      <c r="D456" s="2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</row>
    <row r="457" spans="3:103" x14ac:dyDescent="0.2">
      <c r="C457" s="1"/>
      <c r="D457" s="2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</row>
    <row r="458" spans="3:103" x14ac:dyDescent="0.2">
      <c r="C458" s="1"/>
      <c r="D458" s="2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</row>
    <row r="459" spans="3:103" x14ac:dyDescent="0.2">
      <c r="C459" s="1"/>
      <c r="D459" s="2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</row>
    <row r="460" spans="3:103" x14ac:dyDescent="0.2">
      <c r="C460" s="1"/>
      <c r="D460" s="2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</row>
    <row r="461" spans="3:103" x14ac:dyDescent="0.2">
      <c r="C461" s="1"/>
      <c r="D461" s="2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</row>
    <row r="462" spans="3:103" x14ac:dyDescent="0.2">
      <c r="C462" s="1"/>
      <c r="D462" s="2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</row>
    <row r="463" spans="3:103" x14ac:dyDescent="0.2">
      <c r="C463" s="1"/>
      <c r="D463" s="2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</row>
    <row r="464" spans="3:103" x14ac:dyDescent="0.2">
      <c r="C464" s="1"/>
      <c r="D464" s="2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</row>
    <row r="465" spans="3:103" x14ac:dyDescent="0.2">
      <c r="C465" s="1"/>
      <c r="D465" s="2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</row>
    <row r="466" spans="3:103" x14ac:dyDescent="0.2">
      <c r="C466" s="1"/>
      <c r="D466" s="2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</row>
    <row r="467" spans="3:103" x14ac:dyDescent="0.2">
      <c r="C467" s="1"/>
      <c r="D467" s="2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</row>
    <row r="468" spans="3:103" x14ac:dyDescent="0.2">
      <c r="C468" s="1"/>
      <c r="D468" s="2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</row>
    <row r="469" spans="3:103" x14ac:dyDescent="0.2">
      <c r="C469" s="1"/>
      <c r="D469" s="2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</row>
    <row r="470" spans="3:103" x14ac:dyDescent="0.2">
      <c r="C470" s="1"/>
      <c r="D470" s="2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</row>
    <row r="471" spans="3:103" x14ac:dyDescent="0.2">
      <c r="C471" s="1"/>
      <c r="D471" s="2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</row>
    <row r="472" spans="3:103" x14ac:dyDescent="0.2">
      <c r="C472" s="1"/>
      <c r="D472" s="2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</row>
    <row r="473" spans="3:103" x14ac:dyDescent="0.2">
      <c r="C473" s="1"/>
      <c r="D473" s="2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</row>
    <row r="474" spans="3:103" x14ac:dyDescent="0.2">
      <c r="C474" s="1"/>
      <c r="D474" s="2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</row>
    <row r="475" spans="3:103" x14ac:dyDescent="0.2">
      <c r="C475" s="1"/>
      <c r="D475" s="2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</row>
    <row r="476" spans="3:103" x14ac:dyDescent="0.2">
      <c r="C476" s="1"/>
      <c r="D476" s="2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</row>
    <row r="477" spans="3:103" x14ac:dyDescent="0.2">
      <c r="C477" s="1"/>
      <c r="D477" s="2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</row>
    <row r="478" spans="3:103" x14ac:dyDescent="0.2">
      <c r="C478" s="1"/>
      <c r="D478" s="2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</row>
    <row r="479" spans="3:103" x14ac:dyDescent="0.2">
      <c r="C479" s="1"/>
      <c r="D479" s="2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</row>
    <row r="480" spans="3:103" x14ac:dyDescent="0.2">
      <c r="C480" s="1"/>
      <c r="D480" s="2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</row>
    <row r="481" spans="3:103" x14ac:dyDescent="0.2">
      <c r="C481" s="1"/>
      <c r="D481" s="2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</row>
    <row r="482" spans="3:103" x14ac:dyDescent="0.2">
      <c r="C482" s="1"/>
      <c r="D482" s="2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</row>
    <row r="483" spans="3:103" x14ac:dyDescent="0.2">
      <c r="C483" s="1"/>
      <c r="D483" s="2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</row>
    <row r="484" spans="3:103" x14ac:dyDescent="0.2">
      <c r="C484" s="1"/>
      <c r="D484" s="2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</row>
    <row r="485" spans="3:103" x14ac:dyDescent="0.2">
      <c r="C485" s="1"/>
      <c r="D485" s="2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</row>
    <row r="486" spans="3:103" x14ac:dyDescent="0.2">
      <c r="C486" s="1"/>
      <c r="D486" s="2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</row>
    <row r="487" spans="3:103" x14ac:dyDescent="0.2">
      <c r="C487" s="1"/>
      <c r="D487" s="2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</row>
    <row r="488" spans="3:103" x14ac:dyDescent="0.2">
      <c r="C488" s="1"/>
      <c r="D488" s="2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</row>
    <row r="489" spans="3:103" x14ac:dyDescent="0.2">
      <c r="C489" s="1"/>
      <c r="D489" s="2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</row>
    <row r="490" spans="3:103" x14ac:dyDescent="0.2">
      <c r="C490" s="1"/>
      <c r="D490" s="2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</row>
    <row r="491" spans="3:103" x14ac:dyDescent="0.2">
      <c r="C491" s="1"/>
      <c r="D491" s="2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</row>
    <row r="492" spans="3:103" x14ac:dyDescent="0.2">
      <c r="C492" s="1"/>
      <c r="D492" s="2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</row>
    <row r="493" spans="3:103" x14ac:dyDescent="0.2">
      <c r="C493" s="1"/>
      <c r="D493" s="2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</row>
    <row r="494" spans="3:103" x14ac:dyDescent="0.2">
      <c r="C494" s="1"/>
      <c r="D494" s="2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</row>
    <row r="495" spans="3:103" x14ac:dyDescent="0.2">
      <c r="C495" s="1"/>
      <c r="D495" s="2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</row>
    <row r="496" spans="3:103" x14ac:dyDescent="0.2">
      <c r="C496" s="1"/>
      <c r="D496" s="2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</row>
    <row r="497" spans="3:103" x14ac:dyDescent="0.2">
      <c r="C497" s="1"/>
      <c r="D497" s="2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</row>
    <row r="498" spans="3:103" x14ac:dyDescent="0.2">
      <c r="C498" s="1"/>
      <c r="D498" s="2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</row>
    <row r="499" spans="3:103" x14ac:dyDescent="0.2">
      <c r="C499" s="1"/>
      <c r="D499" s="2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</row>
    <row r="500" spans="3:103" x14ac:dyDescent="0.2">
      <c r="C500" s="1"/>
      <c r="D500" s="2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</row>
    <row r="501" spans="3:103" x14ac:dyDescent="0.2">
      <c r="C501" s="1"/>
      <c r="D501" s="2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</row>
    <row r="502" spans="3:103" x14ac:dyDescent="0.2">
      <c r="C502" s="1"/>
      <c r="D502" s="2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</row>
    <row r="503" spans="3:103" x14ac:dyDescent="0.2">
      <c r="C503" s="1"/>
      <c r="D503" s="2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</row>
    <row r="504" spans="3:103" x14ac:dyDescent="0.2">
      <c r="C504" s="1"/>
      <c r="D504" s="2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</row>
    <row r="505" spans="3:103" x14ac:dyDescent="0.2">
      <c r="C505" s="1"/>
      <c r="D505" s="2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</row>
    <row r="506" spans="3:103" x14ac:dyDescent="0.2">
      <c r="C506" s="1"/>
      <c r="D506" s="2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</row>
    <row r="507" spans="3:103" x14ac:dyDescent="0.2">
      <c r="C507" s="1"/>
      <c r="D507" s="2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</row>
    <row r="508" spans="3:103" x14ac:dyDescent="0.2">
      <c r="C508" s="1"/>
      <c r="D508" s="2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</row>
    <row r="509" spans="3:103" x14ac:dyDescent="0.2">
      <c r="C509" s="1"/>
      <c r="D509" s="2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</row>
    <row r="510" spans="3:103" x14ac:dyDescent="0.2">
      <c r="C510" s="1"/>
      <c r="D510" s="2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</row>
    <row r="511" spans="3:103" x14ac:dyDescent="0.2">
      <c r="C511" s="1"/>
      <c r="D511" s="2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</row>
    <row r="512" spans="3:103" x14ac:dyDescent="0.2">
      <c r="C512" s="1"/>
      <c r="D512" s="2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</row>
    <row r="513" spans="3:103" x14ac:dyDescent="0.2">
      <c r="C513" s="1"/>
      <c r="D513" s="2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</row>
    <row r="514" spans="3:103" x14ac:dyDescent="0.2">
      <c r="C514" s="1"/>
      <c r="D514" s="2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</row>
    <row r="515" spans="3:103" x14ac:dyDescent="0.2">
      <c r="C515" s="1"/>
      <c r="D515" s="2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</row>
    <row r="516" spans="3:103" x14ac:dyDescent="0.2">
      <c r="C516" s="1"/>
      <c r="D516" s="2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</row>
    <row r="517" spans="3:103" x14ac:dyDescent="0.2">
      <c r="C517" s="1"/>
      <c r="D517" s="2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</row>
    <row r="518" spans="3:103" x14ac:dyDescent="0.2">
      <c r="C518" s="1"/>
      <c r="D518" s="2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</row>
    <row r="519" spans="3:103" x14ac:dyDescent="0.2">
      <c r="C519" s="1"/>
      <c r="D519" s="2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</row>
    <row r="520" spans="3:103" x14ac:dyDescent="0.2">
      <c r="C520" s="1"/>
      <c r="D520" s="2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</row>
    <row r="521" spans="3:103" x14ac:dyDescent="0.2">
      <c r="C521" s="1"/>
      <c r="D521" s="2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</row>
    <row r="522" spans="3:103" x14ac:dyDescent="0.2">
      <c r="C522" s="1"/>
      <c r="D522" s="2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</row>
    <row r="523" spans="3:103" x14ac:dyDescent="0.2">
      <c r="C523" s="1"/>
      <c r="D523" s="2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</row>
    <row r="524" spans="3:103" x14ac:dyDescent="0.2">
      <c r="C524" s="1"/>
      <c r="D524" s="2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</row>
    <row r="525" spans="3:103" x14ac:dyDescent="0.2">
      <c r="C525" s="1"/>
      <c r="D525" s="2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</row>
    <row r="526" spans="3:103" x14ac:dyDescent="0.2">
      <c r="C526" s="1"/>
      <c r="D526" s="2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</row>
    <row r="527" spans="3:103" x14ac:dyDescent="0.2">
      <c r="C527" s="1"/>
      <c r="D527" s="2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</row>
    <row r="528" spans="3:103" x14ac:dyDescent="0.2">
      <c r="C528" s="1"/>
      <c r="D528" s="2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</row>
    <row r="529" spans="3:103" x14ac:dyDescent="0.2">
      <c r="C529" s="1"/>
      <c r="D529" s="2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</row>
    <row r="530" spans="3:103" x14ac:dyDescent="0.2">
      <c r="C530" s="1"/>
      <c r="D530" s="2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</row>
    <row r="531" spans="3:103" x14ac:dyDescent="0.2">
      <c r="C531" s="1"/>
      <c r="D531" s="2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</row>
    <row r="532" spans="3:103" x14ac:dyDescent="0.2">
      <c r="C532" s="1"/>
      <c r="D532" s="2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</row>
    <row r="533" spans="3:103" x14ac:dyDescent="0.2">
      <c r="C533" s="1"/>
      <c r="D533" s="2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</row>
    <row r="534" spans="3:103" x14ac:dyDescent="0.2">
      <c r="C534" s="1"/>
      <c r="D534" s="2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</row>
    <row r="535" spans="3:103" x14ac:dyDescent="0.2">
      <c r="C535" s="1"/>
      <c r="D535" s="2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</row>
    <row r="536" spans="3:103" x14ac:dyDescent="0.2">
      <c r="C536" s="1"/>
      <c r="D536" s="2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</row>
    <row r="537" spans="3:103" x14ac:dyDescent="0.2">
      <c r="C537" s="1"/>
      <c r="D537" s="2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</row>
    <row r="538" spans="3:103" x14ac:dyDescent="0.2">
      <c r="C538" s="1"/>
      <c r="D538" s="2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</row>
    <row r="539" spans="3:103" x14ac:dyDescent="0.2">
      <c r="C539" s="1"/>
      <c r="D539" s="2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</row>
    <row r="540" spans="3:103" x14ac:dyDescent="0.2">
      <c r="C540" s="1"/>
      <c r="D540" s="2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</row>
    <row r="541" spans="3:103" x14ac:dyDescent="0.2">
      <c r="C541" s="1"/>
      <c r="D541" s="2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</row>
    <row r="542" spans="3:103" x14ac:dyDescent="0.2">
      <c r="C542" s="1"/>
      <c r="D542" s="2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</row>
    <row r="543" spans="3:103" x14ac:dyDescent="0.2">
      <c r="C543" s="1"/>
      <c r="D543" s="2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</row>
    <row r="544" spans="3:103" x14ac:dyDescent="0.2">
      <c r="C544" s="1"/>
      <c r="D544" s="2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</row>
    <row r="545" spans="3:103" x14ac:dyDescent="0.2">
      <c r="C545" s="1"/>
      <c r="D545" s="2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</row>
    <row r="546" spans="3:103" x14ac:dyDescent="0.2">
      <c r="C546" s="1"/>
      <c r="D546" s="2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</row>
    <row r="547" spans="3:103" x14ac:dyDescent="0.2">
      <c r="C547" s="1"/>
      <c r="D547" s="2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</row>
    <row r="548" spans="3:103" x14ac:dyDescent="0.2">
      <c r="C548" s="1"/>
      <c r="D548" s="2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</row>
    <row r="549" spans="3:103" x14ac:dyDescent="0.2">
      <c r="C549" s="1"/>
      <c r="D549" s="2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</row>
    <row r="550" spans="3:103" x14ac:dyDescent="0.2">
      <c r="C550" s="1"/>
      <c r="D550" s="2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</row>
    <row r="551" spans="3:103" x14ac:dyDescent="0.2">
      <c r="C551" s="1"/>
      <c r="D551" s="2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</row>
    <row r="552" spans="3:103" x14ac:dyDescent="0.2">
      <c r="C552" s="1"/>
      <c r="D552" s="2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</row>
    <row r="553" spans="3:103" x14ac:dyDescent="0.2">
      <c r="C553" s="1"/>
      <c r="D553" s="2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</row>
    <row r="554" spans="3:103" x14ac:dyDescent="0.2">
      <c r="C554" s="1"/>
      <c r="D554" s="2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</row>
    <row r="555" spans="3:103" x14ac:dyDescent="0.2">
      <c r="C555" s="1"/>
      <c r="D555" s="2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</row>
    <row r="556" spans="3:103" x14ac:dyDescent="0.2">
      <c r="C556" s="1"/>
      <c r="D556" s="2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</row>
    <row r="557" spans="3:103" x14ac:dyDescent="0.2">
      <c r="C557" s="1"/>
      <c r="D557" s="2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</row>
    <row r="558" spans="3:103" x14ac:dyDescent="0.2">
      <c r="C558" s="1"/>
      <c r="D558" s="2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</row>
    <row r="559" spans="3:103" x14ac:dyDescent="0.2">
      <c r="C559" s="1"/>
      <c r="D559" s="2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</row>
    <row r="560" spans="3:103" x14ac:dyDescent="0.2">
      <c r="C560" s="1"/>
      <c r="D560" s="2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</row>
    <row r="561" spans="3:103" x14ac:dyDescent="0.2">
      <c r="C561" s="1"/>
      <c r="D561" s="2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</row>
    <row r="562" spans="3:103" x14ac:dyDescent="0.2">
      <c r="C562" s="1"/>
      <c r="D562" s="2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</row>
    <row r="563" spans="3:103" x14ac:dyDescent="0.2">
      <c r="C563" s="1"/>
      <c r="D563" s="2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</row>
    <row r="564" spans="3:103" x14ac:dyDescent="0.2">
      <c r="C564" s="1"/>
      <c r="D564" s="2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</row>
    <row r="565" spans="3:103" x14ac:dyDescent="0.2">
      <c r="C565" s="1"/>
      <c r="D565" s="2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</row>
    <row r="566" spans="3:103" x14ac:dyDescent="0.2">
      <c r="C566" s="1"/>
      <c r="D566" s="2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</row>
    <row r="567" spans="3:103" x14ac:dyDescent="0.2">
      <c r="C567" s="1"/>
      <c r="D567" s="2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</row>
    <row r="568" spans="3:103" x14ac:dyDescent="0.2">
      <c r="C568" s="1"/>
      <c r="D568" s="2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</row>
    <row r="569" spans="3:103" x14ac:dyDescent="0.2">
      <c r="C569" s="1"/>
      <c r="D569" s="2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</row>
    <row r="570" spans="3:103" x14ac:dyDescent="0.2">
      <c r="C570" s="1"/>
      <c r="D570" s="2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</row>
    <row r="571" spans="3:103" x14ac:dyDescent="0.2">
      <c r="C571" s="1"/>
      <c r="D571" s="2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</row>
    <row r="572" spans="3:103" x14ac:dyDescent="0.2">
      <c r="C572" s="1"/>
      <c r="D572" s="2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</row>
    <row r="573" spans="3:103" x14ac:dyDescent="0.2">
      <c r="C573" s="1"/>
      <c r="D573" s="2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</row>
    <row r="574" spans="3:103" x14ac:dyDescent="0.2">
      <c r="C574" s="1"/>
      <c r="D574" s="2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</row>
    <row r="575" spans="3:103" x14ac:dyDescent="0.2">
      <c r="C575" s="1"/>
      <c r="D575" s="2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</row>
    <row r="576" spans="3:103" x14ac:dyDescent="0.2">
      <c r="C576" s="1"/>
      <c r="D576" s="2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</row>
    <row r="577" spans="3:103" x14ac:dyDescent="0.2">
      <c r="C577" s="1"/>
      <c r="D577" s="2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</row>
    <row r="578" spans="3:103" x14ac:dyDescent="0.2">
      <c r="C578" s="1"/>
      <c r="D578" s="2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</row>
    <row r="579" spans="3:103" x14ac:dyDescent="0.2">
      <c r="C579" s="1"/>
      <c r="D579" s="2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</row>
    <row r="580" spans="3:103" x14ac:dyDescent="0.2">
      <c r="C580" s="1"/>
      <c r="D580" s="2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</row>
    <row r="581" spans="3:103" x14ac:dyDescent="0.2">
      <c r="C581" s="1"/>
      <c r="D581" s="2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</row>
    <row r="582" spans="3:103" x14ac:dyDescent="0.2">
      <c r="C582" s="1"/>
      <c r="D582" s="2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</row>
    <row r="583" spans="3:103" x14ac:dyDescent="0.2">
      <c r="C583" s="1"/>
      <c r="D583" s="2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</row>
    <row r="584" spans="3:103" x14ac:dyDescent="0.2">
      <c r="C584" s="1"/>
      <c r="D584" s="2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</row>
    <row r="585" spans="3:103" x14ac:dyDescent="0.2">
      <c r="C585" s="1"/>
      <c r="D585" s="2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</row>
    <row r="586" spans="3:103" x14ac:dyDescent="0.2">
      <c r="C586" s="1"/>
      <c r="D586" s="2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</row>
    <row r="587" spans="3:103" x14ac:dyDescent="0.2">
      <c r="C587" s="1"/>
      <c r="D587" s="2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</row>
    <row r="588" spans="3:103" x14ac:dyDescent="0.2">
      <c r="C588" s="1"/>
      <c r="D588" s="2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</row>
    <row r="589" spans="3:103" x14ac:dyDescent="0.2">
      <c r="C589" s="1"/>
      <c r="D589" s="2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</row>
    <row r="590" spans="3:103" x14ac:dyDescent="0.2">
      <c r="C590" s="1"/>
      <c r="D590" s="2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</row>
    <row r="591" spans="3:103" x14ac:dyDescent="0.2">
      <c r="C591" s="1"/>
      <c r="D591" s="2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</row>
    <row r="592" spans="3:103" x14ac:dyDescent="0.2">
      <c r="C592" s="1"/>
      <c r="D592" s="2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</row>
    <row r="593" spans="3:103" x14ac:dyDescent="0.2">
      <c r="C593" s="1"/>
      <c r="D593" s="2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</row>
    <row r="594" spans="3:103" x14ac:dyDescent="0.2">
      <c r="C594" s="1"/>
      <c r="D594" s="2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</row>
    <row r="595" spans="3:103" x14ac:dyDescent="0.2">
      <c r="C595" s="1"/>
      <c r="D595" s="2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</row>
    <row r="596" spans="3:103" x14ac:dyDescent="0.2">
      <c r="C596" s="1"/>
      <c r="D596" s="2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</row>
    <row r="597" spans="3:103" x14ac:dyDescent="0.2">
      <c r="C597" s="1"/>
      <c r="D597" s="2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</row>
    <row r="598" spans="3:103" x14ac:dyDescent="0.2">
      <c r="C598" s="1"/>
      <c r="D598" s="2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</row>
    <row r="599" spans="3:103" x14ac:dyDescent="0.2">
      <c r="C599" s="1"/>
      <c r="D599" s="2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</row>
    <row r="600" spans="3:103" x14ac:dyDescent="0.2">
      <c r="C600" s="1"/>
      <c r="D600" s="2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</row>
    <row r="601" spans="3:103" x14ac:dyDescent="0.2">
      <c r="C601" s="1"/>
      <c r="D601" s="2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</row>
    <row r="602" spans="3:103" x14ac:dyDescent="0.2">
      <c r="C602" s="1"/>
      <c r="D602" s="2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</row>
    <row r="603" spans="3:103" x14ac:dyDescent="0.2">
      <c r="C603" s="1"/>
      <c r="D603" s="2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</row>
    <row r="604" spans="3:103" x14ac:dyDescent="0.2">
      <c r="C604" s="1"/>
      <c r="D604" s="2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</row>
    <row r="605" spans="3:103" x14ac:dyDescent="0.2">
      <c r="C605" s="1"/>
      <c r="D605" s="2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</row>
    <row r="606" spans="3:103" x14ac:dyDescent="0.2">
      <c r="C606" s="1"/>
      <c r="D606" s="2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</row>
    <row r="607" spans="3:103" x14ac:dyDescent="0.2">
      <c r="C607" s="1"/>
      <c r="D607" s="2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</row>
    <row r="608" spans="3:103" x14ac:dyDescent="0.2">
      <c r="C608" s="1"/>
      <c r="D608" s="2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</row>
    <row r="609" spans="3:103" x14ac:dyDescent="0.2">
      <c r="C609" s="1"/>
      <c r="D609" s="2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</row>
    <row r="610" spans="3:103" x14ac:dyDescent="0.2">
      <c r="C610" s="1"/>
      <c r="D610" s="2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</row>
    <row r="611" spans="3:103" x14ac:dyDescent="0.2">
      <c r="C611" s="1"/>
      <c r="D611" s="2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</row>
    <row r="612" spans="3:103" x14ac:dyDescent="0.2">
      <c r="C612" s="1"/>
      <c r="D612" s="2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</row>
    <row r="613" spans="3:103" x14ac:dyDescent="0.2">
      <c r="C613" s="1"/>
      <c r="D613" s="2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</row>
    <row r="614" spans="3:103" x14ac:dyDescent="0.2">
      <c r="C614" s="1"/>
      <c r="D614" s="2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</row>
    <row r="615" spans="3:103" x14ac:dyDescent="0.2">
      <c r="C615" s="1"/>
      <c r="D615" s="2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</row>
    <row r="616" spans="3:103" x14ac:dyDescent="0.2">
      <c r="C616" s="1"/>
      <c r="D616" s="2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</row>
    <row r="617" spans="3:103" x14ac:dyDescent="0.2">
      <c r="C617" s="1"/>
      <c r="D617" s="2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</row>
    <row r="618" spans="3:103" x14ac:dyDescent="0.2">
      <c r="C618" s="1"/>
      <c r="D618" s="2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</row>
    <row r="619" spans="3:103" x14ac:dyDescent="0.2">
      <c r="C619" s="1"/>
      <c r="D619" s="2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</row>
    <row r="620" spans="3:103" x14ac:dyDescent="0.2">
      <c r="C620" s="1"/>
      <c r="D620" s="2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</row>
    <row r="621" spans="3:103" x14ac:dyDescent="0.2">
      <c r="C621" s="1"/>
      <c r="D621" s="2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</row>
    <row r="622" spans="3:103" x14ac:dyDescent="0.2">
      <c r="C622" s="1"/>
      <c r="D622" s="2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</row>
    <row r="623" spans="3:103" x14ac:dyDescent="0.2">
      <c r="C623" s="1"/>
      <c r="D623" s="2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</row>
    <row r="624" spans="3:103" x14ac:dyDescent="0.2">
      <c r="C624" s="1"/>
      <c r="D624" s="2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</row>
    <row r="625" spans="3:103" x14ac:dyDescent="0.2">
      <c r="C625" s="1"/>
      <c r="D625" s="2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</row>
    <row r="626" spans="3:103" x14ac:dyDescent="0.2">
      <c r="C626" s="1"/>
      <c r="D626" s="2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</row>
    <row r="627" spans="3:103" x14ac:dyDescent="0.2">
      <c r="C627" s="1"/>
      <c r="D627" s="2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</row>
    <row r="628" spans="3:103" x14ac:dyDescent="0.2">
      <c r="C628" s="1"/>
      <c r="D628" s="2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</row>
    <row r="629" spans="3:103" x14ac:dyDescent="0.2">
      <c r="C629" s="1"/>
      <c r="D629" s="2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</row>
    <row r="630" spans="3:103" x14ac:dyDescent="0.2">
      <c r="C630" s="1"/>
      <c r="D630" s="2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</row>
    <row r="631" spans="3:103" x14ac:dyDescent="0.2">
      <c r="C631" s="1"/>
      <c r="D631" s="2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</row>
    <row r="632" spans="3:103" x14ac:dyDescent="0.2">
      <c r="C632" s="1"/>
      <c r="D632" s="2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</row>
    <row r="633" spans="3:103" x14ac:dyDescent="0.2">
      <c r="C633" s="1"/>
      <c r="D633" s="2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</row>
    <row r="634" spans="3:103" x14ac:dyDescent="0.2">
      <c r="C634" s="1"/>
      <c r="D634" s="2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</row>
    <row r="635" spans="3:103" x14ac:dyDescent="0.2">
      <c r="C635" s="1"/>
      <c r="D635" s="2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</row>
    <row r="636" spans="3:103" x14ac:dyDescent="0.2">
      <c r="C636" s="1"/>
      <c r="D636" s="2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</row>
    <row r="637" spans="3:103" x14ac:dyDescent="0.2">
      <c r="C637" s="1"/>
      <c r="D637" s="2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</row>
    <row r="638" spans="3:103" x14ac:dyDescent="0.2">
      <c r="C638" s="1"/>
      <c r="D638" s="2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</row>
    <row r="639" spans="3:103" x14ac:dyDescent="0.2">
      <c r="C639" s="1"/>
      <c r="D639" s="2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</row>
    <row r="640" spans="3:103" x14ac:dyDescent="0.2">
      <c r="C640" s="1"/>
      <c r="D640" s="2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</row>
    <row r="641" spans="3:103" x14ac:dyDescent="0.2">
      <c r="C641" s="1"/>
      <c r="D641" s="2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</row>
    <row r="642" spans="3:103" x14ac:dyDescent="0.2">
      <c r="C642" s="1"/>
      <c r="D642" s="2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</row>
    <row r="643" spans="3:103" x14ac:dyDescent="0.2">
      <c r="C643" s="1"/>
      <c r="D643" s="2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</row>
    <row r="644" spans="3:103" x14ac:dyDescent="0.2">
      <c r="C644" s="1"/>
      <c r="D644" s="2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</row>
    <row r="645" spans="3:103" x14ac:dyDescent="0.2">
      <c r="C645" s="1"/>
      <c r="D645" s="2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</row>
    <row r="646" spans="3:103" x14ac:dyDescent="0.2">
      <c r="C646" s="1"/>
      <c r="D646" s="2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</row>
    <row r="647" spans="3:103" x14ac:dyDescent="0.2">
      <c r="C647" s="1"/>
      <c r="D647" s="2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</row>
    <row r="648" spans="3:103" x14ac:dyDescent="0.2">
      <c r="C648" s="1"/>
      <c r="D648" s="2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</row>
    <row r="649" spans="3:103" x14ac:dyDescent="0.2">
      <c r="C649" s="1"/>
      <c r="D649" s="2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</row>
    <row r="650" spans="3:103" x14ac:dyDescent="0.2">
      <c r="C650" s="1"/>
      <c r="D650" s="2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</row>
    <row r="651" spans="3:103" x14ac:dyDescent="0.2">
      <c r="C651" s="1"/>
      <c r="D651" s="2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</row>
    <row r="652" spans="3:103" x14ac:dyDescent="0.2">
      <c r="C652" s="1"/>
      <c r="D652" s="2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</row>
    <row r="653" spans="3:103" x14ac:dyDescent="0.2">
      <c r="C653" s="1"/>
      <c r="D653" s="2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</row>
    <row r="654" spans="3:103" x14ac:dyDescent="0.2">
      <c r="C654" s="1"/>
      <c r="D654" s="2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</row>
    <row r="655" spans="3:103" x14ac:dyDescent="0.2">
      <c r="C655" s="1"/>
      <c r="D655" s="2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</row>
    <row r="656" spans="3:103" x14ac:dyDescent="0.2">
      <c r="C656" s="1"/>
      <c r="D656" s="2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</row>
    <row r="657" spans="3:103" x14ac:dyDescent="0.2">
      <c r="C657" s="1"/>
      <c r="D657" s="2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</row>
    <row r="658" spans="3:103" x14ac:dyDescent="0.2">
      <c r="C658" s="1"/>
      <c r="D658" s="2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</row>
    <row r="659" spans="3:103" x14ac:dyDescent="0.2">
      <c r="C659" s="1"/>
      <c r="D659" s="2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</row>
    <row r="660" spans="3:103" x14ac:dyDescent="0.2">
      <c r="C660" s="1"/>
      <c r="D660" s="2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</row>
    <row r="661" spans="3:103" x14ac:dyDescent="0.2">
      <c r="C661" s="1"/>
      <c r="D661" s="2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</row>
    <row r="662" spans="3:103" x14ac:dyDescent="0.2">
      <c r="C662" s="1"/>
      <c r="D662" s="2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</row>
    <row r="663" spans="3:103" x14ac:dyDescent="0.2">
      <c r="C663" s="1"/>
      <c r="D663" s="2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</row>
    <row r="664" spans="3:103" x14ac:dyDescent="0.2">
      <c r="C664" s="1"/>
      <c r="D664" s="2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</row>
    <row r="665" spans="3:103" x14ac:dyDescent="0.2">
      <c r="C665" s="1"/>
      <c r="D665" s="2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</row>
    <row r="666" spans="3:103" x14ac:dyDescent="0.2">
      <c r="C666" s="1"/>
      <c r="D666" s="2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</row>
    <row r="667" spans="3:103" x14ac:dyDescent="0.2">
      <c r="C667" s="1"/>
      <c r="D667" s="2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</row>
    <row r="668" spans="3:103" x14ac:dyDescent="0.2">
      <c r="C668" s="1"/>
      <c r="D668" s="2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</row>
    <row r="669" spans="3:103" x14ac:dyDescent="0.2">
      <c r="C669" s="1"/>
      <c r="D669" s="2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</row>
    <row r="670" spans="3:103" x14ac:dyDescent="0.2">
      <c r="C670" s="1"/>
      <c r="D670" s="2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</row>
    <row r="671" spans="3:103" x14ac:dyDescent="0.2">
      <c r="C671" s="1"/>
      <c r="D671" s="2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</row>
    <row r="672" spans="3:103" x14ac:dyDescent="0.2">
      <c r="C672" s="1"/>
      <c r="D672" s="2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</row>
    <row r="673" spans="3:103" x14ac:dyDescent="0.2">
      <c r="C673" s="1"/>
      <c r="D673" s="2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</row>
    <row r="674" spans="3:103" x14ac:dyDescent="0.2">
      <c r="C674" s="1"/>
      <c r="D674" s="2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</row>
    <row r="675" spans="3:103" x14ac:dyDescent="0.2">
      <c r="C675" s="1"/>
      <c r="D675" s="2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</row>
    <row r="676" spans="3:103" x14ac:dyDescent="0.2">
      <c r="C676" s="1"/>
      <c r="D676" s="2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</row>
    <row r="677" spans="3:103" x14ac:dyDescent="0.2">
      <c r="C677" s="1"/>
      <c r="D677" s="2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</row>
    <row r="678" spans="3:103" x14ac:dyDescent="0.2">
      <c r="C678" s="1"/>
      <c r="D678" s="2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</row>
    <row r="679" spans="3:103" x14ac:dyDescent="0.2">
      <c r="C679" s="1"/>
      <c r="D679" s="2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</row>
    <row r="680" spans="3:103" x14ac:dyDescent="0.2">
      <c r="C680" s="1"/>
      <c r="D680" s="2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</row>
    <row r="681" spans="3:103" x14ac:dyDescent="0.2">
      <c r="C681" s="1"/>
      <c r="D681" s="2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</row>
    <row r="682" spans="3:103" x14ac:dyDescent="0.2">
      <c r="C682" s="1"/>
      <c r="D682" s="2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</row>
    <row r="683" spans="3:103" x14ac:dyDescent="0.2">
      <c r="C683" s="1"/>
      <c r="D683" s="2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</row>
    <row r="684" spans="3:103" x14ac:dyDescent="0.2">
      <c r="C684" s="1"/>
      <c r="D684" s="2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</row>
    <row r="685" spans="3:103" x14ac:dyDescent="0.2">
      <c r="C685" s="1"/>
      <c r="D685" s="2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</row>
    <row r="686" spans="3:103" x14ac:dyDescent="0.2">
      <c r="C686" s="1"/>
      <c r="D686" s="2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</row>
    <row r="687" spans="3:103" x14ac:dyDescent="0.2">
      <c r="C687" s="1"/>
      <c r="D687" s="2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</row>
    <row r="688" spans="3:103" x14ac:dyDescent="0.2">
      <c r="C688" s="1"/>
      <c r="D688" s="2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</row>
    <row r="689" spans="3:103" x14ac:dyDescent="0.2">
      <c r="C689" s="1"/>
      <c r="D689" s="2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</row>
    <row r="690" spans="3:103" x14ac:dyDescent="0.2">
      <c r="C690" s="1"/>
      <c r="D690" s="2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</row>
    <row r="691" spans="3:103" x14ac:dyDescent="0.2">
      <c r="C691" s="1"/>
      <c r="D691" s="2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</row>
    <row r="692" spans="3:103" x14ac:dyDescent="0.2">
      <c r="C692" s="1"/>
      <c r="D692" s="2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</row>
    <row r="693" spans="3:103" x14ac:dyDescent="0.2">
      <c r="C693" s="1"/>
      <c r="D693" s="2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</row>
    <row r="694" spans="3:103" x14ac:dyDescent="0.2">
      <c r="C694" s="1"/>
      <c r="D694" s="2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</row>
    <row r="695" spans="3:103" x14ac:dyDescent="0.2">
      <c r="C695" s="1"/>
      <c r="D695" s="2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</row>
    <row r="696" spans="3:103" x14ac:dyDescent="0.2">
      <c r="C696" s="1"/>
      <c r="D696" s="2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</row>
    <row r="697" spans="3:103" x14ac:dyDescent="0.2">
      <c r="C697" s="1"/>
      <c r="D697" s="2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</row>
    <row r="698" spans="3:103" x14ac:dyDescent="0.2">
      <c r="C698" s="1"/>
      <c r="D698" s="2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</row>
    <row r="699" spans="3:103" x14ac:dyDescent="0.2">
      <c r="C699" s="1"/>
      <c r="D699" s="2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</row>
    <row r="700" spans="3:103" x14ac:dyDescent="0.2">
      <c r="C700" s="1"/>
      <c r="D700" s="2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</row>
    <row r="701" spans="3:103" x14ac:dyDescent="0.2">
      <c r="C701" s="1"/>
      <c r="D701" s="2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</row>
    <row r="702" spans="3:103" x14ac:dyDescent="0.2">
      <c r="C702" s="1"/>
      <c r="D702" s="2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</row>
    <row r="703" spans="3:103" x14ac:dyDescent="0.2">
      <c r="C703" s="1"/>
      <c r="D703" s="2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</row>
    <row r="704" spans="3:103" x14ac:dyDescent="0.2">
      <c r="C704" s="1"/>
      <c r="D704" s="2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</row>
    <row r="705" spans="3:103" x14ac:dyDescent="0.2">
      <c r="C705" s="1"/>
      <c r="D705" s="2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</row>
    <row r="706" spans="3:103" x14ac:dyDescent="0.2">
      <c r="C706" s="1"/>
      <c r="D706" s="2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</row>
    <row r="707" spans="3:103" x14ac:dyDescent="0.2">
      <c r="C707" s="1"/>
      <c r="D707" s="2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</row>
    <row r="708" spans="3:103" x14ac:dyDescent="0.2">
      <c r="C708" s="1"/>
      <c r="D708" s="2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</row>
    <row r="709" spans="3:103" x14ac:dyDescent="0.2">
      <c r="C709" s="1"/>
      <c r="D709" s="2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</row>
    <row r="710" spans="3:103" x14ac:dyDescent="0.2">
      <c r="C710" s="1"/>
      <c r="D710" s="2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</row>
    <row r="711" spans="3:103" x14ac:dyDescent="0.2">
      <c r="C711" s="1"/>
      <c r="D711" s="2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</row>
    <row r="712" spans="3:103" x14ac:dyDescent="0.2">
      <c r="C712" s="1"/>
      <c r="D712" s="2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</row>
    <row r="713" spans="3:103" x14ac:dyDescent="0.2">
      <c r="C713" s="1"/>
      <c r="D713" s="2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</row>
    <row r="714" spans="3:103" x14ac:dyDescent="0.2">
      <c r="C714" s="1"/>
      <c r="D714" s="2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</row>
    <row r="715" spans="3:103" x14ac:dyDescent="0.2">
      <c r="C715" s="1"/>
      <c r="D715" s="2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</row>
    <row r="716" spans="3:103" x14ac:dyDescent="0.2">
      <c r="C716" s="1"/>
      <c r="D716" s="2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</row>
    <row r="717" spans="3:103" x14ac:dyDescent="0.2">
      <c r="C717" s="1"/>
      <c r="D717" s="2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</row>
    <row r="718" spans="3:103" x14ac:dyDescent="0.2">
      <c r="C718" s="1"/>
      <c r="D718" s="2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</row>
    <row r="719" spans="3:103" x14ac:dyDescent="0.2">
      <c r="C719" s="1"/>
      <c r="D719" s="2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</row>
    <row r="720" spans="3:103" x14ac:dyDescent="0.2">
      <c r="C720" s="1"/>
      <c r="D720" s="2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</row>
    <row r="721" spans="3:103" x14ac:dyDescent="0.2">
      <c r="C721" s="1"/>
      <c r="D721" s="2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</row>
    <row r="722" spans="3:103" x14ac:dyDescent="0.2">
      <c r="C722" s="1"/>
      <c r="D722" s="2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</row>
    <row r="723" spans="3:103" x14ac:dyDescent="0.2">
      <c r="C723" s="1"/>
      <c r="D723" s="2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</row>
    <row r="724" spans="3:103" x14ac:dyDescent="0.2">
      <c r="C724" s="1"/>
      <c r="D724" s="2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</row>
    <row r="725" spans="3:103" x14ac:dyDescent="0.2">
      <c r="C725" s="1"/>
      <c r="D725" s="2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</row>
    <row r="726" spans="3:103" x14ac:dyDescent="0.2">
      <c r="C726" s="1"/>
      <c r="D726" s="2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</row>
    <row r="727" spans="3:103" x14ac:dyDescent="0.2">
      <c r="C727" s="1"/>
      <c r="D727" s="2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</row>
    <row r="728" spans="3:103" x14ac:dyDescent="0.2">
      <c r="C728" s="1"/>
      <c r="D728" s="2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</row>
    <row r="729" spans="3:103" x14ac:dyDescent="0.2">
      <c r="C729" s="1"/>
      <c r="D729" s="2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</row>
    <row r="730" spans="3:103" x14ac:dyDescent="0.2">
      <c r="C730" s="1"/>
      <c r="D730" s="2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</row>
    <row r="731" spans="3:103" x14ac:dyDescent="0.2">
      <c r="C731" s="1"/>
      <c r="D731" s="2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</row>
    <row r="732" spans="3:103" x14ac:dyDescent="0.2">
      <c r="C732" s="1"/>
      <c r="D732" s="2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</row>
    <row r="733" spans="3:103" x14ac:dyDescent="0.2">
      <c r="C733" s="1"/>
      <c r="D733" s="2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</row>
    <row r="734" spans="3:103" x14ac:dyDescent="0.2">
      <c r="C734" s="1"/>
      <c r="D734" s="2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</row>
    <row r="735" spans="3:103" x14ac:dyDescent="0.2">
      <c r="C735" s="1"/>
      <c r="D735" s="2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</row>
    <row r="736" spans="3:103" x14ac:dyDescent="0.2">
      <c r="C736" s="1"/>
      <c r="D736" s="2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</row>
    <row r="737" spans="3:103" x14ac:dyDescent="0.2">
      <c r="C737" s="1"/>
      <c r="D737" s="2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</row>
    <row r="738" spans="3:103" x14ac:dyDescent="0.2">
      <c r="C738" s="1"/>
      <c r="D738" s="2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</row>
    <row r="739" spans="3:103" x14ac:dyDescent="0.2">
      <c r="C739" s="1"/>
      <c r="D739" s="2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</row>
    <row r="740" spans="3:103" x14ac:dyDescent="0.2">
      <c r="C740" s="1"/>
      <c r="D740" s="2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</row>
    <row r="741" spans="3:103" x14ac:dyDescent="0.2">
      <c r="C741" s="1"/>
      <c r="D741" s="2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</row>
    <row r="742" spans="3:103" x14ac:dyDescent="0.2">
      <c r="C742" s="1"/>
      <c r="D742" s="2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</row>
    <row r="743" spans="3:103" x14ac:dyDescent="0.2">
      <c r="C743" s="1"/>
      <c r="D743" s="2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</row>
    <row r="744" spans="3:103" x14ac:dyDescent="0.2">
      <c r="C744" s="1"/>
      <c r="D744" s="2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</row>
    <row r="745" spans="3:103" x14ac:dyDescent="0.2">
      <c r="C745" s="1"/>
      <c r="D745" s="2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</row>
    <row r="746" spans="3:103" x14ac:dyDescent="0.2">
      <c r="C746" s="1"/>
      <c r="D746" s="2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</row>
    <row r="747" spans="3:103" x14ac:dyDescent="0.2">
      <c r="C747" s="1"/>
      <c r="D747" s="2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</row>
    <row r="748" spans="3:103" x14ac:dyDescent="0.2">
      <c r="C748" s="1"/>
      <c r="D748" s="2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</row>
    <row r="749" spans="3:103" x14ac:dyDescent="0.2">
      <c r="C749" s="1"/>
      <c r="D749" s="2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</row>
    <row r="750" spans="3:103" x14ac:dyDescent="0.2">
      <c r="C750" s="1"/>
      <c r="D750" s="2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</row>
    <row r="751" spans="3:103" x14ac:dyDescent="0.2">
      <c r="C751" s="1"/>
      <c r="D751" s="2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</row>
    <row r="752" spans="3:103" x14ac:dyDescent="0.2">
      <c r="C752" s="1"/>
      <c r="D752" s="2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</row>
    <row r="753" spans="3:103" x14ac:dyDescent="0.2">
      <c r="C753" s="1"/>
      <c r="D753" s="2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</row>
    <row r="754" spans="3:103" x14ac:dyDescent="0.2">
      <c r="C754" s="1"/>
      <c r="D754" s="2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</row>
    <row r="755" spans="3:103" x14ac:dyDescent="0.2">
      <c r="C755" s="1"/>
      <c r="D755" s="2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</row>
    <row r="756" spans="3:103" x14ac:dyDescent="0.2">
      <c r="C756" s="1"/>
      <c r="D756" s="2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</row>
    <row r="757" spans="3:103" x14ac:dyDescent="0.2">
      <c r="C757" s="1"/>
      <c r="D757" s="2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</row>
    <row r="758" spans="3:103" x14ac:dyDescent="0.2">
      <c r="C758" s="1"/>
      <c r="D758" s="2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</row>
    <row r="759" spans="3:103" x14ac:dyDescent="0.2">
      <c r="C759" s="1"/>
      <c r="D759" s="2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</row>
    <row r="760" spans="3:103" x14ac:dyDescent="0.2">
      <c r="C760" s="1"/>
      <c r="D760" s="2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</row>
    <row r="761" spans="3:103" x14ac:dyDescent="0.2">
      <c r="C761" s="1"/>
      <c r="D761" s="2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</row>
    <row r="762" spans="3:103" x14ac:dyDescent="0.2">
      <c r="C762" s="1"/>
      <c r="D762" s="2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</row>
    <row r="763" spans="3:103" x14ac:dyDescent="0.2">
      <c r="C763" s="1"/>
      <c r="D763" s="2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</row>
    <row r="764" spans="3:103" x14ac:dyDescent="0.2">
      <c r="C764" s="1"/>
      <c r="D764" s="2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</row>
    <row r="765" spans="3:103" x14ac:dyDescent="0.2">
      <c r="C765" s="1"/>
      <c r="D765" s="2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</row>
    <row r="766" spans="3:103" x14ac:dyDescent="0.2">
      <c r="C766" s="1"/>
      <c r="D766" s="2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</row>
    <row r="767" spans="3:103" x14ac:dyDescent="0.2">
      <c r="C767" s="1"/>
      <c r="D767" s="2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</row>
    <row r="768" spans="3:103" x14ac:dyDescent="0.2">
      <c r="C768" s="1"/>
      <c r="D768" s="2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</row>
    <row r="769" spans="3:103" x14ac:dyDescent="0.2">
      <c r="C769" s="1"/>
      <c r="D769" s="2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</row>
    <row r="770" spans="3:103" x14ac:dyDescent="0.2">
      <c r="C770" s="1"/>
      <c r="D770" s="2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</row>
    <row r="771" spans="3:103" x14ac:dyDescent="0.2">
      <c r="C771" s="1"/>
      <c r="D771" s="2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</row>
    <row r="772" spans="3:103" x14ac:dyDescent="0.2">
      <c r="C772" s="1"/>
      <c r="D772" s="2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</row>
    <row r="773" spans="3:103" x14ac:dyDescent="0.2">
      <c r="C773" s="1"/>
      <c r="D773" s="2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</row>
    <row r="774" spans="3:103" x14ac:dyDescent="0.2">
      <c r="C774" s="1"/>
      <c r="D774" s="2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</row>
    <row r="775" spans="3:103" x14ac:dyDescent="0.2">
      <c r="C775" s="1"/>
      <c r="D775" s="2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</row>
    <row r="776" spans="3:103" x14ac:dyDescent="0.2">
      <c r="C776" s="1"/>
      <c r="D776" s="2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</row>
    <row r="777" spans="3:103" x14ac:dyDescent="0.2">
      <c r="C777" s="1"/>
      <c r="D777" s="2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</row>
    <row r="778" spans="3:103" x14ac:dyDescent="0.2">
      <c r="C778" s="1"/>
      <c r="D778" s="2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</row>
    <row r="779" spans="3:103" x14ac:dyDescent="0.2">
      <c r="C779" s="1"/>
      <c r="D779" s="2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</row>
    <row r="780" spans="3:103" x14ac:dyDescent="0.2">
      <c r="C780" s="1"/>
      <c r="D780" s="2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</row>
    <row r="781" spans="3:103" x14ac:dyDescent="0.2">
      <c r="C781" s="1"/>
      <c r="D781" s="2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</row>
    <row r="782" spans="3:103" x14ac:dyDescent="0.2">
      <c r="C782" s="1"/>
      <c r="D782" s="2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</row>
    <row r="783" spans="3:103" x14ac:dyDescent="0.2">
      <c r="C783" s="1"/>
      <c r="D783" s="2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</row>
    <row r="784" spans="3:103" x14ac:dyDescent="0.2">
      <c r="C784" s="1"/>
      <c r="D784" s="2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</row>
    <row r="785" spans="3:103" x14ac:dyDescent="0.2">
      <c r="C785" s="1"/>
      <c r="D785" s="2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</row>
    <row r="786" spans="3:103" x14ac:dyDescent="0.2">
      <c r="C786" s="1"/>
      <c r="D786" s="2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</row>
    <row r="787" spans="3:103" x14ac:dyDescent="0.2">
      <c r="C787" s="1"/>
      <c r="D787" s="2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</row>
    <row r="788" spans="3:103" x14ac:dyDescent="0.2">
      <c r="C788" s="1"/>
      <c r="D788" s="2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</row>
    <row r="789" spans="3:103" x14ac:dyDescent="0.2">
      <c r="C789" s="1"/>
      <c r="D789" s="2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</row>
    <row r="790" spans="3:103" x14ac:dyDescent="0.2">
      <c r="C790" s="1"/>
      <c r="D790" s="2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</row>
    <row r="791" spans="3:103" x14ac:dyDescent="0.2">
      <c r="C791" s="1"/>
      <c r="D791" s="2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</row>
    <row r="792" spans="3:103" x14ac:dyDescent="0.2">
      <c r="C792" s="1"/>
      <c r="D792" s="2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</row>
    <row r="793" spans="3:103" x14ac:dyDescent="0.2">
      <c r="C793" s="1"/>
      <c r="D793" s="2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</row>
    <row r="794" spans="3:103" x14ac:dyDescent="0.2">
      <c r="C794" s="1"/>
      <c r="D794" s="2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</row>
    <row r="795" spans="3:103" x14ac:dyDescent="0.2">
      <c r="C795" s="1"/>
      <c r="D795" s="2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</row>
    <row r="796" spans="3:103" x14ac:dyDescent="0.2">
      <c r="C796" s="1"/>
      <c r="D796" s="2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</row>
    <row r="797" spans="3:103" x14ac:dyDescent="0.2">
      <c r="C797" s="1"/>
      <c r="D797" s="2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</row>
    <row r="798" spans="3:103" x14ac:dyDescent="0.2">
      <c r="C798" s="1"/>
      <c r="D798" s="2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</row>
    <row r="799" spans="3:103" x14ac:dyDescent="0.2">
      <c r="C799" s="1"/>
      <c r="D799" s="2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</row>
    <row r="800" spans="3:103" x14ac:dyDescent="0.2">
      <c r="C800" s="1"/>
      <c r="D800" s="2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</row>
    <row r="801" spans="3:103" x14ac:dyDescent="0.2">
      <c r="C801" s="1"/>
      <c r="D801" s="2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</row>
    <row r="802" spans="3:103" x14ac:dyDescent="0.2">
      <c r="C802" s="1"/>
      <c r="D802" s="2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</row>
    <row r="803" spans="3:103" x14ac:dyDescent="0.2">
      <c r="C803" s="1"/>
      <c r="D803" s="2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</row>
    <row r="804" spans="3:103" x14ac:dyDescent="0.2">
      <c r="C804" s="1"/>
      <c r="D804" s="2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</row>
    <row r="805" spans="3:103" x14ac:dyDescent="0.2">
      <c r="C805" s="1"/>
      <c r="D805" s="2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</row>
    <row r="806" spans="3:103" x14ac:dyDescent="0.2">
      <c r="C806" s="1"/>
      <c r="D806" s="2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</row>
    <row r="807" spans="3:103" x14ac:dyDescent="0.2">
      <c r="C807" s="1"/>
      <c r="D807" s="2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</row>
    <row r="808" spans="3:103" x14ac:dyDescent="0.2">
      <c r="C808" s="1"/>
      <c r="D808" s="2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</row>
    <row r="809" spans="3:103" x14ac:dyDescent="0.2">
      <c r="C809" s="1"/>
      <c r="D809" s="2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</row>
    <row r="810" spans="3:103" x14ac:dyDescent="0.2">
      <c r="C810" s="1"/>
      <c r="D810" s="2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</row>
    <row r="811" spans="3:103" x14ac:dyDescent="0.2">
      <c r="C811" s="1"/>
      <c r="D811" s="2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</row>
    <row r="812" spans="3:103" x14ac:dyDescent="0.2">
      <c r="C812" s="1"/>
      <c r="D812" s="2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</row>
    <row r="813" spans="3:103" x14ac:dyDescent="0.2">
      <c r="C813" s="1"/>
      <c r="D813" s="2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</row>
    <row r="814" spans="3:103" x14ac:dyDescent="0.2">
      <c r="C814" s="1"/>
      <c r="D814" s="2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</row>
    <row r="815" spans="3:103" x14ac:dyDescent="0.2">
      <c r="C815" s="1"/>
      <c r="D815" s="2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</row>
    <row r="816" spans="3:103" x14ac:dyDescent="0.2">
      <c r="C816" s="1"/>
      <c r="D816" s="2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</row>
    <row r="817" spans="3:103" x14ac:dyDescent="0.2">
      <c r="C817" s="1"/>
      <c r="D817" s="2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</row>
    <row r="818" spans="3:103" x14ac:dyDescent="0.2">
      <c r="C818" s="1"/>
      <c r="D818" s="2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</row>
    <row r="819" spans="3:103" x14ac:dyDescent="0.2">
      <c r="C819" s="1"/>
      <c r="D819" s="2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</row>
    <row r="820" spans="3:103" x14ac:dyDescent="0.2">
      <c r="C820" s="1"/>
      <c r="D820" s="2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</row>
    <row r="821" spans="3:103" x14ac:dyDescent="0.2">
      <c r="C821" s="1"/>
      <c r="D821" s="2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</row>
    <row r="822" spans="3:103" x14ac:dyDescent="0.2">
      <c r="C822" s="1"/>
      <c r="D822" s="2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</row>
    <row r="823" spans="3:103" x14ac:dyDescent="0.2">
      <c r="C823" s="1"/>
      <c r="D823" s="2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</row>
    <row r="824" spans="3:103" x14ac:dyDescent="0.2">
      <c r="C824" s="1"/>
      <c r="D824" s="2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</row>
    <row r="825" spans="3:103" x14ac:dyDescent="0.2">
      <c r="C825" s="1"/>
      <c r="D825" s="2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</row>
    <row r="826" spans="3:103" x14ac:dyDescent="0.2">
      <c r="C826" s="1"/>
      <c r="D826" s="2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</row>
    <row r="827" spans="3:103" x14ac:dyDescent="0.2">
      <c r="C827" s="1"/>
      <c r="D827" s="2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</row>
    <row r="828" spans="3:103" x14ac:dyDescent="0.2">
      <c r="C828" s="1"/>
      <c r="D828" s="2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</row>
    <row r="829" spans="3:103" x14ac:dyDescent="0.2">
      <c r="C829" s="1"/>
      <c r="D829" s="2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</row>
    <row r="830" spans="3:103" x14ac:dyDescent="0.2">
      <c r="C830" s="1"/>
      <c r="D830" s="2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</row>
    <row r="831" spans="3:103" x14ac:dyDescent="0.2">
      <c r="C831" s="1"/>
      <c r="D831" s="2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</row>
    <row r="832" spans="3:103" x14ac:dyDescent="0.2">
      <c r="C832" s="1"/>
      <c r="D832" s="2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</row>
    <row r="833" spans="3:103" x14ac:dyDescent="0.2">
      <c r="C833" s="1"/>
      <c r="D833" s="2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</row>
    <row r="834" spans="3:103" x14ac:dyDescent="0.2">
      <c r="C834" s="1"/>
      <c r="D834" s="2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</row>
    <row r="835" spans="3:103" x14ac:dyDescent="0.2">
      <c r="C835" s="1"/>
      <c r="D835" s="2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</row>
    <row r="836" spans="3:103" x14ac:dyDescent="0.2">
      <c r="C836" s="1"/>
      <c r="D836" s="2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</row>
    <row r="837" spans="3:103" x14ac:dyDescent="0.2">
      <c r="C837" s="1"/>
      <c r="D837" s="2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</row>
    <row r="838" spans="3:103" x14ac:dyDescent="0.2">
      <c r="C838" s="1"/>
      <c r="D838" s="2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</row>
    <row r="839" spans="3:103" x14ac:dyDescent="0.2">
      <c r="C839" s="1"/>
      <c r="D839" s="2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</row>
    <row r="840" spans="3:103" x14ac:dyDescent="0.2">
      <c r="C840" s="1"/>
      <c r="D840" s="2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</row>
    <row r="841" spans="3:103" x14ac:dyDescent="0.2">
      <c r="C841" s="1"/>
      <c r="D841" s="2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</row>
    <row r="842" spans="3:103" x14ac:dyDescent="0.2">
      <c r="C842" s="1"/>
      <c r="D842" s="2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</row>
    <row r="843" spans="3:103" x14ac:dyDescent="0.2">
      <c r="C843" s="1"/>
      <c r="D843" s="2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</row>
    <row r="844" spans="3:103" x14ac:dyDescent="0.2">
      <c r="C844" s="1"/>
      <c r="D844" s="2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</row>
    <row r="845" spans="3:103" x14ac:dyDescent="0.2">
      <c r="C845" s="1"/>
      <c r="D845" s="2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</row>
    <row r="846" spans="3:103" x14ac:dyDescent="0.2">
      <c r="C846" s="1"/>
      <c r="D846" s="2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</row>
    <row r="847" spans="3:103" x14ac:dyDescent="0.2">
      <c r="C847" s="1"/>
      <c r="D847" s="2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</row>
    <row r="848" spans="3:103" x14ac:dyDescent="0.2">
      <c r="C848" s="1"/>
      <c r="D848" s="2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</row>
    <row r="849" spans="3:103" x14ac:dyDescent="0.2">
      <c r="C849" s="1"/>
      <c r="D849" s="2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</row>
    <row r="850" spans="3:103" x14ac:dyDescent="0.2">
      <c r="C850" s="1"/>
      <c r="D850" s="2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</row>
    <row r="851" spans="3:103" x14ac:dyDescent="0.2">
      <c r="C851" s="1"/>
      <c r="D851" s="2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</row>
    <row r="852" spans="3:103" x14ac:dyDescent="0.2">
      <c r="C852" s="1"/>
      <c r="D852" s="2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</row>
    <row r="853" spans="3:103" x14ac:dyDescent="0.2">
      <c r="C853" s="1"/>
      <c r="D853" s="2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</row>
    <row r="854" spans="3:103" x14ac:dyDescent="0.2">
      <c r="C854" s="1"/>
      <c r="D854" s="2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</row>
    <row r="855" spans="3:103" x14ac:dyDescent="0.2">
      <c r="C855" s="1"/>
      <c r="D855" s="2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</row>
    <row r="856" spans="3:103" x14ac:dyDescent="0.2">
      <c r="C856" s="1"/>
      <c r="D856" s="2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</row>
    <row r="857" spans="3:103" x14ac:dyDescent="0.2">
      <c r="C857" s="1"/>
      <c r="D857" s="2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</row>
    <row r="858" spans="3:103" x14ac:dyDescent="0.2">
      <c r="C858" s="1"/>
      <c r="D858" s="2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</row>
    <row r="859" spans="3:103" x14ac:dyDescent="0.2">
      <c r="C859" s="1"/>
      <c r="D859" s="2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</row>
    <row r="860" spans="3:103" x14ac:dyDescent="0.2">
      <c r="C860" s="1"/>
      <c r="D860" s="2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</row>
    <row r="861" spans="3:103" x14ac:dyDescent="0.2">
      <c r="C861" s="1"/>
      <c r="D861" s="2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</row>
    <row r="862" spans="3:103" x14ac:dyDescent="0.2">
      <c r="C862" s="1"/>
      <c r="D862" s="2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</row>
    <row r="863" spans="3:103" x14ac:dyDescent="0.2">
      <c r="C863" s="1"/>
      <c r="D863" s="2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</row>
    <row r="864" spans="3:103" x14ac:dyDescent="0.2">
      <c r="C864" s="1"/>
      <c r="D864" s="2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</row>
    <row r="865" spans="3:103" x14ac:dyDescent="0.2">
      <c r="C865" s="1"/>
      <c r="D865" s="2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</row>
    <row r="866" spans="3:103" x14ac:dyDescent="0.2">
      <c r="C866" s="1"/>
      <c r="D866" s="2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</row>
    <row r="867" spans="3:103" x14ac:dyDescent="0.2">
      <c r="C867" s="1"/>
      <c r="D867" s="2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</row>
    <row r="868" spans="3:103" x14ac:dyDescent="0.2">
      <c r="C868" s="1"/>
      <c r="D868" s="2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</row>
    <row r="869" spans="3:103" x14ac:dyDescent="0.2">
      <c r="C869" s="1"/>
      <c r="D869" s="2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</row>
    <row r="870" spans="3:103" x14ac:dyDescent="0.2">
      <c r="C870" s="1"/>
      <c r="D870" s="2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</row>
    <row r="871" spans="3:103" x14ac:dyDescent="0.2">
      <c r="C871" s="1"/>
      <c r="D871" s="2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</row>
    <row r="872" spans="3:103" x14ac:dyDescent="0.2">
      <c r="C872" s="1"/>
      <c r="D872" s="2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</row>
    <row r="873" spans="3:103" x14ac:dyDescent="0.2">
      <c r="C873" s="1"/>
      <c r="D873" s="2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</row>
    <row r="874" spans="3:103" x14ac:dyDescent="0.2">
      <c r="C874" s="1"/>
      <c r="D874" s="2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</row>
    <row r="875" spans="3:103" x14ac:dyDescent="0.2">
      <c r="C875" s="1"/>
      <c r="D875" s="2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</row>
    <row r="876" spans="3:103" x14ac:dyDescent="0.2">
      <c r="C876" s="1"/>
      <c r="D876" s="2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</row>
    <row r="877" spans="3:103" x14ac:dyDescent="0.2">
      <c r="C877" s="1"/>
      <c r="D877" s="2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</row>
    <row r="878" spans="3:103" x14ac:dyDescent="0.2">
      <c r="C878" s="1"/>
      <c r="D878" s="2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</row>
    <row r="879" spans="3:103" x14ac:dyDescent="0.2">
      <c r="C879" s="1"/>
      <c r="D879" s="2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</row>
    <row r="880" spans="3:103" x14ac:dyDescent="0.2">
      <c r="C880" s="1"/>
      <c r="D880" s="2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</row>
    <row r="881" spans="3:103" x14ac:dyDescent="0.2">
      <c r="C881" s="1"/>
      <c r="D881" s="2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</row>
    <row r="882" spans="3:103" x14ac:dyDescent="0.2">
      <c r="C882" s="1"/>
      <c r="D882" s="2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</row>
    <row r="883" spans="3:103" x14ac:dyDescent="0.2">
      <c r="C883" s="1"/>
      <c r="D883" s="2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</row>
    <row r="884" spans="3:103" x14ac:dyDescent="0.2">
      <c r="C884" s="1"/>
      <c r="D884" s="2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</row>
    <row r="885" spans="3:103" x14ac:dyDescent="0.2">
      <c r="C885" s="1"/>
      <c r="D885" s="2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</row>
    <row r="886" spans="3:103" x14ac:dyDescent="0.2">
      <c r="C886" s="1"/>
      <c r="D886" s="2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</row>
    <row r="887" spans="3:103" x14ac:dyDescent="0.2">
      <c r="C887" s="1"/>
      <c r="D887" s="2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</row>
    <row r="888" spans="3:103" x14ac:dyDescent="0.2">
      <c r="C888" s="1"/>
      <c r="D888" s="2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</row>
    <row r="889" spans="3:103" x14ac:dyDescent="0.2">
      <c r="C889" s="1"/>
      <c r="D889" s="2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</row>
    <row r="890" spans="3:103" x14ac:dyDescent="0.2">
      <c r="C890" s="1"/>
      <c r="D890" s="2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</row>
    <row r="891" spans="3:103" x14ac:dyDescent="0.2">
      <c r="C891" s="1"/>
      <c r="D891" s="2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</row>
    <row r="892" spans="3:103" x14ac:dyDescent="0.2">
      <c r="C892" s="1"/>
      <c r="D892" s="2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</row>
    <row r="893" spans="3:103" x14ac:dyDescent="0.2">
      <c r="C893" s="1"/>
      <c r="D893" s="2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</row>
    <row r="894" spans="3:103" x14ac:dyDescent="0.2">
      <c r="C894" s="1"/>
      <c r="D894" s="2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</row>
    <row r="895" spans="3:103" x14ac:dyDescent="0.2">
      <c r="C895" s="1"/>
      <c r="D895" s="2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</row>
    <row r="896" spans="3:103" x14ac:dyDescent="0.2">
      <c r="C896" s="1"/>
      <c r="D896" s="2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</row>
    <row r="897" spans="3:103" x14ac:dyDescent="0.2">
      <c r="C897" s="1"/>
      <c r="D897" s="2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</row>
    <row r="898" spans="3:103" x14ac:dyDescent="0.2">
      <c r="C898" s="1"/>
      <c r="D898" s="2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</row>
    <row r="899" spans="3:103" x14ac:dyDescent="0.2">
      <c r="C899" s="1"/>
      <c r="D899" s="2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</row>
    <row r="900" spans="3:103" x14ac:dyDescent="0.2">
      <c r="C900" s="1"/>
      <c r="D900" s="2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</row>
    <row r="901" spans="3:103" x14ac:dyDescent="0.2">
      <c r="C901" s="1"/>
      <c r="D901" s="2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</row>
    <row r="902" spans="3:103" x14ac:dyDescent="0.2">
      <c r="C902" s="1"/>
      <c r="D902" s="2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</row>
    <row r="903" spans="3:103" x14ac:dyDescent="0.2">
      <c r="C903" s="1"/>
      <c r="D903" s="2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</row>
    <row r="904" spans="3:103" x14ac:dyDescent="0.2">
      <c r="C904" s="1"/>
      <c r="D904" s="2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</row>
    <row r="905" spans="3:103" x14ac:dyDescent="0.2">
      <c r="C905" s="1"/>
      <c r="D905" s="2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</row>
    <row r="906" spans="3:103" x14ac:dyDescent="0.2">
      <c r="C906" s="1"/>
      <c r="D906" s="2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</row>
    <row r="907" spans="3:103" x14ac:dyDescent="0.2">
      <c r="C907" s="1"/>
      <c r="D907" s="2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</row>
    <row r="908" spans="3:103" x14ac:dyDescent="0.2">
      <c r="C908" s="1"/>
      <c r="D908" s="2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</row>
    <row r="909" spans="3:103" x14ac:dyDescent="0.2">
      <c r="C909" s="1"/>
      <c r="D909" s="2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</row>
    <row r="910" spans="3:103" x14ac:dyDescent="0.2">
      <c r="C910" s="1"/>
      <c r="D910" s="2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</row>
    <row r="911" spans="3:103" x14ac:dyDescent="0.2">
      <c r="C911" s="1"/>
      <c r="D911" s="2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</row>
    <row r="912" spans="3:103" x14ac:dyDescent="0.2">
      <c r="C912" s="1"/>
      <c r="D912" s="2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</row>
    <row r="913" spans="3:103" x14ac:dyDescent="0.2">
      <c r="C913" s="1"/>
      <c r="D913" s="2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</row>
    <row r="914" spans="3:103" x14ac:dyDescent="0.2">
      <c r="C914" s="1"/>
      <c r="D914" s="2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</row>
    <row r="915" spans="3:103" x14ac:dyDescent="0.2">
      <c r="C915" s="1"/>
      <c r="D915" s="2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</row>
    <row r="916" spans="3:103" x14ac:dyDescent="0.2">
      <c r="C916" s="1"/>
      <c r="D916" s="2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</row>
    <row r="917" spans="3:103" x14ac:dyDescent="0.2">
      <c r="C917" s="1"/>
      <c r="D917" s="2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</row>
    <row r="918" spans="3:103" x14ac:dyDescent="0.2">
      <c r="C918" s="1"/>
      <c r="D918" s="2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</row>
    <row r="919" spans="3:103" x14ac:dyDescent="0.2">
      <c r="C919" s="1"/>
      <c r="D919" s="2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</row>
    <row r="920" spans="3:103" x14ac:dyDescent="0.2">
      <c r="C920" s="1"/>
      <c r="D920" s="2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</row>
    <row r="921" spans="3:103" x14ac:dyDescent="0.2">
      <c r="C921" s="1"/>
      <c r="D921" s="2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</row>
    <row r="922" spans="3:103" x14ac:dyDescent="0.2">
      <c r="C922" s="1"/>
      <c r="D922" s="2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</row>
    <row r="923" spans="3:103" x14ac:dyDescent="0.2">
      <c r="C923" s="1"/>
      <c r="D923" s="2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</row>
    <row r="924" spans="3:103" x14ac:dyDescent="0.2">
      <c r="C924" s="1"/>
      <c r="D924" s="2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</row>
    <row r="925" spans="3:103" x14ac:dyDescent="0.2">
      <c r="C925" s="1"/>
      <c r="D925" s="2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</row>
    <row r="926" spans="3:103" x14ac:dyDescent="0.2">
      <c r="C926" s="1"/>
      <c r="D926" s="2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</row>
    <row r="927" spans="3:103" x14ac:dyDescent="0.2">
      <c r="C927" s="1"/>
      <c r="D927" s="2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</row>
    <row r="928" spans="3:103" x14ac:dyDescent="0.2">
      <c r="C928" s="1"/>
      <c r="D928" s="2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</row>
    <row r="929" spans="3:103" x14ac:dyDescent="0.2">
      <c r="C929" s="1"/>
      <c r="D929" s="2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</row>
    <row r="930" spans="3:103" x14ac:dyDescent="0.2">
      <c r="C930" s="1"/>
      <c r="D930" s="2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</row>
    <row r="931" spans="3:103" x14ac:dyDescent="0.2">
      <c r="C931" s="1"/>
      <c r="D931" s="2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</row>
    <row r="932" spans="3:103" x14ac:dyDescent="0.2">
      <c r="C932" s="1"/>
      <c r="D932" s="2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</row>
    <row r="933" spans="3:103" x14ac:dyDescent="0.2">
      <c r="C933" s="1"/>
      <c r="D933" s="2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</row>
    <row r="934" spans="3:103" x14ac:dyDescent="0.2">
      <c r="C934" s="1"/>
      <c r="D934" s="2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</row>
    <row r="935" spans="3:103" x14ac:dyDescent="0.2">
      <c r="C935" s="1"/>
      <c r="D935" s="2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</row>
    <row r="936" spans="3:103" x14ac:dyDescent="0.2">
      <c r="C936" s="1"/>
      <c r="D936" s="2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</row>
    <row r="937" spans="3:103" x14ac:dyDescent="0.2">
      <c r="C937" s="1"/>
      <c r="D937" s="2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</row>
    <row r="938" spans="3:103" x14ac:dyDescent="0.2">
      <c r="C938" s="1"/>
      <c r="D938" s="2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</row>
    <row r="939" spans="3:103" x14ac:dyDescent="0.2">
      <c r="C939" s="1"/>
      <c r="D939" s="2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</row>
    <row r="940" spans="3:103" x14ac:dyDescent="0.2">
      <c r="C940" s="1"/>
      <c r="D940" s="2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</row>
    <row r="941" spans="3:103" x14ac:dyDescent="0.2">
      <c r="C941" s="1"/>
      <c r="D941" s="2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</row>
    <row r="942" spans="3:103" x14ac:dyDescent="0.2">
      <c r="C942" s="1"/>
      <c r="D942" s="2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</row>
    <row r="943" spans="3:103" x14ac:dyDescent="0.2">
      <c r="C943" s="1"/>
      <c r="D943" s="2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</row>
    <row r="944" spans="3:103" x14ac:dyDescent="0.2">
      <c r="C944" s="1"/>
      <c r="D944" s="2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</row>
    <row r="945" spans="3:103" x14ac:dyDescent="0.2">
      <c r="C945" s="1"/>
      <c r="D945" s="2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</row>
    <row r="946" spans="3:103" x14ac:dyDescent="0.2">
      <c r="C946" s="1"/>
      <c r="D946" s="2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</row>
    <row r="947" spans="3:103" x14ac:dyDescent="0.2">
      <c r="C947" s="1"/>
      <c r="D947" s="2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</row>
    <row r="948" spans="3:103" x14ac:dyDescent="0.2">
      <c r="C948" s="1"/>
      <c r="D948" s="2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</row>
    <row r="949" spans="3:103" x14ac:dyDescent="0.2">
      <c r="C949" s="1"/>
      <c r="D949" s="2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</row>
    <row r="950" spans="3:103" x14ac:dyDescent="0.2">
      <c r="C950" s="1"/>
      <c r="D950" s="2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</row>
    <row r="951" spans="3:103" x14ac:dyDescent="0.2">
      <c r="C951" s="1"/>
      <c r="D951" s="2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</row>
    <row r="952" spans="3:103" x14ac:dyDescent="0.2">
      <c r="C952" s="1"/>
      <c r="D952" s="2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</row>
    <row r="953" spans="3:103" x14ac:dyDescent="0.2">
      <c r="C953" s="1"/>
      <c r="D953" s="2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</row>
    <row r="954" spans="3:103" x14ac:dyDescent="0.2">
      <c r="C954" s="1"/>
      <c r="D954" s="2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</row>
    <row r="955" spans="3:103" x14ac:dyDescent="0.2">
      <c r="C955" s="1"/>
      <c r="D955" s="2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</row>
    <row r="956" spans="3:103" x14ac:dyDescent="0.2">
      <c r="C956" s="1"/>
      <c r="D956" s="2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</row>
    <row r="957" spans="3:103" x14ac:dyDescent="0.2">
      <c r="C957" s="1"/>
      <c r="D957" s="2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</row>
    <row r="958" spans="3:103" x14ac:dyDescent="0.2">
      <c r="C958" s="1"/>
      <c r="D958" s="2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</row>
    <row r="959" spans="3:103" x14ac:dyDescent="0.2">
      <c r="C959" s="1"/>
      <c r="D959" s="2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</row>
    <row r="960" spans="3:103" x14ac:dyDescent="0.2">
      <c r="C960" s="1"/>
      <c r="D960" s="2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</row>
    <row r="961" spans="3:103" x14ac:dyDescent="0.2">
      <c r="C961" s="1"/>
      <c r="D961" s="2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</row>
    <row r="962" spans="3:103" x14ac:dyDescent="0.2">
      <c r="C962" s="1"/>
      <c r="D962" s="2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</row>
    <row r="963" spans="3:103" x14ac:dyDescent="0.2">
      <c r="C963" s="1"/>
      <c r="D963" s="2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</row>
    <row r="964" spans="3:103" x14ac:dyDescent="0.2">
      <c r="C964" s="1"/>
      <c r="D964" s="2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</row>
    <row r="965" spans="3:103" x14ac:dyDescent="0.2">
      <c r="C965" s="1"/>
      <c r="D965" s="2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</row>
    <row r="966" spans="3:103" x14ac:dyDescent="0.2">
      <c r="C966" s="1"/>
      <c r="D966" s="2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</row>
    <row r="967" spans="3:103" x14ac:dyDescent="0.2">
      <c r="C967" s="1"/>
      <c r="D967" s="2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</row>
    <row r="968" spans="3:103" x14ac:dyDescent="0.2">
      <c r="C968" s="1"/>
      <c r="D968" s="2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</row>
    <row r="969" spans="3:103" x14ac:dyDescent="0.2">
      <c r="C969" s="1"/>
      <c r="D969" s="2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</row>
    <row r="970" spans="3:103" x14ac:dyDescent="0.2">
      <c r="C970" s="1"/>
      <c r="D970" s="2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</row>
    <row r="971" spans="3:103" x14ac:dyDescent="0.2">
      <c r="C971" s="1"/>
      <c r="D971" s="2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</row>
    <row r="972" spans="3:103" x14ac:dyDescent="0.2">
      <c r="C972" s="1"/>
      <c r="D972" s="2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</row>
    <row r="973" spans="3:103" x14ac:dyDescent="0.2">
      <c r="C973" s="1"/>
      <c r="D973" s="2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</row>
    <row r="974" spans="3:103" x14ac:dyDescent="0.2">
      <c r="C974" s="1"/>
      <c r="D974" s="2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</row>
    <row r="975" spans="3:103" x14ac:dyDescent="0.2">
      <c r="C975" s="1"/>
      <c r="D975" s="2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</row>
    <row r="976" spans="3:103" x14ac:dyDescent="0.2">
      <c r="C976" s="1"/>
      <c r="D976" s="2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</row>
    <row r="977" spans="3:103" x14ac:dyDescent="0.2">
      <c r="C977" s="1"/>
      <c r="D977" s="2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</row>
    <row r="978" spans="3:103" x14ac:dyDescent="0.2">
      <c r="C978" s="1"/>
      <c r="D978" s="2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  <c r="CY978" s="9"/>
    </row>
    <row r="979" spans="3:103" x14ac:dyDescent="0.2">
      <c r="C979" s="1"/>
      <c r="D979" s="2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  <c r="CY979" s="9"/>
    </row>
    <row r="980" spans="3:103" x14ac:dyDescent="0.2">
      <c r="C980" s="1"/>
      <c r="D980" s="2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</row>
    <row r="981" spans="3:103" x14ac:dyDescent="0.2">
      <c r="C981" s="1"/>
      <c r="D981" s="2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</row>
    <row r="982" spans="3:103" x14ac:dyDescent="0.2">
      <c r="C982" s="1"/>
      <c r="D982" s="2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  <c r="CY982" s="9"/>
    </row>
    <row r="983" spans="3:103" x14ac:dyDescent="0.2">
      <c r="C983" s="1"/>
      <c r="D983" s="2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</row>
    <row r="984" spans="3:103" x14ac:dyDescent="0.2">
      <c r="C984" s="1"/>
      <c r="D984" s="2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  <c r="CY984" s="9"/>
    </row>
    <row r="985" spans="3:103" x14ac:dyDescent="0.2">
      <c r="C985" s="1"/>
      <c r="D985" s="2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  <c r="CY985" s="9"/>
    </row>
    <row r="986" spans="3:103" x14ac:dyDescent="0.2">
      <c r="C986" s="1"/>
      <c r="D986" s="2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  <c r="CY986" s="9"/>
    </row>
    <row r="987" spans="3:103" x14ac:dyDescent="0.2">
      <c r="C987" s="1"/>
      <c r="D987" s="2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  <c r="CY987" s="9"/>
    </row>
    <row r="988" spans="3:103" x14ac:dyDescent="0.2">
      <c r="C988" s="1"/>
      <c r="D988" s="2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  <c r="CY988" s="9"/>
    </row>
    <row r="989" spans="3:103" x14ac:dyDescent="0.2">
      <c r="C989" s="1"/>
      <c r="D989" s="2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  <c r="CY989" s="9"/>
    </row>
    <row r="990" spans="3:103" x14ac:dyDescent="0.2">
      <c r="C990" s="1"/>
      <c r="D990" s="2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</row>
    <row r="991" spans="3:103" x14ac:dyDescent="0.2">
      <c r="C991" s="1"/>
      <c r="D991" s="2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</row>
    <row r="992" spans="3:103" x14ac:dyDescent="0.2">
      <c r="C992" s="1"/>
      <c r="D992" s="2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</row>
    <row r="993" spans="3:103" x14ac:dyDescent="0.2">
      <c r="C993" s="1"/>
      <c r="D993" s="2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</row>
    <row r="994" spans="3:103" x14ac:dyDescent="0.2">
      <c r="C994" s="1"/>
      <c r="D994" s="2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</row>
    <row r="995" spans="3:103" x14ac:dyDescent="0.2">
      <c r="C995" s="1"/>
      <c r="D995" s="2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</row>
    <row r="996" spans="3:103" x14ac:dyDescent="0.2">
      <c r="C996" s="1"/>
      <c r="D996" s="2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</row>
    <row r="997" spans="3:103" x14ac:dyDescent="0.2">
      <c r="C997" s="1"/>
      <c r="D997" s="2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</row>
    <row r="998" spans="3:103" x14ac:dyDescent="0.2">
      <c r="C998" s="1"/>
      <c r="D998" s="2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</row>
    <row r="999" spans="3:103" x14ac:dyDescent="0.2">
      <c r="C999" s="1"/>
      <c r="D999" s="2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</row>
    <row r="1000" spans="3:103" x14ac:dyDescent="0.2">
      <c r="C1000" s="1"/>
      <c r="D1000" s="2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</row>
    <row r="1001" spans="3:103" x14ac:dyDescent="0.2">
      <c r="C1001" s="1"/>
      <c r="D1001" s="2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s="9"/>
      <c r="BU1001" s="9"/>
      <c r="BV1001" s="9"/>
      <c r="BW1001" s="9"/>
      <c r="BX1001" s="9"/>
      <c r="BY1001" s="9"/>
      <c r="BZ1001" s="9"/>
      <c r="CA1001" s="9"/>
      <c r="CB1001" s="9"/>
      <c r="CC1001" s="9"/>
      <c r="CD1001" s="9"/>
      <c r="CE1001" s="9"/>
      <c r="CF1001" s="9"/>
      <c r="CG1001" s="9"/>
      <c r="CH1001" s="9"/>
      <c r="CI1001" s="9"/>
      <c r="CJ1001" s="9"/>
      <c r="CK1001" s="9"/>
      <c r="CL1001" s="9"/>
      <c r="CM1001" s="9"/>
      <c r="CN1001" s="9"/>
      <c r="CO1001" s="9"/>
      <c r="CP1001" s="9"/>
      <c r="CQ1001" s="9"/>
      <c r="CR1001" s="9"/>
      <c r="CS1001" s="9"/>
      <c r="CT1001" s="9"/>
      <c r="CU1001" s="9"/>
      <c r="CV1001" s="9"/>
      <c r="CW1001" s="9"/>
      <c r="CX1001" s="9"/>
      <c r="CY1001" s="9"/>
    </row>
    <row r="1002" spans="3:103" x14ac:dyDescent="0.2">
      <c r="C1002" s="1"/>
      <c r="D1002" s="2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s="9"/>
      <c r="BU1002" s="9"/>
      <c r="BV1002" s="9"/>
      <c r="BW1002" s="9"/>
      <c r="BX1002" s="9"/>
      <c r="BY1002" s="9"/>
      <c r="BZ1002" s="9"/>
      <c r="CA1002" s="9"/>
      <c r="CB1002" s="9"/>
      <c r="CC1002" s="9"/>
      <c r="CD1002" s="9"/>
      <c r="CE1002" s="9"/>
      <c r="CF1002" s="9"/>
      <c r="CG1002" s="9"/>
      <c r="CH1002" s="9"/>
      <c r="CI1002" s="9"/>
      <c r="CJ1002" s="9"/>
      <c r="CK1002" s="9"/>
      <c r="CL1002" s="9"/>
      <c r="CM1002" s="9"/>
      <c r="CN1002" s="9"/>
      <c r="CO1002" s="9"/>
      <c r="CP1002" s="9"/>
      <c r="CQ1002" s="9"/>
      <c r="CR1002" s="9"/>
      <c r="CS1002" s="9"/>
      <c r="CT1002" s="9"/>
      <c r="CU1002" s="9"/>
      <c r="CV1002" s="9"/>
      <c r="CW1002" s="9"/>
      <c r="CX1002" s="9"/>
      <c r="CY1002" s="9"/>
    </row>
    <row r="1003" spans="3:103" x14ac:dyDescent="0.2">
      <c r="C1003" s="1"/>
      <c r="D1003" s="2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s="9"/>
      <c r="BU1003" s="9"/>
      <c r="BV1003" s="9"/>
      <c r="BW1003" s="9"/>
      <c r="BX1003" s="9"/>
      <c r="BY1003" s="9"/>
      <c r="BZ1003" s="9"/>
      <c r="CA1003" s="9"/>
      <c r="CB1003" s="9"/>
      <c r="CC1003" s="9"/>
      <c r="CD1003" s="9"/>
      <c r="CE1003" s="9"/>
      <c r="CF1003" s="9"/>
      <c r="CG1003" s="9"/>
      <c r="CH1003" s="9"/>
      <c r="CI1003" s="9"/>
      <c r="CJ1003" s="9"/>
      <c r="CK1003" s="9"/>
      <c r="CL1003" s="9"/>
      <c r="CM1003" s="9"/>
      <c r="CN1003" s="9"/>
      <c r="CO1003" s="9"/>
      <c r="CP1003" s="9"/>
      <c r="CQ1003" s="9"/>
      <c r="CR1003" s="9"/>
      <c r="CS1003" s="9"/>
      <c r="CT1003" s="9"/>
      <c r="CU1003" s="9"/>
      <c r="CV1003" s="9"/>
      <c r="CW1003" s="9"/>
      <c r="CX1003" s="9"/>
      <c r="CY1003" s="9"/>
    </row>
    <row r="1004" spans="3:103" x14ac:dyDescent="0.2">
      <c r="C1004" s="1"/>
      <c r="D1004" s="2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s="9"/>
      <c r="BU1004" s="9"/>
      <c r="BV1004" s="9"/>
      <c r="BW1004" s="9"/>
      <c r="BX1004" s="9"/>
      <c r="BY1004" s="9"/>
      <c r="BZ1004" s="9"/>
      <c r="CA1004" s="9"/>
      <c r="CB1004" s="9"/>
      <c r="CC1004" s="9"/>
      <c r="CD1004" s="9"/>
      <c r="CE1004" s="9"/>
      <c r="CF1004" s="9"/>
      <c r="CG1004" s="9"/>
      <c r="CH1004" s="9"/>
      <c r="CI1004" s="9"/>
      <c r="CJ1004" s="9"/>
      <c r="CK1004" s="9"/>
      <c r="CL1004" s="9"/>
      <c r="CM1004" s="9"/>
      <c r="CN1004" s="9"/>
      <c r="CO1004" s="9"/>
      <c r="CP1004" s="9"/>
      <c r="CQ1004" s="9"/>
      <c r="CR1004" s="9"/>
      <c r="CS1004" s="9"/>
      <c r="CT1004" s="9"/>
      <c r="CU1004" s="9"/>
      <c r="CV1004" s="9"/>
      <c r="CW1004" s="9"/>
      <c r="CX1004" s="9"/>
      <c r="CY1004" s="9"/>
    </row>
    <row r="1005" spans="3:103" x14ac:dyDescent="0.2">
      <c r="C1005" s="1"/>
      <c r="D1005" s="2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s="9"/>
      <c r="BU1005" s="9"/>
      <c r="BV1005" s="9"/>
      <c r="BW1005" s="9"/>
      <c r="BX1005" s="9"/>
      <c r="BY1005" s="9"/>
      <c r="BZ1005" s="9"/>
      <c r="CA1005" s="9"/>
      <c r="CB1005" s="9"/>
      <c r="CC1005" s="9"/>
      <c r="CD1005" s="9"/>
      <c r="CE1005" s="9"/>
      <c r="CF1005" s="9"/>
      <c r="CG1005" s="9"/>
      <c r="CH1005" s="9"/>
      <c r="CI1005" s="9"/>
      <c r="CJ1005" s="9"/>
      <c r="CK1005" s="9"/>
      <c r="CL1005" s="9"/>
      <c r="CM1005" s="9"/>
      <c r="CN1005" s="9"/>
      <c r="CO1005" s="9"/>
      <c r="CP1005" s="9"/>
      <c r="CQ1005" s="9"/>
      <c r="CR1005" s="9"/>
      <c r="CS1005" s="9"/>
      <c r="CT1005" s="9"/>
      <c r="CU1005" s="9"/>
      <c r="CV1005" s="9"/>
      <c r="CW1005" s="9"/>
      <c r="CX1005" s="9"/>
      <c r="CY1005" s="9"/>
    </row>
    <row r="1006" spans="3:103" x14ac:dyDescent="0.2">
      <c r="C1006" s="1"/>
      <c r="D1006" s="2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s="9"/>
      <c r="BU1006" s="9"/>
      <c r="BV1006" s="9"/>
      <c r="BW1006" s="9"/>
      <c r="BX1006" s="9"/>
      <c r="BY1006" s="9"/>
      <c r="BZ1006" s="9"/>
      <c r="CA1006" s="9"/>
      <c r="CB1006" s="9"/>
      <c r="CC1006" s="9"/>
      <c r="CD1006" s="9"/>
      <c r="CE1006" s="9"/>
      <c r="CF1006" s="9"/>
      <c r="CG1006" s="9"/>
      <c r="CH1006" s="9"/>
      <c r="CI1006" s="9"/>
      <c r="CJ1006" s="9"/>
      <c r="CK1006" s="9"/>
      <c r="CL1006" s="9"/>
      <c r="CM1006" s="9"/>
      <c r="CN1006" s="9"/>
      <c r="CO1006" s="9"/>
      <c r="CP1006" s="9"/>
      <c r="CQ1006" s="9"/>
      <c r="CR1006" s="9"/>
      <c r="CS1006" s="9"/>
      <c r="CT1006" s="9"/>
      <c r="CU1006" s="9"/>
      <c r="CV1006" s="9"/>
      <c r="CW1006" s="9"/>
      <c r="CX1006" s="9"/>
      <c r="CY1006" s="9"/>
    </row>
    <row r="1007" spans="3:103" x14ac:dyDescent="0.2">
      <c r="C1007" s="1"/>
      <c r="D1007" s="2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s="9"/>
      <c r="BU1007" s="9"/>
      <c r="BV1007" s="9"/>
      <c r="BW1007" s="9"/>
      <c r="BX1007" s="9"/>
      <c r="BY1007" s="9"/>
      <c r="BZ1007" s="9"/>
      <c r="CA1007" s="9"/>
      <c r="CB1007" s="9"/>
      <c r="CC1007" s="9"/>
      <c r="CD1007" s="9"/>
      <c r="CE1007" s="9"/>
      <c r="CF1007" s="9"/>
      <c r="CG1007" s="9"/>
      <c r="CH1007" s="9"/>
      <c r="CI1007" s="9"/>
      <c r="CJ1007" s="9"/>
      <c r="CK1007" s="9"/>
      <c r="CL1007" s="9"/>
      <c r="CM1007" s="9"/>
      <c r="CN1007" s="9"/>
      <c r="CO1007" s="9"/>
      <c r="CP1007" s="9"/>
      <c r="CQ1007" s="9"/>
      <c r="CR1007" s="9"/>
      <c r="CS1007" s="9"/>
      <c r="CT1007" s="9"/>
      <c r="CU1007" s="9"/>
      <c r="CV1007" s="9"/>
      <c r="CW1007" s="9"/>
      <c r="CX1007" s="9"/>
      <c r="CY1007" s="9"/>
    </row>
    <row r="1008" spans="3:103" x14ac:dyDescent="0.2">
      <c r="C1008" s="1"/>
      <c r="D1008" s="2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s="9"/>
      <c r="BU1008" s="9"/>
      <c r="BV1008" s="9"/>
      <c r="BW1008" s="9"/>
      <c r="BX1008" s="9"/>
      <c r="BY1008" s="9"/>
      <c r="BZ1008" s="9"/>
      <c r="CA1008" s="9"/>
      <c r="CB1008" s="9"/>
      <c r="CC1008" s="9"/>
      <c r="CD1008" s="9"/>
      <c r="CE1008" s="9"/>
      <c r="CF1008" s="9"/>
      <c r="CG1008" s="9"/>
      <c r="CH1008" s="9"/>
      <c r="CI1008" s="9"/>
      <c r="CJ1008" s="9"/>
      <c r="CK1008" s="9"/>
      <c r="CL1008" s="9"/>
      <c r="CM1008" s="9"/>
      <c r="CN1008" s="9"/>
      <c r="CO1008" s="9"/>
      <c r="CP1008" s="9"/>
      <c r="CQ1008" s="9"/>
      <c r="CR1008" s="9"/>
      <c r="CS1008" s="9"/>
      <c r="CT1008" s="9"/>
      <c r="CU1008" s="9"/>
      <c r="CV1008" s="9"/>
      <c r="CW1008" s="9"/>
      <c r="CX1008" s="9"/>
      <c r="CY1008" s="9"/>
    </row>
    <row r="1009" spans="3:103" x14ac:dyDescent="0.2">
      <c r="C1009" s="1"/>
      <c r="D1009" s="2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s="9"/>
      <c r="BU1009" s="9"/>
      <c r="BV1009" s="9"/>
      <c r="BW1009" s="9"/>
      <c r="BX1009" s="9"/>
      <c r="BY1009" s="9"/>
      <c r="BZ1009" s="9"/>
      <c r="CA1009" s="9"/>
      <c r="CB1009" s="9"/>
      <c r="CC1009" s="9"/>
      <c r="CD1009" s="9"/>
      <c r="CE1009" s="9"/>
      <c r="CF1009" s="9"/>
      <c r="CG1009" s="9"/>
      <c r="CH1009" s="9"/>
      <c r="CI1009" s="9"/>
      <c r="CJ1009" s="9"/>
      <c r="CK1009" s="9"/>
      <c r="CL1009" s="9"/>
      <c r="CM1009" s="9"/>
      <c r="CN1009" s="9"/>
      <c r="CO1009" s="9"/>
      <c r="CP1009" s="9"/>
      <c r="CQ1009" s="9"/>
      <c r="CR1009" s="9"/>
      <c r="CS1009" s="9"/>
      <c r="CT1009" s="9"/>
      <c r="CU1009" s="9"/>
      <c r="CV1009" s="9"/>
      <c r="CW1009" s="9"/>
      <c r="CX1009" s="9"/>
      <c r="CY1009" s="9"/>
    </row>
    <row r="1010" spans="3:103" x14ac:dyDescent="0.2">
      <c r="C1010" s="1"/>
      <c r="D1010" s="2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s="9"/>
      <c r="BU1010" s="9"/>
      <c r="BV1010" s="9"/>
      <c r="BW1010" s="9"/>
      <c r="BX1010" s="9"/>
      <c r="BY1010" s="9"/>
      <c r="BZ1010" s="9"/>
      <c r="CA1010" s="9"/>
      <c r="CB1010" s="9"/>
      <c r="CC1010" s="9"/>
      <c r="CD1010" s="9"/>
      <c r="CE1010" s="9"/>
      <c r="CF1010" s="9"/>
      <c r="CG1010" s="9"/>
      <c r="CH1010" s="9"/>
      <c r="CI1010" s="9"/>
      <c r="CJ1010" s="9"/>
      <c r="CK1010" s="9"/>
      <c r="CL1010" s="9"/>
      <c r="CM1010" s="9"/>
      <c r="CN1010" s="9"/>
      <c r="CO1010" s="9"/>
      <c r="CP1010" s="9"/>
      <c r="CQ1010" s="9"/>
      <c r="CR1010" s="9"/>
      <c r="CS1010" s="9"/>
      <c r="CT1010" s="9"/>
      <c r="CU1010" s="9"/>
      <c r="CV1010" s="9"/>
      <c r="CW1010" s="9"/>
      <c r="CX1010" s="9"/>
      <c r="CY1010" s="9"/>
    </row>
    <row r="1011" spans="3:103" x14ac:dyDescent="0.2">
      <c r="C1011" s="1"/>
      <c r="D1011" s="2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s="9"/>
      <c r="BU1011" s="9"/>
      <c r="BV1011" s="9"/>
      <c r="BW1011" s="9"/>
      <c r="BX1011" s="9"/>
      <c r="BY1011" s="9"/>
      <c r="BZ1011" s="9"/>
      <c r="CA1011" s="9"/>
      <c r="CB1011" s="9"/>
      <c r="CC1011" s="9"/>
      <c r="CD1011" s="9"/>
      <c r="CE1011" s="9"/>
      <c r="CF1011" s="9"/>
      <c r="CG1011" s="9"/>
      <c r="CH1011" s="9"/>
      <c r="CI1011" s="9"/>
      <c r="CJ1011" s="9"/>
      <c r="CK1011" s="9"/>
      <c r="CL1011" s="9"/>
      <c r="CM1011" s="9"/>
      <c r="CN1011" s="9"/>
      <c r="CO1011" s="9"/>
      <c r="CP1011" s="9"/>
      <c r="CQ1011" s="9"/>
      <c r="CR1011" s="9"/>
      <c r="CS1011" s="9"/>
      <c r="CT1011" s="9"/>
      <c r="CU1011" s="9"/>
      <c r="CV1011" s="9"/>
      <c r="CW1011" s="9"/>
      <c r="CX1011" s="9"/>
      <c r="CY1011" s="9"/>
    </row>
    <row r="1012" spans="3:103" x14ac:dyDescent="0.2">
      <c r="C1012" s="1"/>
      <c r="D1012" s="2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s="9"/>
      <c r="BU1012" s="9"/>
      <c r="BV1012" s="9"/>
      <c r="BW1012" s="9"/>
      <c r="BX1012" s="9"/>
      <c r="BY1012" s="9"/>
      <c r="BZ1012" s="9"/>
      <c r="CA1012" s="9"/>
      <c r="CB1012" s="9"/>
      <c r="CC1012" s="9"/>
      <c r="CD1012" s="9"/>
      <c r="CE1012" s="9"/>
      <c r="CF1012" s="9"/>
      <c r="CG1012" s="9"/>
      <c r="CH1012" s="9"/>
      <c r="CI1012" s="9"/>
      <c r="CJ1012" s="9"/>
      <c r="CK1012" s="9"/>
      <c r="CL1012" s="9"/>
      <c r="CM1012" s="9"/>
      <c r="CN1012" s="9"/>
      <c r="CO1012" s="9"/>
      <c r="CP1012" s="9"/>
      <c r="CQ1012" s="9"/>
      <c r="CR1012" s="9"/>
      <c r="CS1012" s="9"/>
      <c r="CT1012" s="9"/>
      <c r="CU1012" s="9"/>
      <c r="CV1012" s="9"/>
      <c r="CW1012" s="9"/>
      <c r="CX1012" s="9"/>
      <c r="CY1012" s="9"/>
    </row>
    <row r="1013" spans="3:103" x14ac:dyDescent="0.2">
      <c r="C1013" s="1"/>
      <c r="D1013" s="2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s="9"/>
      <c r="BU1013" s="9"/>
      <c r="BV1013" s="9"/>
      <c r="BW1013" s="9"/>
      <c r="BX1013" s="9"/>
      <c r="BY1013" s="9"/>
      <c r="BZ1013" s="9"/>
      <c r="CA1013" s="9"/>
      <c r="CB1013" s="9"/>
      <c r="CC1013" s="9"/>
      <c r="CD1013" s="9"/>
      <c r="CE1013" s="9"/>
      <c r="CF1013" s="9"/>
      <c r="CG1013" s="9"/>
      <c r="CH1013" s="9"/>
      <c r="CI1013" s="9"/>
      <c r="CJ1013" s="9"/>
      <c r="CK1013" s="9"/>
      <c r="CL1013" s="9"/>
      <c r="CM1013" s="9"/>
      <c r="CN1013" s="9"/>
      <c r="CO1013" s="9"/>
      <c r="CP1013" s="9"/>
      <c r="CQ1013" s="9"/>
      <c r="CR1013" s="9"/>
      <c r="CS1013" s="9"/>
      <c r="CT1013" s="9"/>
      <c r="CU1013" s="9"/>
      <c r="CV1013" s="9"/>
      <c r="CW1013" s="9"/>
      <c r="CX1013" s="9"/>
      <c r="CY1013" s="9"/>
    </row>
    <row r="1014" spans="3:103" x14ac:dyDescent="0.2">
      <c r="C1014" s="1"/>
      <c r="D1014" s="2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s="9"/>
      <c r="BU1014" s="9"/>
      <c r="BV1014" s="9"/>
      <c r="BW1014" s="9"/>
      <c r="BX1014" s="9"/>
      <c r="BY1014" s="9"/>
      <c r="BZ1014" s="9"/>
      <c r="CA1014" s="9"/>
      <c r="CB1014" s="9"/>
      <c r="CC1014" s="9"/>
      <c r="CD1014" s="9"/>
      <c r="CE1014" s="9"/>
      <c r="CF1014" s="9"/>
      <c r="CG1014" s="9"/>
      <c r="CH1014" s="9"/>
      <c r="CI1014" s="9"/>
      <c r="CJ1014" s="9"/>
      <c r="CK1014" s="9"/>
      <c r="CL1014" s="9"/>
      <c r="CM1014" s="9"/>
      <c r="CN1014" s="9"/>
      <c r="CO1014" s="9"/>
      <c r="CP1014" s="9"/>
      <c r="CQ1014" s="9"/>
      <c r="CR1014" s="9"/>
      <c r="CS1014" s="9"/>
      <c r="CT1014" s="9"/>
      <c r="CU1014" s="9"/>
      <c r="CV1014" s="9"/>
      <c r="CW1014" s="9"/>
      <c r="CX1014" s="9"/>
      <c r="CY1014" s="9"/>
    </row>
    <row r="1015" spans="3:103" x14ac:dyDescent="0.2">
      <c r="C1015" s="1"/>
      <c r="D1015" s="2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s="9"/>
      <c r="BU1015" s="9"/>
      <c r="BV1015" s="9"/>
      <c r="BW1015" s="9"/>
      <c r="BX1015" s="9"/>
      <c r="BY1015" s="9"/>
      <c r="BZ1015" s="9"/>
      <c r="CA1015" s="9"/>
      <c r="CB1015" s="9"/>
      <c r="CC1015" s="9"/>
      <c r="CD1015" s="9"/>
      <c r="CE1015" s="9"/>
      <c r="CF1015" s="9"/>
      <c r="CG1015" s="9"/>
      <c r="CH1015" s="9"/>
      <c r="CI1015" s="9"/>
      <c r="CJ1015" s="9"/>
      <c r="CK1015" s="9"/>
      <c r="CL1015" s="9"/>
      <c r="CM1015" s="9"/>
      <c r="CN1015" s="9"/>
      <c r="CO1015" s="9"/>
      <c r="CP1015" s="9"/>
      <c r="CQ1015" s="9"/>
      <c r="CR1015" s="9"/>
      <c r="CS1015" s="9"/>
      <c r="CT1015" s="9"/>
      <c r="CU1015" s="9"/>
      <c r="CV1015" s="9"/>
      <c r="CW1015" s="9"/>
      <c r="CX1015" s="9"/>
      <c r="CY1015" s="9"/>
    </row>
    <row r="1016" spans="3:103" x14ac:dyDescent="0.2">
      <c r="C1016" s="1"/>
      <c r="D1016" s="2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s="9"/>
      <c r="BU1016" s="9"/>
      <c r="BV1016" s="9"/>
      <c r="BW1016" s="9"/>
      <c r="BX1016" s="9"/>
      <c r="BY1016" s="9"/>
      <c r="BZ1016" s="9"/>
      <c r="CA1016" s="9"/>
      <c r="CB1016" s="9"/>
      <c r="CC1016" s="9"/>
      <c r="CD1016" s="9"/>
      <c r="CE1016" s="9"/>
      <c r="CF1016" s="9"/>
      <c r="CG1016" s="9"/>
      <c r="CH1016" s="9"/>
      <c r="CI1016" s="9"/>
      <c r="CJ1016" s="9"/>
      <c r="CK1016" s="9"/>
      <c r="CL1016" s="9"/>
      <c r="CM1016" s="9"/>
      <c r="CN1016" s="9"/>
      <c r="CO1016" s="9"/>
      <c r="CP1016" s="9"/>
      <c r="CQ1016" s="9"/>
      <c r="CR1016" s="9"/>
      <c r="CS1016" s="9"/>
      <c r="CT1016" s="9"/>
      <c r="CU1016" s="9"/>
      <c r="CV1016" s="9"/>
      <c r="CW1016" s="9"/>
      <c r="CX1016" s="9"/>
      <c r="CY1016" s="9"/>
    </row>
    <row r="1017" spans="3:103" x14ac:dyDescent="0.2">
      <c r="C1017" s="1"/>
      <c r="D1017" s="2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s="9"/>
      <c r="BU1017" s="9"/>
      <c r="BV1017" s="9"/>
      <c r="BW1017" s="9"/>
      <c r="BX1017" s="9"/>
      <c r="BY1017" s="9"/>
      <c r="BZ1017" s="9"/>
      <c r="CA1017" s="9"/>
      <c r="CB1017" s="9"/>
      <c r="CC1017" s="9"/>
      <c r="CD1017" s="9"/>
      <c r="CE1017" s="9"/>
      <c r="CF1017" s="9"/>
      <c r="CG1017" s="9"/>
      <c r="CH1017" s="9"/>
      <c r="CI1017" s="9"/>
      <c r="CJ1017" s="9"/>
      <c r="CK1017" s="9"/>
      <c r="CL1017" s="9"/>
      <c r="CM1017" s="9"/>
      <c r="CN1017" s="9"/>
      <c r="CO1017" s="9"/>
      <c r="CP1017" s="9"/>
      <c r="CQ1017" s="9"/>
      <c r="CR1017" s="9"/>
      <c r="CS1017" s="9"/>
      <c r="CT1017" s="9"/>
      <c r="CU1017" s="9"/>
      <c r="CV1017" s="9"/>
      <c r="CW1017" s="9"/>
      <c r="CX1017" s="9"/>
      <c r="CY1017" s="9"/>
    </row>
    <row r="1018" spans="3:103" x14ac:dyDescent="0.2">
      <c r="C1018" s="1"/>
      <c r="D1018" s="2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s="9"/>
      <c r="BU1018" s="9"/>
      <c r="BV1018" s="9"/>
      <c r="BW1018" s="9"/>
      <c r="BX1018" s="9"/>
      <c r="BY1018" s="9"/>
      <c r="BZ1018" s="9"/>
      <c r="CA1018" s="9"/>
      <c r="CB1018" s="9"/>
      <c r="CC1018" s="9"/>
      <c r="CD1018" s="9"/>
      <c r="CE1018" s="9"/>
      <c r="CF1018" s="9"/>
      <c r="CG1018" s="9"/>
      <c r="CH1018" s="9"/>
      <c r="CI1018" s="9"/>
      <c r="CJ1018" s="9"/>
      <c r="CK1018" s="9"/>
      <c r="CL1018" s="9"/>
      <c r="CM1018" s="9"/>
      <c r="CN1018" s="9"/>
      <c r="CO1018" s="9"/>
      <c r="CP1018" s="9"/>
      <c r="CQ1018" s="9"/>
      <c r="CR1018" s="9"/>
      <c r="CS1018" s="9"/>
      <c r="CT1018" s="9"/>
      <c r="CU1018" s="9"/>
      <c r="CV1018" s="9"/>
      <c r="CW1018" s="9"/>
      <c r="CX1018" s="9"/>
      <c r="CY1018" s="9"/>
    </row>
    <row r="1019" spans="3:103" x14ac:dyDescent="0.2">
      <c r="C1019" s="1"/>
      <c r="D1019" s="2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s="9"/>
      <c r="BU1019" s="9"/>
      <c r="BV1019" s="9"/>
      <c r="BW1019" s="9"/>
      <c r="BX1019" s="9"/>
      <c r="BY1019" s="9"/>
      <c r="BZ1019" s="9"/>
      <c r="CA1019" s="9"/>
      <c r="CB1019" s="9"/>
      <c r="CC1019" s="9"/>
      <c r="CD1019" s="9"/>
      <c r="CE1019" s="9"/>
      <c r="CF1019" s="9"/>
      <c r="CG1019" s="9"/>
      <c r="CH1019" s="9"/>
      <c r="CI1019" s="9"/>
      <c r="CJ1019" s="9"/>
      <c r="CK1019" s="9"/>
      <c r="CL1019" s="9"/>
      <c r="CM1019" s="9"/>
      <c r="CN1019" s="9"/>
      <c r="CO1019" s="9"/>
      <c r="CP1019" s="9"/>
      <c r="CQ1019" s="9"/>
      <c r="CR1019" s="9"/>
      <c r="CS1019" s="9"/>
      <c r="CT1019" s="9"/>
      <c r="CU1019" s="9"/>
      <c r="CV1019" s="9"/>
      <c r="CW1019" s="9"/>
      <c r="CX1019" s="9"/>
      <c r="CY1019" s="9"/>
    </row>
    <row r="1020" spans="3:103" x14ac:dyDescent="0.2">
      <c r="C1020" s="1"/>
      <c r="D1020" s="2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s="9"/>
      <c r="BU1020" s="9"/>
      <c r="BV1020" s="9"/>
      <c r="BW1020" s="9"/>
      <c r="BX1020" s="9"/>
      <c r="BY1020" s="9"/>
      <c r="BZ1020" s="9"/>
      <c r="CA1020" s="9"/>
      <c r="CB1020" s="9"/>
      <c r="CC1020" s="9"/>
      <c r="CD1020" s="9"/>
      <c r="CE1020" s="9"/>
      <c r="CF1020" s="9"/>
      <c r="CG1020" s="9"/>
      <c r="CH1020" s="9"/>
      <c r="CI1020" s="9"/>
      <c r="CJ1020" s="9"/>
      <c r="CK1020" s="9"/>
      <c r="CL1020" s="9"/>
      <c r="CM1020" s="9"/>
      <c r="CN1020" s="9"/>
      <c r="CO1020" s="9"/>
      <c r="CP1020" s="9"/>
      <c r="CQ1020" s="9"/>
      <c r="CR1020" s="9"/>
      <c r="CS1020" s="9"/>
      <c r="CT1020" s="9"/>
      <c r="CU1020" s="9"/>
      <c r="CV1020" s="9"/>
      <c r="CW1020" s="9"/>
      <c r="CX1020" s="9"/>
      <c r="CY1020" s="9"/>
    </row>
    <row r="1021" spans="3:103" x14ac:dyDescent="0.2">
      <c r="C1021" s="1"/>
      <c r="D1021" s="2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s="9"/>
      <c r="BU1021" s="9"/>
      <c r="BV1021" s="9"/>
      <c r="BW1021" s="9"/>
      <c r="BX1021" s="9"/>
      <c r="BY1021" s="9"/>
      <c r="BZ1021" s="9"/>
      <c r="CA1021" s="9"/>
      <c r="CB1021" s="9"/>
      <c r="CC1021" s="9"/>
      <c r="CD1021" s="9"/>
      <c r="CE1021" s="9"/>
      <c r="CF1021" s="9"/>
      <c r="CG1021" s="9"/>
      <c r="CH1021" s="9"/>
      <c r="CI1021" s="9"/>
      <c r="CJ1021" s="9"/>
      <c r="CK1021" s="9"/>
      <c r="CL1021" s="9"/>
      <c r="CM1021" s="9"/>
      <c r="CN1021" s="9"/>
      <c r="CO1021" s="9"/>
      <c r="CP1021" s="9"/>
      <c r="CQ1021" s="9"/>
      <c r="CR1021" s="9"/>
      <c r="CS1021" s="9"/>
      <c r="CT1021" s="9"/>
      <c r="CU1021" s="9"/>
      <c r="CV1021" s="9"/>
      <c r="CW1021" s="9"/>
      <c r="CX1021" s="9"/>
      <c r="CY1021" s="9"/>
    </row>
    <row r="1022" spans="3:103" x14ac:dyDescent="0.2">
      <c r="C1022" s="1"/>
      <c r="D1022" s="2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s="9"/>
      <c r="BU1022" s="9"/>
      <c r="BV1022" s="9"/>
      <c r="BW1022" s="9"/>
      <c r="BX1022" s="9"/>
      <c r="BY1022" s="9"/>
      <c r="BZ1022" s="9"/>
      <c r="CA1022" s="9"/>
      <c r="CB1022" s="9"/>
      <c r="CC1022" s="9"/>
      <c r="CD1022" s="9"/>
      <c r="CE1022" s="9"/>
      <c r="CF1022" s="9"/>
      <c r="CG1022" s="9"/>
      <c r="CH1022" s="9"/>
      <c r="CI1022" s="9"/>
      <c r="CJ1022" s="9"/>
      <c r="CK1022" s="9"/>
      <c r="CL1022" s="9"/>
      <c r="CM1022" s="9"/>
      <c r="CN1022" s="9"/>
      <c r="CO1022" s="9"/>
      <c r="CP1022" s="9"/>
      <c r="CQ1022" s="9"/>
      <c r="CR1022" s="9"/>
      <c r="CS1022" s="9"/>
      <c r="CT1022" s="9"/>
      <c r="CU1022" s="9"/>
      <c r="CV1022" s="9"/>
      <c r="CW1022" s="9"/>
      <c r="CX1022" s="9"/>
      <c r="CY1022" s="9"/>
    </row>
    <row r="1023" spans="3:103" x14ac:dyDescent="0.2">
      <c r="C1023" s="1"/>
      <c r="D1023" s="2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s="9"/>
      <c r="BU1023" s="9"/>
      <c r="BV1023" s="9"/>
      <c r="BW1023" s="9"/>
      <c r="BX1023" s="9"/>
      <c r="BY1023" s="9"/>
      <c r="BZ1023" s="9"/>
      <c r="CA1023" s="9"/>
      <c r="CB1023" s="9"/>
      <c r="CC1023" s="9"/>
      <c r="CD1023" s="9"/>
      <c r="CE1023" s="9"/>
      <c r="CF1023" s="9"/>
      <c r="CG1023" s="9"/>
      <c r="CH1023" s="9"/>
      <c r="CI1023" s="9"/>
      <c r="CJ1023" s="9"/>
      <c r="CK1023" s="9"/>
      <c r="CL1023" s="9"/>
      <c r="CM1023" s="9"/>
      <c r="CN1023" s="9"/>
      <c r="CO1023" s="9"/>
      <c r="CP1023" s="9"/>
      <c r="CQ1023" s="9"/>
      <c r="CR1023" s="9"/>
      <c r="CS1023" s="9"/>
      <c r="CT1023" s="9"/>
      <c r="CU1023" s="9"/>
      <c r="CV1023" s="9"/>
      <c r="CW1023" s="9"/>
      <c r="CX1023" s="9"/>
      <c r="CY1023" s="9"/>
    </row>
    <row r="1024" spans="3:103" x14ac:dyDescent="0.2">
      <c r="C1024" s="1"/>
      <c r="D1024" s="2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s="9"/>
      <c r="BU1024" s="9"/>
      <c r="BV1024" s="9"/>
      <c r="BW1024" s="9"/>
      <c r="BX1024" s="9"/>
      <c r="BY1024" s="9"/>
      <c r="BZ1024" s="9"/>
      <c r="CA1024" s="9"/>
      <c r="CB1024" s="9"/>
      <c r="CC1024" s="9"/>
      <c r="CD1024" s="9"/>
      <c r="CE1024" s="9"/>
      <c r="CF1024" s="9"/>
      <c r="CG1024" s="9"/>
      <c r="CH1024" s="9"/>
      <c r="CI1024" s="9"/>
      <c r="CJ1024" s="9"/>
      <c r="CK1024" s="9"/>
      <c r="CL1024" s="9"/>
      <c r="CM1024" s="9"/>
      <c r="CN1024" s="9"/>
      <c r="CO1024" s="9"/>
      <c r="CP1024" s="9"/>
      <c r="CQ1024" s="9"/>
      <c r="CR1024" s="9"/>
      <c r="CS1024" s="9"/>
      <c r="CT1024" s="9"/>
      <c r="CU1024" s="9"/>
      <c r="CV1024" s="9"/>
      <c r="CW1024" s="9"/>
      <c r="CX1024" s="9"/>
      <c r="CY1024" s="9"/>
    </row>
    <row r="1025" spans="3:103" x14ac:dyDescent="0.2">
      <c r="C1025" s="1"/>
      <c r="D1025" s="2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s="9"/>
      <c r="BU1025" s="9"/>
      <c r="BV1025" s="9"/>
      <c r="BW1025" s="9"/>
      <c r="BX1025" s="9"/>
      <c r="BY1025" s="9"/>
      <c r="BZ1025" s="9"/>
      <c r="CA1025" s="9"/>
      <c r="CB1025" s="9"/>
      <c r="CC1025" s="9"/>
      <c r="CD1025" s="9"/>
      <c r="CE1025" s="9"/>
      <c r="CF1025" s="9"/>
      <c r="CG1025" s="9"/>
      <c r="CH1025" s="9"/>
      <c r="CI1025" s="9"/>
      <c r="CJ1025" s="9"/>
      <c r="CK1025" s="9"/>
      <c r="CL1025" s="9"/>
      <c r="CM1025" s="9"/>
      <c r="CN1025" s="9"/>
      <c r="CO1025" s="9"/>
      <c r="CP1025" s="9"/>
      <c r="CQ1025" s="9"/>
      <c r="CR1025" s="9"/>
      <c r="CS1025" s="9"/>
      <c r="CT1025" s="9"/>
      <c r="CU1025" s="9"/>
      <c r="CV1025" s="9"/>
      <c r="CW1025" s="9"/>
      <c r="CX1025" s="9"/>
      <c r="CY1025" s="9"/>
    </row>
    <row r="1026" spans="3:103" x14ac:dyDescent="0.2">
      <c r="C1026" s="1"/>
      <c r="D1026" s="2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s="9"/>
      <c r="BU1026" s="9"/>
      <c r="BV1026" s="9"/>
      <c r="BW1026" s="9"/>
      <c r="BX1026" s="9"/>
      <c r="BY1026" s="9"/>
      <c r="BZ1026" s="9"/>
      <c r="CA1026" s="9"/>
      <c r="CB1026" s="9"/>
      <c r="CC1026" s="9"/>
      <c r="CD1026" s="9"/>
      <c r="CE1026" s="9"/>
      <c r="CF1026" s="9"/>
      <c r="CG1026" s="9"/>
      <c r="CH1026" s="9"/>
      <c r="CI1026" s="9"/>
      <c r="CJ1026" s="9"/>
      <c r="CK1026" s="9"/>
      <c r="CL1026" s="9"/>
      <c r="CM1026" s="9"/>
      <c r="CN1026" s="9"/>
      <c r="CO1026" s="9"/>
      <c r="CP1026" s="9"/>
      <c r="CQ1026" s="9"/>
      <c r="CR1026" s="9"/>
      <c r="CS1026" s="9"/>
      <c r="CT1026" s="9"/>
      <c r="CU1026" s="9"/>
      <c r="CV1026" s="9"/>
      <c r="CW1026" s="9"/>
      <c r="CX1026" s="9"/>
      <c r="CY1026" s="9"/>
    </row>
    <row r="1027" spans="3:103" x14ac:dyDescent="0.2">
      <c r="C1027" s="1"/>
      <c r="D1027" s="2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s="9"/>
      <c r="BU1027" s="9"/>
      <c r="BV1027" s="9"/>
      <c r="BW1027" s="9"/>
      <c r="BX1027" s="9"/>
      <c r="BY1027" s="9"/>
      <c r="BZ1027" s="9"/>
      <c r="CA1027" s="9"/>
      <c r="CB1027" s="9"/>
      <c r="CC1027" s="9"/>
      <c r="CD1027" s="9"/>
      <c r="CE1027" s="9"/>
      <c r="CF1027" s="9"/>
      <c r="CG1027" s="9"/>
      <c r="CH1027" s="9"/>
      <c r="CI1027" s="9"/>
      <c r="CJ1027" s="9"/>
      <c r="CK1027" s="9"/>
      <c r="CL1027" s="9"/>
      <c r="CM1027" s="9"/>
      <c r="CN1027" s="9"/>
      <c r="CO1027" s="9"/>
      <c r="CP1027" s="9"/>
      <c r="CQ1027" s="9"/>
      <c r="CR1027" s="9"/>
      <c r="CS1027" s="9"/>
      <c r="CT1027" s="9"/>
      <c r="CU1027" s="9"/>
      <c r="CV1027" s="9"/>
      <c r="CW1027" s="9"/>
      <c r="CX1027" s="9"/>
      <c r="CY1027" s="9"/>
    </row>
    <row r="1028" spans="3:103" x14ac:dyDescent="0.2">
      <c r="C1028" s="1"/>
      <c r="D1028" s="2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s="9"/>
      <c r="BU1028" s="9"/>
      <c r="BV1028" s="9"/>
      <c r="BW1028" s="9"/>
      <c r="BX1028" s="9"/>
      <c r="BY1028" s="9"/>
      <c r="BZ1028" s="9"/>
      <c r="CA1028" s="9"/>
      <c r="CB1028" s="9"/>
      <c r="CC1028" s="9"/>
      <c r="CD1028" s="9"/>
      <c r="CE1028" s="9"/>
      <c r="CF1028" s="9"/>
      <c r="CG1028" s="9"/>
      <c r="CH1028" s="9"/>
      <c r="CI1028" s="9"/>
      <c r="CJ1028" s="9"/>
      <c r="CK1028" s="9"/>
      <c r="CL1028" s="9"/>
      <c r="CM1028" s="9"/>
      <c r="CN1028" s="9"/>
      <c r="CO1028" s="9"/>
      <c r="CP1028" s="9"/>
      <c r="CQ1028" s="9"/>
      <c r="CR1028" s="9"/>
      <c r="CS1028" s="9"/>
      <c r="CT1028" s="9"/>
      <c r="CU1028" s="9"/>
      <c r="CV1028" s="9"/>
      <c r="CW1028" s="9"/>
      <c r="CX1028" s="9"/>
      <c r="CY1028" s="9"/>
    </row>
    <row r="1029" spans="3:103" x14ac:dyDescent="0.2">
      <c r="C1029" s="1"/>
      <c r="D1029" s="2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s="9"/>
      <c r="BU1029" s="9"/>
      <c r="BV1029" s="9"/>
      <c r="BW1029" s="9"/>
      <c r="BX1029" s="9"/>
      <c r="BY1029" s="9"/>
      <c r="BZ1029" s="9"/>
      <c r="CA1029" s="9"/>
      <c r="CB1029" s="9"/>
      <c r="CC1029" s="9"/>
      <c r="CD1029" s="9"/>
      <c r="CE1029" s="9"/>
      <c r="CF1029" s="9"/>
      <c r="CG1029" s="9"/>
      <c r="CH1029" s="9"/>
      <c r="CI1029" s="9"/>
      <c r="CJ1029" s="9"/>
      <c r="CK1029" s="9"/>
      <c r="CL1029" s="9"/>
      <c r="CM1029" s="9"/>
      <c r="CN1029" s="9"/>
      <c r="CO1029" s="9"/>
      <c r="CP1029" s="9"/>
      <c r="CQ1029" s="9"/>
      <c r="CR1029" s="9"/>
      <c r="CS1029" s="9"/>
      <c r="CT1029" s="9"/>
      <c r="CU1029" s="9"/>
      <c r="CV1029" s="9"/>
      <c r="CW1029" s="9"/>
      <c r="CX1029" s="9"/>
      <c r="CY1029" s="9"/>
    </row>
    <row r="1030" spans="3:103" x14ac:dyDescent="0.2">
      <c r="C1030" s="1"/>
      <c r="D1030" s="2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s="9"/>
      <c r="BU1030" s="9"/>
      <c r="BV1030" s="9"/>
      <c r="BW1030" s="9"/>
      <c r="BX1030" s="9"/>
      <c r="BY1030" s="9"/>
      <c r="BZ1030" s="9"/>
      <c r="CA1030" s="9"/>
      <c r="CB1030" s="9"/>
      <c r="CC1030" s="9"/>
      <c r="CD1030" s="9"/>
      <c r="CE1030" s="9"/>
      <c r="CF1030" s="9"/>
      <c r="CG1030" s="9"/>
      <c r="CH1030" s="9"/>
      <c r="CI1030" s="9"/>
      <c r="CJ1030" s="9"/>
      <c r="CK1030" s="9"/>
      <c r="CL1030" s="9"/>
      <c r="CM1030" s="9"/>
      <c r="CN1030" s="9"/>
      <c r="CO1030" s="9"/>
      <c r="CP1030" s="9"/>
      <c r="CQ1030" s="9"/>
      <c r="CR1030" s="9"/>
      <c r="CS1030" s="9"/>
      <c r="CT1030" s="9"/>
      <c r="CU1030" s="9"/>
      <c r="CV1030" s="9"/>
      <c r="CW1030" s="9"/>
      <c r="CX1030" s="9"/>
      <c r="CY1030" s="9"/>
    </row>
    <row r="1031" spans="3:103" x14ac:dyDescent="0.2">
      <c r="C1031" s="1"/>
      <c r="D1031" s="2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s="9"/>
      <c r="BU1031" s="9"/>
      <c r="BV1031" s="9"/>
      <c r="BW1031" s="9"/>
      <c r="BX1031" s="9"/>
      <c r="BY1031" s="9"/>
      <c r="BZ1031" s="9"/>
      <c r="CA1031" s="9"/>
      <c r="CB1031" s="9"/>
      <c r="CC1031" s="9"/>
      <c r="CD1031" s="9"/>
      <c r="CE1031" s="9"/>
      <c r="CF1031" s="9"/>
      <c r="CG1031" s="9"/>
      <c r="CH1031" s="9"/>
      <c r="CI1031" s="9"/>
      <c r="CJ1031" s="9"/>
      <c r="CK1031" s="9"/>
      <c r="CL1031" s="9"/>
      <c r="CM1031" s="9"/>
      <c r="CN1031" s="9"/>
      <c r="CO1031" s="9"/>
      <c r="CP1031" s="9"/>
      <c r="CQ1031" s="9"/>
      <c r="CR1031" s="9"/>
      <c r="CS1031" s="9"/>
      <c r="CT1031" s="9"/>
      <c r="CU1031" s="9"/>
      <c r="CV1031" s="9"/>
      <c r="CW1031" s="9"/>
      <c r="CX1031" s="9"/>
      <c r="CY1031" s="9"/>
    </row>
    <row r="1032" spans="3:103" x14ac:dyDescent="0.2">
      <c r="C1032" s="1"/>
      <c r="D1032" s="2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s="9"/>
      <c r="BU1032" s="9"/>
      <c r="BV1032" s="9"/>
      <c r="BW1032" s="9"/>
      <c r="BX1032" s="9"/>
      <c r="BY1032" s="9"/>
      <c r="BZ1032" s="9"/>
      <c r="CA1032" s="9"/>
      <c r="CB1032" s="9"/>
      <c r="CC1032" s="9"/>
      <c r="CD1032" s="9"/>
      <c r="CE1032" s="9"/>
      <c r="CF1032" s="9"/>
      <c r="CG1032" s="9"/>
      <c r="CH1032" s="9"/>
      <c r="CI1032" s="9"/>
      <c r="CJ1032" s="9"/>
      <c r="CK1032" s="9"/>
      <c r="CL1032" s="9"/>
      <c r="CM1032" s="9"/>
      <c r="CN1032" s="9"/>
      <c r="CO1032" s="9"/>
      <c r="CP1032" s="9"/>
      <c r="CQ1032" s="9"/>
      <c r="CR1032" s="9"/>
      <c r="CS1032" s="9"/>
      <c r="CT1032" s="9"/>
      <c r="CU1032" s="9"/>
      <c r="CV1032" s="9"/>
      <c r="CW1032" s="9"/>
      <c r="CX1032" s="9"/>
      <c r="CY1032" s="9"/>
    </row>
    <row r="1033" spans="3:103" x14ac:dyDescent="0.2">
      <c r="C1033" s="1"/>
      <c r="D1033" s="2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s="9"/>
      <c r="BU1033" s="9"/>
      <c r="BV1033" s="9"/>
      <c r="BW1033" s="9"/>
      <c r="BX1033" s="9"/>
      <c r="BY1033" s="9"/>
      <c r="BZ1033" s="9"/>
      <c r="CA1033" s="9"/>
      <c r="CB1033" s="9"/>
      <c r="CC1033" s="9"/>
      <c r="CD1033" s="9"/>
      <c r="CE1033" s="9"/>
      <c r="CF1033" s="9"/>
      <c r="CG1033" s="9"/>
      <c r="CH1033" s="9"/>
      <c r="CI1033" s="9"/>
      <c r="CJ1033" s="9"/>
      <c r="CK1033" s="9"/>
      <c r="CL1033" s="9"/>
      <c r="CM1033" s="9"/>
      <c r="CN1033" s="9"/>
      <c r="CO1033" s="9"/>
      <c r="CP1033" s="9"/>
      <c r="CQ1033" s="9"/>
      <c r="CR1033" s="9"/>
      <c r="CS1033" s="9"/>
      <c r="CT1033" s="9"/>
      <c r="CU1033" s="9"/>
      <c r="CV1033" s="9"/>
      <c r="CW1033" s="9"/>
      <c r="CX1033" s="9"/>
      <c r="CY1033" s="9"/>
    </row>
    <row r="1034" spans="3:103" x14ac:dyDescent="0.2">
      <c r="C1034" s="1"/>
      <c r="D1034" s="2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s="9"/>
      <c r="BU1034" s="9"/>
      <c r="BV1034" s="9"/>
      <c r="BW1034" s="9"/>
      <c r="BX1034" s="9"/>
      <c r="BY1034" s="9"/>
      <c r="BZ1034" s="9"/>
      <c r="CA1034" s="9"/>
      <c r="CB1034" s="9"/>
      <c r="CC1034" s="9"/>
      <c r="CD1034" s="9"/>
      <c r="CE1034" s="9"/>
      <c r="CF1034" s="9"/>
      <c r="CG1034" s="9"/>
      <c r="CH1034" s="9"/>
      <c r="CI1034" s="9"/>
      <c r="CJ1034" s="9"/>
      <c r="CK1034" s="9"/>
      <c r="CL1034" s="9"/>
      <c r="CM1034" s="9"/>
      <c r="CN1034" s="9"/>
      <c r="CO1034" s="9"/>
      <c r="CP1034" s="9"/>
      <c r="CQ1034" s="9"/>
      <c r="CR1034" s="9"/>
      <c r="CS1034" s="9"/>
      <c r="CT1034" s="9"/>
      <c r="CU1034" s="9"/>
      <c r="CV1034" s="9"/>
      <c r="CW1034" s="9"/>
      <c r="CX1034" s="9"/>
      <c r="CY1034" s="9"/>
    </row>
    <row r="1035" spans="3:103" x14ac:dyDescent="0.2">
      <c r="C1035" s="1"/>
      <c r="D1035" s="2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s="9"/>
      <c r="BU1035" s="9"/>
      <c r="BV1035" s="9"/>
      <c r="BW1035" s="9"/>
      <c r="BX1035" s="9"/>
      <c r="BY1035" s="9"/>
      <c r="BZ1035" s="9"/>
      <c r="CA1035" s="9"/>
      <c r="CB1035" s="9"/>
      <c r="CC1035" s="9"/>
      <c r="CD1035" s="9"/>
      <c r="CE1035" s="9"/>
      <c r="CF1035" s="9"/>
      <c r="CG1035" s="9"/>
      <c r="CH1035" s="9"/>
      <c r="CI1035" s="9"/>
      <c r="CJ1035" s="9"/>
      <c r="CK1035" s="9"/>
      <c r="CL1035" s="9"/>
      <c r="CM1035" s="9"/>
      <c r="CN1035" s="9"/>
      <c r="CO1035" s="9"/>
      <c r="CP1035" s="9"/>
      <c r="CQ1035" s="9"/>
      <c r="CR1035" s="9"/>
      <c r="CS1035" s="9"/>
      <c r="CT1035" s="9"/>
      <c r="CU1035" s="9"/>
      <c r="CV1035" s="9"/>
      <c r="CW1035" s="9"/>
      <c r="CX1035" s="9"/>
      <c r="CY1035" s="9"/>
    </row>
    <row r="1036" spans="3:103" x14ac:dyDescent="0.2">
      <c r="C1036" s="8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s="9"/>
      <c r="BU1036" s="9"/>
      <c r="BV1036" s="9"/>
      <c r="BW1036" s="9"/>
      <c r="BX1036" s="9"/>
      <c r="BY1036" s="9"/>
      <c r="BZ1036" s="9"/>
      <c r="CA1036" s="9"/>
      <c r="CB1036" s="9"/>
      <c r="CC1036" s="9"/>
      <c r="CD1036" s="9"/>
      <c r="CE1036" s="9"/>
      <c r="CF1036" s="9"/>
      <c r="CG1036" s="9"/>
      <c r="CH1036" s="9"/>
      <c r="CI1036" s="9"/>
      <c r="CJ1036" s="9"/>
      <c r="CK1036" s="9"/>
      <c r="CL1036" s="9"/>
      <c r="CM1036" s="9"/>
      <c r="CN1036" s="9"/>
      <c r="CO1036" s="9"/>
      <c r="CP1036" s="9"/>
      <c r="CQ1036" s="9"/>
      <c r="CR1036" s="9"/>
      <c r="CS1036" s="9"/>
      <c r="CT1036" s="9"/>
      <c r="CU1036" s="9"/>
      <c r="CV1036" s="9"/>
      <c r="CW1036" s="9"/>
      <c r="CX1036" s="9"/>
      <c r="CY1036" s="9"/>
    </row>
    <row r="1037" spans="3:103" x14ac:dyDescent="0.2"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s="9"/>
      <c r="BU1037" s="9"/>
      <c r="BV1037" s="9"/>
      <c r="BW1037" s="9"/>
      <c r="BX1037" s="9"/>
      <c r="BY1037" s="9"/>
      <c r="BZ1037" s="9"/>
      <c r="CA1037" s="9"/>
      <c r="CB1037" s="9"/>
      <c r="CC1037" s="9"/>
      <c r="CD1037" s="9"/>
      <c r="CE1037" s="9"/>
      <c r="CF1037" s="9"/>
      <c r="CG1037" s="9"/>
      <c r="CH1037" s="9"/>
      <c r="CI1037" s="9"/>
      <c r="CJ1037" s="9"/>
      <c r="CK1037" s="9"/>
      <c r="CL1037" s="9"/>
      <c r="CM1037" s="9"/>
      <c r="CN1037" s="9"/>
      <c r="CO1037" s="9"/>
      <c r="CP1037" s="9"/>
      <c r="CQ1037" s="9"/>
      <c r="CR1037" s="9"/>
      <c r="CS1037" s="9"/>
      <c r="CT1037" s="9"/>
      <c r="CU1037" s="9"/>
      <c r="CV1037" s="9"/>
      <c r="CW1037" s="9"/>
      <c r="CX1037" s="9"/>
      <c r="CY1037" s="9"/>
    </row>
    <row r="1038" spans="3:103" x14ac:dyDescent="0.2">
      <c r="C1038" s="8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s="9"/>
      <c r="BU1038" s="9"/>
      <c r="BV1038" s="9"/>
      <c r="BW1038" s="9"/>
      <c r="BX1038" s="9"/>
      <c r="BY1038" s="9"/>
      <c r="BZ1038" s="9"/>
      <c r="CA1038" s="9"/>
      <c r="CB1038" s="9"/>
      <c r="CC1038" s="9"/>
      <c r="CD1038" s="9"/>
      <c r="CE1038" s="9"/>
      <c r="CF1038" s="9"/>
      <c r="CG1038" s="9"/>
      <c r="CH1038" s="9"/>
      <c r="CI1038" s="9"/>
      <c r="CJ1038" s="9"/>
      <c r="CK1038" s="9"/>
      <c r="CL1038" s="9"/>
      <c r="CM1038" s="9"/>
      <c r="CN1038" s="9"/>
      <c r="CO1038" s="9"/>
      <c r="CP1038" s="9"/>
      <c r="CQ1038" s="9"/>
      <c r="CR1038" s="9"/>
      <c r="CS1038" s="9"/>
      <c r="CT1038" s="9"/>
      <c r="CU1038" s="9"/>
      <c r="CV1038" s="9"/>
      <c r="CW1038" s="9"/>
      <c r="CX1038" s="9"/>
      <c r="CY1038" s="9"/>
    </row>
    <row r="1039" spans="3:103" x14ac:dyDescent="0.2">
      <c r="C1039" s="1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s="9"/>
      <c r="BU1039" s="9"/>
      <c r="BV1039" s="9"/>
      <c r="BW1039" s="9"/>
      <c r="BX1039" s="9"/>
      <c r="BY1039" s="9"/>
      <c r="BZ1039" s="9"/>
      <c r="CA1039" s="9"/>
      <c r="CB1039" s="9"/>
      <c r="CC1039" s="9"/>
      <c r="CD1039" s="9"/>
      <c r="CE1039" s="9"/>
      <c r="CF1039" s="9"/>
      <c r="CG1039" s="9"/>
      <c r="CH1039" s="9"/>
      <c r="CI1039" s="9"/>
      <c r="CJ1039" s="9"/>
      <c r="CK1039" s="9"/>
      <c r="CL1039" s="9"/>
      <c r="CM1039" s="9"/>
      <c r="CN1039" s="9"/>
      <c r="CO1039" s="9"/>
      <c r="CP1039" s="9"/>
      <c r="CQ1039" s="9"/>
      <c r="CR1039" s="9"/>
      <c r="CS1039" s="9"/>
      <c r="CT1039" s="9"/>
      <c r="CU1039" s="9"/>
      <c r="CV1039" s="9"/>
      <c r="CW1039" s="9"/>
      <c r="CX1039" s="9"/>
      <c r="CY1039" s="9"/>
    </row>
    <row r="1040" spans="3:103" x14ac:dyDescent="0.2">
      <c r="C1040" s="8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s="9"/>
      <c r="BU1040" s="9"/>
      <c r="BV1040" s="9"/>
      <c r="BW1040" s="9"/>
      <c r="BX1040" s="9"/>
      <c r="BY1040" s="9"/>
      <c r="BZ1040" s="9"/>
      <c r="CA1040" s="9"/>
      <c r="CB1040" s="9"/>
      <c r="CC1040" s="9"/>
      <c r="CD1040" s="9"/>
      <c r="CE1040" s="9"/>
      <c r="CF1040" s="9"/>
      <c r="CG1040" s="9"/>
      <c r="CH1040" s="9"/>
      <c r="CI1040" s="9"/>
      <c r="CJ1040" s="9"/>
      <c r="CK1040" s="9"/>
      <c r="CL1040" s="9"/>
      <c r="CM1040" s="9"/>
      <c r="CN1040" s="9"/>
      <c r="CO1040" s="9"/>
      <c r="CP1040" s="9"/>
      <c r="CQ1040" s="9"/>
      <c r="CR1040" s="9"/>
      <c r="CS1040" s="9"/>
      <c r="CT1040" s="9"/>
      <c r="CU1040" s="9"/>
      <c r="CV1040" s="9"/>
      <c r="CW1040" s="9"/>
      <c r="CX1040" s="9"/>
      <c r="CY1040" s="9"/>
    </row>
    <row r="1041" spans="1:103" x14ac:dyDescent="0.2">
      <c r="A1041" s="15"/>
      <c r="B1041" s="25"/>
      <c r="C1041" s="8"/>
      <c r="D1041" s="9"/>
      <c r="E1041" s="6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s="9"/>
      <c r="BU1041" s="9"/>
      <c r="BV1041" s="9"/>
      <c r="BW1041" s="9"/>
      <c r="BX1041" s="9"/>
      <c r="BY1041" s="9"/>
      <c r="BZ1041" s="9"/>
      <c r="CA1041" s="9"/>
      <c r="CB1041" s="9"/>
      <c r="CC1041" s="9"/>
      <c r="CD1041" s="9"/>
      <c r="CE1041" s="9"/>
      <c r="CF1041" s="9"/>
      <c r="CG1041" s="9"/>
      <c r="CH1041" s="9"/>
      <c r="CI1041" s="9"/>
      <c r="CJ1041" s="9"/>
      <c r="CK1041" s="9"/>
      <c r="CL1041" s="9"/>
      <c r="CM1041" s="9"/>
      <c r="CN1041" s="9"/>
      <c r="CO1041" s="9"/>
      <c r="CP1041" s="9"/>
      <c r="CQ1041" s="9"/>
      <c r="CR1041" s="9"/>
      <c r="CS1041" s="9"/>
      <c r="CT1041" s="9"/>
      <c r="CU1041" s="9"/>
      <c r="CV1041" s="9"/>
      <c r="CW1041" s="9"/>
      <c r="CX1041" s="9"/>
      <c r="CY1041" s="9"/>
    </row>
    <row r="1042" spans="1:103" x14ac:dyDescent="0.2">
      <c r="A1042" s="15"/>
      <c r="B1042" s="25"/>
      <c r="C1042" s="8"/>
      <c r="D1042" s="9"/>
      <c r="E1042" s="6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s="9"/>
      <c r="BU1042" s="9"/>
      <c r="BV1042" s="9"/>
      <c r="BW1042" s="9"/>
      <c r="BX1042" s="9"/>
      <c r="BY1042" s="9"/>
      <c r="BZ1042" s="9"/>
      <c r="CA1042" s="9"/>
      <c r="CB1042" s="9"/>
      <c r="CC1042" s="9"/>
      <c r="CD1042" s="9"/>
      <c r="CE1042" s="9"/>
      <c r="CF1042" s="9"/>
      <c r="CG1042" s="9"/>
      <c r="CH1042" s="9"/>
      <c r="CI1042" s="9"/>
      <c r="CJ1042" s="9"/>
      <c r="CK1042" s="9"/>
      <c r="CL1042" s="9"/>
      <c r="CM1042" s="9"/>
      <c r="CN1042" s="9"/>
      <c r="CO1042" s="9"/>
      <c r="CP1042" s="9"/>
      <c r="CQ1042" s="9"/>
      <c r="CR1042" s="9"/>
      <c r="CS1042" s="9"/>
      <c r="CT1042" s="9"/>
      <c r="CU1042" s="9"/>
      <c r="CV1042" s="9"/>
      <c r="CW1042" s="9"/>
      <c r="CX1042" s="9"/>
      <c r="CY1042" s="9"/>
    </row>
    <row r="1043" spans="1:103" x14ac:dyDescent="0.2">
      <c r="A1043" s="15"/>
      <c r="B1043" s="25"/>
      <c r="C1043" s="8"/>
      <c r="D1043" s="9"/>
      <c r="E1043" s="6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s="9"/>
      <c r="BU1043" s="9"/>
      <c r="BV1043" s="9"/>
      <c r="BW1043" s="9"/>
      <c r="BX1043" s="9"/>
      <c r="BY1043" s="9"/>
      <c r="BZ1043" s="9"/>
      <c r="CA1043" s="9"/>
      <c r="CB1043" s="9"/>
      <c r="CC1043" s="9"/>
      <c r="CD1043" s="9"/>
      <c r="CE1043" s="9"/>
      <c r="CF1043" s="9"/>
      <c r="CG1043" s="9"/>
      <c r="CH1043" s="9"/>
      <c r="CI1043" s="9"/>
      <c r="CJ1043" s="9"/>
      <c r="CK1043" s="9"/>
      <c r="CL1043" s="9"/>
      <c r="CM1043" s="9"/>
      <c r="CN1043" s="9"/>
      <c r="CO1043" s="9"/>
      <c r="CP1043" s="9"/>
      <c r="CQ1043" s="9"/>
      <c r="CR1043" s="9"/>
      <c r="CS1043" s="9"/>
      <c r="CT1043" s="9"/>
      <c r="CU1043" s="9"/>
      <c r="CV1043" s="9"/>
      <c r="CW1043" s="9"/>
      <c r="CX1043" s="9"/>
      <c r="CY1043" s="9"/>
    </row>
    <row r="1044" spans="1:103" x14ac:dyDescent="0.2">
      <c r="A1044" s="15"/>
      <c r="B1044" s="25"/>
      <c r="C1044" s="8"/>
      <c r="D1044" s="9"/>
      <c r="E1044" s="6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s="9"/>
      <c r="BU1044" s="9"/>
      <c r="BV1044" s="9"/>
      <c r="BW1044" s="9"/>
      <c r="BX1044" s="9"/>
      <c r="BY1044" s="9"/>
      <c r="BZ1044" s="9"/>
      <c r="CA1044" s="9"/>
      <c r="CB1044" s="9"/>
      <c r="CC1044" s="9"/>
      <c r="CD1044" s="9"/>
      <c r="CE1044" s="9"/>
      <c r="CF1044" s="9"/>
      <c r="CG1044" s="9"/>
      <c r="CH1044" s="9"/>
      <c r="CI1044" s="9"/>
      <c r="CJ1044" s="9"/>
      <c r="CK1044" s="9"/>
      <c r="CL1044" s="9"/>
      <c r="CM1044" s="9"/>
      <c r="CN1044" s="9"/>
      <c r="CO1044" s="9"/>
      <c r="CP1044" s="9"/>
      <c r="CQ1044" s="9"/>
      <c r="CR1044" s="9"/>
      <c r="CS1044" s="9"/>
      <c r="CT1044" s="9"/>
      <c r="CU1044" s="9"/>
      <c r="CV1044" s="9"/>
      <c r="CW1044" s="9"/>
      <c r="CX1044" s="9"/>
      <c r="CY1044" s="9"/>
    </row>
    <row r="1045" spans="1:103" x14ac:dyDescent="0.2">
      <c r="A1045" s="15"/>
      <c r="B1045" s="25"/>
      <c r="C1045" s="8"/>
      <c r="D1045" s="9"/>
      <c r="E1045" s="6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s="9"/>
      <c r="BU1045" s="9"/>
      <c r="BV1045" s="9"/>
      <c r="BW1045" s="9"/>
      <c r="BX1045" s="9"/>
      <c r="BY1045" s="9"/>
      <c r="BZ1045" s="9"/>
      <c r="CA1045" s="9"/>
      <c r="CB1045" s="9"/>
      <c r="CC1045" s="9"/>
      <c r="CD1045" s="9"/>
      <c r="CE1045" s="9"/>
      <c r="CF1045" s="9"/>
      <c r="CG1045" s="9"/>
      <c r="CH1045" s="9"/>
      <c r="CI1045" s="9"/>
      <c r="CJ1045" s="9"/>
      <c r="CK1045" s="9"/>
      <c r="CL1045" s="9"/>
      <c r="CM1045" s="9"/>
      <c r="CN1045" s="9"/>
      <c r="CO1045" s="9"/>
      <c r="CP1045" s="9"/>
      <c r="CQ1045" s="9"/>
      <c r="CR1045" s="9"/>
      <c r="CS1045" s="9"/>
      <c r="CT1045" s="9"/>
      <c r="CU1045" s="9"/>
      <c r="CV1045" s="9"/>
      <c r="CW1045" s="9"/>
      <c r="CX1045" s="9"/>
      <c r="CY1045" s="9"/>
    </row>
    <row r="1046" spans="1:103" x14ac:dyDescent="0.2">
      <c r="A1046" s="15"/>
      <c r="B1046" s="25"/>
      <c r="C1046" s="8"/>
      <c r="D1046" s="9"/>
      <c r="E1046" s="6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s="9"/>
      <c r="BU1046" s="9"/>
      <c r="BV1046" s="9"/>
      <c r="BW1046" s="9"/>
      <c r="BX1046" s="9"/>
      <c r="BY1046" s="9"/>
      <c r="BZ1046" s="9"/>
      <c r="CA1046" s="9"/>
      <c r="CB1046" s="9"/>
      <c r="CC1046" s="9"/>
      <c r="CD1046" s="9"/>
      <c r="CE1046" s="9"/>
      <c r="CF1046" s="9"/>
      <c r="CG1046" s="9"/>
      <c r="CH1046" s="9"/>
      <c r="CI1046" s="9"/>
      <c r="CJ1046" s="9"/>
      <c r="CK1046" s="9"/>
      <c r="CL1046" s="9"/>
      <c r="CM1046" s="9"/>
      <c r="CN1046" s="9"/>
      <c r="CO1046" s="9"/>
      <c r="CP1046" s="9"/>
      <c r="CQ1046" s="9"/>
      <c r="CR1046" s="9"/>
      <c r="CS1046" s="9"/>
      <c r="CT1046" s="9"/>
      <c r="CU1046" s="9"/>
      <c r="CV1046" s="9"/>
      <c r="CW1046" s="9"/>
      <c r="CX1046" s="9"/>
      <c r="CY1046" s="9"/>
    </row>
    <row r="1047" spans="1:103" x14ac:dyDescent="0.2">
      <c r="A1047" s="15"/>
      <c r="B1047" s="25"/>
      <c r="C1047" s="8"/>
      <c r="D1047" s="9"/>
      <c r="E1047" s="6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s="9"/>
      <c r="BU1047" s="9"/>
      <c r="BV1047" s="9"/>
      <c r="BW1047" s="9"/>
      <c r="BX1047" s="9"/>
      <c r="BY1047" s="9"/>
      <c r="BZ1047" s="9"/>
      <c r="CA1047" s="9"/>
      <c r="CB1047" s="9"/>
      <c r="CC1047" s="9"/>
      <c r="CD1047" s="9"/>
      <c r="CE1047" s="9"/>
      <c r="CF1047" s="9"/>
      <c r="CG1047" s="9"/>
      <c r="CH1047" s="9"/>
      <c r="CI1047" s="9"/>
      <c r="CJ1047" s="9"/>
      <c r="CK1047" s="9"/>
      <c r="CL1047" s="9"/>
      <c r="CM1047" s="9"/>
      <c r="CN1047" s="9"/>
      <c r="CO1047" s="9"/>
      <c r="CP1047" s="9"/>
      <c r="CQ1047" s="9"/>
      <c r="CR1047" s="9"/>
      <c r="CS1047" s="9"/>
      <c r="CT1047" s="9"/>
      <c r="CU1047" s="9"/>
      <c r="CV1047" s="9"/>
      <c r="CW1047" s="9"/>
      <c r="CX1047" s="9"/>
      <c r="CY1047" s="9"/>
    </row>
    <row r="1048" spans="1:103" x14ac:dyDescent="0.2">
      <c r="A1048" s="15"/>
      <c r="B1048" s="25"/>
      <c r="C1048" s="8"/>
      <c r="D1048" s="9"/>
      <c r="E1048" s="6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s="9"/>
      <c r="BU1048" s="9"/>
      <c r="BV1048" s="9"/>
      <c r="BW1048" s="9"/>
      <c r="BX1048" s="9"/>
      <c r="BY1048" s="9"/>
      <c r="BZ1048" s="9"/>
      <c r="CA1048" s="9"/>
      <c r="CB1048" s="9"/>
      <c r="CC1048" s="9"/>
      <c r="CD1048" s="9"/>
      <c r="CE1048" s="9"/>
      <c r="CF1048" s="9"/>
      <c r="CG1048" s="9"/>
      <c r="CH1048" s="9"/>
      <c r="CI1048" s="9"/>
      <c r="CJ1048" s="9"/>
      <c r="CK1048" s="9"/>
      <c r="CL1048" s="9"/>
      <c r="CM1048" s="9"/>
      <c r="CN1048" s="9"/>
      <c r="CO1048" s="9"/>
      <c r="CP1048" s="9"/>
      <c r="CQ1048" s="9"/>
      <c r="CR1048" s="9"/>
      <c r="CS1048" s="9"/>
      <c r="CT1048" s="9"/>
      <c r="CU1048" s="9"/>
      <c r="CV1048" s="9"/>
      <c r="CW1048" s="9"/>
      <c r="CX1048" s="9"/>
      <c r="CY1048" s="9"/>
    </row>
    <row r="1049" spans="1:103" x14ac:dyDescent="0.2">
      <c r="A1049" s="15"/>
      <c r="B1049" s="25"/>
      <c r="C1049" s="8"/>
      <c r="D1049" s="9"/>
      <c r="E1049" s="6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s="9"/>
      <c r="BU1049" s="9"/>
      <c r="BV1049" s="9"/>
      <c r="BW1049" s="9"/>
      <c r="BX1049" s="9"/>
      <c r="BY1049" s="9"/>
      <c r="BZ1049" s="9"/>
      <c r="CA1049" s="9"/>
      <c r="CB1049" s="9"/>
      <c r="CC1049" s="9"/>
      <c r="CD1049" s="9"/>
      <c r="CE1049" s="9"/>
      <c r="CF1049" s="9"/>
      <c r="CG1049" s="9"/>
      <c r="CH1049" s="9"/>
      <c r="CI1049" s="9"/>
      <c r="CJ1049" s="9"/>
      <c r="CK1049" s="9"/>
      <c r="CL1049" s="9"/>
      <c r="CM1049" s="9"/>
      <c r="CN1049" s="9"/>
      <c r="CO1049" s="9"/>
      <c r="CP1049" s="9"/>
      <c r="CQ1049" s="9"/>
      <c r="CR1049" s="9"/>
      <c r="CS1049" s="9"/>
      <c r="CT1049" s="9"/>
      <c r="CU1049" s="9"/>
      <c r="CV1049" s="9"/>
      <c r="CW1049" s="9"/>
      <c r="CX1049" s="9"/>
      <c r="CY1049" s="9"/>
    </row>
    <row r="1050" spans="1:103" x14ac:dyDescent="0.2">
      <c r="A1050" s="15"/>
      <c r="B1050" s="25"/>
      <c r="C1050" s="8"/>
      <c r="D1050" s="9"/>
      <c r="E1050" s="6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s="9"/>
      <c r="BU1050" s="9"/>
      <c r="BV1050" s="9"/>
      <c r="BW1050" s="9"/>
      <c r="BX1050" s="9"/>
      <c r="BY1050" s="9"/>
      <c r="BZ1050" s="9"/>
      <c r="CA1050" s="9"/>
      <c r="CB1050" s="9"/>
      <c r="CC1050" s="9"/>
      <c r="CD1050" s="9"/>
      <c r="CE1050" s="9"/>
      <c r="CF1050" s="9"/>
      <c r="CG1050" s="9"/>
      <c r="CH1050" s="9"/>
      <c r="CI1050" s="9"/>
      <c r="CJ1050" s="9"/>
      <c r="CK1050" s="9"/>
      <c r="CL1050" s="9"/>
      <c r="CM1050" s="9"/>
      <c r="CN1050" s="9"/>
      <c r="CO1050" s="9"/>
      <c r="CP1050" s="9"/>
      <c r="CQ1050" s="9"/>
      <c r="CR1050" s="9"/>
      <c r="CS1050" s="9"/>
      <c r="CT1050" s="9"/>
      <c r="CU1050" s="9"/>
      <c r="CV1050" s="9"/>
      <c r="CW1050" s="9"/>
      <c r="CX1050" s="9"/>
      <c r="CY1050" s="9"/>
    </row>
    <row r="1051" spans="1:103" x14ac:dyDescent="0.2">
      <c r="A1051" s="15"/>
      <c r="B1051" s="25"/>
      <c r="C1051" s="8"/>
      <c r="D1051" s="9"/>
      <c r="E1051" s="6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s="9"/>
      <c r="BU1051" s="9"/>
      <c r="BV1051" s="9"/>
      <c r="BW1051" s="9"/>
      <c r="BX1051" s="9"/>
      <c r="BY1051" s="9"/>
      <c r="BZ1051" s="9"/>
      <c r="CA1051" s="9"/>
      <c r="CB1051" s="9"/>
      <c r="CC1051" s="9"/>
      <c r="CD1051" s="9"/>
      <c r="CE1051" s="9"/>
      <c r="CF1051" s="9"/>
      <c r="CG1051" s="9"/>
      <c r="CH1051" s="9"/>
      <c r="CI1051" s="9"/>
      <c r="CJ1051" s="9"/>
      <c r="CK1051" s="9"/>
      <c r="CL1051" s="9"/>
      <c r="CM1051" s="9"/>
      <c r="CN1051" s="9"/>
      <c r="CO1051" s="9"/>
      <c r="CP1051" s="9"/>
      <c r="CQ1051" s="9"/>
      <c r="CR1051" s="9"/>
      <c r="CS1051" s="9"/>
      <c r="CT1051" s="9"/>
      <c r="CU1051" s="9"/>
      <c r="CV1051" s="9"/>
      <c r="CW1051" s="9"/>
      <c r="CX1051" s="9"/>
      <c r="CY1051" s="9"/>
    </row>
    <row r="1052" spans="1:103" x14ac:dyDescent="0.2">
      <c r="A1052" s="15"/>
      <c r="B1052" s="25"/>
      <c r="C1052" s="8"/>
      <c r="D1052" s="9"/>
      <c r="E1052" s="6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s="9"/>
      <c r="BU1052" s="9"/>
      <c r="BV1052" s="9"/>
      <c r="BW1052" s="9"/>
      <c r="BX1052" s="9"/>
      <c r="BY1052" s="9"/>
      <c r="BZ1052" s="9"/>
      <c r="CA1052" s="9"/>
      <c r="CB1052" s="9"/>
      <c r="CC1052" s="9"/>
      <c r="CD1052" s="9"/>
      <c r="CE1052" s="9"/>
      <c r="CF1052" s="9"/>
      <c r="CG1052" s="9"/>
      <c r="CH1052" s="9"/>
      <c r="CI1052" s="9"/>
      <c r="CJ1052" s="9"/>
      <c r="CK1052" s="9"/>
      <c r="CL1052" s="9"/>
      <c r="CM1052" s="9"/>
      <c r="CN1052" s="9"/>
      <c r="CO1052" s="9"/>
      <c r="CP1052" s="9"/>
      <c r="CQ1052" s="9"/>
      <c r="CR1052" s="9"/>
      <c r="CS1052" s="9"/>
      <c r="CT1052" s="9"/>
      <c r="CU1052" s="9"/>
      <c r="CV1052" s="9"/>
      <c r="CW1052" s="9"/>
      <c r="CX1052" s="9"/>
      <c r="CY1052" s="9"/>
    </row>
    <row r="1053" spans="1:103" x14ac:dyDescent="0.2">
      <c r="A1053" s="15"/>
      <c r="B1053" s="25"/>
      <c r="C1053" s="8"/>
      <c r="D1053" s="9"/>
      <c r="E1053" s="6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s="9"/>
      <c r="BU1053" s="9"/>
      <c r="BV1053" s="9"/>
      <c r="BW1053" s="9"/>
      <c r="BX1053" s="9"/>
      <c r="BY1053" s="9"/>
      <c r="BZ1053" s="9"/>
      <c r="CA1053" s="9"/>
      <c r="CB1053" s="9"/>
      <c r="CC1053" s="9"/>
      <c r="CD1053" s="9"/>
      <c r="CE1053" s="9"/>
      <c r="CF1053" s="9"/>
      <c r="CG1053" s="9"/>
      <c r="CH1053" s="9"/>
      <c r="CI1053" s="9"/>
      <c r="CJ1053" s="9"/>
      <c r="CK1053" s="9"/>
      <c r="CL1053" s="9"/>
      <c r="CM1053" s="9"/>
      <c r="CN1053" s="9"/>
      <c r="CO1053" s="9"/>
      <c r="CP1053" s="9"/>
      <c r="CQ1053" s="9"/>
      <c r="CR1053" s="9"/>
      <c r="CS1053" s="9"/>
      <c r="CT1053" s="9"/>
      <c r="CU1053" s="9"/>
      <c r="CV1053" s="9"/>
      <c r="CW1053" s="9"/>
      <c r="CX1053" s="9"/>
      <c r="CY1053" s="9"/>
    </row>
    <row r="1054" spans="1:103" x14ac:dyDescent="0.2">
      <c r="A1054" s="15"/>
      <c r="B1054" s="25"/>
      <c r="C1054" s="8"/>
      <c r="D1054" s="9"/>
      <c r="E1054" s="6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s="9"/>
      <c r="BU1054" s="9"/>
      <c r="BV1054" s="9"/>
      <c r="BW1054" s="9"/>
      <c r="BX1054" s="9"/>
      <c r="BY1054" s="9"/>
      <c r="BZ1054" s="9"/>
      <c r="CA1054" s="9"/>
      <c r="CB1054" s="9"/>
      <c r="CC1054" s="9"/>
      <c r="CD1054" s="9"/>
      <c r="CE1054" s="9"/>
      <c r="CF1054" s="9"/>
      <c r="CG1054" s="9"/>
      <c r="CH1054" s="9"/>
      <c r="CI1054" s="9"/>
      <c r="CJ1054" s="9"/>
      <c r="CK1054" s="9"/>
      <c r="CL1054" s="9"/>
      <c r="CM1054" s="9"/>
      <c r="CN1054" s="9"/>
      <c r="CO1054" s="9"/>
      <c r="CP1054" s="9"/>
      <c r="CQ1054" s="9"/>
      <c r="CR1054" s="9"/>
      <c r="CS1054" s="9"/>
      <c r="CT1054" s="9"/>
      <c r="CU1054" s="9"/>
      <c r="CV1054" s="9"/>
      <c r="CW1054" s="9"/>
      <c r="CX1054" s="9"/>
      <c r="CY1054" s="9"/>
    </row>
    <row r="1055" spans="1:103" x14ac:dyDescent="0.2">
      <c r="A1055" s="15"/>
      <c r="B1055" s="25"/>
      <c r="C1055" s="8"/>
      <c r="D1055" s="9"/>
      <c r="E1055" s="6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s="9"/>
      <c r="BU1055" s="9"/>
      <c r="BV1055" s="9"/>
      <c r="BW1055" s="9"/>
      <c r="BX1055" s="9"/>
      <c r="BY1055" s="9"/>
      <c r="BZ1055" s="9"/>
      <c r="CA1055" s="9"/>
      <c r="CB1055" s="9"/>
      <c r="CC1055" s="9"/>
      <c r="CD1055" s="9"/>
      <c r="CE1055" s="9"/>
      <c r="CF1055" s="9"/>
      <c r="CG1055" s="9"/>
      <c r="CH1055" s="9"/>
      <c r="CI1055" s="9"/>
      <c r="CJ1055" s="9"/>
      <c r="CK1055" s="9"/>
      <c r="CL1055" s="9"/>
      <c r="CM1055" s="9"/>
      <c r="CN1055" s="9"/>
      <c r="CO1055" s="9"/>
      <c r="CP1055" s="9"/>
      <c r="CQ1055" s="9"/>
      <c r="CR1055" s="9"/>
      <c r="CS1055" s="9"/>
      <c r="CT1055" s="9"/>
      <c r="CU1055" s="9"/>
      <c r="CV1055" s="9"/>
      <c r="CW1055" s="9"/>
      <c r="CX1055" s="9"/>
      <c r="CY1055" s="9"/>
    </row>
    <row r="1056" spans="1:103" x14ac:dyDescent="0.2">
      <c r="A1056" s="15"/>
      <c r="B1056" s="25"/>
      <c r="C1056" s="8"/>
      <c r="D1056" s="9"/>
      <c r="E1056" s="6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s="9"/>
      <c r="BU1056" s="9"/>
      <c r="BV1056" s="9"/>
      <c r="BW1056" s="9"/>
      <c r="BX1056" s="9"/>
      <c r="BY1056" s="9"/>
      <c r="BZ1056" s="9"/>
      <c r="CA1056" s="9"/>
      <c r="CB1056" s="9"/>
      <c r="CC1056" s="9"/>
      <c r="CD1056" s="9"/>
      <c r="CE1056" s="9"/>
      <c r="CF1056" s="9"/>
      <c r="CG1056" s="9"/>
      <c r="CH1056" s="9"/>
      <c r="CI1056" s="9"/>
      <c r="CJ1056" s="9"/>
      <c r="CK1056" s="9"/>
      <c r="CL1056" s="9"/>
      <c r="CM1056" s="9"/>
      <c r="CN1056" s="9"/>
      <c r="CO1056" s="9"/>
      <c r="CP1056" s="9"/>
      <c r="CQ1056" s="9"/>
      <c r="CR1056" s="9"/>
      <c r="CS1056" s="9"/>
      <c r="CT1056" s="9"/>
      <c r="CU1056" s="9"/>
      <c r="CV1056" s="9"/>
      <c r="CW1056" s="9"/>
      <c r="CX1056" s="9"/>
      <c r="CY1056" s="9"/>
    </row>
    <row r="1057" spans="1:103" x14ac:dyDescent="0.2">
      <c r="A1057" s="15"/>
      <c r="B1057" s="25"/>
      <c r="C1057" s="8"/>
      <c r="D1057" s="9"/>
      <c r="E1057" s="6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s="9"/>
      <c r="BU1057" s="9"/>
      <c r="BV1057" s="9"/>
      <c r="BW1057" s="9"/>
      <c r="BX1057" s="9"/>
      <c r="BY1057" s="9"/>
      <c r="BZ1057" s="9"/>
      <c r="CA1057" s="9"/>
      <c r="CB1057" s="9"/>
      <c r="CC1057" s="9"/>
      <c r="CD1057" s="9"/>
      <c r="CE1057" s="9"/>
      <c r="CF1057" s="9"/>
      <c r="CG1057" s="9"/>
      <c r="CH1057" s="9"/>
      <c r="CI1057" s="9"/>
      <c r="CJ1057" s="9"/>
      <c r="CK1057" s="9"/>
      <c r="CL1057" s="9"/>
      <c r="CM1057" s="9"/>
      <c r="CN1057" s="9"/>
      <c r="CO1057" s="9"/>
      <c r="CP1057" s="9"/>
      <c r="CQ1057" s="9"/>
      <c r="CR1057" s="9"/>
      <c r="CS1057" s="9"/>
      <c r="CT1057" s="9"/>
      <c r="CU1057" s="9"/>
      <c r="CV1057" s="9"/>
      <c r="CW1057" s="9"/>
      <c r="CX1057" s="9"/>
      <c r="CY1057" s="9"/>
    </row>
    <row r="1058" spans="1:103" x14ac:dyDescent="0.2">
      <c r="A1058" s="15"/>
      <c r="B1058" s="25"/>
      <c r="C1058" s="8"/>
      <c r="D1058" s="9"/>
      <c r="E1058" s="6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s="9"/>
      <c r="BU1058" s="9"/>
      <c r="BV1058" s="9"/>
      <c r="BW1058" s="9"/>
      <c r="BX1058" s="9"/>
      <c r="BY1058" s="9"/>
      <c r="BZ1058" s="9"/>
      <c r="CA1058" s="9"/>
      <c r="CB1058" s="9"/>
      <c r="CC1058" s="9"/>
      <c r="CD1058" s="9"/>
      <c r="CE1058" s="9"/>
      <c r="CF1058" s="9"/>
      <c r="CG1058" s="9"/>
      <c r="CH1058" s="9"/>
      <c r="CI1058" s="9"/>
      <c r="CJ1058" s="9"/>
      <c r="CK1058" s="9"/>
      <c r="CL1058" s="9"/>
      <c r="CM1058" s="9"/>
      <c r="CN1058" s="9"/>
      <c r="CO1058" s="9"/>
      <c r="CP1058" s="9"/>
      <c r="CQ1058" s="9"/>
      <c r="CR1058" s="9"/>
      <c r="CS1058" s="9"/>
      <c r="CT1058" s="9"/>
      <c r="CU1058" s="9"/>
      <c r="CV1058" s="9"/>
      <c r="CW1058" s="9"/>
      <c r="CX1058" s="9"/>
      <c r="CY1058" s="9"/>
    </row>
    <row r="1059" spans="1:103" x14ac:dyDescent="0.2">
      <c r="A1059" s="15"/>
      <c r="B1059" s="25"/>
      <c r="C1059" s="8"/>
      <c r="D1059" s="9"/>
      <c r="E1059" s="6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s="9"/>
      <c r="BU1059" s="9"/>
      <c r="BV1059" s="9"/>
      <c r="BW1059" s="9"/>
      <c r="BX1059" s="9"/>
      <c r="BY1059" s="9"/>
      <c r="BZ1059" s="9"/>
      <c r="CA1059" s="9"/>
      <c r="CB1059" s="9"/>
      <c r="CC1059" s="9"/>
      <c r="CD1059" s="9"/>
      <c r="CE1059" s="9"/>
      <c r="CF1059" s="9"/>
      <c r="CG1059" s="9"/>
      <c r="CH1059" s="9"/>
      <c r="CI1059" s="9"/>
      <c r="CJ1059" s="9"/>
      <c r="CK1059" s="9"/>
      <c r="CL1059" s="9"/>
      <c r="CM1059" s="9"/>
      <c r="CN1059" s="9"/>
      <c r="CO1059" s="9"/>
      <c r="CP1059" s="9"/>
      <c r="CQ1059" s="9"/>
      <c r="CR1059" s="9"/>
      <c r="CS1059" s="9"/>
      <c r="CT1059" s="9"/>
      <c r="CU1059" s="9"/>
      <c r="CV1059" s="9"/>
      <c r="CW1059" s="9"/>
      <c r="CX1059" s="9"/>
      <c r="CY1059" s="9"/>
    </row>
    <row r="1060" spans="1:103" x14ac:dyDescent="0.2">
      <c r="A1060" s="15"/>
      <c r="B1060" s="25"/>
      <c r="C1060" s="8"/>
      <c r="D1060" s="9"/>
      <c r="E1060" s="6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s="9"/>
      <c r="BU1060" s="9"/>
      <c r="BV1060" s="9"/>
      <c r="BW1060" s="9"/>
      <c r="BX1060" s="9"/>
      <c r="BY1060" s="9"/>
      <c r="BZ1060" s="9"/>
      <c r="CA1060" s="9"/>
      <c r="CB1060" s="9"/>
      <c r="CC1060" s="9"/>
      <c r="CD1060" s="9"/>
      <c r="CE1060" s="9"/>
      <c r="CF1060" s="9"/>
      <c r="CG1060" s="9"/>
      <c r="CH1060" s="9"/>
      <c r="CI1060" s="9"/>
      <c r="CJ1060" s="9"/>
      <c r="CK1060" s="9"/>
      <c r="CL1060" s="9"/>
      <c r="CM1060" s="9"/>
      <c r="CN1060" s="9"/>
      <c r="CO1060" s="9"/>
      <c r="CP1060" s="9"/>
      <c r="CQ1060" s="9"/>
      <c r="CR1060" s="9"/>
      <c r="CS1060" s="9"/>
      <c r="CT1060" s="9"/>
      <c r="CU1060" s="9"/>
      <c r="CV1060" s="9"/>
      <c r="CW1060" s="9"/>
      <c r="CX1060" s="9"/>
      <c r="CY1060" s="9"/>
    </row>
    <row r="1061" spans="1:103" x14ac:dyDescent="0.2">
      <c r="A1061" s="15"/>
      <c r="B1061" s="25"/>
      <c r="C1061" s="8"/>
      <c r="D1061" s="9"/>
      <c r="E1061" s="6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s="9"/>
      <c r="BU1061" s="9"/>
      <c r="BV1061" s="9"/>
      <c r="BW1061" s="9"/>
      <c r="BX1061" s="9"/>
      <c r="BY1061" s="9"/>
      <c r="BZ1061" s="9"/>
      <c r="CA1061" s="9"/>
      <c r="CB1061" s="9"/>
      <c r="CC1061" s="9"/>
      <c r="CD1061" s="9"/>
      <c r="CE1061" s="9"/>
      <c r="CF1061" s="9"/>
      <c r="CG1061" s="9"/>
      <c r="CH1061" s="9"/>
      <c r="CI1061" s="9"/>
      <c r="CJ1061" s="9"/>
      <c r="CK1061" s="9"/>
      <c r="CL1061" s="9"/>
      <c r="CM1061" s="9"/>
      <c r="CN1061" s="9"/>
      <c r="CO1061" s="9"/>
      <c r="CP1061" s="9"/>
      <c r="CQ1061" s="9"/>
      <c r="CR1061" s="9"/>
      <c r="CS1061" s="9"/>
      <c r="CT1061" s="9"/>
      <c r="CU1061" s="9"/>
      <c r="CV1061" s="9"/>
      <c r="CW1061" s="9"/>
      <c r="CX1061" s="9"/>
      <c r="CY1061" s="9"/>
    </row>
    <row r="1062" spans="1:103" x14ac:dyDescent="0.2">
      <c r="A1062" s="15"/>
      <c r="B1062" s="25"/>
      <c r="C1062" s="8"/>
      <c r="D1062" s="9"/>
      <c r="E1062" s="6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s="9"/>
      <c r="BU1062" s="9"/>
      <c r="BV1062" s="9"/>
      <c r="BW1062" s="9"/>
      <c r="BX1062" s="9"/>
      <c r="BY1062" s="9"/>
      <c r="BZ1062" s="9"/>
      <c r="CA1062" s="9"/>
      <c r="CB1062" s="9"/>
      <c r="CC1062" s="9"/>
      <c r="CD1062" s="9"/>
      <c r="CE1062" s="9"/>
      <c r="CF1062" s="9"/>
      <c r="CG1062" s="9"/>
      <c r="CH1062" s="9"/>
      <c r="CI1062" s="9"/>
      <c r="CJ1062" s="9"/>
      <c r="CK1062" s="9"/>
      <c r="CL1062" s="9"/>
      <c r="CM1062" s="9"/>
      <c r="CN1062" s="9"/>
      <c r="CO1062" s="9"/>
      <c r="CP1062" s="9"/>
      <c r="CQ1062" s="9"/>
      <c r="CR1062" s="9"/>
      <c r="CS1062" s="9"/>
      <c r="CT1062" s="9"/>
      <c r="CU1062" s="9"/>
      <c r="CV1062" s="9"/>
      <c r="CW1062" s="9"/>
      <c r="CX1062" s="9"/>
      <c r="CY1062" s="9"/>
    </row>
    <row r="1063" spans="1:103" x14ac:dyDescent="0.2">
      <c r="A1063" s="15"/>
      <c r="B1063" s="25"/>
      <c r="C1063" s="8"/>
      <c r="D1063" s="9"/>
      <c r="E1063" s="6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s="9"/>
      <c r="BU1063" s="9"/>
      <c r="BV1063" s="9"/>
      <c r="BW1063" s="9"/>
      <c r="BX1063" s="9"/>
      <c r="BY1063" s="9"/>
      <c r="BZ1063" s="9"/>
      <c r="CA1063" s="9"/>
      <c r="CB1063" s="9"/>
      <c r="CC1063" s="9"/>
      <c r="CD1063" s="9"/>
      <c r="CE1063" s="9"/>
      <c r="CF1063" s="9"/>
      <c r="CG1063" s="9"/>
      <c r="CH1063" s="9"/>
      <c r="CI1063" s="9"/>
      <c r="CJ1063" s="9"/>
      <c r="CK1063" s="9"/>
      <c r="CL1063" s="9"/>
      <c r="CM1063" s="9"/>
      <c r="CN1063" s="9"/>
      <c r="CO1063" s="9"/>
      <c r="CP1063" s="9"/>
      <c r="CQ1063" s="9"/>
      <c r="CR1063" s="9"/>
      <c r="CS1063" s="9"/>
      <c r="CT1063" s="9"/>
      <c r="CU1063" s="9"/>
      <c r="CV1063" s="9"/>
      <c r="CW1063" s="9"/>
      <c r="CX1063" s="9"/>
      <c r="CY1063" s="9"/>
    </row>
    <row r="1064" spans="1:103" x14ac:dyDescent="0.2">
      <c r="A1064" s="15"/>
      <c r="B1064" s="25"/>
      <c r="C1064" s="8"/>
      <c r="D1064" s="9"/>
      <c r="E1064" s="6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s="9"/>
      <c r="BU1064" s="9"/>
      <c r="BV1064" s="9"/>
      <c r="BW1064" s="9"/>
      <c r="BX1064" s="9"/>
      <c r="BY1064" s="9"/>
      <c r="BZ1064" s="9"/>
      <c r="CA1064" s="9"/>
      <c r="CB1064" s="9"/>
      <c r="CC1064" s="9"/>
      <c r="CD1064" s="9"/>
      <c r="CE1064" s="9"/>
      <c r="CF1064" s="9"/>
      <c r="CG1064" s="9"/>
      <c r="CH1064" s="9"/>
      <c r="CI1064" s="9"/>
      <c r="CJ1064" s="9"/>
      <c r="CK1064" s="9"/>
      <c r="CL1064" s="9"/>
      <c r="CM1064" s="9"/>
      <c r="CN1064" s="9"/>
      <c r="CO1064" s="9"/>
      <c r="CP1064" s="9"/>
      <c r="CQ1064" s="9"/>
      <c r="CR1064" s="9"/>
      <c r="CS1064" s="9"/>
      <c r="CT1064" s="9"/>
      <c r="CU1064" s="9"/>
      <c r="CV1064" s="9"/>
      <c r="CW1064" s="9"/>
      <c r="CX1064" s="9"/>
      <c r="CY1064" s="9"/>
    </row>
    <row r="1065" spans="1:103" x14ac:dyDescent="0.2">
      <c r="A1065" s="15"/>
      <c r="B1065" s="25"/>
      <c r="C1065" s="8"/>
      <c r="D1065" s="9"/>
      <c r="E1065" s="6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s="9"/>
      <c r="BU1065" s="9"/>
      <c r="BV1065" s="9"/>
      <c r="BW1065" s="9"/>
      <c r="BX1065" s="9"/>
      <c r="BY1065" s="9"/>
      <c r="BZ1065" s="9"/>
      <c r="CA1065" s="9"/>
      <c r="CB1065" s="9"/>
      <c r="CC1065" s="9"/>
      <c r="CD1065" s="9"/>
      <c r="CE1065" s="9"/>
      <c r="CF1065" s="9"/>
      <c r="CG1065" s="9"/>
      <c r="CH1065" s="9"/>
      <c r="CI1065" s="9"/>
      <c r="CJ1065" s="9"/>
      <c r="CK1065" s="9"/>
      <c r="CL1065" s="9"/>
      <c r="CM1065" s="9"/>
      <c r="CN1065" s="9"/>
      <c r="CO1065" s="9"/>
      <c r="CP1065" s="9"/>
      <c r="CQ1065" s="9"/>
      <c r="CR1065" s="9"/>
      <c r="CS1065" s="9"/>
      <c r="CT1065" s="9"/>
      <c r="CU1065" s="9"/>
      <c r="CV1065" s="9"/>
      <c r="CW1065" s="9"/>
      <c r="CX1065" s="9"/>
      <c r="CY1065" s="9"/>
    </row>
    <row r="1066" spans="1:103" x14ac:dyDescent="0.2">
      <c r="A1066" s="15"/>
      <c r="B1066" s="25"/>
      <c r="C1066" s="8"/>
      <c r="D1066" s="9"/>
      <c r="E1066" s="6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s="9"/>
      <c r="BU1066" s="9"/>
      <c r="BV1066" s="9"/>
      <c r="BW1066" s="9"/>
      <c r="BX1066" s="9"/>
      <c r="BY1066" s="9"/>
      <c r="BZ1066" s="9"/>
      <c r="CA1066" s="9"/>
      <c r="CB1066" s="9"/>
      <c r="CC1066" s="9"/>
      <c r="CD1066" s="9"/>
      <c r="CE1066" s="9"/>
      <c r="CF1066" s="9"/>
      <c r="CG1066" s="9"/>
      <c r="CH1066" s="9"/>
      <c r="CI1066" s="9"/>
      <c r="CJ1066" s="9"/>
      <c r="CK1066" s="9"/>
      <c r="CL1066" s="9"/>
      <c r="CM1066" s="9"/>
      <c r="CN1066" s="9"/>
      <c r="CO1066" s="9"/>
      <c r="CP1066" s="9"/>
      <c r="CQ1066" s="9"/>
      <c r="CR1066" s="9"/>
      <c r="CS1066" s="9"/>
      <c r="CT1066" s="9"/>
      <c r="CU1066" s="9"/>
      <c r="CV1066" s="9"/>
      <c r="CW1066" s="9"/>
      <c r="CX1066" s="9"/>
      <c r="CY1066" s="9"/>
    </row>
    <row r="1067" spans="1:103" x14ac:dyDescent="0.2">
      <c r="A1067" s="15"/>
      <c r="B1067" s="25"/>
      <c r="C1067" s="8"/>
      <c r="D1067" s="9"/>
      <c r="E1067" s="6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s="9"/>
      <c r="BU1067" s="9"/>
      <c r="BV1067" s="9"/>
      <c r="BW1067" s="9"/>
      <c r="BX1067" s="9"/>
      <c r="BY1067" s="9"/>
      <c r="BZ1067" s="9"/>
      <c r="CA1067" s="9"/>
      <c r="CB1067" s="9"/>
      <c r="CC1067" s="9"/>
      <c r="CD1067" s="9"/>
      <c r="CE1067" s="9"/>
      <c r="CF1067" s="9"/>
      <c r="CG1067" s="9"/>
      <c r="CH1067" s="9"/>
      <c r="CI1067" s="9"/>
      <c r="CJ1067" s="9"/>
      <c r="CK1067" s="9"/>
      <c r="CL1067" s="9"/>
      <c r="CM1067" s="9"/>
      <c r="CN1067" s="9"/>
      <c r="CO1067" s="9"/>
      <c r="CP1067" s="9"/>
      <c r="CQ1067" s="9"/>
      <c r="CR1067" s="9"/>
      <c r="CS1067" s="9"/>
      <c r="CT1067" s="9"/>
      <c r="CU1067" s="9"/>
      <c r="CV1067" s="9"/>
      <c r="CW1067" s="9"/>
      <c r="CX1067" s="9"/>
      <c r="CY1067" s="9"/>
    </row>
    <row r="1068" spans="1:103" x14ac:dyDescent="0.2">
      <c r="A1068" s="15"/>
      <c r="B1068" s="25"/>
      <c r="C1068" s="8"/>
      <c r="D1068" s="9"/>
      <c r="E1068" s="6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s="9"/>
      <c r="BU1068" s="9"/>
      <c r="BV1068" s="9"/>
      <c r="BW1068" s="9"/>
      <c r="BX1068" s="9"/>
      <c r="BY1068" s="9"/>
      <c r="BZ1068" s="9"/>
      <c r="CA1068" s="9"/>
      <c r="CB1068" s="9"/>
      <c r="CC1068" s="9"/>
      <c r="CD1068" s="9"/>
      <c r="CE1068" s="9"/>
      <c r="CF1068" s="9"/>
      <c r="CG1068" s="9"/>
      <c r="CH1068" s="9"/>
      <c r="CI1068" s="9"/>
      <c r="CJ1068" s="9"/>
      <c r="CK1068" s="9"/>
      <c r="CL1068" s="9"/>
      <c r="CM1068" s="9"/>
      <c r="CN1068" s="9"/>
      <c r="CO1068" s="9"/>
      <c r="CP1068" s="9"/>
      <c r="CQ1068" s="9"/>
      <c r="CR1068" s="9"/>
      <c r="CS1068" s="9"/>
      <c r="CT1068" s="9"/>
      <c r="CU1068" s="9"/>
      <c r="CV1068" s="9"/>
      <c r="CW1068" s="9"/>
      <c r="CX1068" s="9"/>
      <c r="CY1068" s="9"/>
    </row>
    <row r="1069" spans="1:103" x14ac:dyDescent="0.2">
      <c r="A1069" s="15"/>
      <c r="B1069" s="25"/>
      <c r="C1069" s="8"/>
      <c r="D1069" s="9"/>
      <c r="E1069" s="6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s="9"/>
      <c r="BU1069" s="9"/>
      <c r="BV1069" s="9"/>
      <c r="BW1069" s="9"/>
      <c r="BX1069" s="9"/>
      <c r="BY1069" s="9"/>
      <c r="BZ1069" s="9"/>
      <c r="CA1069" s="9"/>
      <c r="CB1069" s="9"/>
      <c r="CC1069" s="9"/>
      <c r="CD1069" s="9"/>
      <c r="CE1069" s="9"/>
      <c r="CF1069" s="9"/>
      <c r="CG1069" s="9"/>
      <c r="CH1069" s="9"/>
      <c r="CI1069" s="9"/>
      <c r="CJ1069" s="9"/>
      <c r="CK1069" s="9"/>
      <c r="CL1069" s="9"/>
      <c r="CM1069" s="9"/>
      <c r="CN1069" s="9"/>
      <c r="CO1069" s="9"/>
      <c r="CP1069" s="9"/>
      <c r="CQ1069" s="9"/>
      <c r="CR1069" s="9"/>
      <c r="CS1069" s="9"/>
      <c r="CT1069" s="9"/>
      <c r="CU1069" s="9"/>
      <c r="CV1069" s="9"/>
      <c r="CW1069" s="9"/>
      <c r="CX1069" s="9"/>
      <c r="CY1069" s="9"/>
    </row>
    <row r="1070" spans="1:103" x14ac:dyDescent="0.2">
      <c r="A1070" s="15"/>
      <c r="B1070" s="25"/>
      <c r="C1070" s="8"/>
      <c r="D1070" s="9"/>
      <c r="E1070" s="6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s="9"/>
      <c r="BU1070" s="9"/>
      <c r="BV1070" s="9"/>
      <c r="BW1070" s="9"/>
      <c r="BX1070" s="9"/>
      <c r="BY1070" s="9"/>
      <c r="BZ1070" s="9"/>
      <c r="CA1070" s="9"/>
      <c r="CB1070" s="9"/>
      <c r="CC1070" s="9"/>
      <c r="CD1070" s="9"/>
      <c r="CE1070" s="9"/>
      <c r="CF1070" s="9"/>
      <c r="CG1070" s="9"/>
      <c r="CH1070" s="9"/>
      <c r="CI1070" s="9"/>
      <c r="CJ1070" s="9"/>
      <c r="CK1070" s="9"/>
      <c r="CL1070" s="9"/>
      <c r="CM1070" s="9"/>
      <c r="CN1070" s="9"/>
      <c r="CO1070" s="9"/>
      <c r="CP1070" s="9"/>
      <c r="CQ1070" s="9"/>
      <c r="CR1070" s="9"/>
      <c r="CS1070" s="9"/>
      <c r="CT1070" s="9"/>
      <c r="CU1070" s="9"/>
      <c r="CV1070" s="9"/>
      <c r="CW1070" s="9"/>
      <c r="CX1070" s="9"/>
      <c r="CY1070" s="9"/>
    </row>
    <row r="1071" spans="1:103" x14ac:dyDescent="0.2">
      <c r="A1071" s="15"/>
      <c r="B1071" s="25"/>
      <c r="C1071" s="8"/>
      <c r="D1071" s="9"/>
      <c r="E1071" s="6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s="9"/>
      <c r="BU1071" s="9"/>
      <c r="BV1071" s="9"/>
      <c r="BW1071" s="9"/>
      <c r="BX1071" s="9"/>
      <c r="BY1071" s="9"/>
      <c r="BZ1071" s="9"/>
      <c r="CA1071" s="9"/>
      <c r="CB1071" s="9"/>
      <c r="CC1071" s="9"/>
      <c r="CD1071" s="9"/>
      <c r="CE1071" s="9"/>
      <c r="CF1071" s="9"/>
      <c r="CG1071" s="9"/>
      <c r="CH1071" s="9"/>
      <c r="CI1071" s="9"/>
      <c r="CJ1071" s="9"/>
      <c r="CK1071" s="9"/>
      <c r="CL1071" s="9"/>
      <c r="CM1071" s="9"/>
      <c r="CN1071" s="9"/>
      <c r="CO1071" s="9"/>
      <c r="CP1071" s="9"/>
      <c r="CQ1071" s="9"/>
      <c r="CR1071" s="9"/>
      <c r="CS1071" s="9"/>
      <c r="CT1071" s="9"/>
      <c r="CU1071" s="9"/>
      <c r="CV1071" s="9"/>
      <c r="CW1071" s="9"/>
      <c r="CX1071" s="9"/>
      <c r="CY1071" s="9"/>
    </row>
    <row r="1072" spans="1:103" x14ac:dyDescent="0.2">
      <c r="A1072" s="15"/>
      <c r="B1072" s="25"/>
      <c r="C1072" s="8"/>
      <c r="D1072" s="9"/>
      <c r="E1072" s="6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s="9"/>
      <c r="BU1072" s="9"/>
      <c r="BV1072" s="9"/>
      <c r="BW1072" s="9"/>
      <c r="BX1072" s="9"/>
      <c r="BY1072" s="9"/>
      <c r="BZ1072" s="9"/>
      <c r="CA1072" s="9"/>
      <c r="CB1072" s="9"/>
      <c r="CC1072" s="9"/>
      <c r="CD1072" s="9"/>
      <c r="CE1072" s="9"/>
      <c r="CF1072" s="9"/>
      <c r="CG1072" s="9"/>
      <c r="CH1072" s="9"/>
      <c r="CI1072" s="9"/>
      <c r="CJ1072" s="9"/>
      <c r="CK1072" s="9"/>
      <c r="CL1072" s="9"/>
      <c r="CM1072" s="9"/>
      <c r="CN1072" s="9"/>
      <c r="CO1072" s="9"/>
      <c r="CP1072" s="9"/>
      <c r="CQ1072" s="9"/>
      <c r="CR1072" s="9"/>
      <c r="CS1072" s="9"/>
      <c r="CT1072" s="9"/>
      <c r="CU1072" s="9"/>
      <c r="CV1072" s="9"/>
      <c r="CW1072" s="9"/>
      <c r="CX1072" s="9"/>
      <c r="CY1072" s="9"/>
    </row>
    <row r="1073" spans="1:103" x14ac:dyDescent="0.2">
      <c r="A1073" s="15"/>
      <c r="B1073" s="25"/>
      <c r="C1073" s="8"/>
      <c r="D1073" s="9"/>
      <c r="E1073" s="6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s="9"/>
      <c r="BU1073" s="9"/>
      <c r="BV1073" s="9"/>
      <c r="BW1073" s="9"/>
      <c r="BX1073" s="9"/>
      <c r="BY1073" s="9"/>
      <c r="BZ1073" s="9"/>
      <c r="CA1073" s="9"/>
      <c r="CB1073" s="9"/>
      <c r="CC1073" s="9"/>
      <c r="CD1073" s="9"/>
      <c r="CE1073" s="9"/>
      <c r="CF1073" s="9"/>
      <c r="CG1073" s="9"/>
      <c r="CH1073" s="9"/>
      <c r="CI1073" s="9"/>
      <c r="CJ1073" s="9"/>
      <c r="CK1073" s="9"/>
      <c r="CL1073" s="9"/>
      <c r="CM1073" s="9"/>
      <c r="CN1073" s="9"/>
      <c r="CO1073" s="9"/>
      <c r="CP1073" s="9"/>
      <c r="CQ1073" s="9"/>
      <c r="CR1073" s="9"/>
      <c r="CS1073" s="9"/>
      <c r="CT1073" s="9"/>
      <c r="CU1073" s="9"/>
      <c r="CV1073" s="9"/>
      <c r="CW1073" s="9"/>
      <c r="CX1073" s="9"/>
      <c r="CY1073" s="9"/>
    </row>
    <row r="1074" spans="1:103" x14ac:dyDescent="0.2">
      <c r="A1074" s="15"/>
      <c r="B1074" s="25"/>
      <c r="C1074" s="8"/>
      <c r="D1074" s="9"/>
      <c r="E1074" s="6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s="9"/>
      <c r="BU1074" s="9"/>
      <c r="BV1074" s="9"/>
      <c r="BW1074" s="9"/>
      <c r="BX1074" s="9"/>
      <c r="BY1074" s="9"/>
      <c r="BZ1074" s="9"/>
      <c r="CA1074" s="9"/>
      <c r="CB1074" s="9"/>
      <c r="CC1074" s="9"/>
      <c r="CD1074" s="9"/>
      <c r="CE1074" s="9"/>
      <c r="CF1074" s="9"/>
      <c r="CG1074" s="9"/>
      <c r="CH1074" s="9"/>
      <c r="CI1074" s="9"/>
      <c r="CJ1074" s="9"/>
      <c r="CK1074" s="9"/>
      <c r="CL1074" s="9"/>
      <c r="CM1074" s="9"/>
      <c r="CN1074" s="9"/>
      <c r="CO1074" s="9"/>
      <c r="CP1074" s="9"/>
      <c r="CQ1074" s="9"/>
      <c r="CR1074" s="9"/>
      <c r="CS1074" s="9"/>
      <c r="CT1074" s="9"/>
      <c r="CU1074" s="9"/>
      <c r="CV1074" s="9"/>
      <c r="CW1074" s="9"/>
      <c r="CX1074" s="9"/>
      <c r="CY1074" s="9"/>
    </row>
    <row r="1075" spans="1:103" x14ac:dyDescent="0.2">
      <c r="A1075" s="15"/>
      <c r="B1075" s="25"/>
      <c r="C1075" s="8"/>
      <c r="D1075" s="9"/>
      <c r="E1075" s="6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s="9"/>
      <c r="BU1075" s="9"/>
      <c r="BV1075" s="9"/>
      <c r="BW1075" s="9"/>
      <c r="BX1075" s="9"/>
      <c r="BY1075" s="9"/>
      <c r="BZ1075" s="9"/>
      <c r="CA1075" s="9"/>
      <c r="CB1075" s="9"/>
      <c r="CC1075" s="9"/>
      <c r="CD1075" s="9"/>
      <c r="CE1075" s="9"/>
      <c r="CF1075" s="9"/>
      <c r="CG1075" s="9"/>
      <c r="CH1075" s="9"/>
      <c r="CI1075" s="9"/>
      <c r="CJ1075" s="9"/>
      <c r="CK1075" s="9"/>
      <c r="CL1075" s="9"/>
      <c r="CM1075" s="9"/>
      <c r="CN1075" s="9"/>
      <c r="CO1075" s="9"/>
      <c r="CP1075" s="9"/>
      <c r="CQ1075" s="9"/>
      <c r="CR1075" s="9"/>
      <c r="CS1075" s="9"/>
      <c r="CT1075" s="9"/>
      <c r="CU1075" s="9"/>
      <c r="CV1075" s="9"/>
      <c r="CW1075" s="9"/>
      <c r="CX1075" s="9"/>
      <c r="CY1075" s="9"/>
    </row>
    <row r="1076" spans="1:103" x14ac:dyDescent="0.2">
      <c r="A1076" s="15"/>
      <c r="B1076" s="25"/>
      <c r="C1076" s="8"/>
      <c r="D1076" s="9"/>
      <c r="E1076" s="6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s="9"/>
      <c r="BU1076" s="9"/>
      <c r="BV1076" s="9"/>
      <c r="BW1076" s="9"/>
      <c r="BX1076" s="9"/>
      <c r="BY1076" s="9"/>
      <c r="BZ1076" s="9"/>
      <c r="CA1076" s="9"/>
      <c r="CB1076" s="9"/>
      <c r="CC1076" s="9"/>
      <c r="CD1076" s="9"/>
      <c r="CE1076" s="9"/>
      <c r="CF1076" s="9"/>
      <c r="CG1076" s="9"/>
      <c r="CH1076" s="9"/>
      <c r="CI1076" s="9"/>
      <c r="CJ1076" s="9"/>
      <c r="CK1076" s="9"/>
      <c r="CL1076" s="9"/>
      <c r="CM1076" s="9"/>
      <c r="CN1076" s="9"/>
      <c r="CO1076" s="9"/>
      <c r="CP1076" s="9"/>
      <c r="CQ1076" s="9"/>
      <c r="CR1076" s="9"/>
      <c r="CS1076" s="9"/>
      <c r="CT1076" s="9"/>
      <c r="CU1076" s="9"/>
      <c r="CV1076" s="9"/>
      <c r="CW1076" s="9"/>
      <c r="CX1076" s="9"/>
      <c r="CY1076" s="9"/>
    </row>
    <row r="1077" spans="1:103" x14ac:dyDescent="0.2">
      <c r="A1077" s="15"/>
      <c r="B1077" s="25"/>
      <c r="C1077" s="8"/>
      <c r="D1077" s="9"/>
      <c r="E1077" s="6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s="9"/>
      <c r="BU1077" s="9"/>
      <c r="BV1077" s="9"/>
      <c r="BW1077" s="9"/>
      <c r="BX1077" s="9"/>
      <c r="BY1077" s="9"/>
      <c r="BZ1077" s="9"/>
      <c r="CA1077" s="9"/>
      <c r="CB1077" s="9"/>
      <c r="CC1077" s="9"/>
      <c r="CD1077" s="9"/>
      <c r="CE1077" s="9"/>
      <c r="CF1077" s="9"/>
      <c r="CG1077" s="9"/>
      <c r="CH1077" s="9"/>
      <c r="CI1077" s="9"/>
      <c r="CJ1077" s="9"/>
      <c r="CK1077" s="9"/>
      <c r="CL1077" s="9"/>
      <c r="CM1077" s="9"/>
      <c r="CN1077" s="9"/>
      <c r="CO1077" s="9"/>
      <c r="CP1077" s="9"/>
      <c r="CQ1077" s="9"/>
      <c r="CR1077" s="9"/>
      <c r="CS1077" s="9"/>
      <c r="CT1077" s="9"/>
      <c r="CU1077" s="9"/>
      <c r="CV1077" s="9"/>
      <c r="CW1077" s="9"/>
      <c r="CX1077" s="9"/>
      <c r="CY1077" s="9"/>
    </row>
    <row r="1078" spans="1:103" x14ac:dyDescent="0.2">
      <c r="A1078" s="15"/>
      <c r="B1078" s="25"/>
      <c r="C1078" s="8"/>
      <c r="D1078" s="9"/>
      <c r="E1078" s="6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s="9"/>
      <c r="BU1078" s="9"/>
      <c r="BV1078" s="9"/>
      <c r="BW1078" s="9"/>
      <c r="BX1078" s="9"/>
      <c r="BY1078" s="9"/>
      <c r="BZ1078" s="9"/>
      <c r="CA1078" s="9"/>
      <c r="CB1078" s="9"/>
      <c r="CC1078" s="9"/>
      <c r="CD1078" s="9"/>
      <c r="CE1078" s="9"/>
      <c r="CF1078" s="9"/>
      <c r="CG1078" s="9"/>
      <c r="CH1078" s="9"/>
      <c r="CI1078" s="9"/>
      <c r="CJ1078" s="9"/>
      <c r="CK1078" s="9"/>
      <c r="CL1078" s="9"/>
      <c r="CM1078" s="9"/>
      <c r="CN1078" s="9"/>
      <c r="CO1078" s="9"/>
      <c r="CP1078" s="9"/>
      <c r="CQ1078" s="9"/>
      <c r="CR1078" s="9"/>
      <c r="CS1078" s="9"/>
      <c r="CT1078" s="9"/>
      <c r="CU1078" s="9"/>
      <c r="CV1078" s="9"/>
      <c r="CW1078" s="9"/>
      <c r="CX1078" s="9"/>
      <c r="CY1078" s="9"/>
    </row>
    <row r="1079" spans="1:103" x14ac:dyDescent="0.2">
      <c r="A1079" s="15"/>
      <c r="B1079" s="25"/>
      <c r="C1079" s="8"/>
      <c r="D1079" s="9"/>
      <c r="E1079" s="6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s="9"/>
      <c r="BU1079" s="9"/>
      <c r="BV1079" s="9"/>
      <c r="BW1079" s="9"/>
      <c r="BX1079" s="9"/>
      <c r="BY1079" s="9"/>
      <c r="BZ1079" s="9"/>
      <c r="CA1079" s="9"/>
      <c r="CB1079" s="9"/>
      <c r="CC1079" s="9"/>
      <c r="CD1079" s="9"/>
      <c r="CE1079" s="9"/>
      <c r="CF1079" s="9"/>
      <c r="CG1079" s="9"/>
      <c r="CH1079" s="9"/>
      <c r="CI1079" s="9"/>
      <c r="CJ1079" s="9"/>
      <c r="CK1079" s="9"/>
      <c r="CL1079" s="9"/>
      <c r="CM1079" s="9"/>
      <c r="CN1079" s="9"/>
      <c r="CO1079" s="9"/>
      <c r="CP1079" s="9"/>
      <c r="CQ1079" s="9"/>
      <c r="CR1079" s="9"/>
      <c r="CS1079" s="9"/>
      <c r="CT1079" s="9"/>
      <c r="CU1079" s="9"/>
      <c r="CV1079" s="9"/>
      <c r="CW1079" s="9"/>
      <c r="CX1079" s="9"/>
      <c r="CY1079" s="9"/>
    </row>
    <row r="1080" spans="1:103" x14ac:dyDescent="0.2">
      <c r="A1080" s="15"/>
      <c r="B1080" s="25"/>
      <c r="C1080" s="8"/>
      <c r="D1080" s="9"/>
      <c r="E1080" s="6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s="9"/>
      <c r="BU1080" s="9"/>
      <c r="BV1080" s="9"/>
      <c r="BW1080" s="9"/>
      <c r="BX1080" s="9"/>
      <c r="BY1080" s="9"/>
      <c r="BZ1080" s="9"/>
      <c r="CA1080" s="9"/>
      <c r="CB1080" s="9"/>
      <c r="CC1080" s="9"/>
      <c r="CD1080" s="9"/>
      <c r="CE1080" s="9"/>
      <c r="CF1080" s="9"/>
      <c r="CG1080" s="9"/>
      <c r="CH1080" s="9"/>
      <c r="CI1080" s="9"/>
      <c r="CJ1080" s="9"/>
      <c r="CK1080" s="9"/>
      <c r="CL1080" s="9"/>
      <c r="CM1080" s="9"/>
      <c r="CN1080" s="9"/>
      <c r="CO1080" s="9"/>
      <c r="CP1080" s="9"/>
      <c r="CQ1080" s="9"/>
      <c r="CR1080" s="9"/>
      <c r="CS1080" s="9"/>
      <c r="CT1080" s="9"/>
      <c r="CU1080" s="9"/>
      <c r="CV1080" s="9"/>
      <c r="CW1080" s="9"/>
      <c r="CX1080" s="9"/>
      <c r="CY1080" s="9"/>
    </row>
    <row r="1081" spans="1:103" x14ac:dyDescent="0.2">
      <c r="A1081" s="15"/>
      <c r="B1081" s="25"/>
      <c r="C1081" s="8"/>
      <c r="D1081" s="9"/>
      <c r="E1081" s="6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s="9"/>
      <c r="BU1081" s="9"/>
      <c r="BV1081" s="9"/>
      <c r="BW1081" s="9"/>
      <c r="BX1081" s="9"/>
      <c r="BY1081" s="9"/>
      <c r="BZ1081" s="9"/>
      <c r="CA1081" s="9"/>
      <c r="CB1081" s="9"/>
      <c r="CC1081" s="9"/>
      <c r="CD1081" s="9"/>
      <c r="CE1081" s="9"/>
      <c r="CF1081" s="9"/>
      <c r="CG1081" s="9"/>
      <c r="CH1081" s="9"/>
      <c r="CI1081" s="9"/>
      <c r="CJ1081" s="9"/>
      <c r="CK1081" s="9"/>
      <c r="CL1081" s="9"/>
      <c r="CM1081" s="9"/>
      <c r="CN1081" s="9"/>
      <c r="CO1081" s="9"/>
      <c r="CP1081" s="9"/>
      <c r="CQ1081" s="9"/>
      <c r="CR1081" s="9"/>
      <c r="CS1081" s="9"/>
      <c r="CT1081" s="9"/>
      <c r="CU1081" s="9"/>
      <c r="CV1081" s="9"/>
      <c r="CW1081" s="9"/>
      <c r="CX1081" s="9"/>
      <c r="CY1081" s="9"/>
    </row>
    <row r="1082" spans="1:103" x14ac:dyDescent="0.2">
      <c r="A1082" s="15"/>
      <c r="B1082" s="25"/>
      <c r="C1082" s="8"/>
      <c r="D1082" s="9"/>
      <c r="E1082" s="6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s="9"/>
      <c r="BU1082" s="9"/>
      <c r="BV1082" s="9"/>
      <c r="BW1082" s="9"/>
      <c r="BX1082" s="9"/>
      <c r="BY1082" s="9"/>
      <c r="BZ1082" s="9"/>
      <c r="CA1082" s="9"/>
      <c r="CB1082" s="9"/>
      <c r="CC1082" s="9"/>
      <c r="CD1082" s="9"/>
      <c r="CE1082" s="9"/>
      <c r="CF1082" s="9"/>
      <c r="CG1082" s="9"/>
      <c r="CH1082" s="9"/>
      <c r="CI1082" s="9"/>
      <c r="CJ1082" s="9"/>
      <c r="CK1082" s="9"/>
      <c r="CL1082" s="9"/>
      <c r="CM1082" s="9"/>
      <c r="CN1082" s="9"/>
      <c r="CO1082" s="9"/>
      <c r="CP1082" s="9"/>
      <c r="CQ1082" s="9"/>
      <c r="CR1082" s="9"/>
      <c r="CS1082" s="9"/>
      <c r="CT1082" s="9"/>
      <c r="CU1082" s="9"/>
      <c r="CV1082" s="9"/>
      <c r="CW1082" s="9"/>
      <c r="CX1082" s="9"/>
      <c r="CY1082" s="9"/>
    </row>
    <row r="1083" spans="1:103" x14ac:dyDescent="0.2">
      <c r="A1083" s="15"/>
      <c r="B1083" s="25"/>
      <c r="C1083" s="8"/>
      <c r="D1083" s="9"/>
      <c r="E1083" s="6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s="9"/>
      <c r="BU1083" s="9"/>
      <c r="BV1083" s="9"/>
      <c r="BW1083" s="9"/>
      <c r="BX1083" s="9"/>
      <c r="BY1083" s="9"/>
      <c r="BZ1083" s="9"/>
      <c r="CA1083" s="9"/>
      <c r="CB1083" s="9"/>
      <c r="CC1083" s="9"/>
      <c r="CD1083" s="9"/>
      <c r="CE1083" s="9"/>
      <c r="CF1083" s="9"/>
      <c r="CG1083" s="9"/>
      <c r="CH1083" s="9"/>
      <c r="CI1083" s="9"/>
      <c r="CJ1083" s="9"/>
      <c r="CK1083" s="9"/>
      <c r="CL1083" s="9"/>
      <c r="CM1083" s="9"/>
      <c r="CN1083" s="9"/>
      <c r="CO1083" s="9"/>
      <c r="CP1083" s="9"/>
      <c r="CQ1083" s="9"/>
      <c r="CR1083" s="9"/>
      <c r="CS1083" s="9"/>
      <c r="CT1083" s="9"/>
      <c r="CU1083" s="9"/>
      <c r="CV1083" s="9"/>
      <c r="CW1083" s="9"/>
      <c r="CX1083" s="9"/>
      <c r="CY1083" s="9"/>
    </row>
    <row r="1084" spans="1:103" x14ac:dyDescent="0.2">
      <c r="A1084" s="15"/>
      <c r="B1084" s="25"/>
      <c r="C1084" s="8"/>
      <c r="D1084" s="9"/>
      <c r="E1084" s="6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s="9"/>
      <c r="BU1084" s="9"/>
      <c r="BV1084" s="9"/>
      <c r="BW1084" s="9"/>
      <c r="BX1084" s="9"/>
      <c r="BY1084" s="9"/>
      <c r="BZ1084" s="9"/>
      <c r="CA1084" s="9"/>
      <c r="CB1084" s="9"/>
      <c r="CC1084" s="9"/>
      <c r="CD1084" s="9"/>
      <c r="CE1084" s="9"/>
      <c r="CF1084" s="9"/>
      <c r="CG1084" s="9"/>
      <c r="CH1084" s="9"/>
      <c r="CI1084" s="9"/>
      <c r="CJ1084" s="9"/>
      <c r="CK1084" s="9"/>
      <c r="CL1084" s="9"/>
      <c r="CM1084" s="9"/>
      <c r="CN1084" s="9"/>
      <c r="CO1084" s="9"/>
      <c r="CP1084" s="9"/>
      <c r="CQ1084" s="9"/>
      <c r="CR1084" s="9"/>
      <c r="CS1084" s="9"/>
      <c r="CT1084" s="9"/>
      <c r="CU1084" s="9"/>
      <c r="CV1084" s="9"/>
      <c r="CW1084" s="9"/>
      <c r="CX1084" s="9"/>
      <c r="CY1084" s="9"/>
    </row>
    <row r="1085" spans="1:103" x14ac:dyDescent="0.2">
      <c r="A1085" s="15"/>
      <c r="B1085" s="25"/>
      <c r="C1085" s="8"/>
      <c r="D1085" s="9"/>
      <c r="E1085" s="6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s="9"/>
      <c r="BU1085" s="9"/>
      <c r="BV1085" s="9"/>
      <c r="BW1085" s="9"/>
      <c r="BX1085" s="9"/>
      <c r="BY1085" s="9"/>
      <c r="BZ1085" s="9"/>
      <c r="CA1085" s="9"/>
      <c r="CB1085" s="9"/>
      <c r="CC1085" s="9"/>
      <c r="CD1085" s="9"/>
      <c r="CE1085" s="9"/>
      <c r="CF1085" s="9"/>
      <c r="CG1085" s="9"/>
      <c r="CH1085" s="9"/>
      <c r="CI1085" s="9"/>
      <c r="CJ1085" s="9"/>
      <c r="CK1085" s="9"/>
      <c r="CL1085" s="9"/>
      <c r="CM1085" s="9"/>
      <c r="CN1085" s="9"/>
      <c r="CO1085" s="9"/>
      <c r="CP1085" s="9"/>
      <c r="CQ1085" s="9"/>
      <c r="CR1085" s="9"/>
      <c r="CS1085" s="9"/>
      <c r="CT1085" s="9"/>
      <c r="CU1085" s="9"/>
      <c r="CV1085" s="9"/>
      <c r="CW1085" s="9"/>
      <c r="CX1085" s="9"/>
      <c r="CY1085" s="9"/>
    </row>
    <row r="1086" spans="1:103" x14ac:dyDescent="0.2">
      <c r="A1086" s="15"/>
      <c r="B1086" s="25"/>
      <c r="C1086" s="8"/>
      <c r="D1086" s="9"/>
      <c r="E1086" s="6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s="9"/>
      <c r="BU1086" s="9"/>
      <c r="BV1086" s="9"/>
      <c r="BW1086" s="9"/>
      <c r="BX1086" s="9"/>
      <c r="BY1086" s="9"/>
      <c r="BZ1086" s="9"/>
      <c r="CA1086" s="9"/>
      <c r="CB1086" s="9"/>
      <c r="CC1086" s="9"/>
      <c r="CD1086" s="9"/>
      <c r="CE1086" s="9"/>
      <c r="CF1086" s="9"/>
      <c r="CG1086" s="9"/>
      <c r="CH1086" s="9"/>
      <c r="CI1086" s="9"/>
      <c r="CJ1086" s="9"/>
      <c r="CK1086" s="9"/>
      <c r="CL1086" s="9"/>
      <c r="CM1086" s="9"/>
      <c r="CN1086" s="9"/>
      <c r="CO1086" s="9"/>
      <c r="CP1086" s="9"/>
      <c r="CQ1086" s="9"/>
      <c r="CR1086" s="9"/>
      <c r="CS1086" s="9"/>
      <c r="CT1086" s="9"/>
      <c r="CU1086" s="9"/>
      <c r="CV1086" s="9"/>
      <c r="CW1086" s="9"/>
      <c r="CX1086" s="9"/>
      <c r="CY1086" s="9"/>
    </row>
    <row r="1087" spans="1:103" x14ac:dyDescent="0.2">
      <c r="A1087" s="15"/>
      <c r="B1087" s="25"/>
      <c r="C1087" s="8"/>
      <c r="D1087" s="9"/>
      <c r="E1087" s="6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s="9"/>
      <c r="BU1087" s="9"/>
      <c r="BV1087" s="9"/>
      <c r="BW1087" s="9"/>
      <c r="BX1087" s="9"/>
      <c r="BY1087" s="9"/>
      <c r="BZ1087" s="9"/>
      <c r="CA1087" s="9"/>
      <c r="CB1087" s="9"/>
      <c r="CC1087" s="9"/>
      <c r="CD1087" s="9"/>
      <c r="CE1087" s="9"/>
      <c r="CF1087" s="9"/>
      <c r="CG1087" s="9"/>
      <c r="CH1087" s="9"/>
      <c r="CI1087" s="9"/>
      <c r="CJ1087" s="9"/>
      <c r="CK1087" s="9"/>
      <c r="CL1087" s="9"/>
      <c r="CM1087" s="9"/>
      <c r="CN1087" s="9"/>
      <c r="CO1087" s="9"/>
      <c r="CP1087" s="9"/>
      <c r="CQ1087" s="9"/>
      <c r="CR1087" s="9"/>
      <c r="CS1087" s="9"/>
      <c r="CT1087" s="9"/>
      <c r="CU1087" s="9"/>
      <c r="CV1087" s="9"/>
      <c r="CW1087" s="9"/>
      <c r="CX1087" s="9"/>
      <c r="CY1087" s="9"/>
    </row>
    <row r="1088" spans="1:103" x14ac:dyDescent="0.2">
      <c r="A1088" s="15"/>
      <c r="B1088" s="25"/>
      <c r="C1088" s="8"/>
      <c r="D1088" s="9"/>
      <c r="E1088" s="6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s="9"/>
      <c r="BU1088" s="9"/>
      <c r="BV1088" s="9"/>
      <c r="BW1088" s="9"/>
      <c r="BX1088" s="9"/>
      <c r="BY1088" s="9"/>
      <c r="BZ1088" s="9"/>
      <c r="CA1088" s="9"/>
      <c r="CB1088" s="9"/>
      <c r="CC1088" s="9"/>
      <c r="CD1088" s="9"/>
      <c r="CE1088" s="9"/>
      <c r="CF1088" s="9"/>
      <c r="CG1088" s="9"/>
      <c r="CH1088" s="9"/>
      <c r="CI1088" s="9"/>
      <c r="CJ1088" s="9"/>
      <c r="CK1088" s="9"/>
      <c r="CL1088" s="9"/>
      <c r="CM1088" s="9"/>
      <c r="CN1088" s="9"/>
      <c r="CO1088" s="9"/>
      <c r="CP1088" s="9"/>
      <c r="CQ1088" s="9"/>
      <c r="CR1088" s="9"/>
      <c r="CS1088" s="9"/>
      <c r="CT1088" s="9"/>
      <c r="CU1088" s="9"/>
      <c r="CV1088" s="9"/>
      <c r="CW1088" s="9"/>
      <c r="CX1088" s="9"/>
      <c r="CY1088" s="9"/>
    </row>
    <row r="1089" spans="1:103" x14ac:dyDescent="0.2">
      <c r="A1089" s="15"/>
      <c r="B1089" s="25"/>
      <c r="C1089" s="8"/>
      <c r="D1089" s="9"/>
      <c r="E1089" s="6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s="9"/>
      <c r="BU1089" s="9"/>
      <c r="BV1089" s="9"/>
      <c r="BW1089" s="9"/>
      <c r="BX1089" s="9"/>
      <c r="BY1089" s="9"/>
      <c r="BZ1089" s="9"/>
      <c r="CA1089" s="9"/>
      <c r="CB1089" s="9"/>
      <c r="CC1089" s="9"/>
      <c r="CD1089" s="9"/>
      <c r="CE1089" s="9"/>
      <c r="CF1089" s="9"/>
      <c r="CG1089" s="9"/>
      <c r="CH1089" s="9"/>
      <c r="CI1089" s="9"/>
      <c r="CJ1089" s="9"/>
      <c r="CK1089" s="9"/>
      <c r="CL1089" s="9"/>
      <c r="CM1089" s="9"/>
      <c r="CN1089" s="9"/>
      <c r="CO1089" s="9"/>
      <c r="CP1089" s="9"/>
      <c r="CQ1089" s="9"/>
      <c r="CR1089" s="9"/>
      <c r="CS1089" s="9"/>
      <c r="CT1089" s="9"/>
      <c r="CU1089" s="9"/>
      <c r="CV1089" s="9"/>
      <c r="CW1089" s="9"/>
      <c r="CX1089" s="9"/>
      <c r="CY1089" s="9"/>
    </row>
    <row r="1090" spans="1:103" x14ac:dyDescent="0.2">
      <c r="A1090" s="15"/>
      <c r="B1090" s="25"/>
      <c r="C1090" s="8"/>
      <c r="D1090" s="9"/>
      <c r="E1090" s="6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s="9"/>
      <c r="BU1090" s="9"/>
      <c r="BV1090" s="9"/>
      <c r="BW1090" s="9"/>
      <c r="BX1090" s="9"/>
      <c r="BY1090" s="9"/>
      <c r="BZ1090" s="9"/>
      <c r="CA1090" s="9"/>
      <c r="CB1090" s="9"/>
      <c r="CC1090" s="9"/>
      <c r="CD1090" s="9"/>
      <c r="CE1090" s="9"/>
      <c r="CF1090" s="9"/>
      <c r="CG1090" s="9"/>
      <c r="CH1090" s="9"/>
      <c r="CI1090" s="9"/>
      <c r="CJ1090" s="9"/>
      <c r="CK1090" s="9"/>
      <c r="CL1090" s="9"/>
      <c r="CM1090" s="9"/>
      <c r="CN1090" s="9"/>
      <c r="CO1090" s="9"/>
      <c r="CP1090" s="9"/>
      <c r="CQ1090" s="9"/>
      <c r="CR1090" s="9"/>
      <c r="CS1090" s="9"/>
      <c r="CT1090" s="9"/>
      <c r="CU1090" s="9"/>
      <c r="CV1090" s="9"/>
      <c r="CW1090" s="9"/>
      <c r="CX1090" s="9"/>
      <c r="CY1090" s="9"/>
    </row>
    <row r="1091" spans="1:103" x14ac:dyDescent="0.2">
      <c r="A1091" s="15"/>
      <c r="B1091" s="25"/>
      <c r="C1091" s="8"/>
      <c r="D1091" s="9"/>
      <c r="E1091" s="6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s="9"/>
      <c r="BU1091" s="9"/>
      <c r="BV1091" s="9"/>
      <c r="BW1091" s="9"/>
      <c r="BX1091" s="9"/>
      <c r="BY1091" s="9"/>
      <c r="BZ1091" s="9"/>
      <c r="CA1091" s="9"/>
      <c r="CB1091" s="9"/>
      <c r="CC1091" s="9"/>
      <c r="CD1091" s="9"/>
      <c r="CE1091" s="9"/>
      <c r="CF1091" s="9"/>
      <c r="CG1091" s="9"/>
      <c r="CH1091" s="9"/>
      <c r="CI1091" s="9"/>
      <c r="CJ1091" s="9"/>
      <c r="CK1091" s="9"/>
      <c r="CL1091" s="9"/>
      <c r="CM1091" s="9"/>
      <c r="CN1091" s="9"/>
      <c r="CO1091" s="9"/>
      <c r="CP1091" s="9"/>
      <c r="CQ1091" s="9"/>
      <c r="CR1091" s="9"/>
      <c r="CS1091" s="9"/>
      <c r="CT1091" s="9"/>
      <c r="CU1091" s="9"/>
      <c r="CV1091" s="9"/>
      <c r="CW1091" s="9"/>
      <c r="CX1091" s="9"/>
      <c r="CY1091" s="9"/>
    </row>
    <row r="1092" spans="1:103" x14ac:dyDescent="0.2">
      <c r="A1092" s="15"/>
      <c r="B1092" s="25"/>
      <c r="C1092" s="8"/>
      <c r="D1092" s="9"/>
      <c r="E1092" s="6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s="9"/>
      <c r="BU1092" s="9"/>
      <c r="BV1092" s="9"/>
      <c r="BW1092" s="9"/>
      <c r="BX1092" s="9"/>
      <c r="BY1092" s="9"/>
      <c r="BZ1092" s="9"/>
      <c r="CA1092" s="9"/>
      <c r="CB1092" s="9"/>
      <c r="CC1092" s="9"/>
      <c r="CD1092" s="9"/>
      <c r="CE1092" s="9"/>
      <c r="CF1092" s="9"/>
      <c r="CG1092" s="9"/>
      <c r="CH1092" s="9"/>
      <c r="CI1092" s="9"/>
      <c r="CJ1092" s="9"/>
      <c r="CK1092" s="9"/>
      <c r="CL1092" s="9"/>
      <c r="CM1092" s="9"/>
      <c r="CN1092" s="9"/>
      <c r="CO1092" s="9"/>
      <c r="CP1092" s="9"/>
      <c r="CQ1092" s="9"/>
      <c r="CR1092" s="9"/>
      <c r="CS1092" s="9"/>
      <c r="CT1092" s="9"/>
      <c r="CU1092" s="9"/>
      <c r="CV1092" s="9"/>
      <c r="CW1092" s="9"/>
      <c r="CX1092" s="9"/>
      <c r="CY1092" s="9"/>
    </row>
    <row r="1093" spans="1:103" x14ac:dyDescent="0.2">
      <c r="A1093" s="15"/>
      <c r="B1093" s="25"/>
      <c r="C1093" s="8"/>
      <c r="D1093" s="9"/>
      <c r="E1093" s="6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s="9"/>
      <c r="BU1093" s="9"/>
      <c r="BV1093" s="9"/>
      <c r="BW1093" s="9"/>
      <c r="BX1093" s="9"/>
      <c r="BY1093" s="9"/>
      <c r="BZ1093" s="9"/>
      <c r="CA1093" s="9"/>
      <c r="CB1093" s="9"/>
      <c r="CC1093" s="9"/>
      <c r="CD1093" s="9"/>
      <c r="CE1093" s="9"/>
      <c r="CF1093" s="9"/>
      <c r="CG1093" s="9"/>
      <c r="CH1093" s="9"/>
      <c r="CI1093" s="9"/>
      <c r="CJ1093" s="9"/>
      <c r="CK1093" s="9"/>
      <c r="CL1093" s="9"/>
      <c r="CM1093" s="9"/>
      <c r="CN1093" s="9"/>
      <c r="CO1093" s="9"/>
      <c r="CP1093" s="9"/>
      <c r="CQ1093" s="9"/>
      <c r="CR1093" s="9"/>
      <c r="CS1093" s="9"/>
      <c r="CT1093" s="9"/>
      <c r="CU1093" s="9"/>
      <c r="CV1093" s="9"/>
      <c r="CW1093" s="9"/>
      <c r="CX1093" s="9"/>
      <c r="CY1093" s="9"/>
    </row>
    <row r="1094" spans="1:103" x14ac:dyDescent="0.2">
      <c r="A1094" s="15"/>
      <c r="B1094" s="25"/>
      <c r="C1094" s="8"/>
      <c r="D1094" s="9"/>
      <c r="E1094" s="6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s="9"/>
      <c r="BU1094" s="9"/>
      <c r="BV1094" s="9"/>
      <c r="BW1094" s="9"/>
      <c r="BX1094" s="9"/>
      <c r="BY1094" s="9"/>
      <c r="BZ1094" s="9"/>
      <c r="CA1094" s="9"/>
      <c r="CB1094" s="9"/>
      <c r="CC1094" s="9"/>
      <c r="CD1094" s="9"/>
      <c r="CE1094" s="9"/>
      <c r="CF1094" s="9"/>
      <c r="CG1094" s="9"/>
      <c r="CH1094" s="9"/>
      <c r="CI1094" s="9"/>
      <c r="CJ1094" s="9"/>
      <c r="CK1094" s="9"/>
      <c r="CL1094" s="9"/>
      <c r="CM1094" s="9"/>
      <c r="CN1094" s="9"/>
      <c r="CO1094" s="9"/>
      <c r="CP1094" s="9"/>
      <c r="CQ1094" s="9"/>
      <c r="CR1094" s="9"/>
      <c r="CS1094" s="9"/>
      <c r="CT1094" s="9"/>
      <c r="CU1094" s="9"/>
      <c r="CV1094" s="9"/>
      <c r="CW1094" s="9"/>
      <c r="CX1094" s="9"/>
      <c r="CY1094" s="9"/>
    </row>
    <row r="1095" spans="1:103" x14ac:dyDescent="0.2">
      <c r="A1095" s="15"/>
      <c r="B1095" s="25"/>
      <c r="C1095" s="8"/>
      <c r="D1095" s="9"/>
      <c r="E1095" s="6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s="9"/>
      <c r="BU1095" s="9"/>
      <c r="BV1095" s="9"/>
      <c r="BW1095" s="9"/>
      <c r="BX1095" s="9"/>
      <c r="BY1095" s="9"/>
      <c r="BZ1095" s="9"/>
      <c r="CA1095" s="9"/>
      <c r="CB1095" s="9"/>
      <c r="CC1095" s="9"/>
      <c r="CD1095" s="9"/>
      <c r="CE1095" s="9"/>
      <c r="CF1095" s="9"/>
      <c r="CG1095" s="9"/>
      <c r="CH1095" s="9"/>
      <c r="CI1095" s="9"/>
      <c r="CJ1095" s="9"/>
      <c r="CK1095" s="9"/>
      <c r="CL1095" s="9"/>
      <c r="CM1095" s="9"/>
      <c r="CN1095" s="9"/>
      <c r="CO1095" s="9"/>
      <c r="CP1095" s="9"/>
      <c r="CQ1095" s="9"/>
      <c r="CR1095" s="9"/>
      <c r="CS1095" s="9"/>
      <c r="CT1095" s="9"/>
      <c r="CU1095" s="9"/>
      <c r="CV1095" s="9"/>
      <c r="CW1095" s="9"/>
      <c r="CX1095" s="9"/>
      <c r="CY1095" s="9"/>
    </row>
    <row r="1096" spans="1:103" x14ac:dyDescent="0.2">
      <c r="A1096" s="15"/>
      <c r="B1096" s="25"/>
      <c r="C1096" s="8"/>
      <c r="D1096" s="9"/>
      <c r="E1096" s="6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s="9"/>
      <c r="BU1096" s="9"/>
      <c r="BV1096" s="9"/>
      <c r="BW1096" s="9"/>
      <c r="BX1096" s="9"/>
      <c r="BY1096" s="9"/>
      <c r="BZ1096" s="9"/>
      <c r="CA1096" s="9"/>
      <c r="CB1096" s="9"/>
      <c r="CC1096" s="9"/>
      <c r="CD1096" s="9"/>
      <c r="CE1096" s="9"/>
      <c r="CF1096" s="9"/>
      <c r="CG1096" s="9"/>
      <c r="CH1096" s="9"/>
      <c r="CI1096" s="9"/>
      <c r="CJ1096" s="9"/>
      <c r="CK1096" s="9"/>
      <c r="CL1096" s="9"/>
      <c r="CM1096" s="9"/>
      <c r="CN1096" s="9"/>
      <c r="CO1096" s="9"/>
      <c r="CP1096" s="9"/>
      <c r="CQ1096" s="9"/>
      <c r="CR1096" s="9"/>
      <c r="CS1096" s="9"/>
      <c r="CT1096" s="9"/>
      <c r="CU1096" s="9"/>
      <c r="CV1096" s="9"/>
      <c r="CW1096" s="9"/>
      <c r="CX1096" s="9"/>
      <c r="CY1096" s="9"/>
    </row>
    <row r="1097" spans="1:103" x14ac:dyDescent="0.2">
      <c r="A1097" s="15"/>
      <c r="B1097" s="25"/>
      <c r="C1097" s="8"/>
      <c r="D1097" s="9"/>
      <c r="E1097" s="6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s="9"/>
      <c r="BU1097" s="9"/>
      <c r="BV1097" s="9"/>
      <c r="BW1097" s="9"/>
      <c r="BX1097" s="9"/>
      <c r="BY1097" s="9"/>
      <c r="BZ1097" s="9"/>
      <c r="CA1097" s="9"/>
      <c r="CB1097" s="9"/>
      <c r="CC1097" s="9"/>
      <c r="CD1097" s="9"/>
      <c r="CE1097" s="9"/>
      <c r="CF1097" s="9"/>
      <c r="CG1097" s="9"/>
      <c r="CH1097" s="9"/>
      <c r="CI1097" s="9"/>
      <c r="CJ1097" s="9"/>
      <c r="CK1097" s="9"/>
      <c r="CL1097" s="9"/>
      <c r="CM1097" s="9"/>
      <c r="CN1097" s="9"/>
      <c r="CO1097" s="9"/>
      <c r="CP1097" s="9"/>
      <c r="CQ1097" s="9"/>
      <c r="CR1097" s="9"/>
      <c r="CS1097" s="9"/>
      <c r="CT1097" s="9"/>
      <c r="CU1097" s="9"/>
      <c r="CV1097" s="9"/>
      <c r="CW1097" s="9"/>
      <c r="CX1097" s="9"/>
      <c r="CY1097" s="9"/>
    </row>
    <row r="1098" spans="1:103" x14ac:dyDescent="0.2">
      <c r="A1098" s="15"/>
      <c r="B1098" s="25"/>
      <c r="C1098" s="8"/>
      <c r="D1098" s="9"/>
      <c r="E1098" s="6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s="9"/>
      <c r="BU1098" s="9"/>
      <c r="BV1098" s="9"/>
      <c r="BW1098" s="9"/>
      <c r="BX1098" s="9"/>
      <c r="BY1098" s="9"/>
      <c r="BZ1098" s="9"/>
      <c r="CA1098" s="9"/>
      <c r="CB1098" s="9"/>
      <c r="CC1098" s="9"/>
      <c r="CD1098" s="9"/>
      <c r="CE1098" s="9"/>
      <c r="CF1098" s="9"/>
      <c r="CG1098" s="9"/>
      <c r="CH1098" s="9"/>
      <c r="CI1098" s="9"/>
      <c r="CJ1098" s="9"/>
      <c r="CK1098" s="9"/>
      <c r="CL1098" s="9"/>
      <c r="CM1098" s="9"/>
      <c r="CN1098" s="9"/>
      <c r="CO1098" s="9"/>
      <c r="CP1098" s="9"/>
      <c r="CQ1098" s="9"/>
      <c r="CR1098" s="9"/>
      <c r="CS1098" s="9"/>
      <c r="CT1098" s="9"/>
      <c r="CU1098" s="9"/>
      <c r="CV1098" s="9"/>
      <c r="CW1098" s="9"/>
      <c r="CX1098" s="9"/>
      <c r="CY1098" s="9"/>
    </row>
    <row r="1099" spans="1:103" x14ac:dyDescent="0.2">
      <c r="A1099" s="15"/>
      <c r="B1099" s="25"/>
      <c r="C1099" s="8"/>
      <c r="D1099" s="9"/>
      <c r="E1099" s="6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s="9"/>
      <c r="BU1099" s="9"/>
      <c r="BV1099" s="9"/>
      <c r="BW1099" s="9"/>
      <c r="BX1099" s="9"/>
      <c r="BY1099" s="9"/>
      <c r="BZ1099" s="9"/>
      <c r="CA1099" s="9"/>
      <c r="CB1099" s="9"/>
      <c r="CC1099" s="9"/>
      <c r="CD1099" s="9"/>
      <c r="CE1099" s="9"/>
      <c r="CF1099" s="9"/>
      <c r="CG1099" s="9"/>
      <c r="CH1099" s="9"/>
      <c r="CI1099" s="9"/>
      <c r="CJ1099" s="9"/>
      <c r="CK1099" s="9"/>
      <c r="CL1099" s="9"/>
      <c r="CM1099" s="9"/>
      <c r="CN1099" s="9"/>
      <c r="CO1099" s="9"/>
      <c r="CP1099" s="9"/>
      <c r="CQ1099" s="9"/>
      <c r="CR1099" s="9"/>
      <c r="CS1099" s="9"/>
      <c r="CT1099" s="9"/>
      <c r="CU1099" s="9"/>
      <c r="CV1099" s="9"/>
      <c r="CW1099" s="9"/>
      <c r="CX1099" s="9"/>
      <c r="CY1099" s="9"/>
    </row>
    <row r="1100" spans="1:103" x14ac:dyDescent="0.2">
      <c r="A1100" s="15"/>
      <c r="B1100" s="25"/>
      <c r="C1100" s="8"/>
      <c r="D1100" s="9"/>
      <c r="E1100" s="6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s="9"/>
      <c r="BU1100" s="9"/>
      <c r="BV1100" s="9"/>
      <c r="BW1100" s="9"/>
      <c r="BX1100" s="9"/>
      <c r="BY1100" s="9"/>
      <c r="BZ1100" s="9"/>
      <c r="CA1100" s="9"/>
      <c r="CB1100" s="9"/>
      <c r="CC1100" s="9"/>
      <c r="CD1100" s="9"/>
      <c r="CE1100" s="9"/>
      <c r="CF1100" s="9"/>
      <c r="CG1100" s="9"/>
      <c r="CH1100" s="9"/>
      <c r="CI1100" s="9"/>
      <c r="CJ1100" s="9"/>
      <c r="CK1100" s="9"/>
      <c r="CL1100" s="9"/>
      <c r="CM1100" s="9"/>
      <c r="CN1100" s="9"/>
      <c r="CO1100" s="9"/>
      <c r="CP1100" s="9"/>
      <c r="CQ1100" s="9"/>
      <c r="CR1100" s="9"/>
      <c r="CS1100" s="9"/>
      <c r="CT1100" s="9"/>
      <c r="CU1100" s="9"/>
      <c r="CV1100" s="9"/>
      <c r="CW1100" s="9"/>
      <c r="CX1100" s="9"/>
      <c r="CY1100" s="9"/>
    </row>
    <row r="1101" spans="1:103" x14ac:dyDescent="0.2">
      <c r="A1101" s="15"/>
      <c r="B1101" s="25"/>
      <c r="C1101" s="8"/>
      <c r="D1101" s="9"/>
      <c r="E1101" s="6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s="9"/>
      <c r="BU1101" s="9"/>
      <c r="BV1101" s="9"/>
      <c r="BW1101" s="9"/>
      <c r="BX1101" s="9"/>
      <c r="BY1101" s="9"/>
      <c r="BZ1101" s="9"/>
      <c r="CA1101" s="9"/>
      <c r="CB1101" s="9"/>
      <c r="CC1101" s="9"/>
      <c r="CD1101" s="9"/>
      <c r="CE1101" s="9"/>
      <c r="CF1101" s="9"/>
      <c r="CG1101" s="9"/>
      <c r="CH1101" s="9"/>
      <c r="CI1101" s="9"/>
      <c r="CJ1101" s="9"/>
      <c r="CK1101" s="9"/>
      <c r="CL1101" s="9"/>
      <c r="CM1101" s="9"/>
      <c r="CN1101" s="9"/>
      <c r="CO1101" s="9"/>
      <c r="CP1101" s="9"/>
      <c r="CQ1101" s="9"/>
      <c r="CR1101" s="9"/>
      <c r="CS1101" s="9"/>
      <c r="CT1101" s="9"/>
      <c r="CU1101" s="9"/>
      <c r="CV1101" s="9"/>
      <c r="CW1101" s="9"/>
      <c r="CX1101" s="9"/>
      <c r="CY1101" s="9"/>
    </row>
    <row r="1102" spans="1:103" x14ac:dyDescent="0.2">
      <c r="A1102" s="15"/>
      <c r="B1102" s="25"/>
      <c r="C1102" s="8"/>
      <c r="D1102" s="9"/>
      <c r="E1102" s="6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s="9"/>
      <c r="BU1102" s="9"/>
      <c r="BV1102" s="9"/>
      <c r="BW1102" s="9"/>
      <c r="BX1102" s="9"/>
      <c r="BY1102" s="9"/>
      <c r="BZ1102" s="9"/>
      <c r="CA1102" s="9"/>
      <c r="CB1102" s="9"/>
      <c r="CC1102" s="9"/>
      <c r="CD1102" s="9"/>
      <c r="CE1102" s="9"/>
      <c r="CF1102" s="9"/>
      <c r="CG1102" s="9"/>
      <c r="CH1102" s="9"/>
      <c r="CI1102" s="9"/>
      <c r="CJ1102" s="9"/>
      <c r="CK1102" s="9"/>
      <c r="CL1102" s="9"/>
      <c r="CM1102" s="9"/>
      <c r="CN1102" s="9"/>
      <c r="CO1102" s="9"/>
      <c r="CP1102" s="9"/>
      <c r="CQ1102" s="9"/>
      <c r="CR1102" s="9"/>
      <c r="CS1102" s="9"/>
      <c r="CT1102" s="9"/>
      <c r="CU1102" s="9"/>
      <c r="CV1102" s="9"/>
      <c r="CW1102" s="9"/>
      <c r="CX1102" s="9"/>
      <c r="CY1102" s="9"/>
    </row>
    <row r="1103" spans="1:103" x14ac:dyDescent="0.2">
      <c r="A1103" s="15"/>
      <c r="B1103" s="25"/>
      <c r="C1103" s="8"/>
      <c r="D1103" s="9"/>
      <c r="E1103" s="6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s="9"/>
      <c r="BU1103" s="9"/>
      <c r="BV1103" s="9"/>
      <c r="BW1103" s="9"/>
      <c r="BX1103" s="9"/>
      <c r="BY1103" s="9"/>
      <c r="BZ1103" s="9"/>
      <c r="CA1103" s="9"/>
      <c r="CB1103" s="9"/>
      <c r="CC1103" s="9"/>
      <c r="CD1103" s="9"/>
      <c r="CE1103" s="9"/>
      <c r="CF1103" s="9"/>
      <c r="CG1103" s="9"/>
      <c r="CH1103" s="9"/>
      <c r="CI1103" s="9"/>
      <c r="CJ1103" s="9"/>
      <c r="CK1103" s="9"/>
      <c r="CL1103" s="9"/>
      <c r="CM1103" s="9"/>
      <c r="CN1103" s="9"/>
      <c r="CO1103" s="9"/>
      <c r="CP1103" s="9"/>
      <c r="CQ1103" s="9"/>
      <c r="CR1103" s="9"/>
      <c r="CS1103" s="9"/>
      <c r="CT1103" s="9"/>
      <c r="CU1103" s="9"/>
      <c r="CV1103" s="9"/>
      <c r="CW1103" s="9"/>
      <c r="CX1103" s="9"/>
      <c r="CY1103" s="9"/>
    </row>
    <row r="1104" spans="1:103" x14ac:dyDescent="0.2">
      <c r="A1104" s="15"/>
      <c r="B1104" s="25"/>
      <c r="C1104" s="8"/>
      <c r="D1104" s="9"/>
      <c r="E1104" s="6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s="9"/>
      <c r="BU1104" s="9"/>
      <c r="BV1104" s="9"/>
      <c r="BW1104" s="9"/>
      <c r="BX1104" s="9"/>
      <c r="BY1104" s="9"/>
      <c r="BZ1104" s="9"/>
      <c r="CA1104" s="9"/>
      <c r="CB1104" s="9"/>
      <c r="CC1104" s="9"/>
      <c r="CD1104" s="9"/>
      <c r="CE1104" s="9"/>
      <c r="CF1104" s="9"/>
      <c r="CG1104" s="9"/>
      <c r="CH1104" s="9"/>
      <c r="CI1104" s="9"/>
      <c r="CJ1104" s="9"/>
      <c r="CK1104" s="9"/>
      <c r="CL1104" s="9"/>
      <c r="CM1104" s="9"/>
      <c r="CN1104" s="9"/>
      <c r="CO1104" s="9"/>
      <c r="CP1104" s="9"/>
      <c r="CQ1104" s="9"/>
      <c r="CR1104" s="9"/>
      <c r="CS1104" s="9"/>
      <c r="CT1104" s="9"/>
      <c r="CU1104" s="9"/>
      <c r="CV1104" s="9"/>
      <c r="CW1104" s="9"/>
      <c r="CX1104" s="9"/>
      <c r="CY1104" s="9"/>
    </row>
    <row r="1105" spans="1:103" x14ac:dyDescent="0.2">
      <c r="A1105" s="15"/>
      <c r="B1105" s="25"/>
      <c r="C1105" s="8"/>
      <c r="D1105" s="9"/>
      <c r="E1105" s="6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s="9"/>
      <c r="BU1105" s="9"/>
      <c r="BV1105" s="9"/>
      <c r="BW1105" s="9"/>
      <c r="BX1105" s="9"/>
      <c r="BY1105" s="9"/>
      <c r="BZ1105" s="9"/>
      <c r="CA1105" s="9"/>
      <c r="CB1105" s="9"/>
      <c r="CC1105" s="9"/>
      <c r="CD1105" s="9"/>
      <c r="CE1105" s="9"/>
      <c r="CF1105" s="9"/>
      <c r="CG1105" s="9"/>
      <c r="CH1105" s="9"/>
      <c r="CI1105" s="9"/>
      <c r="CJ1105" s="9"/>
      <c r="CK1105" s="9"/>
      <c r="CL1105" s="9"/>
      <c r="CM1105" s="9"/>
      <c r="CN1105" s="9"/>
      <c r="CO1105" s="9"/>
      <c r="CP1105" s="9"/>
      <c r="CQ1105" s="9"/>
      <c r="CR1105" s="9"/>
      <c r="CS1105" s="9"/>
      <c r="CT1105" s="9"/>
      <c r="CU1105" s="9"/>
      <c r="CV1105" s="9"/>
      <c r="CW1105" s="9"/>
      <c r="CX1105" s="9"/>
      <c r="CY1105" s="9"/>
    </row>
    <row r="1106" spans="1:103" x14ac:dyDescent="0.2">
      <c r="A1106" s="15"/>
      <c r="B1106" s="25"/>
      <c r="C1106" s="8"/>
      <c r="D1106" s="9"/>
      <c r="E1106" s="6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s="9"/>
      <c r="BU1106" s="9"/>
      <c r="BV1106" s="9"/>
      <c r="BW1106" s="9"/>
      <c r="BX1106" s="9"/>
      <c r="BY1106" s="9"/>
      <c r="BZ1106" s="9"/>
      <c r="CA1106" s="9"/>
      <c r="CB1106" s="9"/>
      <c r="CC1106" s="9"/>
      <c r="CD1106" s="9"/>
      <c r="CE1106" s="9"/>
      <c r="CF1106" s="9"/>
      <c r="CG1106" s="9"/>
      <c r="CH1106" s="9"/>
      <c r="CI1106" s="9"/>
      <c r="CJ1106" s="9"/>
      <c r="CK1106" s="9"/>
      <c r="CL1106" s="9"/>
      <c r="CM1106" s="9"/>
      <c r="CN1106" s="9"/>
      <c r="CO1106" s="9"/>
      <c r="CP1106" s="9"/>
      <c r="CQ1106" s="9"/>
      <c r="CR1106" s="9"/>
      <c r="CS1106" s="9"/>
      <c r="CT1106" s="9"/>
      <c r="CU1106" s="9"/>
      <c r="CV1106" s="9"/>
      <c r="CW1106" s="9"/>
      <c r="CX1106" s="9"/>
      <c r="CY1106" s="9"/>
    </row>
    <row r="1107" spans="1:103" x14ac:dyDescent="0.2">
      <c r="A1107" s="15"/>
      <c r="B1107" s="25"/>
      <c r="C1107" s="8"/>
      <c r="D1107" s="9"/>
      <c r="E1107" s="6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s="9"/>
      <c r="BU1107" s="9"/>
      <c r="BV1107" s="9"/>
      <c r="BW1107" s="9"/>
      <c r="BX1107" s="9"/>
      <c r="BY1107" s="9"/>
      <c r="BZ1107" s="9"/>
      <c r="CA1107" s="9"/>
      <c r="CB1107" s="9"/>
      <c r="CC1107" s="9"/>
      <c r="CD1107" s="9"/>
      <c r="CE1107" s="9"/>
      <c r="CF1107" s="9"/>
      <c r="CG1107" s="9"/>
      <c r="CH1107" s="9"/>
      <c r="CI1107" s="9"/>
      <c r="CJ1107" s="9"/>
      <c r="CK1107" s="9"/>
      <c r="CL1107" s="9"/>
      <c r="CM1107" s="9"/>
      <c r="CN1107" s="9"/>
      <c r="CO1107" s="9"/>
      <c r="CP1107" s="9"/>
      <c r="CQ1107" s="9"/>
      <c r="CR1107" s="9"/>
      <c r="CS1107" s="9"/>
      <c r="CT1107" s="9"/>
      <c r="CU1107" s="9"/>
      <c r="CV1107" s="9"/>
      <c r="CW1107" s="9"/>
      <c r="CX1107" s="9"/>
      <c r="CY1107" s="9"/>
    </row>
    <row r="1108" spans="1:103" x14ac:dyDescent="0.2">
      <c r="A1108" s="15"/>
      <c r="B1108" s="25"/>
      <c r="C1108" s="8"/>
      <c r="D1108" s="9"/>
      <c r="E1108" s="6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s="9"/>
      <c r="BU1108" s="9"/>
      <c r="BV1108" s="9"/>
      <c r="BW1108" s="9"/>
      <c r="BX1108" s="9"/>
      <c r="BY1108" s="9"/>
      <c r="BZ1108" s="9"/>
      <c r="CA1108" s="9"/>
      <c r="CB1108" s="9"/>
      <c r="CC1108" s="9"/>
      <c r="CD1108" s="9"/>
      <c r="CE1108" s="9"/>
      <c r="CF1108" s="9"/>
      <c r="CG1108" s="9"/>
      <c r="CH1108" s="9"/>
      <c r="CI1108" s="9"/>
      <c r="CJ1108" s="9"/>
      <c r="CK1108" s="9"/>
      <c r="CL1108" s="9"/>
      <c r="CM1108" s="9"/>
      <c r="CN1108" s="9"/>
      <c r="CO1108" s="9"/>
      <c r="CP1108" s="9"/>
      <c r="CQ1108" s="9"/>
      <c r="CR1108" s="9"/>
      <c r="CS1108" s="9"/>
      <c r="CT1108" s="9"/>
      <c r="CU1108" s="9"/>
      <c r="CV1108" s="9"/>
      <c r="CW1108" s="9"/>
      <c r="CX1108" s="9"/>
      <c r="CY1108" s="9"/>
    </row>
    <row r="1109" spans="1:103" x14ac:dyDescent="0.2">
      <c r="A1109" s="15"/>
      <c r="B1109" s="25"/>
      <c r="C1109" s="8"/>
      <c r="D1109" s="9"/>
      <c r="E1109" s="6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s="9"/>
      <c r="BU1109" s="9"/>
      <c r="BV1109" s="9"/>
      <c r="BW1109" s="9"/>
      <c r="BX1109" s="9"/>
      <c r="BY1109" s="9"/>
      <c r="BZ1109" s="9"/>
      <c r="CA1109" s="9"/>
      <c r="CB1109" s="9"/>
      <c r="CC1109" s="9"/>
      <c r="CD1109" s="9"/>
      <c r="CE1109" s="9"/>
      <c r="CF1109" s="9"/>
      <c r="CG1109" s="9"/>
      <c r="CH1109" s="9"/>
      <c r="CI1109" s="9"/>
      <c r="CJ1109" s="9"/>
      <c r="CK1109" s="9"/>
      <c r="CL1109" s="9"/>
      <c r="CM1109" s="9"/>
      <c r="CN1109" s="9"/>
      <c r="CO1109" s="9"/>
      <c r="CP1109" s="9"/>
      <c r="CQ1109" s="9"/>
      <c r="CR1109" s="9"/>
      <c r="CS1109" s="9"/>
      <c r="CT1109" s="9"/>
      <c r="CU1109" s="9"/>
      <c r="CV1109" s="9"/>
      <c r="CW1109" s="9"/>
      <c r="CX1109" s="9"/>
      <c r="CY1109" s="9"/>
    </row>
    <row r="1110" spans="1:103" x14ac:dyDescent="0.2">
      <c r="A1110" s="15"/>
      <c r="B1110" s="25"/>
      <c r="C1110" s="8"/>
      <c r="D1110" s="9"/>
      <c r="E1110" s="6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s="9"/>
      <c r="BU1110" s="9"/>
      <c r="BV1110" s="9"/>
      <c r="BW1110" s="9"/>
      <c r="BX1110" s="9"/>
      <c r="BY1110" s="9"/>
      <c r="BZ1110" s="9"/>
      <c r="CA1110" s="9"/>
      <c r="CB1110" s="9"/>
      <c r="CC1110" s="9"/>
      <c r="CD1110" s="9"/>
      <c r="CE1110" s="9"/>
      <c r="CF1110" s="9"/>
      <c r="CG1110" s="9"/>
      <c r="CH1110" s="9"/>
      <c r="CI1110" s="9"/>
      <c r="CJ1110" s="9"/>
      <c r="CK1110" s="9"/>
      <c r="CL1110" s="9"/>
      <c r="CM1110" s="9"/>
      <c r="CN1110" s="9"/>
      <c r="CO1110" s="9"/>
      <c r="CP1110" s="9"/>
      <c r="CQ1110" s="9"/>
      <c r="CR1110" s="9"/>
      <c r="CS1110" s="9"/>
      <c r="CT1110" s="9"/>
      <c r="CU1110" s="9"/>
      <c r="CV1110" s="9"/>
      <c r="CW1110" s="9"/>
      <c r="CX1110" s="9"/>
      <c r="CY1110" s="9"/>
    </row>
    <row r="1111" spans="1:103" x14ac:dyDescent="0.2">
      <c r="A1111" s="15"/>
      <c r="B1111" s="25"/>
      <c r="C1111" s="8"/>
      <c r="D1111" s="9"/>
      <c r="E1111" s="6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s="9"/>
      <c r="BU1111" s="9"/>
      <c r="BV1111" s="9"/>
      <c r="BW1111" s="9"/>
      <c r="BX1111" s="9"/>
      <c r="BY1111" s="9"/>
      <c r="BZ1111" s="9"/>
      <c r="CA1111" s="9"/>
      <c r="CB1111" s="9"/>
      <c r="CC1111" s="9"/>
      <c r="CD1111" s="9"/>
      <c r="CE1111" s="9"/>
      <c r="CF1111" s="9"/>
      <c r="CG1111" s="9"/>
      <c r="CH1111" s="9"/>
      <c r="CI1111" s="9"/>
      <c r="CJ1111" s="9"/>
      <c r="CK1111" s="9"/>
      <c r="CL1111" s="9"/>
      <c r="CM1111" s="9"/>
      <c r="CN1111" s="9"/>
      <c r="CO1111" s="9"/>
      <c r="CP1111" s="9"/>
      <c r="CQ1111" s="9"/>
      <c r="CR1111" s="9"/>
      <c r="CS1111" s="9"/>
      <c r="CT1111" s="9"/>
      <c r="CU1111" s="9"/>
      <c r="CV1111" s="9"/>
      <c r="CW1111" s="9"/>
      <c r="CX1111" s="9"/>
      <c r="CY1111" s="9"/>
    </row>
    <row r="1112" spans="1:103" x14ac:dyDescent="0.2">
      <c r="A1112" s="15"/>
      <c r="B1112" s="25"/>
      <c r="C1112" s="8"/>
      <c r="D1112" s="9"/>
      <c r="E1112" s="6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s="9"/>
      <c r="BU1112" s="9"/>
      <c r="BV1112" s="9"/>
      <c r="BW1112" s="9"/>
      <c r="BX1112" s="9"/>
      <c r="BY1112" s="9"/>
      <c r="BZ1112" s="9"/>
      <c r="CA1112" s="9"/>
      <c r="CB1112" s="9"/>
      <c r="CC1112" s="9"/>
      <c r="CD1112" s="9"/>
      <c r="CE1112" s="9"/>
      <c r="CF1112" s="9"/>
      <c r="CG1112" s="9"/>
      <c r="CH1112" s="9"/>
      <c r="CI1112" s="9"/>
      <c r="CJ1112" s="9"/>
      <c r="CK1112" s="9"/>
      <c r="CL1112" s="9"/>
      <c r="CM1112" s="9"/>
      <c r="CN1112" s="9"/>
      <c r="CO1112" s="9"/>
      <c r="CP1112" s="9"/>
      <c r="CQ1112" s="9"/>
      <c r="CR1112" s="9"/>
      <c r="CS1112" s="9"/>
      <c r="CT1112" s="9"/>
      <c r="CU1112" s="9"/>
      <c r="CV1112" s="9"/>
      <c r="CW1112" s="9"/>
      <c r="CX1112" s="9"/>
      <c r="CY1112" s="9"/>
    </row>
    <row r="1113" spans="1:103" x14ac:dyDescent="0.2">
      <c r="A1113" s="15"/>
      <c r="B1113" s="25"/>
      <c r="C1113" s="8"/>
      <c r="D1113" s="9"/>
      <c r="E1113" s="6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s="9"/>
      <c r="BU1113" s="9"/>
      <c r="BV1113" s="9"/>
      <c r="BW1113" s="9"/>
      <c r="BX1113" s="9"/>
      <c r="BY1113" s="9"/>
      <c r="BZ1113" s="9"/>
      <c r="CA1113" s="9"/>
      <c r="CB1113" s="9"/>
      <c r="CC1113" s="9"/>
      <c r="CD1113" s="9"/>
      <c r="CE1113" s="9"/>
      <c r="CF1113" s="9"/>
      <c r="CG1113" s="9"/>
      <c r="CH1113" s="9"/>
      <c r="CI1113" s="9"/>
      <c r="CJ1113" s="9"/>
      <c r="CK1113" s="9"/>
      <c r="CL1113" s="9"/>
      <c r="CM1113" s="9"/>
      <c r="CN1113" s="9"/>
      <c r="CO1113" s="9"/>
      <c r="CP1113" s="9"/>
      <c r="CQ1113" s="9"/>
      <c r="CR1113" s="9"/>
      <c r="CS1113" s="9"/>
      <c r="CT1113" s="9"/>
      <c r="CU1113" s="9"/>
      <c r="CV1113" s="9"/>
      <c r="CW1113" s="9"/>
      <c r="CX1113" s="9"/>
      <c r="CY1113" s="9"/>
    </row>
    <row r="1114" spans="1:103" x14ac:dyDescent="0.2">
      <c r="A1114" s="15"/>
      <c r="B1114" s="25"/>
      <c r="C1114" s="8"/>
      <c r="D1114" s="9"/>
      <c r="E1114" s="6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s="9"/>
      <c r="BU1114" s="9"/>
      <c r="BV1114" s="9"/>
      <c r="BW1114" s="9"/>
      <c r="BX1114" s="9"/>
      <c r="BY1114" s="9"/>
      <c r="BZ1114" s="9"/>
      <c r="CA1114" s="9"/>
      <c r="CB1114" s="9"/>
      <c r="CC1114" s="9"/>
      <c r="CD1114" s="9"/>
      <c r="CE1114" s="9"/>
      <c r="CF1114" s="9"/>
      <c r="CG1114" s="9"/>
      <c r="CH1114" s="9"/>
      <c r="CI1114" s="9"/>
      <c r="CJ1114" s="9"/>
      <c r="CK1114" s="9"/>
      <c r="CL1114" s="9"/>
      <c r="CM1114" s="9"/>
      <c r="CN1114" s="9"/>
      <c r="CO1114" s="9"/>
      <c r="CP1114" s="9"/>
      <c r="CQ1114" s="9"/>
      <c r="CR1114" s="9"/>
      <c r="CS1114" s="9"/>
      <c r="CT1114" s="9"/>
      <c r="CU1114" s="9"/>
      <c r="CV1114" s="9"/>
      <c r="CW1114" s="9"/>
      <c r="CX1114" s="9"/>
      <c r="CY1114" s="9"/>
    </row>
    <row r="1115" spans="1:103" x14ac:dyDescent="0.2">
      <c r="A1115" s="15"/>
      <c r="B1115" s="25"/>
      <c r="C1115" s="8"/>
      <c r="D1115" s="9"/>
      <c r="E1115" s="6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s="9"/>
      <c r="BU1115" s="9"/>
      <c r="BV1115" s="9"/>
      <c r="BW1115" s="9"/>
      <c r="BX1115" s="9"/>
      <c r="BY1115" s="9"/>
      <c r="BZ1115" s="9"/>
      <c r="CA1115" s="9"/>
      <c r="CB1115" s="9"/>
      <c r="CC1115" s="9"/>
      <c r="CD1115" s="9"/>
      <c r="CE1115" s="9"/>
      <c r="CF1115" s="9"/>
      <c r="CG1115" s="9"/>
      <c r="CH1115" s="9"/>
      <c r="CI1115" s="9"/>
      <c r="CJ1115" s="9"/>
      <c r="CK1115" s="9"/>
      <c r="CL1115" s="9"/>
      <c r="CM1115" s="9"/>
      <c r="CN1115" s="9"/>
      <c r="CO1115" s="9"/>
      <c r="CP1115" s="9"/>
      <c r="CQ1115" s="9"/>
      <c r="CR1115" s="9"/>
      <c r="CS1115" s="9"/>
      <c r="CT1115" s="9"/>
      <c r="CU1115" s="9"/>
      <c r="CV1115" s="9"/>
      <c r="CW1115" s="9"/>
      <c r="CX1115" s="9"/>
      <c r="CY1115" s="9"/>
    </row>
    <row r="1116" spans="1:103" x14ac:dyDescent="0.2">
      <c r="A1116" s="15"/>
      <c r="B1116" s="25"/>
      <c r="C1116" s="8"/>
      <c r="D1116" s="9"/>
      <c r="E1116" s="6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s="9"/>
      <c r="BU1116" s="9"/>
      <c r="BV1116" s="9"/>
      <c r="BW1116" s="9"/>
      <c r="BX1116" s="9"/>
      <c r="BY1116" s="9"/>
      <c r="BZ1116" s="9"/>
      <c r="CA1116" s="9"/>
      <c r="CB1116" s="9"/>
      <c r="CC1116" s="9"/>
      <c r="CD1116" s="9"/>
      <c r="CE1116" s="9"/>
      <c r="CF1116" s="9"/>
      <c r="CG1116" s="9"/>
      <c r="CH1116" s="9"/>
      <c r="CI1116" s="9"/>
      <c r="CJ1116" s="9"/>
      <c r="CK1116" s="9"/>
      <c r="CL1116" s="9"/>
      <c r="CM1116" s="9"/>
      <c r="CN1116" s="9"/>
      <c r="CO1116" s="9"/>
      <c r="CP1116" s="9"/>
      <c r="CQ1116" s="9"/>
      <c r="CR1116" s="9"/>
      <c r="CS1116" s="9"/>
      <c r="CT1116" s="9"/>
      <c r="CU1116" s="9"/>
      <c r="CV1116" s="9"/>
      <c r="CW1116" s="9"/>
      <c r="CX1116" s="9"/>
      <c r="CY1116" s="9"/>
    </row>
    <row r="1117" spans="1:103" x14ac:dyDescent="0.2">
      <c r="A1117" s="15"/>
      <c r="B1117" s="25"/>
      <c r="C1117" s="8"/>
      <c r="D1117" s="9"/>
      <c r="E1117" s="6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s="9"/>
      <c r="BU1117" s="9"/>
      <c r="BV1117" s="9"/>
      <c r="BW1117" s="9"/>
      <c r="BX1117" s="9"/>
      <c r="BY1117" s="9"/>
      <c r="BZ1117" s="9"/>
      <c r="CA1117" s="9"/>
      <c r="CB1117" s="9"/>
      <c r="CC1117" s="9"/>
      <c r="CD1117" s="9"/>
      <c r="CE1117" s="9"/>
      <c r="CF1117" s="9"/>
      <c r="CG1117" s="9"/>
      <c r="CH1117" s="9"/>
      <c r="CI1117" s="9"/>
      <c r="CJ1117" s="9"/>
      <c r="CK1117" s="9"/>
      <c r="CL1117" s="9"/>
      <c r="CM1117" s="9"/>
      <c r="CN1117" s="9"/>
      <c r="CO1117" s="9"/>
      <c r="CP1117" s="9"/>
      <c r="CQ1117" s="9"/>
      <c r="CR1117" s="9"/>
      <c r="CS1117" s="9"/>
      <c r="CT1117" s="9"/>
      <c r="CU1117" s="9"/>
      <c r="CV1117" s="9"/>
      <c r="CW1117" s="9"/>
      <c r="CX1117" s="9"/>
      <c r="CY1117" s="9"/>
    </row>
    <row r="1118" spans="1:103" x14ac:dyDescent="0.2">
      <c r="A1118" s="15"/>
      <c r="B1118" s="25"/>
      <c r="C1118" s="8"/>
      <c r="D1118" s="9"/>
      <c r="E1118" s="6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s="9"/>
      <c r="BU1118" s="9"/>
      <c r="BV1118" s="9"/>
      <c r="BW1118" s="9"/>
      <c r="BX1118" s="9"/>
      <c r="BY1118" s="9"/>
      <c r="BZ1118" s="9"/>
      <c r="CA1118" s="9"/>
      <c r="CB1118" s="9"/>
      <c r="CC1118" s="9"/>
      <c r="CD1118" s="9"/>
      <c r="CE1118" s="9"/>
      <c r="CF1118" s="9"/>
      <c r="CG1118" s="9"/>
      <c r="CH1118" s="9"/>
      <c r="CI1118" s="9"/>
      <c r="CJ1118" s="9"/>
      <c r="CK1118" s="9"/>
      <c r="CL1118" s="9"/>
      <c r="CM1118" s="9"/>
      <c r="CN1118" s="9"/>
      <c r="CO1118" s="9"/>
      <c r="CP1118" s="9"/>
      <c r="CQ1118" s="9"/>
      <c r="CR1118" s="9"/>
      <c r="CS1118" s="9"/>
      <c r="CT1118" s="9"/>
      <c r="CU1118" s="9"/>
      <c r="CV1118" s="9"/>
      <c r="CW1118" s="9"/>
      <c r="CX1118" s="9"/>
      <c r="CY1118" s="9"/>
    </row>
    <row r="1119" spans="1:103" x14ac:dyDescent="0.2">
      <c r="A1119" s="15"/>
      <c r="B1119" s="25"/>
      <c r="C1119" s="8"/>
      <c r="D1119" s="9"/>
      <c r="E1119" s="6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s="9"/>
      <c r="BU1119" s="9"/>
      <c r="BV1119" s="9"/>
      <c r="BW1119" s="9"/>
      <c r="BX1119" s="9"/>
      <c r="BY1119" s="9"/>
      <c r="BZ1119" s="9"/>
      <c r="CA1119" s="9"/>
      <c r="CB1119" s="9"/>
      <c r="CC1119" s="9"/>
      <c r="CD1119" s="9"/>
      <c r="CE1119" s="9"/>
      <c r="CF1119" s="9"/>
      <c r="CG1119" s="9"/>
      <c r="CH1119" s="9"/>
      <c r="CI1119" s="9"/>
      <c r="CJ1119" s="9"/>
      <c r="CK1119" s="9"/>
      <c r="CL1119" s="9"/>
      <c r="CM1119" s="9"/>
      <c r="CN1119" s="9"/>
      <c r="CO1119" s="9"/>
      <c r="CP1119" s="9"/>
      <c r="CQ1119" s="9"/>
      <c r="CR1119" s="9"/>
      <c r="CS1119" s="9"/>
      <c r="CT1119" s="9"/>
      <c r="CU1119" s="9"/>
      <c r="CV1119" s="9"/>
      <c r="CW1119" s="9"/>
      <c r="CX1119" s="9"/>
      <c r="CY1119" s="9"/>
    </row>
    <row r="1120" spans="1:103" x14ac:dyDescent="0.2">
      <c r="A1120" s="15"/>
      <c r="B1120" s="25"/>
      <c r="C1120" s="8"/>
      <c r="D1120" s="9"/>
      <c r="E1120" s="6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s="9"/>
      <c r="BU1120" s="9"/>
      <c r="BV1120" s="9"/>
      <c r="BW1120" s="9"/>
      <c r="BX1120" s="9"/>
      <c r="BY1120" s="9"/>
      <c r="BZ1120" s="9"/>
      <c r="CA1120" s="9"/>
      <c r="CB1120" s="9"/>
      <c r="CC1120" s="9"/>
      <c r="CD1120" s="9"/>
      <c r="CE1120" s="9"/>
      <c r="CF1120" s="9"/>
      <c r="CG1120" s="9"/>
      <c r="CH1120" s="9"/>
      <c r="CI1120" s="9"/>
      <c r="CJ1120" s="9"/>
      <c r="CK1120" s="9"/>
      <c r="CL1120" s="9"/>
      <c r="CM1120" s="9"/>
      <c r="CN1120" s="9"/>
      <c r="CO1120" s="9"/>
      <c r="CP1120" s="9"/>
      <c r="CQ1120" s="9"/>
      <c r="CR1120" s="9"/>
      <c r="CS1120" s="9"/>
      <c r="CT1120" s="9"/>
      <c r="CU1120" s="9"/>
      <c r="CV1120" s="9"/>
      <c r="CW1120" s="9"/>
      <c r="CX1120" s="9"/>
      <c r="CY1120" s="9"/>
    </row>
    <row r="1121" spans="1:103" x14ac:dyDescent="0.2">
      <c r="A1121" s="15"/>
      <c r="B1121" s="25"/>
      <c r="C1121" s="8"/>
      <c r="D1121" s="9"/>
      <c r="E1121" s="6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s="9"/>
      <c r="BU1121" s="9"/>
      <c r="BV1121" s="9"/>
      <c r="BW1121" s="9"/>
      <c r="BX1121" s="9"/>
      <c r="BY1121" s="9"/>
      <c r="BZ1121" s="9"/>
      <c r="CA1121" s="9"/>
      <c r="CB1121" s="9"/>
      <c r="CC1121" s="9"/>
      <c r="CD1121" s="9"/>
      <c r="CE1121" s="9"/>
      <c r="CF1121" s="9"/>
      <c r="CG1121" s="9"/>
      <c r="CH1121" s="9"/>
      <c r="CI1121" s="9"/>
      <c r="CJ1121" s="9"/>
      <c r="CK1121" s="9"/>
      <c r="CL1121" s="9"/>
      <c r="CM1121" s="9"/>
      <c r="CN1121" s="9"/>
      <c r="CO1121" s="9"/>
      <c r="CP1121" s="9"/>
      <c r="CQ1121" s="9"/>
      <c r="CR1121" s="9"/>
      <c r="CS1121" s="9"/>
      <c r="CT1121" s="9"/>
      <c r="CU1121" s="9"/>
      <c r="CV1121" s="9"/>
      <c r="CW1121" s="9"/>
      <c r="CX1121" s="9"/>
      <c r="CY1121" s="9"/>
    </row>
    <row r="1122" spans="1:103" x14ac:dyDescent="0.2">
      <c r="A1122" s="15"/>
      <c r="B1122" s="25"/>
      <c r="C1122" s="8"/>
      <c r="D1122" s="9"/>
      <c r="E1122" s="6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s="9"/>
      <c r="BU1122" s="9"/>
      <c r="BV1122" s="9"/>
      <c r="BW1122" s="9"/>
      <c r="BX1122" s="9"/>
      <c r="BY1122" s="9"/>
      <c r="BZ1122" s="9"/>
      <c r="CA1122" s="9"/>
      <c r="CB1122" s="9"/>
      <c r="CC1122" s="9"/>
      <c r="CD1122" s="9"/>
      <c r="CE1122" s="9"/>
      <c r="CF1122" s="9"/>
      <c r="CG1122" s="9"/>
      <c r="CH1122" s="9"/>
      <c r="CI1122" s="9"/>
      <c r="CJ1122" s="9"/>
      <c r="CK1122" s="9"/>
      <c r="CL1122" s="9"/>
      <c r="CM1122" s="9"/>
      <c r="CN1122" s="9"/>
      <c r="CO1122" s="9"/>
      <c r="CP1122" s="9"/>
      <c r="CQ1122" s="9"/>
      <c r="CR1122" s="9"/>
      <c r="CS1122" s="9"/>
      <c r="CT1122" s="9"/>
      <c r="CU1122" s="9"/>
      <c r="CV1122" s="9"/>
      <c r="CW1122" s="9"/>
      <c r="CX1122" s="9"/>
      <c r="CY1122" s="9"/>
    </row>
    <row r="1123" spans="1:103" x14ac:dyDescent="0.2">
      <c r="A1123" s="15"/>
      <c r="B1123" s="25"/>
      <c r="C1123" s="8"/>
      <c r="D1123" s="9"/>
      <c r="E1123" s="6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s="9"/>
      <c r="BU1123" s="9"/>
      <c r="BV1123" s="9"/>
      <c r="BW1123" s="9"/>
      <c r="BX1123" s="9"/>
      <c r="BY1123" s="9"/>
      <c r="BZ1123" s="9"/>
      <c r="CA1123" s="9"/>
      <c r="CB1123" s="9"/>
      <c r="CC1123" s="9"/>
      <c r="CD1123" s="9"/>
      <c r="CE1123" s="9"/>
      <c r="CF1123" s="9"/>
      <c r="CG1123" s="9"/>
      <c r="CH1123" s="9"/>
      <c r="CI1123" s="9"/>
      <c r="CJ1123" s="9"/>
      <c r="CK1123" s="9"/>
      <c r="CL1123" s="9"/>
      <c r="CM1123" s="9"/>
      <c r="CN1123" s="9"/>
      <c r="CO1123" s="9"/>
      <c r="CP1123" s="9"/>
      <c r="CQ1123" s="9"/>
      <c r="CR1123" s="9"/>
      <c r="CS1123" s="9"/>
      <c r="CT1123" s="9"/>
      <c r="CU1123" s="9"/>
      <c r="CV1123" s="9"/>
      <c r="CW1123" s="9"/>
      <c r="CX1123" s="9"/>
      <c r="CY1123" s="9"/>
    </row>
    <row r="1124" spans="1:103" x14ac:dyDescent="0.2">
      <c r="A1124" s="15"/>
      <c r="B1124" s="25"/>
      <c r="C1124" s="8"/>
      <c r="D1124" s="9"/>
      <c r="E1124" s="6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s="9"/>
      <c r="BU1124" s="9"/>
      <c r="BV1124" s="9"/>
      <c r="BW1124" s="9"/>
      <c r="BX1124" s="9"/>
      <c r="BY1124" s="9"/>
      <c r="BZ1124" s="9"/>
      <c r="CA1124" s="9"/>
      <c r="CB1124" s="9"/>
      <c r="CC1124" s="9"/>
      <c r="CD1124" s="9"/>
      <c r="CE1124" s="9"/>
      <c r="CF1124" s="9"/>
      <c r="CG1124" s="9"/>
      <c r="CH1124" s="9"/>
      <c r="CI1124" s="9"/>
      <c r="CJ1124" s="9"/>
      <c r="CK1124" s="9"/>
      <c r="CL1124" s="9"/>
      <c r="CM1124" s="9"/>
      <c r="CN1124" s="9"/>
      <c r="CO1124" s="9"/>
      <c r="CP1124" s="9"/>
      <c r="CQ1124" s="9"/>
      <c r="CR1124" s="9"/>
      <c r="CS1124" s="9"/>
      <c r="CT1124" s="9"/>
      <c r="CU1124" s="9"/>
      <c r="CV1124" s="9"/>
      <c r="CW1124" s="9"/>
      <c r="CX1124" s="9"/>
      <c r="CY1124" s="9"/>
    </row>
    <row r="1125" spans="1:103" x14ac:dyDescent="0.2">
      <c r="A1125" s="15"/>
      <c r="B1125" s="25"/>
      <c r="C1125" s="8"/>
      <c r="D1125" s="9"/>
      <c r="E1125" s="6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s="9"/>
      <c r="BU1125" s="9"/>
      <c r="BV1125" s="9"/>
      <c r="BW1125" s="9"/>
      <c r="BX1125" s="9"/>
      <c r="BY1125" s="9"/>
      <c r="BZ1125" s="9"/>
      <c r="CA1125" s="9"/>
      <c r="CB1125" s="9"/>
      <c r="CC1125" s="9"/>
      <c r="CD1125" s="9"/>
      <c r="CE1125" s="9"/>
      <c r="CF1125" s="9"/>
      <c r="CG1125" s="9"/>
      <c r="CH1125" s="9"/>
      <c r="CI1125" s="9"/>
      <c r="CJ1125" s="9"/>
      <c r="CK1125" s="9"/>
      <c r="CL1125" s="9"/>
      <c r="CM1125" s="9"/>
      <c r="CN1125" s="9"/>
      <c r="CO1125" s="9"/>
      <c r="CP1125" s="9"/>
      <c r="CQ1125" s="9"/>
      <c r="CR1125" s="9"/>
      <c r="CS1125" s="9"/>
      <c r="CT1125" s="9"/>
      <c r="CU1125" s="9"/>
      <c r="CV1125" s="9"/>
      <c r="CW1125" s="9"/>
      <c r="CX1125" s="9"/>
      <c r="CY1125" s="9"/>
    </row>
    <row r="1126" spans="1:103" x14ac:dyDescent="0.2">
      <c r="A1126" s="15"/>
      <c r="B1126" s="25"/>
      <c r="C1126" s="8"/>
      <c r="D1126" s="9"/>
      <c r="E1126" s="6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s="9"/>
      <c r="BU1126" s="9"/>
      <c r="BV1126" s="9"/>
      <c r="BW1126" s="9"/>
      <c r="BX1126" s="9"/>
      <c r="BY1126" s="9"/>
      <c r="BZ1126" s="9"/>
      <c r="CA1126" s="9"/>
      <c r="CB1126" s="9"/>
      <c r="CC1126" s="9"/>
      <c r="CD1126" s="9"/>
      <c r="CE1126" s="9"/>
      <c r="CF1126" s="9"/>
      <c r="CG1126" s="9"/>
      <c r="CH1126" s="9"/>
      <c r="CI1126" s="9"/>
      <c r="CJ1126" s="9"/>
      <c r="CK1126" s="9"/>
      <c r="CL1126" s="9"/>
      <c r="CM1126" s="9"/>
      <c r="CN1126" s="9"/>
      <c r="CO1126" s="9"/>
      <c r="CP1126" s="9"/>
      <c r="CQ1126" s="9"/>
      <c r="CR1126" s="9"/>
      <c r="CS1126" s="9"/>
      <c r="CT1126" s="9"/>
      <c r="CU1126" s="9"/>
      <c r="CV1126" s="9"/>
      <c r="CW1126" s="9"/>
      <c r="CX1126" s="9"/>
      <c r="CY1126" s="9"/>
    </row>
    <row r="1127" spans="1:103" x14ac:dyDescent="0.2">
      <c r="A1127" s="15"/>
      <c r="B1127" s="25"/>
      <c r="C1127" s="8"/>
      <c r="D1127" s="9"/>
      <c r="E1127" s="6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s="9"/>
      <c r="BU1127" s="9"/>
      <c r="BV1127" s="9"/>
      <c r="BW1127" s="9"/>
      <c r="BX1127" s="9"/>
      <c r="BY1127" s="9"/>
      <c r="BZ1127" s="9"/>
      <c r="CA1127" s="9"/>
      <c r="CB1127" s="9"/>
      <c r="CC1127" s="9"/>
      <c r="CD1127" s="9"/>
      <c r="CE1127" s="9"/>
      <c r="CF1127" s="9"/>
      <c r="CG1127" s="9"/>
      <c r="CH1127" s="9"/>
      <c r="CI1127" s="9"/>
      <c r="CJ1127" s="9"/>
      <c r="CK1127" s="9"/>
      <c r="CL1127" s="9"/>
      <c r="CM1127" s="9"/>
      <c r="CN1127" s="9"/>
      <c r="CO1127" s="9"/>
      <c r="CP1127" s="9"/>
      <c r="CQ1127" s="9"/>
      <c r="CR1127" s="9"/>
      <c r="CS1127" s="9"/>
      <c r="CT1127" s="9"/>
      <c r="CU1127" s="9"/>
      <c r="CV1127" s="9"/>
      <c r="CW1127" s="9"/>
      <c r="CX1127" s="9"/>
      <c r="CY1127" s="9"/>
    </row>
    <row r="1128" spans="1:103" x14ac:dyDescent="0.2">
      <c r="A1128" s="15"/>
      <c r="B1128" s="25"/>
      <c r="C1128" s="8"/>
      <c r="D1128" s="9"/>
      <c r="E1128" s="6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s="9"/>
      <c r="BU1128" s="9"/>
      <c r="BV1128" s="9"/>
      <c r="BW1128" s="9"/>
      <c r="BX1128" s="9"/>
      <c r="BY1128" s="9"/>
      <c r="BZ1128" s="9"/>
      <c r="CA1128" s="9"/>
      <c r="CB1128" s="9"/>
      <c r="CC1128" s="9"/>
      <c r="CD1128" s="9"/>
      <c r="CE1128" s="9"/>
      <c r="CF1128" s="9"/>
      <c r="CG1128" s="9"/>
      <c r="CH1128" s="9"/>
      <c r="CI1128" s="9"/>
      <c r="CJ1128" s="9"/>
      <c r="CK1128" s="9"/>
      <c r="CL1128" s="9"/>
      <c r="CM1128" s="9"/>
      <c r="CN1128" s="9"/>
      <c r="CO1128" s="9"/>
      <c r="CP1128" s="9"/>
      <c r="CQ1128" s="9"/>
      <c r="CR1128" s="9"/>
      <c r="CS1128" s="9"/>
      <c r="CT1128" s="9"/>
      <c r="CU1128" s="9"/>
      <c r="CV1128" s="9"/>
      <c r="CW1128" s="9"/>
      <c r="CX1128" s="9"/>
      <c r="CY1128" s="9"/>
    </row>
    <row r="1129" spans="1:103" x14ac:dyDescent="0.2">
      <c r="A1129" s="15"/>
      <c r="B1129" s="25"/>
      <c r="C1129" s="8"/>
      <c r="D1129" s="9"/>
      <c r="E1129" s="6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s="9"/>
      <c r="BU1129" s="9"/>
      <c r="BV1129" s="9"/>
      <c r="BW1129" s="9"/>
      <c r="BX1129" s="9"/>
      <c r="BY1129" s="9"/>
      <c r="BZ1129" s="9"/>
      <c r="CA1129" s="9"/>
      <c r="CB1129" s="9"/>
      <c r="CC1129" s="9"/>
      <c r="CD1129" s="9"/>
      <c r="CE1129" s="9"/>
      <c r="CF1129" s="9"/>
      <c r="CG1129" s="9"/>
      <c r="CH1129" s="9"/>
      <c r="CI1129" s="9"/>
      <c r="CJ1129" s="9"/>
      <c r="CK1129" s="9"/>
      <c r="CL1129" s="9"/>
      <c r="CM1129" s="9"/>
      <c r="CN1129" s="9"/>
      <c r="CO1129" s="9"/>
      <c r="CP1129" s="9"/>
      <c r="CQ1129" s="9"/>
      <c r="CR1129" s="9"/>
      <c r="CS1129" s="9"/>
      <c r="CT1129" s="9"/>
      <c r="CU1129" s="9"/>
      <c r="CV1129" s="9"/>
      <c r="CW1129" s="9"/>
      <c r="CX1129" s="9"/>
      <c r="CY1129" s="9"/>
    </row>
    <row r="1130" spans="1:103" x14ac:dyDescent="0.2">
      <c r="A1130" s="15"/>
      <c r="B1130" s="25"/>
      <c r="C1130" s="8"/>
      <c r="D1130" s="9"/>
      <c r="E1130" s="6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s="9"/>
      <c r="BU1130" s="9"/>
      <c r="BV1130" s="9"/>
      <c r="BW1130" s="9"/>
      <c r="BX1130" s="9"/>
      <c r="BY1130" s="9"/>
      <c r="BZ1130" s="9"/>
      <c r="CA1130" s="9"/>
      <c r="CB1130" s="9"/>
      <c r="CC1130" s="9"/>
      <c r="CD1130" s="9"/>
      <c r="CE1130" s="9"/>
      <c r="CF1130" s="9"/>
      <c r="CG1130" s="9"/>
      <c r="CH1130" s="9"/>
      <c r="CI1130" s="9"/>
      <c r="CJ1130" s="9"/>
      <c r="CK1130" s="9"/>
      <c r="CL1130" s="9"/>
      <c r="CM1130" s="9"/>
      <c r="CN1130" s="9"/>
      <c r="CO1130" s="9"/>
      <c r="CP1130" s="9"/>
      <c r="CQ1130" s="9"/>
      <c r="CR1130" s="9"/>
      <c r="CS1130" s="9"/>
      <c r="CT1130" s="9"/>
      <c r="CU1130" s="9"/>
      <c r="CV1130" s="9"/>
      <c r="CW1130" s="9"/>
      <c r="CX1130" s="9"/>
      <c r="CY1130" s="9"/>
    </row>
    <row r="1131" spans="1:103" x14ac:dyDescent="0.2">
      <c r="A1131" s="15"/>
      <c r="B1131" s="25"/>
      <c r="C1131" s="8"/>
      <c r="D1131" s="9"/>
      <c r="E1131" s="6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s="9"/>
      <c r="BU1131" s="9"/>
      <c r="BV1131" s="9"/>
      <c r="BW1131" s="9"/>
      <c r="BX1131" s="9"/>
      <c r="BY1131" s="9"/>
      <c r="BZ1131" s="9"/>
      <c r="CA1131" s="9"/>
      <c r="CB1131" s="9"/>
      <c r="CC1131" s="9"/>
      <c r="CD1131" s="9"/>
      <c r="CE1131" s="9"/>
      <c r="CF1131" s="9"/>
      <c r="CG1131" s="9"/>
      <c r="CH1131" s="9"/>
      <c r="CI1131" s="9"/>
      <c r="CJ1131" s="9"/>
      <c r="CK1131" s="9"/>
      <c r="CL1131" s="9"/>
      <c r="CM1131" s="9"/>
      <c r="CN1131" s="9"/>
      <c r="CO1131" s="9"/>
      <c r="CP1131" s="9"/>
      <c r="CQ1131" s="9"/>
      <c r="CR1131" s="9"/>
      <c r="CS1131" s="9"/>
      <c r="CT1131" s="9"/>
      <c r="CU1131" s="9"/>
      <c r="CV1131" s="9"/>
      <c r="CW1131" s="9"/>
      <c r="CX1131" s="9"/>
      <c r="CY1131" s="9"/>
    </row>
    <row r="1132" spans="1:103" x14ac:dyDescent="0.2">
      <c r="A1132" s="15"/>
      <c r="B1132" s="25"/>
      <c r="C1132" s="8"/>
      <c r="D1132" s="9"/>
      <c r="E1132" s="6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s="9"/>
      <c r="BU1132" s="9"/>
      <c r="BV1132" s="9"/>
      <c r="BW1132" s="9"/>
      <c r="BX1132" s="9"/>
      <c r="BY1132" s="9"/>
      <c r="BZ1132" s="9"/>
      <c r="CA1132" s="9"/>
      <c r="CB1132" s="9"/>
      <c r="CC1132" s="9"/>
      <c r="CD1132" s="9"/>
      <c r="CE1132" s="9"/>
      <c r="CF1132" s="9"/>
      <c r="CG1132" s="9"/>
      <c r="CH1132" s="9"/>
      <c r="CI1132" s="9"/>
      <c r="CJ1132" s="9"/>
      <c r="CK1132" s="9"/>
      <c r="CL1132" s="9"/>
      <c r="CM1132" s="9"/>
      <c r="CN1132" s="9"/>
      <c r="CO1132" s="9"/>
      <c r="CP1132" s="9"/>
      <c r="CQ1132" s="9"/>
      <c r="CR1132" s="9"/>
      <c r="CS1132" s="9"/>
      <c r="CT1132" s="9"/>
      <c r="CU1132" s="9"/>
      <c r="CV1132" s="9"/>
      <c r="CW1132" s="9"/>
      <c r="CX1132" s="9"/>
      <c r="CY1132" s="9"/>
    </row>
    <row r="1133" spans="1:103" x14ac:dyDescent="0.2">
      <c r="A1133" s="15"/>
      <c r="B1133" s="25"/>
      <c r="C1133" s="8"/>
      <c r="D1133" s="9"/>
      <c r="E1133" s="6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s="9"/>
      <c r="BU1133" s="9"/>
      <c r="BV1133" s="9"/>
      <c r="BW1133" s="9"/>
      <c r="BX1133" s="9"/>
      <c r="BY1133" s="9"/>
      <c r="BZ1133" s="9"/>
      <c r="CA1133" s="9"/>
      <c r="CB1133" s="9"/>
      <c r="CC1133" s="9"/>
      <c r="CD1133" s="9"/>
      <c r="CE1133" s="9"/>
      <c r="CF1133" s="9"/>
      <c r="CG1133" s="9"/>
      <c r="CH1133" s="9"/>
      <c r="CI1133" s="9"/>
      <c r="CJ1133" s="9"/>
      <c r="CK1133" s="9"/>
      <c r="CL1133" s="9"/>
      <c r="CM1133" s="9"/>
      <c r="CN1133" s="9"/>
      <c r="CO1133" s="9"/>
      <c r="CP1133" s="9"/>
      <c r="CQ1133" s="9"/>
      <c r="CR1133" s="9"/>
      <c r="CS1133" s="9"/>
      <c r="CT1133" s="9"/>
      <c r="CU1133" s="9"/>
      <c r="CV1133" s="9"/>
      <c r="CW1133" s="9"/>
      <c r="CX1133" s="9"/>
      <c r="CY1133" s="9"/>
    </row>
    <row r="1134" spans="1:103" x14ac:dyDescent="0.2">
      <c r="A1134" s="15"/>
      <c r="B1134" s="25"/>
      <c r="C1134" s="8"/>
      <c r="D1134" s="9"/>
      <c r="E1134" s="6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s="9"/>
      <c r="BU1134" s="9"/>
      <c r="BV1134" s="9"/>
      <c r="BW1134" s="9"/>
      <c r="BX1134" s="9"/>
      <c r="BY1134" s="9"/>
      <c r="BZ1134" s="9"/>
      <c r="CA1134" s="9"/>
      <c r="CB1134" s="9"/>
      <c r="CC1134" s="9"/>
      <c r="CD1134" s="9"/>
      <c r="CE1134" s="9"/>
      <c r="CF1134" s="9"/>
      <c r="CG1134" s="9"/>
      <c r="CH1134" s="9"/>
      <c r="CI1134" s="9"/>
      <c r="CJ1134" s="9"/>
      <c r="CK1134" s="9"/>
      <c r="CL1134" s="9"/>
      <c r="CM1134" s="9"/>
      <c r="CN1134" s="9"/>
      <c r="CO1134" s="9"/>
      <c r="CP1134" s="9"/>
      <c r="CQ1134" s="9"/>
      <c r="CR1134" s="9"/>
      <c r="CS1134" s="9"/>
      <c r="CT1134" s="9"/>
      <c r="CU1134" s="9"/>
      <c r="CV1134" s="9"/>
      <c r="CW1134" s="9"/>
      <c r="CX1134" s="9"/>
      <c r="CY1134" s="9"/>
    </row>
    <row r="1135" spans="1:103" x14ac:dyDescent="0.2">
      <c r="A1135" s="15"/>
      <c r="B1135" s="25"/>
      <c r="C1135" s="8"/>
      <c r="D1135" s="9"/>
      <c r="E1135" s="6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s="9"/>
      <c r="BU1135" s="9"/>
      <c r="BV1135" s="9"/>
      <c r="BW1135" s="9"/>
      <c r="BX1135" s="9"/>
      <c r="BY1135" s="9"/>
      <c r="BZ1135" s="9"/>
      <c r="CA1135" s="9"/>
      <c r="CB1135" s="9"/>
      <c r="CC1135" s="9"/>
      <c r="CD1135" s="9"/>
      <c r="CE1135" s="9"/>
      <c r="CF1135" s="9"/>
      <c r="CG1135" s="9"/>
      <c r="CH1135" s="9"/>
      <c r="CI1135" s="9"/>
      <c r="CJ1135" s="9"/>
      <c r="CK1135" s="9"/>
      <c r="CL1135" s="9"/>
      <c r="CM1135" s="9"/>
      <c r="CN1135" s="9"/>
      <c r="CO1135" s="9"/>
      <c r="CP1135" s="9"/>
      <c r="CQ1135" s="9"/>
      <c r="CR1135" s="9"/>
      <c r="CS1135" s="9"/>
      <c r="CT1135" s="9"/>
      <c r="CU1135" s="9"/>
      <c r="CV1135" s="9"/>
      <c r="CW1135" s="9"/>
      <c r="CX1135" s="9"/>
      <c r="CY1135" s="9"/>
    </row>
    <row r="1136" spans="1:103" x14ac:dyDescent="0.2">
      <c r="A1136" s="15"/>
      <c r="B1136" s="25"/>
      <c r="C1136" s="8"/>
      <c r="D1136" s="9"/>
      <c r="E1136" s="6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s="9"/>
      <c r="BU1136" s="9"/>
      <c r="BV1136" s="9"/>
      <c r="BW1136" s="9"/>
      <c r="BX1136" s="9"/>
      <c r="BY1136" s="9"/>
      <c r="BZ1136" s="9"/>
      <c r="CA1136" s="9"/>
      <c r="CB1136" s="9"/>
      <c r="CC1136" s="9"/>
      <c r="CD1136" s="9"/>
      <c r="CE1136" s="9"/>
      <c r="CF1136" s="9"/>
      <c r="CG1136" s="9"/>
      <c r="CH1136" s="9"/>
      <c r="CI1136" s="9"/>
      <c r="CJ1136" s="9"/>
      <c r="CK1136" s="9"/>
      <c r="CL1136" s="9"/>
      <c r="CM1136" s="9"/>
      <c r="CN1136" s="9"/>
      <c r="CO1136" s="9"/>
      <c r="CP1136" s="9"/>
      <c r="CQ1136" s="9"/>
      <c r="CR1136" s="9"/>
      <c r="CS1136" s="9"/>
      <c r="CT1136" s="9"/>
      <c r="CU1136" s="9"/>
      <c r="CV1136" s="9"/>
      <c r="CW1136" s="9"/>
      <c r="CX1136" s="9"/>
      <c r="CY1136" s="9"/>
    </row>
    <row r="1137" spans="1:103" x14ac:dyDescent="0.2">
      <c r="A1137" s="15"/>
      <c r="B1137" s="25"/>
      <c r="C1137" s="8"/>
      <c r="D1137" s="9"/>
      <c r="E1137" s="6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s="9"/>
      <c r="BU1137" s="9"/>
      <c r="BV1137" s="9"/>
      <c r="BW1137" s="9"/>
      <c r="BX1137" s="9"/>
      <c r="BY1137" s="9"/>
      <c r="BZ1137" s="9"/>
      <c r="CA1137" s="9"/>
      <c r="CB1137" s="9"/>
      <c r="CC1137" s="9"/>
      <c r="CD1137" s="9"/>
      <c r="CE1137" s="9"/>
      <c r="CF1137" s="9"/>
      <c r="CG1137" s="9"/>
      <c r="CH1137" s="9"/>
      <c r="CI1137" s="9"/>
      <c r="CJ1137" s="9"/>
      <c r="CK1137" s="9"/>
      <c r="CL1137" s="9"/>
      <c r="CM1137" s="9"/>
      <c r="CN1137" s="9"/>
      <c r="CO1137" s="9"/>
      <c r="CP1137" s="9"/>
      <c r="CQ1137" s="9"/>
      <c r="CR1137" s="9"/>
      <c r="CS1137" s="9"/>
      <c r="CT1137" s="9"/>
      <c r="CU1137" s="9"/>
      <c r="CV1137" s="9"/>
      <c r="CW1137" s="9"/>
      <c r="CX1137" s="9"/>
      <c r="CY1137" s="9"/>
    </row>
    <row r="1138" spans="1:103" x14ac:dyDescent="0.2">
      <c r="A1138" s="15"/>
      <c r="B1138" s="25"/>
      <c r="C1138" s="8"/>
      <c r="D1138" s="9"/>
      <c r="E1138" s="6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s="9"/>
      <c r="BU1138" s="9"/>
      <c r="BV1138" s="9"/>
      <c r="BW1138" s="9"/>
      <c r="BX1138" s="9"/>
      <c r="BY1138" s="9"/>
      <c r="BZ1138" s="9"/>
      <c r="CA1138" s="9"/>
      <c r="CB1138" s="9"/>
      <c r="CC1138" s="9"/>
      <c r="CD1138" s="9"/>
      <c r="CE1138" s="9"/>
      <c r="CF1138" s="9"/>
      <c r="CG1138" s="9"/>
      <c r="CH1138" s="9"/>
      <c r="CI1138" s="9"/>
      <c r="CJ1138" s="9"/>
      <c r="CK1138" s="9"/>
      <c r="CL1138" s="9"/>
      <c r="CM1138" s="9"/>
      <c r="CN1138" s="9"/>
      <c r="CO1138" s="9"/>
      <c r="CP1138" s="9"/>
      <c r="CQ1138" s="9"/>
      <c r="CR1138" s="9"/>
      <c r="CS1138" s="9"/>
      <c r="CT1138" s="9"/>
      <c r="CU1138" s="9"/>
      <c r="CV1138" s="9"/>
      <c r="CW1138" s="9"/>
      <c r="CX1138" s="9"/>
      <c r="CY1138" s="9"/>
    </row>
    <row r="1139" spans="1:103" x14ac:dyDescent="0.2">
      <c r="A1139" s="15"/>
      <c r="B1139" s="25"/>
      <c r="C1139" s="8"/>
      <c r="D1139" s="9"/>
      <c r="E1139" s="6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s="9"/>
      <c r="BU1139" s="9"/>
      <c r="BV1139" s="9"/>
      <c r="BW1139" s="9"/>
      <c r="BX1139" s="9"/>
      <c r="BY1139" s="9"/>
      <c r="BZ1139" s="9"/>
      <c r="CA1139" s="9"/>
      <c r="CB1139" s="9"/>
      <c r="CC1139" s="9"/>
      <c r="CD1139" s="9"/>
      <c r="CE1139" s="9"/>
      <c r="CF1139" s="9"/>
      <c r="CG1139" s="9"/>
      <c r="CH1139" s="9"/>
      <c r="CI1139" s="9"/>
      <c r="CJ1139" s="9"/>
      <c r="CK1139" s="9"/>
      <c r="CL1139" s="9"/>
      <c r="CM1139" s="9"/>
      <c r="CN1139" s="9"/>
      <c r="CO1139" s="9"/>
      <c r="CP1139" s="9"/>
      <c r="CQ1139" s="9"/>
      <c r="CR1139" s="9"/>
      <c r="CS1139" s="9"/>
      <c r="CT1139" s="9"/>
      <c r="CU1139" s="9"/>
      <c r="CV1139" s="9"/>
      <c r="CW1139" s="9"/>
      <c r="CX1139" s="9"/>
      <c r="CY1139" s="9"/>
    </row>
    <row r="1140" spans="1:103" x14ac:dyDescent="0.2">
      <c r="A1140" s="15"/>
      <c r="B1140" s="25"/>
      <c r="C1140" s="8"/>
      <c r="D1140" s="9"/>
      <c r="E1140" s="6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s="9"/>
      <c r="BU1140" s="9"/>
      <c r="BV1140" s="9"/>
      <c r="BW1140" s="9"/>
      <c r="BX1140" s="9"/>
      <c r="BY1140" s="9"/>
      <c r="BZ1140" s="9"/>
      <c r="CA1140" s="9"/>
      <c r="CB1140" s="9"/>
      <c r="CC1140" s="9"/>
      <c r="CD1140" s="9"/>
      <c r="CE1140" s="9"/>
      <c r="CF1140" s="9"/>
      <c r="CG1140" s="9"/>
      <c r="CH1140" s="9"/>
      <c r="CI1140" s="9"/>
      <c r="CJ1140" s="9"/>
      <c r="CK1140" s="9"/>
      <c r="CL1140" s="9"/>
      <c r="CM1140" s="9"/>
      <c r="CN1140" s="9"/>
      <c r="CO1140" s="9"/>
      <c r="CP1140" s="9"/>
      <c r="CQ1140" s="9"/>
      <c r="CR1140" s="9"/>
      <c r="CS1140" s="9"/>
      <c r="CT1140" s="9"/>
      <c r="CU1140" s="9"/>
      <c r="CV1140" s="9"/>
      <c r="CW1140" s="9"/>
      <c r="CX1140" s="9"/>
      <c r="CY1140" s="9"/>
    </row>
    <row r="1141" spans="1:103" x14ac:dyDescent="0.2">
      <c r="C1141" s="1"/>
      <c r="D1141" s="9"/>
      <c r="E1141" s="9"/>
      <c r="F1141" s="6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s="9"/>
      <c r="BU1141" s="9"/>
      <c r="BV1141" s="9"/>
      <c r="BW1141" s="9"/>
      <c r="BX1141" s="9"/>
      <c r="BY1141" s="9"/>
      <c r="BZ1141" s="9"/>
      <c r="CA1141" s="9"/>
      <c r="CB1141" s="9"/>
      <c r="CC1141" s="9"/>
      <c r="CD1141" s="9"/>
      <c r="CE1141" s="9"/>
      <c r="CF1141" s="9"/>
      <c r="CG1141" s="9"/>
      <c r="CH1141" s="9"/>
      <c r="CI1141" s="9"/>
      <c r="CJ1141" s="9"/>
      <c r="CK1141" s="9"/>
      <c r="CL1141" s="9"/>
      <c r="CM1141" s="9"/>
      <c r="CN1141" s="9"/>
      <c r="CO1141" s="9"/>
      <c r="CP1141" s="9"/>
      <c r="CQ1141" s="9"/>
      <c r="CR1141" s="9"/>
      <c r="CS1141" s="9"/>
      <c r="CT1141" s="9"/>
      <c r="CU1141" s="9"/>
      <c r="CV1141" s="9"/>
      <c r="CW1141" s="9"/>
      <c r="CX1141" s="9"/>
      <c r="CY1141" s="9"/>
    </row>
    <row r="1142" spans="1:103" x14ac:dyDescent="0.2">
      <c r="C1142" s="1"/>
      <c r="D1142" s="9"/>
      <c r="E1142" s="9"/>
      <c r="F1142" s="6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s="9"/>
      <c r="BU1142" s="9"/>
      <c r="BV1142" s="9"/>
      <c r="BW1142" s="9"/>
      <c r="BX1142" s="9"/>
      <c r="BY1142" s="9"/>
      <c r="BZ1142" s="9"/>
      <c r="CA1142" s="9"/>
      <c r="CB1142" s="9"/>
      <c r="CC1142" s="9"/>
      <c r="CD1142" s="9"/>
      <c r="CE1142" s="9"/>
      <c r="CF1142" s="9"/>
      <c r="CG1142" s="9"/>
      <c r="CH1142" s="9"/>
      <c r="CI1142" s="9"/>
      <c r="CJ1142" s="9"/>
      <c r="CK1142" s="9"/>
      <c r="CL1142" s="9"/>
      <c r="CM1142" s="9"/>
      <c r="CN1142" s="9"/>
      <c r="CO1142" s="9"/>
      <c r="CP1142" s="9"/>
      <c r="CQ1142" s="9"/>
      <c r="CR1142" s="9"/>
      <c r="CS1142" s="9"/>
      <c r="CT1142" s="9"/>
      <c r="CU1142" s="9"/>
      <c r="CV1142" s="9"/>
      <c r="CW1142" s="9"/>
      <c r="CX1142" s="9"/>
      <c r="CY1142" s="9"/>
    </row>
    <row r="1143" spans="1:103" x14ac:dyDescent="0.2">
      <c r="D1143" s="9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s="9"/>
      <c r="BU1143" s="9"/>
      <c r="BV1143" s="9"/>
      <c r="BW1143" s="9"/>
      <c r="BX1143" s="9"/>
      <c r="BY1143" s="9"/>
      <c r="BZ1143" s="9"/>
      <c r="CA1143" s="9"/>
      <c r="CB1143" s="9"/>
      <c r="CC1143" s="9"/>
      <c r="CD1143" s="9"/>
      <c r="CE1143" s="9"/>
      <c r="CF1143" s="9"/>
      <c r="CG1143" s="9"/>
      <c r="CH1143" s="9"/>
      <c r="CI1143" s="9"/>
      <c r="CJ1143" s="9"/>
      <c r="CK1143" s="9"/>
      <c r="CL1143" s="9"/>
      <c r="CM1143" s="9"/>
      <c r="CN1143" s="9"/>
      <c r="CO1143" s="9"/>
      <c r="CP1143" s="9"/>
      <c r="CQ1143" s="9"/>
      <c r="CR1143" s="9"/>
      <c r="CS1143" s="9"/>
      <c r="CT1143" s="9"/>
      <c r="CU1143" s="9"/>
      <c r="CV1143" s="9"/>
      <c r="CW1143" s="9"/>
      <c r="CX1143" s="9"/>
      <c r="CY1143" s="9"/>
    </row>
    <row r="1144" spans="1:103" x14ac:dyDescent="0.2">
      <c r="C1144" s="1"/>
      <c r="D1144" s="9"/>
      <c r="E1144" s="9"/>
      <c r="F1144" s="6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s="9"/>
      <c r="BU1144" s="9"/>
      <c r="BV1144" s="9"/>
      <c r="BW1144" s="9"/>
      <c r="BX1144" s="9"/>
      <c r="BY1144" s="9"/>
      <c r="BZ1144" s="9"/>
      <c r="CA1144" s="9"/>
      <c r="CB1144" s="9"/>
      <c r="CC1144" s="9"/>
      <c r="CD1144" s="9"/>
      <c r="CE1144" s="9"/>
      <c r="CF1144" s="9"/>
      <c r="CG1144" s="9"/>
      <c r="CH1144" s="9"/>
      <c r="CI1144" s="9"/>
      <c r="CJ1144" s="9"/>
      <c r="CK1144" s="9"/>
      <c r="CL1144" s="9"/>
      <c r="CM1144" s="9"/>
      <c r="CN1144" s="9"/>
      <c r="CO1144" s="9"/>
      <c r="CP1144" s="9"/>
      <c r="CQ1144" s="9"/>
      <c r="CR1144" s="9"/>
      <c r="CS1144" s="9"/>
      <c r="CT1144" s="9"/>
      <c r="CU1144" s="9"/>
      <c r="CV1144" s="9"/>
      <c r="CW1144" s="9"/>
      <c r="CX1144" s="9"/>
      <c r="CY1144" s="9"/>
    </row>
    <row r="1145" spans="1:103" x14ac:dyDescent="0.2">
      <c r="A1145" s="15"/>
      <c r="B1145" s="25"/>
      <c r="C1145" s="8"/>
      <c r="D1145" s="6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s="9"/>
      <c r="BU1145" s="9"/>
      <c r="BV1145" s="9"/>
      <c r="BW1145" s="9"/>
      <c r="BX1145" s="9"/>
      <c r="BY1145" s="9"/>
      <c r="BZ1145" s="9"/>
      <c r="CA1145" s="9"/>
      <c r="CB1145" s="9"/>
      <c r="CC1145" s="9"/>
      <c r="CD1145" s="9"/>
      <c r="CE1145" s="9"/>
      <c r="CF1145" s="9"/>
      <c r="CG1145" s="9"/>
      <c r="CH1145" s="9"/>
      <c r="CI1145" s="9"/>
      <c r="CJ1145" s="9"/>
      <c r="CK1145" s="9"/>
      <c r="CL1145" s="9"/>
      <c r="CM1145" s="9"/>
      <c r="CN1145" s="9"/>
      <c r="CO1145" s="9"/>
      <c r="CP1145" s="9"/>
      <c r="CQ1145" s="9"/>
      <c r="CR1145" s="9"/>
      <c r="CS1145" s="9"/>
      <c r="CT1145" s="9"/>
      <c r="CU1145" s="9"/>
      <c r="CV1145" s="9"/>
      <c r="CW1145" s="9"/>
      <c r="CX1145" s="9"/>
      <c r="CY1145" s="9"/>
    </row>
    <row r="1146" spans="1:103" x14ac:dyDescent="0.2">
      <c r="A1146" s="15"/>
      <c r="B1146" s="25"/>
      <c r="C1146" s="8"/>
      <c r="D1146" s="6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s="9"/>
      <c r="BU1146" s="9"/>
      <c r="BV1146" s="9"/>
      <c r="BW1146" s="9"/>
      <c r="BX1146" s="9"/>
      <c r="BY1146" s="9"/>
      <c r="BZ1146" s="9"/>
      <c r="CA1146" s="9"/>
      <c r="CB1146" s="9"/>
      <c r="CC1146" s="9"/>
      <c r="CD1146" s="9"/>
      <c r="CE1146" s="9"/>
      <c r="CF1146" s="9"/>
      <c r="CG1146" s="9"/>
      <c r="CH1146" s="9"/>
      <c r="CI1146" s="9"/>
      <c r="CJ1146" s="9"/>
      <c r="CK1146" s="9"/>
      <c r="CL1146" s="9"/>
      <c r="CM1146" s="9"/>
      <c r="CN1146" s="9"/>
      <c r="CO1146" s="9"/>
      <c r="CP1146" s="9"/>
      <c r="CQ1146" s="9"/>
      <c r="CR1146" s="9"/>
      <c r="CS1146" s="9"/>
      <c r="CT1146" s="9"/>
      <c r="CU1146" s="9"/>
      <c r="CV1146" s="9"/>
      <c r="CW1146" s="9"/>
      <c r="CX1146" s="9"/>
      <c r="CY1146" s="9"/>
    </row>
    <row r="1147" spans="1:103" x14ac:dyDescent="0.2">
      <c r="A1147" s="15"/>
      <c r="B1147" s="25"/>
      <c r="C1147" s="8"/>
      <c r="D1147" s="6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s="9"/>
      <c r="BU1147" s="9"/>
      <c r="BV1147" s="9"/>
      <c r="BW1147" s="9"/>
      <c r="BX1147" s="9"/>
      <c r="BY1147" s="9"/>
      <c r="BZ1147" s="9"/>
      <c r="CA1147" s="9"/>
      <c r="CB1147" s="9"/>
      <c r="CC1147" s="9"/>
      <c r="CD1147" s="9"/>
      <c r="CE1147" s="9"/>
      <c r="CF1147" s="9"/>
      <c r="CG1147" s="9"/>
      <c r="CH1147" s="9"/>
      <c r="CI1147" s="9"/>
      <c r="CJ1147" s="9"/>
      <c r="CK1147" s="9"/>
      <c r="CL1147" s="9"/>
      <c r="CM1147" s="9"/>
      <c r="CN1147" s="9"/>
      <c r="CO1147" s="9"/>
      <c r="CP1147" s="9"/>
      <c r="CQ1147" s="9"/>
      <c r="CR1147" s="9"/>
      <c r="CS1147" s="9"/>
      <c r="CT1147" s="9"/>
      <c r="CU1147" s="9"/>
      <c r="CV1147" s="9"/>
      <c r="CW1147" s="9"/>
      <c r="CX1147" s="9"/>
      <c r="CY1147" s="9"/>
    </row>
    <row r="1148" spans="1:103" x14ac:dyDescent="0.2">
      <c r="A1148" s="15"/>
      <c r="B1148" s="25"/>
      <c r="C1148" s="8"/>
      <c r="D1148" s="6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s="9"/>
      <c r="BU1148" s="9"/>
      <c r="BV1148" s="9"/>
      <c r="BW1148" s="9"/>
      <c r="BX1148" s="9"/>
      <c r="BY1148" s="9"/>
      <c r="BZ1148" s="9"/>
      <c r="CA1148" s="9"/>
      <c r="CB1148" s="9"/>
      <c r="CC1148" s="9"/>
      <c r="CD1148" s="9"/>
      <c r="CE1148" s="9"/>
      <c r="CF1148" s="9"/>
      <c r="CG1148" s="9"/>
      <c r="CH1148" s="9"/>
      <c r="CI1148" s="9"/>
      <c r="CJ1148" s="9"/>
      <c r="CK1148" s="9"/>
      <c r="CL1148" s="9"/>
      <c r="CM1148" s="9"/>
      <c r="CN1148" s="9"/>
      <c r="CO1148" s="9"/>
      <c r="CP1148" s="9"/>
      <c r="CQ1148" s="9"/>
      <c r="CR1148" s="9"/>
      <c r="CS1148" s="9"/>
      <c r="CT1148" s="9"/>
      <c r="CU1148" s="9"/>
      <c r="CV1148" s="9"/>
      <c r="CW1148" s="9"/>
      <c r="CX1148" s="9"/>
      <c r="CY1148" s="9"/>
    </row>
    <row r="1149" spans="1:103" x14ac:dyDescent="0.2">
      <c r="A1149" s="15"/>
      <c r="B1149" s="25"/>
      <c r="C1149" s="8"/>
      <c r="D1149" s="6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s="9"/>
      <c r="BU1149" s="9"/>
      <c r="BV1149" s="9"/>
      <c r="BW1149" s="9"/>
      <c r="BX1149" s="9"/>
      <c r="BY1149" s="9"/>
      <c r="BZ1149" s="9"/>
      <c r="CA1149" s="9"/>
      <c r="CB1149" s="9"/>
      <c r="CC1149" s="9"/>
      <c r="CD1149" s="9"/>
      <c r="CE1149" s="9"/>
      <c r="CF1149" s="9"/>
      <c r="CG1149" s="9"/>
      <c r="CH1149" s="9"/>
      <c r="CI1149" s="9"/>
      <c r="CJ1149" s="9"/>
      <c r="CK1149" s="9"/>
      <c r="CL1149" s="9"/>
      <c r="CM1149" s="9"/>
      <c r="CN1149" s="9"/>
      <c r="CO1149" s="9"/>
      <c r="CP1149" s="9"/>
      <c r="CQ1149" s="9"/>
      <c r="CR1149" s="9"/>
      <c r="CS1149" s="9"/>
      <c r="CT1149" s="9"/>
      <c r="CU1149" s="9"/>
      <c r="CV1149" s="9"/>
      <c r="CW1149" s="9"/>
      <c r="CX1149" s="9"/>
      <c r="CY1149" s="9"/>
    </row>
    <row r="1150" spans="1:103" x14ac:dyDescent="0.2">
      <c r="A1150" s="15"/>
      <c r="B1150" s="25"/>
      <c r="C1150" s="8"/>
      <c r="D1150" s="6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s="9"/>
      <c r="BU1150" s="9"/>
      <c r="BV1150" s="9"/>
      <c r="BW1150" s="9"/>
      <c r="BX1150" s="9"/>
      <c r="BY1150" s="9"/>
      <c r="BZ1150" s="9"/>
      <c r="CA1150" s="9"/>
      <c r="CB1150" s="9"/>
      <c r="CC1150" s="9"/>
      <c r="CD1150" s="9"/>
      <c r="CE1150" s="9"/>
      <c r="CF1150" s="9"/>
      <c r="CG1150" s="9"/>
      <c r="CH1150" s="9"/>
      <c r="CI1150" s="9"/>
      <c r="CJ1150" s="9"/>
      <c r="CK1150" s="9"/>
      <c r="CL1150" s="9"/>
      <c r="CM1150" s="9"/>
      <c r="CN1150" s="9"/>
      <c r="CO1150" s="9"/>
      <c r="CP1150" s="9"/>
      <c r="CQ1150" s="9"/>
      <c r="CR1150" s="9"/>
      <c r="CS1150" s="9"/>
      <c r="CT1150" s="9"/>
      <c r="CU1150" s="9"/>
      <c r="CV1150" s="9"/>
      <c r="CW1150" s="9"/>
      <c r="CX1150" s="9"/>
      <c r="CY1150" s="9"/>
    </row>
    <row r="1151" spans="1:103" x14ac:dyDescent="0.2">
      <c r="A1151" s="15"/>
      <c r="B1151" s="25"/>
      <c r="C1151" s="8"/>
      <c r="D1151" s="6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s="9"/>
      <c r="BU1151" s="9"/>
      <c r="BV1151" s="9"/>
      <c r="BW1151" s="9"/>
      <c r="BX1151" s="9"/>
      <c r="BY1151" s="9"/>
      <c r="BZ1151" s="9"/>
      <c r="CA1151" s="9"/>
      <c r="CB1151" s="9"/>
      <c r="CC1151" s="9"/>
      <c r="CD1151" s="9"/>
      <c r="CE1151" s="9"/>
      <c r="CF1151" s="9"/>
      <c r="CG1151" s="9"/>
      <c r="CH1151" s="9"/>
      <c r="CI1151" s="9"/>
      <c r="CJ1151" s="9"/>
      <c r="CK1151" s="9"/>
      <c r="CL1151" s="9"/>
      <c r="CM1151" s="9"/>
      <c r="CN1151" s="9"/>
      <c r="CO1151" s="9"/>
      <c r="CP1151" s="9"/>
      <c r="CQ1151" s="9"/>
      <c r="CR1151" s="9"/>
      <c r="CS1151" s="9"/>
      <c r="CT1151" s="9"/>
      <c r="CU1151" s="9"/>
      <c r="CV1151" s="9"/>
      <c r="CW1151" s="9"/>
      <c r="CX1151" s="9"/>
      <c r="CY1151" s="9"/>
    </row>
    <row r="1152" spans="1:103" x14ac:dyDescent="0.2">
      <c r="A1152" s="15"/>
      <c r="B1152" s="25"/>
      <c r="C1152" s="8"/>
      <c r="D1152" s="6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s="9"/>
      <c r="BU1152" s="9"/>
      <c r="BV1152" s="9"/>
      <c r="BW1152" s="9"/>
      <c r="BX1152" s="9"/>
      <c r="BY1152" s="9"/>
      <c r="BZ1152" s="9"/>
      <c r="CA1152" s="9"/>
      <c r="CB1152" s="9"/>
      <c r="CC1152" s="9"/>
      <c r="CD1152" s="9"/>
      <c r="CE1152" s="9"/>
      <c r="CF1152" s="9"/>
      <c r="CG1152" s="9"/>
      <c r="CH1152" s="9"/>
      <c r="CI1152" s="9"/>
      <c r="CJ1152" s="9"/>
      <c r="CK1152" s="9"/>
      <c r="CL1152" s="9"/>
      <c r="CM1152" s="9"/>
      <c r="CN1152" s="9"/>
      <c r="CO1152" s="9"/>
      <c r="CP1152" s="9"/>
      <c r="CQ1152" s="9"/>
      <c r="CR1152" s="9"/>
      <c r="CS1152" s="9"/>
      <c r="CT1152" s="9"/>
      <c r="CU1152" s="9"/>
      <c r="CV1152" s="9"/>
      <c r="CW1152" s="9"/>
      <c r="CX1152" s="9"/>
      <c r="CY1152" s="9"/>
    </row>
    <row r="1153" spans="1:103" x14ac:dyDescent="0.2">
      <c r="A1153" s="15"/>
      <c r="B1153" s="25"/>
      <c r="C1153" s="8"/>
      <c r="D1153" s="6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s="9"/>
      <c r="BU1153" s="9"/>
      <c r="BV1153" s="9"/>
      <c r="BW1153" s="9"/>
      <c r="BX1153" s="9"/>
      <c r="BY1153" s="9"/>
      <c r="BZ1153" s="9"/>
      <c r="CA1153" s="9"/>
      <c r="CB1153" s="9"/>
      <c r="CC1153" s="9"/>
      <c r="CD1153" s="9"/>
      <c r="CE1153" s="9"/>
      <c r="CF1153" s="9"/>
      <c r="CG1153" s="9"/>
      <c r="CH1153" s="9"/>
      <c r="CI1153" s="9"/>
      <c r="CJ1153" s="9"/>
      <c r="CK1153" s="9"/>
      <c r="CL1153" s="9"/>
      <c r="CM1153" s="9"/>
      <c r="CN1153" s="9"/>
      <c r="CO1153" s="9"/>
      <c r="CP1153" s="9"/>
      <c r="CQ1153" s="9"/>
      <c r="CR1153" s="9"/>
      <c r="CS1153" s="9"/>
      <c r="CT1153" s="9"/>
      <c r="CU1153" s="9"/>
      <c r="CV1153" s="9"/>
      <c r="CW1153" s="9"/>
      <c r="CX1153" s="9"/>
      <c r="CY1153" s="9"/>
    </row>
    <row r="1154" spans="1:103" x14ac:dyDescent="0.2">
      <c r="A1154" s="15"/>
      <c r="B1154" s="25"/>
      <c r="C1154" s="8"/>
      <c r="D1154" s="6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s="9"/>
      <c r="BU1154" s="9"/>
      <c r="BV1154" s="9"/>
      <c r="BW1154" s="9"/>
      <c r="BX1154" s="9"/>
      <c r="BY1154" s="9"/>
      <c r="BZ1154" s="9"/>
      <c r="CA1154" s="9"/>
      <c r="CB1154" s="9"/>
      <c r="CC1154" s="9"/>
      <c r="CD1154" s="9"/>
      <c r="CE1154" s="9"/>
      <c r="CF1154" s="9"/>
      <c r="CG1154" s="9"/>
      <c r="CH1154" s="9"/>
      <c r="CI1154" s="9"/>
      <c r="CJ1154" s="9"/>
      <c r="CK1154" s="9"/>
      <c r="CL1154" s="9"/>
      <c r="CM1154" s="9"/>
      <c r="CN1154" s="9"/>
      <c r="CO1154" s="9"/>
      <c r="CP1154" s="9"/>
      <c r="CQ1154" s="9"/>
      <c r="CR1154" s="9"/>
      <c r="CS1154" s="9"/>
      <c r="CT1154" s="9"/>
      <c r="CU1154" s="9"/>
      <c r="CV1154" s="9"/>
      <c r="CW1154" s="9"/>
      <c r="CX1154" s="9"/>
      <c r="CY1154" s="9"/>
    </row>
    <row r="1155" spans="1:103" x14ac:dyDescent="0.2">
      <c r="A1155" s="15"/>
      <c r="B1155" s="25"/>
      <c r="C1155" s="8"/>
      <c r="D1155" s="6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s="9"/>
      <c r="BU1155" s="9"/>
      <c r="BV1155" s="9"/>
      <c r="BW1155" s="9"/>
      <c r="BX1155" s="9"/>
      <c r="BY1155" s="9"/>
      <c r="BZ1155" s="9"/>
      <c r="CA1155" s="9"/>
      <c r="CB1155" s="9"/>
      <c r="CC1155" s="9"/>
      <c r="CD1155" s="9"/>
      <c r="CE1155" s="9"/>
      <c r="CF1155" s="9"/>
      <c r="CG1155" s="9"/>
      <c r="CH1155" s="9"/>
      <c r="CI1155" s="9"/>
      <c r="CJ1155" s="9"/>
      <c r="CK1155" s="9"/>
      <c r="CL1155" s="9"/>
      <c r="CM1155" s="9"/>
      <c r="CN1155" s="9"/>
      <c r="CO1155" s="9"/>
      <c r="CP1155" s="9"/>
      <c r="CQ1155" s="9"/>
      <c r="CR1155" s="9"/>
      <c r="CS1155" s="9"/>
      <c r="CT1155" s="9"/>
      <c r="CU1155" s="9"/>
      <c r="CV1155" s="9"/>
      <c r="CW1155" s="9"/>
      <c r="CX1155" s="9"/>
      <c r="CY1155" s="9"/>
    </row>
    <row r="1156" spans="1:103" x14ac:dyDescent="0.2">
      <c r="A1156" s="15"/>
      <c r="B1156" s="25"/>
      <c r="C1156" s="8"/>
      <c r="D1156" s="6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s="9"/>
      <c r="BU1156" s="9"/>
      <c r="BV1156" s="9"/>
      <c r="BW1156" s="9"/>
      <c r="BX1156" s="9"/>
      <c r="BY1156" s="9"/>
      <c r="BZ1156" s="9"/>
      <c r="CA1156" s="9"/>
      <c r="CB1156" s="9"/>
      <c r="CC1156" s="9"/>
      <c r="CD1156" s="9"/>
      <c r="CE1156" s="9"/>
      <c r="CF1156" s="9"/>
      <c r="CG1156" s="9"/>
      <c r="CH1156" s="9"/>
      <c r="CI1156" s="9"/>
      <c r="CJ1156" s="9"/>
      <c r="CK1156" s="9"/>
      <c r="CL1156" s="9"/>
      <c r="CM1156" s="9"/>
      <c r="CN1156" s="9"/>
      <c r="CO1156" s="9"/>
      <c r="CP1156" s="9"/>
      <c r="CQ1156" s="9"/>
      <c r="CR1156" s="9"/>
      <c r="CS1156" s="9"/>
      <c r="CT1156" s="9"/>
      <c r="CU1156" s="9"/>
      <c r="CV1156" s="9"/>
      <c r="CW1156" s="9"/>
      <c r="CX1156" s="9"/>
      <c r="CY1156" s="9"/>
    </row>
    <row r="1157" spans="1:103" x14ac:dyDescent="0.2">
      <c r="A1157" s="15"/>
      <c r="B1157" s="25"/>
      <c r="C1157" s="8"/>
      <c r="D1157" s="6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s="9"/>
      <c r="BU1157" s="9"/>
      <c r="BV1157" s="9"/>
      <c r="BW1157" s="9"/>
      <c r="BX1157" s="9"/>
      <c r="BY1157" s="9"/>
      <c r="BZ1157" s="9"/>
      <c r="CA1157" s="9"/>
      <c r="CB1157" s="9"/>
      <c r="CC1157" s="9"/>
      <c r="CD1157" s="9"/>
      <c r="CE1157" s="9"/>
      <c r="CF1157" s="9"/>
      <c r="CG1157" s="9"/>
      <c r="CH1157" s="9"/>
      <c r="CI1157" s="9"/>
      <c r="CJ1157" s="9"/>
      <c r="CK1157" s="9"/>
      <c r="CL1157" s="9"/>
      <c r="CM1157" s="9"/>
      <c r="CN1157" s="9"/>
      <c r="CO1157" s="9"/>
      <c r="CP1157" s="9"/>
      <c r="CQ1157" s="9"/>
      <c r="CR1157" s="9"/>
      <c r="CS1157" s="9"/>
      <c r="CT1157" s="9"/>
      <c r="CU1157" s="9"/>
      <c r="CV1157" s="9"/>
      <c r="CW1157" s="9"/>
      <c r="CX1157" s="9"/>
      <c r="CY1157" s="9"/>
    </row>
    <row r="1158" spans="1:103" x14ac:dyDescent="0.2">
      <c r="A1158" s="15"/>
      <c r="B1158" s="25"/>
      <c r="C1158" s="8"/>
      <c r="D1158" s="6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s="9"/>
      <c r="BU1158" s="9"/>
      <c r="BV1158" s="9"/>
      <c r="BW1158" s="9"/>
      <c r="BX1158" s="9"/>
      <c r="BY1158" s="9"/>
      <c r="BZ1158" s="9"/>
      <c r="CA1158" s="9"/>
      <c r="CB1158" s="9"/>
      <c r="CC1158" s="9"/>
      <c r="CD1158" s="9"/>
      <c r="CE1158" s="9"/>
      <c r="CF1158" s="9"/>
      <c r="CG1158" s="9"/>
      <c r="CH1158" s="9"/>
      <c r="CI1158" s="9"/>
      <c r="CJ1158" s="9"/>
      <c r="CK1158" s="9"/>
      <c r="CL1158" s="9"/>
      <c r="CM1158" s="9"/>
      <c r="CN1158" s="9"/>
      <c r="CO1158" s="9"/>
      <c r="CP1158" s="9"/>
      <c r="CQ1158" s="9"/>
      <c r="CR1158" s="9"/>
      <c r="CS1158" s="9"/>
      <c r="CT1158" s="9"/>
      <c r="CU1158" s="9"/>
      <c r="CV1158" s="9"/>
      <c r="CW1158" s="9"/>
      <c r="CX1158" s="9"/>
      <c r="CY1158" s="9"/>
    </row>
    <row r="1159" spans="1:103" x14ac:dyDescent="0.2">
      <c r="A1159" s="15"/>
      <c r="B1159" s="25"/>
      <c r="C1159" s="8"/>
      <c r="D1159" s="6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s="9"/>
      <c r="BU1159" s="9"/>
      <c r="BV1159" s="9"/>
      <c r="BW1159" s="9"/>
      <c r="BX1159" s="9"/>
      <c r="BY1159" s="9"/>
      <c r="BZ1159" s="9"/>
      <c r="CA1159" s="9"/>
      <c r="CB1159" s="9"/>
      <c r="CC1159" s="9"/>
      <c r="CD1159" s="9"/>
      <c r="CE1159" s="9"/>
      <c r="CF1159" s="9"/>
      <c r="CG1159" s="9"/>
      <c r="CH1159" s="9"/>
      <c r="CI1159" s="9"/>
      <c r="CJ1159" s="9"/>
      <c r="CK1159" s="9"/>
      <c r="CL1159" s="9"/>
      <c r="CM1159" s="9"/>
      <c r="CN1159" s="9"/>
      <c r="CO1159" s="9"/>
      <c r="CP1159" s="9"/>
      <c r="CQ1159" s="9"/>
      <c r="CR1159" s="9"/>
      <c r="CS1159" s="9"/>
      <c r="CT1159" s="9"/>
      <c r="CU1159" s="9"/>
      <c r="CV1159" s="9"/>
      <c r="CW1159" s="9"/>
      <c r="CX1159" s="9"/>
      <c r="CY1159" s="9"/>
    </row>
    <row r="1160" spans="1:103" x14ac:dyDescent="0.2">
      <c r="A1160" s="15"/>
      <c r="B1160" s="25"/>
      <c r="C1160" s="8"/>
      <c r="D1160" s="6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s="9"/>
      <c r="BU1160" s="9"/>
      <c r="BV1160" s="9"/>
      <c r="BW1160" s="9"/>
      <c r="BX1160" s="9"/>
      <c r="BY1160" s="9"/>
      <c r="BZ1160" s="9"/>
      <c r="CA1160" s="9"/>
      <c r="CB1160" s="9"/>
      <c r="CC1160" s="9"/>
      <c r="CD1160" s="9"/>
      <c r="CE1160" s="9"/>
      <c r="CF1160" s="9"/>
      <c r="CG1160" s="9"/>
      <c r="CH1160" s="9"/>
      <c r="CI1160" s="9"/>
      <c r="CJ1160" s="9"/>
      <c r="CK1160" s="9"/>
      <c r="CL1160" s="9"/>
      <c r="CM1160" s="9"/>
      <c r="CN1160" s="9"/>
      <c r="CO1160" s="9"/>
      <c r="CP1160" s="9"/>
      <c r="CQ1160" s="9"/>
      <c r="CR1160" s="9"/>
      <c r="CS1160" s="9"/>
      <c r="CT1160" s="9"/>
      <c r="CU1160" s="9"/>
      <c r="CV1160" s="9"/>
      <c r="CW1160" s="9"/>
      <c r="CX1160" s="9"/>
      <c r="CY1160" s="9"/>
    </row>
    <row r="1161" spans="1:103" x14ac:dyDescent="0.2">
      <c r="A1161" s="15"/>
      <c r="B1161" s="25"/>
      <c r="C1161" s="8"/>
      <c r="D1161" s="6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s="9"/>
      <c r="BU1161" s="9"/>
      <c r="BV1161" s="9"/>
      <c r="BW1161" s="9"/>
      <c r="BX1161" s="9"/>
      <c r="BY1161" s="9"/>
      <c r="BZ1161" s="9"/>
      <c r="CA1161" s="9"/>
      <c r="CB1161" s="9"/>
      <c r="CC1161" s="9"/>
      <c r="CD1161" s="9"/>
      <c r="CE1161" s="9"/>
      <c r="CF1161" s="9"/>
      <c r="CG1161" s="9"/>
      <c r="CH1161" s="9"/>
      <c r="CI1161" s="9"/>
      <c r="CJ1161" s="9"/>
      <c r="CK1161" s="9"/>
      <c r="CL1161" s="9"/>
      <c r="CM1161" s="9"/>
      <c r="CN1161" s="9"/>
      <c r="CO1161" s="9"/>
      <c r="CP1161" s="9"/>
      <c r="CQ1161" s="9"/>
      <c r="CR1161" s="9"/>
      <c r="CS1161" s="9"/>
      <c r="CT1161" s="9"/>
      <c r="CU1161" s="9"/>
      <c r="CV1161" s="9"/>
      <c r="CW1161" s="9"/>
      <c r="CX1161" s="9"/>
      <c r="CY1161" s="9"/>
    </row>
    <row r="1162" spans="1:103" x14ac:dyDescent="0.2">
      <c r="A1162" s="15"/>
      <c r="B1162" s="25"/>
      <c r="C1162" s="8"/>
      <c r="D1162" s="6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s="9"/>
      <c r="BU1162" s="9"/>
      <c r="BV1162" s="9"/>
      <c r="BW1162" s="9"/>
      <c r="BX1162" s="9"/>
      <c r="BY1162" s="9"/>
      <c r="BZ1162" s="9"/>
      <c r="CA1162" s="9"/>
      <c r="CB1162" s="9"/>
      <c r="CC1162" s="9"/>
      <c r="CD1162" s="9"/>
      <c r="CE1162" s="9"/>
      <c r="CF1162" s="9"/>
      <c r="CG1162" s="9"/>
      <c r="CH1162" s="9"/>
      <c r="CI1162" s="9"/>
      <c r="CJ1162" s="9"/>
      <c r="CK1162" s="9"/>
      <c r="CL1162" s="9"/>
      <c r="CM1162" s="9"/>
      <c r="CN1162" s="9"/>
      <c r="CO1162" s="9"/>
      <c r="CP1162" s="9"/>
      <c r="CQ1162" s="9"/>
      <c r="CR1162" s="9"/>
      <c r="CS1162" s="9"/>
      <c r="CT1162" s="9"/>
      <c r="CU1162" s="9"/>
      <c r="CV1162" s="9"/>
      <c r="CW1162" s="9"/>
      <c r="CX1162" s="9"/>
      <c r="CY1162" s="9"/>
    </row>
    <row r="1163" spans="1:103" x14ac:dyDescent="0.2">
      <c r="A1163" s="15"/>
      <c r="B1163" s="25"/>
      <c r="C1163" s="8"/>
      <c r="D1163" s="6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s="9"/>
      <c r="BU1163" s="9"/>
      <c r="BV1163" s="9"/>
      <c r="BW1163" s="9"/>
      <c r="BX1163" s="9"/>
      <c r="BY1163" s="9"/>
      <c r="BZ1163" s="9"/>
      <c r="CA1163" s="9"/>
      <c r="CB1163" s="9"/>
      <c r="CC1163" s="9"/>
      <c r="CD1163" s="9"/>
      <c r="CE1163" s="9"/>
      <c r="CF1163" s="9"/>
      <c r="CG1163" s="9"/>
      <c r="CH1163" s="9"/>
      <c r="CI1163" s="9"/>
      <c r="CJ1163" s="9"/>
      <c r="CK1163" s="9"/>
      <c r="CL1163" s="9"/>
      <c r="CM1163" s="9"/>
      <c r="CN1163" s="9"/>
      <c r="CO1163" s="9"/>
      <c r="CP1163" s="9"/>
      <c r="CQ1163" s="9"/>
      <c r="CR1163" s="9"/>
      <c r="CS1163" s="9"/>
      <c r="CT1163" s="9"/>
      <c r="CU1163" s="9"/>
      <c r="CV1163" s="9"/>
      <c r="CW1163" s="9"/>
      <c r="CX1163" s="9"/>
      <c r="CY1163" s="9"/>
    </row>
    <row r="1164" spans="1:103" x14ac:dyDescent="0.2">
      <c r="A1164" s="15"/>
      <c r="B1164" s="25"/>
      <c r="C1164" s="8"/>
      <c r="D1164" s="6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s="9"/>
      <c r="BU1164" s="9"/>
      <c r="BV1164" s="9"/>
      <c r="BW1164" s="9"/>
      <c r="BX1164" s="9"/>
      <c r="BY1164" s="9"/>
      <c r="BZ1164" s="9"/>
      <c r="CA1164" s="9"/>
      <c r="CB1164" s="9"/>
      <c r="CC1164" s="9"/>
      <c r="CD1164" s="9"/>
      <c r="CE1164" s="9"/>
      <c r="CF1164" s="9"/>
      <c r="CG1164" s="9"/>
      <c r="CH1164" s="9"/>
      <c r="CI1164" s="9"/>
      <c r="CJ1164" s="9"/>
      <c r="CK1164" s="9"/>
      <c r="CL1164" s="9"/>
      <c r="CM1164" s="9"/>
      <c r="CN1164" s="9"/>
      <c r="CO1164" s="9"/>
      <c r="CP1164" s="9"/>
      <c r="CQ1164" s="9"/>
      <c r="CR1164" s="9"/>
      <c r="CS1164" s="9"/>
      <c r="CT1164" s="9"/>
      <c r="CU1164" s="9"/>
      <c r="CV1164" s="9"/>
      <c r="CW1164" s="9"/>
      <c r="CX1164" s="9"/>
      <c r="CY1164" s="9"/>
    </row>
    <row r="1165" spans="1:103" x14ac:dyDescent="0.2">
      <c r="A1165" s="15"/>
      <c r="B1165" s="25"/>
      <c r="C1165" s="8"/>
      <c r="D1165" s="6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s="9"/>
      <c r="BU1165" s="9"/>
      <c r="BV1165" s="9"/>
      <c r="BW1165" s="9"/>
      <c r="BX1165" s="9"/>
      <c r="BY1165" s="9"/>
      <c r="BZ1165" s="9"/>
      <c r="CA1165" s="9"/>
      <c r="CB1165" s="9"/>
      <c r="CC1165" s="9"/>
      <c r="CD1165" s="9"/>
      <c r="CE1165" s="9"/>
      <c r="CF1165" s="9"/>
      <c r="CG1165" s="9"/>
      <c r="CH1165" s="9"/>
      <c r="CI1165" s="9"/>
      <c r="CJ1165" s="9"/>
      <c r="CK1165" s="9"/>
      <c r="CL1165" s="9"/>
      <c r="CM1165" s="9"/>
      <c r="CN1165" s="9"/>
      <c r="CO1165" s="9"/>
      <c r="CP1165" s="9"/>
      <c r="CQ1165" s="9"/>
      <c r="CR1165" s="9"/>
      <c r="CS1165" s="9"/>
      <c r="CT1165" s="9"/>
      <c r="CU1165" s="9"/>
      <c r="CV1165" s="9"/>
      <c r="CW1165" s="9"/>
      <c r="CX1165" s="9"/>
      <c r="CY1165" s="9"/>
    </row>
    <row r="1166" spans="1:103" x14ac:dyDescent="0.2">
      <c r="A1166" s="15"/>
      <c r="B1166" s="25"/>
      <c r="C1166" s="8"/>
      <c r="D1166" s="6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s="9"/>
      <c r="BU1166" s="9"/>
      <c r="BV1166" s="9"/>
      <c r="BW1166" s="9"/>
      <c r="BX1166" s="9"/>
      <c r="BY1166" s="9"/>
      <c r="BZ1166" s="9"/>
      <c r="CA1166" s="9"/>
      <c r="CB1166" s="9"/>
      <c r="CC1166" s="9"/>
      <c r="CD1166" s="9"/>
      <c r="CE1166" s="9"/>
      <c r="CF1166" s="9"/>
      <c r="CG1166" s="9"/>
      <c r="CH1166" s="9"/>
      <c r="CI1166" s="9"/>
      <c r="CJ1166" s="9"/>
      <c r="CK1166" s="9"/>
      <c r="CL1166" s="9"/>
      <c r="CM1166" s="9"/>
      <c r="CN1166" s="9"/>
      <c r="CO1166" s="9"/>
      <c r="CP1166" s="9"/>
      <c r="CQ1166" s="9"/>
      <c r="CR1166" s="9"/>
      <c r="CS1166" s="9"/>
      <c r="CT1166" s="9"/>
      <c r="CU1166" s="9"/>
      <c r="CV1166" s="9"/>
      <c r="CW1166" s="9"/>
      <c r="CX1166" s="9"/>
      <c r="CY1166" s="9"/>
    </row>
    <row r="1167" spans="1:103" x14ac:dyDescent="0.2">
      <c r="A1167" s="15"/>
      <c r="B1167" s="25"/>
      <c r="C1167" s="8"/>
      <c r="D1167" s="6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s="9"/>
      <c r="BU1167" s="9"/>
      <c r="BV1167" s="9"/>
      <c r="BW1167" s="9"/>
      <c r="BX1167" s="9"/>
      <c r="BY1167" s="9"/>
      <c r="BZ1167" s="9"/>
      <c r="CA1167" s="9"/>
      <c r="CB1167" s="9"/>
      <c r="CC1167" s="9"/>
      <c r="CD1167" s="9"/>
      <c r="CE1167" s="9"/>
      <c r="CF1167" s="9"/>
      <c r="CG1167" s="9"/>
      <c r="CH1167" s="9"/>
      <c r="CI1167" s="9"/>
      <c r="CJ1167" s="9"/>
      <c r="CK1167" s="9"/>
      <c r="CL1167" s="9"/>
      <c r="CM1167" s="9"/>
      <c r="CN1167" s="9"/>
      <c r="CO1167" s="9"/>
      <c r="CP1167" s="9"/>
      <c r="CQ1167" s="9"/>
      <c r="CR1167" s="9"/>
      <c r="CS1167" s="9"/>
      <c r="CT1167" s="9"/>
      <c r="CU1167" s="9"/>
      <c r="CV1167" s="9"/>
      <c r="CW1167" s="9"/>
      <c r="CX1167" s="9"/>
      <c r="CY1167" s="9"/>
    </row>
    <row r="1168" spans="1:103" x14ac:dyDescent="0.2">
      <c r="A1168" s="15"/>
      <c r="B1168" s="25"/>
      <c r="C1168" s="8"/>
      <c r="D1168" s="6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s="9"/>
      <c r="BU1168" s="9"/>
      <c r="BV1168" s="9"/>
      <c r="BW1168" s="9"/>
      <c r="BX1168" s="9"/>
      <c r="BY1168" s="9"/>
      <c r="BZ1168" s="9"/>
      <c r="CA1168" s="9"/>
      <c r="CB1168" s="9"/>
      <c r="CC1168" s="9"/>
      <c r="CD1168" s="9"/>
      <c r="CE1168" s="9"/>
      <c r="CF1168" s="9"/>
      <c r="CG1168" s="9"/>
      <c r="CH1168" s="9"/>
      <c r="CI1168" s="9"/>
      <c r="CJ1168" s="9"/>
      <c r="CK1168" s="9"/>
      <c r="CL1168" s="9"/>
      <c r="CM1168" s="9"/>
      <c r="CN1168" s="9"/>
      <c r="CO1168" s="9"/>
      <c r="CP1168" s="9"/>
      <c r="CQ1168" s="9"/>
      <c r="CR1168" s="9"/>
      <c r="CS1168" s="9"/>
      <c r="CT1168" s="9"/>
      <c r="CU1168" s="9"/>
      <c r="CV1168" s="9"/>
      <c r="CW1168" s="9"/>
      <c r="CX1168" s="9"/>
      <c r="CY1168" s="9"/>
    </row>
    <row r="1169" spans="1:103" x14ac:dyDescent="0.2">
      <c r="A1169" s="15"/>
      <c r="B1169" s="25"/>
      <c r="C1169" s="8"/>
      <c r="D1169" s="6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s="9"/>
      <c r="BU1169" s="9"/>
      <c r="BV1169" s="9"/>
      <c r="BW1169" s="9"/>
      <c r="BX1169" s="9"/>
      <c r="BY1169" s="9"/>
      <c r="BZ1169" s="9"/>
      <c r="CA1169" s="9"/>
      <c r="CB1169" s="9"/>
      <c r="CC1169" s="9"/>
      <c r="CD1169" s="9"/>
      <c r="CE1169" s="9"/>
      <c r="CF1169" s="9"/>
      <c r="CG1169" s="9"/>
      <c r="CH1169" s="9"/>
      <c r="CI1169" s="9"/>
      <c r="CJ1169" s="9"/>
      <c r="CK1169" s="9"/>
      <c r="CL1169" s="9"/>
      <c r="CM1169" s="9"/>
      <c r="CN1169" s="9"/>
      <c r="CO1169" s="9"/>
      <c r="CP1169" s="9"/>
      <c r="CQ1169" s="9"/>
      <c r="CR1169" s="9"/>
      <c r="CS1169" s="9"/>
      <c r="CT1169" s="9"/>
      <c r="CU1169" s="9"/>
      <c r="CV1169" s="9"/>
      <c r="CW1169" s="9"/>
      <c r="CX1169" s="9"/>
      <c r="CY1169" s="9"/>
    </row>
    <row r="1170" spans="1:103" x14ac:dyDescent="0.2">
      <c r="A1170" s="15"/>
      <c r="B1170" s="25"/>
      <c r="C1170" s="8"/>
      <c r="D1170" s="6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s="9"/>
      <c r="BU1170" s="9"/>
      <c r="BV1170" s="9"/>
      <c r="BW1170" s="9"/>
      <c r="BX1170" s="9"/>
      <c r="BY1170" s="9"/>
      <c r="BZ1170" s="9"/>
      <c r="CA1170" s="9"/>
      <c r="CB1170" s="9"/>
      <c r="CC1170" s="9"/>
      <c r="CD1170" s="9"/>
      <c r="CE1170" s="9"/>
      <c r="CF1170" s="9"/>
      <c r="CG1170" s="9"/>
      <c r="CH1170" s="9"/>
      <c r="CI1170" s="9"/>
      <c r="CJ1170" s="9"/>
      <c r="CK1170" s="9"/>
      <c r="CL1170" s="9"/>
      <c r="CM1170" s="9"/>
      <c r="CN1170" s="9"/>
      <c r="CO1170" s="9"/>
      <c r="CP1170" s="9"/>
      <c r="CQ1170" s="9"/>
      <c r="CR1170" s="9"/>
      <c r="CS1170" s="9"/>
      <c r="CT1170" s="9"/>
      <c r="CU1170" s="9"/>
      <c r="CV1170" s="9"/>
      <c r="CW1170" s="9"/>
      <c r="CX1170" s="9"/>
      <c r="CY1170" s="9"/>
    </row>
    <row r="1171" spans="1:103" x14ac:dyDescent="0.2">
      <c r="A1171" s="15"/>
      <c r="B1171" s="25"/>
      <c r="C1171" s="8"/>
      <c r="D1171" s="6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s="9"/>
      <c r="BU1171" s="9"/>
      <c r="BV1171" s="9"/>
      <c r="BW1171" s="9"/>
      <c r="BX1171" s="9"/>
      <c r="BY1171" s="9"/>
      <c r="BZ1171" s="9"/>
      <c r="CA1171" s="9"/>
      <c r="CB1171" s="9"/>
      <c r="CC1171" s="9"/>
      <c r="CD1171" s="9"/>
      <c r="CE1171" s="9"/>
      <c r="CF1171" s="9"/>
      <c r="CG1171" s="9"/>
      <c r="CH1171" s="9"/>
      <c r="CI1171" s="9"/>
      <c r="CJ1171" s="9"/>
      <c r="CK1171" s="9"/>
      <c r="CL1171" s="9"/>
      <c r="CM1171" s="9"/>
      <c r="CN1171" s="9"/>
      <c r="CO1171" s="9"/>
      <c r="CP1171" s="9"/>
      <c r="CQ1171" s="9"/>
      <c r="CR1171" s="9"/>
      <c r="CS1171" s="9"/>
      <c r="CT1171" s="9"/>
      <c r="CU1171" s="9"/>
      <c r="CV1171" s="9"/>
      <c r="CW1171" s="9"/>
      <c r="CX1171" s="9"/>
      <c r="CY1171" s="9"/>
    </row>
    <row r="1172" spans="1:103" x14ac:dyDescent="0.2">
      <c r="A1172" s="15"/>
      <c r="B1172" s="25"/>
      <c r="C1172" s="8"/>
      <c r="D1172" s="6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s="9"/>
      <c r="BU1172" s="9"/>
      <c r="BV1172" s="9"/>
      <c r="BW1172" s="9"/>
      <c r="BX1172" s="9"/>
      <c r="BY1172" s="9"/>
      <c r="BZ1172" s="9"/>
      <c r="CA1172" s="9"/>
      <c r="CB1172" s="9"/>
      <c r="CC1172" s="9"/>
      <c r="CD1172" s="9"/>
      <c r="CE1172" s="9"/>
      <c r="CF1172" s="9"/>
      <c r="CG1172" s="9"/>
      <c r="CH1172" s="9"/>
      <c r="CI1172" s="9"/>
      <c r="CJ1172" s="9"/>
      <c r="CK1172" s="9"/>
      <c r="CL1172" s="9"/>
      <c r="CM1172" s="9"/>
      <c r="CN1172" s="9"/>
      <c r="CO1172" s="9"/>
      <c r="CP1172" s="9"/>
      <c r="CQ1172" s="9"/>
      <c r="CR1172" s="9"/>
      <c r="CS1172" s="9"/>
      <c r="CT1172" s="9"/>
      <c r="CU1172" s="9"/>
      <c r="CV1172" s="9"/>
      <c r="CW1172" s="9"/>
      <c r="CX1172" s="9"/>
      <c r="CY1172" s="9"/>
    </row>
    <row r="1173" spans="1:103" x14ac:dyDescent="0.2">
      <c r="A1173" s="15"/>
      <c r="B1173" s="25"/>
      <c r="C1173" s="8"/>
      <c r="D1173" s="6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s="9"/>
      <c r="BU1173" s="9"/>
      <c r="BV1173" s="9"/>
      <c r="BW1173" s="9"/>
      <c r="BX1173" s="9"/>
      <c r="BY1173" s="9"/>
      <c r="BZ1173" s="9"/>
      <c r="CA1173" s="9"/>
      <c r="CB1173" s="9"/>
      <c r="CC1173" s="9"/>
      <c r="CD1173" s="9"/>
      <c r="CE1173" s="9"/>
      <c r="CF1173" s="9"/>
      <c r="CG1173" s="9"/>
      <c r="CH1173" s="9"/>
      <c r="CI1173" s="9"/>
      <c r="CJ1173" s="9"/>
      <c r="CK1173" s="9"/>
      <c r="CL1173" s="9"/>
      <c r="CM1173" s="9"/>
      <c r="CN1173" s="9"/>
      <c r="CO1173" s="9"/>
      <c r="CP1173" s="9"/>
      <c r="CQ1173" s="9"/>
      <c r="CR1173" s="9"/>
      <c r="CS1173" s="9"/>
      <c r="CT1173" s="9"/>
      <c r="CU1173" s="9"/>
      <c r="CV1173" s="9"/>
      <c r="CW1173" s="9"/>
      <c r="CX1173" s="9"/>
      <c r="CY1173" s="9"/>
    </row>
    <row r="1174" spans="1:103" x14ac:dyDescent="0.2">
      <c r="A1174" s="15"/>
      <c r="B1174" s="25"/>
      <c r="C1174" s="8"/>
      <c r="D1174" s="6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s="9"/>
      <c r="BU1174" s="9"/>
      <c r="BV1174" s="9"/>
      <c r="BW1174" s="9"/>
      <c r="BX1174" s="9"/>
      <c r="BY1174" s="9"/>
      <c r="BZ1174" s="9"/>
      <c r="CA1174" s="9"/>
      <c r="CB1174" s="9"/>
      <c r="CC1174" s="9"/>
      <c r="CD1174" s="9"/>
      <c r="CE1174" s="9"/>
      <c r="CF1174" s="9"/>
      <c r="CG1174" s="9"/>
      <c r="CH1174" s="9"/>
      <c r="CI1174" s="9"/>
      <c r="CJ1174" s="9"/>
      <c r="CK1174" s="9"/>
      <c r="CL1174" s="9"/>
      <c r="CM1174" s="9"/>
      <c r="CN1174" s="9"/>
      <c r="CO1174" s="9"/>
      <c r="CP1174" s="9"/>
      <c r="CQ1174" s="9"/>
      <c r="CR1174" s="9"/>
      <c r="CS1174" s="9"/>
      <c r="CT1174" s="9"/>
      <c r="CU1174" s="9"/>
      <c r="CV1174" s="9"/>
      <c r="CW1174" s="9"/>
      <c r="CX1174" s="9"/>
      <c r="CY1174" s="9"/>
    </row>
    <row r="1175" spans="1:103" x14ac:dyDescent="0.2">
      <c r="A1175" s="15"/>
      <c r="B1175" s="25"/>
      <c r="C1175" s="8"/>
      <c r="D1175" s="6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s="9"/>
      <c r="BU1175" s="9"/>
      <c r="BV1175" s="9"/>
      <c r="BW1175" s="9"/>
      <c r="BX1175" s="9"/>
      <c r="BY1175" s="9"/>
      <c r="BZ1175" s="9"/>
      <c r="CA1175" s="9"/>
      <c r="CB1175" s="9"/>
      <c r="CC1175" s="9"/>
      <c r="CD1175" s="9"/>
      <c r="CE1175" s="9"/>
      <c r="CF1175" s="9"/>
      <c r="CG1175" s="9"/>
      <c r="CH1175" s="9"/>
      <c r="CI1175" s="9"/>
      <c r="CJ1175" s="9"/>
      <c r="CK1175" s="9"/>
      <c r="CL1175" s="9"/>
      <c r="CM1175" s="9"/>
      <c r="CN1175" s="9"/>
      <c r="CO1175" s="9"/>
      <c r="CP1175" s="9"/>
      <c r="CQ1175" s="9"/>
      <c r="CR1175" s="9"/>
      <c r="CS1175" s="9"/>
      <c r="CT1175" s="9"/>
      <c r="CU1175" s="9"/>
      <c r="CV1175" s="9"/>
      <c r="CW1175" s="9"/>
      <c r="CX1175" s="9"/>
      <c r="CY1175" s="9"/>
    </row>
    <row r="1176" spans="1:103" x14ac:dyDescent="0.2">
      <c r="A1176" s="15"/>
      <c r="B1176" s="25"/>
      <c r="C1176" s="8"/>
      <c r="D1176" s="6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s="9"/>
      <c r="BU1176" s="9"/>
      <c r="BV1176" s="9"/>
      <c r="BW1176" s="9"/>
      <c r="BX1176" s="9"/>
      <c r="BY1176" s="9"/>
      <c r="BZ1176" s="9"/>
      <c r="CA1176" s="9"/>
      <c r="CB1176" s="9"/>
      <c r="CC1176" s="9"/>
      <c r="CD1176" s="9"/>
      <c r="CE1176" s="9"/>
      <c r="CF1176" s="9"/>
      <c r="CG1176" s="9"/>
      <c r="CH1176" s="9"/>
      <c r="CI1176" s="9"/>
      <c r="CJ1176" s="9"/>
      <c r="CK1176" s="9"/>
      <c r="CL1176" s="9"/>
      <c r="CM1176" s="9"/>
      <c r="CN1176" s="9"/>
      <c r="CO1176" s="9"/>
      <c r="CP1176" s="9"/>
      <c r="CQ1176" s="9"/>
      <c r="CR1176" s="9"/>
      <c r="CS1176" s="9"/>
      <c r="CT1176" s="9"/>
      <c r="CU1176" s="9"/>
      <c r="CV1176" s="9"/>
      <c r="CW1176" s="9"/>
      <c r="CX1176" s="9"/>
      <c r="CY1176" s="9"/>
    </row>
    <row r="1177" spans="1:103" x14ac:dyDescent="0.2">
      <c r="A1177" s="15"/>
      <c r="B1177" s="25"/>
      <c r="C1177" s="8"/>
      <c r="D1177" s="6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s="9"/>
      <c r="BU1177" s="9"/>
      <c r="BV1177" s="9"/>
      <c r="BW1177" s="9"/>
      <c r="BX1177" s="9"/>
      <c r="BY1177" s="9"/>
      <c r="BZ1177" s="9"/>
      <c r="CA1177" s="9"/>
      <c r="CB1177" s="9"/>
      <c r="CC1177" s="9"/>
      <c r="CD1177" s="9"/>
      <c r="CE1177" s="9"/>
      <c r="CF1177" s="9"/>
      <c r="CG1177" s="9"/>
      <c r="CH1177" s="9"/>
      <c r="CI1177" s="9"/>
      <c r="CJ1177" s="9"/>
      <c r="CK1177" s="9"/>
      <c r="CL1177" s="9"/>
      <c r="CM1177" s="9"/>
      <c r="CN1177" s="9"/>
      <c r="CO1177" s="9"/>
      <c r="CP1177" s="9"/>
      <c r="CQ1177" s="9"/>
      <c r="CR1177" s="9"/>
      <c r="CS1177" s="9"/>
      <c r="CT1177" s="9"/>
      <c r="CU1177" s="9"/>
      <c r="CV1177" s="9"/>
      <c r="CW1177" s="9"/>
      <c r="CX1177" s="9"/>
      <c r="CY1177" s="9"/>
    </row>
    <row r="1178" spans="1:103" x14ac:dyDescent="0.2">
      <c r="A1178" s="15"/>
      <c r="B1178" s="25"/>
      <c r="C1178" s="8"/>
      <c r="D1178" s="6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s="9"/>
      <c r="BU1178" s="9"/>
      <c r="BV1178" s="9"/>
      <c r="BW1178" s="9"/>
      <c r="BX1178" s="9"/>
      <c r="BY1178" s="9"/>
      <c r="BZ1178" s="9"/>
      <c r="CA1178" s="9"/>
      <c r="CB1178" s="9"/>
      <c r="CC1178" s="9"/>
      <c r="CD1178" s="9"/>
      <c r="CE1178" s="9"/>
      <c r="CF1178" s="9"/>
      <c r="CG1178" s="9"/>
      <c r="CH1178" s="9"/>
      <c r="CI1178" s="9"/>
      <c r="CJ1178" s="9"/>
      <c r="CK1178" s="9"/>
      <c r="CL1178" s="9"/>
      <c r="CM1178" s="9"/>
      <c r="CN1178" s="9"/>
      <c r="CO1178" s="9"/>
      <c r="CP1178" s="9"/>
      <c r="CQ1178" s="9"/>
      <c r="CR1178" s="9"/>
      <c r="CS1178" s="9"/>
      <c r="CT1178" s="9"/>
      <c r="CU1178" s="9"/>
      <c r="CV1178" s="9"/>
      <c r="CW1178" s="9"/>
      <c r="CX1178" s="9"/>
      <c r="CY1178" s="9"/>
    </row>
    <row r="1179" spans="1:103" x14ac:dyDescent="0.2">
      <c r="A1179" s="15"/>
      <c r="B1179" s="25"/>
      <c r="C1179" s="8"/>
      <c r="D1179" s="6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s="9"/>
      <c r="BU1179" s="9"/>
      <c r="BV1179" s="9"/>
      <c r="BW1179" s="9"/>
      <c r="BX1179" s="9"/>
      <c r="BY1179" s="9"/>
      <c r="BZ1179" s="9"/>
      <c r="CA1179" s="9"/>
      <c r="CB1179" s="9"/>
      <c r="CC1179" s="9"/>
      <c r="CD1179" s="9"/>
      <c r="CE1179" s="9"/>
      <c r="CF1179" s="9"/>
      <c r="CG1179" s="9"/>
      <c r="CH1179" s="9"/>
      <c r="CI1179" s="9"/>
      <c r="CJ1179" s="9"/>
      <c r="CK1179" s="9"/>
      <c r="CL1179" s="9"/>
      <c r="CM1179" s="9"/>
      <c r="CN1179" s="9"/>
      <c r="CO1179" s="9"/>
      <c r="CP1179" s="9"/>
      <c r="CQ1179" s="9"/>
      <c r="CR1179" s="9"/>
      <c r="CS1179" s="9"/>
      <c r="CT1179" s="9"/>
      <c r="CU1179" s="9"/>
      <c r="CV1179" s="9"/>
      <c r="CW1179" s="9"/>
      <c r="CX1179" s="9"/>
      <c r="CY1179" s="9"/>
    </row>
    <row r="1180" spans="1:103" x14ac:dyDescent="0.2">
      <c r="A1180" s="15"/>
      <c r="B1180" s="25"/>
      <c r="C1180" s="8"/>
      <c r="D1180" s="6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s="9"/>
      <c r="BU1180" s="9"/>
      <c r="BV1180" s="9"/>
      <c r="BW1180" s="9"/>
      <c r="BX1180" s="9"/>
      <c r="BY1180" s="9"/>
      <c r="BZ1180" s="9"/>
      <c r="CA1180" s="9"/>
      <c r="CB1180" s="9"/>
      <c r="CC1180" s="9"/>
      <c r="CD1180" s="9"/>
      <c r="CE1180" s="9"/>
      <c r="CF1180" s="9"/>
      <c r="CG1180" s="9"/>
      <c r="CH1180" s="9"/>
      <c r="CI1180" s="9"/>
      <c r="CJ1180" s="9"/>
      <c r="CK1180" s="9"/>
      <c r="CL1180" s="9"/>
      <c r="CM1180" s="9"/>
      <c r="CN1180" s="9"/>
      <c r="CO1180" s="9"/>
      <c r="CP1180" s="9"/>
      <c r="CQ1180" s="9"/>
      <c r="CR1180" s="9"/>
      <c r="CS1180" s="9"/>
      <c r="CT1180" s="9"/>
      <c r="CU1180" s="9"/>
      <c r="CV1180" s="9"/>
      <c r="CW1180" s="9"/>
      <c r="CX1180" s="9"/>
      <c r="CY1180" s="9"/>
    </row>
    <row r="1181" spans="1:103" x14ac:dyDescent="0.2">
      <c r="A1181" s="15"/>
      <c r="B1181" s="25"/>
      <c r="C1181" s="8"/>
      <c r="D1181" s="6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s="9"/>
      <c r="BU1181" s="9"/>
      <c r="BV1181" s="9"/>
      <c r="BW1181" s="9"/>
      <c r="BX1181" s="9"/>
      <c r="BY1181" s="9"/>
      <c r="BZ1181" s="9"/>
      <c r="CA1181" s="9"/>
      <c r="CB1181" s="9"/>
      <c r="CC1181" s="9"/>
      <c r="CD1181" s="9"/>
      <c r="CE1181" s="9"/>
      <c r="CF1181" s="9"/>
      <c r="CG1181" s="9"/>
      <c r="CH1181" s="9"/>
      <c r="CI1181" s="9"/>
      <c r="CJ1181" s="9"/>
      <c r="CK1181" s="9"/>
      <c r="CL1181" s="9"/>
      <c r="CM1181" s="9"/>
      <c r="CN1181" s="9"/>
      <c r="CO1181" s="9"/>
      <c r="CP1181" s="9"/>
      <c r="CQ1181" s="9"/>
      <c r="CR1181" s="9"/>
      <c r="CS1181" s="9"/>
      <c r="CT1181" s="9"/>
      <c r="CU1181" s="9"/>
      <c r="CV1181" s="9"/>
      <c r="CW1181" s="9"/>
      <c r="CX1181" s="9"/>
      <c r="CY1181" s="9"/>
    </row>
    <row r="1182" spans="1:103" x14ac:dyDescent="0.2">
      <c r="A1182" s="15"/>
      <c r="B1182" s="25"/>
      <c r="C1182" s="8"/>
      <c r="D1182" s="6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s="9"/>
      <c r="BU1182" s="9"/>
      <c r="BV1182" s="9"/>
      <c r="BW1182" s="9"/>
      <c r="BX1182" s="9"/>
      <c r="BY1182" s="9"/>
      <c r="BZ1182" s="9"/>
      <c r="CA1182" s="9"/>
      <c r="CB1182" s="9"/>
      <c r="CC1182" s="9"/>
      <c r="CD1182" s="9"/>
      <c r="CE1182" s="9"/>
      <c r="CF1182" s="9"/>
      <c r="CG1182" s="9"/>
      <c r="CH1182" s="9"/>
      <c r="CI1182" s="9"/>
      <c r="CJ1182" s="9"/>
      <c r="CK1182" s="9"/>
      <c r="CL1182" s="9"/>
      <c r="CM1182" s="9"/>
      <c r="CN1182" s="9"/>
      <c r="CO1182" s="9"/>
      <c r="CP1182" s="9"/>
      <c r="CQ1182" s="9"/>
      <c r="CR1182" s="9"/>
      <c r="CS1182" s="9"/>
      <c r="CT1182" s="9"/>
      <c r="CU1182" s="9"/>
      <c r="CV1182" s="9"/>
      <c r="CW1182" s="9"/>
      <c r="CX1182" s="9"/>
      <c r="CY1182" s="9"/>
    </row>
    <row r="1183" spans="1:103" x14ac:dyDescent="0.2">
      <c r="A1183" s="15"/>
      <c r="B1183" s="25"/>
      <c r="C1183" s="8"/>
      <c r="D1183" s="6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s="9"/>
      <c r="BU1183" s="9"/>
      <c r="BV1183" s="9"/>
      <c r="BW1183" s="9"/>
      <c r="BX1183" s="9"/>
      <c r="BY1183" s="9"/>
      <c r="BZ1183" s="9"/>
      <c r="CA1183" s="9"/>
      <c r="CB1183" s="9"/>
      <c r="CC1183" s="9"/>
      <c r="CD1183" s="9"/>
      <c r="CE1183" s="9"/>
      <c r="CF1183" s="9"/>
      <c r="CG1183" s="9"/>
      <c r="CH1183" s="9"/>
      <c r="CI1183" s="9"/>
      <c r="CJ1183" s="9"/>
      <c r="CK1183" s="9"/>
      <c r="CL1183" s="9"/>
      <c r="CM1183" s="9"/>
      <c r="CN1183" s="9"/>
      <c r="CO1183" s="9"/>
      <c r="CP1183" s="9"/>
      <c r="CQ1183" s="9"/>
      <c r="CR1183" s="9"/>
      <c r="CS1183" s="9"/>
      <c r="CT1183" s="9"/>
      <c r="CU1183" s="9"/>
      <c r="CV1183" s="9"/>
      <c r="CW1183" s="9"/>
      <c r="CX1183" s="9"/>
      <c r="CY1183" s="9"/>
    </row>
    <row r="1184" spans="1:103" x14ac:dyDescent="0.2">
      <c r="A1184" s="15"/>
      <c r="B1184" s="25"/>
      <c r="C1184" s="8"/>
      <c r="D1184" s="6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s="9"/>
      <c r="BU1184" s="9"/>
      <c r="BV1184" s="9"/>
      <c r="BW1184" s="9"/>
      <c r="BX1184" s="9"/>
      <c r="BY1184" s="9"/>
      <c r="BZ1184" s="9"/>
      <c r="CA1184" s="9"/>
      <c r="CB1184" s="9"/>
      <c r="CC1184" s="9"/>
      <c r="CD1184" s="9"/>
      <c r="CE1184" s="9"/>
      <c r="CF1184" s="9"/>
      <c r="CG1184" s="9"/>
      <c r="CH1184" s="9"/>
      <c r="CI1184" s="9"/>
      <c r="CJ1184" s="9"/>
      <c r="CK1184" s="9"/>
      <c r="CL1184" s="9"/>
      <c r="CM1184" s="9"/>
      <c r="CN1184" s="9"/>
      <c r="CO1184" s="9"/>
      <c r="CP1184" s="9"/>
      <c r="CQ1184" s="9"/>
      <c r="CR1184" s="9"/>
      <c r="CS1184" s="9"/>
      <c r="CT1184" s="9"/>
      <c r="CU1184" s="9"/>
      <c r="CV1184" s="9"/>
      <c r="CW1184" s="9"/>
      <c r="CX1184" s="9"/>
      <c r="CY1184" s="9"/>
    </row>
    <row r="1185" spans="1:103" x14ac:dyDescent="0.2">
      <c r="A1185" s="15"/>
      <c r="B1185" s="25"/>
      <c r="C1185" s="8"/>
      <c r="D1185" s="6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s="9"/>
      <c r="BU1185" s="9"/>
      <c r="BV1185" s="9"/>
      <c r="BW1185" s="9"/>
      <c r="BX1185" s="9"/>
      <c r="BY1185" s="9"/>
      <c r="BZ1185" s="9"/>
      <c r="CA1185" s="9"/>
      <c r="CB1185" s="9"/>
      <c r="CC1185" s="9"/>
      <c r="CD1185" s="9"/>
      <c r="CE1185" s="9"/>
      <c r="CF1185" s="9"/>
      <c r="CG1185" s="9"/>
      <c r="CH1185" s="9"/>
      <c r="CI1185" s="9"/>
      <c r="CJ1185" s="9"/>
      <c r="CK1185" s="9"/>
      <c r="CL1185" s="9"/>
      <c r="CM1185" s="9"/>
      <c r="CN1185" s="9"/>
      <c r="CO1185" s="9"/>
      <c r="CP1185" s="9"/>
      <c r="CQ1185" s="9"/>
      <c r="CR1185" s="9"/>
      <c r="CS1185" s="9"/>
      <c r="CT1185" s="9"/>
      <c r="CU1185" s="9"/>
      <c r="CV1185" s="9"/>
      <c r="CW1185" s="9"/>
      <c r="CX1185" s="9"/>
      <c r="CY1185" s="9"/>
    </row>
    <row r="1186" spans="1:103" x14ac:dyDescent="0.2">
      <c r="A1186" s="15"/>
      <c r="B1186" s="25"/>
      <c r="C1186" s="8"/>
      <c r="D1186" s="6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s="9"/>
      <c r="BU1186" s="9"/>
      <c r="BV1186" s="9"/>
      <c r="BW1186" s="9"/>
      <c r="BX1186" s="9"/>
      <c r="BY1186" s="9"/>
      <c r="BZ1186" s="9"/>
      <c r="CA1186" s="9"/>
      <c r="CB1186" s="9"/>
      <c r="CC1186" s="9"/>
      <c r="CD1186" s="9"/>
      <c r="CE1186" s="9"/>
      <c r="CF1186" s="9"/>
      <c r="CG1186" s="9"/>
      <c r="CH1186" s="9"/>
      <c r="CI1186" s="9"/>
      <c r="CJ1186" s="9"/>
      <c r="CK1186" s="9"/>
      <c r="CL1186" s="9"/>
      <c r="CM1186" s="9"/>
      <c r="CN1186" s="9"/>
      <c r="CO1186" s="9"/>
      <c r="CP1186" s="9"/>
      <c r="CQ1186" s="9"/>
      <c r="CR1186" s="9"/>
      <c r="CS1186" s="9"/>
      <c r="CT1186" s="9"/>
      <c r="CU1186" s="9"/>
      <c r="CV1186" s="9"/>
      <c r="CW1186" s="9"/>
      <c r="CX1186" s="9"/>
      <c r="CY1186" s="9"/>
    </row>
    <row r="1187" spans="1:103" x14ac:dyDescent="0.2">
      <c r="A1187" s="15"/>
      <c r="B1187" s="25"/>
      <c r="C1187" s="8"/>
      <c r="D1187" s="6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s="9"/>
      <c r="BU1187" s="9"/>
      <c r="BV1187" s="9"/>
      <c r="BW1187" s="9"/>
      <c r="BX1187" s="9"/>
      <c r="BY1187" s="9"/>
      <c r="BZ1187" s="9"/>
      <c r="CA1187" s="9"/>
      <c r="CB1187" s="9"/>
      <c r="CC1187" s="9"/>
      <c r="CD1187" s="9"/>
      <c r="CE1187" s="9"/>
      <c r="CF1187" s="9"/>
      <c r="CG1187" s="9"/>
      <c r="CH1187" s="9"/>
      <c r="CI1187" s="9"/>
      <c r="CJ1187" s="9"/>
      <c r="CK1187" s="9"/>
      <c r="CL1187" s="9"/>
      <c r="CM1187" s="9"/>
      <c r="CN1187" s="9"/>
      <c r="CO1187" s="9"/>
      <c r="CP1187" s="9"/>
      <c r="CQ1187" s="9"/>
      <c r="CR1187" s="9"/>
      <c r="CS1187" s="9"/>
      <c r="CT1187" s="9"/>
      <c r="CU1187" s="9"/>
      <c r="CV1187" s="9"/>
      <c r="CW1187" s="9"/>
      <c r="CX1187" s="9"/>
      <c r="CY1187" s="9"/>
    </row>
    <row r="1188" spans="1:103" x14ac:dyDescent="0.2">
      <c r="A1188" s="15"/>
      <c r="B1188" s="25"/>
      <c r="C1188" s="8"/>
      <c r="D1188" s="6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s="9"/>
      <c r="BU1188" s="9"/>
      <c r="BV1188" s="9"/>
      <c r="BW1188" s="9"/>
      <c r="BX1188" s="9"/>
      <c r="BY1188" s="9"/>
      <c r="BZ1188" s="9"/>
      <c r="CA1188" s="9"/>
      <c r="CB1188" s="9"/>
      <c r="CC1188" s="9"/>
      <c r="CD1188" s="9"/>
      <c r="CE1188" s="9"/>
      <c r="CF1188" s="9"/>
      <c r="CG1188" s="9"/>
      <c r="CH1188" s="9"/>
      <c r="CI1188" s="9"/>
      <c r="CJ1188" s="9"/>
      <c r="CK1188" s="9"/>
      <c r="CL1188" s="9"/>
      <c r="CM1188" s="9"/>
      <c r="CN1188" s="9"/>
      <c r="CO1188" s="9"/>
      <c r="CP1188" s="9"/>
      <c r="CQ1188" s="9"/>
      <c r="CR1188" s="9"/>
      <c r="CS1188" s="9"/>
      <c r="CT1188" s="9"/>
      <c r="CU1188" s="9"/>
      <c r="CV1188" s="9"/>
      <c r="CW1188" s="9"/>
      <c r="CX1188" s="9"/>
      <c r="CY1188" s="9"/>
    </row>
    <row r="1189" spans="1:103" x14ac:dyDescent="0.2">
      <c r="A1189" s="15"/>
      <c r="B1189" s="25"/>
      <c r="C1189" s="8"/>
      <c r="D1189" s="6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s="9"/>
      <c r="BU1189" s="9"/>
      <c r="BV1189" s="9"/>
      <c r="BW1189" s="9"/>
      <c r="BX1189" s="9"/>
      <c r="BY1189" s="9"/>
      <c r="BZ1189" s="9"/>
      <c r="CA1189" s="9"/>
      <c r="CB1189" s="9"/>
      <c r="CC1189" s="9"/>
      <c r="CD1189" s="9"/>
      <c r="CE1189" s="9"/>
      <c r="CF1189" s="9"/>
      <c r="CG1189" s="9"/>
      <c r="CH1189" s="9"/>
      <c r="CI1189" s="9"/>
      <c r="CJ1189" s="9"/>
      <c r="CK1189" s="9"/>
      <c r="CL1189" s="9"/>
      <c r="CM1189" s="9"/>
      <c r="CN1189" s="9"/>
      <c r="CO1189" s="9"/>
      <c r="CP1189" s="9"/>
      <c r="CQ1189" s="9"/>
      <c r="CR1189" s="9"/>
      <c r="CS1189" s="9"/>
      <c r="CT1189" s="9"/>
      <c r="CU1189" s="9"/>
      <c r="CV1189" s="9"/>
      <c r="CW1189" s="9"/>
      <c r="CX1189" s="9"/>
      <c r="CY1189" s="9"/>
    </row>
    <row r="1190" spans="1:103" x14ac:dyDescent="0.2">
      <c r="A1190" s="15"/>
      <c r="B1190" s="25"/>
      <c r="C1190" s="8"/>
      <c r="D1190" s="6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s="9"/>
      <c r="BU1190" s="9"/>
      <c r="BV1190" s="9"/>
      <c r="BW1190" s="9"/>
      <c r="BX1190" s="9"/>
      <c r="BY1190" s="9"/>
      <c r="BZ1190" s="9"/>
      <c r="CA1190" s="9"/>
      <c r="CB1190" s="9"/>
      <c r="CC1190" s="9"/>
      <c r="CD1190" s="9"/>
      <c r="CE1190" s="9"/>
      <c r="CF1190" s="9"/>
      <c r="CG1190" s="9"/>
      <c r="CH1190" s="9"/>
      <c r="CI1190" s="9"/>
      <c r="CJ1190" s="9"/>
      <c r="CK1190" s="9"/>
      <c r="CL1190" s="9"/>
      <c r="CM1190" s="9"/>
      <c r="CN1190" s="9"/>
      <c r="CO1190" s="9"/>
      <c r="CP1190" s="9"/>
      <c r="CQ1190" s="9"/>
      <c r="CR1190" s="9"/>
      <c r="CS1190" s="9"/>
      <c r="CT1190" s="9"/>
      <c r="CU1190" s="9"/>
      <c r="CV1190" s="9"/>
      <c r="CW1190" s="9"/>
      <c r="CX1190" s="9"/>
      <c r="CY1190" s="9"/>
    </row>
    <row r="1191" spans="1:103" x14ac:dyDescent="0.2">
      <c r="A1191" s="15"/>
      <c r="B1191" s="25"/>
      <c r="C1191" s="8"/>
      <c r="D1191" s="6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s="9"/>
      <c r="BU1191" s="9"/>
      <c r="BV1191" s="9"/>
      <c r="BW1191" s="9"/>
      <c r="BX1191" s="9"/>
      <c r="BY1191" s="9"/>
      <c r="BZ1191" s="9"/>
      <c r="CA1191" s="9"/>
      <c r="CB1191" s="9"/>
      <c r="CC1191" s="9"/>
      <c r="CD1191" s="9"/>
      <c r="CE1191" s="9"/>
      <c r="CF1191" s="9"/>
      <c r="CG1191" s="9"/>
      <c r="CH1191" s="9"/>
      <c r="CI1191" s="9"/>
      <c r="CJ1191" s="9"/>
      <c r="CK1191" s="9"/>
      <c r="CL1191" s="9"/>
      <c r="CM1191" s="9"/>
      <c r="CN1191" s="9"/>
      <c r="CO1191" s="9"/>
      <c r="CP1191" s="9"/>
      <c r="CQ1191" s="9"/>
      <c r="CR1191" s="9"/>
      <c r="CS1191" s="9"/>
      <c r="CT1191" s="9"/>
      <c r="CU1191" s="9"/>
      <c r="CV1191" s="9"/>
      <c r="CW1191" s="9"/>
      <c r="CX1191" s="9"/>
      <c r="CY1191" s="9"/>
    </row>
    <row r="1192" spans="1:103" x14ac:dyDescent="0.2">
      <c r="A1192" s="15"/>
      <c r="B1192" s="25"/>
      <c r="C1192" s="8"/>
      <c r="D1192" s="6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s="9"/>
      <c r="BU1192" s="9"/>
      <c r="BV1192" s="9"/>
      <c r="BW1192" s="9"/>
      <c r="BX1192" s="9"/>
      <c r="BY1192" s="9"/>
      <c r="BZ1192" s="9"/>
      <c r="CA1192" s="9"/>
      <c r="CB1192" s="9"/>
      <c r="CC1192" s="9"/>
      <c r="CD1192" s="9"/>
      <c r="CE1192" s="9"/>
      <c r="CF1192" s="9"/>
      <c r="CG1192" s="9"/>
      <c r="CH1192" s="9"/>
      <c r="CI1192" s="9"/>
      <c r="CJ1192" s="9"/>
      <c r="CK1192" s="9"/>
      <c r="CL1192" s="9"/>
      <c r="CM1192" s="9"/>
      <c r="CN1192" s="9"/>
      <c r="CO1192" s="9"/>
      <c r="CP1192" s="9"/>
      <c r="CQ1192" s="9"/>
      <c r="CR1192" s="9"/>
      <c r="CS1192" s="9"/>
      <c r="CT1192" s="9"/>
      <c r="CU1192" s="9"/>
      <c r="CV1192" s="9"/>
      <c r="CW1192" s="9"/>
      <c r="CX1192" s="9"/>
      <c r="CY1192" s="9"/>
    </row>
    <row r="1193" spans="1:103" x14ac:dyDescent="0.2">
      <c r="A1193" s="15"/>
      <c r="B1193" s="25"/>
      <c r="C1193" s="8"/>
      <c r="D1193" s="6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s="9"/>
      <c r="BU1193" s="9"/>
      <c r="BV1193" s="9"/>
      <c r="BW1193" s="9"/>
      <c r="BX1193" s="9"/>
      <c r="BY1193" s="9"/>
      <c r="BZ1193" s="9"/>
      <c r="CA1193" s="9"/>
      <c r="CB1193" s="9"/>
      <c r="CC1193" s="9"/>
      <c r="CD1193" s="9"/>
      <c r="CE1193" s="9"/>
      <c r="CF1193" s="9"/>
      <c r="CG1193" s="9"/>
      <c r="CH1193" s="9"/>
      <c r="CI1193" s="9"/>
      <c r="CJ1193" s="9"/>
      <c r="CK1193" s="9"/>
      <c r="CL1193" s="9"/>
      <c r="CM1193" s="9"/>
      <c r="CN1193" s="9"/>
      <c r="CO1193" s="9"/>
      <c r="CP1193" s="9"/>
      <c r="CQ1193" s="9"/>
      <c r="CR1193" s="9"/>
      <c r="CS1193" s="9"/>
      <c r="CT1193" s="9"/>
      <c r="CU1193" s="9"/>
      <c r="CV1193" s="9"/>
      <c r="CW1193" s="9"/>
      <c r="CX1193" s="9"/>
      <c r="CY1193" s="9"/>
    </row>
    <row r="1194" spans="1:103" x14ac:dyDescent="0.2">
      <c r="A1194" s="15"/>
      <c r="B1194" s="25"/>
      <c r="C1194" s="8"/>
      <c r="D1194" s="6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s="9"/>
      <c r="BU1194" s="9"/>
      <c r="BV1194" s="9"/>
      <c r="BW1194" s="9"/>
      <c r="BX1194" s="9"/>
      <c r="BY1194" s="9"/>
      <c r="BZ1194" s="9"/>
      <c r="CA1194" s="9"/>
      <c r="CB1194" s="9"/>
      <c r="CC1194" s="9"/>
      <c r="CD1194" s="9"/>
      <c r="CE1194" s="9"/>
      <c r="CF1194" s="9"/>
      <c r="CG1194" s="9"/>
      <c r="CH1194" s="9"/>
      <c r="CI1194" s="9"/>
      <c r="CJ1194" s="9"/>
      <c r="CK1194" s="9"/>
      <c r="CL1194" s="9"/>
      <c r="CM1194" s="9"/>
      <c r="CN1194" s="9"/>
      <c r="CO1194" s="9"/>
      <c r="CP1194" s="9"/>
      <c r="CQ1194" s="9"/>
      <c r="CR1194" s="9"/>
      <c r="CS1194" s="9"/>
      <c r="CT1194" s="9"/>
      <c r="CU1194" s="9"/>
      <c r="CV1194" s="9"/>
      <c r="CW1194" s="9"/>
      <c r="CX1194" s="9"/>
      <c r="CY1194" s="9"/>
    </row>
    <row r="1195" spans="1:103" x14ac:dyDescent="0.2">
      <c r="A1195" s="15"/>
      <c r="B1195" s="25"/>
      <c r="C1195" s="8"/>
      <c r="D1195" s="6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s="9"/>
      <c r="BU1195" s="9"/>
      <c r="BV1195" s="9"/>
      <c r="BW1195" s="9"/>
      <c r="BX1195" s="9"/>
      <c r="BY1195" s="9"/>
      <c r="BZ1195" s="9"/>
      <c r="CA1195" s="9"/>
      <c r="CB1195" s="9"/>
      <c r="CC1195" s="9"/>
      <c r="CD1195" s="9"/>
      <c r="CE1195" s="9"/>
      <c r="CF1195" s="9"/>
      <c r="CG1195" s="9"/>
      <c r="CH1195" s="9"/>
      <c r="CI1195" s="9"/>
      <c r="CJ1195" s="9"/>
      <c r="CK1195" s="9"/>
      <c r="CL1195" s="9"/>
      <c r="CM1195" s="9"/>
      <c r="CN1195" s="9"/>
      <c r="CO1195" s="9"/>
      <c r="CP1195" s="9"/>
      <c r="CQ1195" s="9"/>
      <c r="CR1195" s="9"/>
      <c r="CS1195" s="9"/>
      <c r="CT1195" s="9"/>
      <c r="CU1195" s="9"/>
      <c r="CV1195" s="9"/>
      <c r="CW1195" s="9"/>
      <c r="CX1195" s="9"/>
      <c r="CY1195" s="9"/>
    </row>
    <row r="1196" spans="1:103" x14ac:dyDescent="0.2">
      <c r="A1196" s="15"/>
      <c r="B1196" s="25"/>
      <c r="C1196" s="8"/>
      <c r="D1196" s="6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s="9"/>
      <c r="BU1196" s="9"/>
      <c r="BV1196" s="9"/>
      <c r="BW1196" s="9"/>
      <c r="BX1196" s="9"/>
      <c r="BY1196" s="9"/>
      <c r="BZ1196" s="9"/>
      <c r="CA1196" s="9"/>
      <c r="CB1196" s="9"/>
      <c r="CC1196" s="9"/>
      <c r="CD1196" s="9"/>
      <c r="CE1196" s="9"/>
      <c r="CF1196" s="9"/>
      <c r="CG1196" s="9"/>
      <c r="CH1196" s="9"/>
      <c r="CI1196" s="9"/>
      <c r="CJ1196" s="9"/>
      <c r="CK1196" s="9"/>
      <c r="CL1196" s="9"/>
      <c r="CM1196" s="9"/>
      <c r="CN1196" s="9"/>
      <c r="CO1196" s="9"/>
      <c r="CP1196" s="9"/>
      <c r="CQ1196" s="9"/>
      <c r="CR1196" s="9"/>
      <c r="CS1196" s="9"/>
      <c r="CT1196" s="9"/>
      <c r="CU1196" s="9"/>
      <c r="CV1196" s="9"/>
      <c r="CW1196" s="9"/>
      <c r="CX1196" s="9"/>
      <c r="CY1196" s="9"/>
    </row>
    <row r="1197" spans="1:103" x14ac:dyDescent="0.2">
      <c r="A1197" s="15"/>
      <c r="B1197" s="25"/>
      <c r="C1197" s="8"/>
      <c r="D1197" s="6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s="9"/>
      <c r="BU1197" s="9"/>
      <c r="BV1197" s="9"/>
      <c r="BW1197" s="9"/>
      <c r="BX1197" s="9"/>
      <c r="BY1197" s="9"/>
      <c r="BZ1197" s="9"/>
      <c r="CA1197" s="9"/>
      <c r="CB1197" s="9"/>
      <c r="CC1197" s="9"/>
      <c r="CD1197" s="9"/>
      <c r="CE1197" s="9"/>
      <c r="CF1197" s="9"/>
      <c r="CG1197" s="9"/>
      <c r="CH1197" s="9"/>
      <c r="CI1197" s="9"/>
      <c r="CJ1197" s="9"/>
      <c r="CK1197" s="9"/>
      <c r="CL1197" s="9"/>
      <c r="CM1197" s="9"/>
      <c r="CN1197" s="9"/>
      <c r="CO1197" s="9"/>
      <c r="CP1197" s="9"/>
      <c r="CQ1197" s="9"/>
      <c r="CR1197" s="9"/>
      <c r="CS1197" s="9"/>
      <c r="CT1197" s="9"/>
      <c r="CU1197" s="9"/>
      <c r="CV1197" s="9"/>
      <c r="CW1197" s="9"/>
      <c r="CX1197" s="9"/>
      <c r="CY1197" s="9"/>
    </row>
    <row r="1198" spans="1:103" x14ac:dyDescent="0.2">
      <c r="A1198" s="15"/>
      <c r="B1198" s="25"/>
      <c r="C1198" s="8"/>
      <c r="D1198" s="6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s="9"/>
      <c r="BU1198" s="9"/>
      <c r="BV1198" s="9"/>
      <c r="BW1198" s="9"/>
      <c r="BX1198" s="9"/>
      <c r="BY1198" s="9"/>
      <c r="BZ1198" s="9"/>
      <c r="CA1198" s="9"/>
      <c r="CB1198" s="9"/>
      <c r="CC1198" s="9"/>
      <c r="CD1198" s="9"/>
      <c r="CE1198" s="9"/>
      <c r="CF1198" s="9"/>
      <c r="CG1198" s="9"/>
      <c r="CH1198" s="9"/>
      <c r="CI1198" s="9"/>
      <c r="CJ1198" s="9"/>
      <c r="CK1198" s="9"/>
      <c r="CL1198" s="9"/>
      <c r="CM1198" s="9"/>
      <c r="CN1198" s="9"/>
      <c r="CO1198" s="9"/>
      <c r="CP1198" s="9"/>
      <c r="CQ1198" s="9"/>
      <c r="CR1198" s="9"/>
      <c r="CS1198" s="9"/>
      <c r="CT1198" s="9"/>
      <c r="CU1198" s="9"/>
      <c r="CV1198" s="9"/>
      <c r="CW1198" s="9"/>
      <c r="CX1198" s="9"/>
      <c r="CY1198" s="9"/>
    </row>
    <row r="1199" spans="1:103" x14ac:dyDescent="0.2">
      <c r="A1199" s="15"/>
      <c r="B1199" s="25"/>
      <c r="C1199" s="8"/>
      <c r="D1199" s="6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s="9"/>
      <c r="BU1199" s="9"/>
      <c r="BV1199" s="9"/>
      <c r="BW1199" s="9"/>
      <c r="BX1199" s="9"/>
      <c r="BY1199" s="9"/>
      <c r="BZ1199" s="9"/>
      <c r="CA1199" s="9"/>
      <c r="CB1199" s="9"/>
      <c r="CC1199" s="9"/>
      <c r="CD1199" s="9"/>
      <c r="CE1199" s="9"/>
      <c r="CF1199" s="9"/>
      <c r="CG1199" s="9"/>
      <c r="CH1199" s="9"/>
      <c r="CI1199" s="9"/>
      <c r="CJ1199" s="9"/>
      <c r="CK1199" s="9"/>
      <c r="CL1199" s="9"/>
      <c r="CM1199" s="9"/>
      <c r="CN1199" s="9"/>
      <c r="CO1199" s="9"/>
      <c r="CP1199" s="9"/>
      <c r="CQ1199" s="9"/>
      <c r="CR1199" s="9"/>
      <c r="CS1199" s="9"/>
      <c r="CT1199" s="9"/>
      <c r="CU1199" s="9"/>
      <c r="CV1199" s="9"/>
      <c r="CW1199" s="9"/>
      <c r="CX1199" s="9"/>
      <c r="CY1199" s="9"/>
    </row>
    <row r="1200" spans="1:103" x14ac:dyDescent="0.2">
      <c r="A1200" s="15"/>
      <c r="B1200" s="25"/>
      <c r="C1200" s="8"/>
      <c r="D1200" s="6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s="9"/>
      <c r="BU1200" s="9"/>
      <c r="BV1200" s="9"/>
      <c r="BW1200" s="9"/>
      <c r="BX1200" s="9"/>
      <c r="BY1200" s="9"/>
      <c r="BZ1200" s="9"/>
      <c r="CA1200" s="9"/>
      <c r="CB1200" s="9"/>
      <c r="CC1200" s="9"/>
      <c r="CD1200" s="9"/>
      <c r="CE1200" s="9"/>
      <c r="CF1200" s="9"/>
      <c r="CG1200" s="9"/>
      <c r="CH1200" s="9"/>
      <c r="CI1200" s="9"/>
      <c r="CJ1200" s="9"/>
      <c r="CK1200" s="9"/>
      <c r="CL1200" s="9"/>
      <c r="CM1200" s="9"/>
      <c r="CN1200" s="9"/>
      <c r="CO1200" s="9"/>
      <c r="CP1200" s="9"/>
      <c r="CQ1200" s="9"/>
      <c r="CR1200" s="9"/>
      <c r="CS1200" s="9"/>
      <c r="CT1200" s="9"/>
      <c r="CU1200" s="9"/>
      <c r="CV1200" s="9"/>
      <c r="CW1200" s="9"/>
      <c r="CX1200" s="9"/>
      <c r="CY1200" s="9"/>
    </row>
    <row r="1201" spans="1:103" x14ac:dyDescent="0.2">
      <c r="A1201" s="15"/>
      <c r="B1201" s="25"/>
      <c r="C1201" s="8"/>
      <c r="D1201" s="6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s="9"/>
      <c r="BU1201" s="9"/>
      <c r="BV1201" s="9"/>
      <c r="BW1201" s="9"/>
      <c r="BX1201" s="9"/>
      <c r="BY1201" s="9"/>
      <c r="BZ1201" s="9"/>
      <c r="CA1201" s="9"/>
      <c r="CB1201" s="9"/>
      <c r="CC1201" s="9"/>
      <c r="CD1201" s="9"/>
      <c r="CE1201" s="9"/>
      <c r="CF1201" s="9"/>
      <c r="CG1201" s="9"/>
      <c r="CH1201" s="9"/>
      <c r="CI1201" s="9"/>
      <c r="CJ1201" s="9"/>
      <c r="CK1201" s="9"/>
      <c r="CL1201" s="9"/>
      <c r="CM1201" s="9"/>
      <c r="CN1201" s="9"/>
      <c r="CO1201" s="9"/>
      <c r="CP1201" s="9"/>
      <c r="CQ1201" s="9"/>
      <c r="CR1201" s="9"/>
      <c r="CS1201" s="9"/>
      <c r="CT1201" s="9"/>
      <c r="CU1201" s="9"/>
      <c r="CV1201" s="9"/>
      <c r="CW1201" s="9"/>
      <c r="CX1201" s="9"/>
      <c r="CY1201" s="9"/>
    </row>
    <row r="1202" spans="1:103" x14ac:dyDescent="0.2">
      <c r="A1202" s="15"/>
      <c r="B1202" s="25"/>
      <c r="C1202" s="8"/>
      <c r="D1202" s="6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s="9"/>
      <c r="BU1202" s="9"/>
      <c r="BV1202" s="9"/>
      <c r="BW1202" s="9"/>
      <c r="BX1202" s="9"/>
      <c r="BY1202" s="9"/>
      <c r="BZ1202" s="9"/>
      <c r="CA1202" s="9"/>
      <c r="CB1202" s="9"/>
      <c r="CC1202" s="9"/>
      <c r="CD1202" s="9"/>
      <c r="CE1202" s="9"/>
      <c r="CF1202" s="9"/>
      <c r="CG1202" s="9"/>
      <c r="CH1202" s="9"/>
      <c r="CI1202" s="9"/>
      <c r="CJ1202" s="9"/>
      <c r="CK1202" s="9"/>
      <c r="CL1202" s="9"/>
      <c r="CM1202" s="9"/>
      <c r="CN1202" s="9"/>
      <c r="CO1202" s="9"/>
      <c r="CP1202" s="9"/>
      <c r="CQ1202" s="9"/>
      <c r="CR1202" s="9"/>
      <c r="CS1202" s="9"/>
      <c r="CT1202" s="9"/>
      <c r="CU1202" s="9"/>
      <c r="CV1202" s="9"/>
      <c r="CW1202" s="9"/>
      <c r="CX1202" s="9"/>
      <c r="CY1202" s="9"/>
    </row>
    <row r="1203" spans="1:103" x14ac:dyDescent="0.2">
      <c r="A1203" s="15"/>
      <c r="B1203" s="25"/>
      <c r="C1203" s="8"/>
      <c r="D1203" s="6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s="9"/>
      <c r="BU1203" s="9"/>
      <c r="BV1203" s="9"/>
      <c r="BW1203" s="9"/>
      <c r="BX1203" s="9"/>
      <c r="BY1203" s="9"/>
      <c r="BZ1203" s="9"/>
      <c r="CA1203" s="9"/>
      <c r="CB1203" s="9"/>
      <c r="CC1203" s="9"/>
      <c r="CD1203" s="9"/>
      <c r="CE1203" s="9"/>
      <c r="CF1203" s="9"/>
      <c r="CG1203" s="9"/>
      <c r="CH1203" s="9"/>
      <c r="CI1203" s="9"/>
      <c r="CJ1203" s="9"/>
      <c r="CK1203" s="9"/>
      <c r="CL1203" s="9"/>
      <c r="CM1203" s="9"/>
      <c r="CN1203" s="9"/>
      <c r="CO1203" s="9"/>
      <c r="CP1203" s="9"/>
      <c r="CQ1203" s="9"/>
      <c r="CR1203" s="9"/>
      <c r="CS1203" s="9"/>
      <c r="CT1203" s="9"/>
      <c r="CU1203" s="9"/>
      <c r="CV1203" s="9"/>
      <c r="CW1203" s="9"/>
      <c r="CX1203" s="9"/>
      <c r="CY1203" s="9"/>
    </row>
    <row r="1204" spans="1:103" x14ac:dyDescent="0.2">
      <c r="A1204" s="15"/>
      <c r="B1204" s="25"/>
      <c r="C1204" s="8"/>
      <c r="D1204" s="6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s="9"/>
      <c r="BU1204" s="9"/>
      <c r="BV1204" s="9"/>
      <c r="BW1204" s="9"/>
      <c r="BX1204" s="9"/>
      <c r="BY1204" s="9"/>
      <c r="BZ1204" s="9"/>
      <c r="CA1204" s="9"/>
      <c r="CB1204" s="9"/>
      <c r="CC1204" s="9"/>
      <c r="CD1204" s="9"/>
      <c r="CE1204" s="9"/>
      <c r="CF1204" s="9"/>
      <c r="CG1204" s="9"/>
      <c r="CH1204" s="9"/>
      <c r="CI1204" s="9"/>
      <c r="CJ1204" s="9"/>
      <c r="CK1204" s="9"/>
      <c r="CL1204" s="9"/>
      <c r="CM1204" s="9"/>
      <c r="CN1204" s="9"/>
      <c r="CO1204" s="9"/>
      <c r="CP1204" s="9"/>
      <c r="CQ1204" s="9"/>
      <c r="CR1204" s="9"/>
      <c r="CS1204" s="9"/>
      <c r="CT1204" s="9"/>
      <c r="CU1204" s="9"/>
      <c r="CV1204" s="9"/>
      <c r="CW1204" s="9"/>
      <c r="CX1204" s="9"/>
      <c r="CY1204" s="9"/>
    </row>
    <row r="1205" spans="1:103" x14ac:dyDescent="0.2">
      <c r="A1205" s="15"/>
      <c r="B1205" s="25"/>
      <c r="C1205" s="8"/>
      <c r="D1205" s="6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s="9"/>
      <c r="BU1205" s="9"/>
      <c r="BV1205" s="9"/>
      <c r="BW1205" s="9"/>
      <c r="BX1205" s="9"/>
      <c r="BY1205" s="9"/>
      <c r="BZ1205" s="9"/>
      <c r="CA1205" s="9"/>
      <c r="CB1205" s="9"/>
      <c r="CC1205" s="9"/>
      <c r="CD1205" s="9"/>
      <c r="CE1205" s="9"/>
      <c r="CF1205" s="9"/>
      <c r="CG1205" s="9"/>
      <c r="CH1205" s="9"/>
      <c r="CI1205" s="9"/>
      <c r="CJ1205" s="9"/>
      <c r="CK1205" s="9"/>
      <c r="CL1205" s="9"/>
      <c r="CM1205" s="9"/>
      <c r="CN1205" s="9"/>
      <c r="CO1205" s="9"/>
      <c r="CP1205" s="9"/>
      <c r="CQ1205" s="9"/>
      <c r="CR1205" s="9"/>
      <c r="CS1205" s="9"/>
      <c r="CT1205" s="9"/>
      <c r="CU1205" s="9"/>
      <c r="CV1205" s="9"/>
      <c r="CW1205" s="9"/>
      <c r="CX1205" s="9"/>
      <c r="CY1205" s="9"/>
    </row>
    <row r="1206" spans="1:103" x14ac:dyDescent="0.2">
      <c r="A1206" s="15"/>
      <c r="B1206" s="25"/>
      <c r="C1206" s="8"/>
      <c r="D1206" s="6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s="9"/>
      <c r="BU1206" s="9"/>
      <c r="BV1206" s="9"/>
      <c r="BW1206" s="9"/>
      <c r="BX1206" s="9"/>
      <c r="BY1206" s="9"/>
      <c r="BZ1206" s="9"/>
      <c r="CA1206" s="9"/>
      <c r="CB1206" s="9"/>
      <c r="CC1206" s="9"/>
      <c r="CD1206" s="9"/>
      <c r="CE1206" s="9"/>
      <c r="CF1206" s="9"/>
      <c r="CG1206" s="9"/>
      <c r="CH1206" s="9"/>
      <c r="CI1206" s="9"/>
      <c r="CJ1206" s="9"/>
      <c r="CK1206" s="9"/>
      <c r="CL1206" s="9"/>
      <c r="CM1206" s="9"/>
      <c r="CN1206" s="9"/>
      <c r="CO1206" s="9"/>
      <c r="CP1206" s="9"/>
      <c r="CQ1206" s="9"/>
      <c r="CR1206" s="9"/>
      <c r="CS1206" s="9"/>
      <c r="CT1206" s="9"/>
      <c r="CU1206" s="9"/>
      <c r="CV1206" s="9"/>
      <c r="CW1206" s="9"/>
      <c r="CX1206" s="9"/>
      <c r="CY1206" s="9"/>
    </row>
    <row r="1207" spans="1:103" x14ac:dyDescent="0.2">
      <c r="A1207" s="15"/>
      <c r="B1207" s="25"/>
      <c r="C1207" s="8"/>
      <c r="D1207" s="6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s="9"/>
      <c r="BU1207" s="9"/>
      <c r="BV1207" s="9"/>
      <c r="BW1207" s="9"/>
      <c r="BX1207" s="9"/>
      <c r="BY1207" s="9"/>
      <c r="BZ1207" s="9"/>
      <c r="CA1207" s="9"/>
      <c r="CB1207" s="9"/>
      <c r="CC1207" s="9"/>
      <c r="CD1207" s="9"/>
      <c r="CE1207" s="9"/>
      <c r="CF1207" s="9"/>
      <c r="CG1207" s="9"/>
      <c r="CH1207" s="9"/>
      <c r="CI1207" s="9"/>
      <c r="CJ1207" s="9"/>
      <c r="CK1207" s="9"/>
      <c r="CL1207" s="9"/>
      <c r="CM1207" s="9"/>
      <c r="CN1207" s="9"/>
      <c r="CO1207" s="9"/>
      <c r="CP1207" s="9"/>
      <c r="CQ1207" s="9"/>
      <c r="CR1207" s="9"/>
      <c r="CS1207" s="9"/>
      <c r="CT1207" s="9"/>
      <c r="CU1207" s="9"/>
      <c r="CV1207" s="9"/>
      <c r="CW1207" s="9"/>
      <c r="CX1207" s="9"/>
      <c r="CY1207" s="9"/>
    </row>
    <row r="1208" spans="1:103" x14ac:dyDescent="0.2">
      <c r="A1208" s="15"/>
      <c r="B1208" s="25"/>
      <c r="C1208" s="8"/>
      <c r="D1208" s="6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s="9"/>
      <c r="BU1208" s="9"/>
      <c r="BV1208" s="9"/>
      <c r="BW1208" s="9"/>
      <c r="BX1208" s="9"/>
      <c r="BY1208" s="9"/>
      <c r="BZ1208" s="9"/>
      <c r="CA1208" s="9"/>
      <c r="CB1208" s="9"/>
      <c r="CC1208" s="9"/>
      <c r="CD1208" s="9"/>
      <c r="CE1208" s="9"/>
      <c r="CF1208" s="9"/>
      <c r="CG1208" s="9"/>
      <c r="CH1208" s="9"/>
      <c r="CI1208" s="9"/>
      <c r="CJ1208" s="9"/>
      <c r="CK1208" s="9"/>
      <c r="CL1208" s="9"/>
      <c r="CM1208" s="9"/>
      <c r="CN1208" s="9"/>
      <c r="CO1208" s="9"/>
      <c r="CP1208" s="9"/>
      <c r="CQ1208" s="9"/>
      <c r="CR1208" s="9"/>
      <c r="CS1208" s="9"/>
      <c r="CT1208" s="9"/>
      <c r="CU1208" s="9"/>
      <c r="CV1208" s="9"/>
      <c r="CW1208" s="9"/>
      <c r="CX1208" s="9"/>
      <c r="CY1208" s="9"/>
    </row>
    <row r="1209" spans="1:103" x14ac:dyDescent="0.2">
      <c r="A1209" s="15"/>
      <c r="B1209" s="25"/>
      <c r="C1209" s="8"/>
      <c r="D1209" s="6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s="9"/>
      <c r="BU1209" s="9"/>
      <c r="BV1209" s="9"/>
      <c r="BW1209" s="9"/>
      <c r="BX1209" s="9"/>
      <c r="BY1209" s="9"/>
      <c r="BZ1209" s="9"/>
      <c r="CA1209" s="9"/>
      <c r="CB1209" s="9"/>
      <c r="CC1209" s="9"/>
      <c r="CD1209" s="9"/>
      <c r="CE1209" s="9"/>
      <c r="CF1209" s="9"/>
      <c r="CG1209" s="9"/>
      <c r="CH1209" s="9"/>
      <c r="CI1209" s="9"/>
      <c r="CJ1209" s="9"/>
      <c r="CK1209" s="9"/>
      <c r="CL1209" s="9"/>
      <c r="CM1209" s="9"/>
      <c r="CN1209" s="9"/>
      <c r="CO1209" s="9"/>
      <c r="CP1209" s="9"/>
      <c r="CQ1209" s="9"/>
      <c r="CR1209" s="9"/>
      <c r="CS1209" s="9"/>
      <c r="CT1209" s="9"/>
      <c r="CU1209" s="9"/>
      <c r="CV1209" s="9"/>
      <c r="CW1209" s="9"/>
      <c r="CX1209" s="9"/>
      <c r="CY1209" s="9"/>
    </row>
    <row r="1210" spans="1:103" x14ac:dyDescent="0.2">
      <c r="A1210" s="15"/>
      <c r="B1210" s="25"/>
      <c r="C1210" s="8"/>
      <c r="D1210" s="6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s="9"/>
      <c r="BU1210" s="9"/>
      <c r="BV1210" s="9"/>
      <c r="BW1210" s="9"/>
      <c r="BX1210" s="9"/>
      <c r="BY1210" s="9"/>
      <c r="BZ1210" s="9"/>
      <c r="CA1210" s="9"/>
      <c r="CB1210" s="9"/>
      <c r="CC1210" s="9"/>
      <c r="CD1210" s="9"/>
      <c r="CE1210" s="9"/>
      <c r="CF1210" s="9"/>
      <c r="CG1210" s="9"/>
      <c r="CH1210" s="9"/>
      <c r="CI1210" s="9"/>
      <c r="CJ1210" s="9"/>
      <c r="CK1210" s="9"/>
      <c r="CL1210" s="9"/>
      <c r="CM1210" s="9"/>
      <c r="CN1210" s="9"/>
      <c r="CO1210" s="9"/>
      <c r="CP1210" s="9"/>
      <c r="CQ1210" s="9"/>
      <c r="CR1210" s="9"/>
      <c r="CS1210" s="9"/>
      <c r="CT1210" s="9"/>
      <c r="CU1210" s="9"/>
      <c r="CV1210" s="9"/>
      <c r="CW1210" s="9"/>
      <c r="CX1210" s="9"/>
      <c r="CY1210" s="9"/>
    </row>
    <row r="1211" spans="1:103" x14ac:dyDescent="0.2">
      <c r="A1211" s="15"/>
      <c r="B1211" s="25"/>
      <c r="C1211" s="8"/>
      <c r="D1211" s="6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s="9"/>
      <c r="BU1211" s="9"/>
      <c r="BV1211" s="9"/>
      <c r="BW1211" s="9"/>
      <c r="BX1211" s="9"/>
      <c r="BY1211" s="9"/>
      <c r="BZ1211" s="9"/>
      <c r="CA1211" s="9"/>
      <c r="CB1211" s="9"/>
      <c r="CC1211" s="9"/>
      <c r="CD1211" s="9"/>
      <c r="CE1211" s="9"/>
      <c r="CF1211" s="9"/>
      <c r="CG1211" s="9"/>
      <c r="CH1211" s="9"/>
      <c r="CI1211" s="9"/>
      <c r="CJ1211" s="9"/>
      <c r="CK1211" s="9"/>
      <c r="CL1211" s="9"/>
      <c r="CM1211" s="9"/>
      <c r="CN1211" s="9"/>
      <c r="CO1211" s="9"/>
      <c r="CP1211" s="9"/>
      <c r="CQ1211" s="9"/>
      <c r="CR1211" s="9"/>
      <c r="CS1211" s="9"/>
      <c r="CT1211" s="9"/>
      <c r="CU1211" s="9"/>
      <c r="CV1211" s="9"/>
      <c r="CW1211" s="9"/>
      <c r="CX1211" s="9"/>
      <c r="CY1211" s="9"/>
    </row>
    <row r="1212" spans="1:103" x14ac:dyDescent="0.2">
      <c r="A1212" s="15"/>
      <c r="B1212" s="25"/>
      <c r="C1212" s="8"/>
      <c r="D1212" s="6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s="9"/>
      <c r="BU1212" s="9"/>
      <c r="BV1212" s="9"/>
      <c r="BW1212" s="9"/>
      <c r="BX1212" s="9"/>
      <c r="BY1212" s="9"/>
      <c r="BZ1212" s="9"/>
      <c r="CA1212" s="9"/>
      <c r="CB1212" s="9"/>
      <c r="CC1212" s="9"/>
      <c r="CD1212" s="9"/>
      <c r="CE1212" s="9"/>
      <c r="CF1212" s="9"/>
      <c r="CG1212" s="9"/>
      <c r="CH1212" s="9"/>
      <c r="CI1212" s="9"/>
      <c r="CJ1212" s="9"/>
      <c r="CK1212" s="9"/>
      <c r="CL1212" s="9"/>
      <c r="CM1212" s="9"/>
      <c r="CN1212" s="9"/>
      <c r="CO1212" s="9"/>
      <c r="CP1212" s="9"/>
      <c r="CQ1212" s="9"/>
      <c r="CR1212" s="9"/>
      <c r="CS1212" s="9"/>
      <c r="CT1212" s="9"/>
      <c r="CU1212" s="9"/>
      <c r="CV1212" s="9"/>
      <c r="CW1212" s="9"/>
      <c r="CX1212" s="9"/>
      <c r="CY1212" s="9"/>
    </row>
    <row r="1213" spans="1:103" x14ac:dyDescent="0.2">
      <c r="A1213" s="15"/>
      <c r="B1213" s="25"/>
      <c r="C1213" s="8"/>
      <c r="D1213" s="6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s="9"/>
      <c r="BU1213" s="9"/>
      <c r="BV1213" s="9"/>
      <c r="BW1213" s="9"/>
      <c r="BX1213" s="9"/>
      <c r="BY1213" s="9"/>
      <c r="BZ1213" s="9"/>
      <c r="CA1213" s="9"/>
      <c r="CB1213" s="9"/>
      <c r="CC1213" s="9"/>
      <c r="CD1213" s="9"/>
      <c r="CE1213" s="9"/>
      <c r="CF1213" s="9"/>
      <c r="CG1213" s="9"/>
      <c r="CH1213" s="9"/>
      <c r="CI1213" s="9"/>
      <c r="CJ1213" s="9"/>
      <c r="CK1213" s="9"/>
      <c r="CL1213" s="9"/>
      <c r="CM1213" s="9"/>
      <c r="CN1213" s="9"/>
      <c r="CO1213" s="9"/>
      <c r="CP1213" s="9"/>
      <c r="CQ1213" s="9"/>
      <c r="CR1213" s="9"/>
      <c r="CS1213" s="9"/>
      <c r="CT1213" s="9"/>
      <c r="CU1213" s="9"/>
      <c r="CV1213" s="9"/>
      <c r="CW1213" s="9"/>
      <c r="CX1213" s="9"/>
      <c r="CY1213" s="9"/>
    </row>
    <row r="1214" spans="1:103" x14ac:dyDescent="0.2">
      <c r="A1214" s="15"/>
      <c r="B1214" s="25"/>
      <c r="C1214" s="8"/>
      <c r="D1214" s="6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s="9"/>
      <c r="BU1214" s="9"/>
      <c r="BV1214" s="9"/>
      <c r="BW1214" s="9"/>
      <c r="BX1214" s="9"/>
      <c r="BY1214" s="9"/>
      <c r="BZ1214" s="9"/>
      <c r="CA1214" s="9"/>
      <c r="CB1214" s="9"/>
      <c r="CC1214" s="9"/>
      <c r="CD1214" s="9"/>
      <c r="CE1214" s="9"/>
      <c r="CF1214" s="9"/>
      <c r="CG1214" s="9"/>
      <c r="CH1214" s="9"/>
      <c r="CI1214" s="9"/>
      <c r="CJ1214" s="9"/>
      <c r="CK1214" s="9"/>
      <c r="CL1214" s="9"/>
      <c r="CM1214" s="9"/>
      <c r="CN1214" s="9"/>
      <c r="CO1214" s="9"/>
      <c r="CP1214" s="9"/>
      <c r="CQ1214" s="9"/>
      <c r="CR1214" s="9"/>
      <c r="CS1214" s="9"/>
      <c r="CT1214" s="9"/>
      <c r="CU1214" s="9"/>
      <c r="CV1214" s="9"/>
      <c r="CW1214" s="9"/>
      <c r="CX1214" s="9"/>
      <c r="CY1214" s="9"/>
    </row>
    <row r="1215" spans="1:103" x14ac:dyDescent="0.2">
      <c r="A1215" s="15"/>
      <c r="B1215" s="25"/>
      <c r="C1215" s="8"/>
      <c r="D1215" s="6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s="9"/>
      <c r="BU1215" s="9"/>
      <c r="BV1215" s="9"/>
      <c r="BW1215" s="9"/>
      <c r="BX1215" s="9"/>
      <c r="BY1215" s="9"/>
      <c r="BZ1215" s="9"/>
      <c r="CA1215" s="9"/>
      <c r="CB1215" s="9"/>
      <c r="CC1215" s="9"/>
      <c r="CD1215" s="9"/>
      <c r="CE1215" s="9"/>
      <c r="CF1215" s="9"/>
      <c r="CG1215" s="9"/>
      <c r="CH1215" s="9"/>
      <c r="CI1215" s="9"/>
      <c r="CJ1215" s="9"/>
      <c r="CK1215" s="9"/>
      <c r="CL1215" s="9"/>
      <c r="CM1215" s="9"/>
      <c r="CN1215" s="9"/>
      <c r="CO1215" s="9"/>
      <c r="CP1215" s="9"/>
      <c r="CQ1215" s="9"/>
      <c r="CR1215" s="9"/>
      <c r="CS1215" s="9"/>
      <c r="CT1215" s="9"/>
      <c r="CU1215" s="9"/>
      <c r="CV1215" s="9"/>
      <c r="CW1215" s="9"/>
      <c r="CX1215" s="9"/>
      <c r="CY1215" s="9"/>
    </row>
    <row r="1216" spans="1:103" x14ac:dyDescent="0.2">
      <c r="A1216" s="15"/>
      <c r="B1216" s="25"/>
      <c r="C1216" s="8"/>
      <c r="D1216" s="6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s="9"/>
      <c r="BU1216" s="9"/>
      <c r="BV1216" s="9"/>
      <c r="BW1216" s="9"/>
      <c r="BX1216" s="9"/>
      <c r="BY1216" s="9"/>
      <c r="BZ1216" s="9"/>
      <c r="CA1216" s="9"/>
      <c r="CB1216" s="9"/>
      <c r="CC1216" s="9"/>
      <c r="CD1216" s="9"/>
      <c r="CE1216" s="9"/>
      <c r="CF1216" s="9"/>
      <c r="CG1216" s="9"/>
      <c r="CH1216" s="9"/>
      <c r="CI1216" s="9"/>
      <c r="CJ1216" s="9"/>
      <c r="CK1216" s="9"/>
      <c r="CL1216" s="9"/>
      <c r="CM1216" s="9"/>
      <c r="CN1216" s="9"/>
      <c r="CO1216" s="9"/>
      <c r="CP1216" s="9"/>
      <c r="CQ1216" s="9"/>
      <c r="CR1216" s="9"/>
      <c r="CS1216" s="9"/>
      <c r="CT1216" s="9"/>
      <c r="CU1216" s="9"/>
      <c r="CV1216" s="9"/>
      <c r="CW1216" s="9"/>
      <c r="CX1216" s="9"/>
      <c r="CY1216" s="9"/>
    </row>
    <row r="1217" spans="1:103" x14ac:dyDescent="0.2">
      <c r="A1217" s="15"/>
      <c r="B1217" s="25"/>
      <c r="C1217" s="8"/>
      <c r="D1217" s="6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s="9"/>
      <c r="BU1217" s="9"/>
      <c r="BV1217" s="9"/>
      <c r="BW1217" s="9"/>
      <c r="BX1217" s="9"/>
      <c r="BY1217" s="9"/>
      <c r="BZ1217" s="9"/>
      <c r="CA1217" s="9"/>
      <c r="CB1217" s="9"/>
      <c r="CC1217" s="9"/>
      <c r="CD1217" s="9"/>
      <c r="CE1217" s="9"/>
      <c r="CF1217" s="9"/>
      <c r="CG1217" s="9"/>
      <c r="CH1217" s="9"/>
      <c r="CI1217" s="9"/>
      <c r="CJ1217" s="9"/>
      <c r="CK1217" s="9"/>
      <c r="CL1217" s="9"/>
      <c r="CM1217" s="9"/>
      <c r="CN1217" s="9"/>
      <c r="CO1217" s="9"/>
      <c r="CP1217" s="9"/>
      <c r="CQ1217" s="9"/>
      <c r="CR1217" s="9"/>
      <c r="CS1217" s="9"/>
      <c r="CT1217" s="9"/>
      <c r="CU1217" s="9"/>
      <c r="CV1217" s="9"/>
      <c r="CW1217" s="9"/>
      <c r="CX1217" s="9"/>
      <c r="CY1217" s="9"/>
    </row>
    <row r="1218" spans="1:103" x14ac:dyDescent="0.2">
      <c r="A1218" s="15"/>
      <c r="B1218" s="25"/>
      <c r="C1218" s="8"/>
      <c r="D1218" s="6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s="9"/>
      <c r="BU1218" s="9"/>
      <c r="BV1218" s="9"/>
      <c r="BW1218" s="9"/>
      <c r="BX1218" s="9"/>
      <c r="BY1218" s="9"/>
      <c r="BZ1218" s="9"/>
      <c r="CA1218" s="9"/>
      <c r="CB1218" s="9"/>
      <c r="CC1218" s="9"/>
      <c r="CD1218" s="9"/>
      <c r="CE1218" s="9"/>
      <c r="CF1218" s="9"/>
      <c r="CG1218" s="9"/>
      <c r="CH1218" s="9"/>
      <c r="CI1218" s="9"/>
      <c r="CJ1218" s="9"/>
      <c r="CK1218" s="9"/>
      <c r="CL1218" s="9"/>
      <c r="CM1218" s="9"/>
      <c r="CN1218" s="9"/>
      <c r="CO1218" s="9"/>
      <c r="CP1218" s="9"/>
      <c r="CQ1218" s="9"/>
      <c r="CR1218" s="9"/>
      <c r="CS1218" s="9"/>
      <c r="CT1218" s="9"/>
      <c r="CU1218" s="9"/>
      <c r="CV1218" s="9"/>
      <c r="CW1218" s="9"/>
      <c r="CX1218" s="9"/>
      <c r="CY1218" s="9"/>
    </row>
    <row r="1219" spans="1:103" x14ac:dyDescent="0.2">
      <c r="A1219" s="15"/>
      <c r="B1219" s="25"/>
      <c r="C1219" s="8"/>
      <c r="D1219" s="6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s="9"/>
      <c r="BU1219" s="9"/>
      <c r="BV1219" s="9"/>
      <c r="BW1219" s="9"/>
      <c r="BX1219" s="9"/>
      <c r="BY1219" s="9"/>
      <c r="BZ1219" s="9"/>
      <c r="CA1219" s="9"/>
      <c r="CB1219" s="9"/>
      <c r="CC1219" s="9"/>
      <c r="CD1219" s="9"/>
      <c r="CE1219" s="9"/>
      <c r="CF1219" s="9"/>
      <c r="CG1219" s="9"/>
      <c r="CH1219" s="9"/>
      <c r="CI1219" s="9"/>
      <c r="CJ1219" s="9"/>
      <c r="CK1219" s="9"/>
      <c r="CL1219" s="9"/>
      <c r="CM1219" s="9"/>
      <c r="CN1219" s="9"/>
      <c r="CO1219" s="9"/>
      <c r="CP1219" s="9"/>
      <c r="CQ1219" s="9"/>
      <c r="CR1219" s="9"/>
      <c r="CS1219" s="9"/>
      <c r="CT1219" s="9"/>
      <c r="CU1219" s="9"/>
      <c r="CV1219" s="9"/>
      <c r="CW1219" s="9"/>
      <c r="CX1219" s="9"/>
      <c r="CY1219" s="9"/>
    </row>
    <row r="1220" spans="1:103" x14ac:dyDescent="0.2">
      <c r="A1220" s="15"/>
      <c r="B1220" s="25"/>
      <c r="C1220" s="8"/>
      <c r="D1220" s="6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s="9"/>
      <c r="BU1220" s="9"/>
      <c r="BV1220" s="9"/>
      <c r="BW1220" s="9"/>
      <c r="BX1220" s="9"/>
      <c r="BY1220" s="9"/>
      <c r="BZ1220" s="9"/>
      <c r="CA1220" s="9"/>
      <c r="CB1220" s="9"/>
      <c r="CC1220" s="9"/>
      <c r="CD1220" s="9"/>
      <c r="CE1220" s="9"/>
      <c r="CF1220" s="9"/>
      <c r="CG1220" s="9"/>
      <c r="CH1220" s="9"/>
      <c r="CI1220" s="9"/>
      <c r="CJ1220" s="9"/>
      <c r="CK1220" s="9"/>
      <c r="CL1220" s="9"/>
      <c r="CM1220" s="9"/>
      <c r="CN1220" s="9"/>
      <c r="CO1220" s="9"/>
      <c r="CP1220" s="9"/>
      <c r="CQ1220" s="9"/>
      <c r="CR1220" s="9"/>
      <c r="CS1220" s="9"/>
      <c r="CT1220" s="9"/>
      <c r="CU1220" s="9"/>
      <c r="CV1220" s="9"/>
      <c r="CW1220" s="9"/>
      <c r="CX1220" s="9"/>
      <c r="CY1220" s="9"/>
    </row>
    <row r="1221" spans="1:103" x14ac:dyDescent="0.2">
      <c r="A1221" s="15"/>
      <c r="B1221" s="25"/>
      <c r="C1221" s="8"/>
      <c r="D1221" s="6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s="9"/>
      <c r="BU1221" s="9"/>
      <c r="BV1221" s="9"/>
      <c r="BW1221" s="9"/>
      <c r="BX1221" s="9"/>
      <c r="BY1221" s="9"/>
      <c r="BZ1221" s="9"/>
      <c r="CA1221" s="9"/>
      <c r="CB1221" s="9"/>
      <c r="CC1221" s="9"/>
      <c r="CD1221" s="9"/>
      <c r="CE1221" s="9"/>
      <c r="CF1221" s="9"/>
      <c r="CG1221" s="9"/>
      <c r="CH1221" s="9"/>
      <c r="CI1221" s="9"/>
      <c r="CJ1221" s="9"/>
      <c r="CK1221" s="9"/>
      <c r="CL1221" s="9"/>
      <c r="CM1221" s="9"/>
      <c r="CN1221" s="9"/>
      <c r="CO1221" s="9"/>
      <c r="CP1221" s="9"/>
      <c r="CQ1221" s="9"/>
      <c r="CR1221" s="9"/>
      <c r="CS1221" s="9"/>
      <c r="CT1221" s="9"/>
      <c r="CU1221" s="9"/>
      <c r="CV1221" s="9"/>
      <c r="CW1221" s="9"/>
      <c r="CX1221" s="9"/>
      <c r="CY1221" s="9"/>
    </row>
    <row r="1222" spans="1:103" x14ac:dyDescent="0.2">
      <c r="A1222" s="15"/>
      <c r="B1222" s="25"/>
      <c r="C1222" s="8"/>
      <c r="D1222" s="6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s="9"/>
      <c r="BU1222" s="9"/>
      <c r="BV1222" s="9"/>
      <c r="BW1222" s="9"/>
      <c r="BX1222" s="9"/>
      <c r="BY1222" s="9"/>
      <c r="BZ1222" s="9"/>
      <c r="CA1222" s="9"/>
      <c r="CB1222" s="9"/>
      <c r="CC1222" s="9"/>
      <c r="CD1222" s="9"/>
      <c r="CE1222" s="9"/>
      <c r="CF1222" s="9"/>
      <c r="CG1222" s="9"/>
      <c r="CH1222" s="9"/>
      <c r="CI1222" s="9"/>
      <c r="CJ1222" s="9"/>
      <c r="CK1222" s="9"/>
      <c r="CL1222" s="9"/>
      <c r="CM1222" s="9"/>
      <c r="CN1222" s="9"/>
      <c r="CO1222" s="9"/>
      <c r="CP1222" s="9"/>
      <c r="CQ1222" s="9"/>
      <c r="CR1222" s="9"/>
      <c r="CS1222" s="9"/>
      <c r="CT1222" s="9"/>
      <c r="CU1222" s="9"/>
      <c r="CV1222" s="9"/>
      <c r="CW1222" s="9"/>
      <c r="CX1222" s="9"/>
      <c r="CY1222" s="9"/>
    </row>
    <row r="1223" spans="1:103" x14ac:dyDescent="0.2">
      <c r="A1223" s="15"/>
      <c r="B1223" s="25"/>
      <c r="C1223" s="8"/>
      <c r="D1223" s="6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s="9"/>
      <c r="BU1223" s="9"/>
      <c r="BV1223" s="9"/>
      <c r="BW1223" s="9"/>
      <c r="BX1223" s="9"/>
      <c r="BY1223" s="9"/>
      <c r="BZ1223" s="9"/>
      <c r="CA1223" s="9"/>
      <c r="CB1223" s="9"/>
      <c r="CC1223" s="9"/>
      <c r="CD1223" s="9"/>
      <c r="CE1223" s="9"/>
      <c r="CF1223" s="9"/>
      <c r="CG1223" s="9"/>
      <c r="CH1223" s="9"/>
      <c r="CI1223" s="9"/>
      <c r="CJ1223" s="9"/>
      <c r="CK1223" s="9"/>
      <c r="CL1223" s="9"/>
      <c r="CM1223" s="9"/>
      <c r="CN1223" s="9"/>
      <c r="CO1223" s="9"/>
      <c r="CP1223" s="9"/>
      <c r="CQ1223" s="9"/>
      <c r="CR1223" s="9"/>
      <c r="CS1223" s="9"/>
      <c r="CT1223" s="9"/>
      <c r="CU1223" s="9"/>
      <c r="CV1223" s="9"/>
      <c r="CW1223" s="9"/>
      <c r="CX1223" s="9"/>
      <c r="CY1223" s="9"/>
    </row>
    <row r="1224" spans="1:103" x14ac:dyDescent="0.2">
      <c r="A1224" s="15"/>
      <c r="B1224" s="25"/>
      <c r="C1224" s="8"/>
      <c r="D1224" s="6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s="9"/>
      <c r="BU1224" s="9"/>
      <c r="BV1224" s="9"/>
      <c r="BW1224" s="9"/>
      <c r="BX1224" s="9"/>
      <c r="BY1224" s="9"/>
      <c r="BZ1224" s="9"/>
      <c r="CA1224" s="9"/>
      <c r="CB1224" s="9"/>
      <c r="CC1224" s="9"/>
      <c r="CD1224" s="9"/>
      <c r="CE1224" s="9"/>
      <c r="CF1224" s="9"/>
      <c r="CG1224" s="9"/>
      <c r="CH1224" s="9"/>
      <c r="CI1224" s="9"/>
      <c r="CJ1224" s="9"/>
      <c r="CK1224" s="9"/>
      <c r="CL1224" s="9"/>
      <c r="CM1224" s="9"/>
      <c r="CN1224" s="9"/>
      <c r="CO1224" s="9"/>
      <c r="CP1224" s="9"/>
      <c r="CQ1224" s="9"/>
      <c r="CR1224" s="9"/>
      <c r="CS1224" s="9"/>
      <c r="CT1224" s="9"/>
      <c r="CU1224" s="9"/>
      <c r="CV1224" s="9"/>
      <c r="CW1224" s="9"/>
      <c r="CX1224" s="9"/>
      <c r="CY1224" s="9"/>
    </row>
    <row r="1225" spans="1:103" x14ac:dyDescent="0.2">
      <c r="A1225" s="15"/>
      <c r="B1225" s="25"/>
      <c r="C1225" s="8"/>
      <c r="D1225" s="6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s="9"/>
      <c r="BU1225" s="9"/>
      <c r="BV1225" s="9"/>
      <c r="BW1225" s="9"/>
      <c r="BX1225" s="9"/>
      <c r="BY1225" s="9"/>
      <c r="BZ1225" s="9"/>
      <c r="CA1225" s="9"/>
      <c r="CB1225" s="9"/>
      <c r="CC1225" s="9"/>
      <c r="CD1225" s="9"/>
      <c r="CE1225" s="9"/>
      <c r="CF1225" s="9"/>
      <c r="CG1225" s="9"/>
      <c r="CH1225" s="9"/>
      <c r="CI1225" s="9"/>
      <c r="CJ1225" s="9"/>
      <c r="CK1225" s="9"/>
      <c r="CL1225" s="9"/>
      <c r="CM1225" s="9"/>
      <c r="CN1225" s="9"/>
      <c r="CO1225" s="9"/>
      <c r="CP1225" s="9"/>
      <c r="CQ1225" s="9"/>
      <c r="CR1225" s="9"/>
      <c r="CS1225" s="9"/>
      <c r="CT1225" s="9"/>
      <c r="CU1225" s="9"/>
      <c r="CV1225" s="9"/>
      <c r="CW1225" s="9"/>
      <c r="CX1225" s="9"/>
      <c r="CY1225" s="9"/>
    </row>
    <row r="1226" spans="1:103" x14ac:dyDescent="0.2">
      <c r="A1226" s="15"/>
      <c r="B1226" s="25"/>
      <c r="C1226" s="8"/>
      <c r="D1226" s="6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s="9"/>
      <c r="BU1226" s="9"/>
      <c r="BV1226" s="9"/>
      <c r="BW1226" s="9"/>
      <c r="BX1226" s="9"/>
      <c r="BY1226" s="9"/>
      <c r="BZ1226" s="9"/>
      <c r="CA1226" s="9"/>
      <c r="CB1226" s="9"/>
      <c r="CC1226" s="9"/>
      <c r="CD1226" s="9"/>
      <c r="CE1226" s="9"/>
      <c r="CF1226" s="9"/>
      <c r="CG1226" s="9"/>
      <c r="CH1226" s="9"/>
      <c r="CI1226" s="9"/>
      <c r="CJ1226" s="9"/>
      <c r="CK1226" s="9"/>
      <c r="CL1226" s="9"/>
      <c r="CM1226" s="9"/>
      <c r="CN1226" s="9"/>
      <c r="CO1226" s="9"/>
      <c r="CP1226" s="9"/>
      <c r="CQ1226" s="9"/>
      <c r="CR1226" s="9"/>
      <c r="CS1226" s="9"/>
      <c r="CT1226" s="9"/>
      <c r="CU1226" s="9"/>
      <c r="CV1226" s="9"/>
      <c r="CW1226" s="9"/>
      <c r="CX1226" s="9"/>
      <c r="CY1226" s="9"/>
    </row>
    <row r="1227" spans="1:103" x14ac:dyDescent="0.2">
      <c r="A1227" s="15"/>
      <c r="B1227" s="25"/>
      <c r="C1227" s="8"/>
      <c r="D1227" s="6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s="9"/>
      <c r="BU1227" s="9"/>
      <c r="BV1227" s="9"/>
      <c r="BW1227" s="9"/>
      <c r="BX1227" s="9"/>
      <c r="BY1227" s="9"/>
      <c r="BZ1227" s="9"/>
      <c r="CA1227" s="9"/>
      <c r="CB1227" s="9"/>
      <c r="CC1227" s="9"/>
      <c r="CD1227" s="9"/>
      <c r="CE1227" s="9"/>
      <c r="CF1227" s="9"/>
      <c r="CG1227" s="9"/>
      <c r="CH1227" s="9"/>
      <c r="CI1227" s="9"/>
      <c r="CJ1227" s="9"/>
      <c r="CK1227" s="9"/>
      <c r="CL1227" s="9"/>
      <c r="CM1227" s="9"/>
      <c r="CN1227" s="9"/>
      <c r="CO1227" s="9"/>
      <c r="CP1227" s="9"/>
      <c r="CQ1227" s="9"/>
      <c r="CR1227" s="9"/>
      <c r="CS1227" s="9"/>
      <c r="CT1227" s="9"/>
      <c r="CU1227" s="9"/>
      <c r="CV1227" s="9"/>
      <c r="CW1227" s="9"/>
      <c r="CX1227" s="9"/>
      <c r="CY1227" s="9"/>
    </row>
    <row r="1228" spans="1:103" x14ac:dyDescent="0.2">
      <c r="A1228" s="15"/>
      <c r="B1228" s="25"/>
      <c r="C1228" s="8"/>
      <c r="D1228" s="6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s="9"/>
      <c r="BU1228" s="9"/>
      <c r="BV1228" s="9"/>
      <c r="BW1228" s="9"/>
      <c r="BX1228" s="9"/>
      <c r="BY1228" s="9"/>
      <c r="BZ1228" s="9"/>
      <c r="CA1228" s="9"/>
      <c r="CB1228" s="9"/>
      <c r="CC1228" s="9"/>
      <c r="CD1228" s="9"/>
      <c r="CE1228" s="9"/>
      <c r="CF1228" s="9"/>
      <c r="CG1228" s="9"/>
      <c r="CH1228" s="9"/>
      <c r="CI1228" s="9"/>
      <c r="CJ1228" s="9"/>
      <c r="CK1228" s="9"/>
      <c r="CL1228" s="9"/>
      <c r="CM1228" s="9"/>
      <c r="CN1228" s="9"/>
      <c r="CO1228" s="9"/>
      <c r="CP1228" s="9"/>
      <c r="CQ1228" s="9"/>
      <c r="CR1228" s="9"/>
      <c r="CS1228" s="9"/>
      <c r="CT1228" s="9"/>
      <c r="CU1228" s="9"/>
      <c r="CV1228" s="9"/>
      <c r="CW1228" s="9"/>
      <c r="CX1228" s="9"/>
      <c r="CY1228" s="9"/>
    </row>
    <row r="1229" spans="1:103" x14ac:dyDescent="0.2">
      <c r="A1229" s="15"/>
      <c r="B1229" s="25"/>
      <c r="C1229" s="8"/>
      <c r="D1229" s="6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s="9"/>
      <c r="BU1229" s="9"/>
      <c r="BV1229" s="9"/>
      <c r="BW1229" s="9"/>
      <c r="BX1229" s="9"/>
      <c r="BY1229" s="9"/>
      <c r="BZ1229" s="9"/>
      <c r="CA1229" s="9"/>
      <c r="CB1229" s="9"/>
      <c r="CC1229" s="9"/>
      <c r="CD1229" s="9"/>
      <c r="CE1229" s="9"/>
      <c r="CF1229" s="9"/>
      <c r="CG1229" s="9"/>
      <c r="CH1229" s="9"/>
      <c r="CI1229" s="9"/>
      <c r="CJ1229" s="9"/>
      <c r="CK1229" s="9"/>
      <c r="CL1229" s="9"/>
      <c r="CM1229" s="9"/>
      <c r="CN1229" s="9"/>
      <c r="CO1229" s="9"/>
      <c r="CP1229" s="9"/>
      <c r="CQ1229" s="9"/>
      <c r="CR1229" s="9"/>
      <c r="CS1229" s="9"/>
      <c r="CT1229" s="9"/>
      <c r="CU1229" s="9"/>
      <c r="CV1229" s="9"/>
      <c r="CW1229" s="9"/>
      <c r="CX1229" s="9"/>
      <c r="CY1229" s="9"/>
    </row>
    <row r="1230" spans="1:103" x14ac:dyDescent="0.2">
      <c r="A1230" s="15"/>
      <c r="B1230" s="25"/>
      <c r="C1230" s="8"/>
      <c r="D1230" s="6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s="9"/>
      <c r="BU1230" s="9"/>
      <c r="BV1230" s="9"/>
      <c r="BW1230" s="9"/>
      <c r="BX1230" s="9"/>
      <c r="BY1230" s="9"/>
      <c r="BZ1230" s="9"/>
      <c r="CA1230" s="9"/>
      <c r="CB1230" s="9"/>
      <c r="CC1230" s="9"/>
      <c r="CD1230" s="9"/>
      <c r="CE1230" s="9"/>
      <c r="CF1230" s="9"/>
      <c r="CG1230" s="9"/>
      <c r="CH1230" s="9"/>
      <c r="CI1230" s="9"/>
      <c r="CJ1230" s="9"/>
      <c r="CK1230" s="9"/>
      <c r="CL1230" s="9"/>
      <c r="CM1230" s="9"/>
      <c r="CN1230" s="9"/>
      <c r="CO1230" s="9"/>
      <c r="CP1230" s="9"/>
      <c r="CQ1230" s="9"/>
      <c r="CR1230" s="9"/>
      <c r="CS1230" s="9"/>
      <c r="CT1230" s="9"/>
      <c r="CU1230" s="9"/>
      <c r="CV1230" s="9"/>
      <c r="CW1230" s="9"/>
      <c r="CX1230" s="9"/>
      <c r="CY1230" s="9"/>
    </row>
    <row r="1231" spans="1:103" x14ac:dyDescent="0.2">
      <c r="A1231" s="15"/>
      <c r="B1231" s="25"/>
      <c r="C1231" s="8"/>
      <c r="D1231" s="6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s="9"/>
      <c r="BU1231" s="9"/>
      <c r="BV1231" s="9"/>
      <c r="BW1231" s="9"/>
      <c r="BX1231" s="9"/>
      <c r="BY1231" s="9"/>
      <c r="BZ1231" s="9"/>
      <c r="CA1231" s="9"/>
      <c r="CB1231" s="9"/>
      <c r="CC1231" s="9"/>
      <c r="CD1231" s="9"/>
      <c r="CE1231" s="9"/>
      <c r="CF1231" s="9"/>
      <c r="CG1231" s="9"/>
      <c r="CH1231" s="9"/>
      <c r="CI1231" s="9"/>
      <c r="CJ1231" s="9"/>
      <c r="CK1231" s="9"/>
      <c r="CL1231" s="9"/>
      <c r="CM1231" s="9"/>
      <c r="CN1231" s="9"/>
      <c r="CO1231" s="9"/>
      <c r="CP1231" s="9"/>
      <c r="CQ1231" s="9"/>
      <c r="CR1231" s="9"/>
      <c r="CS1231" s="9"/>
      <c r="CT1231" s="9"/>
      <c r="CU1231" s="9"/>
      <c r="CV1231" s="9"/>
      <c r="CW1231" s="9"/>
      <c r="CX1231" s="9"/>
      <c r="CY1231" s="9"/>
    </row>
    <row r="1232" spans="1:103" x14ac:dyDescent="0.2">
      <c r="A1232" s="15"/>
      <c r="B1232" s="25"/>
      <c r="C1232" s="8"/>
      <c r="D1232" s="6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s="9"/>
      <c r="BU1232" s="9"/>
      <c r="BV1232" s="9"/>
      <c r="BW1232" s="9"/>
      <c r="BX1232" s="9"/>
      <c r="BY1232" s="9"/>
      <c r="BZ1232" s="9"/>
      <c r="CA1232" s="9"/>
      <c r="CB1232" s="9"/>
      <c r="CC1232" s="9"/>
      <c r="CD1232" s="9"/>
      <c r="CE1232" s="9"/>
      <c r="CF1232" s="9"/>
      <c r="CG1232" s="9"/>
      <c r="CH1232" s="9"/>
      <c r="CI1232" s="9"/>
      <c r="CJ1232" s="9"/>
      <c r="CK1232" s="9"/>
      <c r="CL1232" s="9"/>
      <c r="CM1232" s="9"/>
      <c r="CN1232" s="9"/>
      <c r="CO1232" s="9"/>
      <c r="CP1232" s="9"/>
      <c r="CQ1232" s="9"/>
      <c r="CR1232" s="9"/>
      <c r="CS1232" s="9"/>
      <c r="CT1232" s="9"/>
      <c r="CU1232" s="9"/>
      <c r="CV1232" s="9"/>
      <c r="CW1232" s="9"/>
      <c r="CX1232" s="9"/>
      <c r="CY1232" s="9"/>
    </row>
    <row r="1233" spans="1:103" x14ac:dyDescent="0.2">
      <c r="A1233" s="15"/>
      <c r="B1233" s="25"/>
      <c r="C1233" s="8"/>
      <c r="D1233" s="6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s="9"/>
      <c r="BU1233" s="9"/>
      <c r="BV1233" s="9"/>
      <c r="BW1233" s="9"/>
      <c r="BX1233" s="9"/>
      <c r="BY1233" s="9"/>
      <c r="BZ1233" s="9"/>
      <c r="CA1233" s="9"/>
      <c r="CB1233" s="9"/>
      <c r="CC1233" s="9"/>
      <c r="CD1233" s="9"/>
      <c r="CE1233" s="9"/>
      <c r="CF1233" s="9"/>
      <c r="CG1233" s="9"/>
      <c r="CH1233" s="9"/>
      <c r="CI1233" s="9"/>
      <c r="CJ1233" s="9"/>
      <c r="CK1233" s="9"/>
      <c r="CL1233" s="9"/>
      <c r="CM1233" s="9"/>
      <c r="CN1233" s="9"/>
      <c r="CO1233" s="9"/>
      <c r="CP1233" s="9"/>
      <c r="CQ1233" s="9"/>
      <c r="CR1233" s="9"/>
      <c r="CS1233" s="9"/>
      <c r="CT1233" s="9"/>
      <c r="CU1233" s="9"/>
      <c r="CV1233" s="9"/>
      <c r="CW1233" s="9"/>
      <c r="CX1233" s="9"/>
      <c r="CY1233" s="9"/>
    </row>
    <row r="1234" spans="1:103" x14ac:dyDescent="0.2">
      <c r="A1234" s="15"/>
      <c r="B1234" s="25"/>
      <c r="C1234" s="8"/>
      <c r="D1234" s="6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s="9"/>
      <c r="BU1234" s="9"/>
      <c r="BV1234" s="9"/>
      <c r="BW1234" s="9"/>
      <c r="BX1234" s="9"/>
      <c r="BY1234" s="9"/>
      <c r="BZ1234" s="9"/>
      <c r="CA1234" s="9"/>
      <c r="CB1234" s="9"/>
      <c r="CC1234" s="9"/>
      <c r="CD1234" s="9"/>
      <c r="CE1234" s="9"/>
      <c r="CF1234" s="9"/>
      <c r="CG1234" s="9"/>
      <c r="CH1234" s="9"/>
      <c r="CI1234" s="9"/>
      <c r="CJ1234" s="9"/>
      <c r="CK1234" s="9"/>
      <c r="CL1234" s="9"/>
      <c r="CM1234" s="9"/>
      <c r="CN1234" s="9"/>
      <c r="CO1234" s="9"/>
      <c r="CP1234" s="9"/>
      <c r="CQ1234" s="9"/>
      <c r="CR1234" s="9"/>
      <c r="CS1234" s="9"/>
      <c r="CT1234" s="9"/>
      <c r="CU1234" s="9"/>
      <c r="CV1234" s="9"/>
      <c r="CW1234" s="9"/>
      <c r="CX1234" s="9"/>
      <c r="CY1234" s="9"/>
    </row>
    <row r="1235" spans="1:103" x14ac:dyDescent="0.2">
      <c r="A1235" s="15"/>
      <c r="B1235" s="25"/>
      <c r="C1235" s="8"/>
      <c r="D1235" s="6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s="9"/>
      <c r="BU1235" s="9"/>
      <c r="BV1235" s="9"/>
      <c r="BW1235" s="9"/>
      <c r="BX1235" s="9"/>
      <c r="BY1235" s="9"/>
      <c r="BZ1235" s="9"/>
      <c r="CA1235" s="9"/>
      <c r="CB1235" s="9"/>
      <c r="CC1235" s="9"/>
      <c r="CD1235" s="9"/>
      <c r="CE1235" s="9"/>
      <c r="CF1235" s="9"/>
      <c r="CG1235" s="9"/>
      <c r="CH1235" s="9"/>
      <c r="CI1235" s="9"/>
      <c r="CJ1235" s="9"/>
      <c r="CK1235" s="9"/>
      <c r="CL1235" s="9"/>
      <c r="CM1235" s="9"/>
      <c r="CN1235" s="9"/>
      <c r="CO1235" s="9"/>
      <c r="CP1235" s="9"/>
      <c r="CQ1235" s="9"/>
      <c r="CR1235" s="9"/>
      <c r="CS1235" s="9"/>
      <c r="CT1235" s="9"/>
      <c r="CU1235" s="9"/>
      <c r="CV1235" s="9"/>
      <c r="CW1235" s="9"/>
      <c r="CX1235" s="9"/>
      <c r="CY1235" s="9"/>
    </row>
    <row r="1236" spans="1:103" x14ac:dyDescent="0.2">
      <c r="A1236" s="15"/>
      <c r="B1236" s="25"/>
      <c r="C1236" s="8"/>
      <c r="D1236" s="6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s="9"/>
      <c r="BU1236" s="9"/>
      <c r="BV1236" s="9"/>
      <c r="BW1236" s="9"/>
      <c r="BX1236" s="9"/>
      <c r="BY1236" s="9"/>
      <c r="BZ1236" s="9"/>
      <c r="CA1236" s="9"/>
      <c r="CB1236" s="9"/>
      <c r="CC1236" s="9"/>
      <c r="CD1236" s="9"/>
      <c r="CE1236" s="9"/>
      <c r="CF1236" s="9"/>
      <c r="CG1236" s="9"/>
      <c r="CH1236" s="9"/>
      <c r="CI1236" s="9"/>
      <c r="CJ1236" s="9"/>
      <c r="CK1236" s="9"/>
      <c r="CL1236" s="9"/>
      <c r="CM1236" s="9"/>
      <c r="CN1236" s="9"/>
      <c r="CO1236" s="9"/>
      <c r="CP1236" s="9"/>
      <c r="CQ1236" s="9"/>
      <c r="CR1236" s="9"/>
      <c r="CS1236" s="9"/>
      <c r="CT1236" s="9"/>
      <c r="CU1236" s="9"/>
      <c r="CV1236" s="9"/>
      <c r="CW1236" s="9"/>
      <c r="CX1236" s="9"/>
      <c r="CY1236" s="9"/>
    </row>
    <row r="1237" spans="1:103" x14ac:dyDescent="0.2">
      <c r="A1237" s="15"/>
      <c r="B1237" s="25"/>
      <c r="C1237" s="8"/>
      <c r="D1237" s="6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s="9"/>
      <c r="BU1237" s="9"/>
      <c r="BV1237" s="9"/>
      <c r="BW1237" s="9"/>
      <c r="BX1237" s="9"/>
      <c r="BY1237" s="9"/>
      <c r="BZ1237" s="9"/>
      <c r="CA1237" s="9"/>
      <c r="CB1237" s="9"/>
      <c r="CC1237" s="9"/>
      <c r="CD1237" s="9"/>
      <c r="CE1237" s="9"/>
      <c r="CF1237" s="9"/>
      <c r="CG1237" s="9"/>
      <c r="CH1237" s="9"/>
      <c r="CI1237" s="9"/>
      <c r="CJ1237" s="9"/>
      <c r="CK1237" s="9"/>
      <c r="CL1237" s="9"/>
      <c r="CM1237" s="9"/>
      <c r="CN1237" s="9"/>
      <c r="CO1237" s="9"/>
      <c r="CP1237" s="9"/>
      <c r="CQ1237" s="9"/>
      <c r="CR1237" s="9"/>
      <c r="CS1237" s="9"/>
      <c r="CT1237" s="9"/>
      <c r="CU1237" s="9"/>
      <c r="CV1237" s="9"/>
      <c r="CW1237" s="9"/>
      <c r="CX1237" s="9"/>
      <c r="CY1237" s="9"/>
    </row>
    <row r="1238" spans="1:103" x14ac:dyDescent="0.2">
      <c r="A1238" s="15"/>
      <c r="B1238" s="25"/>
      <c r="C1238" s="8"/>
      <c r="D1238" s="6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s="9"/>
      <c r="BU1238" s="9"/>
      <c r="BV1238" s="9"/>
      <c r="BW1238" s="9"/>
      <c r="BX1238" s="9"/>
      <c r="BY1238" s="9"/>
      <c r="BZ1238" s="9"/>
      <c r="CA1238" s="9"/>
      <c r="CB1238" s="9"/>
      <c r="CC1238" s="9"/>
      <c r="CD1238" s="9"/>
      <c r="CE1238" s="9"/>
      <c r="CF1238" s="9"/>
      <c r="CG1238" s="9"/>
      <c r="CH1238" s="9"/>
      <c r="CI1238" s="9"/>
      <c r="CJ1238" s="9"/>
      <c r="CK1238" s="9"/>
      <c r="CL1238" s="9"/>
      <c r="CM1238" s="9"/>
      <c r="CN1238" s="9"/>
      <c r="CO1238" s="9"/>
      <c r="CP1238" s="9"/>
      <c r="CQ1238" s="9"/>
      <c r="CR1238" s="9"/>
      <c r="CS1238" s="9"/>
      <c r="CT1238" s="9"/>
      <c r="CU1238" s="9"/>
      <c r="CV1238" s="9"/>
      <c r="CW1238" s="9"/>
      <c r="CX1238" s="9"/>
      <c r="CY1238" s="9"/>
    </row>
    <row r="1239" spans="1:103" x14ac:dyDescent="0.2">
      <c r="A1239" s="15"/>
      <c r="B1239" s="25"/>
      <c r="C1239" s="8"/>
      <c r="D1239" s="6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s="9"/>
      <c r="BU1239" s="9"/>
      <c r="BV1239" s="9"/>
      <c r="BW1239" s="9"/>
      <c r="BX1239" s="9"/>
      <c r="BY1239" s="9"/>
      <c r="BZ1239" s="9"/>
      <c r="CA1239" s="9"/>
      <c r="CB1239" s="9"/>
      <c r="CC1239" s="9"/>
      <c r="CD1239" s="9"/>
      <c r="CE1239" s="9"/>
      <c r="CF1239" s="9"/>
      <c r="CG1239" s="9"/>
      <c r="CH1239" s="9"/>
      <c r="CI1239" s="9"/>
      <c r="CJ1239" s="9"/>
      <c r="CK1239" s="9"/>
      <c r="CL1239" s="9"/>
      <c r="CM1239" s="9"/>
      <c r="CN1239" s="9"/>
      <c r="CO1239" s="9"/>
      <c r="CP1239" s="9"/>
      <c r="CQ1239" s="9"/>
      <c r="CR1239" s="9"/>
      <c r="CS1239" s="9"/>
      <c r="CT1239" s="9"/>
      <c r="CU1239" s="9"/>
      <c r="CV1239" s="9"/>
      <c r="CW1239" s="9"/>
      <c r="CX1239" s="9"/>
      <c r="CY1239" s="9"/>
    </row>
    <row r="1240" spans="1:103" x14ac:dyDescent="0.2">
      <c r="A1240" s="15"/>
      <c r="B1240" s="25"/>
      <c r="C1240" s="8"/>
      <c r="D1240" s="6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s="9"/>
      <c r="BU1240" s="9"/>
      <c r="BV1240" s="9"/>
      <c r="BW1240" s="9"/>
      <c r="BX1240" s="9"/>
      <c r="BY1240" s="9"/>
      <c r="BZ1240" s="9"/>
      <c r="CA1240" s="9"/>
      <c r="CB1240" s="9"/>
      <c r="CC1240" s="9"/>
      <c r="CD1240" s="9"/>
      <c r="CE1240" s="9"/>
      <c r="CF1240" s="9"/>
      <c r="CG1240" s="9"/>
      <c r="CH1240" s="9"/>
      <c r="CI1240" s="9"/>
      <c r="CJ1240" s="9"/>
      <c r="CK1240" s="9"/>
      <c r="CL1240" s="9"/>
      <c r="CM1240" s="9"/>
      <c r="CN1240" s="9"/>
      <c r="CO1240" s="9"/>
      <c r="CP1240" s="9"/>
      <c r="CQ1240" s="9"/>
      <c r="CR1240" s="9"/>
      <c r="CS1240" s="9"/>
      <c r="CT1240" s="9"/>
      <c r="CU1240" s="9"/>
      <c r="CV1240" s="9"/>
      <c r="CW1240" s="9"/>
      <c r="CX1240" s="9"/>
      <c r="CY1240" s="9"/>
    </row>
    <row r="1241" spans="1:103" x14ac:dyDescent="0.2">
      <c r="A1241" s="15"/>
      <c r="B1241" s="25"/>
      <c r="C1241" s="8"/>
      <c r="D1241" s="6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s="9"/>
      <c r="BU1241" s="9"/>
      <c r="BV1241" s="9"/>
      <c r="BW1241" s="9"/>
      <c r="BX1241" s="9"/>
      <c r="BY1241" s="9"/>
      <c r="BZ1241" s="9"/>
      <c r="CA1241" s="9"/>
      <c r="CB1241" s="9"/>
      <c r="CC1241" s="9"/>
      <c r="CD1241" s="9"/>
      <c r="CE1241" s="9"/>
      <c r="CF1241" s="9"/>
      <c r="CG1241" s="9"/>
      <c r="CH1241" s="9"/>
      <c r="CI1241" s="9"/>
      <c r="CJ1241" s="9"/>
      <c r="CK1241" s="9"/>
      <c r="CL1241" s="9"/>
      <c r="CM1241" s="9"/>
      <c r="CN1241" s="9"/>
      <c r="CO1241" s="9"/>
      <c r="CP1241" s="9"/>
      <c r="CQ1241" s="9"/>
      <c r="CR1241" s="9"/>
      <c r="CS1241" s="9"/>
      <c r="CT1241" s="9"/>
      <c r="CU1241" s="9"/>
      <c r="CV1241" s="9"/>
      <c r="CW1241" s="9"/>
      <c r="CX1241" s="9"/>
      <c r="CY1241" s="9"/>
    </row>
    <row r="1242" spans="1:103" x14ac:dyDescent="0.2">
      <c r="A1242" s="15"/>
      <c r="B1242" s="25"/>
      <c r="C1242" s="8"/>
      <c r="D1242" s="6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s="9"/>
      <c r="BU1242" s="9"/>
      <c r="BV1242" s="9"/>
      <c r="BW1242" s="9"/>
      <c r="BX1242" s="9"/>
      <c r="BY1242" s="9"/>
      <c r="BZ1242" s="9"/>
      <c r="CA1242" s="9"/>
      <c r="CB1242" s="9"/>
      <c r="CC1242" s="9"/>
      <c r="CD1242" s="9"/>
      <c r="CE1242" s="9"/>
      <c r="CF1242" s="9"/>
      <c r="CG1242" s="9"/>
      <c r="CH1242" s="9"/>
      <c r="CI1242" s="9"/>
      <c r="CJ1242" s="9"/>
      <c r="CK1242" s="9"/>
      <c r="CL1242" s="9"/>
      <c r="CM1242" s="9"/>
      <c r="CN1242" s="9"/>
      <c r="CO1242" s="9"/>
      <c r="CP1242" s="9"/>
      <c r="CQ1242" s="9"/>
      <c r="CR1242" s="9"/>
      <c r="CS1242" s="9"/>
      <c r="CT1242" s="9"/>
      <c r="CU1242" s="9"/>
      <c r="CV1242" s="9"/>
      <c r="CW1242" s="9"/>
      <c r="CX1242" s="9"/>
      <c r="CY1242" s="9"/>
    </row>
    <row r="1243" spans="1:103" x14ac:dyDescent="0.2">
      <c r="A1243" s="15"/>
      <c r="B1243" s="25"/>
      <c r="C1243" s="8"/>
      <c r="D1243" s="6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s="9"/>
      <c r="BU1243" s="9"/>
      <c r="BV1243" s="9"/>
      <c r="BW1243" s="9"/>
      <c r="BX1243" s="9"/>
      <c r="BY1243" s="9"/>
      <c r="BZ1243" s="9"/>
      <c r="CA1243" s="9"/>
      <c r="CB1243" s="9"/>
      <c r="CC1243" s="9"/>
      <c r="CD1243" s="9"/>
      <c r="CE1243" s="9"/>
      <c r="CF1243" s="9"/>
      <c r="CG1243" s="9"/>
      <c r="CH1243" s="9"/>
      <c r="CI1243" s="9"/>
      <c r="CJ1243" s="9"/>
      <c r="CK1243" s="9"/>
      <c r="CL1243" s="9"/>
      <c r="CM1243" s="9"/>
      <c r="CN1243" s="9"/>
      <c r="CO1243" s="9"/>
      <c r="CP1243" s="9"/>
      <c r="CQ1243" s="9"/>
      <c r="CR1243" s="9"/>
      <c r="CS1243" s="9"/>
      <c r="CT1243" s="9"/>
      <c r="CU1243" s="9"/>
      <c r="CV1243" s="9"/>
      <c r="CW1243" s="9"/>
      <c r="CX1243" s="9"/>
      <c r="CY1243" s="9"/>
    </row>
    <row r="1244" spans="1:103" x14ac:dyDescent="0.2">
      <c r="A1244" s="15"/>
      <c r="B1244" s="25"/>
      <c r="C1244" s="8"/>
      <c r="D1244" s="6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s="9"/>
      <c r="BU1244" s="9"/>
      <c r="BV1244" s="9"/>
      <c r="BW1244" s="9"/>
      <c r="BX1244" s="9"/>
      <c r="BY1244" s="9"/>
      <c r="BZ1244" s="9"/>
      <c r="CA1244" s="9"/>
      <c r="CB1244" s="9"/>
      <c r="CC1244" s="9"/>
      <c r="CD1244" s="9"/>
      <c r="CE1244" s="9"/>
      <c r="CF1244" s="9"/>
      <c r="CG1244" s="9"/>
      <c r="CH1244" s="9"/>
      <c r="CI1244" s="9"/>
      <c r="CJ1244" s="9"/>
      <c r="CK1244" s="9"/>
      <c r="CL1244" s="9"/>
      <c r="CM1244" s="9"/>
      <c r="CN1244" s="9"/>
      <c r="CO1244" s="9"/>
      <c r="CP1244" s="9"/>
      <c r="CQ1244" s="9"/>
      <c r="CR1244" s="9"/>
      <c r="CS1244" s="9"/>
      <c r="CT1244" s="9"/>
      <c r="CU1244" s="9"/>
      <c r="CV1244" s="9"/>
      <c r="CW1244" s="9"/>
      <c r="CX1244" s="9"/>
      <c r="CY1244" s="9"/>
    </row>
    <row r="1245" spans="1:103" x14ac:dyDescent="0.2">
      <c r="C1245" s="1"/>
      <c r="D1245" s="6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s="9"/>
      <c r="BU1245" s="9"/>
      <c r="BV1245" s="9"/>
      <c r="BW1245" s="9"/>
      <c r="BX1245" s="9"/>
      <c r="BY1245" s="9"/>
      <c r="BZ1245" s="9"/>
      <c r="CA1245" s="9"/>
      <c r="CB1245" s="9"/>
      <c r="CC1245" s="9"/>
      <c r="CD1245" s="9"/>
      <c r="CE1245" s="9"/>
      <c r="CF1245" s="9"/>
      <c r="CG1245" s="9"/>
      <c r="CH1245" s="9"/>
      <c r="CI1245" s="9"/>
      <c r="CJ1245" s="9"/>
      <c r="CK1245" s="9"/>
      <c r="CL1245" s="9"/>
      <c r="CM1245" s="9"/>
      <c r="CN1245" s="9"/>
      <c r="CO1245" s="9"/>
      <c r="CP1245" s="9"/>
      <c r="CQ1245" s="9"/>
      <c r="CR1245" s="9"/>
      <c r="CS1245" s="9"/>
      <c r="CT1245" s="9"/>
      <c r="CU1245" s="9"/>
      <c r="CV1245" s="9"/>
      <c r="CW1245" s="9"/>
      <c r="CX1245" s="9"/>
      <c r="CY1245" s="9"/>
    </row>
    <row r="1246" spans="1:103" x14ac:dyDescent="0.2">
      <c r="C1246" s="1"/>
      <c r="D1246" s="6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s="9"/>
      <c r="BU1246" s="9"/>
      <c r="BV1246" s="9"/>
      <c r="BW1246" s="9"/>
      <c r="BX1246" s="9"/>
      <c r="BY1246" s="9"/>
      <c r="BZ1246" s="9"/>
      <c r="CA1246" s="9"/>
      <c r="CB1246" s="9"/>
      <c r="CC1246" s="9"/>
      <c r="CD1246" s="9"/>
      <c r="CE1246" s="9"/>
      <c r="CF1246" s="9"/>
      <c r="CG1246" s="9"/>
      <c r="CH1246" s="9"/>
      <c r="CI1246" s="9"/>
      <c r="CJ1246" s="9"/>
      <c r="CK1246" s="9"/>
      <c r="CL1246" s="9"/>
      <c r="CM1246" s="9"/>
      <c r="CN1246" s="9"/>
      <c r="CO1246" s="9"/>
      <c r="CP1246" s="9"/>
      <c r="CQ1246" s="9"/>
      <c r="CR1246" s="9"/>
      <c r="CS1246" s="9"/>
      <c r="CT1246" s="9"/>
      <c r="CU1246" s="9"/>
      <c r="CV1246" s="9"/>
      <c r="CW1246" s="9"/>
      <c r="CX1246" s="9"/>
      <c r="CY1246" s="9"/>
    </row>
    <row r="1247" spans="1:103" x14ac:dyDescent="0.2">
      <c r="C1247" s="1"/>
      <c r="D1247" s="6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s="9"/>
      <c r="BU1247" s="9"/>
      <c r="BV1247" s="9"/>
      <c r="BW1247" s="9"/>
      <c r="BX1247" s="9"/>
      <c r="BY1247" s="9"/>
      <c r="BZ1247" s="9"/>
      <c r="CA1247" s="9"/>
      <c r="CB1247" s="9"/>
      <c r="CC1247" s="9"/>
      <c r="CD1247" s="9"/>
      <c r="CE1247" s="9"/>
      <c r="CF1247" s="9"/>
      <c r="CG1247" s="9"/>
      <c r="CH1247" s="9"/>
      <c r="CI1247" s="9"/>
      <c r="CJ1247" s="9"/>
      <c r="CK1247" s="9"/>
      <c r="CL1247" s="9"/>
      <c r="CM1247" s="9"/>
      <c r="CN1247" s="9"/>
      <c r="CO1247" s="9"/>
      <c r="CP1247" s="9"/>
      <c r="CQ1247" s="9"/>
      <c r="CR1247" s="9"/>
      <c r="CS1247" s="9"/>
      <c r="CT1247" s="9"/>
      <c r="CU1247" s="9"/>
      <c r="CV1247" s="9"/>
      <c r="CW1247" s="9"/>
      <c r="CX1247" s="9"/>
      <c r="CY1247" s="9"/>
    </row>
    <row r="1248" spans="1:103" x14ac:dyDescent="0.2">
      <c r="C1248" s="1"/>
      <c r="D1248" s="6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s="9"/>
      <c r="BU1248" s="9"/>
      <c r="BV1248" s="9"/>
      <c r="BW1248" s="9"/>
      <c r="BX1248" s="9"/>
      <c r="BY1248" s="9"/>
      <c r="BZ1248" s="9"/>
      <c r="CA1248" s="9"/>
      <c r="CB1248" s="9"/>
      <c r="CC1248" s="9"/>
      <c r="CD1248" s="9"/>
      <c r="CE1248" s="9"/>
      <c r="CF1248" s="9"/>
      <c r="CG1248" s="9"/>
      <c r="CH1248" s="9"/>
      <c r="CI1248" s="9"/>
      <c r="CJ1248" s="9"/>
      <c r="CK1248" s="9"/>
      <c r="CL1248" s="9"/>
      <c r="CM1248" s="9"/>
      <c r="CN1248" s="9"/>
      <c r="CO1248" s="9"/>
      <c r="CP1248" s="9"/>
      <c r="CQ1248" s="9"/>
      <c r="CR1248" s="9"/>
      <c r="CS1248" s="9"/>
      <c r="CT1248" s="9"/>
      <c r="CU1248" s="9"/>
      <c r="CV1248" s="9"/>
      <c r="CW1248" s="9"/>
      <c r="CX1248" s="9"/>
      <c r="CY1248" s="9"/>
    </row>
    <row r="1249" spans="3:103" x14ac:dyDescent="0.2">
      <c r="C1249" s="1"/>
      <c r="D1249" s="6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s="9"/>
      <c r="BU1249" s="9"/>
      <c r="BV1249" s="9"/>
      <c r="BW1249" s="9"/>
      <c r="BX1249" s="9"/>
      <c r="BY1249" s="9"/>
      <c r="BZ1249" s="9"/>
      <c r="CA1249" s="9"/>
      <c r="CB1249" s="9"/>
      <c r="CC1249" s="9"/>
      <c r="CD1249" s="9"/>
      <c r="CE1249" s="9"/>
      <c r="CF1249" s="9"/>
      <c r="CG1249" s="9"/>
      <c r="CH1249" s="9"/>
      <c r="CI1249" s="9"/>
      <c r="CJ1249" s="9"/>
      <c r="CK1249" s="9"/>
      <c r="CL1249" s="9"/>
      <c r="CM1249" s="9"/>
      <c r="CN1249" s="9"/>
      <c r="CO1249" s="9"/>
      <c r="CP1249" s="9"/>
      <c r="CQ1249" s="9"/>
      <c r="CR1249" s="9"/>
      <c r="CS1249" s="9"/>
      <c r="CT1249" s="9"/>
      <c r="CU1249" s="9"/>
      <c r="CV1249" s="9"/>
      <c r="CW1249" s="9"/>
      <c r="CX1249" s="9"/>
      <c r="CY1249" s="9"/>
    </row>
    <row r="1250" spans="3:103" x14ac:dyDescent="0.2">
      <c r="C1250" s="1"/>
      <c r="D1250" s="6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s="9"/>
      <c r="BU1250" s="9"/>
      <c r="BV1250" s="9"/>
      <c r="BW1250" s="9"/>
      <c r="BX1250" s="9"/>
      <c r="BY1250" s="9"/>
      <c r="BZ1250" s="9"/>
      <c r="CA1250" s="9"/>
      <c r="CB1250" s="9"/>
      <c r="CC1250" s="9"/>
      <c r="CD1250" s="9"/>
      <c r="CE1250" s="9"/>
      <c r="CF1250" s="9"/>
      <c r="CG1250" s="9"/>
      <c r="CH1250" s="9"/>
      <c r="CI1250" s="9"/>
      <c r="CJ1250" s="9"/>
      <c r="CK1250" s="9"/>
      <c r="CL1250" s="9"/>
      <c r="CM1250" s="9"/>
      <c r="CN1250" s="9"/>
      <c r="CO1250" s="9"/>
      <c r="CP1250" s="9"/>
      <c r="CQ1250" s="9"/>
      <c r="CR1250" s="9"/>
      <c r="CS1250" s="9"/>
      <c r="CT1250" s="9"/>
      <c r="CU1250" s="9"/>
      <c r="CV1250" s="9"/>
      <c r="CW1250" s="9"/>
      <c r="CX1250" s="9"/>
      <c r="CY1250" s="9"/>
    </row>
    <row r="1251" spans="3:103" x14ac:dyDescent="0.2">
      <c r="C1251" s="1"/>
      <c r="D1251" s="6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s="9"/>
      <c r="BU1251" s="9"/>
      <c r="BV1251" s="9"/>
      <c r="BW1251" s="9"/>
      <c r="BX1251" s="9"/>
      <c r="BY1251" s="9"/>
      <c r="BZ1251" s="9"/>
      <c r="CA1251" s="9"/>
      <c r="CB1251" s="9"/>
      <c r="CC1251" s="9"/>
      <c r="CD1251" s="9"/>
      <c r="CE1251" s="9"/>
      <c r="CF1251" s="9"/>
      <c r="CG1251" s="9"/>
      <c r="CH1251" s="9"/>
      <c r="CI1251" s="9"/>
      <c r="CJ1251" s="9"/>
      <c r="CK1251" s="9"/>
      <c r="CL1251" s="9"/>
      <c r="CM1251" s="9"/>
      <c r="CN1251" s="9"/>
      <c r="CO1251" s="9"/>
      <c r="CP1251" s="9"/>
      <c r="CQ1251" s="9"/>
      <c r="CR1251" s="9"/>
      <c r="CS1251" s="9"/>
      <c r="CT1251" s="9"/>
      <c r="CU1251" s="9"/>
      <c r="CV1251" s="9"/>
      <c r="CW1251" s="9"/>
      <c r="CX1251" s="9"/>
      <c r="CY1251" s="9"/>
    </row>
    <row r="1252" spans="3:103" x14ac:dyDescent="0.2">
      <c r="C1252" s="1"/>
      <c r="D1252" s="6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s="9"/>
      <c r="BU1252" s="9"/>
      <c r="BV1252" s="9"/>
      <c r="BW1252" s="9"/>
      <c r="BX1252" s="9"/>
      <c r="BY1252" s="9"/>
      <c r="BZ1252" s="9"/>
      <c r="CA1252" s="9"/>
      <c r="CB1252" s="9"/>
      <c r="CC1252" s="9"/>
      <c r="CD1252" s="9"/>
      <c r="CE1252" s="9"/>
      <c r="CF1252" s="9"/>
      <c r="CG1252" s="9"/>
      <c r="CH1252" s="9"/>
      <c r="CI1252" s="9"/>
      <c r="CJ1252" s="9"/>
      <c r="CK1252" s="9"/>
      <c r="CL1252" s="9"/>
      <c r="CM1252" s="9"/>
      <c r="CN1252" s="9"/>
      <c r="CO1252" s="9"/>
      <c r="CP1252" s="9"/>
      <c r="CQ1252" s="9"/>
      <c r="CR1252" s="9"/>
      <c r="CS1252" s="9"/>
      <c r="CT1252" s="9"/>
      <c r="CU1252" s="9"/>
      <c r="CV1252" s="9"/>
      <c r="CW1252" s="9"/>
      <c r="CX1252" s="9"/>
      <c r="CY1252" s="9"/>
    </row>
    <row r="1253" spans="3:103" x14ac:dyDescent="0.2">
      <c r="C1253" s="1"/>
      <c r="D1253" s="6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s="9"/>
      <c r="BU1253" s="9"/>
      <c r="BV1253" s="9"/>
      <c r="BW1253" s="9"/>
      <c r="BX1253" s="9"/>
      <c r="BY1253" s="9"/>
      <c r="BZ1253" s="9"/>
      <c r="CA1253" s="9"/>
      <c r="CB1253" s="9"/>
      <c r="CC1253" s="9"/>
      <c r="CD1253" s="9"/>
      <c r="CE1253" s="9"/>
      <c r="CF1253" s="9"/>
      <c r="CG1253" s="9"/>
      <c r="CH1253" s="9"/>
      <c r="CI1253" s="9"/>
      <c r="CJ1253" s="9"/>
      <c r="CK1253" s="9"/>
      <c r="CL1253" s="9"/>
      <c r="CM1253" s="9"/>
      <c r="CN1253" s="9"/>
      <c r="CO1253" s="9"/>
      <c r="CP1253" s="9"/>
      <c r="CQ1253" s="9"/>
      <c r="CR1253" s="9"/>
      <c r="CS1253" s="9"/>
      <c r="CT1253" s="9"/>
      <c r="CU1253" s="9"/>
      <c r="CV1253" s="9"/>
      <c r="CW1253" s="9"/>
      <c r="CX1253" s="9"/>
      <c r="CY1253" s="9"/>
    </row>
    <row r="1254" spans="3:103" x14ac:dyDescent="0.2">
      <c r="C1254" s="1"/>
      <c r="D1254" s="6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s="9"/>
      <c r="BU1254" s="9"/>
      <c r="BV1254" s="9"/>
      <c r="BW1254" s="9"/>
      <c r="BX1254" s="9"/>
      <c r="BY1254" s="9"/>
      <c r="BZ1254" s="9"/>
      <c r="CA1254" s="9"/>
      <c r="CB1254" s="9"/>
      <c r="CC1254" s="9"/>
      <c r="CD1254" s="9"/>
      <c r="CE1254" s="9"/>
      <c r="CF1254" s="9"/>
      <c r="CG1254" s="9"/>
      <c r="CH1254" s="9"/>
      <c r="CI1254" s="9"/>
      <c r="CJ1254" s="9"/>
      <c r="CK1254" s="9"/>
      <c r="CL1254" s="9"/>
      <c r="CM1254" s="9"/>
      <c r="CN1254" s="9"/>
      <c r="CO1254" s="9"/>
      <c r="CP1254" s="9"/>
      <c r="CQ1254" s="9"/>
      <c r="CR1254" s="9"/>
      <c r="CS1254" s="9"/>
      <c r="CT1254" s="9"/>
      <c r="CU1254" s="9"/>
      <c r="CV1254" s="9"/>
      <c r="CW1254" s="9"/>
      <c r="CX1254" s="9"/>
      <c r="CY1254" s="9"/>
    </row>
    <row r="1255" spans="3:103" x14ac:dyDescent="0.2">
      <c r="C1255" s="1"/>
      <c r="D1255" s="6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s="9"/>
      <c r="BU1255" s="9"/>
      <c r="BV1255" s="9"/>
      <c r="BW1255" s="9"/>
      <c r="BX1255" s="9"/>
      <c r="BY1255" s="9"/>
      <c r="BZ1255" s="9"/>
      <c r="CA1255" s="9"/>
      <c r="CB1255" s="9"/>
      <c r="CC1255" s="9"/>
      <c r="CD1255" s="9"/>
      <c r="CE1255" s="9"/>
      <c r="CF1255" s="9"/>
      <c r="CG1255" s="9"/>
      <c r="CH1255" s="9"/>
      <c r="CI1255" s="9"/>
      <c r="CJ1255" s="9"/>
      <c r="CK1255" s="9"/>
      <c r="CL1255" s="9"/>
      <c r="CM1255" s="9"/>
      <c r="CN1255" s="9"/>
      <c r="CO1255" s="9"/>
      <c r="CP1255" s="9"/>
      <c r="CQ1255" s="9"/>
      <c r="CR1255" s="9"/>
      <c r="CS1255" s="9"/>
      <c r="CT1255" s="9"/>
      <c r="CU1255" s="9"/>
      <c r="CV1255" s="9"/>
      <c r="CW1255" s="9"/>
      <c r="CX1255" s="9"/>
      <c r="CY1255" s="9"/>
    </row>
    <row r="1256" spans="3:103" x14ac:dyDescent="0.2">
      <c r="C1256" s="1"/>
      <c r="D1256" s="6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s="9"/>
      <c r="BU1256" s="9"/>
      <c r="BV1256" s="9"/>
      <c r="BW1256" s="9"/>
      <c r="BX1256" s="9"/>
      <c r="BY1256" s="9"/>
      <c r="BZ1256" s="9"/>
      <c r="CA1256" s="9"/>
      <c r="CB1256" s="9"/>
      <c r="CC1256" s="9"/>
      <c r="CD1256" s="9"/>
      <c r="CE1256" s="9"/>
      <c r="CF1256" s="9"/>
      <c r="CG1256" s="9"/>
      <c r="CH1256" s="9"/>
      <c r="CI1256" s="9"/>
      <c r="CJ1256" s="9"/>
      <c r="CK1256" s="9"/>
      <c r="CL1256" s="9"/>
      <c r="CM1256" s="9"/>
      <c r="CN1256" s="9"/>
      <c r="CO1256" s="9"/>
      <c r="CP1256" s="9"/>
      <c r="CQ1256" s="9"/>
      <c r="CR1256" s="9"/>
      <c r="CS1256" s="9"/>
      <c r="CT1256" s="9"/>
      <c r="CU1256" s="9"/>
      <c r="CV1256" s="9"/>
      <c r="CW1256" s="9"/>
      <c r="CX1256" s="9"/>
      <c r="CY1256" s="9"/>
    </row>
    <row r="1257" spans="3:103" x14ac:dyDescent="0.2">
      <c r="C1257" s="1"/>
      <c r="D1257" s="6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s="9"/>
      <c r="BU1257" s="9"/>
      <c r="BV1257" s="9"/>
      <c r="BW1257" s="9"/>
      <c r="BX1257" s="9"/>
      <c r="BY1257" s="9"/>
      <c r="BZ1257" s="9"/>
      <c r="CA1257" s="9"/>
      <c r="CB1257" s="9"/>
      <c r="CC1257" s="9"/>
      <c r="CD1257" s="9"/>
      <c r="CE1257" s="9"/>
      <c r="CF1257" s="9"/>
      <c r="CG1257" s="9"/>
      <c r="CH1257" s="9"/>
      <c r="CI1257" s="9"/>
      <c r="CJ1257" s="9"/>
      <c r="CK1257" s="9"/>
      <c r="CL1257" s="9"/>
      <c r="CM1257" s="9"/>
      <c r="CN1257" s="9"/>
      <c r="CO1257" s="9"/>
      <c r="CP1257" s="9"/>
      <c r="CQ1257" s="9"/>
      <c r="CR1257" s="9"/>
      <c r="CS1257" s="9"/>
      <c r="CT1257" s="9"/>
      <c r="CU1257" s="9"/>
      <c r="CV1257" s="9"/>
      <c r="CW1257" s="9"/>
      <c r="CX1257" s="9"/>
      <c r="CY1257" s="9"/>
    </row>
    <row r="1258" spans="3:103" x14ac:dyDescent="0.2">
      <c r="C1258" s="1"/>
      <c r="D1258" s="6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s="9"/>
      <c r="BU1258" s="9"/>
      <c r="BV1258" s="9"/>
      <c r="BW1258" s="9"/>
      <c r="BX1258" s="9"/>
      <c r="BY1258" s="9"/>
      <c r="BZ1258" s="9"/>
      <c r="CA1258" s="9"/>
      <c r="CB1258" s="9"/>
      <c r="CC1258" s="9"/>
      <c r="CD1258" s="9"/>
      <c r="CE1258" s="9"/>
      <c r="CF1258" s="9"/>
      <c r="CG1258" s="9"/>
      <c r="CH1258" s="9"/>
      <c r="CI1258" s="9"/>
      <c r="CJ1258" s="9"/>
      <c r="CK1258" s="9"/>
      <c r="CL1258" s="9"/>
      <c r="CM1258" s="9"/>
      <c r="CN1258" s="9"/>
      <c r="CO1258" s="9"/>
      <c r="CP1258" s="9"/>
      <c r="CQ1258" s="9"/>
      <c r="CR1258" s="9"/>
      <c r="CS1258" s="9"/>
      <c r="CT1258" s="9"/>
      <c r="CU1258" s="9"/>
      <c r="CV1258" s="9"/>
      <c r="CW1258" s="9"/>
      <c r="CX1258" s="9"/>
      <c r="CY1258" s="9"/>
    </row>
    <row r="1259" spans="3:103" x14ac:dyDescent="0.2">
      <c r="C1259" s="1"/>
      <c r="D1259" s="6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s="9"/>
      <c r="BU1259" s="9"/>
      <c r="BV1259" s="9"/>
      <c r="BW1259" s="9"/>
      <c r="BX1259" s="9"/>
      <c r="BY1259" s="9"/>
      <c r="BZ1259" s="9"/>
      <c r="CA1259" s="9"/>
      <c r="CB1259" s="9"/>
      <c r="CC1259" s="9"/>
      <c r="CD1259" s="9"/>
      <c r="CE1259" s="9"/>
      <c r="CF1259" s="9"/>
      <c r="CG1259" s="9"/>
      <c r="CH1259" s="9"/>
      <c r="CI1259" s="9"/>
      <c r="CJ1259" s="9"/>
      <c r="CK1259" s="9"/>
      <c r="CL1259" s="9"/>
      <c r="CM1259" s="9"/>
      <c r="CN1259" s="9"/>
      <c r="CO1259" s="9"/>
      <c r="CP1259" s="9"/>
      <c r="CQ1259" s="9"/>
      <c r="CR1259" s="9"/>
      <c r="CS1259" s="9"/>
      <c r="CT1259" s="9"/>
      <c r="CU1259" s="9"/>
      <c r="CV1259" s="9"/>
      <c r="CW1259" s="9"/>
      <c r="CX1259" s="9"/>
      <c r="CY1259" s="9"/>
    </row>
    <row r="1260" spans="3:103" x14ac:dyDescent="0.2">
      <c r="C1260" s="1"/>
      <c r="D1260" s="6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s="9"/>
      <c r="BU1260" s="9"/>
      <c r="BV1260" s="9"/>
      <c r="BW1260" s="9"/>
      <c r="BX1260" s="9"/>
      <c r="BY1260" s="9"/>
      <c r="BZ1260" s="9"/>
      <c r="CA1260" s="9"/>
      <c r="CB1260" s="9"/>
      <c r="CC1260" s="9"/>
      <c r="CD1260" s="9"/>
      <c r="CE1260" s="9"/>
      <c r="CF1260" s="9"/>
      <c r="CG1260" s="9"/>
      <c r="CH1260" s="9"/>
      <c r="CI1260" s="9"/>
      <c r="CJ1260" s="9"/>
      <c r="CK1260" s="9"/>
      <c r="CL1260" s="9"/>
      <c r="CM1260" s="9"/>
      <c r="CN1260" s="9"/>
      <c r="CO1260" s="9"/>
      <c r="CP1260" s="9"/>
      <c r="CQ1260" s="9"/>
      <c r="CR1260" s="9"/>
      <c r="CS1260" s="9"/>
      <c r="CT1260" s="9"/>
      <c r="CU1260" s="9"/>
      <c r="CV1260" s="9"/>
      <c r="CW1260" s="9"/>
      <c r="CX1260" s="9"/>
      <c r="CY1260" s="9"/>
    </row>
    <row r="1261" spans="3:103" x14ac:dyDescent="0.2">
      <c r="C1261" s="1"/>
      <c r="D1261" s="6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s="9"/>
      <c r="BU1261" s="9"/>
      <c r="BV1261" s="9"/>
      <c r="BW1261" s="9"/>
      <c r="BX1261" s="9"/>
      <c r="BY1261" s="9"/>
      <c r="BZ1261" s="9"/>
      <c r="CA1261" s="9"/>
      <c r="CB1261" s="9"/>
      <c r="CC1261" s="9"/>
      <c r="CD1261" s="9"/>
      <c r="CE1261" s="9"/>
      <c r="CF1261" s="9"/>
      <c r="CG1261" s="9"/>
      <c r="CH1261" s="9"/>
      <c r="CI1261" s="9"/>
      <c r="CJ1261" s="9"/>
      <c r="CK1261" s="9"/>
      <c r="CL1261" s="9"/>
      <c r="CM1261" s="9"/>
      <c r="CN1261" s="9"/>
      <c r="CO1261" s="9"/>
      <c r="CP1261" s="9"/>
      <c r="CQ1261" s="9"/>
      <c r="CR1261" s="9"/>
      <c r="CS1261" s="9"/>
      <c r="CT1261" s="9"/>
      <c r="CU1261" s="9"/>
      <c r="CV1261" s="9"/>
      <c r="CW1261" s="9"/>
      <c r="CX1261" s="9"/>
      <c r="CY1261" s="9"/>
    </row>
    <row r="1262" spans="3:103" x14ac:dyDescent="0.2">
      <c r="C1262" s="1"/>
      <c r="D1262" s="6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s="9"/>
      <c r="BU1262" s="9"/>
      <c r="BV1262" s="9"/>
      <c r="BW1262" s="9"/>
      <c r="BX1262" s="9"/>
      <c r="BY1262" s="9"/>
      <c r="BZ1262" s="9"/>
      <c r="CA1262" s="9"/>
      <c r="CB1262" s="9"/>
      <c r="CC1262" s="9"/>
      <c r="CD1262" s="9"/>
      <c r="CE1262" s="9"/>
      <c r="CF1262" s="9"/>
      <c r="CG1262" s="9"/>
      <c r="CH1262" s="9"/>
      <c r="CI1262" s="9"/>
      <c r="CJ1262" s="9"/>
      <c r="CK1262" s="9"/>
      <c r="CL1262" s="9"/>
      <c r="CM1262" s="9"/>
      <c r="CN1262" s="9"/>
      <c r="CO1262" s="9"/>
      <c r="CP1262" s="9"/>
      <c r="CQ1262" s="9"/>
      <c r="CR1262" s="9"/>
      <c r="CS1262" s="9"/>
      <c r="CT1262" s="9"/>
      <c r="CU1262" s="9"/>
      <c r="CV1262" s="9"/>
      <c r="CW1262" s="9"/>
      <c r="CX1262" s="9"/>
      <c r="CY1262" s="9"/>
    </row>
    <row r="1263" spans="3:103" x14ac:dyDescent="0.2">
      <c r="C1263" s="1"/>
      <c r="D1263" s="6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s="9"/>
      <c r="BU1263" s="9"/>
      <c r="BV1263" s="9"/>
      <c r="BW1263" s="9"/>
      <c r="BX1263" s="9"/>
      <c r="BY1263" s="9"/>
      <c r="BZ1263" s="9"/>
      <c r="CA1263" s="9"/>
      <c r="CB1263" s="9"/>
      <c r="CC1263" s="9"/>
      <c r="CD1263" s="9"/>
      <c r="CE1263" s="9"/>
      <c r="CF1263" s="9"/>
      <c r="CG1263" s="9"/>
      <c r="CH1263" s="9"/>
      <c r="CI1263" s="9"/>
      <c r="CJ1263" s="9"/>
      <c r="CK1263" s="9"/>
      <c r="CL1263" s="9"/>
      <c r="CM1263" s="9"/>
      <c r="CN1263" s="9"/>
      <c r="CO1263" s="9"/>
      <c r="CP1263" s="9"/>
      <c r="CQ1263" s="9"/>
      <c r="CR1263" s="9"/>
      <c r="CS1263" s="9"/>
      <c r="CT1263" s="9"/>
      <c r="CU1263" s="9"/>
      <c r="CV1263" s="9"/>
      <c r="CW1263" s="9"/>
      <c r="CX1263" s="9"/>
      <c r="CY1263" s="9"/>
    </row>
    <row r="1264" spans="3:103" x14ac:dyDescent="0.2">
      <c r="C1264" s="1"/>
      <c r="D1264" s="6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s="9"/>
      <c r="BU1264" s="9"/>
      <c r="BV1264" s="9"/>
      <c r="BW1264" s="9"/>
      <c r="BX1264" s="9"/>
      <c r="BY1264" s="9"/>
      <c r="BZ1264" s="9"/>
      <c r="CA1264" s="9"/>
      <c r="CB1264" s="9"/>
      <c r="CC1264" s="9"/>
      <c r="CD1264" s="9"/>
      <c r="CE1264" s="9"/>
      <c r="CF1264" s="9"/>
      <c r="CG1264" s="9"/>
      <c r="CH1264" s="9"/>
      <c r="CI1264" s="9"/>
      <c r="CJ1264" s="9"/>
      <c r="CK1264" s="9"/>
      <c r="CL1264" s="9"/>
      <c r="CM1264" s="9"/>
      <c r="CN1264" s="9"/>
      <c r="CO1264" s="9"/>
      <c r="CP1264" s="9"/>
      <c r="CQ1264" s="9"/>
      <c r="CR1264" s="9"/>
      <c r="CS1264" s="9"/>
      <c r="CT1264" s="9"/>
      <c r="CU1264" s="9"/>
      <c r="CV1264" s="9"/>
      <c r="CW1264" s="9"/>
      <c r="CX1264" s="9"/>
      <c r="CY1264" s="9"/>
    </row>
    <row r="1265" spans="3:103" x14ac:dyDescent="0.2">
      <c r="C1265" s="1"/>
      <c r="D1265" s="6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s="9"/>
      <c r="BU1265" s="9"/>
      <c r="BV1265" s="9"/>
      <c r="BW1265" s="9"/>
      <c r="BX1265" s="9"/>
      <c r="BY1265" s="9"/>
      <c r="BZ1265" s="9"/>
      <c r="CA1265" s="9"/>
      <c r="CB1265" s="9"/>
      <c r="CC1265" s="9"/>
      <c r="CD1265" s="9"/>
      <c r="CE1265" s="9"/>
      <c r="CF1265" s="9"/>
      <c r="CG1265" s="9"/>
      <c r="CH1265" s="9"/>
      <c r="CI1265" s="9"/>
      <c r="CJ1265" s="9"/>
      <c r="CK1265" s="9"/>
      <c r="CL1265" s="9"/>
      <c r="CM1265" s="9"/>
      <c r="CN1265" s="9"/>
      <c r="CO1265" s="9"/>
      <c r="CP1265" s="9"/>
      <c r="CQ1265" s="9"/>
      <c r="CR1265" s="9"/>
      <c r="CS1265" s="9"/>
      <c r="CT1265" s="9"/>
      <c r="CU1265" s="9"/>
      <c r="CV1265" s="9"/>
      <c r="CW1265" s="9"/>
      <c r="CX1265" s="9"/>
      <c r="CY1265" s="9"/>
    </row>
    <row r="1266" spans="3:103" x14ac:dyDescent="0.2">
      <c r="C1266" s="1"/>
      <c r="D1266" s="6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s="9"/>
      <c r="BU1266" s="9"/>
      <c r="BV1266" s="9"/>
      <c r="BW1266" s="9"/>
      <c r="BX1266" s="9"/>
      <c r="BY1266" s="9"/>
      <c r="BZ1266" s="9"/>
      <c r="CA1266" s="9"/>
      <c r="CB1266" s="9"/>
      <c r="CC1266" s="9"/>
      <c r="CD1266" s="9"/>
      <c r="CE1266" s="9"/>
      <c r="CF1266" s="9"/>
      <c r="CG1266" s="9"/>
      <c r="CH1266" s="9"/>
      <c r="CI1266" s="9"/>
      <c r="CJ1266" s="9"/>
      <c r="CK1266" s="9"/>
      <c r="CL1266" s="9"/>
      <c r="CM1266" s="9"/>
      <c r="CN1266" s="9"/>
      <c r="CO1266" s="9"/>
      <c r="CP1266" s="9"/>
      <c r="CQ1266" s="9"/>
      <c r="CR1266" s="9"/>
      <c r="CS1266" s="9"/>
      <c r="CT1266" s="9"/>
      <c r="CU1266" s="9"/>
      <c r="CV1266" s="9"/>
      <c r="CW1266" s="9"/>
      <c r="CX1266" s="9"/>
      <c r="CY1266" s="9"/>
    </row>
    <row r="1267" spans="3:103" x14ac:dyDescent="0.2">
      <c r="C1267" s="1"/>
      <c r="D1267" s="6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s="9"/>
      <c r="BU1267" s="9"/>
      <c r="BV1267" s="9"/>
      <c r="BW1267" s="9"/>
      <c r="BX1267" s="9"/>
      <c r="BY1267" s="9"/>
      <c r="BZ1267" s="9"/>
      <c r="CA1267" s="9"/>
      <c r="CB1267" s="9"/>
      <c r="CC1267" s="9"/>
      <c r="CD1267" s="9"/>
      <c r="CE1267" s="9"/>
      <c r="CF1267" s="9"/>
      <c r="CG1267" s="9"/>
      <c r="CH1267" s="9"/>
      <c r="CI1267" s="9"/>
      <c r="CJ1267" s="9"/>
      <c r="CK1267" s="9"/>
      <c r="CL1267" s="9"/>
      <c r="CM1267" s="9"/>
      <c r="CN1267" s="9"/>
      <c r="CO1267" s="9"/>
      <c r="CP1267" s="9"/>
      <c r="CQ1267" s="9"/>
      <c r="CR1267" s="9"/>
      <c r="CS1267" s="9"/>
      <c r="CT1267" s="9"/>
      <c r="CU1267" s="9"/>
      <c r="CV1267" s="9"/>
      <c r="CW1267" s="9"/>
      <c r="CX1267" s="9"/>
      <c r="CY1267" s="9"/>
    </row>
    <row r="1268" spans="3:103" x14ac:dyDescent="0.2">
      <c r="C1268" s="1"/>
      <c r="D1268" s="6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s="9"/>
      <c r="BU1268" s="9"/>
      <c r="BV1268" s="9"/>
      <c r="BW1268" s="9"/>
      <c r="BX1268" s="9"/>
      <c r="BY1268" s="9"/>
      <c r="BZ1268" s="9"/>
      <c r="CA1268" s="9"/>
      <c r="CB1268" s="9"/>
      <c r="CC1268" s="9"/>
      <c r="CD1268" s="9"/>
      <c r="CE1268" s="9"/>
      <c r="CF1268" s="9"/>
      <c r="CG1268" s="9"/>
      <c r="CH1268" s="9"/>
      <c r="CI1268" s="9"/>
      <c r="CJ1268" s="9"/>
      <c r="CK1268" s="9"/>
      <c r="CL1268" s="9"/>
      <c r="CM1268" s="9"/>
      <c r="CN1268" s="9"/>
      <c r="CO1268" s="9"/>
      <c r="CP1268" s="9"/>
      <c r="CQ1268" s="9"/>
      <c r="CR1268" s="9"/>
      <c r="CS1268" s="9"/>
      <c r="CT1268" s="9"/>
      <c r="CU1268" s="9"/>
      <c r="CV1268" s="9"/>
      <c r="CW1268" s="9"/>
      <c r="CX1268" s="9"/>
      <c r="CY1268" s="9"/>
    </row>
    <row r="1269" spans="3:103" x14ac:dyDescent="0.2">
      <c r="C1269" s="1"/>
      <c r="D1269" s="6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s="9"/>
      <c r="BU1269" s="9"/>
      <c r="BV1269" s="9"/>
      <c r="BW1269" s="9"/>
      <c r="BX1269" s="9"/>
      <c r="BY1269" s="9"/>
      <c r="BZ1269" s="9"/>
      <c r="CA1269" s="9"/>
      <c r="CB1269" s="9"/>
      <c r="CC1269" s="9"/>
      <c r="CD1269" s="9"/>
      <c r="CE1269" s="9"/>
      <c r="CF1269" s="9"/>
      <c r="CG1269" s="9"/>
      <c r="CH1269" s="9"/>
      <c r="CI1269" s="9"/>
      <c r="CJ1269" s="9"/>
      <c r="CK1269" s="9"/>
      <c r="CL1269" s="9"/>
      <c r="CM1269" s="9"/>
      <c r="CN1269" s="9"/>
      <c r="CO1269" s="9"/>
      <c r="CP1269" s="9"/>
      <c r="CQ1269" s="9"/>
      <c r="CR1269" s="9"/>
      <c r="CS1269" s="9"/>
      <c r="CT1269" s="9"/>
      <c r="CU1269" s="9"/>
      <c r="CV1269" s="9"/>
      <c r="CW1269" s="9"/>
      <c r="CX1269" s="9"/>
      <c r="CY1269" s="9"/>
    </row>
    <row r="1270" spans="3:103" x14ac:dyDescent="0.2">
      <c r="C1270" s="1"/>
      <c r="D1270" s="6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s="9"/>
      <c r="BU1270" s="9"/>
      <c r="BV1270" s="9"/>
      <c r="BW1270" s="9"/>
      <c r="BX1270" s="9"/>
      <c r="BY1270" s="9"/>
      <c r="BZ1270" s="9"/>
      <c r="CA1270" s="9"/>
      <c r="CB1270" s="9"/>
      <c r="CC1270" s="9"/>
      <c r="CD1270" s="9"/>
      <c r="CE1270" s="9"/>
      <c r="CF1270" s="9"/>
      <c r="CG1270" s="9"/>
      <c r="CH1270" s="9"/>
      <c r="CI1270" s="9"/>
      <c r="CJ1270" s="9"/>
      <c r="CK1270" s="9"/>
      <c r="CL1270" s="9"/>
      <c r="CM1270" s="9"/>
      <c r="CN1270" s="9"/>
      <c r="CO1270" s="9"/>
      <c r="CP1270" s="9"/>
      <c r="CQ1270" s="9"/>
      <c r="CR1270" s="9"/>
      <c r="CS1270" s="9"/>
      <c r="CT1270" s="9"/>
      <c r="CU1270" s="9"/>
      <c r="CV1270" s="9"/>
      <c r="CW1270" s="9"/>
      <c r="CX1270" s="9"/>
      <c r="CY1270" s="9"/>
    </row>
    <row r="1271" spans="3:103" x14ac:dyDescent="0.2">
      <c r="C1271" s="1"/>
      <c r="D1271" s="6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s="9"/>
      <c r="BU1271" s="9"/>
      <c r="BV1271" s="9"/>
      <c r="BW1271" s="9"/>
      <c r="BX1271" s="9"/>
      <c r="BY1271" s="9"/>
      <c r="BZ1271" s="9"/>
      <c r="CA1271" s="9"/>
      <c r="CB1271" s="9"/>
      <c r="CC1271" s="9"/>
      <c r="CD1271" s="9"/>
      <c r="CE1271" s="9"/>
      <c r="CF1271" s="9"/>
      <c r="CG1271" s="9"/>
      <c r="CH1271" s="9"/>
      <c r="CI1271" s="9"/>
      <c r="CJ1271" s="9"/>
      <c r="CK1271" s="9"/>
      <c r="CL1271" s="9"/>
      <c r="CM1271" s="9"/>
      <c r="CN1271" s="9"/>
      <c r="CO1271" s="9"/>
      <c r="CP1271" s="9"/>
      <c r="CQ1271" s="9"/>
      <c r="CR1271" s="9"/>
      <c r="CS1271" s="9"/>
      <c r="CT1271" s="9"/>
      <c r="CU1271" s="9"/>
      <c r="CV1271" s="9"/>
      <c r="CW1271" s="9"/>
      <c r="CX1271" s="9"/>
      <c r="CY1271" s="9"/>
    </row>
    <row r="1272" spans="3:103" x14ac:dyDescent="0.2">
      <c r="C1272" s="1"/>
      <c r="D1272" s="6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s="9"/>
      <c r="BU1272" s="9"/>
      <c r="BV1272" s="9"/>
      <c r="BW1272" s="9"/>
      <c r="BX1272" s="9"/>
      <c r="BY1272" s="9"/>
      <c r="BZ1272" s="9"/>
      <c r="CA1272" s="9"/>
      <c r="CB1272" s="9"/>
      <c r="CC1272" s="9"/>
      <c r="CD1272" s="9"/>
      <c r="CE1272" s="9"/>
      <c r="CF1272" s="9"/>
      <c r="CG1272" s="9"/>
      <c r="CH1272" s="9"/>
      <c r="CI1272" s="9"/>
      <c r="CJ1272" s="9"/>
      <c r="CK1272" s="9"/>
      <c r="CL1272" s="9"/>
      <c r="CM1272" s="9"/>
      <c r="CN1272" s="9"/>
      <c r="CO1272" s="9"/>
      <c r="CP1272" s="9"/>
      <c r="CQ1272" s="9"/>
      <c r="CR1272" s="9"/>
      <c r="CS1272" s="9"/>
      <c r="CT1272" s="9"/>
      <c r="CU1272" s="9"/>
      <c r="CV1272" s="9"/>
      <c r="CW1272" s="9"/>
      <c r="CX1272" s="9"/>
      <c r="CY1272" s="9"/>
    </row>
    <row r="1273" spans="3:103" x14ac:dyDescent="0.2">
      <c r="C1273" s="1"/>
      <c r="D1273" s="6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s="9"/>
      <c r="BU1273" s="9"/>
      <c r="BV1273" s="9"/>
      <c r="BW1273" s="9"/>
      <c r="BX1273" s="9"/>
      <c r="BY1273" s="9"/>
      <c r="BZ1273" s="9"/>
      <c r="CA1273" s="9"/>
      <c r="CB1273" s="9"/>
      <c r="CC1273" s="9"/>
      <c r="CD1273" s="9"/>
      <c r="CE1273" s="9"/>
      <c r="CF1273" s="9"/>
      <c r="CG1273" s="9"/>
      <c r="CH1273" s="9"/>
      <c r="CI1273" s="9"/>
      <c r="CJ1273" s="9"/>
      <c r="CK1273" s="9"/>
      <c r="CL1273" s="9"/>
      <c r="CM1273" s="9"/>
      <c r="CN1273" s="9"/>
      <c r="CO1273" s="9"/>
      <c r="CP1273" s="9"/>
      <c r="CQ1273" s="9"/>
      <c r="CR1273" s="9"/>
      <c r="CS1273" s="9"/>
      <c r="CT1273" s="9"/>
      <c r="CU1273" s="9"/>
      <c r="CV1273" s="9"/>
      <c r="CW1273" s="9"/>
      <c r="CX1273" s="9"/>
      <c r="CY1273" s="9"/>
    </row>
    <row r="1274" spans="3:103" x14ac:dyDescent="0.2">
      <c r="C1274" s="1"/>
      <c r="D1274" s="6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s="9"/>
      <c r="BU1274" s="9"/>
      <c r="BV1274" s="9"/>
      <c r="BW1274" s="9"/>
      <c r="BX1274" s="9"/>
      <c r="BY1274" s="9"/>
      <c r="BZ1274" s="9"/>
      <c r="CA1274" s="9"/>
      <c r="CB1274" s="9"/>
      <c r="CC1274" s="9"/>
      <c r="CD1274" s="9"/>
      <c r="CE1274" s="9"/>
      <c r="CF1274" s="9"/>
      <c r="CG1274" s="9"/>
      <c r="CH1274" s="9"/>
      <c r="CI1274" s="9"/>
      <c r="CJ1274" s="9"/>
      <c r="CK1274" s="9"/>
      <c r="CL1274" s="9"/>
      <c r="CM1274" s="9"/>
      <c r="CN1274" s="9"/>
      <c r="CO1274" s="9"/>
      <c r="CP1274" s="9"/>
      <c r="CQ1274" s="9"/>
      <c r="CR1274" s="9"/>
      <c r="CS1274" s="9"/>
      <c r="CT1274" s="9"/>
      <c r="CU1274" s="9"/>
      <c r="CV1274" s="9"/>
      <c r="CW1274" s="9"/>
      <c r="CX1274" s="9"/>
      <c r="CY1274" s="9"/>
    </row>
    <row r="1275" spans="3:103" x14ac:dyDescent="0.2">
      <c r="C1275" s="1"/>
      <c r="D1275" s="6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s="9"/>
      <c r="BU1275" s="9"/>
      <c r="BV1275" s="9"/>
      <c r="BW1275" s="9"/>
      <c r="BX1275" s="9"/>
      <c r="BY1275" s="9"/>
      <c r="BZ1275" s="9"/>
      <c r="CA1275" s="9"/>
      <c r="CB1275" s="9"/>
      <c r="CC1275" s="9"/>
      <c r="CD1275" s="9"/>
      <c r="CE1275" s="9"/>
      <c r="CF1275" s="9"/>
      <c r="CG1275" s="9"/>
      <c r="CH1275" s="9"/>
      <c r="CI1275" s="9"/>
      <c r="CJ1275" s="9"/>
      <c r="CK1275" s="9"/>
      <c r="CL1275" s="9"/>
      <c r="CM1275" s="9"/>
      <c r="CN1275" s="9"/>
      <c r="CO1275" s="9"/>
      <c r="CP1275" s="9"/>
      <c r="CQ1275" s="9"/>
      <c r="CR1275" s="9"/>
      <c r="CS1275" s="9"/>
      <c r="CT1275" s="9"/>
      <c r="CU1275" s="9"/>
      <c r="CV1275" s="9"/>
      <c r="CW1275" s="9"/>
      <c r="CX1275" s="9"/>
      <c r="CY1275" s="9"/>
    </row>
    <row r="1276" spans="3:103" x14ac:dyDescent="0.2">
      <c r="C1276" s="1"/>
      <c r="D1276" s="6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s="9"/>
      <c r="BU1276" s="9"/>
      <c r="BV1276" s="9"/>
      <c r="BW1276" s="9"/>
      <c r="BX1276" s="9"/>
      <c r="BY1276" s="9"/>
      <c r="BZ1276" s="9"/>
      <c r="CA1276" s="9"/>
      <c r="CB1276" s="9"/>
      <c r="CC1276" s="9"/>
      <c r="CD1276" s="9"/>
      <c r="CE1276" s="9"/>
      <c r="CF1276" s="9"/>
      <c r="CG1276" s="9"/>
      <c r="CH1276" s="9"/>
      <c r="CI1276" s="9"/>
      <c r="CJ1276" s="9"/>
      <c r="CK1276" s="9"/>
      <c r="CL1276" s="9"/>
      <c r="CM1276" s="9"/>
      <c r="CN1276" s="9"/>
      <c r="CO1276" s="9"/>
      <c r="CP1276" s="9"/>
      <c r="CQ1276" s="9"/>
      <c r="CR1276" s="9"/>
      <c r="CS1276" s="9"/>
      <c r="CT1276" s="9"/>
      <c r="CU1276" s="9"/>
      <c r="CV1276" s="9"/>
      <c r="CW1276" s="9"/>
      <c r="CX1276" s="9"/>
      <c r="CY1276" s="9"/>
    </row>
    <row r="1277" spans="3:103" x14ac:dyDescent="0.2">
      <c r="C1277" s="1"/>
      <c r="D1277" s="6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s="9"/>
      <c r="BU1277" s="9"/>
      <c r="BV1277" s="9"/>
      <c r="BW1277" s="9"/>
      <c r="BX1277" s="9"/>
      <c r="BY1277" s="9"/>
      <c r="BZ1277" s="9"/>
      <c r="CA1277" s="9"/>
      <c r="CB1277" s="9"/>
      <c r="CC1277" s="9"/>
      <c r="CD1277" s="9"/>
      <c r="CE1277" s="9"/>
      <c r="CF1277" s="9"/>
      <c r="CG1277" s="9"/>
      <c r="CH1277" s="9"/>
      <c r="CI1277" s="9"/>
      <c r="CJ1277" s="9"/>
      <c r="CK1277" s="9"/>
      <c r="CL1277" s="9"/>
      <c r="CM1277" s="9"/>
      <c r="CN1277" s="9"/>
      <c r="CO1277" s="9"/>
      <c r="CP1277" s="9"/>
      <c r="CQ1277" s="9"/>
      <c r="CR1277" s="9"/>
      <c r="CS1277" s="9"/>
      <c r="CT1277" s="9"/>
      <c r="CU1277" s="9"/>
      <c r="CV1277" s="9"/>
      <c r="CW1277" s="9"/>
      <c r="CX1277" s="9"/>
      <c r="CY1277" s="9"/>
    </row>
    <row r="1278" spans="3:103" x14ac:dyDescent="0.2">
      <c r="C1278" s="1"/>
      <c r="D1278" s="6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s="9"/>
      <c r="BU1278" s="9"/>
      <c r="BV1278" s="9"/>
      <c r="BW1278" s="9"/>
      <c r="BX1278" s="9"/>
      <c r="BY1278" s="9"/>
      <c r="BZ1278" s="9"/>
      <c r="CA1278" s="9"/>
      <c r="CB1278" s="9"/>
      <c r="CC1278" s="9"/>
      <c r="CD1278" s="9"/>
      <c r="CE1278" s="9"/>
      <c r="CF1278" s="9"/>
      <c r="CG1278" s="9"/>
      <c r="CH1278" s="9"/>
      <c r="CI1278" s="9"/>
      <c r="CJ1278" s="9"/>
      <c r="CK1278" s="9"/>
      <c r="CL1278" s="9"/>
      <c r="CM1278" s="9"/>
      <c r="CN1278" s="9"/>
      <c r="CO1278" s="9"/>
      <c r="CP1278" s="9"/>
      <c r="CQ1278" s="9"/>
      <c r="CR1278" s="9"/>
      <c r="CS1278" s="9"/>
      <c r="CT1278" s="9"/>
      <c r="CU1278" s="9"/>
      <c r="CV1278" s="9"/>
      <c r="CW1278" s="9"/>
      <c r="CX1278" s="9"/>
      <c r="CY1278" s="9"/>
    </row>
    <row r="1279" spans="3:103" x14ac:dyDescent="0.2">
      <c r="C1279" s="1"/>
      <c r="D1279" s="6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s="9"/>
      <c r="BU1279" s="9"/>
      <c r="BV1279" s="9"/>
      <c r="BW1279" s="9"/>
      <c r="BX1279" s="9"/>
      <c r="BY1279" s="9"/>
      <c r="BZ1279" s="9"/>
      <c r="CA1279" s="9"/>
      <c r="CB1279" s="9"/>
      <c r="CC1279" s="9"/>
      <c r="CD1279" s="9"/>
      <c r="CE1279" s="9"/>
      <c r="CF1279" s="9"/>
      <c r="CG1279" s="9"/>
      <c r="CH1279" s="9"/>
      <c r="CI1279" s="9"/>
      <c r="CJ1279" s="9"/>
      <c r="CK1279" s="9"/>
      <c r="CL1279" s="9"/>
      <c r="CM1279" s="9"/>
      <c r="CN1279" s="9"/>
      <c r="CO1279" s="9"/>
      <c r="CP1279" s="9"/>
      <c r="CQ1279" s="9"/>
      <c r="CR1279" s="9"/>
      <c r="CS1279" s="9"/>
      <c r="CT1279" s="9"/>
      <c r="CU1279" s="9"/>
      <c r="CV1279" s="9"/>
      <c r="CW1279" s="9"/>
      <c r="CX1279" s="9"/>
      <c r="CY1279" s="9"/>
    </row>
    <row r="1280" spans="3:103" x14ac:dyDescent="0.2">
      <c r="C1280" s="1"/>
      <c r="D1280" s="6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s="9"/>
      <c r="BU1280" s="9"/>
      <c r="BV1280" s="9"/>
      <c r="BW1280" s="9"/>
      <c r="BX1280" s="9"/>
      <c r="BY1280" s="9"/>
      <c r="BZ1280" s="9"/>
      <c r="CA1280" s="9"/>
      <c r="CB1280" s="9"/>
      <c r="CC1280" s="9"/>
      <c r="CD1280" s="9"/>
      <c r="CE1280" s="9"/>
      <c r="CF1280" s="9"/>
      <c r="CG1280" s="9"/>
      <c r="CH1280" s="9"/>
      <c r="CI1280" s="9"/>
      <c r="CJ1280" s="9"/>
      <c r="CK1280" s="9"/>
      <c r="CL1280" s="9"/>
      <c r="CM1280" s="9"/>
      <c r="CN1280" s="9"/>
      <c r="CO1280" s="9"/>
      <c r="CP1280" s="9"/>
      <c r="CQ1280" s="9"/>
      <c r="CR1280" s="9"/>
      <c r="CS1280" s="9"/>
      <c r="CT1280" s="9"/>
      <c r="CU1280" s="9"/>
      <c r="CV1280" s="9"/>
      <c r="CW1280" s="9"/>
      <c r="CX1280" s="9"/>
      <c r="CY1280" s="9"/>
    </row>
    <row r="1281" spans="3:103" x14ac:dyDescent="0.2">
      <c r="C1281" s="1"/>
      <c r="D1281" s="6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s="9"/>
      <c r="BU1281" s="9"/>
      <c r="BV1281" s="9"/>
      <c r="BW1281" s="9"/>
      <c r="BX1281" s="9"/>
      <c r="BY1281" s="9"/>
      <c r="BZ1281" s="9"/>
      <c r="CA1281" s="9"/>
      <c r="CB1281" s="9"/>
      <c r="CC1281" s="9"/>
      <c r="CD1281" s="9"/>
      <c r="CE1281" s="9"/>
      <c r="CF1281" s="9"/>
      <c r="CG1281" s="9"/>
      <c r="CH1281" s="9"/>
      <c r="CI1281" s="9"/>
      <c r="CJ1281" s="9"/>
      <c r="CK1281" s="9"/>
      <c r="CL1281" s="9"/>
      <c r="CM1281" s="9"/>
      <c r="CN1281" s="9"/>
      <c r="CO1281" s="9"/>
      <c r="CP1281" s="9"/>
      <c r="CQ1281" s="9"/>
      <c r="CR1281" s="9"/>
      <c r="CS1281" s="9"/>
      <c r="CT1281" s="9"/>
      <c r="CU1281" s="9"/>
      <c r="CV1281" s="9"/>
      <c r="CW1281" s="9"/>
      <c r="CX1281" s="9"/>
      <c r="CY1281" s="9"/>
    </row>
    <row r="1282" spans="3:103" x14ac:dyDescent="0.2">
      <c r="C1282" s="1"/>
      <c r="D1282" s="6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s="9"/>
      <c r="BU1282" s="9"/>
      <c r="BV1282" s="9"/>
      <c r="BW1282" s="9"/>
      <c r="BX1282" s="9"/>
      <c r="BY1282" s="9"/>
      <c r="BZ1282" s="9"/>
      <c r="CA1282" s="9"/>
      <c r="CB1282" s="9"/>
      <c r="CC1282" s="9"/>
      <c r="CD1282" s="9"/>
      <c r="CE1282" s="9"/>
      <c r="CF1282" s="9"/>
      <c r="CG1282" s="9"/>
      <c r="CH1282" s="9"/>
      <c r="CI1282" s="9"/>
      <c r="CJ1282" s="9"/>
      <c r="CK1282" s="9"/>
      <c r="CL1282" s="9"/>
      <c r="CM1282" s="9"/>
      <c r="CN1282" s="9"/>
      <c r="CO1282" s="9"/>
      <c r="CP1282" s="9"/>
      <c r="CQ1282" s="9"/>
      <c r="CR1282" s="9"/>
      <c r="CS1282" s="9"/>
      <c r="CT1282" s="9"/>
      <c r="CU1282" s="9"/>
      <c r="CV1282" s="9"/>
      <c r="CW1282" s="9"/>
      <c r="CX1282" s="9"/>
      <c r="CY1282" s="9"/>
    </row>
    <row r="1283" spans="3:103" x14ac:dyDescent="0.2">
      <c r="C1283" s="1"/>
      <c r="D1283" s="6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s="9"/>
      <c r="BU1283" s="9"/>
      <c r="BV1283" s="9"/>
      <c r="BW1283" s="9"/>
      <c r="BX1283" s="9"/>
      <c r="BY1283" s="9"/>
      <c r="BZ1283" s="9"/>
      <c r="CA1283" s="9"/>
      <c r="CB1283" s="9"/>
      <c r="CC1283" s="9"/>
      <c r="CD1283" s="9"/>
      <c r="CE1283" s="9"/>
      <c r="CF1283" s="9"/>
      <c r="CG1283" s="9"/>
      <c r="CH1283" s="9"/>
      <c r="CI1283" s="9"/>
      <c r="CJ1283" s="9"/>
      <c r="CK1283" s="9"/>
      <c r="CL1283" s="9"/>
      <c r="CM1283" s="9"/>
      <c r="CN1283" s="9"/>
      <c r="CO1283" s="9"/>
      <c r="CP1283" s="9"/>
      <c r="CQ1283" s="9"/>
      <c r="CR1283" s="9"/>
      <c r="CS1283" s="9"/>
      <c r="CT1283" s="9"/>
      <c r="CU1283" s="9"/>
      <c r="CV1283" s="9"/>
      <c r="CW1283" s="9"/>
      <c r="CX1283" s="9"/>
      <c r="CY1283" s="9"/>
    </row>
    <row r="1284" spans="3:103" x14ac:dyDescent="0.2">
      <c r="C1284" s="1"/>
      <c r="D1284" s="6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s="9"/>
      <c r="BU1284" s="9"/>
      <c r="BV1284" s="9"/>
      <c r="BW1284" s="9"/>
      <c r="BX1284" s="9"/>
      <c r="BY1284" s="9"/>
      <c r="BZ1284" s="9"/>
      <c r="CA1284" s="9"/>
      <c r="CB1284" s="9"/>
      <c r="CC1284" s="9"/>
      <c r="CD1284" s="9"/>
      <c r="CE1284" s="9"/>
      <c r="CF1284" s="9"/>
      <c r="CG1284" s="9"/>
      <c r="CH1284" s="9"/>
      <c r="CI1284" s="9"/>
      <c r="CJ1284" s="9"/>
      <c r="CK1284" s="9"/>
      <c r="CL1284" s="9"/>
      <c r="CM1284" s="9"/>
      <c r="CN1284" s="9"/>
      <c r="CO1284" s="9"/>
      <c r="CP1284" s="9"/>
      <c r="CQ1284" s="9"/>
      <c r="CR1284" s="9"/>
      <c r="CS1284" s="9"/>
      <c r="CT1284" s="9"/>
      <c r="CU1284" s="9"/>
      <c r="CV1284" s="9"/>
      <c r="CW1284" s="9"/>
      <c r="CX1284" s="9"/>
      <c r="CY1284" s="9"/>
    </row>
    <row r="1285" spans="3:103" x14ac:dyDescent="0.2">
      <c r="C1285" s="1"/>
      <c r="D1285" s="6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s="9"/>
      <c r="BU1285" s="9"/>
      <c r="BV1285" s="9"/>
      <c r="BW1285" s="9"/>
      <c r="BX1285" s="9"/>
      <c r="BY1285" s="9"/>
      <c r="BZ1285" s="9"/>
      <c r="CA1285" s="9"/>
      <c r="CB1285" s="9"/>
      <c r="CC1285" s="9"/>
      <c r="CD1285" s="9"/>
      <c r="CE1285" s="9"/>
      <c r="CF1285" s="9"/>
      <c r="CG1285" s="9"/>
      <c r="CH1285" s="9"/>
      <c r="CI1285" s="9"/>
      <c r="CJ1285" s="9"/>
      <c r="CK1285" s="9"/>
      <c r="CL1285" s="9"/>
      <c r="CM1285" s="9"/>
      <c r="CN1285" s="9"/>
      <c r="CO1285" s="9"/>
      <c r="CP1285" s="9"/>
      <c r="CQ1285" s="9"/>
      <c r="CR1285" s="9"/>
      <c r="CS1285" s="9"/>
      <c r="CT1285" s="9"/>
      <c r="CU1285" s="9"/>
      <c r="CV1285" s="9"/>
      <c r="CW1285" s="9"/>
      <c r="CX1285" s="9"/>
      <c r="CY1285" s="9"/>
    </row>
    <row r="1286" spans="3:103" x14ac:dyDescent="0.2">
      <c r="C1286" s="1"/>
      <c r="D1286" s="6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s="9"/>
      <c r="BU1286" s="9"/>
      <c r="BV1286" s="9"/>
      <c r="BW1286" s="9"/>
      <c r="BX1286" s="9"/>
      <c r="BY1286" s="9"/>
      <c r="BZ1286" s="9"/>
      <c r="CA1286" s="9"/>
      <c r="CB1286" s="9"/>
      <c r="CC1286" s="9"/>
      <c r="CD1286" s="9"/>
      <c r="CE1286" s="9"/>
      <c r="CF1286" s="9"/>
      <c r="CG1286" s="9"/>
      <c r="CH1286" s="9"/>
      <c r="CI1286" s="9"/>
      <c r="CJ1286" s="9"/>
      <c r="CK1286" s="9"/>
      <c r="CL1286" s="9"/>
      <c r="CM1286" s="9"/>
      <c r="CN1286" s="9"/>
      <c r="CO1286" s="9"/>
      <c r="CP1286" s="9"/>
      <c r="CQ1286" s="9"/>
      <c r="CR1286" s="9"/>
      <c r="CS1286" s="9"/>
      <c r="CT1286" s="9"/>
      <c r="CU1286" s="9"/>
      <c r="CV1286" s="9"/>
      <c r="CW1286" s="9"/>
      <c r="CX1286" s="9"/>
      <c r="CY1286" s="9"/>
    </row>
    <row r="1287" spans="3:103" x14ac:dyDescent="0.2">
      <c r="C1287" s="1"/>
      <c r="D1287" s="6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s="9"/>
      <c r="BU1287" s="9"/>
      <c r="BV1287" s="9"/>
      <c r="BW1287" s="9"/>
      <c r="BX1287" s="9"/>
      <c r="BY1287" s="9"/>
      <c r="BZ1287" s="9"/>
      <c r="CA1287" s="9"/>
      <c r="CB1287" s="9"/>
      <c r="CC1287" s="9"/>
      <c r="CD1287" s="9"/>
      <c r="CE1287" s="9"/>
      <c r="CF1287" s="9"/>
      <c r="CG1287" s="9"/>
      <c r="CH1287" s="9"/>
      <c r="CI1287" s="9"/>
      <c r="CJ1287" s="9"/>
      <c r="CK1287" s="9"/>
      <c r="CL1287" s="9"/>
      <c r="CM1287" s="9"/>
      <c r="CN1287" s="9"/>
      <c r="CO1287" s="9"/>
      <c r="CP1287" s="9"/>
      <c r="CQ1287" s="9"/>
      <c r="CR1287" s="9"/>
      <c r="CS1287" s="9"/>
      <c r="CT1287" s="9"/>
      <c r="CU1287" s="9"/>
      <c r="CV1287" s="9"/>
      <c r="CW1287" s="9"/>
      <c r="CX1287" s="9"/>
      <c r="CY1287" s="9"/>
    </row>
    <row r="1288" spans="3:103" x14ac:dyDescent="0.2">
      <c r="C1288" s="1"/>
      <c r="D1288" s="6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s="9"/>
      <c r="BU1288" s="9"/>
      <c r="BV1288" s="9"/>
      <c r="BW1288" s="9"/>
      <c r="BX1288" s="9"/>
      <c r="BY1288" s="9"/>
      <c r="BZ1288" s="9"/>
      <c r="CA1288" s="9"/>
      <c r="CB1288" s="9"/>
      <c r="CC1288" s="9"/>
      <c r="CD1288" s="9"/>
      <c r="CE1288" s="9"/>
      <c r="CF1288" s="9"/>
      <c r="CG1288" s="9"/>
      <c r="CH1288" s="9"/>
      <c r="CI1288" s="9"/>
      <c r="CJ1288" s="9"/>
      <c r="CK1288" s="9"/>
      <c r="CL1288" s="9"/>
      <c r="CM1288" s="9"/>
      <c r="CN1288" s="9"/>
      <c r="CO1288" s="9"/>
      <c r="CP1288" s="9"/>
      <c r="CQ1288" s="9"/>
      <c r="CR1288" s="9"/>
      <c r="CS1288" s="9"/>
      <c r="CT1288" s="9"/>
      <c r="CU1288" s="9"/>
      <c r="CV1288" s="9"/>
      <c r="CW1288" s="9"/>
      <c r="CX1288" s="9"/>
      <c r="CY1288" s="9"/>
    </row>
    <row r="1289" spans="3:103" x14ac:dyDescent="0.2">
      <c r="C1289" s="1"/>
      <c r="D1289" s="6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s="9"/>
      <c r="BU1289" s="9"/>
      <c r="BV1289" s="9"/>
      <c r="BW1289" s="9"/>
      <c r="BX1289" s="9"/>
      <c r="BY1289" s="9"/>
      <c r="BZ1289" s="9"/>
      <c r="CA1289" s="9"/>
      <c r="CB1289" s="9"/>
      <c r="CC1289" s="9"/>
      <c r="CD1289" s="9"/>
      <c r="CE1289" s="9"/>
      <c r="CF1289" s="9"/>
      <c r="CG1289" s="9"/>
      <c r="CH1289" s="9"/>
      <c r="CI1289" s="9"/>
      <c r="CJ1289" s="9"/>
      <c r="CK1289" s="9"/>
      <c r="CL1289" s="9"/>
      <c r="CM1289" s="9"/>
      <c r="CN1289" s="9"/>
      <c r="CO1289" s="9"/>
      <c r="CP1289" s="9"/>
      <c r="CQ1289" s="9"/>
      <c r="CR1289" s="9"/>
      <c r="CS1289" s="9"/>
      <c r="CT1289" s="9"/>
      <c r="CU1289" s="9"/>
      <c r="CV1289" s="9"/>
      <c r="CW1289" s="9"/>
      <c r="CX1289" s="9"/>
      <c r="CY1289" s="9"/>
    </row>
    <row r="1290" spans="3:103" x14ac:dyDescent="0.2">
      <c r="C1290" s="1"/>
      <c r="D1290" s="6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s="9"/>
      <c r="BU1290" s="9"/>
      <c r="BV1290" s="9"/>
      <c r="BW1290" s="9"/>
      <c r="BX1290" s="9"/>
      <c r="BY1290" s="9"/>
      <c r="BZ1290" s="9"/>
      <c r="CA1290" s="9"/>
      <c r="CB1290" s="9"/>
      <c r="CC1290" s="9"/>
      <c r="CD1290" s="9"/>
      <c r="CE1290" s="9"/>
      <c r="CF1290" s="9"/>
      <c r="CG1290" s="9"/>
      <c r="CH1290" s="9"/>
      <c r="CI1290" s="9"/>
      <c r="CJ1290" s="9"/>
      <c r="CK1290" s="9"/>
      <c r="CL1290" s="9"/>
      <c r="CM1290" s="9"/>
      <c r="CN1290" s="9"/>
      <c r="CO1290" s="9"/>
      <c r="CP1290" s="9"/>
      <c r="CQ1290" s="9"/>
      <c r="CR1290" s="9"/>
      <c r="CS1290" s="9"/>
      <c r="CT1290" s="9"/>
      <c r="CU1290" s="9"/>
      <c r="CV1290" s="9"/>
      <c r="CW1290" s="9"/>
      <c r="CX1290" s="9"/>
      <c r="CY1290" s="9"/>
    </row>
    <row r="1291" spans="3:103" x14ac:dyDescent="0.2">
      <c r="C1291" s="1"/>
      <c r="D1291" s="6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  <c r="BY1291" s="9"/>
      <c r="BZ1291" s="9"/>
      <c r="CA1291" s="9"/>
      <c r="CB1291" s="9"/>
      <c r="CC1291" s="9"/>
      <c r="CD1291" s="9"/>
      <c r="CE1291" s="9"/>
      <c r="CF1291" s="9"/>
      <c r="CG1291" s="9"/>
      <c r="CH1291" s="9"/>
      <c r="CI1291" s="9"/>
      <c r="CJ1291" s="9"/>
      <c r="CK1291" s="9"/>
      <c r="CL1291" s="9"/>
      <c r="CM1291" s="9"/>
      <c r="CN1291" s="9"/>
      <c r="CO1291" s="9"/>
      <c r="CP1291" s="9"/>
      <c r="CQ1291" s="9"/>
      <c r="CR1291" s="9"/>
      <c r="CS1291" s="9"/>
      <c r="CT1291" s="9"/>
      <c r="CU1291" s="9"/>
      <c r="CV1291" s="9"/>
      <c r="CW1291" s="9"/>
      <c r="CX1291" s="9"/>
      <c r="CY1291" s="9"/>
    </row>
    <row r="1292" spans="3:103" x14ac:dyDescent="0.2">
      <c r="C1292" s="1"/>
      <c r="D1292" s="6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s="9"/>
      <c r="BU1292" s="9"/>
      <c r="BV1292" s="9"/>
      <c r="BW1292" s="9"/>
      <c r="BX1292" s="9"/>
      <c r="BY1292" s="9"/>
      <c r="BZ1292" s="9"/>
      <c r="CA1292" s="9"/>
      <c r="CB1292" s="9"/>
      <c r="CC1292" s="9"/>
      <c r="CD1292" s="9"/>
      <c r="CE1292" s="9"/>
      <c r="CF1292" s="9"/>
      <c r="CG1292" s="9"/>
      <c r="CH1292" s="9"/>
      <c r="CI1292" s="9"/>
      <c r="CJ1292" s="9"/>
      <c r="CK1292" s="9"/>
      <c r="CL1292" s="9"/>
      <c r="CM1292" s="9"/>
      <c r="CN1292" s="9"/>
      <c r="CO1292" s="9"/>
      <c r="CP1292" s="9"/>
      <c r="CQ1292" s="9"/>
      <c r="CR1292" s="9"/>
      <c r="CS1292" s="9"/>
      <c r="CT1292" s="9"/>
      <c r="CU1292" s="9"/>
      <c r="CV1292" s="9"/>
      <c r="CW1292" s="9"/>
      <c r="CX1292" s="9"/>
      <c r="CY1292" s="9"/>
    </row>
    <row r="1293" spans="3:103" x14ac:dyDescent="0.2">
      <c r="C1293" s="1"/>
      <c r="D1293" s="6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s="9"/>
      <c r="BU1293" s="9"/>
      <c r="BV1293" s="9"/>
      <c r="BW1293" s="9"/>
      <c r="BX1293" s="9"/>
      <c r="BY1293" s="9"/>
      <c r="BZ1293" s="9"/>
      <c r="CA1293" s="9"/>
      <c r="CB1293" s="9"/>
      <c r="CC1293" s="9"/>
      <c r="CD1293" s="9"/>
      <c r="CE1293" s="9"/>
      <c r="CF1293" s="9"/>
      <c r="CG1293" s="9"/>
      <c r="CH1293" s="9"/>
      <c r="CI1293" s="9"/>
      <c r="CJ1293" s="9"/>
      <c r="CK1293" s="9"/>
      <c r="CL1293" s="9"/>
      <c r="CM1293" s="9"/>
      <c r="CN1293" s="9"/>
      <c r="CO1293" s="9"/>
      <c r="CP1293" s="9"/>
      <c r="CQ1293" s="9"/>
      <c r="CR1293" s="9"/>
      <c r="CS1293" s="9"/>
      <c r="CT1293" s="9"/>
      <c r="CU1293" s="9"/>
      <c r="CV1293" s="9"/>
      <c r="CW1293" s="9"/>
      <c r="CX1293" s="9"/>
      <c r="CY1293" s="9"/>
    </row>
    <row r="1294" spans="3:103" x14ac:dyDescent="0.2">
      <c r="C1294" s="1"/>
      <c r="D1294" s="6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s="9"/>
      <c r="BU1294" s="9"/>
      <c r="BV1294" s="9"/>
      <c r="BW1294" s="9"/>
      <c r="BX1294" s="9"/>
      <c r="BY1294" s="9"/>
      <c r="BZ1294" s="9"/>
      <c r="CA1294" s="9"/>
      <c r="CB1294" s="9"/>
      <c r="CC1294" s="9"/>
      <c r="CD1294" s="9"/>
      <c r="CE1294" s="9"/>
      <c r="CF1294" s="9"/>
      <c r="CG1294" s="9"/>
      <c r="CH1294" s="9"/>
      <c r="CI1294" s="9"/>
      <c r="CJ1294" s="9"/>
      <c r="CK1294" s="9"/>
      <c r="CL1294" s="9"/>
      <c r="CM1294" s="9"/>
      <c r="CN1294" s="9"/>
      <c r="CO1294" s="9"/>
      <c r="CP1294" s="9"/>
      <c r="CQ1294" s="9"/>
      <c r="CR1294" s="9"/>
      <c r="CS1294" s="9"/>
      <c r="CT1294" s="9"/>
      <c r="CU1294" s="9"/>
      <c r="CV1294" s="9"/>
      <c r="CW1294" s="9"/>
      <c r="CX1294" s="9"/>
      <c r="CY1294" s="9"/>
    </row>
    <row r="1295" spans="3:103" x14ac:dyDescent="0.2">
      <c r="C1295" s="1"/>
      <c r="D1295" s="6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s="9"/>
      <c r="BU1295" s="9"/>
      <c r="BV1295" s="9"/>
      <c r="BW1295" s="9"/>
      <c r="BX1295" s="9"/>
      <c r="BY1295" s="9"/>
      <c r="BZ1295" s="9"/>
      <c r="CA1295" s="9"/>
      <c r="CB1295" s="9"/>
      <c r="CC1295" s="9"/>
      <c r="CD1295" s="9"/>
      <c r="CE1295" s="9"/>
      <c r="CF1295" s="9"/>
      <c r="CG1295" s="9"/>
      <c r="CH1295" s="9"/>
      <c r="CI1295" s="9"/>
      <c r="CJ1295" s="9"/>
      <c r="CK1295" s="9"/>
      <c r="CL1295" s="9"/>
      <c r="CM1295" s="9"/>
      <c r="CN1295" s="9"/>
      <c r="CO1295" s="9"/>
      <c r="CP1295" s="9"/>
      <c r="CQ1295" s="9"/>
      <c r="CR1295" s="9"/>
      <c r="CS1295" s="9"/>
      <c r="CT1295" s="9"/>
      <c r="CU1295" s="9"/>
      <c r="CV1295" s="9"/>
      <c r="CW1295" s="9"/>
      <c r="CX1295" s="9"/>
      <c r="CY1295" s="9"/>
    </row>
    <row r="1296" spans="3:103" x14ac:dyDescent="0.2">
      <c r="C1296" s="1"/>
      <c r="D1296" s="6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s="9"/>
      <c r="BU1296" s="9"/>
      <c r="BV1296" s="9"/>
      <c r="BW1296" s="9"/>
      <c r="BX1296" s="9"/>
      <c r="BY1296" s="9"/>
      <c r="BZ1296" s="9"/>
      <c r="CA1296" s="9"/>
      <c r="CB1296" s="9"/>
      <c r="CC1296" s="9"/>
      <c r="CD1296" s="9"/>
      <c r="CE1296" s="9"/>
      <c r="CF1296" s="9"/>
      <c r="CG1296" s="9"/>
      <c r="CH1296" s="9"/>
      <c r="CI1296" s="9"/>
      <c r="CJ1296" s="9"/>
      <c r="CK1296" s="9"/>
      <c r="CL1296" s="9"/>
      <c r="CM1296" s="9"/>
      <c r="CN1296" s="9"/>
      <c r="CO1296" s="9"/>
      <c r="CP1296" s="9"/>
      <c r="CQ1296" s="9"/>
      <c r="CR1296" s="9"/>
      <c r="CS1296" s="9"/>
      <c r="CT1296" s="9"/>
      <c r="CU1296" s="9"/>
      <c r="CV1296" s="9"/>
      <c r="CW1296" s="9"/>
      <c r="CX1296" s="9"/>
      <c r="CY1296" s="9"/>
    </row>
    <row r="1297" spans="3:103" x14ac:dyDescent="0.2">
      <c r="C1297" s="1"/>
      <c r="D1297" s="6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s="9"/>
      <c r="BU1297" s="9"/>
      <c r="BV1297" s="9"/>
      <c r="BW1297" s="9"/>
      <c r="BX1297" s="9"/>
      <c r="BY1297" s="9"/>
      <c r="BZ1297" s="9"/>
      <c r="CA1297" s="9"/>
      <c r="CB1297" s="9"/>
      <c r="CC1297" s="9"/>
      <c r="CD1297" s="9"/>
      <c r="CE1297" s="9"/>
      <c r="CF1297" s="9"/>
      <c r="CG1297" s="9"/>
      <c r="CH1297" s="9"/>
      <c r="CI1297" s="9"/>
      <c r="CJ1297" s="9"/>
      <c r="CK1297" s="9"/>
      <c r="CL1297" s="9"/>
      <c r="CM1297" s="9"/>
      <c r="CN1297" s="9"/>
      <c r="CO1297" s="9"/>
      <c r="CP1297" s="9"/>
      <c r="CQ1297" s="9"/>
      <c r="CR1297" s="9"/>
      <c r="CS1297" s="9"/>
      <c r="CT1297" s="9"/>
      <c r="CU1297" s="9"/>
      <c r="CV1297" s="9"/>
      <c r="CW1297" s="9"/>
      <c r="CX1297" s="9"/>
      <c r="CY1297" s="9"/>
    </row>
    <row r="1298" spans="3:103" x14ac:dyDescent="0.2">
      <c r="C1298" s="1"/>
      <c r="D1298" s="6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s="9"/>
      <c r="BU1298" s="9"/>
      <c r="BV1298" s="9"/>
      <c r="BW1298" s="9"/>
      <c r="BX1298" s="9"/>
      <c r="BY1298" s="9"/>
      <c r="BZ1298" s="9"/>
      <c r="CA1298" s="9"/>
      <c r="CB1298" s="9"/>
      <c r="CC1298" s="9"/>
      <c r="CD1298" s="9"/>
      <c r="CE1298" s="9"/>
      <c r="CF1298" s="9"/>
      <c r="CG1298" s="9"/>
      <c r="CH1298" s="9"/>
      <c r="CI1298" s="9"/>
      <c r="CJ1298" s="9"/>
      <c r="CK1298" s="9"/>
      <c r="CL1298" s="9"/>
      <c r="CM1298" s="9"/>
      <c r="CN1298" s="9"/>
      <c r="CO1298" s="9"/>
      <c r="CP1298" s="9"/>
      <c r="CQ1298" s="9"/>
      <c r="CR1298" s="9"/>
      <c r="CS1298" s="9"/>
      <c r="CT1298" s="9"/>
      <c r="CU1298" s="9"/>
      <c r="CV1298" s="9"/>
      <c r="CW1298" s="9"/>
      <c r="CX1298" s="9"/>
      <c r="CY1298" s="9"/>
    </row>
    <row r="1299" spans="3:103" x14ac:dyDescent="0.2">
      <c r="C1299" s="1"/>
      <c r="D1299" s="6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s="9"/>
      <c r="BU1299" s="9"/>
      <c r="BV1299" s="9"/>
      <c r="BW1299" s="9"/>
      <c r="BX1299" s="9"/>
      <c r="BY1299" s="9"/>
      <c r="BZ1299" s="9"/>
      <c r="CA1299" s="9"/>
      <c r="CB1299" s="9"/>
      <c r="CC1299" s="9"/>
      <c r="CD1299" s="9"/>
      <c r="CE1299" s="9"/>
      <c r="CF1299" s="9"/>
      <c r="CG1299" s="9"/>
      <c r="CH1299" s="9"/>
      <c r="CI1299" s="9"/>
      <c r="CJ1299" s="9"/>
      <c r="CK1299" s="9"/>
      <c r="CL1299" s="9"/>
      <c r="CM1299" s="9"/>
      <c r="CN1299" s="9"/>
      <c r="CO1299" s="9"/>
      <c r="CP1299" s="9"/>
      <c r="CQ1299" s="9"/>
      <c r="CR1299" s="9"/>
      <c r="CS1299" s="9"/>
      <c r="CT1299" s="9"/>
      <c r="CU1299" s="9"/>
      <c r="CV1299" s="9"/>
      <c r="CW1299" s="9"/>
      <c r="CX1299" s="9"/>
      <c r="CY1299" s="9"/>
    </row>
    <row r="1300" spans="3:103" x14ac:dyDescent="0.2">
      <c r="C1300" s="1"/>
      <c r="D1300" s="6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s="9"/>
      <c r="BU1300" s="9"/>
      <c r="BV1300" s="9"/>
      <c r="BW1300" s="9"/>
      <c r="BX1300" s="9"/>
      <c r="BY1300" s="9"/>
      <c r="BZ1300" s="9"/>
      <c r="CA1300" s="9"/>
      <c r="CB1300" s="9"/>
      <c r="CC1300" s="9"/>
      <c r="CD1300" s="9"/>
      <c r="CE1300" s="9"/>
      <c r="CF1300" s="9"/>
      <c r="CG1300" s="9"/>
      <c r="CH1300" s="9"/>
      <c r="CI1300" s="9"/>
      <c r="CJ1300" s="9"/>
      <c r="CK1300" s="9"/>
      <c r="CL1300" s="9"/>
      <c r="CM1300" s="9"/>
      <c r="CN1300" s="9"/>
      <c r="CO1300" s="9"/>
      <c r="CP1300" s="9"/>
      <c r="CQ1300" s="9"/>
      <c r="CR1300" s="9"/>
      <c r="CS1300" s="9"/>
      <c r="CT1300" s="9"/>
      <c r="CU1300" s="9"/>
      <c r="CV1300" s="9"/>
      <c r="CW1300" s="9"/>
      <c r="CX1300" s="9"/>
      <c r="CY1300" s="9"/>
    </row>
    <row r="1301" spans="3:103" x14ac:dyDescent="0.2">
      <c r="C1301" s="1"/>
      <c r="D1301" s="6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s="9"/>
      <c r="BU1301" s="9"/>
      <c r="BV1301" s="9"/>
      <c r="BW1301" s="9"/>
      <c r="BX1301" s="9"/>
      <c r="BY1301" s="9"/>
      <c r="BZ1301" s="9"/>
      <c r="CA1301" s="9"/>
      <c r="CB1301" s="9"/>
      <c r="CC1301" s="9"/>
      <c r="CD1301" s="9"/>
      <c r="CE1301" s="9"/>
      <c r="CF1301" s="9"/>
      <c r="CG1301" s="9"/>
      <c r="CH1301" s="9"/>
      <c r="CI1301" s="9"/>
      <c r="CJ1301" s="9"/>
      <c r="CK1301" s="9"/>
      <c r="CL1301" s="9"/>
      <c r="CM1301" s="9"/>
      <c r="CN1301" s="9"/>
      <c r="CO1301" s="9"/>
      <c r="CP1301" s="9"/>
      <c r="CQ1301" s="9"/>
      <c r="CR1301" s="9"/>
      <c r="CS1301" s="9"/>
      <c r="CT1301" s="9"/>
      <c r="CU1301" s="9"/>
      <c r="CV1301" s="9"/>
      <c r="CW1301" s="9"/>
      <c r="CX1301" s="9"/>
      <c r="CY1301" s="9"/>
    </row>
    <row r="1302" spans="3:103" x14ac:dyDescent="0.2">
      <c r="C1302" s="1"/>
      <c r="D1302" s="6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s="9"/>
      <c r="BU1302" s="9"/>
      <c r="BV1302" s="9"/>
      <c r="BW1302" s="9"/>
      <c r="BX1302" s="9"/>
      <c r="BY1302" s="9"/>
      <c r="BZ1302" s="9"/>
      <c r="CA1302" s="9"/>
      <c r="CB1302" s="9"/>
      <c r="CC1302" s="9"/>
      <c r="CD1302" s="9"/>
      <c r="CE1302" s="9"/>
      <c r="CF1302" s="9"/>
      <c r="CG1302" s="9"/>
      <c r="CH1302" s="9"/>
      <c r="CI1302" s="9"/>
      <c r="CJ1302" s="9"/>
      <c r="CK1302" s="9"/>
      <c r="CL1302" s="9"/>
      <c r="CM1302" s="9"/>
      <c r="CN1302" s="9"/>
      <c r="CO1302" s="9"/>
      <c r="CP1302" s="9"/>
      <c r="CQ1302" s="9"/>
      <c r="CR1302" s="9"/>
      <c r="CS1302" s="9"/>
      <c r="CT1302" s="9"/>
      <c r="CU1302" s="9"/>
      <c r="CV1302" s="9"/>
      <c r="CW1302" s="9"/>
      <c r="CX1302" s="9"/>
      <c r="CY1302" s="9"/>
    </row>
    <row r="1303" spans="3:103" x14ac:dyDescent="0.2">
      <c r="C1303" s="1"/>
      <c r="D1303" s="6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s="9"/>
      <c r="BU1303" s="9"/>
      <c r="BV1303" s="9"/>
      <c r="BW1303" s="9"/>
      <c r="BX1303" s="9"/>
      <c r="BY1303" s="9"/>
      <c r="BZ1303" s="9"/>
      <c r="CA1303" s="9"/>
      <c r="CB1303" s="9"/>
      <c r="CC1303" s="9"/>
      <c r="CD1303" s="9"/>
      <c r="CE1303" s="9"/>
      <c r="CF1303" s="9"/>
      <c r="CG1303" s="9"/>
      <c r="CH1303" s="9"/>
      <c r="CI1303" s="9"/>
      <c r="CJ1303" s="9"/>
      <c r="CK1303" s="9"/>
      <c r="CL1303" s="9"/>
      <c r="CM1303" s="9"/>
      <c r="CN1303" s="9"/>
      <c r="CO1303" s="9"/>
      <c r="CP1303" s="9"/>
      <c r="CQ1303" s="9"/>
      <c r="CR1303" s="9"/>
      <c r="CS1303" s="9"/>
      <c r="CT1303" s="9"/>
      <c r="CU1303" s="9"/>
      <c r="CV1303" s="9"/>
      <c r="CW1303" s="9"/>
      <c r="CX1303" s="9"/>
      <c r="CY1303" s="9"/>
    </row>
    <row r="1304" spans="3:103" x14ac:dyDescent="0.2">
      <c r="C1304" s="1"/>
      <c r="D1304" s="6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s="9"/>
      <c r="BU1304" s="9"/>
      <c r="BV1304" s="9"/>
      <c r="BW1304" s="9"/>
      <c r="BX1304" s="9"/>
      <c r="BY1304" s="9"/>
      <c r="BZ1304" s="9"/>
      <c r="CA1304" s="9"/>
      <c r="CB1304" s="9"/>
      <c r="CC1304" s="9"/>
      <c r="CD1304" s="9"/>
      <c r="CE1304" s="9"/>
      <c r="CF1304" s="9"/>
      <c r="CG1304" s="9"/>
      <c r="CH1304" s="9"/>
      <c r="CI1304" s="9"/>
      <c r="CJ1304" s="9"/>
      <c r="CK1304" s="9"/>
      <c r="CL1304" s="9"/>
      <c r="CM1304" s="9"/>
      <c r="CN1304" s="9"/>
      <c r="CO1304" s="9"/>
      <c r="CP1304" s="9"/>
      <c r="CQ1304" s="9"/>
      <c r="CR1304" s="9"/>
      <c r="CS1304" s="9"/>
      <c r="CT1304" s="9"/>
      <c r="CU1304" s="9"/>
      <c r="CV1304" s="9"/>
      <c r="CW1304" s="9"/>
      <c r="CX1304" s="9"/>
      <c r="CY1304" s="9"/>
    </row>
    <row r="1305" spans="3:103" x14ac:dyDescent="0.2">
      <c r="C1305" s="1"/>
      <c r="D1305" s="6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s="9"/>
      <c r="BU1305" s="9"/>
      <c r="BV1305" s="9"/>
      <c r="BW1305" s="9"/>
      <c r="BX1305" s="9"/>
      <c r="BY1305" s="9"/>
      <c r="BZ1305" s="9"/>
      <c r="CA1305" s="9"/>
      <c r="CB1305" s="9"/>
      <c r="CC1305" s="9"/>
      <c r="CD1305" s="9"/>
      <c r="CE1305" s="9"/>
      <c r="CF1305" s="9"/>
      <c r="CG1305" s="9"/>
      <c r="CH1305" s="9"/>
      <c r="CI1305" s="9"/>
      <c r="CJ1305" s="9"/>
      <c r="CK1305" s="9"/>
      <c r="CL1305" s="9"/>
      <c r="CM1305" s="9"/>
      <c r="CN1305" s="9"/>
      <c r="CO1305" s="9"/>
      <c r="CP1305" s="9"/>
      <c r="CQ1305" s="9"/>
      <c r="CR1305" s="9"/>
      <c r="CS1305" s="9"/>
      <c r="CT1305" s="9"/>
      <c r="CU1305" s="9"/>
      <c r="CV1305" s="9"/>
      <c r="CW1305" s="9"/>
      <c r="CX1305" s="9"/>
      <c r="CY1305" s="9"/>
    </row>
    <row r="1306" spans="3:103" x14ac:dyDescent="0.2">
      <c r="C1306" s="1"/>
      <c r="D1306" s="6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s="9"/>
      <c r="BU1306" s="9"/>
      <c r="BV1306" s="9"/>
      <c r="BW1306" s="9"/>
      <c r="BX1306" s="9"/>
      <c r="BY1306" s="9"/>
      <c r="BZ1306" s="9"/>
      <c r="CA1306" s="9"/>
      <c r="CB1306" s="9"/>
      <c r="CC1306" s="9"/>
      <c r="CD1306" s="9"/>
      <c r="CE1306" s="9"/>
      <c r="CF1306" s="9"/>
      <c r="CG1306" s="9"/>
      <c r="CH1306" s="9"/>
      <c r="CI1306" s="9"/>
      <c r="CJ1306" s="9"/>
      <c r="CK1306" s="9"/>
      <c r="CL1306" s="9"/>
      <c r="CM1306" s="9"/>
      <c r="CN1306" s="9"/>
      <c r="CO1306" s="9"/>
      <c r="CP1306" s="9"/>
      <c r="CQ1306" s="9"/>
      <c r="CR1306" s="9"/>
      <c r="CS1306" s="9"/>
      <c r="CT1306" s="9"/>
      <c r="CU1306" s="9"/>
      <c r="CV1306" s="9"/>
      <c r="CW1306" s="9"/>
      <c r="CX1306" s="9"/>
      <c r="CY1306" s="9"/>
    </row>
    <row r="1307" spans="3:103" x14ac:dyDescent="0.2">
      <c r="C1307" s="1"/>
      <c r="D1307" s="6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s="9"/>
      <c r="BU1307" s="9"/>
      <c r="BV1307" s="9"/>
      <c r="BW1307" s="9"/>
      <c r="BX1307" s="9"/>
      <c r="BY1307" s="9"/>
      <c r="BZ1307" s="9"/>
      <c r="CA1307" s="9"/>
      <c r="CB1307" s="9"/>
      <c r="CC1307" s="9"/>
      <c r="CD1307" s="9"/>
      <c r="CE1307" s="9"/>
      <c r="CF1307" s="9"/>
      <c r="CG1307" s="9"/>
      <c r="CH1307" s="9"/>
      <c r="CI1307" s="9"/>
      <c r="CJ1307" s="9"/>
      <c r="CK1307" s="9"/>
      <c r="CL1307" s="9"/>
      <c r="CM1307" s="9"/>
      <c r="CN1307" s="9"/>
      <c r="CO1307" s="9"/>
      <c r="CP1307" s="9"/>
      <c r="CQ1307" s="9"/>
      <c r="CR1307" s="9"/>
      <c r="CS1307" s="9"/>
      <c r="CT1307" s="9"/>
      <c r="CU1307" s="9"/>
      <c r="CV1307" s="9"/>
      <c r="CW1307" s="9"/>
      <c r="CX1307" s="9"/>
      <c r="CY1307" s="9"/>
    </row>
    <row r="1308" spans="3:103" x14ac:dyDescent="0.2">
      <c r="C1308" s="1"/>
      <c r="D1308" s="6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s="9"/>
      <c r="BU1308" s="9"/>
      <c r="BV1308" s="9"/>
      <c r="BW1308" s="9"/>
      <c r="BX1308" s="9"/>
      <c r="BY1308" s="9"/>
      <c r="BZ1308" s="9"/>
      <c r="CA1308" s="9"/>
      <c r="CB1308" s="9"/>
      <c r="CC1308" s="9"/>
      <c r="CD1308" s="9"/>
      <c r="CE1308" s="9"/>
      <c r="CF1308" s="9"/>
      <c r="CG1308" s="9"/>
      <c r="CH1308" s="9"/>
      <c r="CI1308" s="9"/>
      <c r="CJ1308" s="9"/>
      <c r="CK1308" s="9"/>
      <c r="CL1308" s="9"/>
      <c r="CM1308" s="9"/>
      <c r="CN1308" s="9"/>
      <c r="CO1308" s="9"/>
      <c r="CP1308" s="9"/>
      <c r="CQ1308" s="9"/>
      <c r="CR1308" s="9"/>
      <c r="CS1308" s="9"/>
      <c r="CT1308" s="9"/>
      <c r="CU1308" s="9"/>
      <c r="CV1308" s="9"/>
      <c r="CW1308" s="9"/>
      <c r="CX1308" s="9"/>
      <c r="CY1308" s="9"/>
    </row>
    <row r="1309" spans="3:103" x14ac:dyDescent="0.2">
      <c r="C1309" s="1"/>
      <c r="D1309" s="6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s="9"/>
      <c r="BU1309" s="9"/>
      <c r="BV1309" s="9"/>
      <c r="BW1309" s="9"/>
      <c r="BX1309" s="9"/>
      <c r="BY1309" s="9"/>
      <c r="BZ1309" s="9"/>
      <c r="CA1309" s="9"/>
      <c r="CB1309" s="9"/>
      <c r="CC1309" s="9"/>
      <c r="CD1309" s="9"/>
      <c r="CE1309" s="9"/>
      <c r="CF1309" s="9"/>
      <c r="CG1309" s="9"/>
      <c r="CH1309" s="9"/>
      <c r="CI1309" s="9"/>
      <c r="CJ1309" s="9"/>
      <c r="CK1309" s="9"/>
      <c r="CL1309" s="9"/>
      <c r="CM1309" s="9"/>
      <c r="CN1309" s="9"/>
      <c r="CO1309" s="9"/>
      <c r="CP1309" s="9"/>
      <c r="CQ1309" s="9"/>
      <c r="CR1309" s="9"/>
      <c r="CS1309" s="9"/>
      <c r="CT1309" s="9"/>
      <c r="CU1309" s="9"/>
      <c r="CV1309" s="9"/>
      <c r="CW1309" s="9"/>
      <c r="CX1309" s="9"/>
      <c r="CY1309" s="9"/>
    </row>
    <row r="1310" spans="3:103" x14ac:dyDescent="0.2">
      <c r="C1310" s="1"/>
      <c r="D1310" s="6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s="9"/>
      <c r="BU1310" s="9"/>
      <c r="BV1310" s="9"/>
      <c r="BW1310" s="9"/>
      <c r="BX1310" s="9"/>
      <c r="BY1310" s="9"/>
      <c r="BZ1310" s="9"/>
      <c r="CA1310" s="9"/>
      <c r="CB1310" s="9"/>
      <c r="CC1310" s="9"/>
      <c r="CD1310" s="9"/>
      <c r="CE1310" s="9"/>
      <c r="CF1310" s="9"/>
      <c r="CG1310" s="9"/>
      <c r="CH1310" s="9"/>
      <c r="CI1310" s="9"/>
      <c r="CJ1310" s="9"/>
      <c r="CK1310" s="9"/>
      <c r="CL1310" s="9"/>
      <c r="CM1310" s="9"/>
      <c r="CN1310" s="9"/>
      <c r="CO1310" s="9"/>
      <c r="CP1310" s="9"/>
      <c r="CQ1310" s="9"/>
      <c r="CR1310" s="9"/>
      <c r="CS1310" s="9"/>
      <c r="CT1310" s="9"/>
      <c r="CU1310" s="9"/>
      <c r="CV1310" s="9"/>
      <c r="CW1310" s="9"/>
      <c r="CX1310" s="9"/>
      <c r="CY1310" s="9"/>
    </row>
    <row r="1311" spans="3:103" x14ac:dyDescent="0.2">
      <c r="C1311" s="1"/>
      <c r="D1311" s="6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s="9"/>
      <c r="BU1311" s="9"/>
      <c r="BV1311" s="9"/>
      <c r="BW1311" s="9"/>
      <c r="BX1311" s="9"/>
      <c r="BY1311" s="9"/>
      <c r="BZ1311" s="9"/>
      <c r="CA1311" s="9"/>
      <c r="CB1311" s="9"/>
      <c r="CC1311" s="9"/>
      <c r="CD1311" s="9"/>
      <c r="CE1311" s="9"/>
      <c r="CF1311" s="9"/>
      <c r="CG1311" s="9"/>
      <c r="CH1311" s="9"/>
      <c r="CI1311" s="9"/>
      <c r="CJ1311" s="9"/>
      <c r="CK1311" s="9"/>
      <c r="CL1311" s="9"/>
      <c r="CM1311" s="9"/>
      <c r="CN1311" s="9"/>
      <c r="CO1311" s="9"/>
      <c r="CP1311" s="9"/>
      <c r="CQ1311" s="9"/>
      <c r="CR1311" s="9"/>
      <c r="CS1311" s="9"/>
      <c r="CT1311" s="9"/>
      <c r="CU1311" s="9"/>
      <c r="CV1311" s="9"/>
      <c r="CW1311" s="9"/>
      <c r="CX1311" s="9"/>
      <c r="CY1311" s="9"/>
    </row>
    <row r="1312" spans="3:103" x14ac:dyDescent="0.2">
      <c r="C1312" s="1"/>
      <c r="D1312" s="6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s="9"/>
      <c r="BU1312" s="9"/>
      <c r="BV1312" s="9"/>
      <c r="BW1312" s="9"/>
      <c r="BX1312" s="9"/>
      <c r="BY1312" s="9"/>
      <c r="BZ1312" s="9"/>
      <c r="CA1312" s="9"/>
      <c r="CB1312" s="9"/>
      <c r="CC1312" s="9"/>
      <c r="CD1312" s="9"/>
      <c r="CE1312" s="9"/>
      <c r="CF1312" s="9"/>
      <c r="CG1312" s="9"/>
      <c r="CH1312" s="9"/>
      <c r="CI1312" s="9"/>
      <c r="CJ1312" s="9"/>
      <c r="CK1312" s="9"/>
      <c r="CL1312" s="9"/>
      <c r="CM1312" s="9"/>
      <c r="CN1312" s="9"/>
      <c r="CO1312" s="9"/>
      <c r="CP1312" s="9"/>
      <c r="CQ1312" s="9"/>
      <c r="CR1312" s="9"/>
      <c r="CS1312" s="9"/>
      <c r="CT1312" s="9"/>
      <c r="CU1312" s="9"/>
      <c r="CV1312" s="9"/>
      <c r="CW1312" s="9"/>
      <c r="CX1312" s="9"/>
      <c r="CY1312" s="9"/>
    </row>
    <row r="1313" spans="3:103" x14ac:dyDescent="0.2">
      <c r="C1313" s="1"/>
      <c r="D1313" s="6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s="9"/>
      <c r="BU1313" s="9"/>
      <c r="BV1313" s="9"/>
      <c r="BW1313" s="9"/>
      <c r="BX1313" s="9"/>
      <c r="BY1313" s="9"/>
      <c r="BZ1313" s="9"/>
      <c r="CA1313" s="9"/>
      <c r="CB1313" s="9"/>
      <c r="CC1313" s="9"/>
      <c r="CD1313" s="9"/>
      <c r="CE1313" s="9"/>
      <c r="CF1313" s="9"/>
      <c r="CG1313" s="9"/>
      <c r="CH1313" s="9"/>
      <c r="CI1313" s="9"/>
      <c r="CJ1313" s="9"/>
      <c r="CK1313" s="9"/>
      <c r="CL1313" s="9"/>
      <c r="CM1313" s="9"/>
      <c r="CN1313" s="9"/>
      <c r="CO1313" s="9"/>
      <c r="CP1313" s="9"/>
      <c r="CQ1313" s="9"/>
      <c r="CR1313" s="9"/>
      <c r="CS1313" s="9"/>
      <c r="CT1313" s="9"/>
      <c r="CU1313" s="9"/>
      <c r="CV1313" s="9"/>
      <c r="CW1313" s="9"/>
      <c r="CX1313" s="9"/>
      <c r="CY1313" s="9"/>
    </row>
    <row r="1314" spans="3:103" x14ac:dyDescent="0.2">
      <c r="C1314" s="1"/>
      <c r="D1314" s="6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s="9"/>
      <c r="BU1314" s="9"/>
      <c r="BV1314" s="9"/>
      <c r="BW1314" s="9"/>
      <c r="BX1314" s="9"/>
      <c r="BY1314" s="9"/>
      <c r="BZ1314" s="9"/>
      <c r="CA1314" s="9"/>
      <c r="CB1314" s="9"/>
      <c r="CC1314" s="9"/>
      <c r="CD1314" s="9"/>
      <c r="CE1314" s="9"/>
      <c r="CF1314" s="9"/>
      <c r="CG1314" s="9"/>
      <c r="CH1314" s="9"/>
      <c r="CI1314" s="9"/>
      <c r="CJ1314" s="9"/>
      <c r="CK1314" s="9"/>
      <c r="CL1314" s="9"/>
      <c r="CM1314" s="9"/>
      <c r="CN1314" s="9"/>
      <c r="CO1314" s="9"/>
      <c r="CP1314" s="9"/>
      <c r="CQ1314" s="9"/>
      <c r="CR1314" s="9"/>
      <c r="CS1314" s="9"/>
      <c r="CT1314" s="9"/>
      <c r="CU1314" s="9"/>
      <c r="CV1314" s="9"/>
      <c r="CW1314" s="9"/>
      <c r="CX1314" s="9"/>
      <c r="CY1314" s="9"/>
    </row>
    <row r="1315" spans="3:103" x14ac:dyDescent="0.2">
      <c r="C1315" s="1"/>
      <c r="D1315" s="6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s="9"/>
      <c r="BU1315" s="9"/>
      <c r="BV1315" s="9"/>
      <c r="BW1315" s="9"/>
      <c r="BX1315" s="9"/>
      <c r="BY1315" s="9"/>
      <c r="BZ1315" s="9"/>
      <c r="CA1315" s="9"/>
      <c r="CB1315" s="9"/>
      <c r="CC1315" s="9"/>
      <c r="CD1315" s="9"/>
      <c r="CE1315" s="9"/>
      <c r="CF1315" s="9"/>
      <c r="CG1315" s="9"/>
      <c r="CH1315" s="9"/>
      <c r="CI1315" s="9"/>
      <c r="CJ1315" s="9"/>
      <c r="CK1315" s="9"/>
      <c r="CL1315" s="9"/>
      <c r="CM1315" s="9"/>
      <c r="CN1315" s="9"/>
      <c r="CO1315" s="9"/>
      <c r="CP1315" s="9"/>
      <c r="CQ1315" s="9"/>
      <c r="CR1315" s="9"/>
      <c r="CS1315" s="9"/>
      <c r="CT1315" s="9"/>
      <c r="CU1315" s="9"/>
      <c r="CV1315" s="9"/>
      <c r="CW1315" s="9"/>
      <c r="CX1315" s="9"/>
      <c r="CY1315" s="9"/>
    </row>
    <row r="1316" spans="3:103" x14ac:dyDescent="0.2">
      <c r="C1316" s="1"/>
      <c r="D1316" s="6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s="9"/>
      <c r="BU1316" s="9"/>
      <c r="BV1316" s="9"/>
      <c r="BW1316" s="9"/>
      <c r="BX1316" s="9"/>
      <c r="BY1316" s="9"/>
      <c r="BZ1316" s="9"/>
      <c r="CA1316" s="9"/>
      <c r="CB1316" s="9"/>
      <c r="CC1316" s="9"/>
      <c r="CD1316" s="9"/>
      <c r="CE1316" s="9"/>
      <c r="CF1316" s="9"/>
      <c r="CG1316" s="9"/>
      <c r="CH1316" s="9"/>
      <c r="CI1316" s="9"/>
      <c r="CJ1316" s="9"/>
      <c r="CK1316" s="9"/>
      <c r="CL1316" s="9"/>
      <c r="CM1316" s="9"/>
      <c r="CN1316" s="9"/>
      <c r="CO1316" s="9"/>
      <c r="CP1316" s="9"/>
      <c r="CQ1316" s="9"/>
      <c r="CR1316" s="9"/>
      <c r="CS1316" s="9"/>
      <c r="CT1316" s="9"/>
      <c r="CU1316" s="9"/>
      <c r="CV1316" s="9"/>
      <c r="CW1316" s="9"/>
      <c r="CX1316" s="9"/>
      <c r="CY1316" s="9"/>
    </row>
    <row r="1317" spans="3:103" x14ac:dyDescent="0.2">
      <c r="C1317" s="1"/>
      <c r="D1317" s="6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s="9"/>
      <c r="BU1317" s="9"/>
      <c r="BV1317" s="9"/>
      <c r="BW1317" s="9"/>
      <c r="BX1317" s="9"/>
      <c r="BY1317" s="9"/>
      <c r="BZ1317" s="9"/>
      <c r="CA1317" s="9"/>
      <c r="CB1317" s="9"/>
      <c r="CC1317" s="9"/>
      <c r="CD1317" s="9"/>
      <c r="CE1317" s="9"/>
      <c r="CF1317" s="9"/>
      <c r="CG1317" s="9"/>
      <c r="CH1317" s="9"/>
      <c r="CI1317" s="9"/>
      <c r="CJ1317" s="9"/>
      <c r="CK1317" s="9"/>
      <c r="CL1317" s="9"/>
      <c r="CM1317" s="9"/>
      <c r="CN1317" s="9"/>
      <c r="CO1317" s="9"/>
      <c r="CP1317" s="9"/>
      <c r="CQ1317" s="9"/>
      <c r="CR1317" s="9"/>
      <c r="CS1317" s="9"/>
      <c r="CT1317" s="9"/>
      <c r="CU1317" s="9"/>
      <c r="CV1317" s="9"/>
      <c r="CW1317" s="9"/>
      <c r="CX1317" s="9"/>
      <c r="CY1317" s="9"/>
    </row>
    <row r="1318" spans="3:103" x14ac:dyDescent="0.2">
      <c r="C1318" s="1"/>
      <c r="D1318" s="6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s="9"/>
      <c r="BU1318" s="9"/>
      <c r="BV1318" s="9"/>
      <c r="BW1318" s="9"/>
      <c r="BX1318" s="9"/>
      <c r="BY1318" s="9"/>
      <c r="BZ1318" s="9"/>
      <c r="CA1318" s="9"/>
      <c r="CB1318" s="9"/>
      <c r="CC1318" s="9"/>
      <c r="CD1318" s="9"/>
      <c r="CE1318" s="9"/>
      <c r="CF1318" s="9"/>
      <c r="CG1318" s="9"/>
      <c r="CH1318" s="9"/>
      <c r="CI1318" s="9"/>
      <c r="CJ1318" s="9"/>
      <c r="CK1318" s="9"/>
      <c r="CL1318" s="9"/>
      <c r="CM1318" s="9"/>
      <c r="CN1318" s="9"/>
      <c r="CO1318" s="9"/>
      <c r="CP1318" s="9"/>
      <c r="CQ1318" s="9"/>
      <c r="CR1318" s="9"/>
      <c r="CS1318" s="9"/>
      <c r="CT1318" s="9"/>
      <c r="CU1318" s="9"/>
      <c r="CV1318" s="9"/>
      <c r="CW1318" s="9"/>
      <c r="CX1318" s="9"/>
      <c r="CY1318" s="9"/>
    </row>
    <row r="1319" spans="3:103" x14ac:dyDescent="0.2">
      <c r="C1319" s="1"/>
      <c r="D1319" s="6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s="9"/>
      <c r="BU1319" s="9"/>
      <c r="BV1319" s="9"/>
      <c r="BW1319" s="9"/>
      <c r="BX1319" s="9"/>
      <c r="BY1319" s="9"/>
      <c r="BZ1319" s="9"/>
      <c r="CA1319" s="9"/>
      <c r="CB1319" s="9"/>
      <c r="CC1319" s="9"/>
      <c r="CD1319" s="9"/>
      <c r="CE1319" s="9"/>
      <c r="CF1319" s="9"/>
      <c r="CG1319" s="9"/>
      <c r="CH1319" s="9"/>
      <c r="CI1319" s="9"/>
      <c r="CJ1319" s="9"/>
      <c r="CK1319" s="9"/>
      <c r="CL1319" s="9"/>
      <c r="CM1319" s="9"/>
      <c r="CN1319" s="9"/>
      <c r="CO1319" s="9"/>
      <c r="CP1319" s="9"/>
      <c r="CQ1319" s="9"/>
      <c r="CR1319" s="9"/>
      <c r="CS1319" s="9"/>
      <c r="CT1319" s="9"/>
      <c r="CU1319" s="9"/>
      <c r="CV1319" s="9"/>
      <c r="CW1319" s="9"/>
      <c r="CX1319" s="9"/>
      <c r="CY1319" s="9"/>
    </row>
    <row r="1320" spans="3:103" x14ac:dyDescent="0.2">
      <c r="C1320" s="1"/>
      <c r="D1320" s="6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s="9"/>
      <c r="BU1320" s="9"/>
      <c r="BV1320" s="9"/>
      <c r="BW1320" s="9"/>
      <c r="BX1320" s="9"/>
      <c r="BY1320" s="9"/>
      <c r="BZ1320" s="9"/>
      <c r="CA1320" s="9"/>
      <c r="CB1320" s="9"/>
      <c r="CC1320" s="9"/>
      <c r="CD1320" s="9"/>
      <c r="CE1320" s="9"/>
      <c r="CF1320" s="9"/>
      <c r="CG1320" s="9"/>
      <c r="CH1320" s="9"/>
      <c r="CI1320" s="9"/>
      <c r="CJ1320" s="9"/>
      <c r="CK1320" s="9"/>
      <c r="CL1320" s="9"/>
      <c r="CM1320" s="9"/>
      <c r="CN1320" s="9"/>
      <c r="CO1320" s="9"/>
      <c r="CP1320" s="9"/>
      <c r="CQ1320" s="9"/>
      <c r="CR1320" s="9"/>
      <c r="CS1320" s="9"/>
      <c r="CT1320" s="9"/>
      <c r="CU1320" s="9"/>
      <c r="CV1320" s="9"/>
      <c r="CW1320" s="9"/>
      <c r="CX1320" s="9"/>
      <c r="CY1320" s="9"/>
    </row>
    <row r="1321" spans="3:103" x14ac:dyDescent="0.2">
      <c r="C1321" s="1"/>
      <c r="D1321" s="6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s="9"/>
      <c r="BU1321" s="9"/>
      <c r="BV1321" s="9"/>
      <c r="BW1321" s="9"/>
      <c r="BX1321" s="9"/>
      <c r="BY1321" s="9"/>
      <c r="BZ1321" s="9"/>
      <c r="CA1321" s="9"/>
      <c r="CB1321" s="9"/>
      <c r="CC1321" s="9"/>
      <c r="CD1321" s="9"/>
      <c r="CE1321" s="9"/>
      <c r="CF1321" s="9"/>
      <c r="CG1321" s="9"/>
      <c r="CH1321" s="9"/>
      <c r="CI1321" s="9"/>
      <c r="CJ1321" s="9"/>
      <c r="CK1321" s="9"/>
      <c r="CL1321" s="9"/>
      <c r="CM1321" s="9"/>
      <c r="CN1321" s="9"/>
      <c r="CO1321" s="9"/>
      <c r="CP1321" s="9"/>
      <c r="CQ1321" s="9"/>
      <c r="CR1321" s="9"/>
      <c r="CS1321" s="9"/>
      <c r="CT1321" s="9"/>
      <c r="CU1321" s="9"/>
      <c r="CV1321" s="9"/>
      <c r="CW1321" s="9"/>
      <c r="CX1321" s="9"/>
      <c r="CY1321" s="9"/>
    </row>
    <row r="1322" spans="3:103" x14ac:dyDescent="0.2">
      <c r="C1322" s="1"/>
      <c r="D1322" s="6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s="9"/>
      <c r="BU1322" s="9"/>
      <c r="BV1322" s="9"/>
      <c r="BW1322" s="9"/>
      <c r="BX1322" s="9"/>
      <c r="BY1322" s="9"/>
      <c r="BZ1322" s="9"/>
      <c r="CA1322" s="9"/>
      <c r="CB1322" s="9"/>
      <c r="CC1322" s="9"/>
      <c r="CD1322" s="9"/>
      <c r="CE1322" s="9"/>
      <c r="CF1322" s="9"/>
      <c r="CG1322" s="9"/>
      <c r="CH1322" s="9"/>
      <c r="CI1322" s="9"/>
      <c r="CJ1322" s="9"/>
      <c r="CK1322" s="9"/>
      <c r="CL1322" s="9"/>
      <c r="CM1322" s="9"/>
      <c r="CN1322" s="9"/>
      <c r="CO1322" s="9"/>
      <c r="CP1322" s="9"/>
      <c r="CQ1322" s="9"/>
      <c r="CR1322" s="9"/>
      <c r="CS1322" s="9"/>
      <c r="CT1322" s="9"/>
      <c r="CU1322" s="9"/>
      <c r="CV1322" s="9"/>
      <c r="CW1322" s="9"/>
      <c r="CX1322" s="9"/>
      <c r="CY1322" s="9"/>
    </row>
    <row r="1323" spans="3:103" x14ac:dyDescent="0.2">
      <c r="C1323" s="1"/>
      <c r="D1323" s="6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s="9"/>
      <c r="BU1323" s="9"/>
      <c r="BV1323" s="9"/>
      <c r="BW1323" s="9"/>
      <c r="BX1323" s="9"/>
      <c r="BY1323" s="9"/>
      <c r="BZ1323" s="9"/>
      <c r="CA1323" s="9"/>
      <c r="CB1323" s="9"/>
      <c r="CC1323" s="9"/>
      <c r="CD1323" s="9"/>
      <c r="CE1323" s="9"/>
      <c r="CF1323" s="9"/>
      <c r="CG1323" s="9"/>
      <c r="CH1323" s="9"/>
      <c r="CI1323" s="9"/>
      <c r="CJ1323" s="9"/>
      <c r="CK1323" s="9"/>
      <c r="CL1323" s="9"/>
      <c r="CM1323" s="9"/>
      <c r="CN1323" s="9"/>
      <c r="CO1323" s="9"/>
      <c r="CP1323" s="9"/>
      <c r="CQ1323" s="9"/>
      <c r="CR1323" s="9"/>
      <c r="CS1323" s="9"/>
      <c r="CT1323" s="9"/>
      <c r="CU1323" s="9"/>
      <c r="CV1323" s="9"/>
      <c r="CW1323" s="9"/>
      <c r="CX1323" s="9"/>
      <c r="CY1323" s="9"/>
    </row>
    <row r="1324" spans="3:103" x14ac:dyDescent="0.2">
      <c r="C1324" s="1"/>
      <c r="D1324" s="6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s="9"/>
      <c r="BU1324" s="9"/>
      <c r="BV1324" s="9"/>
      <c r="BW1324" s="9"/>
      <c r="BX1324" s="9"/>
      <c r="BY1324" s="9"/>
      <c r="BZ1324" s="9"/>
      <c r="CA1324" s="9"/>
      <c r="CB1324" s="9"/>
      <c r="CC1324" s="9"/>
      <c r="CD1324" s="9"/>
      <c r="CE1324" s="9"/>
      <c r="CF1324" s="9"/>
      <c r="CG1324" s="9"/>
      <c r="CH1324" s="9"/>
      <c r="CI1324" s="9"/>
      <c r="CJ1324" s="9"/>
      <c r="CK1324" s="9"/>
      <c r="CL1324" s="9"/>
      <c r="CM1324" s="9"/>
      <c r="CN1324" s="9"/>
      <c r="CO1324" s="9"/>
      <c r="CP1324" s="9"/>
      <c r="CQ1324" s="9"/>
      <c r="CR1324" s="9"/>
      <c r="CS1324" s="9"/>
      <c r="CT1324" s="9"/>
      <c r="CU1324" s="9"/>
      <c r="CV1324" s="9"/>
      <c r="CW1324" s="9"/>
      <c r="CX1324" s="9"/>
      <c r="CY1324" s="9"/>
    </row>
    <row r="1325" spans="3:103" x14ac:dyDescent="0.2">
      <c r="C1325" s="1"/>
      <c r="D1325" s="6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s="9"/>
      <c r="BU1325" s="9"/>
      <c r="BV1325" s="9"/>
      <c r="BW1325" s="9"/>
      <c r="BX1325" s="9"/>
      <c r="BY1325" s="9"/>
      <c r="BZ1325" s="9"/>
      <c r="CA1325" s="9"/>
      <c r="CB1325" s="9"/>
      <c r="CC1325" s="9"/>
      <c r="CD1325" s="9"/>
      <c r="CE1325" s="9"/>
      <c r="CF1325" s="9"/>
      <c r="CG1325" s="9"/>
      <c r="CH1325" s="9"/>
      <c r="CI1325" s="9"/>
      <c r="CJ1325" s="9"/>
      <c r="CK1325" s="9"/>
      <c r="CL1325" s="9"/>
      <c r="CM1325" s="9"/>
      <c r="CN1325" s="9"/>
      <c r="CO1325" s="9"/>
      <c r="CP1325" s="9"/>
      <c r="CQ1325" s="9"/>
      <c r="CR1325" s="9"/>
      <c r="CS1325" s="9"/>
      <c r="CT1325" s="9"/>
      <c r="CU1325" s="9"/>
      <c r="CV1325" s="9"/>
      <c r="CW1325" s="9"/>
      <c r="CX1325" s="9"/>
      <c r="CY1325" s="9"/>
    </row>
    <row r="1326" spans="3:103" x14ac:dyDescent="0.2">
      <c r="C1326" s="1"/>
      <c r="D1326" s="6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s="9"/>
      <c r="BU1326" s="9"/>
      <c r="BV1326" s="9"/>
      <c r="BW1326" s="9"/>
      <c r="BX1326" s="9"/>
      <c r="BY1326" s="9"/>
      <c r="BZ1326" s="9"/>
      <c r="CA1326" s="9"/>
      <c r="CB1326" s="9"/>
      <c r="CC1326" s="9"/>
      <c r="CD1326" s="9"/>
      <c r="CE1326" s="9"/>
      <c r="CF1326" s="9"/>
      <c r="CG1326" s="9"/>
      <c r="CH1326" s="9"/>
      <c r="CI1326" s="9"/>
      <c r="CJ1326" s="9"/>
      <c r="CK1326" s="9"/>
      <c r="CL1326" s="9"/>
      <c r="CM1326" s="9"/>
      <c r="CN1326" s="9"/>
      <c r="CO1326" s="9"/>
      <c r="CP1326" s="9"/>
      <c r="CQ1326" s="9"/>
      <c r="CR1326" s="9"/>
      <c r="CS1326" s="9"/>
      <c r="CT1326" s="9"/>
      <c r="CU1326" s="9"/>
      <c r="CV1326" s="9"/>
      <c r="CW1326" s="9"/>
      <c r="CX1326" s="9"/>
      <c r="CY1326" s="9"/>
    </row>
    <row r="1327" spans="3:103" x14ac:dyDescent="0.2">
      <c r="C1327" s="1"/>
      <c r="D1327" s="6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s="9"/>
      <c r="BU1327" s="9"/>
      <c r="BV1327" s="9"/>
      <c r="BW1327" s="9"/>
      <c r="BX1327" s="9"/>
      <c r="BY1327" s="9"/>
      <c r="BZ1327" s="9"/>
      <c r="CA1327" s="9"/>
      <c r="CB1327" s="9"/>
      <c r="CC1327" s="9"/>
      <c r="CD1327" s="9"/>
      <c r="CE1327" s="9"/>
      <c r="CF1327" s="9"/>
      <c r="CG1327" s="9"/>
      <c r="CH1327" s="9"/>
      <c r="CI1327" s="9"/>
      <c r="CJ1327" s="9"/>
      <c r="CK1327" s="9"/>
      <c r="CL1327" s="9"/>
      <c r="CM1327" s="9"/>
      <c r="CN1327" s="9"/>
      <c r="CO1327" s="9"/>
      <c r="CP1327" s="9"/>
      <c r="CQ1327" s="9"/>
      <c r="CR1327" s="9"/>
      <c r="CS1327" s="9"/>
      <c r="CT1327" s="9"/>
      <c r="CU1327" s="9"/>
      <c r="CV1327" s="9"/>
      <c r="CW1327" s="9"/>
      <c r="CX1327" s="9"/>
      <c r="CY1327" s="9"/>
    </row>
    <row r="1328" spans="3:103" x14ac:dyDescent="0.2">
      <c r="C1328" s="1"/>
      <c r="D1328" s="6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s="9"/>
      <c r="BU1328" s="9"/>
      <c r="BV1328" s="9"/>
      <c r="BW1328" s="9"/>
      <c r="BX1328" s="9"/>
      <c r="BY1328" s="9"/>
      <c r="BZ1328" s="9"/>
      <c r="CA1328" s="9"/>
      <c r="CB1328" s="9"/>
      <c r="CC1328" s="9"/>
      <c r="CD1328" s="9"/>
      <c r="CE1328" s="9"/>
      <c r="CF1328" s="9"/>
      <c r="CG1328" s="9"/>
      <c r="CH1328" s="9"/>
      <c r="CI1328" s="9"/>
      <c r="CJ1328" s="9"/>
      <c r="CK1328" s="9"/>
      <c r="CL1328" s="9"/>
      <c r="CM1328" s="9"/>
      <c r="CN1328" s="9"/>
      <c r="CO1328" s="9"/>
      <c r="CP1328" s="9"/>
      <c r="CQ1328" s="9"/>
      <c r="CR1328" s="9"/>
      <c r="CS1328" s="9"/>
      <c r="CT1328" s="9"/>
      <c r="CU1328" s="9"/>
      <c r="CV1328" s="9"/>
      <c r="CW1328" s="9"/>
      <c r="CX1328" s="9"/>
      <c r="CY1328" s="9"/>
    </row>
    <row r="1329" spans="3:103" x14ac:dyDescent="0.2">
      <c r="C1329" s="1"/>
      <c r="D1329" s="6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s="9"/>
      <c r="BU1329" s="9"/>
      <c r="BV1329" s="9"/>
      <c r="BW1329" s="9"/>
      <c r="BX1329" s="9"/>
      <c r="BY1329" s="9"/>
      <c r="BZ1329" s="9"/>
      <c r="CA1329" s="9"/>
      <c r="CB1329" s="9"/>
      <c r="CC1329" s="9"/>
      <c r="CD1329" s="9"/>
      <c r="CE1329" s="9"/>
      <c r="CF1329" s="9"/>
      <c r="CG1329" s="9"/>
      <c r="CH1329" s="9"/>
      <c r="CI1329" s="9"/>
      <c r="CJ1329" s="9"/>
      <c r="CK1329" s="9"/>
      <c r="CL1329" s="9"/>
      <c r="CM1329" s="9"/>
      <c r="CN1329" s="9"/>
      <c r="CO1329" s="9"/>
      <c r="CP1329" s="9"/>
      <c r="CQ1329" s="9"/>
      <c r="CR1329" s="9"/>
      <c r="CS1329" s="9"/>
      <c r="CT1329" s="9"/>
      <c r="CU1329" s="9"/>
      <c r="CV1329" s="9"/>
      <c r="CW1329" s="9"/>
      <c r="CX1329" s="9"/>
      <c r="CY1329" s="9"/>
    </row>
    <row r="1330" spans="3:103" x14ac:dyDescent="0.2">
      <c r="C1330" s="1"/>
      <c r="D1330" s="6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s="9"/>
      <c r="BU1330" s="9"/>
      <c r="BV1330" s="9"/>
      <c r="BW1330" s="9"/>
      <c r="BX1330" s="9"/>
      <c r="BY1330" s="9"/>
      <c r="BZ1330" s="9"/>
      <c r="CA1330" s="9"/>
      <c r="CB1330" s="9"/>
      <c r="CC1330" s="9"/>
      <c r="CD1330" s="9"/>
      <c r="CE1330" s="9"/>
      <c r="CF1330" s="9"/>
      <c r="CG1330" s="9"/>
      <c r="CH1330" s="9"/>
      <c r="CI1330" s="9"/>
      <c r="CJ1330" s="9"/>
      <c r="CK1330" s="9"/>
      <c r="CL1330" s="9"/>
      <c r="CM1330" s="9"/>
      <c r="CN1330" s="9"/>
      <c r="CO1330" s="9"/>
      <c r="CP1330" s="9"/>
      <c r="CQ1330" s="9"/>
      <c r="CR1330" s="9"/>
      <c r="CS1330" s="9"/>
      <c r="CT1330" s="9"/>
      <c r="CU1330" s="9"/>
      <c r="CV1330" s="9"/>
      <c r="CW1330" s="9"/>
      <c r="CX1330" s="9"/>
      <c r="CY1330" s="9"/>
    </row>
    <row r="1331" spans="3:103" x14ac:dyDescent="0.2">
      <c r="C1331" s="1"/>
      <c r="D1331" s="6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s="9"/>
      <c r="BU1331" s="9"/>
      <c r="BV1331" s="9"/>
      <c r="BW1331" s="9"/>
      <c r="BX1331" s="9"/>
      <c r="BY1331" s="9"/>
      <c r="BZ1331" s="9"/>
      <c r="CA1331" s="9"/>
      <c r="CB1331" s="9"/>
      <c r="CC1331" s="9"/>
      <c r="CD1331" s="9"/>
      <c r="CE1331" s="9"/>
      <c r="CF1331" s="9"/>
      <c r="CG1331" s="9"/>
      <c r="CH1331" s="9"/>
      <c r="CI1331" s="9"/>
      <c r="CJ1331" s="9"/>
      <c r="CK1331" s="9"/>
      <c r="CL1331" s="9"/>
      <c r="CM1331" s="9"/>
      <c r="CN1331" s="9"/>
      <c r="CO1331" s="9"/>
      <c r="CP1331" s="9"/>
      <c r="CQ1331" s="9"/>
      <c r="CR1331" s="9"/>
      <c r="CS1331" s="9"/>
      <c r="CT1331" s="9"/>
      <c r="CU1331" s="9"/>
      <c r="CV1331" s="9"/>
      <c r="CW1331" s="9"/>
      <c r="CX1331" s="9"/>
      <c r="CY1331" s="9"/>
    </row>
    <row r="1332" spans="3:103" x14ac:dyDescent="0.2">
      <c r="C1332" s="1"/>
      <c r="D1332" s="6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s="9"/>
      <c r="BU1332" s="9"/>
      <c r="BV1332" s="9"/>
      <c r="BW1332" s="9"/>
      <c r="BX1332" s="9"/>
      <c r="BY1332" s="9"/>
      <c r="BZ1332" s="9"/>
      <c r="CA1332" s="9"/>
      <c r="CB1332" s="9"/>
      <c r="CC1332" s="9"/>
      <c r="CD1332" s="9"/>
      <c r="CE1332" s="9"/>
      <c r="CF1332" s="9"/>
      <c r="CG1332" s="9"/>
      <c r="CH1332" s="9"/>
      <c r="CI1332" s="9"/>
      <c r="CJ1332" s="9"/>
      <c r="CK1332" s="9"/>
      <c r="CL1332" s="9"/>
      <c r="CM1332" s="9"/>
      <c r="CN1332" s="9"/>
      <c r="CO1332" s="9"/>
      <c r="CP1332" s="9"/>
      <c r="CQ1332" s="9"/>
      <c r="CR1332" s="9"/>
      <c r="CS1332" s="9"/>
      <c r="CT1332" s="9"/>
      <c r="CU1332" s="9"/>
      <c r="CV1332" s="9"/>
      <c r="CW1332" s="9"/>
      <c r="CX1332" s="9"/>
      <c r="CY1332" s="9"/>
    </row>
    <row r="1333" spans="3:103" x14ac:dyDescent="0.2">
      <c r="C1333" s="1"/>
      <c r="D1333" s="6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s="9"/>
      <c r="BU1333" s="9"/>
      <c r="BV1333" s="9"/>
      <c r="BW1333" s="9"/>
      <c r="BX1333" s="9"/>
      <c r="BY1333" s="9"/>
      <c r="BZ1333" s="9"/>
      <c r="CA1333" s="9"/>
      <c r="CB1333" s="9"/>
      <c r="CC1333" s="9"/>
      <c r="CD1333" s="9"/>
      <c r="CE1333" s="9"/>
      <c r="CF1333" s="9"/>
      <c r="CG1333" s="9"/>
      <c r="CH1333" s="9"/>
      <c r="CI1333" s="9"/>
      <c r="CJ1333" s="9"/>
      <c r="CK1333" s="9"/>
      <c r="CL1333" s="9"/>
      <c r="CM1333" s="9"/>
      <c r="CN1333" s="9"/>
      <c r="CO1333" s="9"/>
      <c r="CP1333" s="9"/>
      <c r="CQ1333" s="9"/>
      <c r="CR1333" s="9"/>
      <c r="CS1333" s="9"/>
      <c r="CT1333" s="9"/>
      <c r="CU1333" s="9"/>
      <c r="CV1333" s="9"/>
      <c r="CW1333" s="9"/>
      <c r="CX1333" s="9"/>
      <c r="CY1333" s="9"/>
    </row>
    <row r="1334" spans="3:103" x14ac:dyDescent="0.2">
      <c r="C1334" s="1"/>
      <c r="D1334" s="6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s="9"/>
      <c r="BU1334" s="9"/>
      <c r="BV1334" s="9"/>
      <c r="BW1334" s="9"/>
      <c r="BX1334" s="9"/>
      <c r="BY1334" s="9"/>
      <c r="BZ1334" s="9"/>
      <c r="CA1334" s="9"/>
      <c r="CB1334" s="9"/>
      <c r="CC1334" s="9"/>
      <c r="CD1334" s="9"/>
      <c r="CE1334" s="9"/>
      <c r="CF1334" s="9"/>
      <c r="CG1334" s="9"/>
      <c r="CH1334" s="9"/>
      <c r="CI1334" s="9"/>
      <c r="CJ1334" s="9"/>
      <c r="CK1334" s="9"/>
      <c r="CL1334" s="9"/>
      <c r="CM1334" s="9"/>
      <c r="CN1334" s="9"/>
      <c r="CO1334" s="9"/>
      <c r="CP1334" s="9"/>
      <c r="CQ1334" s="9"/>
      <c r="CR1334" s="9"/>
      <c r="CS1334" s="9"/>
      <c r="CT1334" s="9"/>
      <c r="CU1334" s="9"/>
      <c r="CV1334" s="9"/>
      <c r="CW1334" s="9"/>
      <c r="CX1334" s="9"/>
      <c r="CY1334" s="9"/>
    </row>
    <row r="1335" spans="3:103" x14ac:dyDescent="0.2">
      <c r="C1335" s="1"/>
      <c r="D1335" s="6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s="9"/>
      <c r="BU1335" s="9"/>
      <c r="BV1335" s="9"/>
      <c r="BW1335" s="9"/>
      <c r="BX1335" s="9"/>
      <c r="BY1335" s="9"/>
      <c r="BZ1335" s="9"/>
      <c r="CA1335" s="9"/>
      <c r="CB1335" s="9"/>
      <c r="CC1335" s="9"/>
      <c r="CD1335" s="9"/>
      <c r="CE1335" s="9"/>
      <c r="CF1335" s="9"/>
      <c r="CG1335" s="9"/>
      <c r="CH1335" s="9"/>
      <c r="CI1335" s="9"/>
      <c r="CJ1335" s="9"/>
      <c r="CK1335" s="9"/>
      <c r="CL1335" s="9"/>
      <c r="CM1335" s="9"/>
      <c r="CN1335" s="9"/>
      <c r="CO1335" s="9"/>
      <c r="CP1335" s="9"/>
      <c r="CQ1335" s="9"/>
      <c r="CR1335" s="9"/>
      <c r="CS1335" s="9"/>
      <c r="CT1335" s="9"/>
      <c r="CU1335" s="9"/>
      <c r="CV1335" s="9"/>
      <c r="CW1335" s="9"/>
      <c r="CX1335" s="9"/>
      <c r="CY1335" s="9"/>
    </row>
    <row r="1336" spans="3:103" x14ac:dyDescent="0.2">
      <c r="C1336" s="1"/>
      <c r="D1336" s="6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s="9"/>
      <c r="BU1336" s="9"/>
      <c r="BV1336" s="9"/>
      <c r="BW1336" s="9"/>
      <c r="BX1336" s="9"/>
      <c r="BY1336" s="9"/>
      <c r="BZ1336" s="9"/>
      <c r="CA1336" s="9"/>
      <c r="CB1336" s="9"/>
      <c r="CC1336" s="9"/>
      <c r="CD1336" s="9"/>
      <c r="CE1336" s="9"/>
      <c r="CF1336" s="9"/>
      <c r="CG1336" s="9"/>
      <c r="CH1336" s="9"/>
      <c r="CI1336" s="9"/>
      <c r="CJ1336" s="9"/>
      <c r="CK1336" s="9"/>
      <c r="CL1336" s="9"/>
      <c r="CM1336" s="9"/>
      <c r="CN1336" s="9"/>
      <c r="CO1336" s="9"/>
      <c r="CP1336" s="9"/>
      <c r="CQ1336" s="9"/>
      <c r="CR1336" s="9"/>
      <c r="CS1336" s="9"/>
      <c r="CT1336" s="9"/>
      <c r="CU1336" s="9"/>
      <c r="CV1336" s="9"/>
      <c r="CW1336" s="9"/>
      <c r="CX1336" s="9"/>
      <c r="CY1336" s="9"/>
    </row>
    <row r="1337" spans="3:103" x14ac:dyDescent="0.2">
      <c r="C1337" s="1"/>
      <c r="D1337" s="6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s="9"/>
      <c r="BU1337" s="9"/>
      <c r="BV1337" s="9"/>
      <c r="BW1337" s="9"/>
      <c r="BX1337" s="9"/>
      <c r="BY1337" s="9"/>
      <c r="BZ1337" s="9"/>
      <c r="CA1337" s="9"/>
      <c r="CB1337" s="9"/>
      <c r="CC1337" s="9"/>
      <c r="CD1337" s="9"/>
      <c r="CE1337" s="9"/>
      <c r="CF1337" s="9"/>
      <c r="CG1337" s="9"/>
      <c r="CH1337" s="9"/>
      <c r="CI1337" s="9"/>
      <c r="CJ1337" s="9"/>
      <c r="CK1337" s="9"/>
      <c r="CL1337" s="9"/>
      <c r="CM1337" s="9"/>
      <c r="CN1337" s="9"/>
      <c r="CO1337" s="9"/>
      <c r="CP1337" s="9"/>
      <c r="CQ1337" s="9"/>
      <c r="CR1337" s="9"/>
      <c r="CS1337" s="9"/>
      <c r="CT1337" s="9"/>
      <c r="CU1337" s="9"/>
      <c r="CV1337" s="9"/>
      <c r="CW1337" s="9"/>
      <c r="CX1337" s="9"/>
      <c r="CY1337" s="9"/>
    </row>
    <row r="1338" spans="3:103" x14ac:dyDescent="0.2">
      <c r="C1338" s="1"/>
      <c r="D1338" s="6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s="9"/>
      <c r="BU1338" s="9"/>
      <c r="BV1338" s="9"/>
      <c r="BW1338" s="9"/>
      <c r="BX1338" s="9"/>
      <c r="BY1338" s="9"/>
      <c r="BZ1338" s="9"/>
      <c r="CA1338" s="9"/>
      <c r="CB1338" s="9"/>
      <c r="CC1338" s="9"/>
      <c r="CD1338" s="9"/>
      <c r="CE1338" s="9"/>
      <c r="CF1338" s="9"/>
      <c r="CG1338" s="9"/>
      <c r="CH1338" s="9"/>
      <c r="CI1338" s="9"/>
      <c r="CJ1338" s="9"/>
      <c r="CK1338" s="9"/>
      <c r="CL1338" s="9"/>
      <c r="CM1338" s="9"/>
      <c r="CN1338" s="9"/>
      <c r="CO1338" s="9"/>
      <c r="CP1338" s="9"/>
      <c r="CQ1338" s="9"/>
      <c r="CR1338" s="9"/>
      <c r="CS1338" s="9"/>
      <c r="CT1338" s="9"/>
      <c r="CU1338" s="9"/>
      <c r="CV1338" s="9"/>
      <c r="CW1338" s="9"/>
      <c r="CX1338" s="9"/>
      <c r="CY1338" s="9"/>
    </row>
    <row r="1339" spans="3:103" x14ac:dyDescent="0.2">
      <c r="C1339" s="1"/>
      <c r="D1339" s="6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s="9"/>
      <c r="BU1339" s="9"/>
      <c r="BV1339" s="9"/>
      <c r="BW1339" s="9"/>
      <c r="BX1339" s="9"/>
      <c r="BY1339" s="9"/>
      <c r="BZ1339" s="9"/>
      <c r="CA1339" s="9"/>
      <c r="CB1339" s="9"/>
      <c r="CC1339" s="9"/>
      <c r="CD1339" s="9"/>
      <c r="CE1339" s="9"/>
      <c r="CF1339" s="9"/>
      <c r="CG1339" s="9"/>
      <c r="CH1339" s="9"/>
      <c r="CI1339" s="9"/>
      <c r="CJ1339" s="9"/>
      <c r="CK1339" s="9"/>
      <c r="CL1339" s="9"/>
      <c r="CM1339" s="9"/>
      <c r="CN1339" s="9"/>
      <c r="CO1339" s="9"/>
      <c r="CP1339" s="9"/>
      <c r="CQ1339" s="9"/>
      <c r="CR1339" s="9"/>
      <c r="CS1339" s="9"/>
      <c r="CT1339" s="9"/>
      <c r="CU1339" s="9"/>
      <c r="CV1339" s="9"/>
      <c r="CW1339" s="9"/>
      <c r="CX1339" s="9"/>
      <c r="CY1339" s="9"/>
    </row>
    <row r="1340" spans="3:103" x14ac:dyDescent="0.2">
      <c r="C1340" s="1"/>
      <c r="D1340" s="6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s="9"/>
      <c r="BU1340" s="9"/>
      <c r="BV1340" s="9"/>
      <c r="BW1340" s="9"/>
      <c r="BX1340" s="9"/>
      <c r="BY1340" s="9"/>
      <c r="BZ1340" s="9"/>
      <c r="CA1340" s="9"/>
      <c r="CB1340" s="9"/>
      <c r="CC1340" s="9"/>
      <c r="CD1340" s="9"/>
      <c r="CE1340" s="9"/>
      <c r="CF1340" s="9"/>
      <c r="CG1340" s="9"/>
      <c r="CH1340" s="9"/>
      <c r="CI1340" s="9"/>
      <c r="CJ1340" s="9"/>
      <c r="CK1340" s="9"/>
      <c r="CL1340" s="9"/>
      <c r="CM1340" s="9"/>
      <c r="CN1340" s="9"/>
      <c r="CO1340" s="9"/>
      <c r="CP1340" s="9"/>
      <c r="CQ1340" s="9"/>
      <c r="CR1340" s="9"/>
      <c r="CS1340" s="9"/>
      <c r="CT1340" s="9"/>
      <c r="CU1340" s="9"/>
      <c r="CV1340" s="9"/>
      <c r="CW1340" s="9"/>
      <c r="CX1340" s="9"/>
      <c r="CY1340" s="9"/>
    </row>
    <row r="1341" spans="3:103" x14ac:dyDescent="0.2">
      <c r="C1341" s="1"/>
      <c r="D1341" s="6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s="9"/>
      <c r="BU1341" s="9"/>
      <c r="BV1341" s="9"/>
      <c r="BW1341" s="9"/>
      <c r="BX1341" s="9"/>
      <c r="BY1341" s="9"/>
      <c r="BZ1341" s="9"/>
      <c r="CA1341" s="9"/>
      <c r="CB1341" s="9"/>
      <c r="CC1341" s="9"/>
      <c r="CD1341" s="9"/>
      <c r="CE1341" s="9"/>
      <c r="CF1341" s="9"/>
      <c r="CG1341" s="9"/>
      <c r="CH1341" s="9"/>
      <c r="CI1341" s="9"/>
      <c r="CJ1341" s="9"/>
      <c r="CK1341" s="9"/>
      <c r="CL1341" s="9"/>
      <c r="CM1341" s="9"/>
      <c r="CN1341" s="9"/>
      <c r="CO1341" s="9"/>
      <c r="CP1341" s="9"/>
      <c r="CQ1341" s="9"/>
      <c r="CR1341" s="9"/>
      <c r="CS1341" s="9"/>
      <c r="CT1341" s="9"/>
      <c r="CU1341" s="9"/>
      <c r="CV1341" s="9"/>
      <c r="CW1341" s="9"/>
      <c r="CX1341" s="9"/>
      <c r="CY1341" s="9"/>
    </row>
  </sheetData>
  <phoneticPr fontId="2" type="noConversion"/>
  <printOptions gridLines="1"/>
  <pageMargins left="0.75" right="0.5" top="0.75" bottom="0.5" header="0.5" footer="0.5"/>
  <pageSetup scale="60" fitToHeight="3" orientation="landscape" r:id="rId1"/>
  <headerFooter alignWithMargins="0"/>
  <rowBreaks count="4" manualBreakCount="4">
    <brk id="181" max="18" man="1"/>
    <brk id="204" max="18" man="1"/>
    <brk id="227" max="18" man="1"/>
    <brk id="249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051"/>
  <sheetViews>
    <sheetView workbookViewId="0">
      <pane ySplit="10" topLeftCell="A519" activePane="bottomLeft" state="frozen"/>
      <selection pane="bottomLeft" activeCell="A11" sqref="A11"/>
    </sheetView>
  </sheetViews>
  <sheetFormatPr defaultRowHeight="12.75" x14ac:dyDescent="0.2"/>
  <cols>
    <col min="1" max="1" width="8.5703125" bestFit="1" customWidth="1"/>
    <col min="2" max="2" width="7.28515625" bestFit="1" customWidth="1"/>
    <col min="3" max="3" width="20.7109375" style="14" customWidth="1"/>
    <col min="4" max="7" width="16.7109375" customWidth="1"/>
  </cols>
  <sheetData>
    <row r="1" spans="1:7" x14ac:dyDescent="0.2">
      <c r="A1" s="8" t="s">
        <v>27</v>
      </c>
      <c r="B1" s="5"/>
      <c r="C1" s="8"/>
      <c r="D1" s="5"/>
      <c r="E1" s="5"/>
      <c r="F1" s="5"/>
    </row>
    <row r="2" spans="1:7" x14ac:dyDescent="0.2">
      <c r="A2" s="5"/>
      <c r="B2" s="5"/>
      <c r="C2" s="8"/>
      <c r="D2" s="5"/>
      <c r="E2" s="5"/>
      <c r="F2" s="5"/>
    </row>
    <row r="3" spans="1:7" x14ac:dyDescent="0.2">
      <c r="A3" s="5" t="s">
        <v>28</v>
      </c>
      <c r="B3" s="5" t="s">
        <v>29</v>
      </c>
      <c r="C3" s="8"/>
      <c r="D3" s="5" t="s">
        <v>30</v>
      </c>
      <c r="E3" s="5" t="s">
        <v>31</v>
      </c>
      <c r="F3" s="5" t="s">
        <v>32</v>
      </c>
    </row>
    <row r="4" spans="1:7" x14ac:dyDescent="0.2">
      <c r="A4" s="5"/>
      <c r="B4" s="5"/>
      <c r="C4" s="8"/>
      <c r="D4" s="5"/>
      <c r="E4" s="5"/>
      <c r="F4" s="5"/>
    </row>
    <row r="5" spans="1:7" x14ac:dyDescent="0.2">
      <c r="A5" s="5"/>
      <c r="B5" s="5"/>
      <c r="C5" s="8"/>
      <c r="D5" s="5" t="s">
        <v>2</v>
      </c>
      <c r="E5" s="5" t="s">
        <v>3</v>
      </c>
      <c r="F5" s="5" t="s">
        <v>4</v>
      </c>
      <c r="G5" s="5" t="s">
        <v>5</v>
      </c>
    </row>
    <row r="6" spans="1:7" x14ac:dyDescent="0.2">
      <c r="A6" s="5"/>
      <c r="B6" s="5"/>
      <c r="C6" s="8"/>
      <c r="D6" s="5"/>
      <c r="E6" s="5"/>
      <c r="F6" s="5"/>
    </row>
    <row r="7" spans="1:7" x14ac:dyDescent="0.2">
      <c r="A7" s="5"/>
      <c r="B7" s="5"/>
      <c r="C7" s="8"/>
      <c r="D7" s="5"/>
      <c r="E7" s="5"/>
      <c r="F7" s="5" t="s">
        <v>33</v>
      </c>
      <c r="G7" s="10" t="s">
        <v>33</v>
      </c>
    </row>
    <row r="8" spans="1:7" x14ac:dyDescent="0.2">
      <c r="A8" s="5"/>
      <c r="B8" s="5"/>
      <c r="C8" s="8"/>
      <c r="D8" s="5" t="s">
        <v>34</v>
      </c>
      <c r="E8" s="5" t="s">
        <v>26</v>
      </c>
      <c r="F8" s="5" t="s">
        <v>35</v>
      </c>
      <c r="G8" s="5" t="s">
        <v>36</v>
      </c>
    </row>
    <row r="9" spans="1:7" x14ac:dyDescent="0.2">
      <c r="A9" s="5"/>
      <c r="B9" s="5"/>
      <c r="C9" s="8"/>
      <c r="D9" s="5" t="s">
        <v>36</v>
      </c>
      <c r="E9" s="5" t="s">
        <v>35</v>
      </c>
      <c r="F9" s="5" t="str">
        <f>+"= ("&amp;+D5&amp;" X "&amp;+E5&amp;")/60"</f>
        <v>= (A X B)/60</v>
      </c>
      <c r="G9" s="10" t="str">
        <f>+"= "&amp;+D5&amp;"/60"</f>
        <v>= A/60</v>
      </c>
    </row>
    <row r="10" spans="1:7" x14ac:dyDescent="0.2">
      <c r="A10" s="5"/>
      <c r="B10" s="5"/>
      <c r="C10" s="8"/>
      <c r="D10" s="5"/>
      <c r="E10" s="5"/>
      <c r="F10" s="5"/>
    </row>
    <row r="11" spans="1:7" x14ac:dyDescent="0.2">
      <c r="A11" s="5">
        <v>1</v>
      </c>
      <c r="B11" s="5">
        <v>1</v>
      </c>
      <c r="C11" s="8" t="s">
        <v>38</v>
      </c>
      <c r="D11" s="6">
        <v>430</v>
      </c>
      <c r="E11" s="6">
        <v>180</v>
      </c>
      <c r="F11" s="6">
        <v>1290</v>
      </c>
      <c r="G11" s="12">
        <f>D11/60</f>
        <v>7.166666666666667</v>
      </c>
    </row>
    <row r="12" spans="1:7" x14ac:dyDescent="0.2">
      <c r="A12" s="5">
        <v>1.2</v>
      </c>
      <c r="B12" s="5">
        <v>3</v>
      </c>
      <c r="C12" s="8" t="s">
        <v>39</v>
      </c>
      <c r="D12" s="6">
        <v>435</v>
      </c>
      <c r="E12" s="6">
        <v>186</v>
      </c>
      <c r="F12" s="6">
        <v>1349</v>
      </c>
      <c r="G12" s="12">
        <f t="shared" ref="G12:G75" si="0">D12/60</f>
        <v>7.25</v>
      </c>
    </row>
    <row r="13" spans="1:7" x14ac:dyDescent="0.2">
      <c r="A13" s="5">
        <v>2</v>
      </c>
      <c r="B13" s="5">
        <v>1</v>
      </c>
      <c r="C13" s="8" t="s">
        <v>40</v>
      </c>
      <c r="D13" s="6">
        <v>420</v>
      </c>
      <c r="E13" s="6">
        <v>180</v>
      </c>
      <c r="F13" s="6">
        <v>1260</v>
      </c>
      <c r="G13" s="12">
        <f t="shared" si="0"/>
        <v>7</v>
      </c>
    </row>
    <row r="14" spans="1:7" x14ac:dyDescent="0.2">
      <c r="A14" s="5">
        <v>4</v>
      </c>
      <c r="B14" s="5">
        <v>1</v>
      </c>
      <c r="C14" s="8" t="s">
        <v>41</v>
      </c>
      <c r="D14" s="6">
        <v>420</v>
      </c>
      <c r="E14" s="6">
        <v>179</v>
      </c>
      <c r="F14" s="6">
        <v>1253</v>
      </c>
      <c r="G14" s="12">
        <f t="shared" si="0"/>
        <v>7</v>
      </c>
    </row>
    <row r="15" spans="1:7" x14ac:dyDescent="0.2">
      <c r="A15" s="5">
        <v>6</v>
      </c>
      <c r="B15" s="5">
        <v>3</v>
      </c>
      <c r="C15" s="8" t="s">
        <v>42</v>
      </c>
      <c r="D15" s="6">
        <v>450</v>
      </c>
      <c r="E15" s="6">
        <v>185</v>
      </c>
      <c r="F15" s="6">
        <v>1388</v>
      </c>
      <c r="G15" s="12">
        <f t="shared" si="0"/>
        <v>7.5</v>
      </c>
    </row>
    <row r="16" spans="1:7" x14ac:dyDescent="0.2">
      <c r="A16" s="5">
        <v>11</v>
      </c>
      <c r="B16" s="5">
        <v>1</v>
      </c>
      <c r="C16" s="8" t="s">
        <v>43</v>
      </c>
      <c r="D16" s="6">
        <v>430</v>
      </c>
      <c r="E16" s="6">
        <v>187</v>
      </c>
      <c r="F16" s="6">
        <v>1340</v>
      </c>
      <c r="G16" s="12">
        <f t="shared" si="0"/>
        <v>7.166666666666667</v>
      </c>
    </row>
    <row r="17" spans="1:7" x14ac:dyDescent="0.2">
      <c r="A17" s="5">
        <v>12</v>
      </c>
      <c r="B17" s="5">
        <v>1</v>
      </c>
      <c r="C17" s="8" t="s">
        <v>44</v>
      </c>
      <c r="D17" s="6">
        <v>450</v>
      </c>
      <c r="E17" s="6">
        <v>184</v>
      </c>
      <c r="F17" s="6">
        <v>1380</v>
      </c>
      <c r="G17" s="12">
        <f t="shared" si="0"/>
        <v>7.5</v>
      </c>
    </row>
    <row r="18" spans="1:7" x14ac:dyDescent="0.2">
      <c r="A18" s="5">
        <v>13</v>
      </c>
      <c r="B18" s="5">
        <v>1</v>
      </c>
      <c r="C18" s="8" t="s">
        <v>45</v>
      </c>
      <c r="D18" s="6">
        <v>435</v>
      </c>
      <c r="E18" s="6">
        <v>186</v>
      </c>
      <c r="F18" s="6">
        <v>1348</v>
      </c>
      <c r="G18" s="12">
        <f t="shared" si="0"/>
        <v>7.25</v>
      </c>
    </row>
    <row r="19" spans="1:7" x14ac:dyDescent="0.2">
      <c r="A19" s="5">
        <v>14.2</v>
      </c>
      <c r="B19" s="5">
        <v>91</v>
      </c>
      <c r="C19" s="8" t="s">
        <v>510</v>
      </c>
      <c r="D19" s="6">
        <v>420</v>
      </c>
      <c r="E19" s="6">
        <v>183</v>
      </c>
      <c r="F19" s="6">
        <v>1281</v>
      </c>
      <c r="G19" s="12">
        <f t="shared" si="0"/>
        <v>7</v>
      </c>
    </row>
    <row r="20" spans="1:7" x14ac:dyDescent="0.2">
      <c r="A20" s="5">
        <v>14</v>
      </c>
      <c r="B20" s="5">
        <v>1</v>
      </c>
      <c r="C20" s="8" t="s">
        <v>46</v>
      </c>
      <c r="D20" s="6">
        <v>450</v>
      </c>
      <c r="E20" s="6">
        <v>185</v>
      </c>
      <c r="F20" s="6">
        <v>1388</v>
      </c>
      <c r="G20" s="12">
        <f t="shared" si="0"/>
        <v>7.5</v>
      </c>
    </row>
    <row r="21" spans="1:7" x14ac:dyDescent="0.2">
      <c r="A21" s="5">
        <v>15</v>
      </c>
      <c r="B21" s="5">
        <v>1</v>
      </c>
      <c r="C21" s="8" t="s">
        <v>47</v>
      </c>
      <c r="D21" s="6">
        <v>480</v>
      </c>
      <c r="E21" s="6">
        <v>186</v>
      </c>
      <c r="F21" s="6">
        <v>1488</v>
      </c>
      <c r="G21" s="12">
        <f t="shared" si="0"/>
        <v>8</v>
      </c>
    </row>
    <row r="22" spans="1:7" x14ac:dyDescent="0.2">
      <c r="A22" s="5">
        <v>16</v>
      </c>
      <c r="B22" s="5">
        <v>1</v>
      </c>
      <c r="C22" s="8" t="s">
        <v>48</v>
      </c>
      <c r="D22" s="6">
        <v>450</v>
      </c>
      <c r="E22" s="6">
        <v>185</v>
      </c>
      <c r="F22" s="6">
        <v>1388</v>
      </c>
      <c r="G22" s="12">
        <f t="shared" si="0"/>
        <v>7.5</v>
      </c>
    </row>
    <row r="23" spans="1:7" x14ac:dyDescent="0.2">
      <c r="A23" s="5">
        <v>22</v>
      </c>
      <c r="B23" s="5">
        <v>1</v>
      </c>
      <c r="C23" s="8" t="s">
        <v>49</v>
      </c>
      <c r="D23" s="6">
        <v>472</v>
      </c>
      <c r="E23" s="6">
        <v>175</v>
      </c>
      <c r="F23" s="6">
        <v>1377</v>
      </c>
      <c r="G23" s="12">
        <f t="shared" si="0"/>
        <v>7.8666666666666663</v>
      </c>
    </row>
    <row r="24" spans="1:7" x14ac:dyDescent="0.2">
      <c r="A24" s="5">
        <v>23</v>
      </c>
      <c r="B24" s="5">
        <v>1</v>
      </c>
      <c r="C24" s="8" t="s">
        <v>50</v>
      </c>
      <c r="D24" s="6">
        <v>472</v>
      </c>
      <c r="E24" s="6">
        <v>181</v>
      </c>
      <c r="F24" s="6">
        <v>1423</v>
      </c>
      <c r="G24" s="12">
        <f t="shared" si="0"/>
        <v>7.8666666666666663</v>
      </c>
    </row>
    <row r="25" spans="1:7" x14ac:dyDescent="0.2">
      <c r="A25" s="5">
        <v>25</v>
      </c>
      <c r="B25" s="5">
        <v>1</v>
      </c>
      <c r="C25" s="8" t="s">
        <v>51</v>
      </c>
      <c r="D25" s="6">
        <v>450</v>
      </c>
      <c r="E25" s="6">
        <v>178</v>
      </c>
      <c r="F25" s="6">
        <v>1335</v>
      </c>
      <c r="G25" s="12">
        <f t="shared" si="0"/>
        <v>7.5</v>
      </c>
    </row>
    <row r="26" spans="1:7" x14ac:dyDescent="0.2">
      <c r="A26" s="5">
        <v>31</v>
      </c>
      <c r="B26" s="5">
        <v>1</v>
      </c>
      <c r="C26" s="8" t="s">
        <v>52</v>
      </c>
      <c r="D26" s="6">
        <v>440</v>
      </c>
      <c r="E26" s="6">
        <v>182</v>
      </c>
      <c r="F26" s="6">
        <v>1335</v>
      </c>
      <c r="G26" s="12">
        <f t="shared" si="0"/>
        <v>7.333333333333333</v>
      </c>
    </row>
    <row r="27" spans="1:7" x14ac:dyDescent="0.2">
      <c r="A27" s="5">
        <v>32</v>
      </c>
      <c r="B27" s="5">
        <v>1</v>
      </c>
      <c r="C27" s="8" t="s">
        <v>53</v>
      </c>
      <c r="D27" s="6">
        <v>480</v>
      </c>
      <c r="E27" s="6">
        <v>180</v>
      </c>
      <c r="F27" s="6">
        <v>1440</v>
      </c>
      <c r="G27" s="12">
        <f t="shared" si="0"/>
        <v>8</v>
      </c>
    </row>
    <row r="28" spans="1:7" x14ac:dyDescent="0.2">
      <c r="A28" s="5">
        <v>36</v>
      </c>
      <c r="B28" s="5">
        <v>1</v>
      </c>
      <c r="C28" s="8" t="s">
        <v>54</v>
      </c>
      <c r="D28" s="6">
        <v>465</v>
      </c>
      <c r="E28" s="6">
        <v>180</v>
      </c>
      <c r="F28" s="6">
        <v>1395</v>
      </c>
      <c r="G28" s="12">
        <f t="shared" si="0"/>
        <v>7.75</v>
      </c>
    </row>
    <row r="29" spans="1:7" x14ac:dyDescent="0.2">
      <c r="A29" s="5">
        <v>38</v>
      </c>
      <c r="B29" s="5">
        <v>1</v>
      </c>
      <c r="C29" s="8" t="s">
        <v>55</v>
      </c>
      <c r="D29" s="6">
        <v>350</v>
      </c>
      <c r="E29" s="6">
        <v>179</v>
      </c>
      <c r="F29" s="6">
        <v>1044</v>
      </c>
      <c r="G29" s="12">
        <f t="shared" si="0"/>
        <v>5.833333333333333</v>
      </c>
    </row>
    <row r="30" spans="1:7" x14ac:dyDescent="0.2">
      <c r="A30" s="5">
        <v>47</v>
      </c>
      <c r="B30" s="5">
        <v>1</v>
      </c>
      <c r="C30" s="8" t="s">
        <v>56</v>
      </c>
      <c r="D30" s="6">
        <v>480</v>
      </c>
      <c r="E30" s="6">
        <v>182</v>
      </c>
      <c r="F30" s="6">
        <v>1456</v>
      </c>
      <c r="G30" s="12">
        <f t="shared" si="0"/>
        <v>8</v>
      </c>
    </row>
    <row r="31" spans="1:7" x14ac:dyDescent="0.2">
      <c r="A31" s="5">
        <v>51</v>
      </c>
      <c r="B31" s="5">
        <v>1</v>
      </c>
      <c r="C31" s="8" t="s">
        <v>57</v>
      </c>
      <c r="D31" s="6">
        <v>480</v>
      </c>
      <c r="E31" s="6">
        <v>180</v>
      </c>
      <c r="F31" s="6">
        <v>1440</v>
      </c>
      <c r="G31" s="12">
        <f t="shared" si="0"/>
        <v>8</v>
      </c>
    </row>
    <row r="32" spans="1:7" x14ac:dyDescent="0.2">
      <c r="A32" s="5">
        <v>62</v>
      </c>
      <c r="B32" s="5">
        <v>1</v>
      </c>
      <c r="C32" s="8" t="s">
        <v>58</v>
      </c>
      <c r="D32" s="6">
        <v>450</v>
      </c>
      <c r="E32" s="6">
        <v>182</v>
      </c>
      <c r="F32" s="6">
        <v>1365</v>
      </c>
      <c r="G32" s="12">
        <f t="shared" si="0"/>
        <v>7.5</v>
      </c>
    </row>
    <row r="33" spans="1:7" x14ac:dyDescent="0.2">
      <c r="A33" s="5">
        <v>75</v>
      </c>
      <c r="B33" s="5">
        <v>1</v>
      </c>
      <c r="C33" s="8" t="s">
        <v>59</v>
      </c>
      <c r="D33" s="6">
        <v>450</v>
      </c>
      <c r="E33" s="6">
        <v>182</v>
      </c>
      <c r="F33" s="6">
        <v>1365</v>
      </c>
      <c r="G33" s="12">
        <f t="shared" si="0"/>
        <v>7.5</v>
      </c>
    </row>
    <row r="34" spans="1:7" x14ac:dyDescent="0.2">
      <c r="A34" s="5">
        <v>77</v>
      </c>
      <c r="B34" s="5">
        <v>1</v>
      </c>
      <c r="C34" s="8" t="s">
        <v>60</v>
      </c>
      <c r="D34" s="6">
        <v>440</v>
      </c>
      <c r="E34" s="6">
        <v>191</v>
      </c>
      <c r="F34" s="6">
        <v>1401</v>
      </c>
      <c r="G34" s="12">
        <f t="shared" si="0"/>
        <v>7.333333333333333</v>
      </c>
    </row>
    <row r="35" spans="1:7" x14ac:dyDescent="0.2">
      <c r="A35" s="5">
        <v>81</v>
      </c>
      <c r="B35" s="5">
        <v>1</v>
      </c>
      <c r="C35" s="8" t="s">
        <v>61</v>
      </c>
      <c r="D35" s="6">
        <v>450</v>
      </c>
      <c r="E35" s="6">
        <v>180</v>
      </c>
      <c r="F35" s="6">
        <v>1350</v>
      </c>
      <c r="G35" s="12">
        <f t="shared" si="0"/>
        <v>7.5</v>
      </c>
    </row>
    <row r="36" spans="1:7" x14ac:dyDescent="0.2">
      <c r="A36" s="5">
        <v>84</v>
      </c>
      <c r="B36" s="5">
        <v>1</v>
      </c>
      <c r="C36" s="8" t="s">
        <v>62</v>
      </c>
      <c r="D36" s="6">
        <v>480</v>
      </c>
      <c r="E36" s="6">
        <v>182</v>
      </c>
      <c r="F36" s="6">
        <v>1456</v>
      </c>
      <c r="G36" s="12">
        <f t="shared" si="0"/>
        <v>8</v>
      </c>
    </row>
    <row r="37" spans="1:7" x14ac:dyDescent="0.2">
      <c r="A37" s="5">
        <v>85</v>
      </c>
      <c r="B37" s="5">
        <v>1</v>
      </c>
      <c r="C37" s="8" t="s">
        <v>63</v>
      </c>
      <c r="D37" s="6">
        <v>450</v>
      </c>
      <c r="E37" s="6">
        <v>182</v>
      </c>
      <c r="F37" s="6">
        <v>1365</v>
      </c>
      <c r="G37" s="12">
        <f t="shared" si="0"/>
        <v>7.5</v>
      </c>
    </row>
    <row r="38" spans="1:7" x14ac:dyDescent="0.2">
      <c r="A38" s="5">
        <v>88</v>
      </c>
      <c r="B38" s="5">
        <v>1</v>
      </c>
      <c r="C38" s="8" t="s">
        <v>64</v>
      </c>
      <c r="D38" s="6">
        <v>480</v>
      </c>
      <c r="E38" s="6">
        <v>185</v>
      </c>
      <c r="F38" s="6">
        <v>1480</v>
      </c>
      <c r="G38" s="12">
        <f t="shared" si="0"/>
        <v>8</v>
      </c>
    </row>
    <row r="39" spans="1:7" x14ac:dyDescent="0.2">
      <c r="A39" s="5">
        <v>91</v>
      </c>
      <c r="B39" s="5">
        <v>1</v>
      </c>
      <c r="C39" s="8" t="s">
        <v>65</v>
      </c>
      <c r="D39" s="6">
        <v>404</v>
      </c>
      <c r="E39" s="6">
        <v>183</v>
      </c>
      <c r="F39" s="6">
        <v>1232</v>
      </c>
      <c r="G39" s="12">
        <f t="shared" si="0"/>
        <v>6.7333333333333334</v>
      </c>
    </row>
    <row r="40" spans="1:7" x14ac:dyDescent="0.2">
      <c r="A40" s="5">
        <v>93</v>
      </c>
      <c r="B40" s="5">
        <v>1</v>
      </c>
      <c r="C40" s="8" t="s">
        <v>66</v>
      </c>
      <c r="D40" s="6">
        <v>435</v>
      </c>
      <c r="E40" s="6">
        <v>183</v>
      </c>
      <c r="F40" s="6">
        <v>1327</v>
      </c>
      <c r="G40" s="12">
        <f t="shared" si="0"/>
        <v>7.25</v>
      </c>
    </row>
    <row r="41" spans="1:7" x14ac:dyDescent="0.2">
      <c r="A41" s="5">
        <v>94</v>
      </c>
      <c r="B41" s="5">
        <v>1</v>
      </c>
      <c r="C41" s="8" t="s">
        <v>67</v>
      </c>
      <c r="D41" s="6">
        <v>450</v>
      </c>
      <c r="E41" s="6">
        <v>184</v>
      </c>
      <c r="F41" s="6">
        <v>1380</v>
      </c>
      <c r="G41" s="12">
        <f t="shared" si="0"/>
        <v>7.5</v>
      </c>
    </row>
    <row r="42" spans="1:7" x14ac:dyDescent="0.2">
      <c r="A42" s="5">
        <v>95</v>
      </c>
      <c r="B42" s="5">
        <v>1</v>
      </c>
      <c r="C42" s="8" t="s">
        <v>68</v>
      </c>
      <c r="D42" s="6">
        <v>450</v>
      </c>
      <c r="E42" s="6">
        <v>180</v>
      </c>
      <c r="F42" s="6">
        <v>1350</v>
      </c>
      <c r="G42" s="12">
        <f t="shared" si="0"/>
        <v>7.5</v>
      </c>
    </row>
    <row r="43" spans="1:7" x14ac:dyDescent="0.2">
      <c r="A43" s="5">
        <v>97</v>
      </c>
      <c r="B43" s="5">
        <v>1</v>
      </c>
      <c r="C43" s="8" t="s">
        <v>69</v>
      </c>
      <c r="D43" s="6">
        <v>435</v>
      </c>
      <c r="E43" s="6">
        <v>181</v>
      </c>
      <c r="F43" s="6">
        <v>1312</v>
      </c>
      <c r="G43" s="12">
        <f t="shared" si="0"/>
        <v>7.25</v>
      </c>
    </row>
    <row r="44" spans="1:7" x14ac:dyDescent="0.2">
      <c r="A44" s="5">
        <v>99</v>
      </c>
      <c r="B44" s="5">
        <v>1</v>
      </c>
      <c r="C44" s="8" t="s">
        <v>70</v>
      </c>
      <c r="D44" s="6">
        <v>420</v>
      </c>
      <c r="E44" s="6">
        <v>184</v>
      </c>
      <c r="F44" s="6">
        <v>1288</v>
      </c>
      <c r="G44" s="12">
        <f t="shared" si="0"/>
        <v>7</v>
      </c>
    </row>
    <row r="45" spans="1:7" x14ac:dyDescent="0.2">
      <c r="A45" s="5">
        <v>100</v>
      </c>
      <c r="B45" s="5">
        <v>1</v>
      </c>
      <c r="C45" s="8" t="s">
        <v>71</v>
      </c>
      <c r="D45" s="6">
        <v>450</v>
      </c>
      <c r="E45" s="6">
        <v>181</v>
      </c>
      <c r="F45" s="6">
        <v>1358</v>
      </c>
      <c r="G45" s="12">
        <f t="shared" si="0"/>
        <v>7.5</v>
      </c>
    </row>
    <row r="46" spans="1:7" x14ac:dyDescent="0.2">
      <c r="A46" s="5">
        <v>108</v>
      </c>
      <c r="B46" s="5">
        <v>1</v>
      </c>
      <c r="C46" s="8" t="s">
        <v>72</v>
      </c>
      <c r="D46" s="6">
        <v>455</v>
      </c>
      <c r="E46" s="6">
        <v>181</v>
      </c>
      <c r="F46" s="6">
        <v>1373</v>
      </c>
      <c r="G46" s="12">
        <f t="shared" si="0"/>
        <v>7.583333333333333</v>
      </c>
    </row>
    <row r="47" spans="1:7" x14ac:dyDescent="0.2">
      <c r="A47" s="5">
        <v>110</v>
      </c>
      <c r="B47" s="5">
        <v>1</v>
      </c>
      <c r="C47" s="8" t="s">
        <v>73</v>
      </c>
      <c r="D47" s="6">
        <v>420</v>
      </c>
      <c r="E47" s="6">
        <v>184</v>
      </c>
      <c r="F47" s="6">
        <v>1288</v>
      </c>
      <c r="G47" s="12">
        <f t="shared" si="0"/>
        <v>7</v>
      </c>
    </row>
    <row r="48" spans="1:7" x14ac:dyDescent="0.2">
      <c r="A48" s="5">
        <v>111</v>
      </c>
      <c r="B48" s="5">
        <v>1</v>
      </c>
      <c r="C48" s="8" t="s">
        <v>74</v>
      </c>
      <c r="D48" s="6">
        <v>462</v>
      </c>
      <c r="E48" s="6">
        <v>182</v>
      </c>
      <c r="F48" s="6">
        <v>1401</v>
      </c>
      <c r="G48" s="12">
        <f t="shared" si="0"/>
        <v>7.7</v>
      </c>
    </row>
    <row r="49" spans="1:7" x14ac:dyDescent="0.2">
      <c r="A49" s="5">
        <v>112</v>
      </c>
      <c r="B49" s="5">
        <v>1</v>
      </c>
      <c r="C49" s="8" t="s">
        <v>75</v>
      </c>
      <c r="D49" s="6">
        <v>450</v>
      </c>
      <c r="E49" s="6">
        <v>185</v>
      </c>
      <c r="F49" s="6">
        <v>1388</v>
      </c>
      <c r="G49" s="12">
        <f t="shared" si="0"/>
        <v>7.5</v>
      </c>
    </row>
    <row r="50" spans="1:7" x14ac:dyDescent="0.2">
      <c r="A50" s="5">
        <v>113</v>
      </c>
      <c r="B50" s="5">
        <v>1</v>
      </c>
      <c r="C50" s="8" t="s">
        <v>76</v>
      </c>
      <c r="D50" s="6">
        <v>480</v>
      </c>
      <c r="E50" s="6">
        <v>182</v>
      </c>
      <c r="F50" s="6">
        <v>1456</v>
      </c>
      <c r="G50" s="12">
        <f t="shared" si="0"/>
        <v>8</v>
      </c>
    </row>
    <row r="51" spans="1:7" x14ac:dyDescent="0.2">
      <c r="A51" s="5">
        <v>115</v>
      </c>
      <c r="B51" s="5">
        <v>1</v>
      </c>
      <c r="C51" s="8" t="s">
        <v>77</v>
      </c>
      <c r="D51" s="6">
        <v>450</v>
      </c>
      <c r="E51" s="6">
        <v>179</v>
      </c>
      <c r="F51" s="6">
        <v>1343</v>
      </c>
      <c r="G51" s="12">
        <f t="shared" si="0"/>
        <v>7.5</v>
      </c>
    </row>
    <row r="52" spans="1:7" x14ac:dyDescent="0.2">
      <c r="A52" s="5">
        <v>116</v>
      </c>
      <c r="B52" s="5">
        <v>1</v>
      </c>
      <c r="C52" s="8" t="s">
        <v>78</v>
      </c>
      <c r="D52" s="6">
        <v>450</v>
      </c>
      <c r="E52" s="6">
        <v>183</v>
      </c>
      <c r="F52" s="6">
        <v>1373</v>
      </c>
      <c r="G52" s="12">
        <f t="shared" si="0"/>
        <v>7.5</v>
      </c>
    </row>
    <row r="53" spans="1:7" x14ac:dyDescent="0.2">
      <c r="A53" s="5">
        <v>118</v>
      </c>
      <c r="B53" s="5">
        <v>1</v>
      </c>
      <c r="C53" s="8" t="s">
        <v>79</v>
      </c>
      <c r="D53" s="6">
        <v>450</v>
      </c>
      <c r="E53" s="6">
        <v>183</v>
      </c>
      <c r="F53" s="6">
        <v>1373</v>
      </c>
      <c r="G53" s="12">
        <f t="shared" si="0"/>
        <v>7.5</v>
      </c>
    </row>
    <row r="54" spans="1:7" x14ac:dyDescent="0.2">
      <c r="A54" s="5">
        <v>129</v>
      </c>
      <c r="B54" s="5">
        <v>1</v>
      </c>
      <c r="C54" s="8" t="s">
        <v>80</v>
      </c>
      <c r="D54" s="6">
        <v>450</v>
      </c>
      <c r="E54" s="6">
        <v>184</v>
      </c>
      <c r="F54" s="6">
        <v>1380</v>
      </c>
      <c r="G54" s="12">
        <f t="shared" si="0"/>
        <v>7.5</v>
      </c>
    </row>
    <row r="55" spans="1:7" x14ac:dyDescent="0.2">
      <c r="A55" s="5">
        <v>138</v>
      </c>
      <c r="B55" s="5">
        <v>1</v>
      </c>
      <c r="C55" s="8" t="s">
        <v>81</v>
      </c>
      <c r="D55" s="6">
        <v>450</v>
      </c>
      <c r="E55" s="6">
        <v>182</v>
      </c>
      <c r="F55" s="6">
        <v>1365</v>
      </c>
      <c r="G55" s="12">
        <f t="shared" si="0"/>
        <v>7.5</v>
      </c>
    </row>
    <row r="56" spans="1:7" x14ac:dyDescent="0.2">
      <c r="A56" s="5">
        <v>139</v>
      </c>
      <c r="B56" s="5">
        <v>1</v>
      </c>
      <c r="C56" s="8" t="s">
        <v>82</v>
      </c>
      <c r="D56" s="6">
        <v>465</v>
      </c>
      <c r="E56" s="6">
        <v>181</v>
      </c>
      <c r="F56" s="6">
        <v>1403</v>
      </c>
      <c r="G56" s="12">
        <f t="shared" si="0"/>
        <v>7.75</v>
      </c>
    </row>
    <row r="57" spans="1:7" x14ac:dyDescent="0.2">
      <c r="A57" s="5">
        <v>146</v>
      </c>
      <c r="B57" s="5">
        <v>1</v>
      </c>
      <c r="C57" s="8" t="s">
        <v>83</v>
      </c>
      <c r="D57" s="6">
        <v>420</v>
      </c>
      <c r="E57" s="6">
        <v>179</v>
      </c>
      <c r="F57" s="6">
        <v>1253</v>
      </c>
      <c r="G57" s="12">
        <f t="shared" si="0"/>
        <v>7</v>
      </c>
    </row>
    <row r="58" spans="1:7" x14ac:dyDescent="0.2">
      <c r="A58" s="5">
        <v>150</v>
      </c>
      <c r="B58" s="5">
        <v>1</v>
      </c>
      <c r="C58" s="8" t="s">
        <v>84</v>
      </c>
      <c r="D58" s="6">
        <v>435</v>
      </c>
      <c r="E58" s="6">
        <v>181</v>
      </c>
      <c r="F58" s="6">
        <v>1312</v>
      </c>
      <c r="G58" s="12">
        <f t="shared" si="0"/>
        <v>7.25</v>
      </c>
    </row>
    <row r="59" spans="1:7" x14ac:dyDescent="0.2">
      <c r="A59" s="5">
        <v>152</v>
      </c>
      <c r="B59" s="5">
        <v>1</v>
      </c>
      <c r="C59" s="8" t="s">
        <v>85</v>
      </c>
      <c r="D59" s="6">
        <v>420</v>
      </c>
      <c r="E59" s="6">
        <v>183</v>
      </c>
      <c r="F59" s="6">
        <v>1281</v>
      </c>
      <c r="G59" s="12">
        <f t="shared" si="0"/>
        <v>7</v>
      </c>
    </row>
    <row r="60" spans="1:7" x14ac:dyDescent="0.2">
      <c r="A60" s="5">
        <v>160</v>
      </c>
      <c r="B60" s="5">
        <v>70</v>
      </c>
      <c r="C60" s="8" t="s">
        <v>510</v>
      </c>
      <c r="D60" s="6">
        <v>480</v>
      </c>
      <c r="E60" s="6">
        <v>205</v>
      </c>
      <c r="F60" s="6">
        <v>1640</v>
      </c>
      <c r="G60" s="12">
        <f t="shared" si="0"/>
        <v>8</v>
      </c>
    </row>
    <row r="61" spans="1:7" x14ac:dyDescent="0.2">
      <c r="A61" s="5">
        <v>162</v>
      </c>
      <c r="B61" s="5">
        <v>1</v>
      </c>
      <c r="C61" s="8" t="s">
        <v>86</v>
      </c>
      <c r="D61" s="6">
        <v>420</v>
      </c>
      <c r="E61" s="6">
        <v>177</v>
      </c>
      <c r="F61" s="6">
        <v>1239</v>
      </c>
      <c r="G61" s="12">
        <f t="shared" si="0"/>
        <v>7</v>
      </c>
    </row>
    <row r="62" spans="1:7" x14ac:dyDescent="0.2">
      <c r="A62" s="5">
        <v>166</v>
      </c>
      <c r="B62" s="5">
        <v>1</v>
      </c>
      <c r="C62" s="8" t="s">
        <v>87</v>
      </c>
      <c r="D62" s="6">
        <v>390</v>
      </c>
      <c r="E62" s="6">
        <v>180</v>
      </c>
      <c r="F62" s="6">
        <v>1170</v>
      </c>
      <c r="G62" s="12">
        <f t="shared" si="0"/>
        <v>6.5</v>
      </c>
    </row>
    <row r="63" spans="1:7" x14ac:dyDescent="0.2">
      <c r="A63" s="5">
        <v>173</v>
      </c>
      <c r="B63" s="5">
        <v>1</v>
      </c>
      <c r="C63" s="8" t="s">
        <v>88</v>
      </c>
      <c r="D63" s="6">
        <v>450</v>
      </c>
      <c r="E63" s="6">
        <v>183</v>
      </c>
      <c r="F63" s="6">
        <v>1373</v>
      </c>
      <c r="G63" s="12">
        <f t="shared" si="0"/>
        <v>7.5</v>
      </c>
    </row>
    <row r="64" spans="1:7" x14ac:dyDescent="0.2">
      <c r="A64" s="5">
        <v>177</v>
      </c>
      <c r="B64" s="5">
        <v>1</v>
      </c>
      <c r="C64" s="8" t="s">
        <v>89</v>
      </c>
      <c r="D64" s="6">
        <v>450</v>
      </c>
      <c r="E64" s="6">
        <v>184</v>
      </c>
      <c r="F64" s="6">
        <v>1380</v>
      </c>
      <c r="G64" s="12">
        <f t="shared" si="0"/>
        <v>7.5</v>
      </c>
    </row>
    <row r="65" spans="1:7" x14ac:dyDescent="0.2">
      <c r="A65" s="5">
        <v>181</v>
      </c>
      <c r="B65" s="5">
        <v>1</v>
      </c>
      <c r="C65" s="8" t="s">
        <v>90</v>
      </c>
      <c r="D65" s="6">
        <v>450</v>
      </c>
      <c r="E65" s="6">
        <v>183</v>
      </c>
      <c r="F65" s="6">
        <v>1373</v>
      </c>
      <c r="G65" s="12">
        <f t="shared" si="0"/>
        <v>7.5</v>
      </c>
    </row>
    <row r="66" spans="1:7" x14ac:dyDescent="0.2">
      <c r="A66" s="5">
        <v>182</v>
      </c>
      <c r="B66" s="5">
        <v>1</v>
      </c>
      <c r="C66" s="8" t="s">
        <v>91</v>
      </c>
      <c r="D66" s="6">
        <v>430</v>
      </c>
      <c r="E66" s="6">
        <v>179</v>
      </c>
      <c r="F66" s="6">
        <v>1283</v>
      </c>
      <c r="G66" s="12">
        <f t="shared" si="0"/>
        <v>7.166666666666667</v>
      </c>
    </row>
    <row r="67" spans="1:7" x14ac:dyDescent="0.2">
      <c r="A67" s="5">
        <v>186</v>
      </c>
      <c r="B67" s="5">
        <v>1</v>
      </c>
      <c r="C67" s="8" t="s">
        <v>92</v>
      </c>
      <c r="D67" s="6">
        <v>435</v>
      </c>
      <c r="E67" s="6">
        <v>180</v>
      </c>
      <c r="F67" s="6">
        <v>1305</v>
      </c>
      <c r="G67" s="12">
        <f t="shared" si="0"/>
        <v>7.25</v>
      </c>
    </row>
    <row r="68" spans="1:7" x14ac:dyDescent="0.2">
      <c r="A68" s="5">
        <v>191</v>
      </c>
      <c r="B68" s="5">
        <v>1</v>
      </c>
      <c r="C68" s="8" t="s">
        <v>93</v>
      </c>
      <c r="D68" s="6">
        <v>450</v>
      </c>
      <c r="E68" s="6">
        <v>184</v>
      </c>
      <c r="F68" s="6">
        <v>1380</v>
      </c>
      <c r="G68" s="12">
        <f t="shared" si="0"/>
        <v>7.5</v>
      </c>
    </row>
    <row r="69" spans="1:7" x14ac:dyDescent="0.2">
      <c r="A69" s="5">
        <v>192</v>
      </c>
      <c r="B69" s="5">
        <v>1</v>
      </c>
      <c r="C69" s="8" t="s">
        <v>94</v>
      </c>
      <c r="D69" s="6">
        <v>450</v>
      </c>
      <c r="E69" s="6">
        <v>184</v>
      </c>
      <c r="F69" s="6">
        <v>1380</v>
      </c>
      <c r="G69" s="12">
        <f t="shared" si="0"/>
        <v>7.5</v>
      </c>
    </row>
    <row r="70" spans="1:7" x14ac:dyDescent="0.2">
      <c r="A70" s="5">
        <v>194</v>
      </c>
      <c r="B70" s="5">
        <v>1</v>
      </c>
      <c r="C70" s="8" t="s">
        <v>95</v>
      </c>
      <c r="D70" s="6">
        <v>480</v>
      </c>
      <c r="E70" s="6">
        <v>186</v>
      </c>
      <c r="F70" s="6">
        <v>1488</v>
      </c>
      <c r="G70" s="12">
        <f t="shared" si="0"/>
        <v>8</v>
      </c>
    </row>
    <row r="71" spans="1:7" x14ac:dyDescent="0.2">
      <c r="A71" s="5">
        <v>195</v>
      </c>
      <c r="B71" s="5">
        <v>1</v>
      </c>
      <c r="C71" s="8" t="s">
        <v>96</v>
      </c>
      <c r="D71" s="6">
        <v>450</v>
      </c>
      <c r="E71" s="6">
        <v>186</v>
      </c>
      <c r="F71" s="6">
        <v>1395</v>
      </c>
      <c r="G71" s="12">
        <f t="shared" si="0"/>
        <v>7.5</v>
      </c>
    </row>
    <row r="72" spans="1:7" x14ac:dyDescent="0.2">
      <c r="A72" s="5">
        <v>196</v>
      </c>
      <c r="B72" s="5">
        <v>1</v>
      </c>
      <c r="C72" s="8" t="s">
        <v>97</v>
      </c>
      <c r="D72" s="6">
        <v>480</v>
      </c>
      <c r="E72" s="6">
        <v>185</v>
      </c>
      <c r="F72" s="6">
        <v>1480</v>
      </c>
      <c r="G72" s="12">
        <f t="shared" si="0"/>
        <v>8</v>
      </c>
    </row>
    <row r="73" spans="1:7" x14ac:dyDescent="0.2">
      <c r="A73" s="5">
        <v>197</v>
      </c>
      <c r="B73" s="5">
        <v>1</v>
      </c>
      <c r="C73" s="8" t="s">
        <v>98</v>
      </c>
      <c r="D73" s="6">
        <v>480</v>
      </c>
      <c r="E73" s="6">
        <v>190</v>
      </c>
      <c r="F73" s="6">
        <v>1520</v>
      </c>
      <c r="G73" s="12">
        <f t="shared" si="0"/>
        <v>8</v>
      </c>
    </row>
    <row r="74" spans="1:7" x14ac:dyDescent="0.2">
      <c r="A74" s="5">
        <v>199</v>
      </c>
      <c r="B74" s="5">
        <v>1</v>
      </c>
      <c r="C74" s="8" t="s">
        <v>99</v>
      </c>
      <c r="D74" s="6">
        <v>450</v>
      </c>
      <c r="E74" s="6">
        <v>185</v>
      </c>
      <c r="F74" s="6">
        <v>1388</v>
      </c>
      <c r="G74" s="12">
        <f t="shared" si="0"/>
        <v>7.5</v>
      </c>
    </row>
    <row r="75" spans="1:7" x14ac:dyDescent="0.2">
      <c r="A75" s="5">
        <v>200</v>
      </c>
      <c r="B75" s="5">
        <v>1</v>
      </c>
      <c r="C75" s="8" t="s">
        <v>100</v>
      </c>
      <c r="D75" s="6">
        <v>450</v>
      </c>
      <c r="E75" s="6">
        <v>184</v>
      </c>
      <c r="F75" s="6">
        <v>1380</v>
      </c>
      <c r="G75" s="12">
        <f t="shared" si="0"/>
        <v>7.5</v>
      </c>
    </row>
    <row r="76" spans="1:7" x14ac:dyDescent="0.2">
      <c r="A76" s="5">
        <v>203</v>
      </c>
      <c r="B76" s="5">
        <v>1</v>
      </c>
      <c r="C76" s="8" t="s">
        <v>101</v>
      </c>
      <c r="D76" s="6">
        <v>458</v>
      </c>
      <c r="E76" s="6">
        <v>182</v>
      </c>
      <c r="F76" s="6">
        <v>1389</v>
      </c>
      <c r="G76" s="12">
        <f t="shared" ref="G76:G139" si="1">D76/60</f>
        <v>7.6333333333333337</v>
      </c>
    </row>
    <row r="77" spans="1:7" x14ac:dyDescent="0.2">
      <c r="A77" s="5">
        <v>204</v>
      </c>
      <c r="B77" s="5">
        <v>1</v>
      </c>
      <c r="C77" s="8" t="s">
        <v>102</v>
      </c>
      <c r="D77" s="6">
        <v>455</v>
      </c>
      <c r="E77" s="6">
        <v>187</v>
      </c>
      <c r="F77" s="6">
        <v>1418</v>
      </c>
      <c r="G77" s="12">
        <f t="shared" si="1"/>
        <v>7.583333333333333</v>
      </c>
    </row>
    <row r="78" spans="1:7" x14ac:dyDescent="0.2">
      <c r="A78" s="5">
        <v>206</v>
      </c>
      <c r="B78" s="5">
        <v>1</v>
      </c>
      <c r="C78" s="8" t="s">
        <v>103</v>
      </c>
      <c r="D78" s="6">
        <v>450</v>
      </c>
      <c r="E78" s="6">
        <v>183</v>
      </c>
      <c r="F78" s="6">
        <v>1373</v>
      </c>
      <c r="G78" s="12">
        <f t="shared" si="1"/>
        <v>7.5</v>
      </c>
    </row>
    <row r="79" spans="1:7" x14ac:dyDescent="0.2">
      <c r="A79" s="5">
        <v>207</v>
      </c>
      <c r="B79" s="5">
        <v>1</v>
      </c>
      <c r="C79" s="8" t="s">
        <v>104</v>
      </c>
      <c r="D79" s="6">
        <v>450</v>
      </c>
      <c r="E79" s="6">
        <v>182</v>
      </c>
      <c r="F79" s="6">
        <v>1365</v>
      </c>
      <c r="G79" s="12">
        <f t="shared" si="1"/>
        <v>7.5</v>
      </c>
    </row>
    <row r="80" spans="1:7" x14ac:dyDescent="0.2">
      <c r="A80" s="5">
        <v>208</v>
      </c>
      <c r="B80" s="5">
        <v>1</v>
      </c>
      <c r="C80" s="8" t="s">
        <v>105</v>
      </c>
      <c r="D80" s="6">
        <v>450</v>
      </c>
      <c r="E80" s="6">
        <v>182</v>
      </c>
      <c r="F80" s="6">
        <v>1365</v>
      </c>
      <c r="G80" s="12">
        <f t="shared" si="1"/>
        <v>7.5</v>
      </c>
    </row>
    <row r="81" spans="1:7" x14ac:dyDescent="0.2">
      <c r="A81" s="5">
        <v>213</v>
      </c>
      <c r="B81" s="5">
        <v>1</v>
      </c>
      <c r="C81" s="8" t="s">
        <v>106</v>
      </c>
      <c r="D81" s="6">
        <v>450</v>
      </c>
      <c r="E81" s="6">
        <v>182</v>
      </c>
      <c r="F81" s="6">
        <v>1365</v>
      </c>
      <c r="G81" s="12">
        <f t="shared" si="1"/>
        <v>7.5</v>
      </c>
    </row>
    <row r="82" spans="1:7" x14ac:dyDescent="0.2">
      <c r="A82" s="5">
        <v>227</v>
      </c>
      <c r="B82" s="5">
        <v>1</v>
      </c>
      <c r="C82" s="8" t="s">
        <v>107</v>
      </c>
      <c r="D82" s="6">
        <v>480</v>
      </c>
      <c r="E82" s="6">
        <v>183</v>
      </c>
      <c r="F82" s="6">
        <v>1464</v>
      </c>
      <c r="G82" s="12">
        <f t="shared" si="1"/>
        <v>8</v>
      </c>
    </row>
    <row r="83" spans="1:7" x14ac:dyDescent="0.2">
      <c r="A83" s="5">
        <v>229</v>
      </c>
      <c r="B83" s="5">
        <v>1</v>
      </c>
      <c r="C83" s="8" t="s">
        <v>108</v>
      </c>
      <c r="D83" s="6">
        <v>480</v>
      </c>
      <c r="E83" s="6">
        <v>183</v>
      </c>
      <c r="F83" s="6">
        <v>1464</v>
      </c>
      <c r="G83" s="12">
        <f t="shared" si="1"/>
        <v>8</v>
      </c>
    </row>
    <row r="84" spans="1:7" x14ac:dyDescent="0.2">
      <c r="A84" s="5">
        <v>238</v>
      </c>
      <c r="B84" s="5">
        <v>1</v>
      </c>
      <c r="C84" s="8" t="s">
        <v>109</v>
      </c>
      <c r="D84" s="6">
        <v>480</v>
      </c>
      <c r="E84" s="6">
        <v>184</v>
      </c>
      <c r="F84" s="6">
        <v>1472</v>
      </c>
      <c r="G84" s="12">
        <f t="shared" si="1"/>
        <v>8</v>
      </c>
    </row>
    <row r="85" spans="1:7" x14ac:dyDescent="0.2">
      <c r="A85" s="5">
        <v>239</v>
      </c>
      <c r="B85" s="5">
        <v>1</v>
      </c>
      <c r="C85" s="8" t="s">
        <v>110</v>
      </c>
      <c r="D85" s="6">
        <v>390</v>
      </c>
      <c r="E85" s="6">
        <v>182</v>
      </c>
      <c r="F85" s="6">
        <v>1183</v>
      </c>
      <c r="G85" s="12">
        <f t="shared" si="1"/>
        <v>6.5</v>
      </c>
    </row>
    <row r="86" spans="1:7" x14ac:dyDescent="0.2">
      <c r="A86" s="5">
        <v>241</v>
      </c>
      <c r="B86" s="5">
        <v>1</v>
      </c>
      <c r="C86" s="8" t="s">
        <v>111</v>
      </c>
      <c r="D86" s="6">
        <v>480</v>
      </c>
      <c r="E86" s="6">
        <v>186</v>
      </c>
      <c r="F86" s="6">
        <v>1488</v>
      </c>
      <c r="G86" s="12">
        <f t="shared" si="1"/>
        <v>8</v>
      </c>
    </row>
    <row r="87" spans="1:7" x14ac:dyDescent="0.2">
      <c r="A87" s="5">
        <v>242</v>
      </c>
      <c r="B87" s="5">
        <v>1</v>
      </c>
      <c r="C87" s="8" t="s">
        <v>112</v>
      </c>
      <c r="D87" s="6">
        <v>450</v>
      </c>
      <c r="E87" s="6">
        <v>185</v>
      </c>
      <c r="F87" s="6">
        <v>1388</v>
      </c>
      <c r="G87" s="12">
        <f t="shared" si="1"/>
        <v>7.5</v>
      </c>
    </row>
    <row r="88" spans="1:7" x14ac:dyDescent="0.2">
      <c r="A88" s="5">
        <v>252</v>
      </c>
      <c r="B88" s="5">
        <v>1</v>
      </c>
      <c r="C88" s="8" t="s">
        <v>113</v>
      </c>
      <c r="D88" s="6">
        <v>480</v>
      </c>
      <c r="E88" s="6">
        <v>184</v>
      </c>
      <c r="F88" s="6">
        <v>1472</v>
      </c>
      <c r="G88" s="12">
        <f t="shared" si="1"/>
        <v>8</v>
      </c>
    </row>
    <row r="89" spans="1:7" x14ac:dyDescent="0.2">
      <c r="A89" s="5">
        <v>253</v>
      </c>
      <c r="B89" s="5">
        <v>1</v>
      </c>
      <c r="C89" s="8" t="s">
        <v>114</v>
      </c>
      <c r="D89" s="6">
        <v>480</v>
      </c>
      <c r="E89" s="6">
        <v>185</v>
      </c>
      <c r="F89" s="6">
        <v>1480</v>
      </c>
      <c r="G89" s="12">
        <f t="shared" si="1"/>
        <v>8</v>
      </c>
    </row>
    <row r="90" spans="1:7" x14ac:dyDescent="0.2">
      <c r="A90" s="5">
        <v>255</v>
      </c>
      <c r="B90" s="5">
        <v>1</v>
      </c>
      <c r="C90" s="8" t="s">
        <v>115</v>
      </c>
      <c r="D90" s="6">
        <v>455</v>
      </c>
      <c r="E90" s="6">
        <v>185</v>
      </c>
      <c r="F90" s="6">
        <v>1403</v>
      </c>
      <c r="G90" s="12">
        <f t="shared" si="1"/>
        <v>7.583333333333333</v>
      </c>
    </row>
    <row r="91" spans="1:7" x14ac:dyDescent="0.2">
      <c r="A91" s="5">
        <v>256</v>
      </c>
      <c r="B91" s="5">
        <v>1</v>
      </c>
      <c r="C91" s="8" t="s">
        <v>116</v>
      </c>
      <c r="D91" s="6">
        <v>450</v>
      </c>
      <c r="E91" s="6">
        <v>193</v>
      </c>
      <c r="F91" s="6">
        <v>1448</v>
      </c>
      <c r="G91" s="12">
        <f t="shared" si="1"/>
        <v>7.5</v>
      </c>
    </row>
    <row r="92" spans="1:7" x14ac:dyDescent="0.2">
      <c r="A92" s="5">
        <v>261</v>
      </c>
      <c r="B92" s="5">
        <v>1</v>
      </c>
      <c r="C92" s="8" t="s">
        <v>117</v>
      </c>
      <c r="D92" s="6">
        <v>450</v>
      </c>
      <c r="E92" s="6">
        <v>180</v>
      </c>
      <c r="F92" s="6">
        <v>1350</v>
      </c>
      <c r="G92" s="12">
        <f t="shared" si="1"/>
        <v>7.5</v>
      </c>
    </row>
    <row r="93" spans="1:7" x14ac:dyDescent="0.2">
      <c r="A93" s="5">
        <v>264</v>
      </c>
      <c r="B93" s="5">
        <v>1</v>
      </c>
      <c r="C93" s="8" t="s">
        <v>118</v>
      </c>
      <c r="D93" s="6">
        <v>460</v>
      </c>
      <c r="E93" s="6">
        <v>180</v>
      </c>
      <c r="F93" s="6">
        <v>1380</v>
      </c>
      <c r="G93" s="12">
        <f t="shared" si="1"/>
        <v>7.666666666666667</v>
      </c>
    </row>
    <row r="94" spans="1:7" x14ac:dyDescent="0.2">
      <c r="A94" s="5">
        <v>270</v>
      </c>
      <c r="B94" s="5">
        <v>1</v>
      </c>
      <c r="C94" s="8" t="s">
        <v>119</v>
      </c>
      <c r="D94" s="6">
        <v>480</v>
      </c>
      <c r="E94" s="6">
        <v>185</v>
      </c>
      <c r="F94" s="6">
        <v>1480</v>
      </c>
      <c r="G94" s="12">
        <f t="shared" si="1"/>
        <v>8</v>
      </c>
    </row>
    <row r="95" spans="1:7" x14ac:dyDescent="0.2">
      <c r="A95" s="5">
        <v>271</v>
      </c>
      <c r="B95" s="5">
        <v>1</v>
      </c>
      <c r="C95" s="8" t="s">
        <v>120</v>
      </c>
      <c r="D95" s="6">
        <v>420</v>
      </c>
      <c r="E95" s="6">
        <v>193</v>
      </c>
      <c r="F95" s="6">
        <v>1351</v>
      </c>
      <c r="G95" s="12">
        <f t="shared" si="1"/>
        <v>7</v>
      </c>
    </row>
    <row r="96" spans="1:7" x14ac:dyDescent="0.2">
      <c r="A96" s="5">
        <v>272</v>
      </c>
      <c r="B96" s="5">
        <v>1</v>
      </c>
      <c r="C96" s="8" t="s">
        <v>121</v>
      </c>
      <c r="D96" s="6">
        <v>445</v>
      </c>
      <c r="E96" s="6">
        <v>185</v>
      </c>
      <c r="F96" s="6">
        <v>1372</v>
      </c>
      <c r="G96" s="12">
        <f t="shared" si="1"/>
        <v>7.416666666666667</v>
      </c>
    </row>
    <row r="97" spans="1:7" x14ac:dyDescent="0.2">
      <c r="A97" s="5">
        <v>273</v>
      </c>
      <c r="B97" s="5">
        <v>1</v>
      </c>
      <c r="C97" s="8" t="s">
        <v>122</v>
      </c>
      <c r="D97" s="6">
        <v>450</v>
      </c>
      <c r="E97" s="6">
        <v>184</v>
      </c>
      <c r="F97" s="6">
        <v>1380</v>
      </c>
      <c r="G97" s="12">
        <f t="shared" si="1"/>
        <v>7.5</v>
      </c>
    </row>
    <row r="98" spans="1:7" x14ac:dyDescent="0.2">
      <c r="A98" s="5">
        <v>276</v>
      </c>
      <c r="B98" s="5">
        <v>1</v>
      </c>
      <c r="C98" s="8" t="s">
        <v>123</v>
      </c>
      <c r="D98" s="6">
        <v>480</v>
      </c>
      <c r="E98" s="6">
        <v>184</v>
      </c>
      <c r="F98" s="6">
        <v>1472</v>
      </c>
      <c r="G98" s="12">
        <f t="shared" si="1"/>
        <v>8</v>
      </c>
    </row>
    <row r="99" spans="1:7" x14ac:dyDescent="0.2">
      <c r="A99" s="5">
        <v>277</v>
      </c>
      <c r="B99" s="5">
        <v>1</v>
      </c>
      <c r="C99" s="8" t="s">
        <v>124</v>
      </c>
      <c r="D99" s="6">
        <v>450</v>
      </c>
      <c r="E99" s="6">
        <v>184</v>
      </c>
      <c r="F99" s="6">
        <v>1380</v>
      </c>
      <c r="G99" s="12">
        <f t="shared" si="1"/>
        <v>7.5</v>
      </c>
    </row>
    <row r="100" spans="1:7" x14ac:dyDescent="0.2">
      <c r="A100" s="5">
        <v>278</v>
      </c>
      <c r="B100" s="5">
        <v>1</v>
      </c>
      <c r="C100" s="8" t="s">
        <v>125</v>
      </c>
      <c r="D100" s="6">
        <v>480</v>
      </c>
      <c r="E100" s="6">
        <v>184</v>
      </c>
      <c r="F100" s="6">
        <v>1472</v>
      </c>
      <c r="G100" s="12">
        <f t="shared" si="1"/>
        <v>8</v>
      </c>
    </row>
    <row r="101" spans="1:7" x14ac:dyDescent="0.2">
      <c r="A101" s="5">
        <v>279</v>
      </c>
      <c r="B101" s="5">
        <v>1</v>
      </c>
      <c r="C101" s="8" t="s">
        <v>126</v>
      </c>
      <c r="D101" s="6">
        <v>480</v>
      </c>
      <c r="E101" s="6">
        <v>186</v>
      </c>
      <c r="F101" s="6">
        <v>1488</v>
      </c>
      <c r="G101" s="12">
        <f t="shared" si="1"/>
        <v>8</v>
      </c>
    </row>
    <row r="102" spans="1:7" x14ac:dyDescent="0.2">
      <c r="A102" s="5">
        <v>280</v>
      </c>
      <c r="B102" s="5">
        <v>1</v>
      </c>
      <c r="C102" s="8" t="s">
        <v>127</v>
      </c>
      <c r="D102" s="6">
        <v>450</v>
      </c>
      <c r="E102" s="6">
        <v>189</v>
      </c>
      <c r="F102" s="6">
        <v>1418</v>
      </c>
      <c r="G102" s="12">
        <f t="shared" si="1"/>
        <v>7.5</v>
      </c>
    </row>
    <row r="103" spans="1:7" x14ac:dyDescent="0.2">
      <c r="A103" s="5">
        <v>281</v>
      </c>
      <c r="B103" s="5">
        <v>1</v>
      </c>
      <c r="C103" s="8" t="s">
        <v>128</v>
      </c>
      <c r="D103" s="6">
        <v>430</v>
      </c>
      <c r="E103" s="6">
        <v>189</v>
      </c>
      <c r="F103" s="6">
        <v>1355</v>
      </c>
      <c r="G103" s="12">
        <f t="shared" si="1"/>
        <v>7.166666666666667</v>
      </c>
    </row>
    <row r="104" spans="1:7" x14ac:dyDescent="0.2">
      <c r="A104" s="5">
        <v>282</v>
      </c>
      <c r="B104" s="5">
        <v>1</v>
      </c>
      <c r="C104" s="8" t="s">
        <v>129</v>
      </c>
      <c r="D104" s="6">
        <v>450</v>
      </c>
      <c r="E104" s="6">
        <v>184</v>
      </c>
      <c r="F104" s="6">
        <v>1380</v>
      </c>
      <c r="G104" s="12">
        <f t="shared" si="1"/>
        <v>7.5</v>
      </c>
    </row>
    <row r="105" spans="1:7" x14ac:dyDescent="0.2">
      <c r="A105" s="5">
        <v>283</v>
      </c>
      <c r="B105" s="5">
        <v>1</v>
      </c>
      <c r="C105" s="8" t="s">
        <v>130</v>
      </c>
      <c r="D105" s="6">
        <v>450</v>
      </c>
      <c r="E105" s="6">
        <v>185</v>
      </c>
      <c r="F105" s="6">
        <v>1388</v>
      </c>
      <c r="G105" s="12">
        <f t="shared" si="1"/>
        <v>7.5</v>
      </c>
    </row>
    <row r="106" spans="1:7" x14ac:dyDescent="0.2">
      <c r="A106" s="5">
        <v>284</v>
      </c>
      <c r="B106" s="5">
        <v>1</v>
      </c>
      <c r="C106" s="8" t="s">
        <v>131</v>
      </c>
      <c r="D106" s="6">
        <v>450</v>
      </c>
      <c r="E106" s="6">
        <v>184</v>
      </c>
      <c r="F106" s="6">
        <v>1380</v>
      </c>
      <c r="G106" s="12">
        <f t="shared" si="1"/>
        <v>7.5</v>
      </c>
    </row>
    <row r="107" spans="1:7" x14ac:dyDescent="0.2">
      <c r="A107" s="5">
        <v>286</v>
      </c>
      <c r="B107" s="5">
        <v>1</v>
      </c>
      <c r="C107" s="8" t="s">
        <v>132</v>
      </c>
      <c r="D107" s="6">
        <v>435</v>
      </c>
      <c r="E107" s="6">
        <v>193</v>
      </c>
      <c r="F107" s="6">
        <v>1399</v>
      </c>
      <c r="G107" s="12">
        <f t="shared" si="1"/>
        <v>7.25</v>
      </c>
    </row>
    <row r="108" spans="1:7" x14ac:dyDescent="0.2">
      <c r="A108" s="5">
        <v>287</v>
      </c>
      <c r="B108" s="5">
        <v>6</v>
      </c>
      <c r="C108" s="8" t="s">
        <v>510</v>
      </c>
      <c r="D108" s="6">
        <v>480</v>
      </c>
      <c r="E108" s="6">
        <v>183</v>
      </c>
      <c r="F108" s="6">
        <v>1464</v>
      </c>
      <c r="G108" s="12">
        <f t="shared" si="1"/>
        <v>8</v>
      </c>
    </row>
    <row r="109" spans="1:7" x14ac:dyDescent="0.2">
      <c r="A109" s="5">
        <v>294</v>
      </c>
      <c r="B109" s="5">
        <v>1</v>
      </c>
      <c r="C109" s="8" t="s">
        <v>133</v>
      </c>
      <c r="D109" s="6">
        <v>450</v>
      </c>
      <c r="E109" s="6">
        <v>184</v>
      </c>
      <c r="F109" s="6">
        <v>1380</v>
      </c>
      <c r="G109" s="12">
        <f t="shared" si="1"/>
        <v>7.5</v>
      </c>
    </row>
    <row r="110" spans="1:7" x14ac:dyDescent="0.2">
      <c r="A110" s="5">
        <v>297</v>
      </c>
      <c r="B110" s="5">
        <v>1</v>
      </c>
      <c r="C110" s="8" t="s">
        <v>134</v>
      </c>
      <c r="D110" s="6">
        <v>435</v>
      </c>
      <c r="E110" s="6">
        <v>184</v>
      </c>
      <c r="F110" s="6">
        <v>1334</v>
      </c>
      <c r="G110" s="12">
        <f t="shared" si="1"/>
        <v>7.25</v>
      </c>
    </row>
    <row r="111" spans="1:7" x14ac:dyDescent="0.2">
      <c r="A111" s="5">
        <v>299</v>
      </c>
      <c r="B111" s="5">
        <v>1</v>
      </c>
      <c r="C111" s="8" t="s">
        <v>135</v>
      </c>
      <c r="D111" s="6">
        <v>450</v>
      </c>
      <c r="E111" s="6">
        <v>185</v>
      </c>
      <c r="F111" s="6">
        <v>1388</v>
      </c>
      <c r="G111" s="12">
        <f t="shared" si="1"/>
        <v>7.5</v>
      </c>
    </row>
    <row r="112" spans="1:7" x14ac:dyDescent="0.2">
      <c r="A112" s="5">
        <v>300</v>
      </c>
      <c r="B112" s="5">
        <v>1</v>
      </c>
      <c r="C112" s="8" t="s">
        <v>136</v>
      </c>
      <c r="D112" s="6">
        <v>450</v>
      </c>
      <c r="E112" s="6">
        <v>183</v>
      </c>
      <c r="F112" s="6">
        <v>1373</v>
      </c>
      <c r="G112" s="12">
        <f t="shared" si="1"/>
        <v>7.5</v>
      </c>
    </row>
    <row r="113" spans="1:7" x14ac:dyDescent="0.2">
      <c r="A113" s="5">
        <v>306</v>
      </c>
      <c r="B113" s="5">
        <v>1</v>
      </c>
      <c r="C113" s="8" t="s">
        <v>137</v>
      </c>
      <c r="D113" s="6">
        <v>420</v>
      </c>
      <c r="E113" s="6">
        <v>182</v>
      </c>
      <c r="F113" s="6">
        <v>1274</v>
      </c>
      <c r="G113" s="12">
        <f t="shared" si="1"/>
        <v>7</v>
      </c>
    </row>
    <row r="114" spans="1:7" x14ac:dyDescent="0.2">
      <c r="A114" s="5">
        <v>308</v>
      </c>
      <c r="B114" s="5">
        <v>1</v>
      </c>
      <c r="C114" s="8" t="s">
        <v>138</v>
      </c>
      <c r="D114" s="6">
        <v>435</v>
      </c>
      <c r="E114" s="6">
        <v>180</v>
      </c>
      <c r="F114" s="6">
        <v>1305</v>
      </c>
      <c r="G114" s="12">
        <f t="shared" si="1"/>
        <v>7.25</v>
      </c>
    </row>
    <row r="115" spans="1:7" x14ac:dyDescent="0.2">
      <c r="A115" s="5">
        <v>309</v>
      </c>
      <c r="B115" s="5">
        <v>1</v>
      </c>
      <c r="C115" s="8" t="s">
        <v>139</v>
      </c>
      <c r="D115" s="6">
        <v>480</v>
      </c>
      <c r="E115" s="6">
        <v>183</v>
      </c>
      <c r="F115" s="6">
        <v>1464</v>
      </c>
      <c r="G115" s="12">
        <f t="shared" si="1"/>
        <v>8</v>
      </c>
    </row>
    <row r="116" spans="1:7" x14ac:dyDescent="0.2">
      <c r="A116" s="5">
        <v>314</v>
      </c>
      <c r="B116" s="5">
        <v>1</v>
      </c>
      <c r="C116" s="8" t="s">
        <v>140</v>
      </c>
      <c r="D116" s="6">
        <v>450</v>
      </c>
      <c r="E116" s="6">
        <v>181</v>
      </c>
      <c r="F116" s="6">
        <v>1358</v>
      </c>
      <c r="G116" s="12">
        <f t="shared" si="1"/>
        <v>7.5</v>
      </c>
    </row>
    <row r="117" spans="1:7" x14ac:dyDescent="0.2">
      <c r="A117" s="5">
        <v>316</v>
      </c>
      <c r="B117" s="5">
        <v>1</v>
      </c>
      <c r="C117" s="8" t="s">
        <v>141</v>
      </c>
      <c r="D117" s="6">
        <v>420</v>
      </c>
      <c r="E117" s="6">
        <v>179</v>
      </c>
      <c r="F117" s="6">
        <v>1253</v>
      </c>
      <c r="G117" s="12">
        <f t="shared" si="1"/>
        <v>7</v>
      </c>
    </row>
    <row r="118" spans="1:7" x14ac:dyDescent="0.2">
      <c r="A118" s="5">
        <v>317</v>
      </c>
      <c r="B118" s="5">
        <v>1</v>
      </c>
      <c r="C118" s="8" t="s">
        <v>142</v>
      </c>
      <c r="D118" s="6">
        <v>420</v>
      </c>
      <c r="E118" s="6">
        <v>181</v>
      </c>
      <c r="F118" s="6">
        <v>1267</v>
      </c>
      <c r="G118" s="12">
        <f t="shared" si="1"/>
        <v>7</v>
      </c>
    </row>
    <row r="119" spans="1:7" x14ac:dyDescent="0.2">
      <c r="A119" s="5">
        <v>318</v>
      </c>
      <c r="B119" s="5">
        <v>1</v>
      </c>
      <c r="C119" s="8" t="s">
        <v>143</v>
      </c>
      <c r="D119" s="6">
        <v>450</v>
      </c>
      <c r="E119" s="6">
        <v>180</v>
      </c>
      <c r="F119" s="6">
        <v>1350</v>
      </c>
      <c r="G119" s="12">
        <f t="shared" si="1"/>
        <v>7.5</v>
      </c>
    </row>
    <row r="120" spans="1:7" x14ac:dyDescent="0.2">
      <c r="A120" s="5">
        <v>319</v>
      </c>
      <c r="B120" s="5">
        <v>1</v>
      </c>
      <c r="C120" s="8" t="s">
        <v>144</v>
      </c>
      <c r="D120" s="6">
        <v>420</v>
      </c>
      <c r="E120" s="6">
        <v>180</v>
      </c>
      <c r="F120" s="6">
        <v>1260</v>
      </c>
      <c r="G120" s="12">
        <f t="shared" si="1"/>
        <v>7</v>
      </c>
    </row>
    <row r="121" spans="1:7" x14ac:dyDescent="0.2">
      <c r="A121" s="5">
        <v>323</v>
      </c>
      <c r="B121" s="5">
        <v>2</v>
      </c>
      <c r="C121" s="8" t="s">
        <v>145</v>
      </c>
      <c r="D121" s="6">
        <v>0</v>
      </c>
      <c r="E121" s="6">
        <v>0</v>
      </c>
      <c r="F121" s="6">
        <v>0</v>
      </c>
      <c r="G121" s="12">
        <f t="shared" si="1"/>
        <v>0</v>
      </c>
    </row>
    <row r="122" spans="1:7" x14ac:dyDescent="0.2">
      <c r="A122" s="5">
        <v>330</v>
      </c>
      <c r="B122" s="5">
        <v>1</v>
      </c>
      <c r="C122" s="8" t="s">
        <v>146</v>
      </c>
      <c r="D122" s="6">
        <v>450</v>
      </c>
      <c r="E122" s="6">
        <v>182</v>
      </c>
      <c r="F122" s="6">
        <v>1365</v>
      </c>
      <c r="G122" s="12">
        <f t="shared" si="1"/>
        <v>7.5</v>
      </c>
    </row>
    <row r="123" spans="1:7" x14ac:dyDescent="0.2">
      <c r="A123" s="5">
        <v>332</v>
      </c>
      <c r="B123" s="5">
        <v>1</v>
      </c>
      <c r="C123" s="8" t="s">
        <v>147</v>
      </c>
      <c r="D123" s="6">
        <v>450</v>
      </c>
      <c r="E123" s="6">
        <v>184</v>
      </c>
      <c r="F123" s="6">
        <v>1380</v>
      </c>
      <c r="G123" s="12">
        <f t="shared" si="1"/>
        <v>7.5</v>
      </c>
    </row>
    <row r="124" spans="1:7" x14ac:dyDescent="0.2">
      <c r="A124" s="5">
        <v>333</v>
      </c>
      <c r="B124" s="5">
        <v>1</v>
      </c>
      <c r="C124" s="8" t="s">
        <v>148</v>
      </c>
      <c r="D124" s="6">
        <v>450</v>
      </c>
      <c r="E124" s="6">
        <v>182</v>
      </c>
      <c r="F124" s="6">
        <v>1365</v>
      </c>
      <c r="G124" s="12">
        <f t="shared" si="1"/>
        <v>7.5</v>
      </c>
    </row>
    <row r="125" spans="1:7" x14ac:dyDescent="0.2">
      <c r="A125" s="5">
        <v>345</v>
      </c>
      <c r="B125" s="5">
        <v>1</v>
      </c>
      <c r="C125" s="8" t="s">
        <v>149</v>
      </c>
      <c r="D125" s="6">
        <v>360</v>
      </c>
      <c r="E125" s="6">
        <v>185</v>
      </c>
      <c r="F125" s="6">
        <v>1110</v>
      </c>
      <c r="G125" s="12">
        <f t="shared" si="1"/>
        <v>6</v>
      </c>
    </row>
    <row r="126" spans="1:7" x14ac:dyDescent="0.2">
      <c r="A126" s="5">
        <v>347</v>
      </c>
      <c r="B126" s="5">
        <v>1</v>
      </c>
      <c r="C126" s="8" t="s">
        <v>150</v>
      </c>
      <c r="D126" s="6">
        <v>420</v>
      </c>
      <c r="E126" s="6">
        <v>182</v>
      </c>
      <c r="F126" s="6">
        <v>1274</v>
      </c>
      <c r="G126" s="12">
        <f t="shared" si="1"/>
        <v>7</v>
      </c>
    </row>
    <row r="127" spans="1:7" x14ac:dyDescent="0.2">
      <c r="A127" s="5">
        <v>356</v>
      </c>
      <c r="B127" s="5">
        <v>1</v>
      </c>
      <c r="C127" s="8" t="s">
        <v>151</v>
      </c>
      <c r="D127" s="6">
        <v>420</v>
      </c>
      <c r="E127" s="6">
        <v>180</v>
      </c>
      <c r="F127" s="6">
        <v>1260</v>
      </c>
      <c r="G127" s="12">
        <f t="shared" si="1"/>
        <v>7</v>
      </c>
    </row>
    <row r="128" spans="1:7" x14ac:dyDescent="0.2">
      <c r="A128" s="5">
        <v>361</v>
      </c>
      <c r="B128" s="5">
        <v>1</v>
      </c>
      <c r="C128" s="8" t="s">
        <v>152</v>
      </c>
      <c r="D128" s="6">
        <v>434</v>
      </c>
      <c r="E128" s="6">
        <v>181</v>
      </c>
      <c r="F128" s="6">
        <v>1309</v>
      </c>
      <c r="G128" s="12">
        <f t="shared" si="1"/>
        <v>7.2333333333333334</v>
      </c>
    </row>
    <row r="129" spans="1:7" x14ac:dyDescent="0.2">
      <c r="A129" s="5">
        <v>362</v>
      </c>
      <c r="B129" s="5">
        <v>1</v>
      </c>
      <c r="C129" s="8" t="s">
        <v>153</v>
      </c>
      <c r="D129" s="6">
        <v>420</v>
      </c>
      <c r="E129" s="6">
        <v>177</v>
      </c>
      <c r="F129" s="6">
        <v>1239</v>
      </c>
      <c r="G129" s="12">
        <f t="shared" si="1"/>
        <v>7</v>
      </c>
    </row>
    <row r="130" spans="1:7" x14ac:dyDescent="0.2">
      <c r="A130" s="5">
        <v>363</v>
      </c>
      <c r="B130" s="5">
        <v>1</v>
      </c>
      <c r="C130" s="8" t="s">
        <v>154</v>
      </c>
      <c r="D130" s="6">
        <v>420</v>
      </c>
      <c r="E130" s="6">
        <v>180</v>
      </c>
      <c r="F130" s="6">
        <v>1260</v>
      </c>
      <c r="G130" s="12">
        <f t="shared" si="1"/>
        <v>7</v>
      </c>
    </row>
    <row r="131" spans="1:7" x14ac:dyDescent="0.2">
      <c r="A131" s="5">
        <v>371</v>
      </c>
      <c r="B131" s="5">
        <v>1</v>
      </c>
      <c r="C131" s="8" t="s">
        <v>155</v>
      </c>
      <c r="D131" s="6">
        <v>450</v>
      </c>
      <c r="E131" s="6">
        <v>178</v>
      </c>
      <c r="F131" s="6">
        <v>1335</v>
      </c>
      <c r="G131" s="12">
        <f t="shared" si="1"/>
        <v>7.5</v>
      </c>
    </row>
    <row r="132" spans="1:7" x14ac:dyDescent="0.2">
      <c r="A132" s="5">
        <v>378</v>
      </c>
      <c r="B132" s="5">
        <v>1</v>
      </c>
      <c r="C132" s="8" t="s">
        <v>156</v>
      </c>
      <c r="D132" s="6">
        <v>450</v>
      </c>
      <c r="E132" s="6">
        <v>182</v>
      </c>
      <c r="F132" s="6">
        <v>1365</v>
      </c>
      <c r="G132" s="12">
        <f t="shared" si="1"/>
        <v>7.5</v>
      </c>
    </row>
    <row r="133" spans="1:7" x14ac:dyDescent="0.2">
      <c r="A133" s="5">
        <v>381</v>
      </c>
      <c r="B133" s="5">
        <v>1</v>
      </c>
      <c r="C133" s="8" t="s">
        <v>157</v>
      </c>
      <c r="D133" s="6">
        <v>435</v>
      </c>
      <c r="E133" s="6">
        <v>180</v>
      </c>
      <c r="F133" s="6">
        <v>1305</v>
      </c>
      <c r="G133" s="12">
        <f t="shared" si="1"/>
        <v>7.25</v>
      </c>
    </row>
    <row r="134" spans="1:7" x14ac:dyDescent="0.2">
      <c r="A134" s="5">
        <v>382</v>
      </c>
      <c r="B134" s="5">
        <v>52</v>
      </c>
      <c r="C134" s="8" t="s">
        <v>510</v>
      </c>
      <c r="D134" s="6">
        <v>450</v>
      </c>
      <c r="E134" s="6">
        <v>185</v>
      </c>
      <c r="F134" s="6">
        <v>1388</v>
      </c>
      <c r="G134" s="12">
        <f t="shared" si="1"/>
        <v>7.5</v>
      </c>
    </row>
    <row r="135" spans="1:7" x14ac:dyDescent="0.2">
      <c r="A135" s="5">
        <v>390</v>
      </c>
      <c r="B135" s="5">
        <v>1</v>
      </c>
      <c r="C135" s="8" t="s">
        <v>158</v>
      </c>
      <c r="D135" s="6">
        <v>420</v>
      </c>
      <c r="E135" s="6">
        <v>180</v>
      </c>
      <c r="F135" s="6">
        <v>1260</v>
      </c>
      <c r="G135" s="12">
        <f t="shared" si="1"/>
        <v>7</v>
      </c>
    </row>
    <row r="136" spans="1:7" x14ac:dyDescent="0.2">
      <c r="A136" s="5">
        <v>391</v>
      </c>
      <c r="B136" s="5">
        <v>1</v>
      </c>
      <c r="C136" s="8" t="s">
        <v>159</v>
      </c>
      <c r="D136" s="6">
        <v>450</v>
      </c>
      <c r="E136" s="6">
        <v>182</v>
      </c>
      <c r="F136" s="6">
        <v>1365</v>
      </c>
      <c r="G136" s="12">
        <f t="shared" si="1"/>
        <v>7.5</v>
      </c>
    </row>
    <row r="137" spans="1:7" x14ac:dyDescent="0.2">
      <c r="A137" s="5">
        <v>392</v>
      </c>
      <c r="B137" s="5">
        <v>1</v>
      </c>
      <c r="C137" s="8" t="s">
        <v>160</v>
      </c>
      <c r="D137" s="6">
        <v>450</v>
      </c>
      <c r="E137" s="6">
        <v>183</v>
      </c>
      <c r="F137" s="6">
        <v>1373</v>
      </c>
      <c r="G137" s="12">
        <f t="shared" si="1"/>
        <v>7.5</v>
      </c>
    </row>
    <row r="138" spans="1:7" x14ac:dyDescent="0.2">
      <c r="A138" s="5">
        <v>394</v>
      </c>
      <c r="B138" s="5">
        <v>1</v>
      </c>
      <c r="C138" s="8" t="s">
        <v>161</v>
      </c>
      <c r="D138" s="6">
        <v>480</v>
      </c>
      <c r="E138" s="6">
        <v>182</v>
      </c>
      <c r="F138" s="6">
        <v>1456</v>
      </c>
      <c r="G138" s="12">
        <f t="shared" si="1"/>
        <v>8</v>
      </c>
    </row>
    <row r="139" spans="1:7" x14ac:dyDescent="0.2">
      <c r="A139" s="5">
        <v>397</v>
      </c>
      <c r="B139" s="5">
        <v>52</v>
      </c>
      <c r="C139" s="8" t="s">
        <v>510</v>
      </c>
      <c r="D139" s="6">
        <v>435</v>
      </c>
      <c r="E139" s="6">
        <v>181</v>
      </c>
      <c r="F139" s="6">
        <v>1312</v>
      </c>
      <c r="G139" s="12">
        <f t="shared" si="1"/>
        <v>7.25</v>
      </c>
    </row>
    <row r="140" spans="1:7" x14ac:dyDescent="0.2">
      <c r="A140" s="5">
        <v>398</v>
      </c>
      <c r="B140" s="5">
        <v>52</v>
      </c>
      <c r="C140" s="8" t="s">
        <v>510</v>
      </c>
      <c r="D140" s="6">
        <v>450</v>
      </c>
      <c r="E140" s="6">
        <v>181</v>
      </c>
      <c r="F140" s="6">
        <v>1358</v>
      </c>
      <c r="G140" s="12">
        <f t="shared" ref="G140:G203" si="2">D140/60</f>
        <v>7.5</v>
      </c>
    </row>
    <row r="141" spans="1:7" x14ac:dyDescent="0.2">
      <c r="A141" s="5">
        <v>402</v>
      </c>
      <c r="B141" s="5">
        <v>1</v>
      </c>
      <c r="C141" s="8" t="s">
        <v>162</v>
      </c>
      <c r="D141" s="6">
        <v>435</v>
      </c>
      <c r="E141" s="6">
        <v>181</v>
      </c>
      <c r="F141" s="6">
        <v>1312</v>
      </c>
      <c r="G141" s="12">
        <f t="shared" si="2"/>
        <v>7.25</v>
      </c>
    </row>
    <row r="142" spans="1:7" x14ac:dyDescent="0.2">
      <c r="A142" s="5">
        <v>403</v>
      </c>
      <c r="B142" s="5">
        <v>1</v>
      </c>
      <c r="C142" s="8" t="s">
        <v>163</v>
      </c>
      <c r="D142" s="6">
        <v>435</v>
      </c>
      <c r="E142" s="6">
        <v>181</v>
      </c>
      <c r="F142" s="6">
        <v>1312</v>
      </c>
      <c r="G142" s="12">
        <f t="shared" si="2"/>
        <v>7.25</v>
      </c>
    </row>
    <row r="143" spans="1:7" x14ac:dyDescent="0.2">
      <c r="A143" s="5">
        <v>404</v>
      </c>
      <c r="B143" s="5">
        <v>1</v>
      </c>
      <c r="C143" s="8" t="s">
        <v>164</v>
      </c>
      <c r="D143" s="6">
        <v>390</v>
      </c>
      <c r="E143" s="6">
        <v>176</v>
      </c>
      <c r="F143" s="6">
        <v>1144</v>
      </c>
      <c r="G143" s="12">
        <f t="shared" si="2"/>
        <v>6.5</v>
      </c>
    </row>
    <row r="144" spans="1:7" x14ac:dyDescent="0.2">
      <c r="A144" s="5">
        <v>411</v>
      </c>
      <c r="B144" s="5">
        <v>1</v>
      </c>
      <c r="C144" s="8" t="s">
        <v>165</v>
      </c>
      <c r="D144" s="6">
        <v>325</v>
      </c>
      <c r="E144" s="6">
        <v>175</v>
      </c>
      <c r="F144" s="6">
        <v>948</v>
      </c>
      <c r="G144" s="12">
        <f t="shared" si="2"/>
        <v>5.416666666666667</v>
      </c>
    </row>
    <row r="145" spans="1:7" x14ac:dyDescent="0.2">
      <c r="A145" s="5">
        <v>413</v>
      </c>
      <c r="B145" s="5">
        <v>1</v>
      </c>
      <c r="C145" s="8" t="s">
        <v>166</v>
      </c>
      <c r="D145" s="6">
        <v>450</v>
      </c>
      <c r="E145" s="6">
        <v>185</v>
      </c>
      <c r="F145" s="6">
        <v>1388</v>
      </c>
      <c r="G145" s="12">
        <f t="shared" si="2"/>
        <v>7.5</v>
      </c>
    </row>
    <row r="146" spans="1:7" x14ac:dyDescent="0.2">
      <c r="A146" s="5">
        <v>414</v>
      </c>
      <c r="B146" s="5">
        <v>1</v>
      </c>
      <c r="C146" s="8" t="s">
        <v>167</v>
      </c>
      <c r="D146" s="6">
        <v>450</v>
      </c>
      <c r="E146" s="6">
        <v>183</v>
      </c>
      <c r="F146" s="6">
        <v>1373</v>
      </c>
      <c r="G146" s="12">
        <f t="shared" si="2"/>
        <v>7.5</v>
      </c>
    </row>
    <row r="147" spans="1:7" x14ac:dyDescent="0.2">
      <c r="A147" s="5">
        <v>415</v>
      </c>
      <c r="B147" s="5">
        <v>1</v>
      </c>
      <c r="C147" s="8" t="s">
        <v>168</v>
      </c>
      <c r="D147" s="6">
        <v>470</v>
      </c>
      <c r="E147" s="6">
        <v>176</v>
      </c>
      <c r="F147" s="6">
        <v>1379</v>
      </c>
      <c r="G147" s="12">
        <f t="shared" si="2"/>
        <v>7.833333333333333</v>
      </c>
    </row>
    <row r="148" spans="1:7" x14ac:dyDescent="0.2">
      <c r="A148" s="5">
        <v>417</v>
      </c>
      <c r="B148" s="5">
        <v>1</v>
      </c>
      <c r="C148" s="8" t="s">
        <v>169</v>
      </c>
      <c r="D148" s="6">
        <v>434</v>
      </c>
      <c r="E148" s="6">
        <v>179</v>
      </c>
      <c r="F148" s="6">
        <v>1295</v>
      </c>
      <c r="G148" s="12">
        <f t="shared" si="2"/>
        <v>7.2333333333333334</v>
      </c>
    </row>
    <row r="149" spans="1:7" x14ac:dyDescent="0.2">
      <c r="A149" s="5">
        <v>423</v>
      </c>
      <c r="B149" s="5">
        <v>1</v>
      </c>
      <c r="C149" s="8" t="s">
        <v>170</v>
      </c>
      <c r="D149" s="6">
        <v>450</v>
      </c>
      <c r="E149" s="6">
        <v>183</v>
      </c>
      <c r="F149" s="6">
        <v>1373</v>
      </c>
      <c r="G149" s="12">
        <f t="shared" si="2"/>
        <v>7.5</v>
      </c>
    </row>
    <row r="150" spans="1:7" x14ac:dyDescent="0.2">
      <c r="A150" s="5">
        <v>424</v>
      </c>
      <c r="B150" s="5">
        <v>1</v>
      </c>
      <c r="C150" s="8" t="s">
        <v>171</v>
      </c>
      <c r="D150" s="6">
        <v>450</v>
      </c>
      <c r="E150" s="6">
        <v>181</v>
      </c>
      <c r="F150" s="6">
        <v>1358</v>
      </c>
      <c r="G150" s="12">
        <f t="shared" si="2"/>
        <v>7.5</v>
      </c>
    </row>
    <row r="151" spans="1:7" x14ac:dyDescent="0.2">
      <c r="A151" s="5">
        <v>432</v>
      </c>
      <c r="B151" s="5">
        <v>1</v>
      </c>
      <c r="C151" s="8" t="s">
        <v>172</v>
      </c>
      <c r="D151" s="6">
        <v>450</v>
      </c>
      <c r="E151" s="6">
        <v>179</v>
      </c>
      <c r="F151" s="6">
        <v>1343</v>
      </c>
      <c r="G151" s="12">
        <f t="shared" si="2"/>
        <v>7.5</v>
      </c>
    </row>
    <row r="152" spans="1:7" x14ac:dyDescent="0.2">
      <c r="A152" s="5">
        <v>435</v>
      </c>
      <c r="B152" s="5">
        <v>1</v>
      </c>
      <c r="C152" s="8" t="s">
        <v>173</v>
      </c>
      <c r="D152" s="6">
        <v>465</v>
      </c>
      <c r="E152" s="6">
        <v>180</v>
      </c>
      <c r="F152" s="6">
        <v>1395</v>
      </c>
      <c r="G152" s="12">
        <f t="shared" si="2"/>
        <v>7.75</v>
      </c>
    </row>
    <row r="153" spans="1:7" x14ac:dyDescent="0.2">
      <c r="A153" s="5">
        <v>441</v>
      </c>
      <c r="B153" s="5">
        <v>1</v>
      </c>
      <c r="C153" s="8" t="s">
        <v>174</v>
      </c>
      <c r="D153" s="6">
        <v>420</v>
      </c>
      <c r="E153" s="6">
        <v>181</v>
      </c>
      <c r="F153" s="6">
        <v>1267</v>
      </c>
      <c r="G153" s="12">
        <f t="shared" si="2"/>
        <v>7</v>
      </c>
    </row>
    <row r="154" spans="1:7" x14ac:dyDescent="0.2">
      <c r="A154" s="5">
        <v>447</v>
      </c>
      <c r="B154" s="5">
        <v>1</v>
      </c>
      <c r="C154" s="8" t="s">
        <v>175</v>
      </c>
      <c r="D154" s="6">
        <v>435</v>
      </c>
      <c r="E154" s="6">
        <v>180</v>
      </c>
      <c r="F154" s="6">
        <v>1305</v>
      </c>
      <c r="G154" s="12">
        <f t="shared" si="2"/>
        <v>7.25</v>
      </c>
    </row>
    <row r="155" spans="1:7" x14ac:dyDescent="0.2">
      <c r="A155" s="5">
        <v>458</v>
      </c>
      <c r="B155" s="5">
        <v>1</v>
      </c>
      <c r="C155" s="8" t="s">
        <v>176</v>
      </c>
      <c r="D155" s="6">
        <v>450</v>
      </c>
      <c r="E155" s="6">
        <v>182</v>
      </c>
      <c r="F155" s="6">
        <v>1365</v>
      </c>
      <c r="G155" s="12">
        <f t="shared" si="2"/>
        <v>7.5</v>
      </c>
    </row>
    <row r="156" spans="1:7" x14ac:dyDescent="0.2">
      <c r="A156" s="5">
        <v>463</v>
      </c>
      <c r="B156" s="5">
        <v>1</v>
      </c>
      <c r="C156" s="8" t="s">
        <v>177</v>
      </c>
      <c r="D156" s="6">
        <v>378</v>
      </c>
      <c r="E156" s="6">
        <v>182</v>
      </c>
      <c r="F156" s="6">
        <v>1147</v>
      </c>
      <c r="G156" s="12">
        <f t="shared" si="2"/>
        <v>6.3</v>
      </c>
    </row>
    <row r="157" spans="1:7" x14ac:dyDescent="0.2">
      <c r="A157" s="5">
        <v>465</v>
      </c>
      <c r="B157" s="5">
        <v>1</v>
      </c>
      <c r="C157" s="8" t="s">
        <v>178</v>
      </c>
      <c r="D157" s="6">
        <v>450</v>
      </c>
      <c r="E157" s="6">
        <v>184</v>
      </c>
      <c r="F157" s="6">
        <v>1380</v>
      </c>
      <c r="G157" s="12">
        <f t="shared" si="2"/>
        <v>7.5</v>
      </c>
    </row>
    <row r="158" spans="1:7" x14ac:dyDescent="0.2">
      <c r="A158" s="5">
        <v>466</v>
      </c>
      <c r="B158" s="5">
        <v>1</v>
      </c>
      <c r="C158" s="8" t="s">
        <v>179</v>
      </c>
      <c r="D158" s="6">
        <v>450</v>
      </c>
      <c r="E158" s="6">
        <v>182</v>
      </c>
      <c r="F158" s="6">
        <v>1365</v>
      </c>
      <c r="G158" s="12">
        <f t="shared" si="2"/>
        <v>7.5</v>
      </c>
    </row>
    <row r="159" spans="1:7" x14ac:dyDescent="0.2">
      <c r="A159" s="5">
        <v>473</v>
      </c>
      <c r="B159" s="5">
        <v>1</v>
      </c>
      <c r="C159" s="8" t="s">
        <v>180</v>
      </c>
      <c r="D159" s="6">
        <v>420</v>
      </c>
      <c r="E159" s="6">
        <v>182</v>
      </c>
      <c r="F159" s="6">
        <v>1274</v>
      </c>
      <c r="G159" s="12">
        <f t="shared" si="2"/>
        <v>7</v>
      </c>
    </row>
    <row r="160" spans="1:7" x14ac:dyDescent="0.2">
      <c r="A160" s="5">
        <v>477</v>
      </c>
      <c r="B160" s="5">
        <v>1</v>
      </c>
      <c r="C160" s="8" t="s">
        <v>181</v>
      </c>
      <c r="D160" s="6">
        <v>450</v>
      </c>
      <c r="E160" s="6">
        <v>183</v>
      </c>
      <c r="F160" s="6">
        <v>1373</v>
      </c>
      <c r="G160" s="12">
        <f t="shared" si="2"/>
        <v>7.5</v>
      </c>
    </row>
    <row r="161" spans="1:7" x14ac:dyDescent="0.2">
      <c r="A161" s="5">
        <v>480</v>
      </c>
      <c r="B161" s="5">
        <v>1</v>
      </c>
      <c r="C161" s="8" t="s">
        <v>182</v>
      </c>
      <c r="D161" s="6">
        <v>450</v>
      </c>
      <c r="E161" s="6">
        <v>182</v>
      </c>
      <c r="F161" s="6">
        <v>1365</v>
      </c>
      <c r="G161" s="12">
        <f t="shared" si="2"/>
        <v>7.5</v>
      </c>
    </row>
    <row r="162" spans="1:7" x14ac:dyDescent="0.2">
      <c r="A162" s="5">
        <v>482</v>
      </c>
      <c r="B162" s="5">
        <v>1</v>
      </c>
      <c r="C162" s="8" t="s">
        <v>183</v>
      </c>
      <c r="D162" s="6">
        <v>450</v>
      </c>
      <c r="E162" s="6">
        <v>182</v>
      </c>
      <c r="F162" s="6">
        <v>1365</v>
      </c>
      <c r="G162" s="12">
        <f t="shared" si="2"/>
        <v>7.5</v>
      </c>
    </row>
    <row r="163" spans="1:7" x14ac:dyDescent="0.2">
      <c r="A163" s="5">
        <v>484</v>
      </c>
      <c r="B163" s="5">
        <v>1</v>
      </c>
      <c r="C163" s="8" t="s">
        <v>184</v>
      </c>
      <c r="D163" s="6">
        <v>450</v>
      </c>
      <c r="E163" s="6">
        <v>182</v>
      </c>
      <c r="F163" s="6">
        <v>1365</v>
      </c>
      <c r="G163" s="12">
        <f t="shared" si="2"/>
        <v>7.5</v>
      </c>
    </row>
    <row r="164" spans="1:7" x14ac:dyDescent="0.2">
      <c r="A164" s="5">
        <v>485</v>
      </c>
      <c r="B164" s="5">
        <v>1</v>
      </c>
      <c r="C164" s="8" t="s">
        <v>185</v>
      </c>
      <c r="D164" s="6">
        <v>450</v>
      </c>
      <c r="E164" s="6">
        <v>183</v>
      </c>
      <c r="F164" s="6">
        <v>1373</v>
      </c>
      <c r="G164" s="12">
        <f t="shared" si="2"/>
        <v>7.5</v>
      </c>
    </row>
    <row r="165" spans="1:7" x14ac:dyDescent="0.2">
      <c r="A165" s="5">
        <v>486</v>
      </c>
      <c r="B165" s="5">
        <v>1</v>
      </c>
      <c r="C165" s="8" t="s">
        <v>186</v>
      </c>
      <c r="D165" s="6">
        <v>450</v>
      </c>
      <c r="E165" s="6">
        <v>180</v>
      </c>
      <c r="F165" s="6">
        <v>1350</v>
      </c>
      <c r="G165" s="12">
        <f t="shared" si="2"/>
        <v>7.5</v>
      </c>
    </row>
    <row r="166" spans="1:7" x14ac:dyDescent="0.2">
      <c r="A166" s="5">
        <v>487</v>
      </c>
      <c r="B166" s="5">
        <v>1</v>
      </c>
      <c r="C166" s="8" t="s">
        <v>187</v>
      </c>
      <c r="D166" s="6">
        <v>450</v>
      </c>
      <c r="E166" s="6">
        <v>178</v>
      </c>
      <c r="F166" s="6">
        <v>1335</v>
      </c>
      <c r="G166" s="12">
        <f t="shared" si="2"/>
        <v>7.5</v>
      </c>
    </row>
    <row r="167" spans="1:7" x14ac:dyDescent="0.2">
      <c r="A167" s="5">
        <v>492</v>
      </c>
      <c r="B167" s="5">
        <v>1</v>
      </c>
      <c r="C167" s="8" t="s">
        <v>188</v>
      </c>
      <c r="D167" s="6">
        <v>480</v>
      </c>
      <c r="E167" s="6">
        <v>192</v>
      </c>
      <c r="F167" s="6">
        <v>1536</v>
      </c>
      <c r="G167" s="12">
        <f t="shared" si="2"/>
        <v>8</v>
      </c>
    </row>
    <row r="168" spans="1:7" x14ac:dyDescent="0.2">
      <c r="A168" s="5">
        <v>495</v>
      </c>
      <c r="B168" s="5">
        <v>1</v>
      </c>
      <c r="C168" s="8" t="s">
        <v>189</v>
      </c>
      <c r="D168" s="6">
        <v>492</v>
      </c>
      <c r="E168" s="6">
        <v>183</v>
      </c>
      <c r="F168" s="6">
        <v>1501</v>
      </c>
      <c r="G168" s="12">
        <f t="shared" si="2"/>
        <v>8.1999999999999993</v>
      </c>
    </row>
    <row r="169" spans="1:7" x14ac:dyDescent="0.2">
      <c r="A169" s="5">
        <v>497</v>
      </c>
      <c r="B169" s="5">
        <v>1</v>
      </c>
      <c r="C169" s="8" t="s">
        <v>190</v>
      </c>
      <c r="D169" s="6">
        <v>435</v>
      </c>
      <c r="E169" s="6">
        <v>180</v>
      </c>
      <c r="F169" s="6">
        <v>1305</v>
      </c>
      <c r="G169" s="12">
        <f t="shared" si="2"/>
        <v>7.25</v>
      </c>
    </row>
    <row r="170" spans="1:7" x14ac:dyDescent="0.2">
      <c r="A170" s="5">
        <v>499</v>
      </c>
      <c r="B170" s="5">
        <v>1</v>
      </c>
      <c r="C170" s="8" t="s">
        <v>191</v>
      </c>
      <c r="D170" s="6">
        <v>480</v>
      </c>
      <c r="E170" s="6">
        <v>182</v>
      </c>
      <c r="F170" s="6">
        <v>1456</v>
      </c>
      <c r="G170" s="12">
        <f t="shared" si="2"/>
        <v>8</v>
      </c>
    </row>
    <row r="171" spans="1:7" x14ac:dyDescent="0.2">
      <c r="A171" s="5">
        <v>500</v>
      </c>
      <c r="B171" s="5">
        <v>1</v>
      </c>
      <c r="C171" s="8" t="s">
        <v>192</v>
      </c>
      <c r="D171" s="6">
        <v>455</v>
      </c>
      <c r="E171" s="6">
        <v>183</v>
      </c>
      <c r="F171" s="6">
        <v>1388</v>
      </c>
      <c r="G171" s="12">
        <f t="shared" si="2"/>
        <v>7.583333333333333</v>
      </c>
    </row>
    <row r="172" spans="1:7" x14ac:dyDescent="0.2">
      <c r="A172" s="5">
        <v>505</v>
      </c>
      <c r="B172" s="5">
        <v>1</v>
      </c>
      <c r="C172" s="8" t="s">
        <v>193</v>
      </c>
      <c r="D172" s="6">
        <v>420</v>
      </c>
      <c r="E172" s="6">
        <v>180</v>
      </c>
      <c r="F172" s="6">
        <v>1260</v>
      </c>
      <c r="G172" s="12">
        <f t="shared" si="2"/>
        <v>7</v>
      </c>
    </row>
    <row r="173" spans="1:7" x14ac:dyDescent="0.2">
      <c r="A173" s="5">
        <v>507</v>
      </c>
      <c r="B173" s="5">
        <v>1</v>
      </c>
      <c r="C173" s="8" t="s">
        <v>194</v>
      </c>
      <c r="D173" s="6">
        <v>450</v>
      </c>
      <c r="E173" s="6">
        <v>182</v>
      </c>
      <c r="F173" s="6">
        <v>1365</v>
      </c>
      <c r="G173" s="12">
        <f t="shared" si="2"/>
        <v>7.5</v>
      </c>
    </row>
    <row r="174" spans="1:7" x14ac:dyDescent="0.2">
      <c r="A174" s="5">
        <v>508</v>
      </c>
      <c r="B174" s="5">
        <v>1</v>
      </c>
      <c r="C174" s="8" t="s">
        <v>195</v>
      </c>
      <c r="D174" s="6">
        <v>450</v>
      </c>
      <c r="E174" s="6">
        <v>185</v>
      </c>
      <c r="F174" s="6">
        <v>1388</v>
      </c>
      <c r="G174" s="12">
        <f t="shared" si="2"/>
        <v>7.5</v>
      </c>
    </row>
    <row r="175" spans="1:7" x14ac:dyDescent="0.2">
      <c r="A175" s="5">
        <v>511</v>
      </c>
      <c r="B175" s="5">
        <v>1</v>
      </c>
      <c r="C175" s="8" t="s">
        <v>196</v>
      </c>
      <c r="D175" s="6">
        <v>390</v>
      </c>
      <c r="E175" s="6">
        <v>183</v>
      </c>
      <c r="F175" s="6">
        <v>1190</v>
      </c>
      <c r="G175" s="12">
        <f t="shared" si="2"/>
        <v>6.5</v>
      </c>
    </row>
    <row r="176" spans="1:7" x14ac:dyDescent="0.2">
      <c r="A176" s="5">
        <v>513</v>
      </c>
      <c r="B176" s="5">
        <v>1</v>
      </c>
      <c r="C176" s="8" t="s">
        <v>197</v>
      </c>
      <c r="D176" s="6">
        <v>450</v>
      </c>
      <c r="E176" s="6">
        <v>182</v>
      </c>
      <c r="F176" s="6">
        <v>1365</v>
      </c>
      <c r="G176" s="12">
        <f t="shared" si="2"/>
        <v>7.5</v>
      </c>
    </row>
    <row r="177" spans="1:7" x14ac:dyDescent="0.2">
      <c r="A177" s="5">
        <v>514</v>
      </c>
      <c r="B177" s="5">
        <v>1</v>
      </c>
      <c r="C177" s="8" t="s">
        <v>198</v>
      </c>
      <c r="D177" s="6">
        <v>360</v>
      </c>
      <c r="E177" s="6">
        <v>174</v>
      </c>
      <c r="F177" s="6">
        <v>1044</v>
      </c>
      <c r="G177" s="12">
        <f t="shared" si="2"/>
        <v>6</v>
      </c>
    </row>
    <row r="178" spans="1:7" x14ac:dyDescent="0.2">
      <c r="A178" s="5">
        <v>516</v>
      </c>
      <c r="B178" s="5">
        <v>1</v>
      </c>
      <c r="C178" s="8" t="s">
        <v>199</v>
      </c>
      <c r="D178" s="6">
        <v>450</v>
      </c>
      <c r="E178" s="6">
        <v>182</v>
      </c>
      <c r="F178" s="6">
        <v>1365</v>
      </c>
      <c r="G178" s="12">
        <f t="shared" si="2"/>
        <v>7.5</v>
      </c>
    </row>
    <row r="179" spans="1:7" x14ac:dyDescent="0.2">
      <c r="A179" s="5">
        <v>518</v>
      </c>
      <c r="B179" s="5">
        <v>1</v>
      </c>
      <c r="C179" s="8" t="s">
        <v>200</v>
      </c>
      <c r="D179" s="6">
        <v>420</v>
      </c>
      <c r="E179" s="6">
        <v>173</v>
      </c>
      <c r="F179" s="6">
        <v>1211</v>
      </c>
      <c r="G179" s="12">
        <f t="shared" si="2"/>
        <v>7</v>
      </c>
    </row>
    <row r="180" spans="1:7" x14ac:dyDescent="0.2">
      <c r="A180" s="5">
        <v>531</v>
      </c>
      <c r="B180" s="5">
        <v>1</v>
      </c>
      <c r="C180" s="8" t="s">
        <v>201</v>
      </c>
      <c r="D180" s="6">
        <v>450</v>
      </c>
      <c r="E180" s="6">
        <v>187</v>
      </c>
      <c r="F180" s="6">
        <v>1403</v>
      </c>
      <c r="G180" s="12">
        <f t="shared" si="2"/>
        <v>7.5</v>
      </c>
    </row>
    <row r="181" spans="1:7" x14ac:dyDescent="0.2">
      <c r="A181" s="5">
        <v>533</v>
      </c>
      <c r="B181" s="5">
        <v>1</v>
      </c>
      <c r="C181" s="8" t="s">
        <v>202</v>
      </c>
      <c r="D181" s="6">
        <v>480</v>
      </c>
      <c r="E181" s="6">
        <v>185</v>
      </c>
      <c r="F181" s="6">
        <v>1480</v>
      </c>
      <c r="G181" s="12">
        <f t="shared" si="2"/>
        <v>8</v>
      </c>
    </row>
    <row r="182" spans="1:7" x14ac:dyDescent="0.2">
      <c r="A182" s="5">
        <v>534</v>
      </c>
      <c r="B182" s="5">
        <v>1</v>
      </c>
      <c r="C182" s="8" t="s">
        <v>203</v>
      </c>
      <c r="D182" s="6">
        <v>450</v>
      </c>
      <c r="E182" s="6">
        <v>186</v>
      </c>
      <c r="F182" s="6">
        <v>1395</v>
      </c>
      <c r="G182" s="12">
        <f t="shared" si="2"/>
        <v>7.5</v>
      </c>
    </row>
    <row r="183" spans="1:7" x14ac:dyDescent="0.2">
      <c r="A183" s="5">
        <v>535</v>
      </c>
      <c r="B183" s="5">
        <v>1</v>
      </c>
      <c r="C183" s="8" t="s">
        <v>204</v>
      </c>
      <c r="D183" s="6">
        <v>435</v>
      </c>
      <c r="E183" s="6">
        <v>192</v>
      </c>
      <c r="F183" s="6">
        <v>1392</v>
      </c>
      <c r="G183" s="12">
        <f t="shared" si="2"/>
        <v>7.25</v>
      </c>
    </row>
    <row r="184" spans="1:7" x14ac:dyDescent="0.2">
      <c r="A184" s="5">
        <v>542</v>
      </c>
      <c r="B184" s="5">
        <v>1</v>
      </c>
      <c r="C184" s="8" t="s">
        <v>205</v>
      </c>
      <c r="D184" s="6">
        <v>450</v>
      </c>
      <c r="E184" s="6">
        <v>176</v>
      </c>
      <c r="F184" s="6">
        <v>1320</v>
      </c>
      <c r="G184" s="12">
        <f t="shared" si="2"/>
        <v>7.5</v>
      </c>
    </row>
    <row r="185" spans="1:7" x14ac:dyDescent="0.2">
      <c r="A185" s="5">
        <v>544</v>
      </c>
      <c r="B185" s="5">
        <v>1</v>
      </c>
      <c r="C185" s="8" t="s">
        <v>206</v>
      </c>
      <c r="D185" s="6">
        <v>450</v>
      </c>
      <c r="E185" s="6">
        <v>183</v>
      </c>
      <c r="F185" s="6">
        <v>1373</v>
      </c>
      <c r="G185" s="12">
        <f t="shared" si="2"/>
        <v>7.5</v>
      </c>
    </row>
    <row r="186" spans="1:7" x14ac:dyDescent="0.2">
      <c r="A186" s="5">
        <v>545</v>
      </c>
      <c r="B186" s="5">
        <v>1</v>
      </c>
      <c r="C186" s="8" t="s">
        <v>207</v>
      </c>
      <c r="D186" s="6">
        <v>450</v>
      </c>
      <c r="E186" s="6">
        <v>180</v>
      </c>
      <c r="F186" s="6">
        <v>1350</v>
      </c>
      <c r="G186" s="12">
        <f t="shared" si="2"/>
        <v>7.5</v>
      </c>
    </row>
    <row r="187" spans="1:7" x14ac:dyDescent="0.2">
      <c r="A187" s="5">
        <v>547</v>
      </c>
      <c r="B187" s="5">
        <v>1</v>
      </c>
      <c r="C187" s="8" t="s">
        <v>208</v>
      </c>
      <c r="D187" s="6">
        <v>465</v>
      </c>
      <c r="E187" s="6">
        <v>181</v>
      </c>
      <c r="F187" s="6">
        <v>1403</v>
      </c>
      <c r="G187" s="12">
        <f t="shared" si="2"/>
        <v>7.75</v>
      </c>
    </row>
    <row r="188" spans="1:7" x14ac:dyDescent="0.2">
      <c r="A188" s="5">
        <v>548</v>
      </c>
      <c r="B188" s="5">
        <v>1</v>
      </c>
      <c r="C188" s="8" t="s">
        <v>209</v>
      </c>
      <c r="D188" s="6">
        <v>420</v>
      </c>
      <c r="E188" s="6">
        <v>181</v>
      </c>
      <c r="F188" s="6">
        <v>1267</v>
      </c>
      <c r="G188" s="12">
        <f t="shared" si="2"/>
        <v>7</v>
      </c>
    </row>
    <row r="189" spans="1:7" x14ac:dyDescent="0.2">
      <c r="A189" s="5">
        <v>549</v>
      </c>
      <c r="B189" s="5">
        <v>1</v>
      </c>
      <c r="C189" s="8" t="s">
        <v>210</v>
      </c>
      <c r="D189" s="6">
        <v>420</v>
      </c>
      <c r="E189" s="6">
        <v>184</v>
      </c>
      <c r="F189" s="6">
        <v>1288</v>
      </c>
      <c r="G189" s="12">
        <f t="shared" si="2"/>
        <v>7</v>
      </c>
    </row>
    <row r="190" spans="1:7" x14ac:dyDescent="0.2">
      <c r="A190" s="5">
        <v>550</v>
      </c>
      <c r="B190" s="5">
        <v>1</v>
      </c>
      <c r="C190" s="8" t="s">
        <v>211</v>
      </c>
      <c r="D190" s="6">
        <v>450</v>
      </c>
      <c r="E190" s="6">
        <v>179</v>
      </c>
      <c r="F190" s="6">
        <v>1343</v>
      </c>
      <c r="G190" s="12">
        <f t="shared" si="2"/>
        <v>7.5</v>
      </c>
    </row>
    <row r="191" spans="1:7" x14ac:dyDescent="0.2">
      <c r="A191" s="5">
        <v>553</v>
      </c>
      <c r="B191" s="5">
        <v>1</v>
      </c>
      <c r="C191" s="8" t="s">
        <v>212</v>
      </c>
      <c r="D191" s="6">
        <v>450</v>
      </c>
      <c r="E191" s="6">
        <v>183</v>
      </c>
      <c r="F191" s="6">
        <v>1373</v>
      </c>
      <c r="G191" s="12">
        <f t="shared" si="2"/>
        <v>7.5</v>
      </c>
    </row>
    <row r="192" spans="1:7" x14ac:dyDescent="0.2">
      <c r="A192" s="5">
        <v>561</v>
      </c>
      <c r="B192" s="5">
        <v>1</v>
      </c>
      <c r="C192" s="8" t="s">
        <v>213</v>
      </c>
      <c r="D192" s="6">
        <v>450</v>
      </c>
      <c r="E192" s="6">
        <v>180</v>
      </c>
      <c r="F192" s="6">
        <v>1350</v>
      </c>
      <c r="G192" s="12">
        <f t="shared" si="2"/>
        <v>7.5</v>
      </c>
    </row>
    <row r="193" spans="1:7" x14ac:dyDescent="0.2">
      <c r="A193" s="5">
        <v>564</v>
      </c>
      <c r="B193" s="5">
        <v>1</v>
      </c>
      <c r="C193" s="8" t="s">
        <v>214</v>
      </c>
      <c r="D193" s="6">
        <v>480</v>
      </c>
      <c r="E193" s="6">
        <v>185</v>
      </c>
      <c r="F193" s="6">
        <v>1480</v>
      </c>
      <c r="G193" s="12">
        <f t="shared" si="2"/>
        <v>8</v>
      </c>
    </row>
    <row r="194" spans="1:7" x14ac:dyDescent="0.2">
      <c r="A194" s="5">
        <v>577</v>
      </c>
      <c r="B194" s="5">
        <v>1</v>
      </c>
      <c r="C194" s="8" t="s">
        <v>215</v>
      </c>
      <c r="D194" s="6">
        <v>435</v>
      </c>
      <c r="E194" s="6">
        <v>179</v>
      </c>
      <c r="F194" s="6">
        <v>1298</v>
      </c>
      <c r="G194" s="12">
        <f t="shared" si="2"/>
        <v>7.25</v>
      </c>
    </row>
    <row r="195" spans="1:7" x14ac:dyDescent="0.2">
      <c r="A195" s="5">
        <v>578</v>
      </c>
      <c r="B195" s="5">
        <v>1</v>
      </c>
      <c r="C195" s="8" t="s">
        <v>216</v>
      </c>
      <c r="D195" s="6">
        <v>444</v>
      </c>
      <c r="E195" s="6">
        <v>182</v>
      </c>
      <c r="F195" s="6">
        <v>1346</v>
      </c>
      <c r="G195" s="12">
        <f t="shared" si="2"/>
        <v>7.4</v>
      </c>
    </row>
    <row r="196" spans="1:7" x14ac:dyDescent="0.2">
      <c r="A196" s="5">
        <v>581</v>
      </c>
      <c r="B196" s="5">
        <v>1</v>
      </c>
      <c r="C196" s="8" t="s">
        <v>217</v>
      </c>
      <c r="D196" s="6">
        <v>450</v>
      </c>
      <c r="E196" s="6">
        <v>180</v>
      </c>
      <c r="F196" s="6">
        <v>1350</v>
      </c>
      <c r="G196" s="12">
        <f t="shared" si="2"/>
        <v>7.5</v>
      </c>
    </row>
    <row r="197" spans="1:7" x14ac:dyDescent="0.2">
      <c r="A197" s="5">
        <v>592</v>
      </c>
      <c r="B197" s="5">
        <v>1</v>
      </c>
      <c r="C197" s="8" t="s">
        <v>218</v>
      </c>
      <c r="D197" s="6">
        <v>450</v>
      </c>
      <c r="E197" s="6">
        <v>171</v>
      </c>
      <c r="F197" s="6">
        <v>1283</v>
      </c>
      <c r="G197" s="12">
        <f t="shared" si="2"/>
        <v>7.5</v>
      </c>
    </row>
    <row r="198" spans="1:7" x14ac:dyDescent="0.2">
      <c r="A198" s="5">
        <v>593</v>
      </c>
      <c r="B198" s="5">
        <v>1</v>
      </c>
      <c r="C198" s="8" t="s">
        <v>219</v>
      </c>
      <c r="D198" s="6">
        <v>440</v>
      </c>
      <c r="E198" s="6">
        <v>183</v>
      </c>
      <c r="F198" s="6">
        <v>1342</v>
      </c>
      <c r="G198" s="12">
        <f t="shared" si="2"/>
        <v>7.333333333333333</v>
      </c>
    </row>
    <row r="199" spans="1:7" x14ac:dyDescent="0.2">
      <c r="A199" s="5">
        <v>595</v>
      </c>
      <c r="B199" s="5">
        <v>1</v>
      </c>
      <c r="C199" s="8" t="s">
        <v>220</v>
      </c>
      <c r="D199" s="6">
        <v>450</v>
      </c>
      <c r="E199" s="6">
        <v>185</v>
      </c>
      <c r="F199" s="6">
        <v>1388</v>
      </c>
      <c r="G199" s="12">
        <f t="shared" si="2"/>
        <v>7.5</v>
      </c>
    </row>
    <row r="200" spans="1:7" x14ac:dyDescent="0.2">
      <c r="A200" s="5">
        <v>599</v>
      </c>
      <c r="B200" s="5">
        <v>1</v>
      </c>
      <c r="C200" s="8" t="s">
        <v>221</v>
      </c>
      <c r="D200" s="6">
        <v>450</v>
      </c>
      <c r="E200" s="6">
        <v>180</v>
      </c>
      <c r="F200" s="6">
        <v>1350</v>
      </c>
      <c r="G200" s="12">
        <f t="shared" si="2"/>
        <v>7.5</v>
      </c>
    </row>
    <row r="201" spans="1:7" x14ac:dyDescent="0.2">
      <c r="A201" s="5">
        <v>600</v>
      </c>
      <c r="B201" s="5">
        <v>1</v>
      </c>
      <c r="C201" s="8" t="s">
        <v>222</v>
      </c>
      <c r="D201" s="6">
        <v>440</v>
      </c>
      <c r="E201" s="6">
        <v>178</v>
      </c>
      <c r="F201" s="6">
        <v>1305</v>
      </c>
      <c r="G201" s="12">
        <f t="shared" si="2"/>
        <v>7.333333333333333</v>
      </c>
    </row>
    <row r="202" spans="1:7" x14ac:dyDescent="0.2">
      <c r="A202" s="5">
        <v>601</v>
      </c>
      <c r="B202" s="5">
        <v>1</v>
      </c>
      <c r="C202" s="8" t="s">
        <v>223</v>
      </c>
      <c r="D202" s="6">
        <v>420</v>
      </c>
      <c r="E202" s="6">
        <v>172</v>
      </c>
      <c r="F202" s="6">
        <v>1204</v>
      </c>
      <c r="G202" s="12">
        <f t="shared" si="2"/>
        <v>7</v>
      </c>
    </row>
    <row r="203" spans="1:7" x14ac:dyDescent="0.2">
      <c r="A203" s="5">
        <v>611</v>
      </c>
      <c r="B203" s="5">
        <v>1</v>
      </c>
      <c r="C203" s="8" t="s">
        <v>224</v>
      </c>
      <c r="D203" s="6">
        <v>435</v>
      </c>
      <c r="E203" s="6">
        <v>180</v>
      </c>
      <c r="F203" s="6">
        <v>1305</v>
      </c>
      <c r="G203" s="12">
        <f t="shared" si="2"/>
        <v>7.25</v>
      </c>
    </row>
    <row r="204" spans="1:7" x14ac:dyDescent="0.2">
      <c r="A204" s="5">
        <v>621</v>
      </c>
      <c r="B204" s="5">
        <v>1</v>
      </c>
      <c r="C204" s="8" t="s">
        <v>225</v>
      </c>
      <c r="D204" s="6">
        <v>465</v>
      </c>
      <c r="E204" s="6">
        <v>186</v>
      </c>
      <c r="F204" s="6">
        <v>1442</v>
      </c>
      <c r="G204" s="12">
        <f t="shared" ref="G204:G267" si="3">D204/60</f>
        <v>7.75</v>
      </c>
    </row>
    <row r="205" spans="1:7" x14ac:dyDescent="0.2">
      <c r="A205" s="5">
        <v>622</v>
      </c>
      <c r="B205" s="5">
        <v>1</v>
      </c>
      <c r="C205" s="8" t="s">
        <v>226</v>
      </c>
      <c r="D205" s="6">
        <v>450</v>
      </c>
      <c r="E205" s="6">
        <v>194</v>
      </c>
      <c r="F205" s="6">
        <v>1455</v>
      </c>
      <c r="G205" s="12">
        <f t="shared" si="3"/>
        <v>7.5</v>
      </c>
    </row>
    <row r="206" spans="1:7" x14ac:dyDescent="0.2">
      <c r="A206" s="5">
        <v>623</v>
      </c>
      <c r="B206" s="5">
        <v>1</v>
      </c>
      <c r="C206" s="8" t="s">
        <v>227</v>
      </c>
      <c r="D206" s="6">
        <v>480</v>
      </c>
      <c r="E206" s="6">
        <v>193</v>
      </c>
      <c r="F206" s="6">
        <v>1544</v>
      </c>
      <c r="G206" s="12">
        <f t="shared" si="3"/>
        <v>8</v>
      </c>
    </row>
    <row r="207" spans="1:7" x14ac:dyDescent="0.2">
      <c r="A207" s="5">
        <v>624</v>
      </c>
      <c r="B207" s="5">
        <v>1</v>
      </c>
      <c r="C207" s="8" t="s">
        <v>228</v>
      </c>
      <c r="D207" s="6">
        <v>450</v>
      </c>
      <c r="E207" s="6">
        <v>195</v>
      </c>
      <c r="F207" s="6">
        <v>1463</v>
      </c>
      <c r="G207" s="12">
        <f t="shared" si="3"/>
        <v>7.5</v>
      </c>
    </row>
    <row r="208" spans="1:7" x14ac:dyDescent="0.2">
      <c r="A208" s="5">
        <v>625</v>
      </c>
      <c r="B208" s="5">
        <v>1</v>
      </c>
      <c r="C208" s="8" t="s">
        <v>229</v>
      </c>
      <c r="D208" s="6">
        <v>360</v>
      </c>
      <c r="E208" s="6">
        <v>187</v>
      </c>
      <c r="F208" s="6">
        <v>1122</v>
      </c>
      <c r="G208" s="12">
        <f t="shared" si="3"/>
        <v>6</v>
      </c>
    </row>
    <row r="209" spans="1:7" x14ac:dyDescent="0.2">
      <c r="A209" s="5">
        <v>627</v>
      </c>
      <c r="B209" s="5">
        <v>1</v>
      </c>
      <c r="C209" s="8" t="s">
        <v>230</v>
      </c>
      <c r="D209" s="6">
        <v>450</v>
      </c>
      <c r="E209" s="6">
        <v>178</v>
      </c>
      <c r="F209" s="6">
        <v>1335</v>
      </c>
      <c r="G209" s="12">
        <f t="shared" si="3"/>
        <v>7.5</v>
      </c>
    </row>
    <row r="210" spans="1:7" x14ac:dyDescent="0.2">
      <c r="A210" s="5">
        <v>628</v>
      </c>
      <c r="B210" s="5">
        <v>1</v>
      </c>
      <c r="C210" s="8" t="s">
        <v>231</v>
      </c>
      <c r="D210" s="6">
        <v>465</v>
      </c>
      <c r="E210" s="6">
        <v>178</v>
      </c>
      <c r="F210" s="6">
        <v>1380</v>
      </c>
      <c r="G210" s="12">
        <f t="shared" si="3"/>
        <v>7.75</v>
      </c>
    </row>
    <row r="211" spans="1:7" x14ac:dyDescent="0.2">
      <c r="A211" s="5">
        <v>630</v>
      </c>
      <c r="B211" s="5">
        <v>1</v>
      </c>
      <c r="C211" s="8" t="s">
        <v>232</v>
      </c>
      <c r="D211" s="6">
        <v>380</v>
      </c>
      <c r="E211" s="6">
        <v>180</v>
      </c>
      <c r="F211" s="6">
        <v>1140</v>
      </c>
      <c r="G211" s="12">
        <f t="shared" si="3"/>
        <v>6.333333333333333</v>
      </c>
    </row>
    <row r="212" spans="1:7" x14ac:dyDescent="0.2">
      <c r="A212" s="5">
        <v>635</v>
      </c>
      <c r="B212" s="5">
        <v>1</v>
      </c>
      <c r="C212" s="8" t="s">
        <v>233</v>
      </c>
      <c r="D212" s="6">
        <v>480</v>
      </c>
      <c r="E212" s="6">
        <v>178</v>
      </c>
      <c r="F212" s="6">
        <v>1424</v>
      </c>
      <c r="G212" s="12">
        <f t="shared" si="3"/>
        <v>8</v>
      </c>
    </row>
    <row r="213" spans="1:7" x14ac:dyDescent="0.2">
      <c r="A213" s="5">
        <v>640</v>
      </c>
      <c r="B213" s="5">
        <v>1</v>
      </c>
      <c r="C213" s="8" t="s">
        <v>234</v>
      </c>
      <c r="D213" s="6">
        <v>450</v>
      </c>
      <c r="E213" s="6">
        <v>180</v>
      </c>
      <c r="F213" s="6">
        <v>1350</v>
      </c>
      <c r="G213" s="12">
        <f t="shared" si="3"/>
        <v>7.5</v>
      </c>
    </row>
    <row r="214" spans="1:7" x14ac:dyDescent="0.2">
      <c r="A214" s="5">
        <v>656</v>
      </c>
      <c r="B214" s="5">
        <v>1</v>
      </c>
      <c r="C214" s="8" t="s">
        <v>235</v>
      </c>
      <c r="D214" s="6">
        <v>450</v>
      </c>
      <c r="E214" s="6">
        <v>195</v>
      </c>
      <c r="F214" s="6">
        <v>1463</v>
      </c>
      <c r="G214" s="12">
        <f t="shared" si="3"/>
        <v>7.5</v>
      </c>
    </row>
    <row r="215" spans="1:7" x14ac:dyDescent="0.2">
      <c r="A215" s="5">
        <v>659</v>
      </c>
      <c r="B215" s="5">
        <v>1</v>
      </c>
      <c r="C215" s="8" t="s">
        <v>236</v>
      </c>
      <c r="D215" s="6">
        <v>480</v>
      </c>
      <c r="E215" s="6">
        <v>187</v>
      </c>
      <c r="F215" s="6">
        <v>1496</v>
      </c>
      <c r="G215" s="12">
        <f t="shared" si="3"/>
        <v>8</v>
      </c>
    </row>
    <row r="216" spans="1:7" x14ac:dyDescent="0.2">
      <c r="A216" s="5">
        <v>671</v>
      </c>
      <c r="B216" s="5">
        <v>1</v>
      </c>
      <c r="C216" s="8" t="s">
        <v>237</v>
      </c>
      <c r="D216" s="6">
        <v>435</v>
      </c>
      <c r="E216" s="6">
        <v>174</v>
      </c>
      <c r="F216" s="6">
        <v>1262</v>
      </c>
      <c r="G216" s="12">
        <f t="shared" si="3"/>
        <v>7.25</v>
      </c>
    </row>
    <row r="217" spans="1:7" x14ac:dyDescent="0.2">
      <c r="A217" s="5">
        <v>676</v>
      </c>
      <c r="B217" s="5">
        <v>1</v>
      </c>
      <c r="C217" s="8" t="s">
        <v>238</v>
      </c>
      <c r="D217" s="6">
        <v>450</v>
      </c>
      <c r="E217" s="6">
        <v>180</v>
      </c>
      <c r="F217" s="6">
        <v>1350</v>
      </c>
      <c r="G217" s="12">
        <f t="shared" si="3"/>
        <v>7.5</v>
      </c>
    </row>
    <row r="218" spans="1:7" x14ac:dyDescent="0.2">
      <c r="A218" s="5">
        <v>682</v>
      </c>
      <c r="B218" s="5">
        <v>1</v>
      </c>
      <c r="C218" s="8" t="s">
        <v>239</v>
      </c>
      <c r="D218" s="6">
        <v>440</v>
      </c>
      <c r="E218" s="6">
        <v>182</v>
      </c>
      <c r="F218" s="6">
        <v>1334</v>
      </c>
      <c r="G218" s="12">
        <f t="shared" si="3"/>
        <v>7.333333333333333</v>
      </c>
    </row>
    <row r="219" spans="1:7" x14ac:dyDescent="0.2">
      <c r="A219" s="5">
        <v>690</v>
      </c>
      <c r="B219" s="5">
        <v>1</v>
      </c>
      <c r="C219" s="8" t="s">
        <v>240</v>
      </c>
      <c r="D219" s="6">
        <v>463</v>
      </c>
      <c r="E219" s="6">
        <v>180</v>
      </c>
      <c r="F219" s="6">
        <v>1389</v>
      </c>
      <c r="G219" s="12">
        <f t="shared" si="3"/>
        <v>7.7166666666666668</v>
      </c>
    </row>
    <row r="220" spans="1:7" x14ac:dyDescent="0.2">
      <c r="A220" s="5">
        <v>695</v>
      </c>
      <c r="B220" s="5">
        <v>1</v>
      </c>
      <c r="C220" s="8" t="s">
        <v>241</v>
      </c>
      <c r="D220" s="6">
        <v>420</v>
      </c>
      <c r="E220" s="6">
        <v>180</v>
      </c>
      <c r="F220" s="6">
        <v>1260</v>
      </c>
      <c r="G220" s="12">
        <f t="shared" si="3"/>
        <v>7</v>
      </c>
    </row>
    <row r="221" spans="1:7" x14ac:dyDescent="0.2">
      <c r="A221" s="5">
        <v>696</v>
      </c>
      <c r="B221" s="5">
        <v>1</v>
      </c>
      <c r="C221" s="8" t="s">
        <v>242</v>
      </c>
      <c r="D221" s="6">
        <v>410</v>
      </c>
      <c r="E221" s="6">
        <v>180</v>
      </c>
      <c r="F221" s="6">
        <v>1230</v>
      </c>
      <c r="G221" s="12">
        <f t="shared" si="3"/>
        <v>6.833333333333333</v>
      </c>
    </row>
    <row r="222" spans="1:7" x14ac:dyDescent="0.2">
      <c r="A222" s="5">
        <v>698</v>
      </c>
      <c r="B222" s="5">
        <v>1</v>
      </c>
      <c r="C222" s="8" t="s">
        <v>243</v>
      </c>
      <c r="D222" s="6">
        <v>420</v>
      </c>
      <c r="E222" s="6">
        <v>183</v>
      </c>
      <c r="F222" s="6">
        <v>1281</v>
      </c>
      <c r="G222" s="12">
        <f t="shared" si="3"/>
        <v>7</v>
      </c>
    </row>
    <row r="223" spans="1:7" x14ac:dyDescent="0.2">
      <c r="A223" s="5">
        <v>700</v>
      </c>
      <c r="B223" s="5">
        <v>1</v>
      </c>
      <c r="C223" s="8" t="s">
        <v>244</v>
      </c>
      <c r="D223" s="6">
        <v>461</v>
      </c>
      <c r="E223" s="6">
        <v>181</v>
      </c>
      <c r="F223" s="6">
        <v>1391</v>
      </c>
      <c r="G223" s="12">
        <f t="shared" si="3"/>
        <v>7.6833333333333336</v>
      </c>
    </row>
    <row r="224" spans="1:7" x14ac:dyDescent="0.2">
      <c r="A224" s="5">
        <v>701</v>
      </c>
      <c r="B224" s="5">
        <v>1</v>
      </c>
      <c r="C224" s="8" t="s">
        <v>245</v>
      </c>
      <c r="D224" s="6">
        <v>420</v>
      </c>
      <c r="E224" s="6">
        <v>181</v>
      </c>
      <c r="F224" s="6">
        <v>1267</v>
      </c>
      <c r="G224" s="12">
        <f t="shared" si="3"/>
        <v>7</v>
      </c>
    </row>
    <row r="225" spans="1:7" x14ac:dyDescent="0.2">
      <c r="A225" s="5">
        <v>704</v>
      </c>
      <c r="B225" s="5">
        <v>1</v>
      </c>
      <c r="C225" s="8" t="s">
        <v>246</v>
      </c>
      <c r="D225" s="6">
        <v>420</v>
      </c>
      <c r="E225" s="6">
        <v>181</v>
      </c>
      <c r="F225" s="6">
        <v>1267</v>
      </c>
      <c r="G225" s="12">
        <f t="shared" si="3"/>
        <v>7</v>
      </c>
    </row>
    <row r="226" spans="1:7" x14ac:dyDescent="0.2">
      <c r="A226" s="5">
        <v>706</v>
      </c>
      <c r="B226" s="5">
        <v>1</v>
      </c>
      <c r="C226" s="8" t="s">
        <v>247</v>
      </c>
      <c r="D226" s="6">
        <v>420</v>
      </c>
      <c r="E226" s="6">
        <v>180</v>
      </c>
      <c r="F226" s="6">
        <v>1260</v>
      </c>
      <c r="G226" s="12">
        <f t="shared" si="3"/>
        <v>7</v>
      </c>
    </row>
    <row r="227" spans="1:7" x14ac:dyDescent="0.2">
      <c r="A227" s="5">
        <v>707</v>
      </c>
      <c r="B227" s="5">
        <v>1</v>
      </c>
      <c r="C227" s="8" t="s">
        <v>248</v>
      </c>
      <c r="D227" s="6">
        <v>420</v>
      </c>
      <c r="E227" s="6">
        <v>178</v>
      </c>
      <c r="F227" s="6">
        <v>1246</v>
      </c>
      <c r="G227" s="12">
        <f t="shared" si="3"/>
        <v>7</v>
      </c>
    </row>
    <row r="228" spans="1:7" x14ac:dyDescent="0.2">
      <c r="A228" s="5">
        <v>709</v>
      </c>
      <c r="B228" s="5">
        <v>1</v>
      </c>
      <c r="C228" s="8" t="s">
        <v>249</v>
      </c>
      <c r="D228" s="6">
        <v>450</v>
      </c>
      <c r="E228" s="6">
        <v>190</v>
      </c>
      <c r="F228" s="6">
        <v>1425</v>
      </c>
      <c r="G228" s="12">
        <f t="shared" si="3"/>
        <v>7.5</v>
      </c>
    </row>
    <row r="229" spans="1:7" x14ac:dyDescent="0.2">
      <c r="A229" s="5">
        <v>712</v>
      </c>
      <c r="B229" s="5">
        <v>1</v>
      </c>
      <c r="C229" s="8" t="s">
        <v>250</v>
      </c>
      <c r="D229" s="6">
        <v>420</v>
      </c>
      <c r="E229" s="6">
        <v>180</v>
      </c>
      <c r="F229" s="6">
        <v>1260</v>
      </c>
      <c r="G229" s="12">
        <f t="shared" si="3"/>
        <v>7</v>
      </c>
    </row>
    <row r="230" spans="1:7" x14ac:dyDescent="0.2">
      <c r="A230" s="5">
        <v>716</v>
      </c>
      <c r="B230" s="5">
        <v>1</v>
      </c>
      <c r="C230" s="8" t="s">
        <v>251</v>
      </c>
      <c r="D230" s="6">
        <v>480</v>
      </c>
      <c r="E230" s="6">
        <v>184</v>
      </c>
      <c r="F230" s="6">
        <v>1472</v>
      </c>
      <c r="G230" s="12">
        <f t="shared" si="3"/>
        <v>8</v>
      </c>
    </row>
    <row r="231" spans="1:7" x14ac:dyDescent="0.2">
      <c r="A231" s="5">
        <v>717</v>
      </c>
      <c r="B231" s="5">
        <v>1</v>
      </c>
      <c r="C231" s="8" t="s">
        <v>252</v>
      </c>
      <c r="D231" s="6">
        <v>480</v>
      </c>
      <c r="E231" s="6">
        <v>186</v>
      </c>
      <c r="F231" s="6">
        <v>1488</v>
      </c>
      <c r="G231" s="12">
        <f t="shared" si="3"/>
        <v>8</v>
      </c>
    </row>
    <row r="232" spans="1:7" x14ac:dyDescent="0.2">
      <c r="A232" s="5">
        <v>719</v>
      </c>
      <c r="B232" s="5">
        <v>1</v>
      </c>
      <c r="C232" s="8" t="s">
        <v>253</v>
      </c>
      <c r="D232" s="6">
        <v>480</v>
      </c>
      <c r="E232" s="6">
        <v>185</v>
      </c>
      <c r="F232" s="6">
        <v>1480</v>
      </c>
      <c r="G232" s="12">
        <f t="shared" si="3"/>
        <v>8</v>
      </c>
    </row>
    <row r="233" spans="1:7" x14ac:dyDescent="0.2">
      <c r="A233" s="5">
        <v>720</v>
      </c>
      <c r="B233" s="5">
        <v>1</v>
      </c>
      <c r="C233" s="8" t="s">
        <v>254</v>
      </c>
      <c r="D233" s="6">
        <v>480</v>
      </c>
      <c r="E233" s="6">
        <v>186</v>
      </c>
      <c r="F233" s="6">
        <v>1488</v>
      </c>
      <c r="G233" s="12">
        <f t="shared" si="3"/>
        <v>8</v>
      </c>
    </row>
    <row r="234" spans="1:7" x14ac:dyDescent="0.2">
      <c r="A234" s="5">
        <v>721</v>
      </c>
      <c r="B234" s="5">
        <v>1</v>
      </c>
      <c r="C234" s="8" t="s">
        <v>255</v>
      </c>
      <c r="D234" s="6">
        <v>480</v>
      </c>
      <c r="E234" s="6">
        <v>183</v>
      </c>
      <c r="F234" s="6">
        <v>1464</v>
      </c>
      <c r="G234" s="12">
        <f t="shared" si="3"/>
        <v>8</v>
      </c>
    </row>
    <row r="235" spans="1:7" x14ac:dyDescent="0.2">
      <c r="A235" s="5">
        <v>726</v>
      </c>
      <c r="B235" s="5">
        <v>1</v>
      </c>
      <c r="C235" s="8" t="s">
        <v>256</v>
      </c>
      <c r="D235" s="6">
        <v>460</v>
      </c>
      <c r="E235" s="6">
        <v>182</v>
      </c>
      <c r="F235" s="6">
        <v>1395</v>
      </c>
      <c r="G235" s="12">
        <f t="shared" si="3"/>
        <v>7.666666666666667</v>
      </c>
    </row>
    <row r="236" spans="1:7" x14ac:dyDescent="0.2">
      <c r="A236" s="5">
        <v>727</v>
      </c>
      <c r="B236" s="5">
        <v>1</v>
      </c>
      <c r="C236" s="8" t="s">
        <v>257</v>
      </c>
      <c r="D236" s="6">
        <v>450</v>
      </c>
      <c r="E236" s="6">
        <v>183</v>
      </c>
      <c r="F236" s="6">
        <v>1373</v>
      </c>
      <c r="G236" s="12">
        <f t="shared" si="3"/>
        <v>7.5</v>
      </c>
    </row>
    <row r="237" spans="1:7" x14ac:dyDescent="0.2">
      <c r="A237" s="5">
        <v>728</v>
      </c>
      <c r="B237" s="5">
        <v>1</v>
      </c>
      <c r="C237" s="8" t="s">
        <v>258</v>
      </c>
      <c r="D237" s="6">
        <v>435</v>
      </c>
      <c r="E237" s="6">
        <v>190</v>
      </c>
      <c r="F237" s="6">
        <v>1378</v>
      </c>
      <c r="G237" s="12">
        <f t="shared" si="3"/>
        <v>7.25</v>
      </c>
    </row>
    <row r="238" spans="1:7" x14ac:dyDescent="0.2">
      <c r="A238" s="5">
        <v>738</v>
      </c>
      <c r="B238" s="5">
        <v>1</v>
      </c>
      <c r="C238" s="8" t="s">
        <v>259</v>
      </c>
      <c r="D238" s="6">
        <v>480</v>
      </c>
      <c r="E238" s="6">
        <v>183</v>
      </c>
      <c r="F238" s="6">
        <v>1464</v>
      </c>
      <c r="G238" s="12">
        <f t="shared" si="3"/>
        <v>8</v>
      </c>
    </row>
    <row r="239" spans="1:7" x14ac:dyDescent="0.2">
      <c r="A239" s="5">
        <v>739</v>
      </c>
      <c r="B239" s="5">
        <v>1</v>
      </c>
      <c r="C239" s="8" t="s">
        <v>260</v>
      </c>
      <c r="D239" s="6">
        <v>480</v>
      </c>
      <c r="E239" s="6">
        <v>183</v>
      </c>
      <c r="F239" s="6">
        <v>1464</v>
      </c>
      <c r="G239" s="12">
        <f t="shared" si="3"/>
        <v>8</v>
      </c>
    </row>
    <row r="240" spans="1:7" x14ac:dyDescent="0.2">
      <c r="A240" s="5">
        <v>740</v>
      </c>
      <c r="B240" s="5">
        <v>1</v>
      </c>
      <c r="C240" s="8" t="s">
        <v>261</v>
      </c>
      <c r="D240" s="6">
        <v>450</v>
      </c>
      <c r="E240" s="6">
        <v>185</v>
      </c>
      <c r="F240" s="6">
        <v>1388</v>
      </c>
      <c r="G240" s="12">
        <f t="shared" si="3"/>
        <v>7.5</v>
      </c>
    </row>
    <row r="241" spans="1:7" x14ac:dyDescent="0.2">
      <c r="A241" s="5">
        <v>741</v>
      </c>
      <c r="B241" s="5">
        <v>1</v>
      </c>
      <c r="C241" s="8" t="s">
        <v>262</v>
      </c>
      <c r="D241" s="6">
        <v>415</v>
      </c>
      <c r="E241" s="6">
        <v>184</v>
      </c>
      <c r="F241" s="6">
        <v>1273</v>
      </c>
      <c r="G241" s="12">
        <f t="shared" si="3"/>
        <v>6.916666666666667</v>
      </c>
    </row>
    <row r="242" spans="1:7" x14ac:dyDescent="0.2">
      <c r="A242" s="5">
        <v>742</v>
      </c>
      <c r="B242" s="5">
        <v>1</v>
      </c>
      <c r="C242" s="8" t="s">
        <v>263</v>
      </c>
      <c r="D242" s="6">
        <v>420</v>
      </c>
      <c r="E242" s="6">
        <v>188</v>
      </c>
      <c r="F242" s="6">
        <v>1316</v>
      </c>
      <c r="G242" s="12">
        <f t="shared" si="3"/>
        <v>7</v>
      </c>
    </row>
    <row r="243" spans="1:7" x14ac:dyDescent="0.2">
      <c r="A243" s="5">
        <v>743</v>
      </c>
      <c r="B243" s="5">
        <v>1</v>
      </c>
      <c r="C243" s="8" t="s">
        <v>264</v>
      </c>
      <c r="D243" s="6">
        <v>450</v>
      </c>
      <c r="E243" s="6">
        <v>187</v>
      </c>
      <c r="F243" s="6">
        <v>1403</v>
      </c>
      <c r="G243" s="12">
        <f t="shared" si="3"/>
        <v>7.5</v>
      </c>
    </row>
    <row r="244" spans="1:7" x14ac:dyDescent="0.2">
      <c r="A244" s="5">
        <v>745</v>
      </c>
      <c r="B244" s="5">
        <v>1</v>
      </c>
      <c r="C244" s="8" t="s">
        <v>265</v>
      </c>
      <c r="D244" s="6">
        <v>465</v>
      </c>
      <c r="E244" s="6">
        <v>182</v>
      </c>
      <c r="F244" s="6">
        <v>1410</v>
      </c>
      <c r="G244" s="12">
        <f t="shared" si="3"/>
        <v>7.75</v>
      </c>
    </row>
    <row r="245" spans="1:7" x14ac:dyDescent="0.2">
      <c r="A245" s="5">
        <v>748</v>
      </c>
      <c r="B245" s="5">
        <v>1</v>
      </c>
      <c r="C245" s="8" t="s">
        <v>266</v>
      </c>
      <c r="D245" s="6">
        <v>450</v>
      </c>
      <c r="E245" s="6">
        <v>182</v>
      </c>
      <c r="F245" s="6">
        <v>1365</v>
      </c>
      <c r="G245" s="12">
        <f t="shared" si="3"/>
        <v>7.5</v>
      </c>
    </row>
    <row r="246" spans="1:7" x14ac:dyDescent="0.2">
      <c r="A246" s="5">
        <v>750</v>
      </c>
      <c r="B246" s="5">
        <v>1</v>
      </c>
      <c r="C246" s="8" t="s">
        <v>267</v>
      </c>
      <c r="D246" s="6">
        <v>480</v>
      </c>
      <c r="E246" s="6">
        <v>182</v>
      </c>
      <c r="F246" s="6">
        <v>1456</v>
      </c>
      <c r="G246" s="12">
        <f t="shared" si="3"/>
        <v>8</v>
      </c>
    </row>
    <row r="247" spans="1:7" x14ac:dyDescent="0.2">
      <c r="A247" s="5">
        <v>756</v>
      </c>
      <c r="B247" s="5">
        <v>1</v>
      </c>
      <c r="C247" s="8" t="s">
        <v>268</v>
      </c>
      <c r="D247" s="6">
        <v>435</v>
      </c>
      <c r="E247" s="6">
        <v>184</v>
      </c>
      <c r="F247" s="6">
        <v>1334</v>
      </c>
      <c r="G247" s="12">
        <f t="shared" si="3"/>
        <v>7.25</v>
      </c>
    </row>
    <row r="248" spans="1:7" x14ac:dyDescent="0.2">
      <c r="A248" s="5">
        <v>761</v>
      </c>
      <c r="B248" s="5">
        <v>1</v>
      </c>
      <c r="C248" s="8" t="s">
        <v>269</v>
      </c>
      <c r="D248" s="6">
        <v>440</v>
      </c>
      <c r="E248" s="6">
        <v>193</v>
      </c>
      <c r="F248" s="6">
        <v>1415</v>
      </c>
      <c r="G248" s="12">
        <f t="shared" si="3"/>
        <v>7.333333333333333</v>
      </c>
    </row>
    <row r="249" spans="1:7" x14ac:dyDescent="0.2">
      <c r="A249" s="5">
        <v>763</v>
      </c>
      <c r="B249" s="5">
        <v>1</v>
      </c>
      <c r="C249" s="8" t="s">
        <v>270</v>
      </c>
      <c r="D249" s="6">
        <v>430</v>
      </c>
      <c r="E249" s="6">
        <v>186</v>
      </c>
      <c r="F249" s="6">
        <v>1333</v>
      </c>
      <c r="G249" s="12">
        <f t="shared" si="3"/>
        <v>7.166666666666667</v>
      </c>
    </row>
    <row r="250" spans="1:7" x14ac:dyDescent="0.2">
      <c r="A250" s="5">
        <v>768</v>
      </c>
      <c r="B250" s="5">
        <v>1</v>
      </c>
      <c r="C250" s="8" t="s">
        <v>271</v>
      </c>
      <c r="D250" s="6">
        <v>450</v>
      </c>
      <c r="E250" s="6">
        <v>178</v>
      </c>
      <c r="F250" s="6">
        <v>1335</v>
      </c>
      <c r="G250" s="12">
        <f t="shared" si="3"/>
        <v>7.5</v>
      </c>
    </row>
    <row r="251" spans="1:7" x14ac:dyDescent="0.2">
      <c r="A251" s="5">
        <v>769</v>
      </c>
      <c r="B251" s="5">
        <v>1</v>
      </c>
      <c r="C251" s="8" t="s">
        <v>272</v>
      </c>
      <c r="D251" s="6">
        <v>450</v>
      </c>
      <c r="E251" s="6">
        <v>181</v>
      </c>
      <c r="F251" s="6">
        <v>1358</v>
      </c>
      <c r="G251" s="12">
        <f t="shared" si="3"/>
        <v>7.5</v>
      </c>
    </row>
    <row r="252" spans="1:7" x14ac:dyDescent="0.2">
      <c r="A252" s="5">
        <v>771</v>
      </c>
      <c r="B252" s="5">
        <v>1</v>
      </c>
      <c r="C252" s="8" t="s">
        <v>273</v>
      </c>
      <c r="D252" s="6">
        <v>465</v>
      </c>
      <c r="E252" s="6">
        <v>180</v>
      </c>
      <c r="F252" s="6">
        <v>1395</v>
      </c>
      <c r="G252" s="12">
        <f t="shared" si="3"/>
        <v>7.75</v>
      </c>
    </row>
    <row r="253" spans="1:7" x14ac:dyDescent="0.2">
      <c r="A253" s="5">
        <v>775</v>
      </c>
      <c r="B253" s="5">
        <v>1</v>
      </c>
      <c r="C253" s="8" t="s">
        <v>274</v>
      </c>
      <c r="D253" s="6">
        <v>450</v>
      </c>
      <c r="E253" s="6">
        <v>180</v>
      </c>
      <c r="F253" s="6">
        <v>1350</v>
      </c>
      <c r="G253" s="12">
        <f t="shared" si="3"/>
        <v>7.5</v>
      </c>
    </row>
    <row r="254" spans="1:7" x14ac:dyDescent="0.2">
      <c r="A254" s="5">
        <v>777</v>
      </c>
      <c r="B254" s="5">
        <v>1</v>
      </c>
      <c r="C254" s="8" t="s">
        <v>275</v>
      </c>
      <c r="D254" s="6">
        <v>450</v>
      </c>
      <c r="E254" s="6">
        <v>182</v>
      </c>
      <c r="F254" s="6">
        <v>1365</v>
      </c>
      <c r="G254" s="12">
        <f t="shared" si="3"/>
        <v>7.5</v>
      </c>
    </row>
    <row r="255" spans="1:7" x14ac:dyDescent="0.2">
      <c r="A255" s="5">
        <v>786</v>
      </c>
      <c r="B255" s="5">
        <v>1</v>
      </c>
      <c r="C255" s="8" t="s">
        <v>276</v>
      </c>
      <c r="D255" s="6">
        <v>420</v>
      </c>
      <c r="E255" s="6">
        <v>175</v>
      </c>
      <c r="F255" s="6">
        <v>1225</v>
      </c>
      <c r="G255" s="12">
        <f t="shared" si="3"/>
        <v>7</v>
      </c>
    </row>
    <row r="256" spans="1:7" x14ac:dyDescent="0.2">
      <c r="A256" s="5">
        <v>787</v>
      </c>
      <c r="B256" s="5">
        <v>1</v>
      </c>
      <c r="C256" s="8" t="s">
        <v>277</v>
      </c>
      <c r="D256" s="6">
        <v>450</v>
      </c>
      <c r="E256" s="6">
        <v>178</v>
      </c>
      <c r="F256" s="6">
        <v>1335</v>
      </c>
      <c r="G256" s="12">
        <f t="shared" si="3"/>
        <v>7.5</v>
      </c>
    </row>
    <row r="257" spans="1:7" x14ac:dyDescent="0.2">
      <c r="A257" s="5">
        <v>801</v>
      </c>
      <c r="B257" s="5">
        <v>1</v>
      </c>
      <c r="C257" s="8" t="s">
        <v>278</v>
      </c>
      <c r="D257" s="6">
        <v>450</v>
      </c>
      <c r="E257" s="6">
        <v>180</v>
      </c>
      <c r="F257" s="6">
        <v>1350</v>
      </c>
      <c r="G257" s="12">
        <f t="shared" si="3"/>
        <v>7.5</v>
      </c>
    </row>
    <row r="258" spans="1:7" x14ac:dyDescent="0.2">
      <c r="A258" s="5">
        <v>803</v>
      </c>
      <c r="B258" s="5">
        <v>1</v>
      </c>
      <c r="C258" s="8" t="s">
        <v>279</v>
      </c>
      <c r="D258" s="6">
        <v>420</v>
      </c>
      <c r="E258" s="6">
        <v>179</v>
      </c>
      <c r="F258" s="6">
        <v>1253</v>
      </c>
      <c r="G258" s="12">
        <f t="shared" si="3"/>
        <v>7</v>
      </c>
    </row>
    <row r="259" spans="1:7" x14ac:dyDescent="0.2">
      <c r="A259" s="5">
        <v>811</v>
      </c>
      <c r="B259" s="5">
        <v>1</v>
      </c>
      <c r="C259" s="8" t="s">
        <v>280</v>
      </c>
      <c r="D259" s="6">
        <v>480</v>
      </c>
      <c r="E259" s="6">
        <v>185</v>
      </c>
      <c r="F259" s="6">
        <v>1480</v>
      </c>
      <c r="G259" s="12">
        <f t="shared" si="3"/>
        <v>8</v>
      </c>
    </row>
    <row r="260" spans="1:7" x14ac:dyDescent="0.2">
      <c r="A260" s="5">
        <v>813</v>
      </c>
      <c r="B260" s="5">
        <v>1</v>
      </c>
      <c r="C260" s="8" t="s">
        <v>281</v>
      </c>
      <c r="D260" s="6">
        <v>480</v>
      </c>
      <c r="E260" s="6">
        <v>184</v>
      </c>
      <c r="F260" s="6">
        <v>1472</v>
      </c>
      <c r="G260" s="12">
        <f t="shared" si="3"/>
        <v>8</v>
      </c>
    </row>
    <row r="261" spans="1:7" x14ac:dyDescent="0.2">
      <c r="A261" s="5">
        <v>815</v>
      </c>
      <c r="B261" s="5">
        <v>2</v>
      </c>
      <c r="C261" s="8" t="s">
        <v>282</v>
      </c>
      <c r="D261" s="6">
        <v>360</v>
      </c>
      <c r="E261" s="6">
        <v>175</v>
      </c>
      <c r="F261" s="6">
        <v>1050</v>
      </c>
      <c r="G261" s="12">
        <f t="shared" si="3"/>
        <v>6</v>
      </c>
    </row>
    <row r="262" spans="1:7" x14ac:dyDescent="0.2">
      <c r="A262" s="5">
        <v>818</v>
      </c>
      <c r="B262" s="5">
        <v>1</v>
      </c>
      <c r="C262" s="8" t="s">
        <v>283</v>
      </c>
      <c r="D262" s="6">
        <v>420</v>
      </c>
      <c r="E262" s="6">
        <v>181</v>
      </c>
      <c r="F262" s="6">
        <v>1267</v>
      </c>
      <c r="G262" s="12">
        <f t="shared" si="3"/>
        <v>7</v>
      </c>
    </row>
    <row r="263" spans="1:7" x14ac:dyDescent="0.2">
      <c r="A263" s="5">
        <v>820</v>
      </c>
      <c r="B263" s="5">
        <v>1</v>
      </c>
      <c r="C263" s="8" t="s">
        <v>284</v>
      </c>
      <c r="D263" s="6">
        <v>440</v>
      </c>
      <c r="E263" s="6">
        <v>182</v>
      </c>
      <c r="F263" s="6">
        <v>1335</v>
      </c>
      <c r="G263" s="12">
        <f t="shared" si="3"/>
        <v>7.333333333333333</v>
      </c>
    </row>
    <row r="264" spans="1:7" x14ac:dyDescent="0.2">
      <c r="A264" s="5">
        <v>821</v>
      </c>
      <c r="B264" s="5">
        <v>1</v>
      </c>
      <c r="C264" s="8" t="s">
        <v>285</v>
      </c>
      <c r="D264" s="6">
        <v>435</v>
      </c>
      <c r="E264" s="6">
        <v>179</v>
      </c>
      <c r="F264" s="6">
        <v>1298</v>
      </c>
      <c r="G264" s="12">
        <f t="shared" si="3"/>
        <v>7.25</v>
      </c>
    </row>
    <row r="265" spans="1:7" x14ac:dyDescent="0.2">
      <c r="A265" s="5">
        <v>829</v>
      </c>
      <c r="B265" s="5">
        <v>1</v>
      </c>
      <c r="C265" s="8" t="s">
        <v>286</v>
      </c>
      <c r="D265" s="6">
        <v>450</v>
      </c>
      <c r="E265" s="6">
        <v>188</v>
      </c>
      <c r="F265" s="6">
        <v>1410</v>
      </c>
      <c r="G265" s="12">
        <f t="shared" si="3"/>
        <v>7.5</v>
      </c>
    </row>
    <row r="266" spans="1:7" x14ac:dyDescent="0.2">
      <c r="A266" s="5">
        <v>831</v>
      </c>
      <c r="B266" s="5">
        <v>1</v>
      </c>
      <c r="C266" s="8" t="s">
        <v>287</v>
      </c>
      <c r="D266" s="6">
        <v>480</v>
      </c>
      <c r="E266" s="6">
        <v>190</v>
      </c>
      <c r="F266" s="6">
        <v>1520</v>
      </c>
      <c r="G266" s="12">
        <f t="shared" si="3"/>
        <v>8</v>
      </c>
    </row>
    <row r="267" spans="1:7" x14ac:dyDescent="0.2">
      <c r="A267" s="5">
        <v>832</v>
      </c>
      <c r="B267" s="5">
        <v>1</v>
      </c>
      <c r="C267" s="8" t="s">
        <v>288</v>
      </c>
      <c r="D267" s="6">
        <v>480</v>
      </c>
      <c r="E267" s="6">
        <v>193</v>
      </c>
      <c r="F267" s="6">
        <v>1544</v>
      </c>
      <c r="G267" s="12">
        <f t="shared" si="3"/>
        <v>8</v>
      </c>
    </row>
    <row r="268" spans="1:7" x14ac:dyDescent="0.2">
      <c r="A268" s="5">
        <v>833</v>
      </c>
      <c r="B268" s="5">
        <v>1</v>
      </c>
      <c r="C268" s="8" t="s">
        <v>289</v>
      </c>
      <c r="D268" s="6">
        <v>450</v>
      </c>
      <c r="E268" s="6">
        <v>183</v>
      </c>
      <c r="F268" s="6">
        <v>1373</v>
      </c>
      <c r="G268" s="12">
        <f t="shared" ref="G268:G331" si="4">D268/60</f>
        <v>7.5</v>
      </c>
    </row>
    <row r="269" spans="1:7" x14ac:dyDescent="0.2">
      <c r="A269" s="5">
        <v>834</v>
      </c>
      <c r="B269" s="5">
        <v>1</v>
      </c>
      <c r="C269" s="8" t="s">
        <v>290</v>
      </c>
      <c r="D269" s="6">
        <v>450</v>
      </c>
      <c r="E269" s="6">
        <v>186</v>
      </c>
      <c r="F269" s="6">
        <v>1395</v>
      </c>
      <c r="G269" s="12">
        <f t="shared" si="4"/>
        <v>7.5</v>
      </c>
    </row>
    <row r="270" spans="1:7" x14ac:dyDescent="0.2">
      <c r="A270" s="5">
        <v>836</v>
      </c>
      <c r="B270" s="5">
        <v>1</v>
      </c>
      <c r="C270" s="8" t="s">
        <v>291</v>
      </c>
      <c r="D270" s="6">
        <v>480</v>
      </c>
      <c r="E270" s="6">
        <v>178</v>
      </c>
      <c r="F270" s="6">
        <v>1424</v>
      </c>
      <c r="G270" s="12">
        <f t="shared" si="4"/>
        <v>8</v>
      </c>
    </row>
    <row r="271" spans="1:7" x14ac:dyDescent="0.2">
      <c r="A271" s="5">
        <v>837</v>
      </c>
      <c r="B271" s="5">
        <v>1</v>
      </c>
      <c r="C271" s="8" t="s">
        <v>292</v>
      </c>
      <c r="D271" s="6">
        <v>480</v>
      </c>
      <c r="E271" s="6">
        <v>182</v>
      </c>
      <c r="F271" s="6">
        <v>1456</v>
      </c>
      <c r="G271" s="12">
        <f t="shared" si="4"/>
        <v>8</v>
      </c>
    </row>
    <row r="272" spans="1:7" x14ac:dyDescent="0.2">
      <c r="A272" s="5">
        <v>840</v>
      </c>
      <c r="B272" s="5">
        <v>1</v>
      </c>
      <c r="C272" s="8" t="s">
        <v>293</v>
      </c>
      <c r="D272" s="6">
        <v>480</v>
      </c>
      <c r="E272" s="6">
        <v>182</v>
      </c>
      <c r="F272" s="6">
        <v>1456</v>
      </c>
      <c r="G272" s="12">
        <f t="shared" si="4"/>
        <v>8</v>
      </c>
    </row>
    <row r="273" spans="1:7" x14ac:dyDescent="0.2">
      <c r="A273" s="5">
        <v>846</v>
      </c>
      <c r="B273" s="5">
        <v>1</v>
      </c>
      <c r="C273" s="8" t="s">
        <v>294</v>
      </c>
      <c r="D273" s="6">
        <v>435</v>
      </c>
      <c r="E273" s="6">
        <v>182</v>
      </c>
      <c r="F273" s="6">
        <v>1320</v>
      </c>
      <c r="G273" s="12">
        <f t="shared" si="4"/>
        <v>7.25</v>
      </c>
    </row>
    <row r="274" spans="1:7" x14ac:dyDescent="0.2">
      <c r="A274" s="5">
        <v>850</v>
      </c>
      <c r="B274" s="5">
        <v>1</v>
      </c>
      <c r="C274" s="8" t="s">
        <v>295</v>
      </c>
      <c r="D274" s="6">
        <v>450</v>
      </c>
      <c r="E274" s="6">
        <v>181</v>
      </c>
      <c r="F274" s="6">
        <v>1358</v>
      </c>
      <c r="G274" s="12">
        <f t="shared" si="4"/>
        <v>7.5</v>
      </c>
    </row>
    <row r="275" spans="1:7" x14ac:dyDescent="0.2">
      <c r="A275" s="5">
        <v>852</v>
      </c>
      <c r="B275" s="5">
        <v>1</v>
      </c>
      <c r="C275" s="8" t="s">
        <v>296</v>
      </c>
      <c r="D275" s="6">
        <v>420</v>
      </c>
      <c r="E275" s="6">
        <v>182</v>
      </c>
      <c r="F275" s="6">
        <v>1274</v>
      </c>
      <c r="G275" s="12">
        <f t="shared" si="4"/>
        <v>7</v>
      </c>
    </row>
    <row r="276" spans="1:7" x14ac:dyDescent="0.2">
      <c r="A276" s="5">
        <v>857</v>
      </c>
      <c r="B276" s="5">
        <v>1</v>
      </c>
      <c r="C276" s="8" t="s">
        <v>297</v>
      </c>
      <c r="D276" s="6">
        <v>450</v>
      </c>
      <c r="E276" s="6">
        <v>185</v>
      </c>
      <c r="F276" s="6">
        <v>1388</v>
      </c>
      <c r="G276" s="12">
        <f t="shared" si="4"/>
        <v>7.5</v>
      </c>
    </row>
    <row r="277" spans="1:7" x14ac:dyDescent="0.2">
      <c r="A277" s="5">
        <v>858</v>
      </c>
      <c r="B277" s="5">
        <v>1</v>
      </c>
      <c r="C277" s="8" t="s">
        <v>298</v>
      </c>
      <c r="D277" s="6">
        <v>450</v>
      </c>
      <c r="E277" s="6">
        <v>183</v>
      </c>
      <c r="F277" s="6">
        <v>1373</v>
      </c>
      <c r="G277" s="12">
        <f t="shared" si="4"/>
        <v>7.5</v>
      </c>
    </row>
    <row r="278" spans="1:7" x14ac:dyDescent="0.2">
      <c r="A278" s="5">
        <v>861</v>
      </c>
      <c r="B278" s="5">
        <v>1</v>
      </c>
      <c r="C278" s="8" t="s">
        <v>299</v>
      </c>
      <c r="D278" s="6">
        <v>405</v>
      </c>
      <c r="E278" s="6">
        <v>182</v>
      </c>
      <c r="F278" s="6">
        <v>1229</v>
      </c>
      <c r="G278" s="12">
        <f t="shared" si="4"/>
        <v>6.75</v>
      </c>
    </row>
    <row r="279" spans="1:7" x14ac:dyDescent="0.2">
      <c r="A279" s="5">
        <v>870</v>
      </c>
      <c r="B279" s="5">
        <v>52</v>
      </c>
      <c r="C279" s="8" t="s">
        <v>510</v>
      </c>
      <c r="D279" s="6">
        <v>450</v>
      </c>
      <c r="E279" s="6">
        <v>184</v>
      </c>
      <c r="F279" s="6">
        <v>1380</v>
      </c>
      <c r="G279" s="12">
        <f t="shared" si="4"/>
        <v>7.5</v>
      </c>
    </row>
    <row r="280" spans="1:7" x14ac:dyDescent="0.2">
      <c r="A280" s="5">
        <v>876</v>
      </c>
      <c r="B280" s="5">
        <v>1</v>
      </c>
      <c r="C280" s="8" t="s">
        <v>300</v>
      </c>
      <c r="D280" s="6">
        <v>450</v>
      </c>
      <c r="E280" s="6">
        <v>184</v>
      </c>
      <c r="F280" s="6">
        <v>1380</v>
      </c>
      <c r="G280" s="12">
        <f t="shared" si="4"/>
        <v>7.5</v>
      </c>
    </row>
    <row r="281" spans="1:7" x14ac:dyDescent="0.2">
      <c r="A281" s="5">
        <v>877</v>
      </c>
      <c r="B281" s="5">
        <v>1</v>
      </c>
      <c r="C281" s="8" t="s">
        <v>301</v>
      </c>
      <c r="D281" s="6">
        <v>450</v>
      </c>
      <c r="E281" s="6">
        <v>186</v>
      </c>
      <c r="F281" s="6">
        <v>1395</v>
      </c>
      <c r="G281" s="12">
        <f t="shared" si="4"/>
        <v>7.5</v>
      </c>
    </row>
    <row r="282" spans="1:7" x14ac:dyDescent="0.2">
      <c r="A282" s="5">
        <v>879</v>
      </c>
      <c r="B282" s="5">
        <v>1</v>
      </c>
      <c r="C282" s="8" t="s">
        <v>302</v>
      </c>
      <c r="D282" s="6">
        <v>450</v>
      </c>
      <c r="E282" s="6">
        <v>180</v>
      </c>
      <c r="F282" s="6">
        <v>1350</v>
      </c>
      <c r="G282" s="12">
        <f t="shared" si="4"/>
        <v>7.5</v>
      </c>
    </row>
    <row r="283" spans="1:7" x14ac:dyDescent="0.2">
      <c r="A283" s="5">
        <v>881</v>
      </c>
      <c r="B283" s="5">
        <v>1</v>
      </c>
      <c r="C283" s="8" t="s">
        <v>303</v>
      </c>
      <c r="D283" s="6">
        <v>450</v>
      </c>
      <c r="E283" s="6">
        <v>181</v>
      </c>
      <c r="F283" s="6">
        <v>1358</v>
      </c>
      <c r="G283" s="12">
        <f t="shared" si="4"/>
        <v>7.5</v>
      </c>
    </row>
    <row r="284" spans="1:7" x14ac:dyDescent="0.2">
      <c r="A284" s="5">
        <v>882</v>
      </c>
      <c r="B284" s="5">
        <v>1</v>
      </c>
      <c r="C284" s="8" t="s">
        <v>304</v>
      </c>
      <c r="D284" s="6">
        <v>450</v>
      </c>
      <c r="E284" s="6">
        <v>183</v>
      </c>
      <c r="F284" s="6">
        <v>1373</v>
      </c>
      <c r="G284" s="12">
        <f t="shared" si="4"/>
        <v>7.5</v>
      </c>
    </row>
    <row r="285" spans="1:7" x14ac:dyDescent="0.2">
      <c r="A285" s="5">
        <v>883</v>
      </c>
      <c r="B285" s="5">
        <v>1</v>
      </c>
      <c r="C285" s="8" t="s">
        <v>305</v>
      </c>
      <c r="D285" s="6">
        <v>450</v>
      </c>
      <c r="E285" s="6">
        <v>181</v>
      </c>
      <c r="F285" s="6">
        <v>1358</v>
      </c>
      <c r="G285" s="12">
        <f t="shared" si="4"/>
        <v>7.5</v>
      </c>
    </row>
    <row r="286" spans="1:7" x14ac:dyDescent="0.2">
      <c r="A286" s="5">
        <v>885</v>
      </c>
      <c r="B286" s="5">
        <v>1</v>
      </c>
      <c r="C286" s="8" t="s">
        <v>306</v>
      </c>
      <c r="D286" s="6">
        <v>450</v>
      </c>
      <c r="E286" s="6">
        <v>186</v>
      </c>
      <c r="F286" s="6">
        <v>1395</v>
      </c>
      <c r="G286" s="12">
        <f t="shared" si="4"/>
        <v>7.5</v>
      </c>
    </row>
    <row r="287" spans="1:7" x14ac:dyDescent="0.2">
      <c r="A287" s="5">
        <v>891</v>
      </c>
      <c r="B287" s="5">
        <v>1</v>
      </c>
      <c r="C287" s="8" t="s">
        <v>307</v>
      </c>
      <c r="D287" s="6">
        <v>450</v>
      </c>
      <c r="E287" s="6">
        <v>181</v>
      </c>
      <c r="F287" s="6">
        <v>1358</v>
      </c>
      <c r="G287" s="12">
        <f t="shared" si="4"/>
        <v>7.5</v>
      </c>
    </row>
    <row r="288" spans="1:7" x14ac:dyDescent="0.2">
      <c r="A288" s="5">
        <v>901</v>
      </c>
      <c r="B288" s="5">
        <v>52</v>
      </c>
      <c r="C288" s="8" t="s">
        <v>510</v>
      </c>
      <c r="D288" s="6">
        <v>420</v>
      </c>
      <c r="E288" s="6">
        <v>199</v>
      </c>
      <c r="F288" s="6">
        <v>1393</v>
      </c>
      <c r="G288" s="12">
        <f t="shared" si="4"/>
        <v>7</v>
      </c>
    </row>
    <row r="289" spans="1:7" x14ac:dyDescent="0.2">
      <c r="A289" s="5">
        <v>911</v>
      </c>
      <c r="B289" s="5">
        <v>1</v>
      </c>
      <c r="C289" s="8" t="s">
        <v>308</v>
      </c>
      <c r="D289" s="6">
        <v>450</v>
      </c>
      <c r="E289" s="6">
        <v>184</v>
      </c>
      <c r="F289" s="6">
        <v>1380</v>
      </c>
      <c r="G289" s="12">
        <f t="shared" si="4"/>
        <v>7.5</v>
      </c>
    </row>
    <row r="290" spans="1:7" x14ac:dyDescent="0.2">
      <c r="A290" s="5">
        <v>912</v>
      </c>
      <c r="B290" s="5">
        <v>1</v>
      </c>
      <c r="C290" s="8" t="s">
        <v>309</v>
      </c>
      <c r="D290" s="6">
        <v>450</v>
      </c>
      <c r="E290" s="6">
        <v>182</v>
      </c>
      <c r="F290" s="6">
        <v>1365</v>
      </c>
      <c r="G290" s="12">
        <f t="shared" si="4"/>
        <v>7.5</v>
      </c>
    </row>
    <row r="291" spans="1:7" x14ac:dyDescent="0.2">
      <c r="A291" s="5">
        <v>914</v>
      </c>
      <c r="B291" s="5">
        <v>1</v>
      </c>
      <c r="C291" s="8" t="s">
        <v>310</v>
      </c>
      <c r="D291" s="6">
        <v>440</v>
      </c>
      <c r="E291" s="6">
        <v>180</v>
      </c>
      <c r="F291" s="6">
        <v>1320</v>
      </c>
      <c r="G291" s="12">
        <f t="shared" si="4"/>
        <v>7.333333333333333</v>
      </c>
    </row>
    <row r="292" spans="1:7" x14ac:dyDescent="0.2">
      <c r="A292" s="5">
        <v>915</v>
      </c>
      <c r="B292" s="5">
        <v>52</v>
      </c>
      <c r="C292" s="8" t="s">
        <v>510</v>
      </c>
      <c r="D292" s="6">
        <v>450</v>
      </c>
      <c r="E292" s="6">
        <v>182</v>
      </c>
      <c r="F292" s="6">
        <v>1365</v>
      </c>
      <c r="G292" s="12">
        <f t="shared" si="4"/>
        <v>7.5</v>
      </c>
    </row>
    <row r="293" spans="1:7" x14ac:dyDescent="0.2">
      <c r="A293" s="5">
        <v>916</v>
      </c>
      <c r="B293" s="5">
        <v>6</v>
      </c>
      <c r="C293" s="8" t="s">
        <v>510</v>
      </c>
      <c r="D293" s="6">
        <v>480</v>
      </c>
      <c r="E293" s="6">
        <v>184</v>
      </c>
      <c r="F293" s="6">
        <v>1472</v>
      </c>
      <c r="G293" s="12">
        <f t="shared" si="4"/>
        <v>8</v>
      </c>
    </row>
    <row r="294" spans="1:7" x14ac:dyDescent="0.2">
      <c r="A294" s="5">
        <v>917</v>
      </c>
      <c r="B294" s="5">
        <v>6</v>
      </c>
      <c r="C294" s="8" t="s">
        <v>510</v>
      </c>
      <c r="D294" s="6">
        <v>480</v>
      </c>
      <c r="E294" s="6">
        <v>185</v>
      </c>
      <c r="F294" s="6">
        <v>1480</v>
      </c>
      <c r="G294" s="12">
        <f t="shared" si="4"/>
        <v>8</v>
      </c>
    </row>
    <row r="295" spans="1:7" x14ac:dyDescent="0.2">
      <c r="A295" s="5">
        <v>920</v>
      </c>
      <c r="B295" s="5">
        <v>83</v>
      </c>
      <c r="C295" s="8" t="s">
        <v>510</v>
      </c>
      <c r="D295" s="6">
        <v>480</v>
      </c>
      <c r="E295" s="6">
        <v>239</v>
      </c>
      <c r="F295" s="6">
        <v>1912</v>
      </c>
      <c r="G295" s="12">
        <f t="shared" si="4"/>
        <v>8</v>
      </c>
    </row>
    <row r="296" spans="1:7" x14ac:dyDescent="0.2">
      <c r="A296" s="5">
        <v>922</v>
      </c>
      <c r="B296" s="5">
        <v>83</v>
      </c>
      <c r="C296" s="8" t="s">
        <v>510</v>
      </c>
      <c r="D296" s="6">
        <v>480</v>
      </c>
      <c r="E296" s="6">
        <v>185</v>
      </c>
      <c r="F296" s="6">
        <v>1480</v>
      </c>
      <c r="G296" s="12">
        <f t="shared" si="4"/>
        <v>8</v>
      </c>
    </row>
    <row r="297" spans="1:7" x14ac:dyDescent="0.2">
      <c r="A297" s="5">
        <v>924</v>
      </c>
      <c r="B297" s="5">
        <v>83</v>
      </c>
      <c r="C297" s="8" t="s">
        <v>510</v>
      </c>
      <c r="D297" s="6">
        <v>450</v>
      </c>
      <c r="E297" s="6">
        <v>185</v>
      </c>
      <c r="F297" s="6">
        <v>1388</v>
      </c>
      <c r="G297" s="12">
        <f t="shared" si="4"/>
        <v>7.5</v>
      </c>
    </row>
    <row r="298" spans="1:7" x14ac:dyDescent="0.2">
      <c r="A298" s="5">
        <v>926</v>
      </c>
      <c r="B298" s="5">
        <v>83</v>
      </c>
      <c r="C298" s="8" t="s">
        <v>510</v>
      </c>
      <c r="D298" s="6">
        <v>480</v>
      </c>
      <c r="E298" s="6">
        <v>185</v>
      </c>
      <c r="F298" s="6">
        <v>1480</v>
      </c>
      <c r="G298" s="12">
        <f t="shared" si="4"/>
        <v>8</v>
      </c>
    </row>
    <row r="299" spans="1:7" x14ac:dyDescent="0.2">
      <c r="A299" s="5">
        <v>927</v>
      </c>
      <c r="B299" s="5">
        <v>83</v>
      </c>
      <c r="C299" s="8" t="s">
        <v>510</v>
      </c>
      <c r="D299" s="6">
        <v>450</v>
      </c>
      <c r="E299" s="6">
        <v>185</v>
      </c>
      <c r="F299" s="6">
        <v>1388</v>
      </c>
      <c r="G299" s="12">
        <f t="shared" si="4"/>
        <v>7.5</v>
      </c>
    </row>
    <row r="300" spans="1:7" x14ac:dyDescent="0.2">
      <c r="A300" s="5">
        <v>930</v>
      </c>
      <c r="B300" s="5">
        <v>53</v>
      </c>
      <c r="C300" s="8" t="s">
        <v>510</v>
      </c>
      <c r="D300" s="6">
        <v>480</v>
      </c>
      <c r="E300" s="6">
        <v>186</v>
      </c>
      <c r="F300" s="6">
        <v>1488</v>
      </c>
      <c r="G300" s="12">
        <f t="shared" si="4"/>
        <v>8</v>
      </c>
    </row>
    <row r="301" spans="1:7" x14ac:dyDescent="0.2">
      <c r="A301" s="5">
        <v>935</v>
      </c>
      <c r="B301" s="5">
        <v>52</v>
      </c>
      <c r="C301" s="8" t="s">
        <v>510</v>
      </c>
      <c r="D301" s="6">
        <v>450</v>
      </c>
      <c r="E301" s="6">
        <v>183</v>
      </c>
      <c r="F301" s="6">
        <v>1373</v>
      </c>
      <c r="G301" s="12">
        <f t="shared" si="4"/>
        <v>7.5</v>
      </c>
    </row>
    <row r="302" spans="1:7" x14ac:dyDescent="0.2">
      <c r="A302" s="5">
        <v>937</v>
      </c>
      <c r="B302" s="5">
        <v>52</v>
      </c>
      <c r="C302" s="8" t="s">
        <v>510</v>
      </c>
      <c r="D302" s="6">
        <v>450</v>
      </c>
      <c r="E302" s="6">
        <v>183</v>
      </c>
      <c r="F302" s="6">
        <v>1373</v>
      </c>
      <c r="G302" s="12">
        <f t="shared" si="4"/>
        <v>7.5</v>
      </c>
    </row>
    <row r="303" spans="1:7" x14ac:dyDescent="0.2">
      <c r="A303" s="5">
        <v>938</v>
      </c>
      <c r="B303" s="5">
        <v>52</v>
      </c>
      <c r="C303" s="8" t="s">
        <v>510</v>
      </c>
      <c r="D303" s="6">
        <v>450</v>
      </c>
      <c r="E303" s="6">
        <v>183</v>
      </c>
      <c r="F303" s="6">
        <v>1373</v>
      </c>
      <c r="G303" s="12">
        <f t="shared" si="4"/>
        <v>7.5</v>
      </c>
    </row>
    <row r="304" spans="1:7" x14ac:dyDescent="0.2">
      <c r="A304" s="5">
        <v>978</v>
      </c>
      <c r="B304" s="5">
        <v>52</v>
      </c>
      <c r="C304" s="8" t="s">
        <v>510</v>
      </c>
      <c r="D304" s="6">
        <v>450</v>
      </c>
      <c r="E304" s="6">
        <v>184</v>
      </c>
      <c r="F304" s="6">
        <v>1380</v>
      </c>
      <c r="G304" s="12">
        <f t="shared" si="4"/>
        <v>7.5</v>
      </c>
    </row>
    <row r="305" spans="1:7" x14ac:dyDescent="0.2">
      <c r="A305" s="5">
        <v>991</v>
      </c>
      <c r="B305" s="5">
        <v>83</v>
      </c>
      <c r="C305" s="8" t="s">
        <v>510</v>
      </c>
      <c r="D305" s="6">
        <v>480</v>
      </c>
      <c r="E305" s="6">
        <v>175</v>
      </c>
      <c r="F305" s="6">
        <v>1400</v>
      </c>
      <c r="G305" s="12">
        <f t="shared" si="4"/>
        <v>8</v>
      </c>
    </row>
    <row r="306" spans="1:7" x14ac:dyDescent="0.2">
      <c r="A306" s="5">
        <v>993</v>
      </c>
      <c r="B306" s="5">
        <v>52</v>
      </c>
      <c r="C306" s="8" t="s">
        <v>510</v>
      </c>
      <c r="D306" s="6">
        <v>480</v>
      </c>
      <c r="E306" s="6">
        <v>183</v>
      </c>
      <c r="F306" s="6">
        <v>1464</v>
      </c>
      <c r="G306" s="12">
        <f t="shared" si="4"/>
        <v>8</v>
      </c>
    </row>
    <row r="307" spans="1:7" x14ac:dyDescent="0.2">
      <c r="A307" s="5">
        <v>997</v>
      </c>
      <c r="B307" s="5">
        <v>52</v>
      </c>
      <c r="C307" s="8" t="s">
        <v>510</v>
      </c>
      <c r="D307" s="6">
        <v>480</v>
      </c>
      <c r="E307" s="6">
        <v>180</v>
      </c>
      <c r="F307" s="6">
        <v>1440</v>
      </c>
      <c r="G307" s="12">
        <f t="shared" si="4"/>
        <v>8</v>
      </c>
    </row>
    <row r="308" spans="1:7" x14ac:dyDescent="0.2">
      <c r="A308" s="5">
        <v>998</v>
      </c>
      <c r="B308" s="5">
        <v>52</v>
      </c>
      <c r="C308" s="8" t="s">
        <v>510</v>
      </c>
      <c r="D308" s="6">
        <v>450</v>
      </c>
      <c r="E308" s="6">
        <v>182</v>
      </c>
      <c r="F308" s="6">
        <v>1365</v>
      </c>
      <c r="G308" s="12">
        <f t="shared" si="4"/>
        <v>7.5</v>
      </c>
    </row>
    <row r="309" spans="1:7" x14ac:dyDescent="0.2">
      <c r="A309" s="5">
        <v>1000</v>
      </c>
      <c r="B309" s="5">
        <v>70</v>
      </c>
      <c r="C309" s="8" t="s">
        <v>510</v>
      </c>
      <c r="D309" s="6">
        <v>480</v>
      </c>
      <c r="E309" s="6">
        <v>230</v>
      </c>
      <c r="F309" s="6">
        <v>1840</v>
      </c>
      <c r="G309" s="12">
        <f t="shared" si="4"/>
        <v>8</v>
      </c>
    </row>
    <row r="310" spans="1:7" x14ac:dyDescent="0.2">
      <c r="A310" s="5">
        <v>1100</v>
      </c>
      <c r="B310" s="5">
        <v>60</v>
      </c>
      <c r="C310" s="8" t="s">
        <v>510</v>
      </c>
      <c r="D310" s="6">
        <v>260</v>
      </c>
      <c r="E310" s="6">
        <v>480</v>
      </c>
      <c r="F310" s="6">
        <v>2080</v>
      </c>
      <c r="G310" s="12">
        <f t="shared" si="4"/>
        <v>4.333333333333333</v>
      </c>
    </row>
    <row r="311" spans="1:7" x14ac:dyDescent="0.2">
      <c r="A311" s="5">
        <v>2071</v>
      </c>
      <c r="B311" s="5">
        <v>1</v>
      </c>
      <c r="C311" s="8" t="s">
        <v>311</v>
      </c>
      <c r="D311" s="6">
        <v>450</v>
      </c>
      <c r="E311" s="6">
        <v>181</v>
      </c>
      <c r="F311" s="6">
        <v>1358</v>
      </c>
      <c r="G311" s="12">
        <f t="shared" si="4"/>
        <v>7.5</v>
      </c>
    </row>
    <row r="312" spans="1:7" x14ac:dyDescent="0.2">
      <c r="A312" s="5">
        <v>2125</v>
      </c>
      <c r="B312" s="5">
        <v>1</v>
      </c>
      <c r="C312" s="8" t="s">
        <v>312</v>
      </c>
      <c r="D312" s="6">
        <v>450</v>
      </c>
      <c r="E312" s="6">
        <v>186</v>
      </c>
      <c r="F312" s="6">
        <v>1395</v>
      </c>
      <c r="G312" s="12">
        <f t="shared" si="4"/>
        <v>7.5</v>
      </c>
    </row>
    <row r="313" spans="1:7" x14ac:dyDescent="0.2">
      <c r="A313" s="5">
        <v>2134</v>
      </c>
      <c r="B313" s="5">
        <v>1</v>
      </c>
      <c r="C313" s="8" t="s">
        <v>313</v>
      </c>
      <c r="D313" s="6">
        <v>450</v>
      </c>
      <c r="E313" s="6">
        <v>184</v>
      </c>
      <c r="F313" s="6">
        <v>1380</v>
      </c>
      <c r="G313" s="12">
        <f t="shared" si="4"/>
        <v>7.5</v>
      </c>
    </row>
    <row r="314" spans="1:7" x14ac:dyDescent="0.2">
      <c r="A314" s="5">
        <v>2135</v>
      </c>
      <c r="B314" s="5">
        <v>1</v>
      </c>
      <c r="C314" s="8" t="s">
        <v>314</v>
      </c>
      <c r="D314" s="6">
        <v>450</v>
      </c>
      <c r="E314" s="6">
        <v>184</v>
      </c>
      <c r="F314" s="6">
        <v>1380</v>
      </c>
      <c r="G314" s="12">
        <f t="shared" si="4"/>
        <v>7.5</v>
      </c>
    </row>
    <row r="315" spans="1:7" x14ac:dyDescent="0.2">
      <c r="A315" s="5">
        <v>2137</v>
      </c>
      <c r="B315" s="5">
        <v>1</v>
      </c>
      <c r="C315" s="8" t="s">
        <v>315</v>
      </c>
      <c r="D315" s="6">
        <v>480</v>
      </c>
      <c r="E315" s="6">
        <v>183</v>
      </c>
      <c r="F315" s="6">
        <v>1464</v>
      </c>
      <c r="G315" s="12">
        <f t="shared" si="4"/>
        <v>8</v>
      </c>
    </row>
    <row r="316" spans="1:7" x14ac:dyDescent="0.2">
      <c r="A316" s="5">
        <v>2142</v>
      </c>
      <c r="B316" s="5">
        <v>1</v>
      </c>
      <c r="C316" s="8" t="s">
        <v>316</v>
      </c>
      <c r="D316" s="6">
        <v>420</v>
      </c>
      <c r="E316" s="6">
        <v>180</v>
      </c>
      <c r="F316" s="6">
        <v>1260</v>
      </c>
      <c r="G316" s="12">
        <f t="shared" si="4"/>
        <v>7</v>
      </c>
    </row>
    <row r="317" spans="1:7" x14ac:dyDescent="0.2">
      <c r="A317" s="5">
        <v>2143</v>
      </c>
      <c r="B317" s="5">
        <v>1</v>
      </c>
      <c r="C317" s="8" t="s">
        <v>317</v>
      </c>
      <c r="D317" s="6">
        <v>450</v>
      </c>
      <c r="E317" s="6">
        <v>182</v>
      </c>
      <c r="F317" s="6">
        <v>1365</v>
      </c>
      <c r="G317" s="12">
        <f t="shared" si="4"/>
        <v>7.5</v>
      </c>
    </row>
    <row r="318" spans="1:7" x14ac:dyDescent="0.2">
      <c r="A318" s="5">
        <v>2144</v>
      </c>
      <c r="B318" s="5">
        <v>1</v>
      </c>
      <c r="C318" s="8" t="s">
        <v>318</v>
      </c>
      <c r="D318" s="6">
        <v>450</v>
      </c>
      <c r="E318" s="6">
        <v>184</v>
      </c>
      <c r="F318" s="6">
        <v>1380</v>
      </c>
      <c r="G318" s="12">
        <f t="shared" si="4"/>
        <v>7.5</v>
      </c>
    </row>
    <row r="319" spans="1:7" x14ac:dyDescent="0.2">
      <c r="A319" s="5">
        <v>2149</v>
      </c>
      <c r="B319" s="5">
        <v>1</v>
      </c>
      <c r="C319" s="8" t="s">
        <v>319</v>
      </c>
      <c r="D319" s="6">
        <v>450</v>
      </c>
      <c r="E319" s="6">
        <v>183</v>
      </c>
      <c r="F319" s="6">
        <v>1373</v>
      </c>
      <c r="G319" s="12">
        <f t="shared" si="4"/>
        <v>7.5</v>
      </c>
    </row>
    <row r="320" spans="1:7" x14ac:dyDescent="0.2">
      <c r="A320" s="5">
        <v>2154</v>
      </c>
      <c r="B320" s="5">
        <v>1</v>
      </c>
      <c r="C320" s="8" t="s">
        <v>320</v>
      </c>
      <c r="D320" s="6">
        <v>420</v>
      </c>
      <c r="E320" s="6">
        <v>180</v>
      </c>
      <c r="F320" s="6">
        <v>1260</v>
      </c>
      <c r="G320" s="12">
        <f t="shared" si="4"/>
        <v>7</v>
      </c>
    </row>
    <row r="321" spans="1:7" x14ac:dyDescent="0.2">
      <c r="A321" s="5">
        <v>2155</v>
      </c>
      <c r="B321" s="5">
        <v>1</v>
      </c>
      <c r="C321" s="8" t="s">
        <v>321</v>
      </c>
      <c r="D321" s="6">
        <v>420</v>
      </c>
      <c r="E321" s="6">
        <v>184</v>
      </c>
      <c r="F321" s="6">
        <v>1288</v>
      </c>
      <c r="G321" s="12">
        <f t="shared" si="4"/>
        <v>7</v>
      </c>
    </row>
    <row r="322" spans="1:7" x14ac:dyDescent="0.2">
      <c r="A322" s="5">
        <v>2159</v>
      </c>
      <c r="B322" s="5">
        <v>1</v>
      </c>
      <c r="C322" s="8" t="s">
        <v>322</v>
      </c>
      <c r="D322" s="6">
        <v>450</v>
      </c>
      <c r="E322" s="6">
        <v>179</v>
      </c>
      <c r="F322" s="6">
        <v>1343</v>
      </c>
      <c r="G322" s="12">
        <f t="shared" si="4"/>
        <v>7.5</v>
      </c>
    </row>
    <row r="323" spans="1:7" x14ac:dyDescent="0.2">
      <c r="A323" s="5">
        <v>2164</v>
      </c>
      <c r="B323" s="5">
        <v>1</v>
      </c>
      <c r="C323" s="8" t="s">
        <v>323</v>
      </c>
      <c r="D323" s="6">
        <v>435</v>
      </c>
      <c r="E323" s="6">
        <v>180</v>
      </c>
      <c r="F323" s="6">
        <v>1305</v>
      </c>
      <c r="G323" s="12">
        <f t="shared" si="4"/>
        <v>7.25</v>
      </c>
    </row>
    <row r="324" spans="1:7" x14ac:dyDescent="0.2">
      <c r="A324" s="5">
        <v>2165</v>
      </c>
      <c r="B324" s="5">
        <v>1</v>
      </c>
      <c r="C324" s="8" t="s">
        <v>324</v>
      </c>
      <c r="D324" s="6">
        <v>450</v>
      </c>
      <c r="E324" s="6">
        <v>182</v>
      </c>
      <c r="F324" s="6">
        <v>1365</v>
      </c>
      <c r="G324" s="12">
        <f t="shared" si="4"/>
        <v>7.5</v>
      </c>
    </row>
    <row r="325" spans="1:7" x14ac:dyDescent="0.2">
      <c r="A325" s="5">
        <v>2167</v>
      </c>
      <c r="B325" s="5">
        <v>1</v>
      </c>
      <c r="C325" s="8" t="s">
        <v>325</v>
      </c>
      <c r="D325" s="6">
        <v>450</v>
      </c>
      <c r="E325" s="6">
        <v>183</v>
      </c>
      <c r="F325" s="6">
        <v>1373</v>
      </c>
      <c r="G325" s="12">
        <f t="shared" si="4"/>
        <v>7.5</v>
      </c>
    </row>
    <row r="326" spans="1:7" x14ac:dyDescent="0.2">
      <c r="A326" s="5">
        <v>2168</v>
      </c>
      <c r="B326" s="5">
        <v>1</v>
      </c>
      <c r="C326" s="8" t="s">
        <v>326</v>
      </c>
      <c r="D326" s="6">
        <v>450</v>
      </c>
      <c r="E326" s="6">
        <v>182</v>
      </c>
      <c r="F326" s="6">
        <v>1365</v>
      </c>
      <c r="G326" s="12">
        <f t="shared" si="4"/>
        <v>7.5</v>
      </c>
    </row>
    <row r="327" spans="1:7" x14ac:dyDescent="0.2">
      <c r="A327" s="5">
        <v>2169</v>
      </c>
      <c r="B327" s="5">
        <v>1</v>
      </c>
      <c r="C327" s="8" t="s">
        <v>327</v>
      </c>
      <c r="D327" s="6">
        <v>415</v>
      </c>
      <c r="E327" s="6">
        <v>182</v>
      </c>
      <c r="F327" s="6">
        <v>1259</v>
      </c>
      <c r="G327" s="12">
        <f t="shared" si="4"/>
        <v>6.916666666666667</v>
      </c>
    </row>
    <row r="328" spans="1:7" x14ac:dyDescent="0.2">
      <c r="A328" s="5">
        <v>2170</v>
      </c>
      <c r="B328" s="5">
        <v>1</v>
      </c>
      <c r="C328" s="8" t="s">
        <v>328</v>
      </c>
      <c r="D328" s="6">
        <v>450</v>
      </c>
      <c r="E328" s="6">
        <v>180</v>
      </c>
      <c r="F328" s="6">
        <v>1350</v>
      </c>
      <c r="G328" s="12">
        <f t="shared" si="4"/>
        <v>7.5</v>
      </c>
    </row>
    <row r="329" spans="1:7" x14ac:dyDescent="0.2">
      <c r="A329" s="5">
        <v>2171</v>
      </c>
      <c r="B329" s="5">
        <v>1</v>
      </c>
      <c r="C329" s="8" t="s">
        <v>329</v>
      </c>
      <c r="D329" s="6">
        <v>450</v>
      </c>
      <c r="E329" s="6">
        <v>180</v>
      </c>
      <c r="F329" s="6">
        <v>1350</v>
      </c>
      <c r="G329" s="12">
        <f t="shared" si="4"/>
        <v>7.5</v>
      </c>
    </row>
    <row r="330" spans="1:7" x14ac:dyDescent="0.2">
      <c r="A330" s="5">
        <v>2172</v>
      </c>
      <c r="B330" s="5">
        <v>1</v>
      </c>
      <c r="C330" s="8" t="s">
        <v>330</v>
      </c>
      <c r="D330" s="6">
        <v>480</v>
      </c>
      <c r="E330" s="6">
        <v>184</v>
      </c>
      <c r="F330" s="6">
        <v>1472</v>
      </c>
      <c r="G330" s="12">
        <f t="shared" si="4"/>
        <v>8</v>
      </c>
    </row>
    <row r="331" spans="1:7" x14ac:dyDescent="0.2">
      <c r="A331" s="5">
        <v>2174</v>
      </c>
      <c r="B331" s="5">
        <v>1</v>
      </c>
      <c r="C331" s="8" t="s">
        <v>331</v>
      </c>
      <c r="D331" s="6">
        <v>440</v>
      </c>
      <c r="E331" s="6">
        <v>182</v>
      </c>
      <c r="F331" s="6">
        <v>1335</v>
      </c>
      <c r="G331" s="12">
        <f t="shared" si="4"/>
        <v>7.333333333333333</v>
      </c>
    </row>
    <row r="332" spans="1:7" x14ac:dyDescent="0.2">
      <c r="A332" s="5">
        <v>2176</v>
      </c>
      <c r="B332" s="5">
        <v>1</v>
      </c>
      <c r="C332" s="8" t="s">
        <v>332</v>
      </c>
      <c r="D332" s="6">
        <v>450</v>
      </c>
      <c r="E332" s="6">
        <v>170</v>
      </c>
      <c r="F332" s="6">
        <v>1275</v>
      </c>
      <c r="G332" s="12">
        <f t="shared" ref="G332:G395" si="5">D332/60</f>
        <v>7.5</v>
      </c>
    </row>
    <row r="333" spans="1:7" x14ac:dyDescent="0.2">
      <c r="A333" s="5">
        <v>2180</v>
      </c>
      <c r="B333" s="5">
        <v>1</v>
      </c>
      <c r="C333" s="8" t="s">
        <v>333</v>
      </c>
      <c r="D333" s="6">
        <v>480</v>
      </c>
      <c r="E333" s="6">
        <v>181</v>
      </c>
      <c r="F333" s="6">
        <v>1448</v>
      </c>
      <c r="G333" s="12">
        <f t="shared" si="5"/>
        <v>8</v>
      </c>
    </row>
    <row r="334" spans="1:7" x14ac:dyDescent="0.2">
      <c r="A334" s="5">
        <v>2184</v>
      </c>
      <c r="B334" s="5">
        <v>1</v>
      </c>
      <c r="C334" s="8" t="s">
        <v>334</v>
      </c>
      <c r="D334" s="6">
        <v>450</v>
      </c>
      <c r="E334" s="6">
        <v>182</v>
      </c>
      <c r="F334" s="6">
        <v>1365</v>
      </c>
      <c r="G334" s="12">
        <f t="shared" si="5"/>
        <v>7.5</v>
      </c>
    </row>
    <row r="335" spans="1:7" x14ac:dyDescent="0.2">
      <c r="A335" s="5">
        <v>2190</v>
      </c>
      <c r="B335" s="5">
        <v>1</v>
      </c>
      <c r="C335" s="8" t="s">
        <v>335</v>
      </c>
      <c r="D335" s="6">
        <v>450</v>
      </c>
      <c r="E335" s="6">
        <v>184</v>
      </c>
      <c r="F335" s="6">
        <v>1380</v>
      </c>
      <c r="G335" s="12">
        <f t="shared" si="5"/>
        <v>7.5</v>
      </c>
    </row>
    <row r="336" spans="1:7" x14ac:dyDescent="0.2">
      <c r="A336" s="5">
        <v>2198</v>
      </c>
      <c r="B336" s="5">
        <v>1</v>
      </c>
      <c r="C336" s="8" t="s">
        <v>336</v>
      </c>
      <c r="D336" s="6">
        <v>480</v>
      </c>
      <c r="E336" s="6">
        <v>183</v>
      </c>
      <c r="F336" s="6">
        <v>1464</v>
      </c>
      <c r="G336" s="12">
        <f t="shared" si="5"/>
        <v>8</v>
      </c>
    </row>
    <row r="337" spans="1:7" x14ac:dyDescent="0.2">
      <c r="A337" s="5">
        <v>2215</v>
      </c>
      <c r="B337" s="5">
        <v>1</v>
      </c>
      <c r="C337" s="8" t="s">
        <v>337</v>
      </c>
      <c r="D337" s="6">
        <v>450</v>
      </c>
      <c r="E337" s="6">
        <v>179</v>
      </c>
      <c r="F337" s="6">
        <v>1343</v>
      </c>
      <c r="G337" s="12">
        <f t="shared" si="5"/>
        <v>7.5</v>
      </c>
    </row>
    <row r="338" spans="1:7" x14ac:dyDescent="0.2">
      <c r="A338" s="5">
        <v>2310</v>
      </c>
      <c r="B338" s="5">
        <v>1</v>
      </c>
      <c r="C338" s="8" t="s">
        <v>338</v>
      </c>
      <c r="D338" s="6">
        <v>480</v>
      </c>
      <c r="E338" s="6">
        <v>182</v>
      </c>
      <c r="F338" s="6">
        <v>1456</v>
      </c>
      <c r="G338" s="12">
        <f t="shared" si="5"/>
        <v>8</v>
      </c>
    </row>
    <row r="339" spans="1:7" x14ac:dyDescent="0.2">
      <c r="A339" s="5">
        <v>2311</v>
      </c>
      <c r="B339" s="5">
        <v>1</v>
      </c>
      <c r="C339" s="8" t="s">
        <v>339</v>
      </c>
      <c r="D339" s="6">
        <v>450</v>
      </c>
      <c r="E339" s="6">
        <v>177</v>
      </c>
      <c r="F339" s="6">
        <v>1328</v>
      </c>
      <c r="G339" s="12">
        <f t="shared" si="5"/>
        <v>7.5</v>
      </c>
    </row>
    <row r="340" spans="1:7" x14ac:dyDescent="0.2">
      <c r="A340" s="5">
        <v>2342</v>
      </c>
      <c r="B340" s="5">
        <v>1</v>
      </c>
      <c r="C340" s="8" t="s">
        <v>340</v>
      </c>
      <c r="D340" s="6">
        <v>450</v>
      </c>
      <c r="E340" s="6">
        <v>182</v>
      </c>
      <c r="F340" s="6">
        <v>1365</v>
      </c>
      <c r="G340" s="12">
        <f t="shared" si="5"/>
        <v>7.5</v>
      </c>
    </row>
    <row r="341" spans="1:7" x14ac:dyDescent="0.2">
      <c r="A341" s="5">
        <v>2358</v>
      </c>
      <c r="B341" s="5">
        <v>1</v>
      </c>
      <c r="C341" s="8" t="s">
        <v>341</v>
      </c>
      <c r="D341" s="6">
        <v>450</v>
      </c>
      <c r="E341" s="6">
        <v>182</v>
      </c>
      <c r="F341" s="6">
        <v>1365</v>
      </c>
      <c r="G341" s="12">
        <f t="shared" si="5"/>
        <v>7.5</v>
      </c>
    </row>
    <row r="342" spans="1:7" x14ac:dyDescent="0.2">
      <c r="A342" s="5">
        <v>2364</v>
      </c>
      <c r="B342" s="5">
        <v>1</v>
      </c>
      <c r="C342" s="8" t="s">
        <v>342</v>
      </c>
      <c r="D342" s="6">
        <v>420</v>
      </c>
      <c r="E342" s="6">
        <v>182</v>
      </c>
      <c r="F342" s="6">
        <v>1274</v>
      </c>
      <c r="G342" s="12">
        <f t="shared" si="5"/>
        <v>7</v>
      </c>
    </row>
    <row r="343" spans="1:7" x14ac:dyDescent="0.2">
      <c r="A343" s="5">
        <v>2365</v>
      </c>
      <c r="B343" s="5">
        <v>1</v>
      </c>
      <c r="C343" s="8" t="s">
        <v>343</v>
      </c>
      <c r="D343" s="6">
        <v>480</v>
      </c>
      <c r="E343" s="6">
        <v>185</v>
      </c>
      <c r="F343" s="6">
        <v>1480</v>
      </c>
      <c r="G343" s="12">
        <f t="shared" si="5"/>
        <v>8</v>
      </c>
    </row>
    <row r="344" spans="1:7" x14ac:dyDescent="0.2">
      <c r="A344" s="5">
        <v>2396</v>
      </c>
      <c r="B344" s="5">
        <v>1</v>
      </c>
      <c r="C344" s="8" t="s">
        <v>344</v>
      </c>
      <c r="D344" s="6">
        <v>465</v>
      </c>
      <c r="E344" s="6">
        <v>180</v>
      </c>
      <c r="F344" s="6">
        <v>1395</v>
      </c>
      <c r="G344" s="12">
        <f t="shared" si="5"/>
        <v>7.75</v>
      </c>
    </row>
    <row r="345" spans="1:7" x14ac:dyDescent="0.2">
      <c r="A345" s="5">
        <v>2397</v>
      </c>
      <c r="B345" s="5">
        <v>1</v>
      </c>
      <c r="C345" s="8" t="s">
        <v>345</v>
      </c>
      <c r="D345" s="6">
        <v>450</v>
      </c>
      <c r="E345" s="6">
        <v>184</v>
      </c>
      <c r="F345" s="6">
        <v>1380</v>
      </c>
      <c r="G345" s="12">
        <f t="shared" si="5"/>
        <v>7.5</v>
      </c>
    </row>
    <row r="346" spans="1:7" x14ac:dyDescent="0.2">
      <c r="A346" s="5">
        <v>2448</v>
      </c>
      <c r="B346" s="5">
        <v>1</v>
      </c>
      <c r="C346" s="8" t="s">
        <v>346</v>
      </c>
      <c r="D346" s="6">
        <v>450</v>
      </c>
      <c r="E346" s="6">
        <v>181</v>
      </c>
      <c r="F346" s="6">
        <v>1358</v>
      </c>
      <c r="G346" s="12">
        <f t="shared" si="5"/>
        <v>7.5</v>
      </c>
    </row>
    <row r="347" spans="1:7" x14ac:dyDescent="0.2">
      <c r="A347" s="5">
        <v>2527</v>
      </c>
      <c r="B347" s="5">
        <v>1</v>
      </c>
      <c r="C347" s="8" t="s">
        <v>347</v>
      </c>
      <c r="D347" s="6">
        <v>480</v>
      </c>
      <c r="E347" s="6">
        <v>179</v>
      </c>
      <c r="F347" s="6">
        <v>1432</v>
      </c>
      <c r="G347" s="12">
        <f t="shared" si="5"/>
        <v>8</v>
      </c>
    </row>
    <row r="348" spans="1:7" x14ac:dyDescent="0.2">
      <c r="A348" s="5">
        <v>2534</v>
      </c>
      <c r="B348" s="5">
        <v>1</v>
      </c>
      <c r="C348" s="8" t="s">
        <v>348</v>
      </c>
      <c r="D348" s="6">
        <v>480</v>
      </c>
      <c r="E348" s="6">
        <v>181</v>
      </c>
      <c r="F348" s="6">
        <v>1448</v>
      </c>
      <c r="G348" s="12">
        <f t="shared" si="5"/>
        <v>8</v>
      </c>
    </row>
    <row r="349" spans="1:7" x14ac:dyDescent="0.2">
      <c r="A349" s="5">
        <v>2536</v>
      </c>
      <c r="B349" s="5">
        <v>1</v>
      </c>
      <c r="C349" s="8" t="s">
        <v>349</v>
      </c>
      <c r="D349" s="6">
        <v>450</v>
      </c>
      <c r="E349" s="6">
        <v>180</v>
      </c>
      <c r="F349" s="6">
        <v>1350</v>
      </c>
      <c r="G349" s="12">
        <f t="shared" si="5"/>
        <v>7.5</v>
      </c>
    </row>
    <row r="350" spans="1:7" x14ac:dyDescent="0.2">
      <c r="A350" s="5">
        <v>2580</v>
      </c>
      <c r="B350" s="5">
        <v>1</v>
      </c>
      <c r="C350" s="8" t="s">
        <v>350</v>
      </c>
      <c r="D350" s="6">
        <v>465</v>
      </c>
      <c r="E350" s="6">
        <v>180</v>
      </c>
      <c r="F350" s="6">
        <v>1395</v>
      </c>
      <c r="G350" s="12">
        <f t="shared" si="5"/>
        <v>7.75</v>
      </c>
    </row>
    <row r="351" spans="1:7" x14ac:dyDescent="0.2">
      <c r="A351" s="5">
        <v>2609</v>
      </c>
      <c r="B351" s="5">
        <v>1</v>
      </c>
      <c r="C351" s="8" t="s">
        <v>351</v>
      </c>
      <c r="D351" s="6">
        <v>425</v>
      </c>
      <c r="E351" s="6">
        <v>180</v>
      </c>
      <c r="F351" s="6">
        <v>1275</v>
      </c>
      <c r="G351" s="12">
        <f t="shared" si="5"/>
        <v>7.083333333333333</v>
      </c>
    </row>
    <row r="352" spans="1:7" x14ac:dyDescent="0.2">
      <c r="A352" s="5">
        <v>2683</v>
      </c>
      <c r="B352" s="5">
        <v>1</v>
      </c>
      <c r="C352" s="8" t="s">
        <v>352</v>
      </c>
      <c r="D352" s="6">
        <v>445</v>
      </c>
      <c r="E352" s="6">
        <v>182</v>
      </c>
      <c r="F352" s="6">
        <v>1350</v>
      </c>
      <c r="G352" s="12">
        <f t="shared" si="5"/>
        <v>7.416666666666667</v>
      </c>
    </row>
    <row r="353" spans="1:7" x14ac:dyDescent="0.2">
      <c r="A353" s="5">
        <v>2687</v>
      </c>
      <c r="B353" s="5">
        <v>1</v>
      </c>
      <c r="C353" s="8" t="s">
        <v>353</v>
      </c>
      <c r="D353" s="6">
        <v>480</v>
      </c>
      <c r="E353" s="6">
        <v>184</v>
      </c>
      <c r="F353" s="6">
        <v>1472</v>
      </c>
      <c r="G353" s="12">
        <f t="shared" si="5"/>
        <v>8</v>
      </c>
    </row>
    <row r="354" spans="1:7" x14ac:dyDescent="0.2">
      <c r="A354" s="5">
        <v>2689</v>
      </c>
      <c r="B354" s="5">
        <v>1</v>
      </c>
      <c r="C354" s="8" t="s">
        <v>354</v>
      </c>
      <c r="D354" s="6">
        <v>450</v>
      </c>
      <c r="E354" s="6">
        <v>181</v>
      </c>
      <c r="F354" s="6">
        <v>1358</v>
      </c>
      <c r="G354" s="12">
        <f t="shared" si="5"/>
        <v>7.5</v>
      </c>
    </row>
    <row r="355" spans="1:7" x14ac:dyDescent="0.2">
      <c r="A355" s="5">
        <v>2711</v>
      </c>
      <c r="B355" s="5">
        <v>1</v>
      </c>
      <c r="C355" s="8" t="s">
        <v>355</v>
      </c>
      <c r="D355" s="6">
        <v>420</v>
      </c>
      <c r="E355" s="6">
        <v>180</v>
      </c>
      <c r="F355" s="6">
        <v>1260</v>
      </c>
      <c r="G355" s="12">
        <f t="shared" si="5"/>
        <v>7</v>
      </c>
    </row>
    <row r="356" spans="1:7" x14ac:dyDescent="0.2">
      <c r="A356" s="5">
        <v>2752</v>
      </c>
      <c r="B356" s="5">
        <v>1</v>
      </c>
      <c r="C356" s="8" t="s">
        <v>356</v>
      </c>
      <c r="D356" s="6">
        <v>450</v>
      </c>
      <c r="E356" s="6">
        <v>182</v>
      </c>
      <c r="F356" s="6">
        <v>1365</v>
      </c>
      <c r="G356" s="12">
        <f t="shared" si="5"/>
        <v>7.5</v>
      </c>
    </row>
    <row r="357" spans="1:7" x14ac:dyDescent="0.2">
      <c r="A357" s="5">
        <v>2753</v>
      </c>
      <c r="B357" s="5">
        <v>1</v>
      </c>
      <c r="C357" s="8" t="s">
        <v>357</v>
      </c>
      <c r="D357" s="6">
        <v>450</v>
      </c>
      <c r="E357" s="6">
        <v>185</v>
      </c>
      <c r="F357" s="6">
        <v>1388</v>
      </c>
      <c r="G357" s="12">
        <f t="shared" si="5"/>
        <v>7.5</v>
      </c>
    </row>
    <row r="358" spans="1:7" x14ac:dyDescent="0.2">
      <c r="A358" s="5">
        <v>2754</v>
      </c>
      <c r="B358" s="5">
        <v>1</v>
      </c>
      <c r="C358" s="8" t="s">
        <v>358</v>
      </c>
      <c r="D358" s="6">
        <v>455</v>
      </c>
      <c r="E358" s="6">
        <v>182</v>
      </c>
      <c r="F358" s="6">
        <v>1380</v>
      </c>
      <c r="G358" s="12">
        <f t="shared" si="5"/>
        <v>7.583333333333333</v>
      </c>
    </row>
    <row r="359" spans="1:7" x14ac:dyDescent="0.2">
      <c r="A359" s="5">
        <v>2759</v>
      </c>
      <c r="B359" s="5">
        <v>1</v>
      </c>
      <c r="C359" s="8" t="s">
        <v>359</v>
      </c>
      <c r="D359" s="6">
        <v>445</v>
      </c>
      <c r="E359" s="6">
        <v>178</v>
      </c>
      <c r="F359" s="6">
        <v>1320</v>
      </c>
      <c r="G359" s="12">
        <f t="shared" si="5"/>
        <v>7.416666666666667</v>
      </c>
    </row>
    <row r="360" spans="1:7" x14ac:dyDescent="0.2">
      <c r="A360" s="5">
        <v>2805</v>
      </c>
      <c r="B360" s="5">
        <v>1</v>
      </c>
      <c r="C360" s="8" t="s">
        <v>360</v>
      </c>
      <c r="D360" s="6">
        <v>450</v>
      </c>
      <c r="E360" s="6">
        <v>184</v>
      </c>
      <c r="F360" s="6">
        <v>1380</v>
      </c>
      <c r="G360" s="12">
        <f t="shared" si="5"/>
        <v>7.5</v>
      </c>
    </row>
    <row r="361" spans="1:7" x14ac:dyDescent="0.2">
      <c r="A361" s="5">
        <v>2835</v>
      </c>
      <c r="B361" s="5">
        <v>1</v>
      </c>
      <c r="C361" s="8" t="s">
        <v>361</v>
      </c>
      <c r="D361" s="6">
        <v>450</v>
      </c>
      <c r="E361" s="6">
        <v>183</v>
      </c>
      <c r="F361" s="6">
        <v>1373</v>
      </c>
      <c r="G361" s="12">
        <f t="shared" si="5"/>
        <v>7.5</v>
      </c>
    </row>
    <row r="362" spans="1:7" x14ac:dyDescent="0.2">
      <c r="A362" s="5">
        <v>2853</v>
      </c>
      <c r="B362" s="5">
        <v>1</v>
      </c>
      <c r="C362" s="8" t="s">
        <v>362</v>
      </c>
      <c r="D362" s="6">
        <v>450</v>
      </c>
      <c r="E362" s="6">
        <v>185</v>
      </c>
      <c r="F362" s="6">
        <v>1388</v>
      </c>
      <c r="G362" s="12">
        <f t="shared" si="5"/>
        <v>7.5</v>
      </c>
    </row>
    <row r="363" spans="1:7" x14ac:dyDescent="0.2">
      <c r="A363" s="5">
        <v>2854</v>
      </c>
      <c r="B363" s="5">
        <v>1</v>
      </c>
      <c r="C363" s="8" t="s">
        <v>363</v>
      </c>
      <c r="D363" s="6">
        <v>440</v>
      </c>
      <c r="E363" s="6">
        <v>180</v>
      </c>
      <c r="F363" s="6">
        <v>1320</v>
      </c>
      <c r="G363" s="12">
        <f t="shared" si="5"/>
        <v>7.333333333333333</v>
      </c>
    </row>
    <row r="364" spans="1:7" x14ac:dyDescent="0.2">
      <c r="A364" s="5">
        <v>2856</v>
      </c>
      <c r="B364" s="5">
        <v>1</v>
      </c>
      <c r="C364" s="8" t="s">
        <v>364</v>
      </c>
      <c r="D364" s="6">
        <v>480</v>
      </c>
      <c r="E364" s="6">
        <v>182</v>
      </c>
      <c r="F364" s="6">
        <v>1456</v>
      </c>
      <c r="G364" s="12">
        <f t="shared" si="5"/>
        <v>8</v>
      </c>
    </row>
    <row r="365" spans="1:7" x14ac:dyDescent="0.2">
      <c r="A365" s="5">
        <v>2859</v>
      </c>
      <c r="B365" s="5">
        <v>1</v>
      </c>
      <c r="C365" s="8" t="s">
        <v>365</v>
      </c>
      <c r="D365" s="6">
        <v>450</v>
      </c>
      <c r="E365" s="6">
        <v>182</v>
      </c>
      <c r="F365" s="6">
        <v>1365</v>
      </c>
      <c r="G365" s="12">
        <f t="shared" si="5"/>
        <v>7.5</v>
      </c>
    </row>
    <row r="366" spans="1:7" x14ac:dyDescent="0.2">
      <c r="A366" s="5">
        <v>2860</v>
      </c>
      <c r="B366" s="5">
        <v>1</v>
      </c>
      <c r="C366" s="8" t="s">
        <v>366</v>
      </c>
      <c r="D366" s="6">
        <v>450</v>
      </c>
      <c r="E366" s="6">
        <v>185</v>
      </c>
      <c r="F366" s="6">
        <v>1388</v>
      </c>
      <c r="G366" s="12">
        <f t="shared" si="5"/>
        <v>7.5</v>
      </c>
    </row>
    <row r="367" spans="1:7" x14ac:dyDescent="0.2">
      <c r="A367" s="5">
        <v>2884</v>
      </c>
      <c r="B367" s="5">
        <v>1</v>
      </c>
      <c r="C367" s="8" t="s">
        <v>367</v>
      </c>
      <c r="D367" s="6">
        <v>452</v>
      </c>
      <c r="E367" s="6">
        <v>183</v>
      </c>
      <c r="F367" s="6">
        <v>1379</v>
      </c>
      <c r="G367" s="12">
        <f t="shared" si="5"/>
        <v>7.5333333333333332</v>
      </c>
    </row>
    <row r="368" spans="1:7" x14ac:dyDescent="0.2">
      <c r="A368" s="5">
        <v>2886</v>
      </c>
      <c r="B368" s="5">
        <v>1</v>
      </c>
      <c r="C368" s="8" t="s">
        <v>368</v>
      </c>
      <c r="D368" s="6">
        <v>420</v>
      </c>
      <c r="E368" s="6">
        <v>185</v>
      </c>
      <c r="F368" s="6">
        <v>1295</v>
      </c>
      <c r="G368" s="12">
        <f t="shared" si="5"/>
        <v>7</v>
      </c>
    </row>
    <row r="369" spans="1:7" x14ac:dyDescent="0.2">
      <c r="A369" s="5">
        <v>2887</v>
      </c>
      <c r="B369" s="5">
        <v>1</v>
      </c>
      <c r="C369" s="8" t="s">
        <v>369</v>
      </c>
      <c r="D369" s="6">
        <v>450</v>
      </c>
      <c r="E369" s="6">
        <v>182</v>
      </c>
      <c r="F369" s="6">
        <v>1365</v>
      </c>
      <c r="G369" s="12">
        <f t="shared" si="5"/>
        <v>7.5</v>
      </c>
    </row>
    <row r="370" spans="1:7" x14ac:dyDescent="0.2">
      <c r="A370" s="5">
        <v>2888</v>
      </c>
      <c r="B370" s="5">
        <v>1</v>
      </c>
      <c r="C370" s="8" t="s">
        <v>370</v>
      </c>
      <c r="D370" s="6">
        <v>450</v>
      </c>
      <c r="E370" s="6">
        <v>179</v>
      </c>
      <c r="F370" s="6">
        <v>1343</v>
      </c>
      <c r="G370" s="12">
        <f t="shared" si="5"/>
        <v>7.5</v>
      </c>
    </row>
    <row r="371" spans="1:7" x14ac:dyDescent="0.2">
      <c r="A371" s="5">
        <v>2889</v>
      </c>
      <c r="B371" s="5">
        <v>1</v>
      </c>
      <c r="C371" s="8" t="s">
        <v>371</v>
      </c>
      <c r="D371" s="6">
        <v>450</v>
      </c>
      <c r="E371" s="6">
        <v>182</v>
      </c>
      <c r="F371" s="6">
        <v>1365</v>
      </c>
      <c r="G371" s="12">
        <f t="shared" si="5"/>
        <v>7.5</v>
      </c>
    </row>
    <row r="372" spans="1:7" x14ac:dyDescent="0.2">
      <c r="A372" s="5">
        <v>2890</v>
      </c>
      <c r="B372" s="5">
        <v>1</v>
      </c>
      <c r="C372" s="8" t="s">
        <v>372</v>
      </c>
      <c r="D372" s="6">
        <v>450</v>
      </c>
      <c r="E372" s="6">
        <v>183</v>
      </c>
      <c r="F372" s="6">
        <v>1373</v>
      </c>
      <c r="G372" s="12">
        <f t="shared" si="5"/>
        <v>7.5</v>
      </c>
    </row>
    <row r="373" spans="1:7" x14ac:dyDescent="0.2">
      <c r="A373" s="5">
        <v>2895</v>
      </c>
      <c r="B373" s="5">
        <v>1</v>
      </c>
      <c r="C373" s="8" t="s">
        <v>373</v>
      </c>
      <c r="D373" s="6">
        <v>450</v>
      </c>
      <c r="E373" s="6">
        <v>180</v>
      </c>
      <c r="F373" s="6">
        <v>1350</v>
      </c>
      <c r="G373" s="12">
        <f t="shared" si="5"/>
        <v>7.5</v>
      </c>
    </row>
    <row r="374" spans="1:7" x14ac:dyDescent="0.2">
      <c r="A374" s="5">
        <v>2897</v>
      </c>
      <c r="B374" s="5">
        <v>1</v>
      </c>
      <c r="C374" s="8" t="s">
        <v>374</v>
      </c>
      <c r="D374" s="6">
        <v>450</v>
      </c>
      <c r="E374" s="6">
        <v>184</v>
      </c>
      <c r="F374" s="6">
        <v>1380</v>
      </c>
      <c r="G374" s="12">
        <f t="shared" si="5"/>
        <v>7.5</v>
      </c>
    </row>
    <row r="375" spans="1:7" x14ac:dyDescent="0.2">
      <c r="A375" s="5">
        <v>2898</v>
      </c>
      <c r="B375" s="5">
        <v>1</v>
      </c>
      <c r="C375" s="8" t="s">
        <v>375</v>
      </c>
      <c r="D375" s="6">
        <v>450</v>
      </c>
      <c r="E375" s="6">
        <v>182</v>
      </c>
      <c r="F375" s="6">
        <v>1365</v>
      </c>
      <c r="G375" s="12">
        <f t="shared" si="5"/>
        <v>7.5</v>
      </c>
    </row>
    <row r="376" spans="1:7" x14ac:dyDescent="0.2">
      <c r="A376" s="5">
        <v>2899</v>
      </c>
      <c r="B376" s="5">
        <v>1</v>
      </c>
      <c r="C376" s="8" t="s">
        <v>376</v>
      </c>
      <c r="D376" s="6">
        <v>480</v>
      </c>
      <c r="E376" s="6">
        <v>183</v>
      </c>
      <c r="F376" s="6">
        <v>1464</v>
      </c>
      <c r="G376" s="12">
        <f t="shared" si="5"/>
        <v>8</v>
      </c>
    </row>
    <row r="377" spans="1:7" x14ac:dyDescent="0.2">
      <c r="A377" s="5">
        <v>2902</v>
      </c>
      <c r="B377" s="5">
        <v>1</v>
      </c>
      <c r="C377" s="8" t="s">
        <v>377</v>
      </c>
      <c r="D377" s="6">
        <v>395</v>
      </c>
      <c r="E377" s="6">
        <v>174</v>
      </c>
      <c r="F377" s="6">
        <v>1146</v>
      </c>
      <c r="G377" s="12">
        <f t="shared" si="5"/>
        <v>6.583333333333333</v>
      </c>
    </row>
    <row r="378" spans="1:7" x14ac:dyDescent="0.2">
      <c r="A378" s="5">
        <v>4000</v>
      </c>
      <c r="B378" s="5">
        <v>7</v>
      </c>
      <c r="C378" s="8" t="s">
        <v>378</v>
      </c>
      <c r="D378" s="6">
        <v>360</v>
      </c>
      <c r="E378" s="6">
        <v>187</v>
      </c>
      <c r="F378" s="6">
        <v>1122</v>
      </c>
      <c r="G378" s="12">
        <f t="shared" si="5"/>
        <v>6</v>
      </c>
    </row>
    <row r="379" spans="1:7" x14ac:dyDescent="0.2">
      <c r="A379" s="5">
        <v>4001</v>
      </c>
      <c r="B379" s="5">
        <v>7</v>
      </c>
      <c r="C379" s="8" t="s">
        <v>379</v>
      </c>
      <c r="D379" s="6">
        <v>480</v>
      </c>
      <c r="E379" s="6">
        <v>180</v>
      </c>
      <c r="F379" s="6">
        <v>1440</v>
      </c>
      <c r="G379" s="12">
        <f t="shared" si="5"/>
        <v>8</v>
      </c>
    </row>
    <row r="380" spans="1:7" x14ac:dyDescent="0.2">
      <c r="A380" s="5">
        <v>4003</v>
      </c>
      <c r="B380" s="5">
        <v>7</v>
      </c>
      <c r="C380" s="8" t="s">
        <v>380</v>
      </c>
      <c r="D380" s="6">
        <v>450</v>
      </c>
      <c r="E380" s="6">
        <v>186</v>
      </c>
      <c r="F380" s="6">
        <v>1395</v>
      </c>
      <c r="G380" s="12">
        <f t="shared" si="5"/>
        <v>7.5</v>
      </c>
    </row>
    <row r="381" spans="1:7" x14ac:dyDescent="0.2">
      <c r="A381" s="5">
        <v>4004</v>
      </c>
      <c r="B381" s="5">
        <v>7</v>
      </c>
      <c r="C381" s="8" t="s">
        <v>381</v>
      </c>
      <c r="D381" s="6">
        <v>480</v>
      </c>
      <c r="E381" s="6">
        <v>210</v>
      </c>
      <c r="F381" s="6">
        <v>1680</v>
      </c>
      <c r="G381" s="12">
        <f t="shared" si="5"/>
        <v>8</v>
      </c>
    </row>
    <row r="382" spans="1:7" x14ac:dyDescent="0.2">
      <c r="A382" s="5">
        <v>4005</v>
      </c>
      <c r="B382" s="5">
        <v>7</v>
      </c>
      <c r="C382" s="8" t="s">
        <v>382</v>
      </c>
      <c r="D382" s="6">
        <v>375</v>
      </c>
      <c r="E382" s="6">
        <v>186</v>
      </c>
      <c r="F382" s="6">
        <v>1163</v>
      </c>
      <c r="G382" s="12">
        <f t="shared" si="5"/>
        <v>6.25</v>
      </c>
    </row>
    <row r="383" spans="1:7" x14ac:dyDescent="0.2">
      <c r="A383" s="5">
        <v>4006</v>
      </c>
      <c r="B383" s="5">
        <v>7</v>
      </c>
      <c r="C383" s="8" t="s">
        <v>383</v>
      </c>
      <c r="D383" s="6">
        <v>360</v>
      </c>
      <c r="E383" s="6">
        <v>195</v>
      </c>
      <c r="F383" s="6">
        <v>1170</v>
      </c>
      <c r="G383" s="12">
        <f t="shared" si="5"/>
        <v>6</v>
      </c>
    </row>
    <row r="384" spans="1:7" x14ac:dyDescent="0.2">
      <c r="A384" s="5">
        <v>4007</v>
      </c>
      <c r="B384" s="5">
        <v>7</v>
      </c>
      <c r="C384" s="8" t="s">
        <v>384</v>
      </c>
      <c r="D384" s="6">
        <v>480</v>
      </c>
      <c r="E384" s="6">
        <v>208</v>
      </c>
      <c r="F384" s="6">
        <v>1664</v>
      </c>
      <c r="G384" s="12">
        <f t="shared" si="5"/>
        <v>8</v>
      </c>
    </row>
    <row r="385" spans="1:7" x14ac:dyDescent="0.2">
      <c r="A385" s="5">
        <v>4008</v>
      </c>
      <c r="B385" s="5">
        <v>7</v>
      </c>
      <c r="C385" s="8" t="s">
        <v>385</v>
      </c>
      <c r="D385" s="6">
        <v>450</v>
      </c>
      <c r="E385" s="6">
        <v>184</v>
      </c>
      <c r="F385" s="6">
        <v>1380</v>
      </c>
      <c r="G385" s="12">
        <f t="shared" si="5"/>
        <v>7.5</v>
      </c>
    </row>
    <row r="386" spans="1:7" x14ac:dyDescent="0.2">
      <c r="A386" s="5">
        <v>4011</v>
      </c>
      <c r="B386" s="5">
        <v>7</v>
      </c>
      <c r="C386" s="8" t="s">
        <v>386</v>
      </c>
      <c r="D386" s="6">
        <v>450</v>
      </c>
      <c r="E386" s="6">
        <v>181</v>
      </c>
      <c r="F386" s="6">
        <v>1358</v>
      </c>
      <c r="G386" s="12">
        <f t="shared" si="5"/>
        <v>7.5</v>
      </c>
    </row>
    <row r="387" spans="1:7" x14ac:dyDescent="0.2">
      <c r="A387" s="5">
        <v>4012</v>
      </c>
      <c r="B387" s="5">
        <v>7</v>
      </c>
      <c r="C387" s="8" t="s">
        <v>387</v>
      </c>
      <c r="D387" s="6">
        <v>415</v>
      </c>
      <c r="E387" s="6">
        <v>175</v>
      </c>
      <c r="F387" s="6">
        <v>1210</v>
      </c>
      <c r="G387" s="12">
        <f t="shared" si="5"/>
        <v>6.916666666666667</v>
      </c>
    </row>
    <row r="388" spans="1:7" x14ac:dyDescent="0.2">
      <c r="A388" s="5">
        <v>4015</v>
      </c>
      <c r="B388" s="5">
        <v>7</v>
      </c>
      <c r="C388" s="8" t="s">
        <v>388</v>
      </c>
      <c r="D388" s="6">
        <v>450</v>
      </c>
      <c r="E388" s="6">
        <v>190</v>
      </c>
      <c r="F388" s="6">
        <v>1425</v>
      </c>
      <c r="G388" s="12">
        <f t="shared" si="5"/>
        <v>7.5</v>
      </c>
    </row>
    <row r="389" spans="1:7" x14ac:dyDescent="0.2">
      <c r="A389" s="5">
        <v>4016</v>
      </c>
      <c r="B389" s="5">
        <v>7</v>
      </c>
      <c r="C389" s="8" t="s">
        <v>389</v>
      </c>
      <c r="D389" s="6">
        <v>390</v>
      </c>
      <c r="E389" s="6">
        <v>185</v>
      </c>
      <c r="F389" s="6">
        <v>1203</v>
      </c>
      <c r="G389" s="12">
        <f t="shared" si="5"/>
        <v>6.5</v>
      </c>
    </row>
    <row r="390" spans="1:7" x14ac:dyDescent="0.2">
      <c r="A390" s="5">
        <v>4017</v>
      </c>
      <c r="B390" s="5">
        <v>7</v>
      </c>
      <c r="C390" s="8" t="s">
        <v>390</v>
      </c>
      <c r="D390" s="6">
        <v>480</v>
      </c>
      <c r="E390" s="6">
        <v>207</v>
      </c>
      <c r="F390" s="6">
        <v>1656</v>
      </c>
      <c r="G390" s="12">
        <f t="shared" si="5"/>
        <v>8</v>
      </c>
    </row>
    <row r="391" spans="1:7" x14ac:dyDescent="0.2">
      <c r="A391" s="5">
        <v>4018</v>
      </c>
      <c r="B391" s="5">
        <v>7</v>
      </c>
      <c r="C391" s="8" t="s">
        <v>391</v>
      </c>
      <c r="D391" s="6">
        <v>480</v>
      </c>
      <c r="E391" s="6">
        <v>189</v>
      </c>
      <c r="F391" s="6">
        <v>1512</v>
      </c>
      <c r="G391" s="12">
        <f t="shared" si="5"/>
        <v>8</v>
      </c>
    </row>
    <row r="392" spans="1:7" x14ac:dyDescent="0.2">
      <c r="A392" s="5">
        <v>4020</v>
      </c>
      <c r="B392" s="5">
        <v>7</v>
      </c>
      <c r="C392" s="8" t="s">
        <v>392</v>
      </c>
      <c r="D392" s="6">
        <v>480</v>
      </c>
      <c r="E392" s="6">
        <v>194</v>
      </c>
      <c r="F392" s="6">
        <v>1552</v>
      </c>
      <c r="G392" s="12">
        <f t="shared" si="5"/>
        <v>8</v>
      </c>
    </row>
    <row r="393" spans="1:7" x14ac:dyDescent="0.2">
      <c r="A393" s="5">
        <v>4025</v>
      </c>
      <c r="B393" s="5">
        <v>7</v>
      </c>
      <c r="C393" s="8" t="s">
        <v>393</v>
      </c>
      <c r="D393" s="6">
        <v>420</v>
      </c>
      <c r="E393" s="6">
        <v>179</v>
      </c>
      <c r="F393" s="6">
        <v>1253</v>
      </c>
      <c r="G393" s="12">
        <f t="shared" si="5"/>
        <v>7</v>
      </c>
    </row>
    <row r="394" spans="1:7" x14ac:dyDescent="0.2">
      <c r="A394" s="5">
        <v>4026</v>
      </c>
      <c r="B394" s="5">
        <v>7</v>
      </c>
      <c r="C394" s="8" t="s">
        <v>394</v>
      </c>
      <c r="D394" s="6">
        <v>450</v>
      </c>
      <c r="E394" s="6">
        <v>175</v>
      </c>
      <c r="F394" s="6">
        <v>1313</v>
      </c>
      <c r="G394" s="12">
        <f t="shared" si="5"/>
        <v>7.5</v>
      </c>
    </row>
    <row r="395" spans="1:7" x14ac:dyDescent="0.2">
      <c r="A395" s="5">
        <v>4027</v>
      </c>
      <c r="B395" s="5">
        <v>7</v>
      </c>
      <c r="C395" s="8" t="s">
        <v>395</v>
      </c>
      <c r="D395" s="6">
        <v>480</v>
      </c>
      <c r="E395" s="6">
        <v>184</v>
      </c>
      <c r="F395" s="6">
        <v>1472</v>
      </c>
      <c r="G395" s="12">
        <f t="shared" si="5"/>
        <v>8</v>
      </c>
    </row>
    <row r="396" spans="1:7" x14ac:dyDescent="0.2">
      <c r="A396" s="5">
        <v>4028</v>
      </c>
      <c r="B396" s="5">
        <v>7</v>
      </c>
      <c r="C396" s="8" t="s">
        <v>396</v>
      </c>
      <c r="D396" s="6">
        <v>300</v>
      </c>
      <c r="E396" s="6">
        <v>170</v>
      </c>
      <c r="F396" s="6">
        <v>850</v>
      </c>
      <c r="G396" s="12">
        <f t="shared" ref="G396:G459" si="6">D396/60</f>
        <v>5</v>
      </c>
    </row>
    <row r="397" spans="1:7" x14ac:dyDescent="0.2">
      <c r="A397" s="5">
        <v>4029</v>
      </c>
      <c r="B397" s="5">
        <v>7</v>
      </c>
      <c r="C397" s="8" t="s">
        <v>397</v>
      </c>
      <c r="D397" s="6">
        <v>480</v>
      </c>
      <c r="E397" s="6">
        <v>186</v>
      </c>
      <c r="F397" s="6">
        <v>1488</v>
      </c>
      <c r="G397" s="12">
        <f t="shared" si="6"/>
        <v>8</v>
      </c>
    </row>
    <row r="398" spans="1:7" x14ac:dyDescent="0.2">
      <c r="A398" s="5">
        <v>4030</v>
      </c>
      <c r="B398" s="5">
        <v>7</v>
      </c>
      <c r="C398" s="8" t="s">
        <v>398</v>
      </c>
      <c r="D398" s="6">
        <v>480</v>
      </c>
      <c r="E398" s="6">
        <v>191</v>
      </c>
      <c r="F398" s="6">
        <v>1528</v>
      </c>
      <c r="G398" s="12">
        <f t="shared" si="6"/>
        <v>8</v>
      </c>
    </row>
    <row r="399" spans="1:7" x14ac:dyDescent="0.2">
      <c r="A399" s="5">
        <v>4031</v>
      </c>
      <c r="B399" s="5">
        <v>7</v>
      </c>
      <c r="C399" s="8" t="s">
        <v>399</v>
      </c>
      <c r="D399" s="6">
        <v>480</v>
      </c>
      <c r="E399" s="6">
        <v>193</v>
      </c>
      <c r="F399" s="6">
        <v>1544</v>
      </c>
      <c r="G399" s="12">
        <f t="shared" si="6"/>
        <v>8</v>
      </c>
    </row>
    <row r="400" spans="1:7" x14ac:dyDescent="0.2">
      <c r="A400" s="5">
        <v>4032</v>
      </c>
      <c r="B400" s="5">
        <v>7</v>
      </c>
      <c r="C400" s="8" t="s">
        <v>400</v>
      </c>
      <c r="D400" s="6">
        <v>510</v>
      </c>
      <c r="E400" s="6">
        <v>180</v>
      </c>
      <c r="F400" s="6">
        <v>1530</v>
      </c>
      <c r="G400" s="12">
        <f t="shared" si="6"/>
        <v>8.5</v>
      </c>
    </row>
    <row r="401" spans="1:7" x14ac:dyDescent="0.2">
      <c r="A401" s="5">
        <v>4035</v>
      </c>
      <c r="B401" s="5">
        <v>7</v>
      </c>
      <c r="C401" s="8" t="s">
        <v>401</v>
      </c>
      <c r="D401" s="6">
        <v>430</v>
      </c>
      <c r="E401" s="6">
        <v>172</v>
      </c>
      <c r="F401" s="6">
        <v>1233</v>
      </c>
      <c r="G401" s="12">
        <f t="shared" si="6"/>
        <v>7.166666666666667</v>
      </c>
    </row>
    <row r="402" spans="1:7" x14ac:dyDescent="0.2">
      <c r="A402" s="5">
        <v>4036</v>
      </c>
      <c r="B402" s="5">
        <v>7</v>
      </c>
      <c r="C402" s="8" t="s">
        <v>402</v>
      </c>
      <c r="D402" s="6">
        <v>480</v>
      </c>
      <c r="E402" s="6">
        <v>204</v>
      </c>
      <c r="F402" s="6">
        <v>1632</v>
      </c>
      <c r="G402" s="12">
        <f t="shared" si="6"/>
        <v>8</v>
      </c>
    </row>
    <row r="403" spans="1:7" x14ac:dyDescent="0.2">
      <c r="A403" s="5">
        <v>4038</v>
      </c>
      <c r="B403" s="5">
        <v>7</v>
      </c>
      <c r="C403" s="8" t="s">
        <v>403</v>
      </c>
      <c r="D403" s="6">
        <v>480</v>
      </c>
      <c r="E403" s="6">
        <v>186</v>
      </c>
      <c r="F403" s="6">
        <v>1488</v>
      </c>
      <c r="G403" s="12">
        <f t="shared" si="6"/>
        <v>8</v>
      </c>
    </row>
    <row r="404" spans="1:7" x14ac:dyDescent="0.2">
      <c r="A404" s="5">
        <v>4039</v>
      </c>
      <c r="B404" s="5">
        <v>7</v>
      </c>
      <c r="C404" s="8" t="s">
        <v>404</v>
      </c>
      <c r="D404" s="6">
        <v>480</v>
      </c>
      <c r="E404" s="6">
        <v>265</v>
      </c>
      <c r="F404" s="6">
        <v>2120</v>
      </c>
      <c r="G404" s="12">
        <f t="shared" si="6"/>
        <v>8</v>
      </c>
    </row>
    <row r="405" spans="1:7" x14ac:dyDescent="0.2">
      <c r="A405" s="5">
        <v>4042</v>
      </c>
      <c r="B405" s="5">
        <v>7</v>
      </c>
      <c r="C405" s="8" t="s">
        <v>405</v>
      </c>
      <c r="D405" s="6">
        <v>386</v>
      </c>
      <c r="E405" s="6">
        <v>176</v>
      </c>
      <c r="F405" s="6">
        <v>1132</v>
      </c>
      <c r="G405" s="12">
        <f t="shared" si="6"/>
        <v>6.4333333333333336</v>
      </c>
    </row>
    <row r="406" spans="1:7" x14ac:dyDescent="0.2">
      <c r="A406" s="5">
        <v>4043</v>
      </c>
      <c r="B406" s="5">
        <v>7</v>
      </c>
      <c r="C406" s="8" t="s">
        <v>406</v>
      </c>
      <c r="D406" s="6">
        <v>365</v>
      </c>
      <c r="E406" s="6">
        <v>178</v>
      </c>
      <c r="F406" s="6">
        <v>1083</v>
      </c>
      <c r="G406" s="12">
        <f t="shared" si="6"/>
        <v>6.083333333333333</v>
      </c>
    </row>
    <row r="407" spans="1:7" x14ac:dyDescent="0.2">
      <c r="A407" s="5">
        <v>4044</v>
      </c>
      <c r="B407" s="5">
        <v>7</v>
      </c>
      <c r="C407" s="8" t="s">
        <v>407</v>
      </c>
      <c r="D407" s="6">
        <v>365</v>
      </c>
      <c r="E407" s="6">
        <v>186</v>
      </c>
      <c r="F407" s="6">
        <v>1132</v>
      </c>
      <c r="G407" s="12">
        <f t="shared" si="6"/>
        <v>6.083333333333333</v>
      </c>
    </row>
    <row r="408" spans="1:7" x14ac:dyDescent="0.2">
      <c r="A408" s="5">
        <v>4045</v>
      </c>
      <c r="B408" s="5">
        <v>7</v>
      </c>
      <c r="C408" s="8" t="s">
        <v>408</v>
      </c>
      <c r="D408" s="6">
        <v>480</v>
      </c>
      <c r="E408" s="6">
        <v>181</v>
      </c>
      <c r="F408" s="6">
        <v>1448</v>
      </c>
      <c r="G408" s="12">
        <f t="shared" si="6"/>
        <v>8</v>
      </c>
    </row>
    <row r="409" spans="1:7" x14ac:dyDescent="0.2">
      <c r="A409" s="5">
        <v>4046</v>
      </c>
      <c r="B409" s="5">
        <v>7</v>
      </c>
      <c r="C409" s="8" t="s">
        <v>409</v>
      </c>
      <c r="D409" s="6">
        <v>290</v>
      </c>
      <c r="E409" s="6">
        <v>170</v>
      </c>
      <c r="F409" s="6">
        <v>822</v>
      </c>
      <c r="G409" s="12">
        <f t="shared" si="6"/>
        <v>4.833333333333333</v>
      </c>
    </row>
    <row r="410" spans="1:7" x14ac:dyDescent="0.2">
      <c r="A410" s="5">
        <v>4048</v>
      </c>
      <c r="B410" s="5">
        <v>7</v>
      </c>
      <c r="C410" s="8" t="s">
        <v>410</v>
      </c>
      <c r="D410" s="6">
        <v>360</v>
      </c>
      <c r="E410" s="6">
        <v>177</v>
      </c>
      <c r="F410" s="6">
        <v>1062</v>
      </c>
      <c r="G410" s="12">
        <f t="shared" si="6"/>
        <v>6</v>
      </c>
    </row>
    <row r="411" spans="1:7" x14ac:dyDescent="0.2">
      <c r="A411" s="5">
        <v>4049</v>
      </c>
      <c r="B411" s="5">
        <v>7</v>
      </c>
      <c r="C411" s="8" t="s">
        <v>411</v>
      </c>
      <c r="D411" s="6">
        <v>525</v>
      </c>
      <c r="E411" s="6">
        <v>185</v>
      </c>
      <c r="F411" s="6">
        <v>1619</v>
      </c>
      <c r="G411" s="12">
        <f t="shared" si="6"/>
        <v>8.75</v>
      </c>
    </row>
    <row r="412" spans="1:7" x14ac:dyDescent="0.2">
      <c r="A412" s="5">
        <v>4050</v>
      </c>
      <c r="B412" s="5">
        <v>7</v>
      </c>
      <c r="C412" s="8" t="s">
        <v>412</v>
      </c>
      <c r="D412" s="6">
        <v>480</v>
      </c>
      <c r="E412" s="6">
        <v>182</v>
      </c>
      <c r="F412" s="6">
        <v>1456</v>
      </c>
      <c r="G412" s="12">
        <f t="shared" si="6"/>
        <v>8</v>
      </c>
    </row>
    <row r="413" spans="1:7" x14ac:dyDescent="0.2">
      <c r="A413" s="5">
        <v>4052</v>
      </c>
      <c r="B413" s="5">
        <v>7</v>
      </c>
      <c r="C413" s="8" t="s">
        <v>413</v>
      </c>
      <c r="D413" s="6">
        <v>360</v>
      </c>
      <c r="E413" s="6">
        <v>172</v>
      </c>
      <c r="F413" s="6">
        <v>1032</v>
      </c>
      <c r="G413" s="12">
        <f t="shared" si="6"/>
        <v>6</v>
      </c>
    </row>
    <row r="414" spans="1:7" x14ac:dyDescent="0.2">
      <c r="A414" s="5">
        <v>4053</v>
      </c>
      <c r="B414" s="5">
        <v>7</v>
      </c>
      <c r="C414" s="8" t="s">
        <v>414</v>
      </c>
      <c r="D414" s="6">
        <v>480</v>
      </c>
      <c r="E414" s="6">
        <v>185</v>
      </c>
      <c r="F414" s="6">
        <v>1480</v>
      </c>
      <c r="G414" s="12">
        <f t="shared" si="6"/>
        <v>8</v>
      </c>
    </row>
    <row r="415" spans="1:7" x14ac:dyDescent="0.2">
      <c r="A415" s="5">
        <v>4054</v>
      </c>
      <c r="B415" s="5">
        <v>7</v>
      </c>
      <c r="C415" s="8" t="s">
        <v>415</v>
      </c>
      <c r="D415" s="6">
        <v>435</v>
      </c>
      <c r="E415" s="6">
        <v>198</v>
      </c>
      <c r="F415" s="6">
        <v>1436</v>
      </c>
      <c r="G415" s="12">
        <f t="shared" si="6"/>
        <v>7.25</v>
      </c>
    </row>
    <row r="416" spans="1:7" x14ac:dyDescent="0.2">
      <c r="A416" s="5">
        <v>4055</v>
      </c>
      <c r="B416" s="5">
        <v>7</v>
      </c>
      <c r="C416" s="8" t="s">
        <v>416</v>
      </c>
      <c r="D416" s="6">
        <v>480</v>
      </c>
      <c r="E416" s="6">
        <v>176</v>
      </c>
      <c r="F416" s="6">
        <v>1408</v>
      </c>
      <c r="G416" s="12">
        <f t="shared" si="6"/>
        <v>8</v>
      </c>
    </row>
    <row r="417" spans="1:7" x14ac:dyDescent="0.2">
      <c r="A417" s="5">
        <v>4056</v>
      </c>
      <c r="B417" s="5">
        <v>7</v>
      </c>
      <c r="C417" s="8" t="s">
        <v>417</v>
      </c>
      <c r="D417" s="6">
        <v>480</v>
      </c>
      <c r="E417" s="6">
        <v>190</v>
      </c>
      <c r="F417" s="6">
        <v>1520</v>
      </c>
      <c r="G417" s="12">
        <f t="shared" si="6"/>
        <v>8</v>
      </c>
    </row>
    <row r="418" spans="1:7" x14ac:dyDescent="0.2">
      <c r="A418" s="5">
        <v>4057</v>
      </c>
      <c r="B418" s="5">
        <v>7</v>
      </c>
      <c r="C418" s="8" t="s">
        <v>418</v>
      </c>
      <c r="D418" s="6">
        <v>480</v>
      </c>
      <c r="E418" s="6">
        <v>200</v>
      </c>
      <c r="F418" s="6">
        <v>1600</v>
      </c>
      <c r="G418" s="12">
        <f t="shared" si="6"/>
        <v>8</v>
      </c>
    </row>
    <row r="419" spans="1:7" x14ac:dyDescent="0.2">
      <c r="A419" s="5">
        <v>4058</v>
      </c>
      <c r="B419" s="5">
        <v>7</v>
      </c>
      <c r="C419" s="8" t="s">
        <v>419</v>
      </c>
      <c r="D419" s="6">
        <v>480</v>
      </c>
      <c r="E419" s="6">
        <v>178</v>
      </c>
      <c r="F419" s="6">
        <v>1424</v>
      </c>
      <c r="G419" s="12">
        <f t="shared" si="6"/>
        <v>8</v>
      </c>
    </row>
    <row r="420" spans="1:7" x14ac:dyDescent="0.2">
      <c r="A420" s="5">
        <v>4059</v>
      </c>
      <c r="B420" s="5">
        <v>7</v>
      </c>
      <c r="C420" s="8" t="s">
        <v>420</v>
      </c>
      <c r="D420" s="6">
        <v>450</v>
      </c>
      <c r="E420" s="6">
        <v>175</v>
      </c>
      <c r="F420" s="6">
        <v>1313</v>
      </c>
      <c r="G420" s="12">
        <f t="shared" si="6"/>
        <v>7.5</v>
      </c>
    </row>
    <row r="421" spans="1:7" x14ac:dyDescent="0.2">
      <c r="A421" s="5">
        <v>4061</v>
      </c>
      <c r="B421" s="5">
        <v>7</v>
      </c>
      <c r="C421" s="8" t="s">
        <v>421</v>
      </c>
      <c r="D421" s="6">
        <v>360</v>
      </c>
      <c r="E421" s="6">
        <v>170</v>
      </c>
      <c r="F421" s="6">
        <v>1020</v>
      </c>
      <c r="G421" s="12">
        <f t="shared" si="6"/>
        <v>6</v>
      </c>
    </row>
    <row r="422" spans="1:7" x14ac:dyDescent="0.2">
      <c r="A422" s="5">
        <v>4064</v>
      </c>
      <c r="B422" s="5">
        <v>7</v>
      </c>
      <c r="C422" s="8" t="s">
        <v>422</v>
      </c>
      <c r="D422" s="6">
        <v>480</v>
      </c>
      <c r="E422" s="6">
        <v>184</v>
      </c>
      <c r="F422" s="6">
        <v>1472</v>
      </c>
      <c r="G422" s="12">
        <f t="shared" si="6"/>
        <v>8</v>
      </c>
    </row>
    <row r="423" spans="1:7" x14ac:dyDescent="0.2">
      <c r="A423" s="5">
        <v>4066</v>
      </c>
      <c r="B423" s="5">
        <v>7</v>
      </c>
      <c r="C423" s="8" t="s">
        <v>423</v>
      </c>
      <c r="D423" s="6">
        <v>360</v>
      </c>
      <c r="E423" s="6">
        <v>216</v>
      </c>
      <c r="F423" s="6">
        <v>1296</v>
      </c>
      <c r="G423" s="12">
        <f t="shared" si="6"/>
        <v>6</v>
      </c>
    </row>
    <row r="424" spans="1:7" x14ac:dyDescent="0.2">
      <c r="A424" s="5">
        <v>4067</v>
      </c>
      <c r="B424" s="5">
        <v>7</v>
      </c>
      <c r="C424" s="8" t="s">
        <v>424</v>
      </c>
      <c r="D424" s="6">
        <v>495</v>
      </c>
      <c r="E424" s="6">
        <v>200</v>
      </c>
      <c r="F424" s="6">
        <v>1650</v>
      </c>
      <c r="G424" s="12">
        <f t="shared" si="6"/>
        <v>8.25</v>
      </c>
    </row>
    <row r="425" spans="1:7" x14ac:dyDescent="0.2">
      <c r="A425" s="5">
        <v>4068</v>
      </c>
      <c r="B425" s="5">
        <v>7</v>
      </c>
      <c r="C425" s="8" t="s">
        <v>425</v>
      </c>
      <c r="D425" s="6">
        <v>480</v>
      </c>
      <c r="E425" s="6">
        <v>197</v>
      </c>
      <c r="F425" s="6">
        <v>1576</v>
      </c>
      <c r="G425" s="12">
        <f t="shared" si="6"/>
        <v>8</v>
      </c>
    </row>
    <row r="426" spans="1:7" x14ac:dyDescent="0.2">
      <c r="A426" s="5">
        <v>4070</v>
      </c>
      <c r="B426" s="5">
        <v>7</v>
      </c>
      <c r="C426" s="8" t="s">
        <v>426</v>
      </c>
      <c r="D426" s="6">
        <v>405</v>
      </c>
      <c r="E426" s="6">
        <v>196</v>
      </c>
      <c r="F426" s="6">
        <v>1323</v>
      </c>
      <c r="G426" s="12">
        <f t="shared" si="6"/>
        <v>6.75</v>
      </c>
    </row>
    <row r="427" spans="1:7" x14ac:dyDescent="0.2">
      <c r="A427" s="5">
        <v>4072</v>
      </c>
      <c r="B427" s="5">
        <v>7</v>
      </c>
      <c r="C427" s="8" t="s">
        <v>427</v>
      </c>
      <c r="D427" s="6">
        <v>480</v>
      </c>
      <c r="E427" s="6">
        <v>180</v>
      </c>
      <c r="F427" s="6">
        <v>1440</v>
      </c>
      <c r="G427" s="12">
        <f t="shared" si="6"/>
        <v>8</v>
      </c>
    </row>
    <row r="428" spans="1:7" x14ac:dyDescent="0.2">
      <c r="A428" s="5">
        <v>4073</v>
      </c>
      <c r="B428" s="5">
        <v>7</v>
      </c>
      <c r="C428" s="8" t="s">
        <v>428</v>
      </c>
      <c r="D428" s="6">
        <v>370</v>
      </c>
      <c r="E428" s="6">
        <v>192</v>
      </c>
      <c r="F428" s="6">
        <v>1184</v>
      </c>
      <c r="G428" s="12">
        <f t="shared" si="6"/>
        <v>6.166666666666667</v>
      </c>
    </row>
    <row r="429" spans="1:7" x14ac:dyDescent="0.2">
      <c r="A429" s="5">
        <v>4074</v>
      </c>
      <c r="B429" s="5">
        <v>7</v>
      </c>
      <c r="C429" s="8" t="s">
        <v>429</v>
      </c>
      <c r="D429" s="6">
        <v>480</v>
      </c>
      <c r="E429" s="6">
        <v>186</v>
      </c>
      <c r="F429" s="6">
        <v>1488</v>
      </c>
      <c r="G429" s="12">
        <f t="shared" si="6"/>
        <v>8</v>
      </c>
    </row>
    <row r="430" spans="1:7" x14ac:dyDescent="0.2">
      <c r="A430" s="5">
        <v>4075</v>
      </c>
      <c r="B430" s="5">
        <v>7</v>
      </c>
      <c r="C430" s="8" t="s">
        <v>430</v>
      </c>
      <c r="D430" s="6">
        <v>465</v>
      </c>
      <c r="E430" s="6">
        <v>170</v>
      </c>
      <c r="F430" s="6">
        <v>1318</v>
      </c>
      <c r="G430" s="12">
        <f t="shared" si="6"/>
        <v>7.75</v>
      </c>
    </row>
    <row r="431" spans="1:7" x14ac:dyDescent="0.2">
      <c r="A431" s="5">
        <v>4077</v>
      </c>
      <c r="B431" s="5">
        <v>7</v>
      </c>
      <c r="C431" s="8" t="s">
        <v>431</v>
      </c>
      <c r="D431" s="6">
        <v>480</v>
      </c>
      <c r="E431" s="6">
        <v>214</v>
      </c>
      <c r="F431" s="6">
        <v>1712</v>
      </c>
      <c r="G431" s="12">
        <f t="shared" si="6"/>
        <v>8</v>
      </c>
    </row>
    <row r="432" spans="1:7" x14ac:dyDescent="0.2">
      <c r="A432" s="5">
        <v>4078</v>
      </c>
      <c r="B432" s="5">
        <v>7</v>
      </c>
      <c r="C432" s="8" t="s">
        <v>432</v>
      </c>
      <c r="D432" s="6">
        <v>480</v>
      </c>
      <c r="E432" s="6">
        <v>214</v>
      </c>
      <c r="F432" s="6">
        <v>1712</v>
      </c>
      <c r="G432" s="12">
        <f t="shared" si="6"/>
        <v>8</v>
      </c>
    </row>
    <row r="433" spans="1:7" x14ac:dyDescent="0.2">
      <c r="A433" s="5">
        <v>4079</v>
      </c>
      <c r="B433" s="5">
        <v>7</v>
      </c>
      <c r="C433" s="8" t="s">
        <v>433</v>
      </c>
      <c r="D433" s="6">
        <v>480</v>
      </c>
      <c r="E433" s="6">
        <v>191</v>
      </c>
      <c r="F433" s="6">
        <v>1528</v>
      </c>
      <c r="G433" s="12">
        <f t="shared" si="6"/>
        <v>8</v>
      </c>
    </row>
    <row r="434" spans="1:7" x14ac:dyDescent="0.2">
      <c r="A434" s="5">
        <v>4080</v>
      </c>
      <c r="B434" s="5">
        <v>7</v>
      </c>
      <c r="C434" s="8" t="s">
        <v>434</v>
      </c>
      <c r="D434" s="6">
        <v>450</v>
      </c>
      <c r="E434" s="6">
        <v>179</v>
      </c>
      <c r="F434" s="6">
        <v>1343</v>
      </c>
      <c r="G434" s="12">
        <f t="shared" si="6"/>
        <v>7.5</v>
      </c>
    </row>
    <row r="435" spans="1:7" x14ac:dyDescent="0.2">
      <c r="A435" s="5">
        <v>4081</v>
      </c>
      <c r="B435" s="5">
        <v>7</v>
      </c>
      <c r="C435" s="8" t="s">
        <v>435</v>
      </c>
      <c r="D435" s="6">
        <v>480</v>
      </c>
      <c r="E435" s="6">
        <v>170</v>
      </c>
      <c r="F435" s="6">
        <v>1360</v>
      </c>
      <c r="G435" s="12">
        <f t="shared" si="6"/>
        <v>8</v>
      </c>
    </row>
    <row r="436" spans="1:7" x14ac:dyDescent="0.2">
      <c r="A436" s="5">
        <v>4082</v>
      </c>
      <c r="B436" s="5">
        <v>7</v>
      </c>
      <c r="C436" s="8" t="s">
        <v>436</v>
      </c>
      <c r="D436" s="6">
        <v>420</v>
      </c>
      <c r="E436" s="6">
        <v>180</v>
      </c>
      <c r="F436" s="6">
        <v>1260</v>
      </c>
      <c r="G436" s="12">
        <f t="shared" si="6"/>
        <v>7</v>
      </c>
    </row>
    <row r="437" spans="1:7" x14ac:dyDescent="0.2">
      <c r="A437" s="5">
        <v>4083</v>
      </c>
      <c r="B437" s="5">
        <v>7</v>
      </c>
      <c r="C437" s="8" t="s">
        <v>437</v>
      </c>
      <c r="D437" s="6">
        <v>360</v>
      </c>
      <c r="E437" s="6">
        <v>186</v>
      </c>
      <c r="F437" s="6">
        <v>1116</v>
      </c>
      <c r="G437" s="12">
        <f t="shared" si="6"/>
        <v>6</v>
      </c>
    </row>
    <row r="438" spans="1:7" x14ac:dyDescent="0.2">
      <c r="A438" s="5">
        <v>4084</v>
      </c>
      <c r="B438" s="5">
        <v>7</v>
      </c>
      <c r="C438" s="8" t="s">
        <v>438</v>
      </c>
      <c r="D438" s="6">
        <v>390</v>
      </c>
      <c r="E438" s="6">
        <v>181</v>
      </c>
      <c r="F438" s="6">
        <v>1177</v>
      </c>
      <c r="G438" s="12">
        <f t="shared" si="6"/>
        <v>6.5</v>
      </c>
    </row>
    <row r="439" spans="1:7" x14ac:dyDescent="0.2">
      <c r="A439" s="5">
        <v>4085</v>
      </c>
      <c r="B439" s="5">
        <v>7</v>
      </c>
      <c r="C439" s="8" t="s">
        <v>439</v>
      </c>
      <c r="D439" s="6">
        <v>480</v>
      </c>
      <c r="E439" s="6">
        <v>193</v>
      </c>
      <c r="F439" s="6">
        <v>1544</v>
      </c>
      <c r="G439" s="12">
        <f t="shared" si="6"/>
        <v>8</v>
      </c>
    </row>
    <row r="440" spans="1:7" x14ac:dyDescent="0.2">
      <c r="A440" s="5">
        <v>4086</v>
      </c>
      <c r="B440" s="5">
        <v>7</v>
      </c>
      <c r="C440" s="8" t="s">
        <v>440</v>
      </c>
      <c r="D440" s="6">
        <v>390</v>
      </c>
      <c r="E440" s="6">
        <v>194</v>
      </c>
      <c r="F440" s="6">
        <v>1261</v>
      </c>
      <c r="G440" s="12">
        <f t="shared" si="6"/>
        <v>6.5</v>
      </c>
    </row>
    <row r="441" spans="1:7" x14ac:dyDescent="0.2">
      <c r="A441" s="5">
        <v>4087</v>
      </c>
      <c r="B441" s="5">
        <v>7</v>
      </c>
      <c r="C441" s="8" t="s">
        <v>441</v>
      </c>
      <c r="D441" s="6">
        <v>480</v>
      </c>
      <c r="E441" s="6">
        <v>190</v>
      </c>
      <c r="F441" s="6">
        <v>1520</v>
      </c>
      <c r="G441" s="12">
        <f t="shared" si="6"/>
        <v>8</v>
      </c>
    </row>
    <row r="442" spans="1:7" x14ac:dyDescent="0.2">
      <c r="A442" s="5">
        <v>4088</v>
      </c>
      <c r="B442" s="5">
        <v>7</v>
      </c>
      <c r="C442" s="8" t="s">
        <v>442</v>
      </c>
      <c r="D442" s="6">
        <v>390</v>
      </c>
      <c r="E442" s="6">
        <v>187</v>
      </c>
      <c r="F442" s="6">
        <v>1216</v>
      </c>
      <c r="G442" s="12">
        <f t="shared" si="6"/>
        <v>6.5</v>
      </c>
    </row>
    <row r="443" spans="1:7" x14ac:dyDescent="0.2">
      <c r="A443" s="5">
        <v>4089</v>
      </c>
      <c r="B443" s="5">
        <v>7</v>
      </c>
      <c r="C443" s="8" t="s">
        <v>443</v>
      </c>
      <c r="D443" s="6">
        <v>390</v>
      </c>
      <c r="E443" s="6">
        <v>171</v>
      </c>
      <c r="F443" s="6">
        <v>1112</v>
      </c>
      <c r="G443" s="12">
        <f t="shared" si="6"/>
        <v>6.5</v>
      </c>
    </row>
    <row r="444" spans="1:7" x14ac:dyDescent="0.2">
      <c r="A444" s="5">
        <v>4090</v>
      </c>
      <c r="B444" s="5">
        <v>7</v>
      </c>
      <c r="C444" s="8" t="s">
        <v>444</v>
      </c>
      <c r="D444" s="6">
        <v>480</v>
      </c>
      <c r="E444" s="6">
        <v>184</v>
      </c>
      <c r="F444" s="6">
        <v>1472</v>
      </c>
      <c r="G444" s="12">
        <f t="shared" si="6"/>
        <v>8</v>
      </c>
    </row>
    <row r="445" spans="1:7" x14ac:dyDescent="0.2">
      <c r="A445" s="5">
        <v>4091</v>
      </c>
      <c r="B445" s="5">
        <v>7</v>
      </c>
      <c r="C445" s="8" t="s">
        <v>445</v>
      </c>
      <c r="D445" s="6">
        <v>480</v>
      </c>
      <c r="E445" s="6">
        <v>190</v>
      </c>
      <c r="F445" s="6">
        <v>1520</v>
      </c>
      <c r="G445" s="12">
        <f t="shared" si="6"/>
        <v>8</v>
      </c>
    </row>
    <row r="446" spans="1:7" x14ac:dyDescent="0.2">
      <c r="A446" s="5">
        <v>4092</v>
      </c>
      <c r="B446" s="5">
        <v>7</v>
      </c>
      <c r="C446" s="8" t="s">
        <v>446</v>
      </c>
      <c r="D446" s="6">
        <v>360</v>
      </c>
      <c r="E446" s="6">
        <v>171</v>
      </c>
      <c r="F446" s="6">
        <v>1026</v>
      </c>
      <c r="G446" s="12">
        <f t="shared" si="6"/>
        <v>6</v>
      </c>
    </row>
    <row r="447" spans="1:7" x14ac:dyDescent="0.2">
      <c r="A447" s="5">
        <v>4093</v>
      </c>
      <c r="B447" s="5">
        <v>7</v>
      </c>
      <c r="C447" s="8" t="s">
        <v>447</v>
      </c>
      <c r="D447" s="6">
        <v>480</v>
      </c>
      <c r="E447" s="6">
        <v>184</v>
      </c>
      <c r="F447" s="6">
        <v>1472</v>
      </c>
      <c r="G447" s="12">
        <f t="shared" si="6"/>
        <v>8</v>
      </c>
    </row>
    <row r="448" spans="1:7" x14ac:dyDescent="0.2">
      <c r="A448" s="5">
        <v>4095</v>
      </c>
      <c r="B448" s="5">
        <v>7</v>
      </c>
      <c r="C448" s="8" t="s">
        <v>448</v>
      </c>
      <c r="D448" s="6">
        <v>450</v>
      </c>
      <c r="E448" s="6">
        <v>184</v>
      </c>
      <c r="F448" s="6">
        <v>1380</v>
      </c>
      <c r="G448" s="12">
        <f t="shared" si="6"/>
        <v>7.5</v>
      </c>
    </row>
    <row r="449" spans="1:7" x14ac:dyDescent="0.2">
      <c r="A449" s="5">
        <v>4097</v>
      </c>
      <c r="B449" s="5">
        <v>7</v>
      </c>
      <c r="C449" s="8" t="s">
        <v>449</v>
      </c>
      <c r="D449" s="6">
        <v>450</v>
      </c>
      <c r="E449" s="6">
        <v>193</v>
      </c>
      <c r="F449" s="6">
        <v>1448</v>
      </c>
      <c r="G449" s="12">
        <f t="shared" si="6"/>
        <v>7.5</v>
      </c>
    </row>
    <row r="450" spans="1:7" x14ac:dyDescent="0.2">
      <c r="A450" s="5">
        <v>4098</v>
      </c>
      <c r="B450" s="5">
        <v>7</v>
      </c>
      <c r="C450" s="8" t="s">
        <v>450</v>
      </c>
      <c r="D450" s="6">
        <v>420</v>
      </c>
      <c r="E450" s="6">
        <v>193</v>
      </c>
      <c r="F450" s="6">
        <v>1351</v>
      </c>
      <c r="G450" s="12">
        <f t="shared" si="6"/>
        <v>7</v>
      </c>
    </row>
    <row r="451" spans="1:7" x14ac:dyDescent="0.2">
      <c r="A451" s="5">
        <v>4099</v>
      </c>
      <c r="B451" s="5">
        <v>7</v>
      </c>
      <c r="C451" s="8" t="s">
        <v>451</v>
      </c>
      <c r="D451" s="6">
        <v>450</v>
      </c>
      <c r="E451" s="6">
        <v>190</v>
      </c>
      <c r="F451" s="6">
        <v>1425</v>
      </c>
      <c r="G451" s="12">
        <f t="shared" si="6"/>
        <v>7.5</v>
      </c>
    </row>
    <row r="452" spans="1:7" x14ac:dyDescent="0.2">
      <c r="A452" s="5">
        <v>4100</v>
      </c>
      <c r="B452" s="5">
        <v>7</v>
      </c>
      <c r="C452" s="8" t="s">
        <v>452</v>
      </c>
      <c r="D452" s="6">
        <v>450</v>
      </c>
      <c r="E452" s="6">
        <v>185</v>
      </c>
      <c r="F452" s="6">
        <v>1388</v>
      </c>
      <c r="G452" s="12">
        <f t="shared" si="6"/>
        <v>7.5</v>
      </c>
    </row>
    <row r="453" spans="1:7" x14ac:dyDescent="0.2">
      <c r="A453" s="5">
        <v>4101</v>
      </c>
      <c r="B453" s="5">
        <v>7</v>
      </c>
      <c r="C453" s="8" t="s">
        <v>453</v>
      </c>
      <c r="D453" s="6">
        <v>360</v>
      </c>
      <c r="E453" s="6">
        <v>186</v>
      </c>
      <c r="F453" s="6">
        <v>1116</v>
      </c>
      <c r="G453" s="12">
        <f t="shared" si="6"/>
        <v>6</v>
      </c>
    </row>
    <row r="454" spans="1:7" x14ac:dyDescent="0.2">
      <c r="A454" s="5">
        <v>4102</v>
      </c>
      <c r="B454" s="5">
        <v>7</v>
      </c>
      <c r="C454" s="8" t="s">
        <v>454</v>
      </c>
      <c r="D454" s="6">
        <v>480</v>
      </c>
      <c r="E454" s="6">
        <v>182</v>
      </c>
      <c r="F454" s="6">
        <v>1456</v>
      </c>
      <c r="G454" s="12">
        <f t="shared" si="6"/>
        <v>8</v>
      </c>
    </row>
    <row r="455" spans="1:7" x14ac:dyDescent="0.2">
      <c r="A455" s="5">
        <v>4103</v>
      </c>
      <c r="B455" s="5">
        <v>7</v>
      </c>
      <c r="C455" s="8" t="s">
        <v>455</v>
      </c>
      <c r="D455" s="6">
        <v>450</v>
      </c>
      <c r="E455" s="6">
        <v>196</v>
      </c>
      <c r="F455" s="6">
        <v>1470</v>
      </c>
      <c r="G455" s="12">
        <f t="shared" si="6"/>
        <v>7.5</v>
      </c>
    </row>
    <row r="456" spans="1:7" x14ac:dyDescent="0.2">
      <c r="A456" s="5">
        <v>4104</v>
      </c>
      <c r="B456" s="5">
        <v>7</v>
      </c>
      <c r="C456" s="8" t="s">
        <v>456</v>
      </c>
      <c r="D456" s="6">
        <v>360</v>
      </c>
      <c r="E456" s="6">
        <v>186</v>
      </c>
      <c r="F456" s="6">
        <v>1116</v>
      </c>
      <c r="G456" s="12">
        <f t="shared" si="6"/>
        <v>6</v>
      </c>
    </row>
    <row r="457" spans="1:7" x14ac:dyDescent="0.2">
      <c r="A457" s="5">
        <v>4105</v>
      </c>
      <c r="B457" s="5">
        <v>7</v>
      </c>
      <c r="C457" s="8" t="s">
        <v>457</v>
      </c>
      <c r="D457" s="6">
        <v>480</v>
      </c>
      <c r="E457" s="6">
        <v>196</v>
      </c>
      <c r="F457" s="6">
        <v>1568</v>
      </c>
      <c r="G457" s="12">
        <f t="shared" si="6"/>
        <v>8</v>
      </c>
    </row>
    <row r="458" spans="1:7" x14ac:dyDescent="0.2">
      <c r="A458" s="5">
        <v>4106</v>
      </c>
      <c r="B458" s="5">
        <v>7</v>
      </c>
      <c r="C458" s="8" t="s">
        <v>458</v>
      </c>
      <c r="D458" s="6">
        <v>480</v>
      </c>
      <c r="E458" s="6">
        <v>182</v>
      </c>
      <c r="F458" s="6">
        <v>1456</v>
      </c>
      <c r="G458" s="12">
        <f t="shared" si="6"/>
        <v>8</v>
      </c>
    </row>
    <row r="459" spans="1:7" x14ac:dyDescent="0.2">
      <c r="A459" s="5">
        <v>4107</v>
      </c>
      <c r="B459" s="5">
        <v>7</v>
      </c>
      <c r="C459" s="8" t="s">
        <v>459</v>
      </c>
      <c r="D459" s="6">
        <v>480</v>
      </c>
      <c r="E459" s="6">
        <v>184</v>
      </c>
      <c r="F459" s="6">
        <v>1472</v>
      </c>
      <c r="G459" s="12">
        <f t="shared" si="6"/>
        <v>8</v>
      </c>
    </row>
    <row r="460" spans="1:7" x14ac:dyDescent="0.2">
      <c r="A460" s="5">
        <v>4108</v>
      </c>
      <c r="B460" s="5">
        <v>7</v>
      </c>
      <c r="C460" s="8" t="s">
        <v>460</v>
      </c>
      <c r="D460" s="6">
        <v>375</v>
      </c>
      <c r="E460" s="6">
        <v>170</v>
      </c>
      <c r="F460" s="6">
        <v>1063</v>
      </c>
      <c r="G460" s="12">
        <f t="shared" ref="G460:G523" si="7">D460/60</f>
        <v>6.25</v>
      </c>
    </row>
    <row r="461" spans="1:7" x14ac:dyDescent="0.2">
      <c r="A461" s="5">
        <v>4109</v>
      </c>
      <c r="B461" s="5">
        <v>7</v>
      </c>
      <c r="C461" s="8" t="s">
        <v>461</v>
      </c>
      <c r="D461" s="6">
        <v>480</v>
      </c>
      <c r="E461" s="6">
        <v>170</v>
      </c>
      <c r="F461" s="6">
        <v>1360</v>
      </c>
      <c r="G461" s="12">
        <f t="shared" si="7"/>
        <v>8</v>
      </c>
    </row>
    <row r="462" spans="1:7" x14ac:dyDescent="0.2">
      <c r="A462" s="5">
        <v>4110</v>
      </c>
      <c r="B462" s="5">
        <v>7</v>
      </c>
      <c r="C462" s="8" t="s">
        <v>462</v>
      </c>
      <c r="D462" s="6">
        <v>387</v>
      </c>
      <c r="E462" s="6">
        <v>185</v>
      </c>
      <c r="F462" s="6">
        <v>1193</v>
      </c>
      <c r="G462" s="12">
        <f t="shared" si="7"/>
        <v>6.45</v>
      </c>
    </row>
    <row r="463" spans="1:7" x14ac:dyDescent="0.2">
      <c r="A463" s="5">
        <v>4111</v>
      </c>
      <c r="B463" s="5">
        <v>7</v>
      </c>
      <c r="C463" s="8" t="s">
        <v>463</v>
      </c>
      <c r="D463" s="6">
        <v>480</v>
      </c>
      <c r="E463" s="6">
        <v>179</v>
      </c>
      <c r="F463" s="6">
        <v>1432</v>
      </c>
      <c r="G463" s="12">
        <f t="shared" si="7"/>
        <v>8</v>
      </c>
    </row>
    <row r="464" spans="1:7" x14ac:dyDescent="0.2">
      <c r="A464" s="5">
        <v>4112</v>
      </c>
      <c r="B464" s="5">
        <v>7</v>
      </c>
      <c r="C464" s="8" t="s">
        <v>464</v>
      </c>
      <c r="D464" s="6">
        <v>450</v>
      </c>
      <c r="E464" s="6">
        <v>184</v>
      </c>
      <c r="F464" s="6">
        <v>1380</v>
      </c>
      <c r="G464" s="12">
        <f t="shared" si="7"/>
        <v>7.5</v>
      </c>
    </row>
    <row r="465" spans="1:7" x14ac:dyDescent="0.2">
      <c r="A465" s="5">
        <v>4113</v>
      </c>
      <c r="B465" s="5">
        <v>7</v>
      </c>
      <c r="C465" s="8" t="s">
        <v>465</v>
      </c>
      <c r="D465" s="6">
        <v>480</v>
      </c>
      <c r="E465" s="6">
        <v>189</v>
      </c>
      <c r="F465" s="6">
        <v>1512</v>
      </c>
      <c r="G465" s="12">
        <f t="shared" si="7"/>
        <v>8</v>
      </c>
    </row>
    <row r="466" spans="1:7" x14ac:dyDescent="0.2">
      <c r="A466" s="5">
        <v>4114</v>
      </c>
      <c r="B466" s="5">
        <v>7</v>
      </c>
      <c r="C466" s="8" t="s">
        <v>466</v>
      </c>
      <c r="D466" s="6">
        <v>480</v>
      </c>
      <c r="E466" s="6">
        <v>180</v>
      </c>
      <c r="F466" s="6">
        <v>1440</v>
      </c>
      <c r="G466" s="12">
        <f t="shared" si="7"/>
        <v>8</v>
      </c>
    </row>
    <row r="467" spans="1:7" x14ac:dyDescent="0.2">
      <c r="A467" s="5">
        <v>4115</v>
      </c>
      <c r="B467" s="5">
        <v>7</v>
      </c>
      <c r="C467" s="8" t="s">
        <v>467</v>
      </c>
      <c r="D467" s="6">
        <v>540</v>
      </c>
      <c r="E467" s="6">
        <v>175</v>
      </c>
      <c r="F467" s="6">
        <v>1575</v>
      </c>
      <c r="G467" s="12">
        <f t="shared" si="7"/>
        <v>9</v>
      </c>
    </row>
    <row r="468" spans="1:7" x14ac:dyDescent="0.2">
      <c r="A468" s="5">
        <v>4116</v>
      </c>
      <c r="B468" s="5">
        <v>7</v>
      </c>
      <c r="C468" s="8" t="s">
        <v>468</v>
      </c>
      <c r="D468" s="6">
        <v>480</v>
      </c>
      <c r="E468" s="6">
        <v>190</v>
      </c>
      <c r="F468" s="6">
        <v>1520</v>
      </c>
      <c r="G468" s="12">
        <f t="shared" si="7"/>
        <v>8</v>
      </c>
    </row>
    <row r="469" spans="1:7" x14ac:dyDescent="0.2">
      <c r="A469" s="5">
        <v>4118</v>
      </c>
      <c r="B469" s="5">
        <v>7</v>
      </c>
      <c r="C469" s="8" t="s">
        <v>469</v>
      </c>
      <c r="D469" s="6">
        <v>450</v>
      </c>
      <c r="E469" s="6">
        <v>171</v>
      </c>
      <c r="F469" s="6">
        <v>1283</v>
      </c>
      <c r="G469" s="12">
        <f t="shared" si="7"/>
        <v>7.5</v>
      </c>
    </row>
    <row r="470" spans="1:7" x14ac:dyDescent="0.2">
      <c r="A470" s="5">
        <v>4119</v>
      </c>
      <c r="B470" s="5">
        <v>7</v>
      </c>
      <c r="C470" s="8" t="s">
        <v>470</v>
      </c>
      <c r="D470" s="6">
        <v>360</v>
      </c>
      <c r="E470" s="6">
        <v>185</v>
      </c>
      <c r="F470" s="6">
        <v>1110</v>
      </c>
      <c r="G470" s="12">
        <f t="shared" si="7"/>
        <v>6</v>
      </c>
    </row>
    <row r="471" spans="1:7" x14ac:dyDescent="0.2">
      <c r="A471" s="5">
        <v>4120</v>
      </c>
      <c r="B471" s="5">
        <v>7</v>
      </c>
      <c r="C471" s="8" t="s">
        <v>471</v>
      </c>
      <c r="D471" s="6">
        <v>480</v>
      </c>
      <c r="E471" s="6">
        <v>175</v>
      </c>
      <c r="F471" s="6">
        <v>1400</v>
      </c>
      <c r="G471" s="12">
        <f t="shared" si="7"/>
        <v>8</v>
      </c>
    </row>
    <row r="472" spans="1:7" x14ac:dyDescent="0.2">
      <c r="A472" s="5">
        <v>4121</v>
      </c>
      <c r="B472" s="5">
        <v>7</v>
      </c>
      <c r="C472" s="8" t="s">
        <v>472</v>
      </c>
      <c r="D472" s="6">
        <v>420</v>
      </c>
      <c r="E472" s="6">
        <v>185</v>
      </c>
      <c r="F472" s="6">
        <v>1295</v>
      </c>
      <c r="G472" s="12">
        <f t="shared" si="7"/>
        <v>7</v>
      </c>
    </row>
    <row r="473" spans="1:7" x14ac:dyDescent="0.2">
      <c r="A473" s="5">
        <v>4122</v>
      </c>
      <c r="B473" s="5">
        <v>7</v>
      </c>
      <c r="C473" s="8" t="s">
        <v>473</v>
      </c>
      <c r="D473" s="6">
        <v>480</v>
      </c>
      <c r="E473" s="6">
        <v>185</v>
      </c>
      <c r="F473" s="6">
        <v>1480</v>
      </c>
      <c r="G473" s="12">
        <f t="shared" si="7"/>
        <v>8</v>
      </c>
    </row>
    <row r="474" spans="1:7" x14ac:dyDescent="0.2">
      <c r="A474" s="5">
        <v>4123</v>
      </c>
      <c r="B474" s="5">
        <v>7</v>
      </c>
      <c r="C474" s="8" t="s">
        <v>474</v>
      </c>
      <c r="D474" s="6">
        <v>350</v>
      </c>
      <c r="E474" s="6">
        <v>186</v>
      </c>
      <c r="F474" s="6">
        <v>1085</v>
      </c>
      <c r="G474" s="12">
        <f t="shared" si="7"/>
        <v>5.833333333333333</v>
      </c>
    </row>
    <row r="475" spans="1:7" x14ac:dyDescent="0.2">
      <c r="A475" s="5">
        <v>4124</v>
      </c>
      <c r="B475" s="5">
        <v>7</v>
      </c>
      <c r="C475" s="8" t="s">
        <v>475</v>
      </c>
      <c r="D475" s="6">
        <v>480</v>
      </c>
      <c r="E475" s="6">
        <v>183</v>
      </c>
      <c r="F475" s="6">
        <v>1464</v>
      </c>
      <c r="G475" s="12">
        <f t="shared" si="7"/>
        <v>8</v>
      </c>
    </row>
    <row r="476" spans="1:7" x14ac:dyDescent="0.2">
      <c r="A476" s="5">
        <v>4125</v>
      </c>
      <c r="B476" s="5">
        <v>7</v>
      </c>
      <c r="C476" s="8" t="s">
        <v>476</v>
      </c>
      <c r="D476" s="6">
        <v>540</v>
      </c>
      <c r="E476" s="6">
        <v>188</v>
      </c>
      <c r="F476" s="6">
        <v>1692</v>
      </c>
      <c r="G476" s="12">
        <f t="shared" si="7"/>
        <v>9</v>
      </c>
    </row>
    <row r="477" spans="1:7" x14ac:dyDescent="0.2">
      <c r="A477" s="5">
        <v>4126</v>
      </c>
      <c r="B477" s="5">
        <v>7</v>
      </c>
      <c r="C477" s="8" t="s">
        <v>477</v>
      </c>
      <c r="D477" s="6">
        <v>480</v>
      </c>
      <c r="E477" s="6">
        <v>198</v>
      </c>
      <c r="F477" s="6">
        <v>1584</v>
      </c>
      <c r="G477" s="12">
        <f t="shared" si="7"/>
        <v>8</v>
      </c>
    </row>
    <row r="478" spans="1:7" x14ac:dyDescent="0.2">
      <c r="A478" s="5">
        <v>4127</v>
      </c>
      <c r="B478" s="5">
        <v>7</v>
      </c>
      <c r="C478" s="8" t="s">
        <v>478</v>
      </c>
      <c r="D478" s="6">
        <v>450</v>
      </c>
      <c r="E478" s="6">
        <v>188</v>
      </c>
      <c r="F478" s="6">
        <v>1410</v>
      </c>
      <c r="G478" s="12">
        <f t="shared" si="7"/>
        <v>7.5</v>
      </c>
    </row>
    <row r="479" spans="1:7" x14ac:dyDescent="0.2">
      <c r="A479" s="5">
        <v>4129</v>
      </c>
      <c r="B479" s="5">
        <v>7</v>
      </c>
      <c r="C479" s="8" t="s">
        <v>479</v>
      </c>
      <c r="D479" s="6">
        <v>450</v>
      </c>
      <c r="E479" s="6">
        <v>171</v>
      </c>
      <c r="F479" s="6">
        <v>1283</v>
      </c>
      <c r="G479" s="12">
        <f t="shared" si="7"/>
        <v>7.5</v>
      </c>
    </row>
    <row r="480" spans="1:7" x14ac:dyDescent="0.2">
      <c r="A480" s="5">
        <v>4131</v>
      </c>
      <c r="B480" s="5">
        <v>7</v>
      </c>
      <c r="C480" s="8" t="s">
        <v>480</v>
      </c>
      <c r="D480" s="6">
        <v>350</v>
      </c>
      <c r="E480" s="6">
        <v>195</v>
      </c>
      <c r="F480" s="6">
        <v>1138</v>
      </c>
      <c r="G480" s="12">
        <f t="shared" si="7"/>
        <v>5.833333333333333</v>
      </c>
    </row>
    <row r="481" spans="1:7" x14ac:dyDescent="0.2">
      <c r="A481" s="5">
        <v>4132</v>
      </c>
      <c r="B481" s="5">
        <v>7</v>
      </c>
      <c r="C481" s="8" t="s">
        <v>481</v>
      </c>
      <c r="D481" s="6">
        <v>386</v>
      </c>
      <c r="E481" s="6">
        <v>176</v>
      </c>
      <c r="F481" s="6">
        <v>1132</v>
      </c>
      <c r="G481" s="12">
        <f t="shared" si="7"/>
        <v>6.4333333333333336</v>
      </c>
    </row>
    <row r="482" spans="1:7" x14ac:dyDescent="0.2">
      <c r="A482" s="5">
        <v>4133</v>
      </c>
      <c r="B482" s="5">
        <v>7</v>
      </c>
      <c r="C482" s="8" t="s">
        <v>482</v>
      </c>
      <c r="D482" s="6">
        <v>480</v>
      </c>
      <c r="E482" s="6">
        <v>183</v>
      </c>
      <c r="F482" s="6">
        <v>1464</v>
      </c>
      <c r="G482" s="12">
        <f t="shared" si="7"/>
        <v>8</v>
      </c>
    </row>
    <row r="483" spans="1:7" x14ac:dyDescent="0.2">
      <c r="A483" s="5">
        <v>4135</v>
      </c>
      <c r="B483" s="5">
        <v>7</v>
      </c>
      <c r="C483" s="8" t="s">
        <v>483</v>
      </c>
      <c r="D483" s="6">
        <v>480</v>
      </c>
      <c r="E483" s="6">
        <v>195</v>
      </c>
      <c r="F483" s="6">
        <v>1560</v>
      </c>
      <c r="G483" s="12">
        <f t="shared" si="7"/>
        <v>8</v>
      </c>
    </row>
    <row r="484" spans="1:7" x14ac:dyDescent="0.2">
      <c r="A484" s="5">
        <v>4136</v>
      </c>
      <c r="B484" s="5">
        <v>7</v>
      </c>
      <c r="C484" s="8" t="s">
        <v>484</v>
      </c>
      <c r="D484" s="6">
        <v>430</v>
      </c>
      <c r="E484" s="6">
        <v>173</v>
      </c>
      <c r="F484" s="6">
        <v>1240</v>
      </c>
      <c r="G484" s="12">
        <f t="shared" si="7"/>
        <v>7.166666666666667</v>
      </c>
    </row>
    <row r="485" spans="1:7" x14ac:dyDescent="0.2">
      <c r="A485" s="5">
        <v>4137</v>
      </c>
      <c r="B485" s="5">
        <v>7</v>
      </c>
      <c r="C485" s="8" t="s">
        <v>485</v>
      </c>
      <c r="D485" s="6">
        <v>420</v>
      </c>
      <c r="E485" s="6">
        <v>183</v>
      </c>
      <c r="F485" s="6">
        <v>1281</v>
      </c>
      <c r="G485" s="12">
        <f t="shared" si="7"/>
        <v>7</v>
      </c>
    </row>
    <row r="486" spans="1:7" x14ac:dyDescent="0.2">
      <c r="A486" s="5">
        <v>4138</v>
      </c>
      <c r="B486" s="5">
        <v>7</v>
      </c>
      <c r="C486" s="8" t="s">
        <v>486</v>
      </c>
      <c r="D486" s="6">
        <v>480</v>
      </c>
      <c r="E486" s="6">
        <v>178</v>
      </c>
      <c r="F486" s="6">
        <v>1424</v>
      </c>
      <c r="G486" s="12">
        <f t="shared" si="7"/>
        <v>8</v>
      </c>
    </row>
    <row r="487" spans="1:7" x14ac:dyDescent="0.2">
      <c r="A487" s="5">
        <v>4139</v>
      </c>
      <c r="B487" s="5">
        <v>7</v>
      </c>
      <c r="C487" s="8" t="s">
        <v>487</v>
      </c>
      <c r="D487" s="6">
        <v>480</v>
      </c>
      <c r="E487" s="6">
        <v>178</v>
      </c>
      <c r="F487" s="6">
        <v>1424</v>
      </c>
      <c r="G487" s="12">
        <f t="shared" si="7"/>
        <v>8</v>
      </c>
    </row>
    <row r="488" spans="1:7" x14ac:dyDescent="0.2">
      <c r="A488" s="5">
        <v>4140</v>
      </c>
      <c r="B488" s="5">
        <v>7</v>
      </c>
      <c r="C488" s="8" t="s">
        <v>488</v>
      </c>
      <c r="D488" s="6">
        <v>480</v>
      </c>
      <c r="E488" s="6">
        <v>185</v>
      </c>
      <c r="F488" s="6">
        <v>1480</v>
      </c>
      <c r="G488" s="12">
        <f t="shared" si="7"/>
        <v>8</v>
      </c>
    </row>
    <row r="489" spans="1:7" x14ac:dyDescent="0.2">
      <c r="A489" s="5">
        <v>4141</v>
      </c>
      <c r="B489" s="5">
        <v>7</v>
      </c>
      <c r="C489" s="8" t="s">
        <v>489</v>
      </c>
      <c r="D489" s="6">
        <v>435</v>
      </c>
      <c r="E489" s="6">
        <v>185</v>
      </c>
      <c r="F489" s="6">
        <v>1341</v>
      </c>
      <c r="G489" s="12">
        <f t="shared" si="7"/>
        <v>7.25</v>
      </c>
    </row>
    <row r="490" spans="1:7" x14ac:dyDescent="0.2">
      <c r="A490" s="5">
        <v>4142</v>
      </c>
      <c r="B490" s="5">
        <v>7</v>
      </c>
      <c r="C490" s="8" t="s">
        <v>490</v>
      </c>
      <c r="D490" s="6">
        <v>420</v>
      </c>
      <c r="E490" s="6">
        <v>174</v>
      </c>
      <c r="F490" s="6">
        <v>1218</v>
      </c>
      <c r="G490" s="12">
        <f t="shared" si="7"/>
        <v>7</v>
      </c>
    </row>
    <row r="491" spans="1:7" x14ac:dyDescent="0.2">
      <c r="A491" s="5">
        <v>4143</v>
      </c>
      <c r="B491" s="5">
        <v>7</v>
      </c>
      <c r="C491" s="8" t="s">
        <v>491</v>
      </c>
      <c r="D491" s="6">
        <v>420</v>
      </c>
      <c r="E491" s="6">
        <v>192</v>
      </c>
      <c r="F491" s="6">
        <v>1344</v>
      </c>
      <c r="G491" s="12">
        <f t="shared" si="7"/>
        <v>7</v>
      </c>
    </row>
    <row r="492" spans="1:7" x14ac:dyDescent="0.2">
      <c r="A492" s="5">
        <v>4144</v>
      </c>
      <c r="B492" s="5">
        <v>7</v>
      </c>
      <c r="C492" s="8" t="s">
        <v>492</v>
      </c>
      <c r="D492" s="6">
        <v>480</v>
      </c>
      <c r="E492" s="6">
        <v>180</v>
      </c>
      <c r="F492" s="6">
        <v>1440</v>
      </c>
      <c r="G492" s="12">
        <f t="shared" si="7"/>
        <v>8</v>
      </c>
    </row>
    <row r="493" spans="1:7" x14ac:dyDescent="0.2">
      <c r="A493" s="5">
        <v>4145</v>
      </c>
      <c r="B493" s="5">
        <v>7</v>
      </c>
      <c r="C493" s="8" t="s">
        <v>493</v>
      </c>
      <c r="D493" s="6">
        <v>480</v>
      </c>
      <c r="E493" s="6">
        <v>184</v>
      </c>
      <c r="F493" s="6">
        <v>1472</v>
      </c>
      <c r="G493" s="12">
        <f t="shared" si="7"/>
        <v>8</v>
      </c>
    </row>
    <row r="494" spans="1:7" x14ac:dyDescent="0.2">
      <c r="A494" s="5">
        <v>4146</v>
      </c>
      <c r="B494" s="5">
        <v>7</v>
      </c>
      <c r="C494" s="8" t="s">
        <v>494</v>
      </c>
      <c r="D494" s="6">
        <v>450</v>
      </c>
      <c r="E494" s="6">
        <v>173</v>
      </c>
      <c r="F494" s="6">
        <v>1298</v>
      </c>
      <c r="G494" s="12">
        <f t="shared" si="7"/>
        <v>7.5</v>
      </c>
    </row>
    <row r="495" spans="1:7" x14ac:dyDescent="0.2">
      <c r="A495" s="5">
        <v>4148</v>
      </c>
      <c r="B495" s="5">
        <v>7</v>
      </c>
      <c r="C495" s="8" t="s">
        <v>495</v>
      </c>
      <c r="D495" s="6">
        <v>480</v>
      </c>
      <c r="E495" s="6">
        <v>184</v>
      </c>
      <c r="F495" s="6">
        <v>1472</v>
      </c>
      <c r="G495" s="12">
        <f t="shared" si="7"/>
        <v>8</v>
      </c>
    </row>
    <row r="496" spans="1:7" x14ac:dyDescent="0.2">
      <c r="A496" s="5">
        <v>4149</v>
      </c>
      <c r="B496" s="5">
        <v>7</v>
      </c>
      <c r="C496" s="8" t="s">
        <v>496</v>
      </c>
      <c r="D496" s="6">
        <v>510</v>
      </c>
      <c r="E496" s="6">
        <v>181</v>
      </c>
      <c r="F496" s="6">
        <v>1539</v>
      </c>
      <c r="G496" s="12">
        <f t="shared" si="7"/>
        <v>8.5</v>
      </c>
    </row>
    <row r="497" spans="1:7" x14ac:dyDescent="0.2">
      <c r="A497" s="5">
        <v>4150</v>
      </c>
      <c r="B497" s="5">
        <v>7</v>
      </c>
      <c r="C497" s="8" t="s">
        <v>497</v>
      </c>
      <c r="D497" s="6">
        <v>360</v>
      </c>
      <c r="E497" s="6">
        <v>168</v>
      </c>
      <c r="F497" s="6">
        <v>1008</v>
      </c>
      <c r="G497" s="12">
        <f t="shared" si="7"/>
        <v>6</v>
      </c>
    </row>
    <row r="498" spans="1:7" x14ac:dyDescent="0.2">
      <c r="A498" s="5">
        <v>4151</v>
      </c>
      <c r="B498" s="5">
        <v>7</v>
      </c>
      <c r="C498" s="8" t="s">
        <v>498</v>
      </c>
      <c r="D498" s="6">
        <v>450</v>
      </c>
      <c r="E498" s="6">
        <v>205</v>
      </c>
      <c r="F498" s="6">
        <v>1538</v>
      </c>
      <c r="G498" s="12">
        <f t="shared" si="7"/>
        <v>7.5</v>
      </c>
    </row>
    <row r="499" spans="1:7" x14ac:dyDescent="0.2">
      <c r="A499" s="5">
        <v>4152</v>
      </c>
      <c r="B499" s="5">
        <v>7</v>
      </c>
      <c r="C499" s="8" t="s">
        <v>499</v>
      </c>
      <c r="D499" s="6">
        <v>420</v>
      </c>
      <c r="E499" s="6">
        <v>174</v>
      </c>
      <c r="F499" s="6">
        <v>1218</v>
      </c>
      <c r="G499" s="12">
        <f t="shared" si="7"/>
        <v>7</v>
      </c>
    </row>
    <row r="500" spans="1:7" x14ac:dyDescent="0.2">
      <c r="A500" s="5">
        <v>4153</v>
      </c>
      <c r="B500" s="5">
        <v>7</v>
      </c>
      <c r="C500" s="8" t="s">
        <v>500</v>
      </c>
      <c r="D500" s="6">
        <v>450</v>
      </c>
      <c r="E500" s="6">
        <v>180</v>
      </c>
      <c r="F500" s="6">
        <v>1350</v>
      </c>
      <c r="G500" s="12">
        <f t="shared" si="7"/>
        <v>7.5</v>
      </c>
    </row>
    <row r="501" spans="1:7" x14ac:dyDescent="0.2">
      <c r="A501" s="5">
        <v>4154</v>
      </c>
      <c r="B501" s="5">
        <v>7</v>
      </c>
      <c r="C501" s="8" t="s">
        <v>501</v>
      </c>
      <c r="D501" s="6">
        <v>450</v>
      </c>
      <c r="E501" s="6">
        <v>176</v>
      </c>
      <c r="F501" s="6">
        <v>1320</v>
      </c>
      <c r="G501" s="12">
        <f t="shared" si="7"/>
        <v>7.5</v>
      </c>
    </row>
    <row r="502" spans="1:7" x14ac:dyDescent="0.2">
      <c r="A502" s="5">
        <v>4155</v>
      </c>
      <c r="B502" s="5">
        <v>7</v>
      </c>
      <c r="C502" s="8" t="s">
        <v>502</v>
      </c>
      <c r="D502" s="6">
        <v>385</v>
      </c>
      <c r="E502" s="6">
        <v>170</v>
      </c>
      <c r="F502" s="6">
        <v>1091</v>
      </c>
      <c r="G502" s="12">
        <f t="shared" si="7"/>
        <v>6.416666666666667</v>
      </c>
    </row>
    <row r="503" spans="1:7" x14ac:dyDescent="0.2">
      <c r="A503" s="5">
        <v>4157</v>
      </c>
      <c r="B503" s="5">
        <v>7</v>
      </c>
      <c r="C503" s="8" t="s">
        <v>503</v>
      </c>
      <c r="D503" s="6">
        <v>450</v>
      </c>
      <c r="E503" s="6">
        <v>172</v>
      </c>
      <c r="F503" s="6">
        <v>1290</v>
      </c>
      <c r="G503" s="12">
        <f t="shared" si="7"/>
        <v>7.5</v>
      </c>
    </row>
    <row r="504" spans="1:7" x14ac:dyDescent="0.2">
      <c r="A504" s="5">
        <v>4158</v>
      </c>
      <c r="B504" s="5">
        <v>7</v>
      </c>
      <c r="C504" s="8" t="s">
        <v>504</v>
      </c>
      <c r="D504" s="6">
        <v>480</v>
      </c>
      <c r="E504" s="6">
        <v>179</v>
      </c>
      <c r="F504" s="6">
        <v>1432</v>
      </c>
      <c r="G504" s="12">
        <f t="shared" si="7"/>
        <v>8</v>
      </c>
    </row>
    <row r="505" spans="1:7" x14ac:dyDescent="0.2">
      <c r="A505" s="5">
        <v>4159</v>
      </c>
      <c r="B505" s="5">
        <v>7</v>
      </c>
      <c r="C505" s="8" t="s">
        <v>505</v>
      </c>
      <c r="D505" s="6">
        <v>390</v>
      </c>
      <c r="E505" s="6">
        <v>200</v>
      </c>
      <c r="F505" s="6">
        <v>1300</v>
      </c>
      <c r="G505" s="12">
        <f t="shared" si="7"/>
        <v>6.5</v>
      </c>
    </row>
    <row r="506" spans="1:7" x14ac:dyDescent="0.2">
      <c r="A506" s="5">
        <v>4160</v>
      </c>
      <c r="B506" s="5">
        <v>7</v>
      </c>
      <c r="C506" s="8" t="s">
        <v>506</v>
      </c>
      <c r="D506" s="6">
        <v>480</v>
      </c>
      <c r="E506" s="6">
        <v>190</v>
      </c>
      <c r="F506" s="6">
        <v>1520</v>
      </c>
      <c r="G506" s="12">
        <f t="shared" si="7"/>
        <v>8</v>
      </c>
    </row>
    <row r="507" spans="1:7" x14ac:dyDescent="0.2">
      <c r="A507" s="5">
        <v>4161</v>
      </c>
      <c r="B507" s="5">
        <v>7</v>
      </c>
      <c r="C507" s="8" t="s">
        <v>507</v>
      </c>
      <c r="D507" s="6">
        <v>480</v>
      </c>
      <c r="E507" s="6">
        <v>182</v>
      </c>
      <c r="F507" s="6">
        <v>1456</v>
      </c>
      <c r="G507" s="12">
        <f t="shared" si="7"/>
        <v>8</v>
      </c>
    </row>
    <row r="508" spans="1:7" x14ac:dyDescent="0.2">
      <c r="A508" s="5">
        <v>4162</v>
      </c>
      <c r="B508" s="5">
        <v>7</v>
      </c>
      <c r="C508" s="8" t="s">
        <v>508</v>
      </c>
      <c r="D508" s="6">
        <v>480</v>
      </c>
      <c r="E508" s="6">
        <v>192</v>
      </c>
      <c r="F508" s="6">
        <v>1536</v>
      </c>
      <c r="G508" s="12">
        <f t="shared" si="7"/>
        <v>8</v>
      </c>
    </row>
    <row r="509" spans="1:7" x14ac:dyDescent="0.2">
      <c r="A509" s="5">
        <v>4163</v>
      </c>
      <c r="B509" s="5">
        <v>7</v>
      </c>
      <c r="C509" s="8" t="s">
        <v>509</v>
      </c>
      <c r="D509" s="6">
        <v>510</v>
      </c>
      <c r="E509" s="6">
        <v>185</v>
      </c>
      <c r="F509" s="6">
        <v>1573</v>
      </c>
      <c r="G509" s="12">
        <f t="shared" si="7"/>
        <v>8.5</v>
      </c>
    </row>
    <row r="510" spans="1:7" x14ac:dyDescent="0.2">
      <c r="A510" s="5">
        <v>4165</v>
      </c>
      <c r="B510" s="5">
        <v>7</v>
      </c>
      <c r="C510" s="8" t="s">
        <v>510</v>
      </c>
      <c r="D510" s="6">
        <v>400</v>
      </c>
      <c r="E510" s="6">
        <v>190</v>
      </c>
      <c r="F510" s="6">
        <v>1267</v>
      </c>
      <c r="G510" s="12">
        <f t="shared" si="7"/>
        <v>6.666666666666667</v>
      </c>
    </row>
    <row r="511" spans="1:7" x14ac:dyDescent="0.2">
      <c r="A511" s="5">
        <v>4166</v>
      </c>
      <c r="B511" s="5">
        <v>7</v>
      </c>
      <c r="C511" s="8" t="s">
        <v>510</v>
      </c>
      <c r="D511" s="6">
        <v>360</v>
      </c>
      <c r="E511" s="6">
        <v>180</v>
      </c>
      <c r="F511" s="6">
        <v>1080</v>
      </c>
      <c r="G511" s="12">
        <f t="shared" si="7"/>
        <v>6</v>
      </c>
    </row>
    <row r="512" spans="1:7" x14ac:dyDescent="0.2">
      <c r="A512" s="5">
        <v>4167</v>
      </c>
      <c r="B512" s="5">
        <v>7</v>
      </c>
      <c r="C512" s="8" t="s">
        <v>510</v>
      </c>
      <c r="D512" s="6">
        <v>480</v>
      </c>
      <c r="E512" s="6">
        <v>171</v>
      </c>
      <c r="F512" s="6">
        <v>1368</v>
      </c>
      <c r="G512" s="12">
        <f t="shared" si="7"/>
        <v>8</v>
      </c>
    </row>
    <row r="513" spans="1:12" x14ac:dyDescent="0.2">
      <c r="A513" s="5">
        <v>4168</v>
      </c>
      <c r="B513" s="5">
        <v>7</v>
      </c>
      <c r="C513" s="8" t="s">
        <v>510</v>
      </c>
      <c r="D513" s="6">
        <v>480</v>
      </c>
      <c r="E513" s="6">
        <v>183</v>
      </c>
      <c r="F513" s="6">
        <v>1464</v>
      </c>
      <c r="G513" s="12">
        <f t="shared" si="7"/>
        <v>8</v>
      </c>
    </row>
    <row r="514" spans="1:12" x14ac:dyDescent="0.2">
      <c r="A514" s="5">
        <v>4169</v>
      </c>
      <c r="B514" s="5">
        <v>7</v>
      </c>
      <c r="C514" s="8" t="s">
        <v>510</v>
      </c>
      <c r="D514" s="6">
        <v>480</v>
      </c>
      <c r="E514" s="6">
        <v>196</v>
      </c>
      <c r="F514" s="6">
        <v>1568</v>
      </c>
      <c r="G514" s="12">
        <f t="shared" si="7"/>
        <v>8</v>
      </c>
    </row>
    <row r="515" spans="1:12" x14ac:dyDescent="0.2">
      <c r="A515" s="5">
        <v>4170</v>
      </c>
      <c r="B515" s="5">
        <v>7</v>
      </c>
      <c r="C515" s="8" t="s">
        <v>510</v>
      </c>
      <c r="D515" s="6">
        <v>570</v>
      </c>
      <c r="E515" s="6">
        <v>195</v>
      </c>
      <c r="F515" s="6">
        <v>1853</v>
      </c>
      <c r="G515" s="12">
        <f t="shared" si="7"/>
        <v>9.5</v>
      </c>
    </row>
    <row r="516" spans="1:12" x14ac:dyDescent="0.2">
      <c r="A516" s="5">
        <v>4171</v>
      </c>
      <c r="B516" s="5">
        <v>7</v>
      </c>
      <c r="C516" s="8" t="s">
        <v>510</v>
      </c>
      <c r="D516" s="6">
        <v>480</v>
      </c>
      <c r="E516" s="6">
        <v>193</v>
      </c>
      <c r="F516" s="6">
        <v>1544</v>
      </c>
      <c r="G516" s="12">
        <f t="shared" si="7"/>
        <v>8</v>
      </c>
    </row>
    <row r="517" spans="1:12" x14ac:dyDescent="0.2">
      <c r="A517" s="5">
        <v>4172</v>
      </c>
      <c r="B517" s="5">
        <v>7</v>
      </c>
      <c r="C517" s="8" t="s">
        <v>510</v>
      </c>
      <c r="D517" s="6">
        <v>480</v>
      </c>
      <c r="E517" s="6">
        <v>183</v>
      </c>
      <c r="F517" s="6">
        <v>1464</v>
      </c>
      <c r="G517" s="12">
        <f t="shared" si="7"/>
        <v>8</v>
      </c>
    </row>
    <row r="518" spans="1:12" x14ac:dyDescent="0.2">
      <c r="A518" s="5">
        <v>4173</v>
      </c>
      <c r="B518" s="5">
        <v>7</v>
      </c>
      <c r="C518" s="8" t="s">
        <v>510</v>
      </c>
      <c r="D518" s="6">
        <v>480</v>
      </c>
      <c r="E518" s="6">
        <v>210</v>
      </c>
      <c r="F518" s="6">
        <v>1680</v>
      </c>
      <c r="G518" s="12">
        <f t="shared" si="7"/>
        <v>8</v>
      </c>
    </row>
    <row r="519" spans="1:12" x14ac:dyDescent="0.2">
      <c r="A519" s="5">
        <v>4174</v>
      </c>
      <c r="B519" s="5">
        <v>7</v>
      </c>
      <c r="C519" s="8" t="s">
        <v>510</v>
      </c>
      <c r="D519" s="6">
        <v>420</v>
      </c>
      <c r="E519" s="6">
        <v>170</v>
      </c>
      <c r="F519" s="6">
        <v>1190</v>
      </c>
      <c r="G519" s="12">
        <f t="shared" si="7"/>
        <v>7</v>
      </c>
    </row>
    <row r="520" spans="1:12" x14ac:dyDescent="0.2">
      <c r="A520" s="5">
        <v>4175</v>
      </c>
      <c r="B520" s="5">
        <v>7</v>
      </c>
      <c r="C520" s="8" t="s">
        <v>510</v>
      </c>
      <c r="D520" s="6">
        <v>420</v>
      </c>
      <c r="E520" s="6">
        <v>192</v>
      </c>
      <c r="F520" s="6">
        <v>1344</v>
      </c>
      <c r="G520" s="12">
        <f t="shared" si="7"/>
        <v>7</v>
      </c>
    </row>
    <row r="521" spans="1:12" x14ac:dyDescent="0.2">
      <c r="A521" s="5">
        <v>4176</v>
      </c>
      <c r="B521" s="5">
        <v>7</v>
      </c>
      <c r="C521" s="8" t="s">
        <v>510</v>
      </c>
      <c r="D521" s="6">
        <v>450</v>
      </c>
      <c r="E521" s="6">
        <v>195</v>
      </c>
      <c r="F521" s="6">
        <v>1463</v>
      </c>
      <c r="G521" s="12">
        <f t="shared" si="7"/>
        <v>7.5</v>
      </c>
      <c r="I521" s="6"/>
      <c r="J521" s="5"/>
      <c r="K521" s="5"/>
      <c r="L521" s="8"/>
    </row>
    <row r="522" spans="1:12" x14ac:dyDescent="0.2">
      <c r="A522" s="5">
        <v>4177</v>
      </c>
      <c r="B522" s="5">
        <v>7</v>
      </c>
      <c r="C522" s="8" t="s">
        <v>510</v>
      </c>
      <c r="D522" s="6">
        <v>480</v>
      </c>
      <c r="E522" s="6">
        <v>180</v>
      </c>
      <c r="F522" s="6">
        <v>1440</v>
      </c>
      <c r="G522" s="12">
        <f t="shared" si="7"/>
        <v>8</v>
      </c>
      <c r="I522" s="7"/>
      <c r="J522" s="5"/>
      <c r="K522" s="5"/>
      <c r="L522" s="8"/>
    </row>
    <row r="523" spans="1:12" x14ac:dyDescent="0.2">
      <c r="A523" s="5">
        <v>4178</v>
      </c>
      <c r="B523" s="5">
        <v>7</v>
      </c>
      <c r="C523" s="8" t="s">
        <v>510</v>
      </c>
      <c r="D523" s="6">
        <v>450</v>
      </c>
      <c r="E523" s="6">
        <v>183</v>
      </c>
      <c r="F523" s="6">
        <v>1373</v>
      </c>
      <c r="G523" s="12">
        <f t="shared" si="7"/>
        <v>7.5</v>
      </c>
      <c r="I523" s="7"/>
      <c r="J523" s="5"/>
      <c r="K523" s="5"/>
      <c r="L523" s="8"/>
    </row>
    <row r="524" spans="1:12" x14ac:dyDescent="0.2">
      <c r="A524" s="5">
        <v>4180</v>
      </c>
      <c r="B524" s="5">
        <v>7</v>
      </c>
      <c r="C524" s="8" t="s">
        <v>510</v>
      </c>
      <c r="D524" s="6">
        <v>450</v>
      </c>
      <c r="E524" s="6">
        <v>177</v>
      </c>
      <c r="F524" s="6">
        <v>1328</v>
      </c>
      <c r="G524" s="12">
        <f t="shared" ref="G524:G541" si="8">D524/60</f>
        <v>7.5</v>
      </c>
      <c r="I524" s="7"/>
      <c r="J524" s="5"/>
      <c r="K524" s="5"/>
      <c r="L524" s="8"/>
    </row>
    <row r="525" spans="1:12" x14ac:dyDescent="0.2">
      <c r="A525" s="5">
        <v>4181</v>
      </c>
      <c r="B525" s="5">
        <v>7</v>
      </c>
      <c r="C525" s="8" t="s">
        <v>510</v>
      </c>
      <c r="D525" s="6">
        <v>480</v>
      </c>
      <c r="E525" s="6">
        <v>176</v>
      </c>
      <c r="F525" s="6">
        <v>1408</v>
      </c>
      <c r="G525" s="12">
        <f t="shared" si="8"/>
        <v>8</v>
      </c>
      <c r="I525" s="7"/>
      <c r="J525" s="5"/>
      <c r="K525" s="5"/>
      <c r="L525" s="8"/>
    </row>
    <row r="526" spans="1:12" x14ac:dyDescent="0.2">
      <c r="A526" s="5">
        <v>6004</v>
      </c>
      <c r="B526" s="5">
        <v>61</v>
      </c>
      <c r="C526" s="8" t="s">
        <v>510</v>
      </c>
      <c r="D526" s="6">
        <v>450</v>
      </c>
      <c r="E526" s="6">
        <v>180</v>
      </c>
      <c r="F526" s="6">
        <v>1350</v>
      </c>
      <c r="G526" s="12">
        <f t="shared" si="8"/>
        <v>7.5</v>
      </c>
      <c r="I526" s="7"/>
      <c r="J526" s="5"/>
      <c r="K526" s="5"/>
      <c r="L526" s="8"/>
    </row>
    <row r="527" spans="1:12" x14ac:dyDescent="0.2">
      <c r="A527" s="5">
        <v>6012</v>
      </c>
      <c r="B527" s="5">
        <v>61</v>
      </c>
      <c r="C527" s="8" t="s">
        <v>510</v>
      </c>
      <c r="D527" s="6">
        <v>455</v>
      </c>
      <c r="E527" s="6">
        <v>186</v>
      </c>
      <c r="F527" s="6">
        <v>1411</v>
      </c>
      <c r="G527" s="12">
        <f t="shared" si="8"/>
        <v>7.583333333333333</v>
      </c>
      <c r="I527" s="7"/>
      <c r="J527" s="5"/>
      <c r="K527" s="5"/>
      <c r="L527" s="8"/>
    </row>
    <row r="528" spans="1:12" x14ac:dyDescent="0.2">
      <c r="A528" s="5">
        <v>6013</v>
      </c>
      <c r="B528" s="5">
        <v>61</v>
      </c>
      <c r="C528" s="8" t="s">
        <v>510</v>
      </c>
      <c r="D528" s="6">
        <v>480</v>
      </c>
      <c r="E528" s="6">
        <v>185</v>
      </c>
      <c r="F528" s="6">
        <v>1480</v>
      </c>
      <c r="G528" s="12">
        <f t="shared" si="8"/>
        <v>8</v>
      </c>
      <c r="I528" s="7"/>
      <c r="J528" s="5"/>
      <c r="K528" s="5"/>
      <c r="L528" s="8"/>
    </row>
    <row r="529" spans="1:12" x14ac:dyDescent="0.2">
      <c r="A529" s="5">
        <v>6014</v>
      </c>
      <c r="B529" s="5">
        <v>61</v>
      </c>
      <c r="C529" s="8" t="s">
        <v>510</v>
      </c>
      <c r="D529" s="6">
        <v>450</v>
      </c>
      <c r="E529" s="6">
        <v>183</v>
      </c>
      <c r="F529" s="6">
        <v>1373</v>
      </c>
      <c r="G529" s="12">
        <f t="shared" si="8"/>
        <v>7.5</v>
      </c>
      <c r="I529" s="7"/>
      <c r="J529" s="5"/>
      <c r="K529" s="5"/>
      <c r="L529" s="8"/>
    </row>
    <row r="530" spans="1:12" x14ac:dyDescent="0.2">
      <c r="A530" s="5">
        <v>6018</v>
      </c>
      <c r="B530" s="5">
        <v>61</v>
      </c>
      <c r="C530" s="8" t="s">
        <v>510</v>
      </c>
      <c r="D530" s="6">
        <v>450</v>
      </c>
      <c r="E530" s="6">
        <v>182</v>
      </c>
      <c r="F530" s="6">
        <v>1365</v>
      </c>
      <c r="G530" s="12">
        <f t="shared" si="8"/>
        <v>7.5</v>
      </c>
      <c r="I530" s="7"/>
      <c r="J530" s="5"/>
      <c r="K530" s="5"/>
      <c r="L530" s="8"/>
    </row>
    <row r="531" spans="1:12" x14ac:dyDescent="0.2">
      <c r="A531" s="5">
        <v>6026</v>
      </c>
      <c r="B531" s="5">
        <v>61</v>
      </c>
      <c r="C531" s="8" t="s">
        <v>510</v>
      </c>
      <c r="D531" s="6">
        <v>450</v>
      </c>
      <c r="E531" s="6">
        <v>182</v>
      </c>
      <c r="F531" s="6">
        <v>1365</v>
      </c>
      <c r="G531" s="12">
        <f t="shared" si="8"/>
        <v>7.5</v>
      </c>
      <c r="I531" s="7"/>
      <c r="J531" s="5"/>
      <c r="K531" s="5"/>
      <c r="L531" s="8"/>
    </row>
    <row r="532" spans="1:12" x14ac:dyDescent="0.2">
      <c r="A532" s="5">
        <v>6027</v>
      </c>
      <c r="B532" s="5">
        <v>61</v>
      </c>
      <c r="C532" s="8" t="s">
        <v>510</v>
      </c>
      <c r="D532" s="6">
        <v>450</v>
      </c>
      <c r="E532" s="6">
        <v>183</v>
      </c>
      <c r="F532" s="6">
        <v>1373</v>
      </c>
      <c r="G532" s="12">
        <f t="shared" si="8"/>
        <v>7.5</v>
      </c>
      <c r="I532" s="7"/>
      <c r="J532" s="5"/>
      <c r="K532" s="5"/>
      <c r="L532" s="8"/>
    </row>
    <row r="533" spans="1:12" x14ac:dyDescent="0.2">
      <c r="A533" s="5">
        <v>6042</v>
      </c>
      <c r="B533" s="5">
        <v>61</v>
      </c>
      <c r="C533" s="8" t="s">
        <v>510</v>
      </c>
      <c r="D533" s="6">
        <v>480</v>
      </c>
      <c r="E533" s="6">
        <v>183</v>
      </c>
      <c r="F533" s="6">
        <v>1464</v>
      </c>
      <c r="G533" s="12">
        <f t="shared" si="8"/>
        <v>8</v>
      </c>
      <c r="I533" s="7"/>
      <c r="J533" s="5"/>
      <c r="K533" s="5"/>
      <c r="L533" s="8"/>
    </row>
    <row r="534" spans="1:12" x14ac:dyDescent="0.2">
      <c r="A534" s="5">
        <v>6049</v>
      </c>
      <c r="B534" s="5">
        <v>61</v>
      </c>
      <c r="C534" s="8" t="s">
        <v>510</v>
      </c>
      <c r="D534" s="6">
        <v>480</v>
      </c>
      <c r="E534" s="6">
        <v>185</v>
      </c>
      <c r="F534" s="6">
        <v>1480</v>
      </c>
      <c r="G534" s="12">
        <f t="shared" si="8"/>
        <v>8</v>
      </c>
      <c r="I534" s="7"/>
      <c r="J534" s="5"/>
      <c r="K534" s="5"/>
      <c r="L534" s="8"/>
    </row>
    <row r="535" spans="1:12" x14ac:dyDescent="0.2">
      <c r="A535" s="5">
        <v>6051</v>
      </c>
      <c r="B535" s="5">
        <v>61</v>
      </c>
      <c r="C535" s="8" t="s">
        <v>510</v>
      </c>
      <c r="D535" s="6">
        <v>480</v>
      </c>
      <c r="E535" s="6">
        <v>185</v>
      </c>
      <c r="F535" s="6">
        <v>1480</v>
      </c>
      <c r="G535" s="12">
        <f t="shared" si="8"/>
        <v>8</v>
      </c>
      <c r="I535" s="7"/>
      <c r="J535" s="5"/>
      <c r="K535" s="5"/>
      <c r="L535" s="8"/>
    </row>
    <row r="536" spans="1:12" x14ac:dyDescent="0.2">
      <c r="A536" s="5">
        <v>6067</v>
      </c>
      <c r="B536" s="5">
        <v>62</v>
      </c>
      <c r="C536" s="8" t="s">
        <v>510</v>
      </c>
      <c r="D536" s="6">
        <v>375</v>
      </c>
      <c r="E536" s="6">
        <v>191</v>
      </c>
      <c r="F536" s="6">
        <v>1194</v>
      </c>
      <c r="G536" s="12">
        <f t="shared" si="8"/>
        <v>6.25</v>
      </c>
      <c r="I536" s="7"/>
      <c r="J536" s="5"/>
      <c r="K536" s="5"/>
      <c r="L536" s="8"/>
    </row>
    <row r="537" spans="1:12" x14ac:dyDescent="0.2">
      <c r="A537" s="5">
        <v>6069</v>
      </c>
      <c r="B537" s="5">
        <v>62</v>
      </c>
      <c r="C537" s="8" t="s">
        <v>510</v>
      </c>
      <c r="D537" s="6">
        <v>390</v>
      </c>
      <c r="E537" s="6">
        <v>184</v>
      </c>
      <c r="F537" s="6">
        <v>1196</v>
      </c>
      <c r="G537" s="12">
        <f t="shared" si="8"/>
        <v>6.5</v>
      </c>
      <c r="I537" s="7"/>
      <c r="J537" s="5"/>
      <c r="K537" s="5"/>
      <c r="L537" s="8"/>
    </row>
    <row r="538" spans="1:12" x14ac:dyDescent="0.2">
      <c r="A538" s="5">
        <v>6072</v>
      </c>
      <c r="B538" s="5">
        <v>62</v>
      </c>
      <c r="C538" s="8" t="s">
        <v>510</v>
      </c>
      <c r="D538" s="6">
        <v>480</v>
      </c>
      <c r="E538" s="6">
        <v>184</v>
      </c>
      <c r="F538" s="6">
        <v>1472</v>
      </c>
      <c r="G538" s="12">
        <f t="shared" si="8"/>
        <v>8</v>
      </c>
      <c r="I538" s="7"/>
      <c r="J538" s="5"/>
      <c r="K538" s="5"/>
      <c r="L538" s="8"/>
    </row>
    <row r="539" spans="1:12" x14ac:dyDescent="0.2">
      <c r="A539" s="5">
        <v>6076</v>
      </c>
      <c r="B539" s="5">
        <v>50</v>
      </c>
      <c r="C539" s="8" t="s">
        <v>510</v>
      </c>
      <c r="D539" s="6">
        <v>480</v>
      </c>
      <c r="E539" s="6">
        <v>180</v>
      </c>
      <c r="F539" s="6">
        <v>1440</v>
      </c>
      <c r="G539" s="12">
        <f t="shared" si="8"/>
        <v>8</v>
      </c>
      <c r="I539" s="7"/>
      <c r="J539" s="5"/>
      <c r="K539" s="5"/>
      <c r="L539" s="8"/>
    </row>
    <row r="540" spans="1:12" x14ac:dyDescent="0.2">
      <c r="A540" s="5">
        <v>6383</v>
      </c>
      <c r="B540" s="5">
        <v>61</v>
      </c>
      <c r="C540" s="8" t="s">
        <v>510</v>
      </c>
      <c r="D540" s="6">
        <v>450</v>
      </c>
      <c r="E540" s="6">
        <v>182</v>
      </c>
      <c r="F540" s="6">
        <v>1365</v>
      </c>
      <c r="G540" s="12">
        <f t="shared" si="8"/>
        <v>7.5</v>
      </c>
      <c r="I540" s="7"/>
      <c r="J540" s="5"/>
      <c r="K540" s="5"/>
      <c r="L540" s="8"/>
    </row>
    <row r="541" spans="1:12" x14ac:dyDescent="0.2">
      <c r="A541" s="5">
        <v>6979</v>
      </c>
      <c r="B541" s="5">
        <v>61</v>
      </c>
      <c r="C541" s="8" t="s">
        <v>510</v>
      </c>
      <c r="D541" s="6">
        <v>450</v>
      </c>
      <c r="E541" s="6">
        <v>182</v>
      </c>
      <c r="F541" s="6">
        <v>1365</v>
      </c>
      <c r="G541" s="12">
        <f t="shared" si="8"/>
        <v>7.5</v>
      </c>
      <c r="I541" s="7"/>
      <c r="J541" s="5"/>
      <c r="K541" s="5"/>
      <c r="L541" s="8"/>
    </row>
    <row r="542" spans="1:12" x14ac:dyDescent="0.2">
      <c r="I542" s="7"/>
      <c r="J542" s="5"/>
      <c r="K542" s="5"/>
      <c r="L542" s="8"/>
    </row>
    <row r="543" spans="1:12" x14ac:dyDescent="0.2">
      <c r="I543" s="7"/>
      <c r="J543" s="5"/>
      <c r="K543" s="5"/>
      <c r="L543" s="8"/>
    </row>
    <row r="544" spans="1:12" x14ac:dyDescent="0.2">
      <c r="I544" s="7"/>
      <c r="J544" s="5"/>
      <c r="K544" s="5"/>
      <c r="L544" s="8"/>
    </row>
    <row r="545" spans="9:12" x14ac:dyDescent="0.2">
      <c r="I545" s="7"/>
      <c r="J545" s="5"/>
      <c r="K545" s="5"/>
      <c r="L545" s="8"/>
    </row>
    <row r="546" spans="9:12" x14ac:dyDescent="0.2">
      <c r="I546" s="7"/>
      <c r="J546" s="5"/>
      <c r="K546" s="5"/>
      <c r="L546" s="8"/>
    </row>
    <row r="547" spans="9:12" x14ac:dyDescent="0.2">
      <c r="I547" s="7"/>
      <c r="J547" s="5"/>
      <c r="K547" s="5"/>
      <c r="L547" s="8"/>
    </row>
    <row r="548" spans="9:12" x14ac:dyDescent="0.2">
      <c r="I548" s="7"/>
      <c r="J548" s="5"/>
      <c r="K548" s="5"/>
      <c r="L548" s="8"/>
    </row>
    <row r="549" spans="9:12" x14ac:dyDescent="0.2">
      <c r="I549" s="7"/>
      <c r="J549" s="5"/>
      <c r="K549" s="5"/>
      <c r="L549" s="8"/>
    </row>
    <row r="550" spans="9:12" x14ac:dyDescent="0.2">
      <c r="I550" s="7"/>
      <c r="J550" s="5"/>
      <c r="K550" s="5"/>
      <c r="L550" s="8"/>
    </row>
    <row r="551" spans="9:12" x14ac:dyDescent="0.2">
      <c r="I551" s="7"/>
      <c r="J551" s="5"/>
      <c r="K551" s="5"/>
      <c r="L551" s="8"/>
    </row>
    <row r="552" spans="9:12" x14ac:dyDescent="0.2">
      <c r="I552" s="7"/>
      <c r="J552" s="5"/>
      <c r="K552" s="5"/>
      <c r="L552" s="8"/>
    </row>
    <row r="553" spans="9:12" x14ac:dyDescent="0.2">
      <c r="I553" s="7"/>
      <c r="J553" s="5"/>
      <c r="K553" s="5"/>
      <c r="L553" s="8"/>
    </row>
    <row r="554" spans="9:12" x14ac:dyDescent="0.2">
      <c r="I554" s="7"/>
      <c r="J554" s="5"/>
      <c r="K554" s="5"/>
      <c r="L554" s="8"/>
    </row>
    <row r="555" spans="9:12" x14ac:dyDescent="0.2">
      <c r="I555" s="7"/>
      <c r="J555" s="5"/>
      <c r="K555" s="5"/>
      <c r="L555" s="8"/>
    </row>
    <row r="556" spans="9:12" x14ac:dyDescent="0.2">
      <c r="I556" s="7"/>
      <c r="J556" s="5"/>
      <c r="K556" s="5"/>
      <c r="L556" s="8"/>
    </row>
    <row r="557" spans="9:12" x14ac:dyDescent="0.2">
      <c r="I557" s="7"/>
      <c r="J557" s="5"/>
      <c r="K557" s="5"/>
      <c r="L557" s="8"/>
    </row>
    <row r="558" spans="9:12" x14ac:dyDescent="0.2">
      <c r="I558" s="7"/>
      <c r="J558" s="5"/>
      <c r="K558" s="5"/>
      <c r="L558" s="8"/>
    </row>
    <row r="559" spans="9:12" x14ac:dyDescent="0.2">
      <c r="I559" s="7"/>
      <c r="J559" s="5"/>
      <c r="K559" s="5"/>
      <c r="L559" s="8"/>
    </row>
    <row r="560" spans="9:12" x14ac:dyDescent="0.2">
      <c r="I560" s="7"/>
      <c r="J560" s="5"/>
      <c r="K560" s="5"/>
      <c r="L560" s="8"/>
    </row>
    <row r="561" spans="9:12" x14ac:dyDescent="0.2">
      <c r="I561" s="7"/>
      <c r="J561" s="5"/>
      <c r="K561" s="5"/>
      <c r="L561" s="8"/>
    </row>
    <row r="562" spans="9:12" x14ac:dyDescent="0.2">
      <c r="I562" s="7"/>
      <c r="J562" s="5"/>
      <c r="K562" s="5"/>
      <c r="L562" s="8"/>
    </row>
    <row r="563" spans="9:12" x14ac:dyDescent="0.2">
      <c r="I563" s="7"/>
      <c r="J563" s="5"/>
      <c r="K563" s="5"/>
      <c r="L563" s="8"/>
    </row>
    <row r="564" spans="9:12" x14ac:dyDescent="0.2">
      <c r="I564" s="7"/>
      <c r="J564" s="5"/>
      <c r="K564" s="5"/>
      <c r="L564" s="8"/>
    </row>
    <row r="565" spans="9:12" x14ac:dyDescent="0.2">
      <c r="I565" s="7"/>
      <c r="J565" s="5"/>
      <c r="K565" s="5"/>
      <c r="L565" s="8"/>
    </row>
    <row r="566" spans="9:12" x14ac:dyDescent="0.2">
      <c r="I566" s="7"/>
      <c r="J566" s="5"/>
      <c r="K566" s="5"/>
      <c r="L566" s="8"/>
    </row>
    <row r="567" spans="9:12" x14ac:dyDescent="0.2">
      <c r="I567" s="7"/>
      <c r="J567" s="5"/>
      <c r="K567" s="5"/>
      <c r="L567" s="8"/>
    </row>
    <row r="568" spans="9:12" x14ac:dyDescent="0.2">
      <c r="I568" s="7"/>
      <c r="J568" s="5"/>
      <c r="K568" s="5"/>
      <c r="L568" s="8"/>
    </row>
    <row r="569" spans="9:12" x14ac:dyDescent="0.2">
      <c r="I569" s="7"/>
      <c r="J569" s="5"/>
      <c r="K569" s="5"/>
      <c r="L569" s="8"/>
    </row>
    <row r="570" spans="9:12" x14ac:dyDescent="0.2">
      <c r="I570" s="7"/>
      <c r="J570" s="5"/>
      <c r="K570" s="5"/>
      <c r="L570" s="8"/>
    </row>
    <row r="571" spans="9:12" x14ac:dyDescent="0.2">
      <c r="I571" s="7"/>
      <c r="J571" s="5"/>
      <c r="K571" s="5"/>
      <c r="L571" s="8"/>
    </row>
    <row r="572" spans="9:12" x14ac:dyDescent="0.2">
      <c r="I572" s="7"/>
      <c r="J572" s="5"/>
      <c r="K572" s="5"/>
      <c r="L572" s="8"/>
    </row>
    <row r="573" spans="9:12" x14ac:dyDescent="0.2">
      <c r="I573" s="7"/>
      <c r="J573" s="5"/>
      <c r="K573" s="5"/>
      <c r="L573" s="8"/>
    </row>
    <row r="574" spans="9:12" x14ac:dyDescent="0.2">
      <c r="I574" s="7"/>
      <c r="J574" s="5"/>
      <c r="K574" s="5"/>
      <c r="L574" s="8"/>
    </row>
    <row r="575" spans="9:12" x14ac:dyDescent="0.2">
      <c r="I575" s="7"/>
      <c r="J575" s="5"/>
      <c r="K575" s="5"/>
      <c r="L575" s="8"/>
    </row>
    <row r="576" spans="9:12" x14ac:dyDescent="0.2">
      <c r="I576" s="7"/>
      <c r="J576" s="5"/>
      <c r="K576" s="5"/>
      <c r="L576" s="8"/>
    </row>
    <row r="577" spans="9:12" x14ac:dyDescent="0.2">
      <c r="I577" s="7"/>
      <c r="J577" s="5"/>
      <c r="K577" s="5"/>
      <c r="L577" s="8"/>
    </row>
    <row r="578" spans="9:12" x14ac:dyDescent="0.2">
      <c r="I578" s="7"/>
      <c r="J578" s="5"/>
      <c r="K578" s="5"/>
      <c r="L578" s="8"/>
    </row>
    <row r="579" spans="9:12" x14ac:dyDescent="0.2">
      <c r="I579" s="7"/>
      <c r="J579" s="5"/>
      <c r="K579" s="5"/>
      <c r="L579" s="8"/>
    </row>
    <row r="580" spans="9:12" x14ac:dyDescent="0.2">
      <c r="I580" s="7"/>
      <c r="J580" s="5"/>
      <c r="K580" s="5"/>
      <c r="L580" s="8"/>
    </row>
    <row r="581" spans="9:12" x14ac:dyDescent="0.2">
      <c r="I581" s="7"/>
      <c r="J581" s="5"/>
      <c r="K581" s="5"/>
      <c r="L581" s="8"/>
    </row>
    <row r="582" spans="9:12" x14ac:dyDescent="0.2">
      <c r="I582" s="7"/>
      <c r="J582" s="5"/>
      <c r="K582" s="5"/>
      <c r="L582" s="8"/>
    </row>
    <row r="583" spans="9:12" x14ac:dyDescent="0.2">
      <c r="I583" s="7"/>
      <c r="J583" s="5"/>
      <c r="K583" s="5"/>
      <c r="L583" s="8"/>
    </row>
    <row r="584" spans="9:12" x14ac:dyDescent="0.2">
      <c r="I584" s="7"/>
      <c r="J584" s="5"/>
      <c r="K584" s="5"/>
      <c r="L584" s="8"/>
    </row>
    <row r="585" spans="9:12" x14ac:dyDescent="0.2">
      <c r="I585" s="7"/>
      <c r="J585" s="5"/>
      <c r="K585" s="5"/>
      <c r="L585" s="8"/>
    </row>
    <row r="586" spans="9:12" x14ac:dyDescent="0.2">
      <c r="I586" s="7"/>
      <c r="J586" s="5"/>
      <c r="K586" s="5"/>
      <c r="L586" s="8"/>
    </row>
    <row r="587" spans="9:12" x14ac:dyDescent="0.2">
      <c r="I587" s="7"/>
      <c r="J587" s="5"/>
      <c r="K587" s="5"/>
      <c r="L587" s="8"/>
    </row>
    <row r="588" spans="9:12" x14ac:dyDescent="0.2">
      <c r="I588" s="7"/>
      <c r="J588" s="5"/>
      <c r="K588" s="5"/>
      <c r="L588" s="8"/>
    </row>
    <row r="589" spans="9:12" x14ac:dyDescent="0.2">
      <c r="I589" s="7"/>
      <c r="J589" s="5"/>
      <c r="K589" s="5"/>
      <c r="L589" s="8"/>
    </row>
    <row r="590" spans="9:12" x14ac:dyDescent="0.2">
      <c r="I590" s="7"/>
      <c r="J590" s="5"/>
      <c r="K590" s="5"/>
      <c r="L590" s="8"/>
    </row>
    <row r="591" spans="9:12" x14ac:dyDescent="0.2">
      <c r="I591" s="7"/>
      <c r="J591" s="5"/>
      <c r="K591" s="5"/>
      <c r="L591" s="8"/>
    </row>
    <row r="592" spans="9:12" x14ac:dyDescent="0.2">
      <c r="I592" s="7"/>
      <c r="J592" s="5"/>
      <c r="K592" s="5"/>
      <c r="L592" s="8"/>
    </row>
    <row r="593" spans="9:12" x14ac:dyDescent="0.2">
      <c r="I593" s="7"/>
      <c r="J593" s="5"/>
      <c r="K593" s="5"/>
      <c r="L593" s="8"/>
    </row>
    <row r="594" spans="9:12" x14ac:dyDescent="0.2">
      <c r="I594" s="7"/>
      <c r="J594" s="5"/>
      <c r="K594" s="5"/>
      <c r="L594" s="8"/>
    </row>
    <row r="595" spans="9:12" x14ac:dyDescent="0.2">
      <c r="I595" s="7"/>
      <c r="J595" s="5"/>
      <c r="K595" s="5"/>
      <c r="L595" s="8"/>
    </row>
    <row r="596" spans="9:12" x14ac:dyDescent="0.2">
      <c r="I596" s="7"/>
      <c r="J596" s="5"/>
      <c r="K596" s="5"/>
      <c r="L596" s="8"/>
    </row>
    <row r="597" spans="9:12" x14ac:dyDescent="0.2">
      <c r="I597" s="7"/>
      <c r="J597" s="5"/>
      <c r="K597" s="5"/>
      <c r="L597" s="8"/>
    </row>
    <row r="598" spans="9:12" x14ac:dyDescent="0.2">
      <c r="I598" s="7"/>
      <c r="J598" s="5"/>
      <c r="K598" s="5"/>
      <c r="L598" s="8"/>
    </row>
    <row r="599" spans="9:12" x14ac:dyDescent="0.2">
      <c r="I599" s="7"/>
      <c r="J599" s="5"/>
      <c r="K599" s="5"/>
      <c r="L599" s="8"/>
    </row>
    <row r="600" spans="9:12" x14ac:dyDescent="0.2">
      <c r="I600" s="7"/>
      <c r="J600" s="5"/>
      <c r="K600" s="5"/>
      <c r="L600" s="8"/>
    </row>
    <row r="601" spans="9:12" x14ac:dyDescent="0.2">
      <c r="I601" s="7"/>
      <c r="J601" s="5"/>
      <c r="K601" s="5"/>
      <c r="L601" s="8"/>
    </row>
    <row r="602" spans="9:12" x14ac:dyDescent="0.2">
      <c r="I602" s="7"/>
      <c r="J602" s="5"/>
      <c r="K602" s="5"/>
      <c r="L602" s="8"/>
    </row>
    <row r="603" spans="9:12" x14ac:dyDescent="0.2">
      <c r="I603" s="7"/>
      <c r="J603" s="5"/>
      <c r="K603" s="5"/>
      <c r="L603" s="8"/>
    </row>
    <row r="604" spans="9:12" x14ac:dyDescent="0.2">
      <c r="I604" s="7"/>
      <c r="J604" s="5"/>
      <c r="K604" s="5"/>
      <c r="L604" s="8"/>
    </row>
    <row r="605" spans="9:12" x14ac:dyDescent="0.2">
      <c r="I605" s="7"/>
      <c r="J605" s="5"/>
      <c r="K605" s="5"/>
      <c r="L605" s="8"/>
    </row>
    <row r="606" spans="9:12" x14ac:dyDescent="0.2">
      <c r="I606" s="7"/>
      <c r="J606" s="5"/>
      <c r="K606" s="5"/>
      <c r="L606" s="8"/>
    </row>
    <row r="607" spans="9:12" x14ac:dyDescent="0.2">
      <c r="I607" s="7"/>
      <c r="J607" s="5"/>
      <c r="K607" s="5"/>
      <c r="L607" s="8"/>
    </row>
    <row r="608" spans="9:12" x14ac:dyDescent="0.2">
      <c r="I608" s="7"/>
      <c r="J608" s="5"/>
      <c r="K608" s="5"/>
      <c r="L608" s="8"/>
    </row>
    <row r="609" spans="9:12" x14ac:dyDescent="0.2">
      <c r="I609" s="7"/>
      <c r="J609" s="5"/>
      <c r="K609" s="5"/>
      <c r="L609" s="8"/>
    </row>
    <row r="610" spans="9:12" x14ac:dyDescent="0.2">
      <c r="I610" s="7"/>
      <c r="J610" s="5"/>
      <c r="K610" s="5"/>
      <c r="L610" s="8"/>
    </row>
    <row r="611" spans="9:12" x14ac:dyDescent="0.2">
      <c r="I611" s="7"/>
      <c r="J611" s="5"/>
      <c r="K611" s="5"/>
      <c r="L611" s="8"/>
    </row>
    <row r="612" spans="9:12" x14ac:dyDescent="0.2">
      <c r="I612" s="7"/>
      <c r="J612" s="5"/>
      <c r="K612" s="5"/>
      <c r="L612" s="8"/>
    </row>
    <row r="613" spans="9:12" x14ac:dyDescent="0.2">
      <c r="I613" s="7"/>
      <c r="J613" s="5"/>
      <c r="K613" s="5"/>
      <c r="L613" s="8"/>
    </row>
    <row r="614" spans="9:12" x14ac:dyDescent="0.2">
      <c r="I614" s="7"/>
      <c r="J614" s="5"/>
      <c r="K614" s="5"/>
      <c r="L614" s="8"/>
    </row>
    <row r="615" spans="9:12" x14ac:dyDescent="0.2">
      <c r="I615" s="7"/>
      <c r="J615" s="5"/>
      <c r="K615" s="5"/>
      <c r="L615" s="8"/>
    </row>
    <row r="616" spans="9:12" x14ac:dyDescent="0.2">
      <c r="I616" s="7"/>
      <c r="J616" s="5"/>
      <c r="K616" s="5"/>
      <c r="L616" s="8"/>
    </row>
    <row r="617" spans="9:12" x14ac:dyDescent="0.2">
      <c r="I617" s="7"/>
      <c r="J617" s="5"/>
      <c r="K617" s="5"/>
      <c r="L617" s="8"/>
    </row>
    <row r="618" spans="9:12" x14ac:dyDescent="0.2">
      <c r="I618" s="7"/>
      <c r="J618" s="5"/>
      <c r="K618" s="5"/>
      <c r="L618" s="8"/>
    </row>
    <row r="619" spans="9:12" x14ac:dyDescent="0.2">
      <c r="I619" s="7"/>
      <c r="J619" s="5"/>
      <c r="K619" s="5"/>
      <c r="L619" s="8"/>
    </row>
    <row r="620" spans="9:12" x14ac:dyDescent="0.2">
      <c r="I620" s="7"/>
      <c r="J620" s="5"/>
      <c r="K620" s="5"/>
      <c r="L620" s="8"/>
    </row>
    <row r="621" spans="9:12" x14ac:dyDescent="0.2">
      <c r="I621" s="7"/>
      <c r="J621" s="5"/>
      <c r="K621" s="5"/>
      <c r="L621" s="8"/>
    </row>
    <row r="622" spans="9:12" x14ac:dyDescent="0.2">
      <c r="I622" s="7"/>
      <c r="J622" s="5"/>
      <c r="K622" s="5"/>
      <c r="L622" s="8"/>
    </row>
    <row r="623" spans="9:12" x14ac:dyDescent="0.2">
      <c r="I623" s="7"/>
      <c r="J623" s="5"/>
      <c r="K623" s="5"/>
      <c r="L623" s="8"/>
    </row>
    <row r="624" spans="9:12" x14ac:dyDescent="0.2">
      <c r="I624" s="7"/>
      <c r="J624" s="5"/>
      <c r="K624" s="5"/>
      <c r="L624" s="8"/>
    </row>
    <row r="625" spans="9:12" x14ac:dyDescent="0.2">
      <c r="I625" s="7"/>
      <c r="J625" s="5"/>
      <c r="K625" s="5"/>
      <c r="L625" s="8"/>
    </row>
    <row r="626" spans="9:12" x14ac:dyDescent="0.2">
      <c r="I626" s="7"/>
      <c r="J626" s="5"/>
      <c r="K626" s="5"/>
      <c r="L626" s="8"/>
    </row>
    <row r="627" spans="9:12" x14ac:dyDescent="0.2">
      <c r="I627" s="7"/>
      <c r="J627" s="5"/>
      <c r="K627" s="5"/>
      <c r="L627" s="8"/>
    </row>
    <row r="628" spans="9:12" x14ac:dyDescent="0.2">
      <c r="I628" s="7"/>
      <c r="J628" s="5"/>
      <c r="K628" s="5"/>
      <c r="L628" s="8"/>
    </row>
    <row r="629" spans="9:12" x14ac:dyDescent="0.2">
      <c r="I629" s="7"/>
      <c r="J629" s="5"/>
      <c r="K629" s="5"/>
      <c r="L629" s="8"/>
    </row>
    <row r="630" spans="9:12" x14ac:dyDescent="0.2">
      <c r="I630" s="7"/>
      <c r="J630" s="5"/>
      <c r="K630" s="5"/>
      <c r="L630" s="8"/>
    </row>
    <row r="631" spans="9:12" x14ac:dyDescent="0.2">
      <c r="I631" s="7"/>
      <c r="J631" s="5"/>
      <c r="K631" s="5"/>
      <c r="L631" s="8"/>
    </row>
    <row r="632" spans="9:12" x14ac:dyDescent="0.2">
      <c r="I632" s="7"/>
      <c r="J632" s="5"/>
      <c r="K632" s="5"/>
      <c r="L632" s="8"/>
    </row>
    <row r="633" spans="9:12" x14ac:dyDescent="0.2">
      <c r="I633" s="7"/>
      <c r="J633" s="5"/>
      <c r="K633" s="5"/>
      <c r="L633" s="8"/>
    </row>
    <row r="634" spans="9:12" x14ac:dyDescent="0.2">
      <c r="I634" s="7"/>
      <c r="J634" s="5"/>
      <c r="K634" s="5"/>
      <c r="L634" s="8"/>
    </row>
    <row r="635" spans="9:12" x14ac:dyDescent="0.2">
      <c r="I635" s="7"/>
      <c r="J635" s="5"/>
      <c r="K635" s="5"/>
      <c r="L635" s="8"/>
    </row>
    <row r="636" spans="9:12" x14ac:dyDescent="0.2">
      <c r="I636" s="7"/>
      <c r="J636" s="5"/>
      <c r="K636" s="5"/>
      <c r="L636" s="8"/>
    </row>
    <row r="637" spans="9:12" x14ac:dyDescent="0.2">
      <c r="I637" s="7"/>
      <c r="J637" s="5"/>
      <c r="K637" s="5"/>
      <c r="L637" s="8"/>
    </row>
    <row r="638" spans="9:12" x14ac:dyDescent="0.2">
      <c r="I638" s="7"/>
      <c r="J638" s="5"/>
      <c r="K638" s="5"/>
      <c r="L638" s="8"/>
    </row>
    <row r="639" spans="9:12" x14ac:dyDescent="0.2">
      <c r="I639" s="7"/>
      <c r="J639" s="5"/>
      <c r="K639" s="5"/>
      <c r="L639" s="8"/>
    </row>
    <row r="640" spans="9:12" x14ac:dyDescent="0.2">
      <c r="I640" s="7"/>
      <c r="J640" s="5"/>
      <c r="K640" s="5"/>
      <c r="L640" s="8"/>
    </row>
    <row r="641" spans="9:12" x14ac:dyDescent="0.2">
      <c r="I641" s="7"/>
      <c r="J641" s="5"/>
      <c r="K641" s="5"/>
      <c r="L641" s="8"/>
    </row>
    <row r="642" spans="9:12" x14ac:dyDescent="0.2">
      <c r="I642" s="7"/>
      <c r="J642" s="5"/>
      <c r="K642" s="5"/>
      <c r="L642" s="8"/>
    </row>
    <row r="643" spans="9:12" x14ac:dyDescent="0.2">
      <c r="I643" s="7"/>
      <c r="J643" s="5"/>
      <c r="K643" s="5"/>
      <c r="L643" s="8"/>
    </row>
    <row r="644" spans="9:12" x14ac:dyDescent="0.2">
      <c r="I644" s="7"/>
      <c r="J644" s="5"/>
      <c r="K644" s="5"/>
      <c r="L644" s="8"/>
    </row>
    <row r="645" spans="9:12" x14ac:dyDescent="0.2">
      <c r="I645" s="7"/>
      <c r="J645" s="5"/>
      <c r="K645" s="5"/>
      <c r="L645" s="8"/>
    </row>
    <row r="646" spans="9:12" x14ac:dyDescent="0.2">
      <c r="I646" s="7"/>
      <c r="J646" s="5"/>
      <c r="K646" s="5"/>
      <c r="L646" s="8"/>
    </row>
    <row r="647" spans="9:12" x14ac:dyDescent="0.2">
      <c r="I647" s="7"/>
      <c r="J647" s="5"/>
      <c r="K647" s="5"/>
      <c r="L647" s="8"/>
    </row>
    <row r="648" spans="9:12" x14ac:dyDescent="0.2">
      <c r="I648" s="7"/>
      <c r="J648" s="5"/>
      <c r="K648" s="5"/>
      <c r="L648" s="8"/>
    </row>
    <row r="649" spans="9:12" x14ac:dyDescent="0.2">
      <c r="I649" s="7"/>
      <c r="J649" s="5"/>
      <c r="K649" s="5"/>
      <c r="L649" s="8"/>
    </row>
    <row r="650" spans="9:12" x14ac:dyDescent="0.2">
      <c r="I650" s="7"/>
      <c r="J650" s="5"/>
      <c r="K650" s="5"/>
      <c r="L650" s="8"/>
    </row>
    <row r="651" spans="9:12" x14ac:dyDescent="0.2">
      <c r="I651" s="7"/>
      <c r="J651" s="5"/>
      <c r="K651" s="5"/>
      <c r="L651" s="8"/>
    </row>
    <row r="652" spans="9:12" x14ac:dyDescent="0.2">
      <c r="I652" s="7"/>
      <c r="J652" s="5"/>
      <c r="K652" s="5"/>
      <c r="L652" s="8"/>
    </row>
    <row r="653" spans="9:12" x14ac:dyDescent="0.2">
      <c r="I653" s="7"/>
      <c r="J653" s="5"/>
      <c r="K653" s="5"/>
      <c r="L653" s="8"/>
    </row>
    <row r="654" spans="9:12" x14ac:dyDescent="0.2">
      <c r="I654" s="7"/>
      <c r="J654" s="5"/>
      <c r="K654" s="5"/>
      <c r="L654" s="8"/>
    </row>
    <row r="655" spans="9:12" x14ac:dyDescent="0.2">
      <c r="I655" s="7"/>
      <c r="J655" s="5"/>
      <c r="K655" s="5"/>
      <c r="L655" s="8"/>
    </row>
    <row r="656" spans="9:12" x14ac:dyDescent="0.2">
      <c r="I656" s="7"/>
      <c r="J656" s="5"/>
      <c r="K656" s="5"/>
      <c r="L656" s="8"/>
    </row>
    <row r="657" spans="9:12" x14ac:dyDescent="0.2">
      <c r="I657" s="7"/>
      <c r="J657" s="5"/>
      <c r="K657" s="5"/>
      <c r="L657" s="8"/>
    </row>
    <row r="658" spans="9:12" x14ac:dyDescent="0.2">
      <c r="I658" s="7"/>
      <c r="J658" s="5"/>
      <c r="K658" s="5"/>
      <c r="L658" s="8"/>
    </row>
    <row r="659" spans="9:12" x14ac:dyDescent="0.2">
      <c r="I659" s="7"/>
      <c r="J659" s="5"/>
      <c r="K659" s="5"/>
      <c r="L659" s="8"/>
    </row>
    <row r="660" spans="9:12" x14ac:dyDescent="0.2">
      <c r="I660" s="7"/>
      <c r="J660" s="5"/>
      <c r="K660" s="5"/>
      <c r="L660" s="8"/>
    </row>
    <row r="661" spans="9:12" x14ac:dyDescent="0.2">
      <c r="I661" s="7"/>
      <c r="J661" s="5"/>
      <c r="K661" s="5"/>
      <c r="L661" s="8"/>
    </row>
    <row r="662" spans="9:12" x14ac:dyDescent="0.2">
      <c r="I662" s="7"/>
      <c r="J662" s="5"/>
      <c r="K662" s="5"/>
      <c r="L662" s="8"/>
    </row>
    <row r="663" spans="9:12" x14ac:dyDescent="0.2">
      <c r="I663" s="7"/>
      <c r="J663" s="5"/>
      <c r="K663" s="5"/>
      <c r="L663" s="8"/>
    </row>
    <row r="664" spans="9:12" x14ac:dyDescent="0.2">
      <c r="I664" s="7"/>
      <c r="J664" s="5"/>
      <c r="K664" s="5"/>
      <c r="L664" s="8"/>
    </row>
    <row r="665" spans="9:12" x14ac:dyDescent="0.2">
      <c r="I665" s="7"/>
      <c r="J665" s="5"/>
      <c r="K665" s="5"/>
      <c r="L665" s="8"/>
    </row>
    <row r="666" spans="9:12" x14ac:dyDescent="0.2">
      <c r="I666" s="7"/>
      <c r="J666" s="5"/>
      <c r="K666" s="5"/>
      <c r="L666" s="8"/>
    </row>
    <row r="667" spans="9:12" x14ac:dyDescent="0.2">
      <c r="I667" s="7"/>
      <c r="J667" s="5"/>
      <c r="K667" s="5"/>
      <c r="L667" s="8"/>
    </row>
    <row r="668" spans="9:12" x14ac:dyDescent="0.2">
      <c r="I668" s="7"/>
      <c r="J668" s="5"/>
      <c r="K668" s="5"/>
      <c r="L668" s="8"/>
    </row>
    <row r="669" spans="9:12" x14ac:dyDescent="0.2">
      <c r="I669" s="7"/>
      <c r="J669" s="5"/>
      <c r="K669" s="5"/>
      <c r="L669" s="8"/>
    </row>
    <row r="670" spans="9:12" x14ac:dyDescent="0.2">
      <c r="I670" s="7"/>
      <c r="J670" s="5"/>
      <c r="K670" s="5"/>
      <c r="L670" s="8"/>
    </row>
    <row r="671" spans="9:12" x14ac:dyDescent="0.2">
      <c r="I671" s="7"/>
      <c r="J671" s="5"/>
      <c r="K671" s="5"/>
      <c r="L671" s="8"/>
    </row>
    <row r="672" spans="9:12" x14ac:dyDescent="0.2">
      <c r="I672" s="7"/>
      <c r="J672" s="5"/>
      <c r="K672" s="5"/>
      <c r="L672" s="8"/>
    </row>
    <row r="673" spans="9:12" x14ac:dyDescent="0.2">
      <c r="I673" s="7"/>
      <c r="J673" s="5"/>
      <c r="K673" s="5"/>
      <c r="L673" s="8"/>
    </row>
    <row r="674" spans="9:12" x14ac:dyDescent="0.2">
      <c r="I674" s="7"/>
      <c r="J674" s="5"/>
      <c r="K674" s="5"/>
      <c r="L674" s="8"/>
    </row>
    <row r="675" spans="9:12" x14ac:dyDescent="0.2">
      <c r="I675" s="7"/>
      <c r="J675" s="5"/>
      <c r="K675" s="5"/>
      <c r="L675" s="8"/>
    </row>
    <row r="676" spans="9:12" x14ac:dyDescent="0.2">
      <c r="I676" s="7"/>
      <c r="J676" s="5"/>
      <c r="K676" s="5"/>
      <c r="L676" s="8"/>
    </row>
    <row r="677" spans="9:12" x14ac:dyDescent="0.2">
      <c r="I677" s="7"/>
      <c r="J677" s="5"/>
      <c r="K677" s="5"/>
      <c r="L677" s="8"/>
    </row>
    <row r="678" spans="9:12" x14ac:dyDescent="0.2">
      <c r="I678" s="7"/>
      <c r="J678" s="5"/>
      <c r="K678" s="5"/>
      <c r="L678" s="8"/>
    </row>
    <row r="679" spans="9:12" x14ac:dyDescent="0.2">
      <c r="I679" s="7"/>
      <c r="J679" s="5"/>
      <c r="K679" s="5"/>
      <c r="L679" s="8"/>
    </row>
    <row r="680" spans="9:12" x14ac:dyDescent="0.2">
      <c r="I680" s="7"/>
      <c r="J680" s="5"/>
      <c r="K680" s="5"/>
      <c r="L680" s="8"/>
    </row>
    <row r="681" spans="9:12" x14ac:dyDescent="0.2">
      <c r="I681" s="7"/>
      <c r="J681" s="5"/>
      <c r="K681" s="5"/>
      <c r="L681" s="8"/>
    </row>
    <row r="682" spans="9:12" x14ac:dyDescent="0.2">
      <c r="I682" s="7"/>
      <c r="J682" s="5"/>
      <c r="K682" s="5"/>
      <c r="L682" s="8"/>
    </row>
    <row r="683" spans="9:12" x14ac:dyDescent="0.2">
      <c r="I683" s="7"/>
      <c r="J683" s="5"/>
      <c r="K683" s="5"/>
      <c r="L683" s="8"/>
    </row>
    <row r="684" spans="9:12" x14ac:dyDescent="0.2">
      <c r="I684" s="7"/>
      <c r="J684" s="5"/>
      <c r="K684" s="5"/>
      <c r="L684" s="8"/>
    </row>
    <row r="685" spans="9:12" x14ac:dyDescent="0.2">
      <c r="I685" s="7"/>
      <c r="J685" s="5"/>
      <c r="K685" s="5"/>
      <c r="L685" s="8"/>
    </row>
    <row r="686" spans="9:12" x14ac:dyDescent="0.2">
      <c r="I686" s="7"/>
      <c r="J686" s="5"/>
      <c r="K686" s="5"/>
      <c r="L686" s="8"/>
    </row>
    <row r="687" spans="9:12" x14ac:dyDescent="0.2">
      <c r="I687" s="7"/>
      <c r="J687" s="5"/>
      <c r="K687" s="5"/>
      <c r="L687" s="8"/>
    </row>
    <row r="688" spans="9:12" x14ac:dyDescent="0.2">
      <c r="I688" s="7"/>
      <c r="J688" s="5"/>
      <c r="K688" s="5"/>
      <c r="L688" s="8"/>
    </row>
    <row r="689" spans="9:12" x14ac:dyDescent="0.2">
      <c r="I689" s="7"/>
      <c r="J689" s="5"/>
      <c r="K689" s="5"/>
      <c r="L689" s="8"/>
    </row>
    <row r="690" spans="9:12" x14ac:dyDescent="0.2">
      <c r="I690" s="7"/>
      <c r="J690" s="5"/>
      <c r="K690" s="5"/>
      <c r="L690" s="8"/>
    </row>
    <row r="691" spans="9:12" x14ac:dyDescent="0.2">
      <c r="I691" s="7"/>
      <c r="J691" s="5"/>
      <c r="K691" s="5"/>
      <c r="L691" s="8"/>
    </row>
    <row r="692" spans="9:12" x14ac:dyDescent="0.2">
      <c r="I692" s="7"/>
      <c r="J692" s="5"/>
      <c r="K692" s="5"/>
      <c r="L692" s="8"/>
    </row>
    <row r="693" spans="9:12" x14ac:dyDescent="0.2">
      <c r="I693" s="7"/>
      <c r="J693" s="5"/>
      <c r="K693" s="5"/>
      <c r="L693" s="8"/>
    </row>
    <row r="694" spans="9:12" x14ac:dyDescent="0.2">
      <c r="I694" s="7"/>
      <c r="J694" s="5"/>
      <c r="K694" s="5"/>
      <c r="L694" s="8"/>
    </row>
    <row r="695" spans="9:12" x14ac:dyDescent="0.2">
      <c r="I695" s="7"/>
      <c r="J695" s="5"/>
      <c r="K695" s="5"/>
      <c r="L695" s="8"/>
    </row>
    <row r="696" spans="9:12" x14ac:dyDescent="0.2">
      <c r="I696" s="7"/>
      <c r="J696" s="5"/>
      <c r="K696" s="5"/>
      <c r="L696" s="8"/>
    </row>
    <row r="697" spans="9:12" x14ac:dyDescent="0.2">
      <c r="I697" s="7"/>
      <c r="J697" s="5"/>
      <c r="K697" s="5"/>
      <c r="L697" s="8"/>
    </row>
    <row r="698" spans="9:12" x14ac:dyDescent="0.2">
      <c r="I698" s="7"/>
      <c r="J698" s="5"/>
      <c r="K698" s="5"/>
      <c r="L698" s="8"/>
    </row>
    <row r="699" spans="9:12" x14ac:dyDescent="0.2">
      <c r="I699" s="7"/>
      <c r="J699" s="5"/>
      <c r="K699" s="5"/>
      <c r="L699" s="8"/>
    </row>
    <row r="700" spans="9:12" x14ac:dyDescent="0.2">
      <c r="I700" s="7"/>
      <c r="J700" s="5"/>
      <c r="K700" s="5"/>
      <c r="L700" s="8"/>
    </row>
    <row r="701" spans="9:12" x14ac:dyDescent="0.2">
      <c r="I701" s="7"/>
      <c r="J701" s="5"/>
      <c r="K701" s="5"/>
      <c r="L701" s="8"/>
    </row>
    <row r="702" spans="9:12" x14ac:dyDescent="0.2">
      <c r="I702" s="7"/>
      <c r="J702" s="5"/>
      <c r="K702" s="5"/>
      <c r="L702" s="8"/>
    </row>
    <row r="703" spans="9:12" x14ac:dyDescent="0.2">
      <c r="I703" s="7"/>
      <c r="J703" s="5"/>
      <c r="K703" s="5"/>
      <c r="L703" s="8"/>
    </row>
    <row r="704" spans="9:12" x14ac:dyDescent="0.2">
      <c r="I704" s="7"/>
      <c r="J704" s="5"/>
      <c r="K704" s="5"/>
      <c r="L704" s="8"/>
    </row>
    <row r="705" spans="9:12" x14ac:dyDescent="0.2">
      <c r="I705" s="7"/>
      <c r="J705" s="5"/>
      <c r="K705" s="5"/>
      <c r="L705" s="8"/>
    </row>
    <row r="706" spans="9:12" x14ac:dyDescent="0.2">
      <c r="I706" s="7"/>
      <c r="J706" s="5"/>
      <c r="K706" s="5"/>
      <c r="L706" s="8"/>
    </row>
    <row r="707" spans="9:12" x14ac:dyDescent="0.2">
      <c r="I707" s="7"/>
      <c r="J707" s="5"/>
      <c r="K707" s="5"/>
      <c r="L707" s="8"/>
    </row>
    <row r="708" spans="9:12" x14ac:dyDescent="0.2">
      <c r="I708" s="7"/>
      <c r="J708" s="5"/>
      <c r="K708" s="5"/>
      <c r="L708" s="8"/>
    </row>
    <row r="709" spans="9:12" x14ac:dyDescent="0.2">
      <c r="I709" s="7"/>
      <c r="J709" s="5"/>
      <c r="K709" s="5"/>
      <c r="L709" s="8"/>
    </row>
    <row r="710" spans="9:12" x14ac:dyDescent="0.2">
      <c r="I710" s="7"/>
      <c r="J710" s="5"/>
      <c r="K710" s="5"/>
      <c r="L710" s="8"/>
    </row>
    <row r="711" spans="9:12" x14ac:dyDescent="0.2">
      <c r="I711" s="7"/>
      <c r="J711" s="5"/>
      <c r="K711" s="5"/>
      <c r="L711" s="8"/>
    </row>
    <row r="712" spans="9:12" x14ac:dyDescent="0.2">
      <c r="I712" s="7"/>
      <c r="J712" s="5"/>
      <c r="K712" s="5"/>
      <c r="L712" s="8"/>
    </row>
    <row r="713" spans="9:12" x14ac:dyDescent="0.2">
      <c r="I713" s="7"/>
      <c r="J713" s="5"/>
      <c r="K713" s="5"/>
      <c r="L713" s="8"/>
    </row>
    <row r="714" spans="9:12" x14ac:dyDescent="0.2">
      <c r="I714" s="7"/>
      <c r="J714" s="5"/>
      <c r="K714" s="5"/>
      <c r="L714" s="8"/>
    </row>
    <row r="715" spans="9:12" x14ac:dyDescent="0.2">
      <c r="I715" s="7"/>
      <c r="J715" s="5"/>
      <c r="K715" s="5"/>
      <c r="L715" s="8"/>
    </row>
    <row r="716" spans="9:12" x14ac:dyDescent="0.2">
      <c r="I716" s="7"/>
      <c r="J716" s="5"/>
      <c r="K716" s="5"/>
      <c r="L716" s="8"/>
    </row>
    <row r="717" spans="9:12" x14ac:dyDescent="0.2">
      <c r="I717" s="7"/>
      <c r="J717" s="5"/>
      <c r="K717" s="5"/>
      <c r="L717" s="8"/>
    </row>
    <row r="718" spans="9:12" x14ac:dyDescent="0.2">
      <c r="I718" s="7"/>
      <c r="J718" s="5"/>
      <c r="K718" s="5"/>
      <c r="L718" s="8"/>
    </row>
    <row r="719" spans="9:12" x14ac:dyDescent="0.2">
      <c r="I719" s="7"/>
      <c r="J719" s="5"/>
      <c r="K719" s="5"/>
      <c r="L719" s="8"/>
    </row>
    <row r="720" spans="9:12" x14ac:dyDescent="0.2">
      <c r="I720" s="7"/>
      <c r="J720" s="5"/>
      <c r="K720" s="5"/>
      <c r="L720" s="8"/>
    </row>
    <row r="721" spans="9:12" x14ac:dyDescent="0.2">
      <c r="I721" s="7"/>
      <c r="J721" s="5"/>
      <c r="K721" s="5"/>
      <c r="L721" s="8"/>
    </row>
    <row r="722" spans="9:12" x14ac:dyDescent="0.2">
      <c r="I722" s="7"/>
      <c r="J722" s="5"/>
      <c r="K722" s="5"/>
      <c r="L722" s="8"/>
    </row>
    <row r="723" spans="9:12" x14ac:dyDescent="0.2">
      <c r="I723" s="7"/>
      <c r="J723" s="5"/>
      <c r="K723" s="5"/>
      <c r="L723" s="8"/>
    </row>
    <row r="724" spans="9:12" x14ac:dyDescent="0.2">
      <c r="I724" s="7"/>
      <c r="J724" s="5"/>
      <c r="K724" s="5"/>
      <c r="L724" s="8"/>
    </row>
    <row r="725" spans="9:12" x14ac:dyDescent="0.2">
      <c r="I725" s="7"/>
      <c r="J725" s="5"/>
      <c r="K725" s="5"/>
      <c r="L725" s="8"/>
    </row>
    <row r="726" spans="9:12" x14ac:dyDescent="0.2">
      <c r="I726" s="7"/>
      <c r="J726" s="5"/>
      <c r="K726" s="5"/>
      <c r="L726" s="8"/>
    </row>
    <row r="727" spans="9:12" x14ac:dyDescent="0.2">
      <c r="I727" s="7"/>
      <c r="J727" s="5"/>
      <c r="K727" s="5"/>
      <c r="L727" s="8"/>
    </row>
    <row r="728" spans="9:12" x14ac:dyDescent="0.2">
      <c r="I728" s="7"/>
      <c r="J728" s="5"/>
      <c r="K728" s="5"/>
      <c r="L728" s="8"/>
    </row>
    <row r="729" spans="9:12" x14ac:dyDescent="0.2">
      <c r="I729" s="7"/>
      <c r="J729" s="5"/>
      <c r="K729" s="5"/>
      <c r="L729" s="8"/>
    </row>
    <row r="730" spans="9:12" x14ac:dyDescent="0.2">
      <c r="I730" s="7"/>
      <c r="J730" s="5"/>
      <c r="K730" s="5"/>
      <c r="L730" s="8"/>
    </row>
    <row r="731" spans="9:12" x14ac:dyDescent="0.2">
      <c r="I731" s="7"/>
      <c r="J731" s="5"/>
      <c r="K731" s="5"/>
      <c r="L731" s="8"/>
    </row>
    <row r="732" spans="9:12" x14ac:dyDescent="0.2">
      <c r="I732" s="7"/>
      <c r="J732" s="5"/>
      <c r="K732" s="5"/>
      <c r="L732" s="8"/>
    </row>
    <row r="733" spans="9:12" x14ac:dyDescent="0.2">
      <c r="I733" s="7"/>
      <c r="J733" s="5"/>
      <c r="K733" s="5"/>
      <c r="L733" s="8"/>
    </row>
    <row r="734" spans="9:12" x14ac:dyDescent="0.2">
      <c r="I734" s="7"/>
      <c r="J734" s="5"/>
      <c r="K734" s="5"/>
      <c r="L734" s="8"/>
    </row>
    <row r="735" spans="9:12" x14ac:dyDescent="0.2">
      <c r="I735" s="7"/>
      <c r="J735" s="5"/>
      <c r="K735" s="5"/>
      <c r="L735" s="8"/>
    </row>
    <row r="736" spans="9:12" x14ac:dyDescent="0.2">
      <c r="I736" s="7"/>
      <c r="J736" s="5"/>
      <c r="K736" s="5"/>
      <c r="L736" s="8"/>
    </row>
    <row r="737" spans="9:12" x14ac:dyDescent="0.2">
      <c r="I737" s="7"/>
      <c r="J737" s="5"/>
      <c r="K737" s="5"/>
      <c r="L737" s="8"/>
    </row>
    <row r="738" spans="9:12" x14ac:dyDescent="0.2">
      <c r="I738" s="7"/>
      <c r="J738" s="5"/>
      <c r="K738" s="5"/>
      <c r="L738" s="8"/>
    </row>
    <row r="739" spans="9:12" x14ac:dyDescent="0.2">
      <c r="I739" s="7"/>
      <c r="J739" s="5"/>
      <c r="K739" s="5"/>
      <c r="L739" s="8"/>
    </row>
    <row r="740" spans="9:12" x14ac:dyDescent="0.2">
      <c r="I740" s="7"/>
      <c r="J740" s="5"/>
      <c r="K740" s="5"/>
      <c r="L740" s="8"/>
    </row>
    <row r="741" spans="9:12" x14ac:dyDescent="0.2">
      <c r="I741" s="7"/>
      <c r="J741" s="5"/>
      <c r="K741" s="5"/>
      <c r="L741" s="8"/>
    </row>
    <row r="742" spans="9:12" x14ac:dyDescent="0.2">
      <c r="I742" s="7"/>
      <c r="J742" s="5"/>
      <c r="K742" s="5"/>
      <c r="L742" s="8"/>
    </row>
    <row r="743" spans="9:12" x14ac:dyDescent="0.2">
      <c r="I743" s="7"/>
      <c r="J743" s="5"/>
      <c r="K743" s="5"/>
      <c r="L743" s="8"/>
    </row>
    <row r="744" spans="9:12" x14ac:dyDescent="0.2">
      <c r="I744" s="7"/>
      <c r="J744" s="5"/>
      <c r="K744" s="5"/>
      <c r="L744" s="8"/>
    </row>
    <row r="745" spans="9:12" x14ac:dyDescent="0.2">
      <c r="I745" s="7"/>
      <c r="J745" s="5"/>
      <c r="K745" s="5"/>
      <c r="L745" s="8"/>
    </row>
    <row r="746" spans="9:12" x14ac:dyDescent="0.2">
      <c r="I746" s="7"/>
      <c r="J746" s="5"/>
      <c r="K746" s="5"/>
      <c r="L746" s="8"/>
    </row>
    <row r="747" spans="9:12" x14ac:dyDescent="0.2">
      <c r="I747" s="7"/>
      <c r="J747" s="5"/>
      <c r="K747" s="5"/>
      <c r="L747" s="8"/>
    </row>
    <row r="748" spans="9:12" x14ac:dyDescent="0.2">
      <c r="I748" s="7"/>
      <c r="J748" s="5"/>
      <c r="K748" s="5"/>
      <c r="L748" s="8"/>
    </row>
    <row r="749" spans="9:12" x14ac:dyDescent="0.2">
      <c r="I749" s="7"/>
      <c r="J749" s="5"/>
      <c r="K749" s="5"/>
      <c r="L749" s="8"/>
    </row>
    <row r="750" spans="9:12" x14ac:dyDescent="0.2">
      <c r="I750" s="7"/>
      <c r="J750" s="5"/>
      <c r="K750" s="5"/>
      <c r="L750" s="8"/>
    </row>
    <row r="751" spans="9:12" x14ac:dyDescent="0.2">
      <c r="I751" s="7"/>
      <c r="J751" s="5"/>
      <c r="K751" s="5"/>
      <c r="L751" s="8"/>
    </row>
    <row r="752" spans="9:12" x14ac:dyDescent="0.2">
      <c r="I752" s="7"/>
      <c r="J752" s="5"/>
      <c r="K752" s="5"/>
      <c r="L752" s="8"/>
    </row>
    <row r="753" spans="9:12" x14ac:dyDescent="0.2">
      <c r="I753" s="7"/>
      <c r="J753" s="5"/>
      <c r="K753" s="5"/>
      <c r="L753" s="8"/>
    </row>
    <row r="754" spans="9:12" x14ac:dyDescent="0.2">
      <c r="I754" s="7"/>
      <c r="J754" s="5"/>
      <c r="K754" s="5"/>
      <c r="L754" s="8"/>
    </row>
    <row r="755" spans="9:12" x14ac:dyDescent="0.2">
      <c r="I755" s="7"/>
      <c r="J755" s="5"/>
      <c r="K755" s="5"/>
      <c r="L755" s="8"/>
    </row>
    <row r="756" spans="9:12" x14ac:dyDescent="0.2">
      <c r="I756" s="7"/>
      <c r="J756" s="5"/>
      <c r="K756" s="5"/>
      <c r="L756" s="8"/>
    </row>
    <row r="757" spans="9:12" x14ac:dyDescent="0.2">
      <c r="I757" s="7"/>
      <c r="J757" s="5"/>
      <c r="K757" s="5"/>
      <c r="L757" s="8"/>
    </row>
    <row r="758" spans="9:12" x14ac:dyDescent="0.2">
      <c r="I758" s="7"/>
      <c r="J758" s="5"/>
      <c r="K758" s="5"/>
      <c r="L758" s="8"/>
    </row>
    <row r="759" spans="9:12" x14ac:dyDescent="0.2">
      <c r="I759" s="7"/>
      <c r="J759" s="5"/>
      <c r="K759" s="5"/>
      <c r="L759" s="8"/>
    </row>
    <row r="760" spans="9:12" x14ac:dyDescent="0.2">
      <c r="I760" s="7"/>
      <c r="J760" s="5"/>
      <c r="K760" s="5"/>
      <c r="L760" s="8"/>
    </row>
    <row r="761" spans="9:12" x14ac:dyDescent="0.2">
      <c r="I761" s="7"/>
      <c r="J761" s="5"/>
      <c r="K761" s="5"/>
      <c r="L761" s="8"/>
    </row>
    <row r="762" spans="9:12" x14ac:dyDescent="0.2">
      <c r="I762" s="7"/>
      <c r="J762" s="5"/>
      <c r="K762" s="5"/>
      <c r="L762" s="8"/>
    </row>
    <row r="763" spans="9:12" x14ac:dyDescent="0.2">
      <c r="I763" s="7"/>
      <c r="J763" s="5"/>
      <c r="K763" s="5"/>
      <c r="L763" s="8"/>
    </row>
    <row r="764" spans="9:12" x14ac:dyDescent="0.2">
      <c r="I764" s="7"/>
      <c r="J764" s="5"/>
      <c r="K764" s="5"/>
      <c r="L764" s="8"/>
    </row>
    <row r="765" spans="9:12" x14ac:dyDescent="0.2">
      <c r="I765" s="7"/>
      <c r="J765" s="5"/>
      <c r="K765" s="5"/>
      <c r="L765" s="8"/>
    </row>
    <row r="766" spans="9:12" x14ac:dyDescent="0.2">
      <c r="I766" s="7"/>
      <c r="J766" s="5"/>
      <c r="K766" s="5"/>
      <c r="L766" s="8"/>
    </row>
    <row r="767" spans="9:12" x14ac:dyDescent="0.2">
      <c r="I767" s="7"/>
      <c r="J767" s="5"/>
      <c r="K767" s="5"/>
      <c r="L767" s="8"/>
    </row>
    <row r="768" spans="9:12" x14ac:dyDescent="0.2">
      <c r="I768" s="7"/>
      <c r="J768" s="5"/>
      <c r="K768" s="5"/>
      <c r="L768" s="8"/>
    </row>
    <row r="769" spans="9:12" x14ac:dyDescent="0.2">
      <c r="I769" s="7"/>
      <c r="J769" s="5"/>
      <c r="K769" s="5"/>
      <c r="L769" s="8"/>
    </row>
    <row r="770" spans="9:12" x14ac:dyDescent="0.2">
      <c r="I770" s="7"/>
      <c r="J770" s="5"/>
      <c r="K770" s="5"/>
      <c r="L770" s="8"/>
    </row>
    <row r="771" spans="9:12" x14ac:dyDescent="0.2">
      <c r="I771" s="7"/>
      <c r="J771" s="5"/>
      <c r="K771" s="5"/>
      <c r="L771" s="8"/>
    </row>
    <row r="772" spans="9:12" x14ac:dyDescent="0.2">
      <c r="I772" s="7"/>
      <c r="J772" s="5"/>
      <c r="K772" s="5"/>
      <c r="L772" s="8"/>
    </row>
    <row r="773" spans="9:12" x14ac:dyDescent="0.2">
      <c r="I773" s="7"/>
      <c r="J773" s="5"/>
      <c r="K773" s="5"/>
      <c r="L773" s="8"/>
    </row>
    <row r="774" spans="9:12" x14ac:dyDescent="0.2">
      <c r="I774" s="7"/>
      <c r="J774" s="5"/>
      <c r="K774" s="5"/>
      <c r="L774" s="8"/>
    </row>
    <row r="775" spans="9:12" x14ac:dyDescent="0.2">
      <c r="I775" s="7"/>
      <c r="J775" s="5"/>
      <c r="K775" s="5"/>
      <c r="L775" s="8"/>
    </row>
    <row r="776" spans="9:12" x14ac:dyDescent="0.2">
      <c r="I776" s="7"/>
      <c r="J776" s="5"/>
      <c r="K776" s="5"/>
      <c r="L776" s="8"/>
    </row>
    <row r="777" spans="9:12" x14ac:dyDescent="0.2">
      <c r="I777" s="7"/>
      <c r="J777" s="5"/>
      <c r="K777" s="5"/>
      <c r="L777" s="8"/>
    </row>
    <row r="778" spans="9:12" x14ac:dyDescent="0.2">
      <c r="I778" s="7"/>
      <c r="J778" s="5"/>
      <c r="K778" s="5"/>
      <c r="L778" s="8"/>
    </row>
    <row r="779" spans="9:12" x14ac:dyDescent="0.2">
      <c r="I779" s="7"/>
      <c r="J779" s="5"/>
      <c r="K779" s="5"/>
      <c r="L779" s="8"/>
    </row>
    <row r="780" spans="9:12" x14ac:dyDescent="0.2">
      <c r="I780" s="7"/>
      <c r="J780" s="5"/>
      <c r="K780" s="5"/>
      <c r="L780" s="8"/>
    </row>
    <row r="781" spans="9:12" x14ac:dyDescent="0.2">
      <c r="I781" s="7"/>
      <c r="J781" s="5"/>
      <c r="K781" s="5"/>
      <c r="L781" s="8"/>
    </row>
    <row r="782" spans="9:12" x14ac:dyDescent="0.2">
      <c r="I782" s="7"/>
      <c r="J782" s="5"/>
      <c r="K782" s="5"/>
      <c r="L782" s="8"/>
    </row>
    <row r="783" spans="9:12" x14ac:dyDescent="0.2">
      <c r="I783" s="7"/>
      <c r="J783" s="5"/>
      <c r="K783" s="5"/>
      <c r="L783" s="8"/>
    </row>
    <row r="784" spans="9:12" x14ac:dyDescent="0.2">
      <c r="I784" s="7"/>
      <c r="J784" s="5"/>
      <c r="K784" s="5"/>
      <c r="L784" s="8"/>
    </row>
    <row r="785" spans="9:12" x14ac:dyDescent="0.2">
      <c r="I785" s="7"/>
      <c r="J785" s="5"/>
      <c r="K785" s="5"/>
      <c r="L785" s="8"/>
    </row>
    <row r="786" spans="9:12" x14ac:dyDescent="0.2">
      <c r="I786" s="7"/>
      <c r="J786" s="5"/>
      <c r="K786" s="5"/>
      <c r="L786" s="8"/>
    </row>
    <row r="787" spans="9:12" x14ac:dyDescent="0.2">
      <c r="I787" s="7"/>
      <c r="J787" s="5"/>
      <c r="K787" s="5"/>
      <c r="L787" s="8"/>
    </row>
    <row r="788" spans="9:12" x14ac:dyDescent="0.2">
      <c r="I788" s="7"/>
      <c r="J788" s="5"/>
      <c r="K788" s="5"/>
      <c r="L788" s="8"/>
    </row>
    <row r="789" spans="9:12" x14ac:dyDescent="0.2">
      <c r="I789" s="7"/>
      <c r="J789" s="5"/>
      <c r="K789" s="5"/>
      <c r="L789" s="8"/>
    </row>
    <row r="790" spans="9:12" x14ac:dyDescent="0.2">
      <c r="I790" s="7"/>
      <c r="J790" s="5"/>
      <c r="K790" s="5"/>
      <c r="L790" s="8"/>
    </row>
    <row r="791" spans="9:12" x14ac:dyDescent="0.2">
      <c r="I791" s="7"/>
      <c r="J791" s="5"/>
      <c r="K791" s="5"/>
      <c r="L791" s="8"/>
    </row>
    <row r="792" spans="9:12" x14ac:dyDescent="0.2">
      <c r="I792" s="7"/>
      <c r="J792" s="5"/>
      <c r="K792" s="5"/>
      <c r="L792" s="8"/>
    </row>
    <row r="793" spans="9:12" x14ac:dyDescent="0.2">
      <c r="I793" s="7"/>
      <c r="J793" s="5"/>
      <c r="K793" s="5"/>
      <c r="L793" s="8"/>
    </row>
    <row r="794" spans="9:12" x14ac:dyDescent="0.2">
      <c r="I794" s="7"/>
      <c r="J794" s="5"/>
      <c r="K794" s="5"/>
      <c r="L794" s="8"/>
    </row>
    <row r="795" spans="9:12" x14ac:dyDescent="0.2">
      <c r="I795" s="7"/>
      <c r="J795" s="5"/>
      <c r="K795" s="5"/>
      <c r="L795" s="8"/>
    </row>
    <row r="796" spans="9:12" x14ac:dyDescent="0.2">
      <c r="I796" s="7"/>
      <c r="J796" s="5"/>
      <c r="K796" s="5"/>
      <c r="L796" s="8"/>
    </row>
    <row r="797" spans="9:12" x14ac:dyDescent="0.2">
      <c r="I797" s="7"/>
      <c r="J797" s="5"/>
      <c r="K797" s="5"/>
      <c r="L797" s="8"/>
    </row>
    <row r="798" spans="9:12" x14ac:dyDescent="0.2">
      <c r="I798" s="7"/>
      <c r="J798" s="5"/>
      <c r="K798" s="5"/>
      <c r="L798" s="8"/>
    </row>
    <row r="799" spans="9:12" x14ac:dyDescent="0.2">
      <c r="I799" s="7"/>
      <c r="J799" s="5"/>
      <c r="K799" s="5"/>
      <c r="L799" s="8"/>
    </row>
    <row r="800" spans="9:12" x14ac:dyDescent="0.2">
      <c r="I800" s="7"/>
      <c r="J800" s="5"/>
      <c r="K800" s="5"/>
      <c r="L800" s="8"/>
    </row>
    <row r="801" spans="9:12" x14ac:dyDescent="0.2">
      <c r="I801" s="7"/>
      <c r="J801" s="5"/>
      <c r="K801" s="5"/>
      <c r="L801" s="8"/>
    </row>
    <row r="802" spans="9:12" x14ac:dyDescent="0.2">
      <c r="I802" s="7"/>
      <c r="J802" s="5"/>
      <c r="K802" s="5"/>
      <c r="L802" s="8"/>
    </row>
    <row r="803" spans="9:12" x14ac:dyDescent="0.2">
      <c r="I803" s="7"/>
      <c r="J803" s="5"/>
      <c r="K803" s="5"/>
      <c r="L803" s="8"/>
    </row>
    <row r="804" spans="9:12" x14ac:dyDescent="0.2">
      <c r="I804" s="7"/>
      <c r="J804" s="5"/>
      <c r="K804" s="5"/>
      <c r="L804" s="8"/>
    </row>
    <row r="805" spans="9:12" x14ac:dyDescent="0.2">
      <c r="I805" s="7"/>
      <c r="J805" s="5"/>
      <c r="K805" s="5"/>
      <c r="L805" s="8"/>
    </row>
    <row r="806" spans="9:12" x14ac:dyDescent="0.2">
      <c r="I806" s="7"/>
      <c r="J806" s="5"/>
      <c r="K806" s="5"/>
      <c r="L806" s="8"/>
    </row>
    <row r="807" spans="9:12" x14ac:dyDescent="0.2">
      <c r="I807" s="7"/>
      <c r="J807" s="5"/>
      <c r="K807" s="5"/>
      <c r="L807" s="8"/>
    </row>
    <row r="808" spans="9:12" x14ac:dyDescent="0.2">
      <c r="I808" s="7"/>
      <c r="J808" s="5"/>
      <c r="K808" s="5"/>
      <c r="L808" s="8"/>
    </row>
    <row r="809" spans="9:12" x14ac:dyDescent="0.2">
      <c r="I809" s="7"/>
      <c r="J809" s="5"/>
      <c r="K809" s="5"/>
      <c r="L809" s="8"/>
    </row>
    <row r="810" spans="9:12" x14ac:dyDescent="0.2">
      <c r="I810" s="7"/>
      <c r="J810" s="5"/>
      <c r="K810" s="5"/>
      <c r="L810" s="8"/>
    </row>
    <row r="811" spans="9:12" x14ac:dyDescent="0.2">
      <c r="I811" s="7"/>
      <c r="J811" s="5"/>
      <c r="K811" s="5"/>
      <c r="L811" s="8"/>
    </row>
    <row r="812" spans="9:12" x14ac:dyDescent="0.2">
      <c r="I812" s="7"/>
      <c r="J812" s="5"/>
      <c r="K812" s="5"/>
      <c r="L812" s="8"/>
    </row>
    <row r="813" spans="9:12" x14ac:dyDescent="0.2">
      <c r="I813" s="7"/>
      <c r="J813" s="5"/>
      <c r="K813" s="5"/>
      <c r="L813" s="8"/>
    </row>
    <row r="814" spans="9:12" x14ac:dyDescent="0.2">
      <c r="I814" s="7"/>
      <c r="J814" s="5"/>
      <c r="K814" s="5"/>
      <c r="L814" s="8"/>
    </row>
    <row r="815" spans="9:12" x14ac:dyDescent="0.2">
      <c r="I815" s="7"/>
      <c r="J815" s="5"/>
      <c r="K815" s="5"/>
      <c r="L815" s="8"/>
    </row>
    <row r="816" spans="9:12" x14ac:dyDescent="0.2">
      <c r="I816" s="7"/>
      <c r="J816" s="5"/>
      <c r="K816" s="5"/>
      <c r="L816" s="8"/>
    </row>
    <row r="817" spans="9:12" x14ac:dyDescent="0.2">
      <c r="I817" s="7"/>
      <c r="J817" s="5"/>
      <c r="K817" s="5"/>
      <c r="L817" s="8"/>
    </row>
    <row r="818" spans="9:12" x14ac:dyDescent="0.2">
      <c r="I818" s="7"/>
      <c r="J818" s="5"/>
      <c r="K818" s="5"/>
      <c r="L818" s="8"/>
    </row>
    <row r="819" spans="9:12" x14ac:dyDescent="0.2">
      <c r="I819" s="7"/>
      <c r="J819" s="5"/>
      <c r="K819" s="5"/>
      <c r="L819" s="8"/>
    </row>
    <row r="820" spans="9:12" x14ac:dyDescent="0.2">
      <c r="I820" s="7"/>
      <c r="J820" s="5"/>
      <c r="K820" s="5"/>
      <c r="L820" s="8"/>
    </row>
    <row r="821" spans="9:12" x14ac:dyDescent="0.2">
      <c r="I821" s="7"/>
      <c r="J821" s="5"/>
      <c r="K821" s="5"/>
      <c r="L821" s="8"/>
    </row>
    <row r="822" spans="9:12" x14ac:dyDescent="0.2">
      <c r="I822" s="7"/>
      <c r="J822" s="5"/>
      <c r="K822" s="5"/>
      <c r="L822" s="8"/>
    </row>
    <row r="823" spans="9:12" x14ac:dyDescent="0.2">
      <c r="I823" s="7"/>
      <c r="J823" s="5"/>
      <c r="K823" s="5"/>
      <c r="L823" s="8"/>
    </row>
    <row r="824" spans="9:12" x14ac:dyDescent="0.2">
      <c r="I824" s="7"/>
      <c r="J824" s="5"/>
      <c r="K824" s="5"/>
      <c r="L824" s="8"/>
    </row>
    <row r="825" spans="9:12" x14ac:dyDescent="0.2">
      <c r="I825" s="7"/>
      <c r="J825" s="5"/>
      <c r="K825" s="5"/>
      <c r="L825" s="8"/>
    </row>
    <row r="826" spans="9:12" x14ac:dyDescent="0.2">
      <c r="I826" s="7"/>
      <c r="J826" s="5"/>
      <c r="K826" s="5"/>
      <c r="L826" s="8"/>
    </row>
    <row r="827" spans="9:12" x14ac:dyDescent="0.2">
      <c r="I827" s="7"/>
      <c r="J827" s="5"/>
      <c r="K827" s="5"/>
      <c r="L827" s="8"/>
    </row>
    <row r="828" spans="9:12" x14ac:dyDescent="0.2">
      <c r="I828" s="7"/>
      <c r="J828" s="5"/>
      <c r="K828" s="5"/>
      <c r="L828" s="8"/>
    </row>
    <row r="829" spans="9:12" x14ac:dyDescent="0.2">
      <c r="I829" s="7"/>
      <c r="J829" s="5"/>
      <c r="K829" s="5"/>
      <c r="L829" s="8"/>
    </row>
    <row r="830" spans="9:12" x14ac:dyDescent="0.2">
      <c r="I830" s="7"/>
      <c r="J830" s="5"/>
      <c r="K830" s="5"/>
      <c r="L830" s="8"/>
    </row>
    <row r="831" spans="9:12" x14ac:dyDescent="0.2">
      <c r="I831" s="7"/>
      <c r="J831" s="5"/>
      <c r="K831" s="5"/>
      <c r="L831" s="8"/>
    </row>
    <row r="832" spans="9:12" x14ac:dyDescent="0.2">
      <c r="I832" s="7"/>
      <c r="J832" s="5"/>
      <c r="K832" s="5"/>
      <c r="L832" s="8"/>
    </row>
    <row r="833" spans="9:12" x14ac:dyDescent="0.2">
      <c r="I833" s="7"/>
      <c r="J833" s="5"/>
      <c r="K833" s="5"/>
      <c r="L833" s="8"/>
    </row>
    <row r="834" spans="9:12" x14ac:dyDescent="0.2">
      <c r="I834" s="7"/>
      <c r="J834" s="5"/>
      <c r="K834" s="5"/>
      <c r="L834" s="8"/>
    </row>
    <row r="835" spans="9:12" x14ac:dyDescent="0.2">
      <c r="I835" s="7"/>
      <c r="J835" s="5"/>
      <c r="K835" s="5"/>
      <c r="L835" s="8"/>
    </row>
    <row r="836" spans="9:12" x14ac:dyDescent="0.2">
      <c r="I836" s="7"/>
      <c r="J836" s="5"/>
      <c r="K836" s="5"/>
      <c r="L836" s="8"/>
    </row>
    <row r="837" spans="9:12" x14ac:dyDescent="0.2">
      <c r="I837" s="7"/>
      <c r="J837" s="5"/>
      <c r="K837" s="5"/>
      <c r="L837" s="8"/>
    </row>
    <row r="838" spans="9:12" x14ac:dyDescent="0.2">
      <c r="I838" s="7"/>
      <c r="J838" s="5"/>
      <c r="K838" s="5"/>
      <c r="L838" s="8"/>
    </row>
    <row r="839" spans="9:12" x14ac:dyDescent="0.2">
      <c r="I839" s="7"/>
      <c r="J839" s="5"/>
      <c r="K839" s="5"/>
      <c r="L839" s="8"/>
    </row>
    <row r="840" spans="9:12" x14ac:dyDescent="0.2">
      <c r="I840" s="7"/>
      <c r="J840" s="5"/>
      <c r="K840" s="5"/>
      <c r="L840" s="8"/>
    </row>
    <row r="841" spans="9:12" x14ac:dyDescent="0.2">
      <c r="I841" s="7"/>
      <c r="J841" s="5"/>
      <c r="K841" s="5"/>
      <c r="L841" s="8"/>
    </row>
    <row r="842" spans="9:12" x14ac:dyDescent="0.2">
      <c r="I842" s="7"/>
      <c r="J842" s="5"/>
      <c r="K842" s="5"/>
      <c r="L842" s="8"/>
    </row>
    <row r="843" spans="9:12" x14ac:dyDescent="0.2">
      <c r="I843" s="7"/>
      <c r="J843" s="5"/>
      <c r="K843" s="5"/>
      <c r="L843" s="8"/>
    </row>
    <row r="844" spans="9:12" x14ac:dyDescent="0.2">
      <c r="I844" s="7"/>
      <c r="J844" s="5"/>
      <c r="K844" s="5"/>
      <c r="L844" s="8"/>
    </row>
    <row r="845" spans="9:12" x14ac:dyDescent="0.2">
      <c r="I845" s="7"/>
      <c r="J845" s="5"/>
      <c r="K845" s="5"/>
      <c r="L845" s="8"/>
    </row>
    <row r="846" spans="9:12" x14ac:dyDescent="0.2">
      <c r="I846" s="7"/>
      <c r="J846" s="5"/>
      <c r="K846" s="5"/>
      <c r="L846" s="8"/>
    </row>
    <row r="847" spans="9:12" x14ac:dyDescent="0.2">
      <c r="I847" s="7"/>
      <c r="J847" s="5"/>
      <c r="K847" s="5"/>
      <c r="L847" s="8"/>
    </row>
    <row r="848" spans="9:12" x14ac:dyDescent="0.2">
      <c r="I848" s="7"/>
      <c r="J848" s="5"/>
      <c r="K848" s="5"/>
      <c r="L848" s="8"/>
    </row>
    <row r="849" spans="9:12" x14ac:dyDescent="0.2">
      <c r="I849" s="7"/>
      <c r="J849" s="5"/>
      <c r="K849" s="5"/>
      <c r="L849" s="8"/>
    </row>
    <row r="850" spans="9:12" x14ac:dyDescent="0.2">
      <c r="I850" s="7"/>
      <c r="J850" s="5"/>
      <c r="K850" s="5"/>
      <c r="L850" s="8"/>
    </row>
    <row r="851" spans="9:12" x14ac:dyDescent="0.2">
      <c r="I851" s="7"/>
      <c r="J851" s="5"/>
      <c r="K851" s="5"/>
      <c r="L851" s="8"/>
    </row>
    <row r="852" spans="9:12" x14ac:dyDescent="0.2">
      <c r="I852" s="7"/>
      <c r="J852" s="5"/>
      <c r="K852" s="5"/>
      <c r="L852" s="8"/>
    </row>
    <row r="853" spans="9:12" x14ac:dyDescent="0.2">
      <c r="I853" s="7"/>
      <c r="J853" s="5"/>
      <c r="K853" s="5"/>
      <c r="L853" s="8"/>
    </row>
    <row r="854" spans="9:12" x14ac:dyDescent="0.2">
      <c r="I854" s="7"/>
      <c r="J854" s="5"/>
      <c r="K854" s="5"/>
      <c r="L854" s="8"/>
    </row>
    <row r="855" spans="9:12" x14ac:dyDescent="0.2">
      <c r="I855" s="7"/>
      <c r="J855" s="5"/>
      <c r="K855" s="5"/>
      <c r="L855" s="8"/>
    </row>
    <row r="856" spans="9:12" x14ac:dyDescent="0.2">
      <c r="I856" s="7"/>
      <c r="J856" s="5"/>
      <c r="K856" s="5"/>
      <c r="L856" s="8"/>
    </row>
    <row r="857" spans="9:12" x14ac:dyDescent="0.2">
      <c r="I857" s="7"/>
      <c r="J857" s="5"/>
      <c r="K857" s="5"/>
      <c r="L857" s="8"/>
    </row>
    <row r="858" spans="9:12" x14ac:dyDescent="0.2">
      <c r="I858" s="7"/>
      <c r="J858" s="5"/>
      <c r="K858" s="5"/>
      <c r="L858" s="8"/>
    </row>
    <row r="859" spans="9:12" x14ac:dyDescent="0.2">
      <c r="I859" s="7"/>
      <c r="J859" s="5"/>
      <c r="K859" s="5"/>
      <c r="L859" s="8"/>
    </row>
    <row r="860" spans="9:12" x14ac:dyDescent="0.2">
      <c r="I860" s="7"/>
      <c r="J860" s="5"/>
      <c r="K860" s="5"/>
      <c r="L860" s="8"/>
    </row>
    <row r="861" spans="9:12" x14ac:dyDescent="0.2">
      <c r="I861" s="7"/>
      <c r="J861" s="5"/>
      <c r="K861" s="5"/>
      <c r="L861" s="8"/>
    </row>
    <row r="862" spans="9:12" x14ac:dyDescent="0.2">
      <c r="I862" s="7"/>
      <c r="J862" s="5"/>
      <c r="K862" s="5"/>
      <c r="L862" s="8"/>
    </row>
    <row r="863" spans="9:12" x14ac:dyDescent="0.2">
      <c r="I863" s="7"/>
      <c r="J863" s="5"/>
      <c r="K863" s="5"/>
      <c r="L863" s="8"/>
    </row>
    <row r="864" spans="9:12" x14ac:dyDescent="0.2">
      <c r="I864" s="7"/>
      <c r="J864" s="5"/>
      <c r="K864" s="5"/>
      <c r="L864" s="8"/>
    </row>
    <row r="865" spans="9:12" x14ac:dyDescent="0.2">
      <c r="I865" s="7"/>
      <c r="J865" s="5"/>
      <c r="K865" s="5"/>
      <c r="L865" s="8"/>
    </row>
    <row r="866" spans="9:12" x14ac:dyDescent="0.2">
      <c r="I866" s="7"/>
      <c r="J866" s="5"/>
      <c r="K866" s="5"/>
      <c r="L866" s="8"/>
    </row>
    <row r="867" spans="9:12" x14ac:dyDescent="0.2">
      <c r="I867" s="7"/>
      <c r="J867" s="5"/>
      <c r="K867" s="5"/>
      <c r="L867" s="8"/>
    </row>
    <row r="868" spans="9:12" x14ac:dyDescent="0.2">
      <c r="I868" s="7"/>
      <c r="J868" s="5"/>
      <c r="K868" s="5"/>
      <c r="L868" s="8"/>
    </row>
    <row r="869" spans="9:12" x14ac:dyDescent="0.2">
      <c r="I869" s="7"/>
      <c r="J869" s="5"/>
      <c r="K869" s="5"/>
      <c r="L869" s="8"/>
    </row>
    <row r="870" spans="9:12" x14ac:dyDescent="0.2">
      <c r="I870" s="7"/>
      <c r="J870" s="5"/>
      <c r="K870" s="5"/>
      <c r="L870" s="8"/>
    </row>
    <row r="871" spans="9:12" x14ac:dyDescent="0.2">
      <c r="I871" s="7"/>
      <c r="J871" s="5"/>
      <c r="K871" s="5"/>
      <c r="L871" s="8"/>
    </row>
    <row r="872" spans="9:12" x14ac:dyDescent="0.2">
      <c r="I872" s="7"/>
      <c r="J872" s="5"/>
      <c r="K872" s="5"/>
      <c r="L872" s="8"/>
    </row>
    <row r="873" spans="9:12" x14ac:dyDescent="0.2">
      <c r="I873" s="7"/>
      <c r="J873" s="5"/>
      <c r="K873" s="5"/>
      <c r="L873" s="8"/>
    </row>
    <row r="874" spans="9:12" x14ac:dyDescent="0.2">
      <c r="I874" s="7"/>
      <c r="J874" s="5"/>
      <c r="K874" s="5"/>
      <c r="L874" s="8"/>
    </row>
    <row r="875" spans="9:12" x14ac:dyDescent="0.2">
      <c r="I875" s="7"/>
      <c r="J875" s="5"/>
      <c r="K875" s="5"/>
      <c r="L875" s="8"/>
    </row>
    <row r="876" spans="9:12" x14ac:dyDescent="0.2">
      <c r="I876" s="7"/>
      <c r="J876" s="5"/>
      <c r="K876" s="5"/>
      <c r="L876" s="8"/>
    </row>
    <row r="877" spans="9:12" x14ac:dyDescent="0.2">
      <c r="I877" s="7"/>
      <c r="J877" s="5"/>
      <c r="K877" s="5"/>
      <c r="L877" s="8"/>
    </row>
    <row r="878" spans="9:12" x14ac:dyDescent="0.2">
      <c r="I878" s="7"/>
      <c r="J878" s="5"/>
      <c r="K878" s="5"/>
      <c r="L878" s="8"/>
    </row>
    <row r="879" spans="9:12" x14ac:dyDescent="0.2">
      <c r="I879" s="7"/>
      <c r="J879" s="5"/>
      <c r="K879" s="5"/>
      <c r="L879" s="8"/>
    </row>
    <row r="880" spans="9:12" x14ac:dyDescent="0.2">
      <c r="I880" s="7"/>
      <c r="J880" s="5"/>
      <c r="K880" s="5"/>
      <c r="L880" s="8"/>
    </row>
    <row r="881" spans="9:12" x14ac:dyDescent="0.2">
      <c r="I881" s="7"/>
      <c r="J881" s="5"/>
      <c r="K881" s="5"/>
      <c r="L881" s="8"/>
    </row>
    <row r="882" spans="9:12" x14ac:dyDescent="0.2">
      <c r="I882" s="7"/>
      <c r="J882" s="5"/>
      <c r="K882" s="5"/>
      <c r="L882" s="8"/>
    </row>
    <row r="883" spans="9:12" x14ac:dyDescent="0.2">
      <c r="I883" s="7"/>
      <c r="J883" s="5"/>
      <c r="K883" s="5"/>
      <c r="L883" s="8"/>
    </row>
    <row r="884" spans="9:12" x14ac:dyDescent="0.2">
      <c r="I884" s="7"/>
      <c r="J884" s="5"/>
      <c r="K884" s="5"/>
      <c r="L884" s="8"/>
    </row>
    <row r="885" spans="9:12" x14ac:dyDescent="0.2">
      <c r="I885" s="7"/>
      <c r="J885" s="5"/>
      <c r="K885" s="5"/>
      <c r="L885" s="8"/>
    </row>
    <row r="886" spans="9:12" x14ac:dyDescent="0.2">
      <c r="I886" s="7"/>
      <c r="J886" s="5"/>
      <c r="K886" s="5"/>
      <c r="L886" s="8"/>
    </row>
    <row r="887" spans="9:12" x14ac:dyDescent="0.2">
      <c r="I887" s="7"/>
      <c r="J887" s="5"/>
      <c r="K887" s="5"/>
      <c r="L887" s="8"/>
    </row>
    <row r="888" spans="9:12" x14ac:dyDescent="0.2">
      <c r="I888" s="7"/>
      <c r="J888" s="5"/>
      <c r="K888" s="5"/>
      <c r="L888" s="8"/>
    </row>
    <row r="889" spans="9:12" x14ac:dyDescent="0.2">
      <c r="I889" s="7"/>
      <c r="J889" s="5"/>
      <c r="K889" s="5"/>
      <c r="L889" s="8"/>
    </row>
    <row r="890" spans="9:12" x14ac:dyDescent="0.2">
      <c r="I890" s="7"/>
      <c r="J890" s="5"/>
      <c r="K890" s="5"/>
      <c r="L890" s="8"/>
    </row>
    <row r="891" spans="9:12" x14ac:dyDescent="0.2">
      <c r="I891" s="7"/>
      <c r="J891" s="5"/>
      <c r="K891" s="5"/>
      <c r="L891" s="8"/>
    </row>
    <row r="892" spans="9:12" x14ac:dyDescent="0.2">
      <c r="I892" s="7"/>
      <c r="J892" s="5"/>
      <c r="K892" s="5"/>
      <c r="L892" s="8"/>
    </row>
    <row r="893" spans="9:12" x14ac:dyDescent="0.2">
      <c r="I893" s="7"/>
      <c r="J893" s="5"/>
      <c r="K893" s="5"/>
      <c r="L893" s="8"/>
    </row>
    <row r="894" spans="9:12" x14ac:dyDescent="0.2">
      <c r="I894" s="7"/>
      <c r="J894" s="5"/>
      <c r="K894" s="5"/>
      <c r="L894" s="8"/>
    </row>
    <row r="895" spans="9:12" x14ac:dyDescent="0.2">
      <c r="I895" s="7"/>
      <c r="J895" s="5"/>
      <c r="K895" s="5"/>
      <c r="L895" s="8"/>
    </row>
    <row r="896" spans="9:12" x14ac:dyDescent="0.2">
      <c r="I896" s="7"/>
      <c r="J896" s="5"/>
      <c r="K896" s="5"/>
      <c r="L896" s="8"/>
    </row>
    <row r="897" spans="9:12" x14ac:dyDescent="0.2">
      <c r="I897" s="7"/>
      <c r="J897" s="5"/>
      <c r="K897" s="5"/>
      <c r="L897" s="8"/>
    </row>
    <row r="898" spans="9:12" x14ac:dyDescent="0.2">
      <c r="I898" s="7"/>
      <c r="J898" s="5"/>
      <c r="K898" s="5"/>
      <c r="L898" s="8"/>
    </row>
    <row r="899" spans="9:12" x14ac:dyDescent="0.2">
      <c r="I899" s="7"/>
      <c r="J899" s="5"/>
      <c r="K899" s="5"/>
      <c r="L899" s="8"/>
    </row>
    <row r="900" spans="9:12" x14ac:dyDescent="0.2">
      <c r="I900" s="7"/>
      <c r="J900" s="5"/>
      <c r="K900" s="5"/>
      <c r="L900" s="8"/>
    </row>
    <row r="901" spans="9:12" x14ac:dyDescent="0.2">
      <c r="I901" s="7"/>
      <c r="J901" s="5"/>
      <c r="K901" s="5"/>
      <c r="L901" s="8"/>
    </row>
    <row r="902" spans="9:12" x14ac:dyDescent="0.2">
      <c r="I902" s="7"/>
      <c r="J902" s="5"/>
      <c r="K902" s="5"/>
      <c r="L902" s="8"/>
    </row>
    <row r="903" spans="9:12" x14ac:dyDescent="0.2">
      <c r="I903" s="7"/>
      <c r="J903" s="5"/>
      <c r="K903" s="5"/>
      <c r="L903" s="8"/>
    </row>
    <row r="904" spans="9:12" x14ac:dyDescent="0.2">
      <c r="I904" s="7"/>
      <c r="J904" s="5"/>
      <c r="K904" s="5"/>
      <c r="L904" s="8"/>
    </row>
    <row r="905" spans="9:12" x14ac:dyDescent="0.2">
      <c r="I905" s="7"/>
      <c r="J905" s="5"/>
      <c r="K905" s="5"/>
      <c r="L905" s="8"/>
    </row>
    <row r="906" spans="9:12" x14ac:dyDescent="0.2">
      <c r="I906" s="7"/>
      <c r="J906" s="5"/>
      <c r="K906" s="5"/>
      <c r="L906" s="8"/>
    </row>
    <row r="907" spans="9:12" x14ac:dyDescent="0.2">
      <c r="I907" s="7"/>
      <c r="J907" s="5"/>
      <c r="K907" s="5"/>
      <c r="L907" s="8"/>
    </row>
    <row r="908" spans="9:12" x14ac:dyDescent="0.2">
      <c r="I908" s="7"/>
      <c r="J908" s="5"/>
      <c r="K908" s="5"/>
      <c r="L908" s="8"/>
    </row>
    <row r="909" spans="9:12" x14ac:dyDescent="0.2">
      <c r="I909" s="7"/>
      <c r="J909" s="5"/>
      <c r="K909" s="5"/>
      <c r="L909" s="8"/>
    </row>
    <row r="910" spans="9:12" x14ac:dyDescent="0.2">
      <c r="I910" s="7"/>
      <c r="J910" s="5"/>
      <c r="K910" s="5"/>
      <c r="L910" s="8"/>
    </row>
    <row r="911" spans="9:12" x14ac:dyDescent="0.2">
      <c r="I911" s="7"/>
      <c r="J911" s="5"/>
      <c r="K911" s="5"/>
      <c r="L911" s="8"/>
    </row>
    <row r="912" spans="9:12" x14ac:dyDescent="0.2">
      <c r="I912" s="7"/>
      <c r="J912" s="5"/>
      <c r="K912" s="5"/>
      <c r="L912" s="8"/>
    </row>
    <row r="913" spans="9:12" x14ac:dyDescent="0.2">
      <c r="I913" s="7"/>
      <c r="J913" s="5"/>
      <c r="K913" s="5"/>
      <c r="L913" s="8"/>
    </row>
    <row r="914" spans="9:12" x14ac:dyDescent="0.2">
      <c r="I914" s="7"/>
      <c r="J914" s="5"/>
      <c r="K914" s="5"/>
      <c r="L914" s="8"/>
    </row>
    <row r="915" spans="9:12" x14ac:dyDescent="0.2">
      <c r="I915" s="7"/>
      <c r="J915" s="5"/>
      <c r="K915" s="5"/>
      <c r="L915" s="8"/>
    </row>
    <row r="916" spans="9:12" x14ac:dyDescent="0.2">
      <c r="I916" s="7"/>
      <c r="J916" s="5"/>
      <c r="K916" s="5"/>
      <c r="L916" s="8"/>
    </row>
    <row r="917" spans="9:12" x14ac:dyDescent="0.2">
      <c r="I917" s="7"/>
      <c r="J917" s="5"/>
      <c r="K917" s="5"/>
      <c r="L917" s="8"/>
    </row>
    <row r="918" spans="9:12" x14ac:dyDescent="0.2">
      <c r="I918" s="7"/>
      <c r="J918" s="5"/>
      <c r="K918" s="5"/>
      <c r="L918" s="8"/>
    </row>
    <row r="919" spans="9:12" x14ac:dyDescent="0.2">
      <c r="I919" s="7"/>
      <c r="J919" s="5"/>
      <c r="K919" s="5"/>
      <c r="L919" s="8"/>
    </row>
    <row r="920" spans="9:12" x14ac:dyDescent="0.2">
      <c r="I920" s="7"/>
      <c r="J920" s="5"/>
      <c r="K920" s="5"/>
      <c r="L920" s="8"/>
    </row>
    <row r="921" spans="9:12" x14ac:dyDescent="0.2">
      <c r="I921" s="7"/>
      <c r="J921" s="5"/>
      <c r="K921" s="5"/>
      <c r="L921" s="8"/>
    </row>
    <row r="922" spans="9:12" x14ac:dyDescent="0.2">
      <c r="I922" s="7"/>
      <c r="J922" s="5"/>
      <c r="K922" s="5"/>
      <c r="L922" s="8"/>
    </row>
    <row r="923" spans="9:12" x14ac:dyDescent="0.2">
      <c r="I923" s="7"/>
      <c r="J923" s="5"/>
      <c r="K923" s="5"/>
      <c r="L923" s="8"/>
    </row>
    <row r="924" spans="9:12" x14ac:dyDescent="0.2">
      <c r="I924" s="7"/>
      <c r="J924" s="5"/>
      <c r="K924" s="5"/>
      <c r="L924" s="8"/>
    </row>
    <row r="925" spans="9:12" x14ac:dyDescent="0.2">
      <c r="I925" s="7"/>
      <c r="J925" s="5"/>
      <c r="K925" s="5"/>
      <c r="L925" s="8"/>
    </row>
    <row r="926" spans="9:12" x14ac:dyDescent="0.2">
      <c r="I926" s="7"/>
      <c r="J926" s="5"/>
      <c r="K926" s="5"/>
      <c r="L926" s="8"/>
    </row>
    <row r="927" spans="9:12" x14ac:dyDescent="0.2">
      <c r="I927" s="7"/>
      <c r="J927" s="5"/>
      <c r="K927" s="5"/>
      <c r="L927" s="8"/>
    </row>
    <row r="928" spans="9:12" x14ac:dyDescent="0.2">
      <c r="I928" s="7"/>
      <c r="J928" s="5"/>
      <c r="K928" s="5"/>
      <c r="L928" s="8"/>
    </row>
    <row r="929" spans="9:12" x14ac:dyDescent="0.2">
      <c r="I929" s="7"/>
      <c r="J929" s="5"/>
      <c r="K929" s="5"/>
      <c r="L929" s="8"/>
    </row>
    <row r="930" spans="9:12" x14ac:dyDescent="0.2">
      <c r="I930" s="7"/>
      <c r="J930" s="5"/>
      <c r="K930" s="5"/>
      <c r="L930" s="8"/>
    </row>
    <row r="931" spans="9:12" x14ac:dyDescent="0.2">
      <c r="I931" s="7"/>
      <c r="J931" s="5"/>
      <c r="K931" s="5"/>
      <c r="L931" s="8"/>
    </row>
    <row r="932" spans="9:12" x14ac:dyDescent="0.2">
      <c r="I932" s="7"/>
      <c r="J932" s="5"/>
      <c r="K932" s="5"/>
      <c r="L932" s="8"/>
    </row>
    <row r="933" spans="9:12" x14ac:dyDescent="0.2">
      <c r="I933" s="7"/>
      <c r="J933" s="5"/>
      <c r="K933" s="5"/>
      <c r="L933" s="8"/>
    </row>
    <row r="934" spans="9:12" x14ac:dyDescent="0.2">
      <c r="I934" s="7"/>
      <c r="J934" s="5"/>
      <c r="K934" s="5"/>
      <c r="L934" s="8"/>
    </row>
    <row r="935" spans="9:12" x14ac:dyDescent="0.2">
      <c r="I935" s="7"/>
      <c r="J935" s="5"/>
      <c r="K935" s="5"/>
      <c r="L935" s="8"/>
    </row>
    <row r="936" spans="9:12" x14ac:dyDescent="0.2">
      <c r="I936" s="7"/>
      <c r="J936" s="5"/>
      <c r="K936" s="5"/>
      <c r="L936" s="8"/>
    </row>
    <row r="937" spans="9:12" x14ac:dyDescent="0.2">
      <c r="I937" s="7"/>
      <c r="J937" s="5"/>
      <c r="K937" s="5"/>
      <c r="L937" s="8"/>
    </row>
    <row r="938" spans="9:12" x14ac:dyDescent="0.2">
      <c r="I938" s="7"/>
      <c r="J938" s="5"/>
      <c r="K938" s="5"/>
      <c r="L938" s="8"/>
    </row>
    <row r="939" spans="9:12" x14ac:dyDescent="0.2">
      <c r="I939" s="7"/>
      <c r="J939" s="5"/>
      <c r="K939" s="5"/>
      <c r="L939" s="8"/>
    </row>
    <row r="940" spans="9:12" x14ac:dyDescent="0.2">
      <c r="I940" s="7"/>
      <c r="J940" s="5"/>
      <c r="K940" s="5"/>
      <c r="L940" s="8"/>
    </row>
    <row r="941" spans="9:12" x14ac:dyDescent="0.2">
      <c r="I941" s="7"/>
      <c r="J941" s="5"/>
      <c r="K941" s="5"/>
      <c r="L941" s="8"/>
    </row>
    <row r="942" spans="9:12" x14ac:dyDescent="0.2">
      <c r="I942" s="7"/>
      <c r="J942" s="5"/>
      <c r="K942" s="5"/>
      <c r="L942" s="8"/>
    </row>
    <row r="943" spans="9:12" x14ac:dyDescent="0.2">
      <c r="I943" s="7"/>
      <c r="J943" s="5"/>
      <c r="K943" s="5"/>
      <c r="L943" s="8"/>
    </row>
    <row r="944" spans="9:12" x14ac:dyDescent="0.2">
      <c r="I944" s="7"/>
      <c r="J944" s="5"/>
      <c r="K944" s="5"/>
      <c r="L944" s="8"/>
    </row>
    <row r="945" spans="9:12" x14ac:dyDescent="0.2">
      <c r="I945" s="7"/>
      <c r="J945" s="5"/>
      <c r="K945" s="5"/>
      <c r="L945" s="8"/>
    </row>
    <row r="946" spans="9:12" x14ac:dyDescent="0.2">
      <c r="I946" s="7"/>
      <c r="J946" s="5"/>
      <c r="K946" s="5"/>
      <c r="L946" s="8"/>
    </row>
    <row r="947" spans="9:12" x14ac:dyDescent="0.2">
      <c r="I947" s="7"/>
      <c r="J947" s="5"/>
      <c r="K947" s="5"/>
      <c r="L947" s="8"/>
    </row>
    <row r="948" spans="9:12" x14ac:dyDescent="0.2">
      <c r="I948" s="7"/>
      <c r="J948" s="5"/>
      <c r="K948" s="5"/>
      <c r="L948" s="8"/>
    </row>
    <row r="949" spans="9:12" x14ac:dyDescent="0.2">
      <c r="I949" s="7"/>
      <c r="J949" s="5"/>
      <c r="K949" s="5"/>
      <c r="L949" s="8"/>
    </row>
    <row r="950" spans="9:12" x14ac:dyDescent="0.2">
      <c r="I950" s="7"/>
      <c r="J950" s="5"/>
      <c r="K950" s="5"/>
      <c r="L950" s="8"/>
    </row>
    <row r="951" spans="9:12" x14ac:dyDescent="0.2">
      <c r="I951" s="7"/>
      <c r="J951" s="5"/>
      <c r="K951" s="5"/>
      <c r="L951" s="8"/>
    </row>
    <row r="952" spans="9:12" x14ac:dyDescent="0.2">
      <c r="I952" s="7"/>
      <c r="J952" s="5"/>
      <c r="K952" s="5"/>
      <c r="L952" s="8"/>
    </row>
    <row r="953" spans="9:12" x14ac:dyDescent="0.2">
      <c r="I953" s="7"/>
      <c r="J953" s="5"/>
      <c r="K953" s="5"/>
      <c r="L953" s="8"/>
    </row>
    <row r="954" spans="9:12" x14ac:dyDescent="0.2">
      <c r="I954" s="7"/>
      <c r="J954" s="5"/>
      <c r="K954" s="5"/>
      <c r="L954" s="8"/>
    </row>
    <row r="955" spans="9:12" x14ac:dyDescent="0.2">
      <c r="I955" s="7"/>
      <c r="J955" s="5"/>
      <c r="K955" s="5"/>
      <c r="L955" s="8"/>
    </row>
    <row r="956" spans="9:12" x14ac:dyDescent="0.2">
      <c r="I956" s="7"/>
      <c r="J956" s="5"/>
      <c r="K956" s="5"/>
      <c r="L956" s="8"/>
    </row>
    <row r="957" spans="9:12" x14ac:dyDescent="0.2">
      <c r="I957" s="7"/>
      <c r="J957" s="5"/>
      <c r="K957" s="5"/>
      <c r="L957" s="8"/>
    </row>
    <row r="958" spans="9:12" x14ac:dyDescent="0.2">
      <c r="I958" s="7"/>
      <c r="J958" s="5"/>
      <c r="K958" s="5"/>
      <c r="L958" s="8"/>
    </row>
    <row r="959" spans="9:12" x14ac:dyDescent="0.2">
      <c r="I959" s="7"/>
      <c r="J959" s="5"/>
      <c r="K959" s="5"/>
      <c r="L959" s="8"/>
    </row>
    <row r="960" spans="9:12" x14ac:dyDescent="0.2">
      <c r="I960" s="7"/>
      <c r="J960" s="5"/>
      <c r="K960" s="5"/>
      <c r="L960" s="8"/>
    </row>
    <row r="961" spans="9:12" x14ac:dyDescent="0.2">
      <c r="I961" s="7"/>
      <c r="J961" s="5"/>
      <c r="K961" s="5"/>
      <c r="L961" s="8"/>
    </row>
    <row r="962" spans="9:12" x14ac:dyDescent="0.2">
      <c r="I962" s="7"/>
      <c r="J962" s="5"/>
      <c r="K962" s="5"/>
      <c r="L962" s="8"/>
    </row>
    <row r="963" spans="9:12" x14ac:dyDescent="0.2">
      <c r="I963" s="7"/>
      <c r="J963" s="5"/>
      <c r="K963" s="5"/>
      <c r="L963" s="8"/>
    </row>
    <row r="964" spans="9:12" x14ac:dyDescent="0.2">
      <c r="I964" s="7"/>
      <c r="J964" s="5"/>
      <c r="K964" s="5"/>
      <c r="L964" s="8"/>
    </row>
    <row r="965" spans="9:12" x14ac:dyDescent="0.2">
      <c r="I965" s="7"/>
      <c r="J965" s="5"/>
      <c r="K965" s="5"/>
      <c r="L965" s="8"/>
    </row>
    <row r="966" spans="9:12" x14ac:dyDescent="0.2">
      <c r="I966" s="7"/>
      <c r="J966" s="5"/>
      <c r="K966" s="5"/>
      <c r="L966" s="8"/>
    </row>
    <row r="967" spans="9:12" x14ac:dyDescent="0.2">
      <c r="I967" s="7"/>
      <c r="J967" s="5"/>
      <c r="K967" s="5"/>
      <c r="L967" s="8"/>
    </row>
    <row r="968" spans="9:12" x14ac:dyDescent="0.2">
      <c r="I968" s="7"/>
      <c r="J968" s="5"/>
      <c r="K968" s="5"/>
      <c r="L968" s="8"/>
    </row>
    <row r="969" spans="9:12" x14ac:dyDescent="0.2">
      <c r="I969" s="7"/>
      <c r="J969" s="5"/>
      <c r="K969" s="5"/>
      <c r="L969" s="8"/>
    </row>
    <row r="970" spans="9:12" x14ac:dyDescent="0.2">
      <c r="I970" s="7"/>
      <c r="J970" s="5"/>
      <c r="K970" s="5"/>
      <c r="L970" s="8"/>
    </row>
    <row r="971" spans="9:12" x14ac:dyDescent="0.2">
      <c r="I971" s="7"/>
      <c r="J971" s="5"/>
      <c r="K971" s="5"/>
      <c r="L971" s="8"/>
    </row>
    <row r="972" spans="9:12" x14ac:dyDescent="0.2">
      <c r="I972" s="7"/>
      <c r="J972" s="5"/>
      <c r="K972" s="5"/>
      <c r="L972" s="8"/>
    </row>
    <row r="973" spans="9:12" x14ac:dyDescent="0.2">
      <c r="I973" s="7"/>
      <c r="J973" s="5"/>
      <c r="K973" s="5"/>
      <c r="L973" s="8"/>
    </row>
    <row r="974" spans="9:12" x14ac:dyDescent="0.2">
      <c r="I974" s="7"/>
      <c r="J974" s="5"/>
      <c r="K974" s="5"/>
      <c r="L974" s="8"/>
    </row>
    <row r="975" spans="9:12" x14ac:dyDescent="0.2">
      <c r="I975" s="7"/>
      <c r="J975" s="5"/>
      <c r="K975" s="5"/>
      <c r="L975" s="8"/>
    </row>
    <row r="976" spans="9:12" x14ac:dyDescent="0.2">
      <c r="I976" s="7"/>
      <c r="J976" s="5"/>
      <c r="K976" s="5"/>
      <c r="L976" s="8"/>
    </row>
    <row r="977" spans="9:12" x14ac:dyDescent="0.2">
      <c r="I977" s="7"/>
      <c r="J977" s="5"/>
      <c r="K977" s="5"/>
      <c r="L977" s="8"/>
    </row>
    <row r="978" spans="9:12" x14ac:dyDescent="0.2">
      <c r="I978" s="7"/>
      <c r="J978" s="5"/>
      <c r="K978" s="5"/>
      <c r="L978" s="8"/>
    </row>
    <row r="979" spans="9:12" x14ac:dyDescent="0.2">
      <c r="I979" s="7"/>
      <c r="J979" s="5"/>
      <c r="K979" s="5"/>
      <c r="L979" s="8"/>
    </row>
    <row r="980" spans="9:12" x14ac:dyDescent="0.2">
      <c r="I980" s="7"/>
      <c r="J980" s="5"/>
      <c r="K980" s="5"/>
      <c r="L980" s="8"/>
    </row>
    <row r="981" spans="9:12" x14ac:dyDescent="0.2">
      <c r="I981" s="7"/>
      <c r="J981" s="5"/>
      <c r="K981" s="5"/>
      <c r="L981" s="8"/>
    </row>
    <row r="982" spans="9:12" x14ac:dyDescent="0.2">
      <c r="I982" s="7"/>
      <c r="J982" s="5"/>
      <c r="K982" s="5"/>
      <c r="L982" s="8"/>
    </row>
    <row r="983" spans="9:12" x14ac:dyDescent="0.2">
      <c r="I983" s="7"/>
      <c r="J983" s="5"/>
      <c r="K983" s="5"/>
      <c r="L983" s="8"/>
    </row>
    <row r="984" spans="9:12" x14ac:dyDescent="0.2">
      <c r="I984" s="7"/>
      <c r="J984" s="5"/>
      <c r="K984" s="5"/>
      <c r="L984" s="8"/>
    </row>
    <row r="985" spans="9:12" x14ac:dyDescent="0.2">
      <c r="I985" s="7"/>
      <c r="J985" s="5"/>
      <c r="K985" s="5"/>
      <c r="L985" s="8"/>
    </row>
    <row r="986" spans="9:12" x14ac:dyDescent="0.2">
      <c r="I986" s="7"/>
      <c r="J986" s="5"/>
      <c r="K986" s="5"/>
      <c r="L986" s="8"/>
    </row>
    <row r="987" spans="9:12" x14ac:dyDescent="0.2">
      <c r="I987" s="7"/>
      <c r="J987" s="5"/>
      <c r="K987" s="5"/>
      <c r="L987" s="8"/>
    </row>
    <row r="988" spans="9:12" x14ac:dyDescent="0.2">
      <c r="I988" s="7"/>
      <c r="J988" s="5"/>
      <c r="K988" s="5"/>
      <c r="L988" s="8"/>
    </row>
    <row r="989" spans="9:12" x14ac:dyDescent="0.2">
      <c r="I989" s="7"/>
      <c r="J989" s="5"/>
      <c r="K989" s="5"/>
      <c r="L989" s="8"/>
    </row>
    <row r="990" spans="9:12" x14ac:dyDescent="0.2">
      <c r="I990" s="7"/>
      <c r="J990" s="5"/>
      <c r="K990" s="5"/>
      <c r="L990" s="8"/>
    </row>
    <row r="991" spans="9:12" x14ac:dyDescent="0.2">
      <c r="I991" s="7"/>
      <c r="J991" s="5"/>
      <c r="K991" s="5"/>
      <c r="L991" s="8"/>
    </row>
    <row r="992" spans="9:12" x14ac:dyDescent="0.2">
      <c r="I992" s="7"/>
      <c r="J992" s="5"/>
      <c r="K992" s="5"/>
      <c r="L992" s="8"/>
    </row>
    <row r="993" spans="9:12" x14ac:dyDescent="0.2">
      <c r="I993" s="7"/>
      <c r="J993" s="5"/>
      <c r="K993" s="5"/>
      <c r="L993" s="8"/>
    </row>
    <row r="994" spans="9:12" x14ac:dyDescent="0.2">
      <c r="I994" s="7"/>
      <c r="J994" s="5"/>
      <c r="K994" s="5"/>
      <c r="L994" s="8"/>
    </row>
    <row r="995" spans="9:12" x14ac:dyDescent="0.2">
      <c r="I995" s="7"/>
      <c r="J995" s="5"/>
      <c r="K995" s="5"/>
      <c r="L995" s="8"/>
    </row>
    <row r="996" spans="9:12" x14ac:dyDescent="0.2">
      <c r="I996" s="7"/>
      <c r="J996" s="5"/>
      <c r="K996" s="5"/>
      <c r="L996" s="8"/>
    </row>
    <row r="997" spans="9:12" x14ac:dyDescent="0.2">
      <c r="I997" s="7"/>
      <c r="J997" s="5"/>
      <c r="K997" s="5"/>
      <c r="L997" s="8"/>
    </row>
    <row r="998" spans="9:12" x14ac:dyDescent="0.2">
      <c r="I998" s="7"/>
      <c r="J998" s="5"/>
      <c r="K998" s="5"/>
      <c r="L998" s="8"/>
    </row>
    <row r="999" spans="9:12" x14ac:dyDescent="0.2">
      <c r="I999" s="7"/>
      <c r="J999" s="5"/>
      <c r="K999" s="5"/>
      <c r="L999" s="8"/>
    </row>
    <row r="1000" spans="9:12" x14ac:dyDescent="0.2">
      <c r="I1000" s="7"/>
      <c r="J1000" s="5"/>
      <c r="K1000" s="5"/>
      <c r="L1000" s="8"/>
    </row>
    <row r="1001" spans="9:12" x14ac:dyDescent="0.2">
      <c r="I1001" s="7"/>
      <c r="J1001" s="5"/>
      <c r="K1001" s="5"/>
      <c r="L1001" s="8"/>
    </row>
    <row r="1002" spans="9:12" x14ac:dyDescent="0.2">
      <c r="I1002" s="7"/>
      <c r="J1002" s="5"/>
      <c r="K1002" s="5"/>
      <c r="L1002" s="8"/>
    </row>
    <row r="1003" spans="9:12" x14ac:dyDescent="0.2">
      <c r="I1003" s="7"/>
      <c r="J1003" s="5"/>
      <c r="K1003" s="5"/>
      <c r="L1003" s="8"/>
    </row>
    <row r="1004" spans="9:12" x14ac:dyDescent="0.2">
      <c r="I1004" s="7"/>
      <c r="J1004" s="5"/>
      <c r="K1004" s="5"/>
      <c r="L1004" s="8"/>
    </row>
    <row r="1005" spans="9:12" x14ac:dyDescent="0.2">
      <c r="I1005" s="7"/>
      <c r="J1005" s="5"/>
      <c r="K1005" s="5"/>
      <c r="L1005" s="8"/>
    </row>
    <row r="1006" spans="9:12" x14ac:dyDescent="0.2">
      <c r="I1006" s="7"/>
      <c r="J1006" s="5"/>
      <c r="K1006" s="5"/>
      <c r="L1006" s="8"/>
    </row>
    <row r="1007" spans="9:12" x14ac:dyDescent="0.2">
      <c r="I1007" s="7"/>
      <c r="J1007" s="5"/>
      <c r="K1007" s="5"/>
      <c r="L1007" s="8"/>
    </row>
    <row r="1008" spans="9:12" x14ac:dyDescent="0.2">
      <c r="I1008" s="7"/>
      <c r="J1008" s="5"/>
      <c r="K1008" s="5"/>
      <c r="L1008" s="8"/>
    </row>
    <row r="1009" spans="9:12" x14ac:dyDescent="0.2">
      <c r="I1009" s="7"/>
      <c r="J1009" s="5"/>
      <c r="K1009" s="5"/>
      <c r="L1009" s="8"/>
    </row>
    <row r="1010" spans="9:12" x14ac:dyDescent="0.2">
      <c r="I1010" s="7"/>
      <c r="J1010" s="5"/>
      <c r="K1010" s="5"/>
      <c r="L1010" s="8"/>
    </row>
    <row r="1011" spans="9:12" x14ac:dyDescent="0.2">
      <c r="I1011" s="7"/>
      <c r="J1011" s="5"/>
      <c r="K1011" s="5"/>
      <c r="L1011" s="8"/>
    </row>
    <row r="1012" spans="9:12" x14ac:dyDescent="0.2">
      <c r="I1012" s="7"/>
      <c r="J1012" s="5"/>
      <c r="K1012" s="5"/>
      <c r="L1012" s="8"/>
    </row>
    <row r="1013" spans="9:12" x14ac:dyDescent="0.2">
      <c r="I1013" s="7"/>
      <c r="J1013" s="5"/>
      <c r="K1013" s="5"/>
      <c r="L1013" s="8"/>
    </row>
    <row r="1014" spans="9:12" x14ac:dyDescent="0.2">
      <c r="I1014" s="7"/>
      <c r="J1014" s="5"/>
      <c r="K1014" s="5"/>
      <c r="L1014" s="8"/>
    </row>
    <row r="1015" spans="9:12" x14ac:dyDescent="0.2">
      <c r="I1015" s="7"/>
      <c r="J1015" s="5"/>
      <c r="K1015" s="5"/>
      <c r="L1015" s="8"/>
    </row>
    <row r="1016" spans="9:12" x14ac:dyDescent="0.2">
      <c r="I1016" s="7"/>
      <c r="J1016" s="5"/>
      <c r="K1016" s="5"/>
      <c r="L1016" s="8"/>
    </row>
    <row r="1017" spans="9:12" x14ac:dyDescent="0.2">
      <c r="I1017" s="7"/>
      <c r="J1017" s="5"/>
      <c r="K1017" s="5"/>
      <c r="L1017" s="8"/>
    </row>
    <row r="1018" spans="9:12" x14ac:dyDescent="0.2">
      <c r="I1018" s="7"/>
      <c r="J1018" s="5"/>
      <c r="K1018" s="5"/>
      <c r="L1018" s="8"/>
    </row>
    <row r="1019" spans="9:12" x14ac:dyDescent="0.2">
      <c r="I1019" s="7"/>
      <c r="J1019" s="5"/>
      <c r="K1019" s="5"/>
      <c r="L1019" s="8"/>
    </row>
    <row r="1020" spans="9:12" x14ac:dyDescent="0.2">
      <c r="I1020" s="7"/>
      <c r="J1020" s="5"/>
      <c r="K1020" s="5"/>
      <c r="L1020" s="8"/>
    </row>
    <row r="1021" spans="9:12" x14ac:dyDescent="0.2">
      <c r="I1021" s="7"/>
      <c r="J1021" s="5"/>
      <c r="K1021" s="5"/>
      <c r="L1021" s="8"/>
    </row>
    <row r="1022" spans="9:12" x14ac:dyDescent="0.2">
      <c r="I1022" s="7"/>
      <c r="J1022" s="5"/>
      <c r="K1022" s="5"/>
      <c r="L1022" s="8"/>
    </row>
    <row r="1023" spans="9:12" x14ac:dyDescent="0.2">
      <c r="I1023" s="7"/>
      <c r="J1023" s="5"/>
      <c r="K1023" s="5"/>
      <c r="L1023" s="8"/>
    </row>
    <row r="1024" spans="9:12" x14ac:dyDescent="0.2">
      <c r="I1024" s="7"/>
      <c r="J1024" s="5"/>
      <c r="K1024" s="5"/>
      <c r="L1024" s="8"/>
    </row>
    <row r="1025" spans="9:12" x14ac:dyDescent="0.2">
      <c r="I1025" s="7"/>
      <c r="J1025" s="5"/>
      <c r="K1025" s="5"/>
      <c r="L1025" s="8"/>
    </row>
    <row r="1026" spans="9:12" x14ac:dyDescent="0.2">
      <c r="I1026" s="7"/>
      <c r="J1026" s="5"/>
      <c r="K1026" s="5"/>
      <c r="L1026" s="8"/>
    </row>
    <row r="1027" spans="9:12" x14ac:dyDescent="0.2">
      <c r="I1027" s="7"/>
      <c r="J1027" s="5"/>
      <c r="K1027" s="5"/>
      <c r="L1027" s="8"/>
    </row>
    <row r="1028" spans="9:12" x14ac:dyDescent="0.2">
      <c r="I1028" s="7"/>
      <c r="J1028" s="5"/>
      <c r="K1028" s="5"/>
      <c r="L1028" s="8"/>
    </row>
    <row r="1029" spans="9:12" x14ac:dyDescent="0.2">
      <c r="I1029" s="7"/>
      <c r="J1029" s="5"/>
      <c r="K1029" s="5"/>
      <c r="L1029" s="8"/>
    </row>
    <row r="1030" spans="9:12" x14ac:dyDescent="0.2">
      <c r="I1030" s="7"/>
      <c r="J1030" s="5"/>
      <c r="K1030" s="5"/>
      <c r="L1030" s="8"/>
    </row>
    <row r="1031" spans="9:12" x14ac:dyDescent="0.2">
      <c r="I1031" s="7"/>
      <c r="J1031" s="5"/>
      <c r="K1031" s="5"/>
      <c r="L1031" s="8"/>
    </row>
    <row r="1032" spans="9:12" x14ac:dyDescent="0.2">
      <c r="I1032" s="7"/>
      <c r="J1032" s="5"/>
      <c r="K1032" s="5"/>
      <c r="L1032" s="8"/>
    </row>
    <row r="1033" spans="9:12" x14ac:dyDescent="0.2">
      <c r="I1033" s="7"/>
      <c r="J1033" s="5"/>
      <c r="K1033" s="5"/>
      <c r="L1033" s="8"/>
    </row>
    <row r="1034" spans="9:12" x14ac:dyDescent="0.2">
      <c r="I1034" s="7"/>
      <c r="J1034" s="5"/>
      <c r="K1034" s="5"/>
      <c r="L1034" s="8"/>
    </row>
    <row r="1035" spans="9:12" x14ac:dyDescent="0.2">
      <c r="I1035" s="7"/>
      <c r="J1035" s="5"/>
      <c r="K1035" s="5"/>
      <c r="L1035" s="8"/>
    </row>
    <row r="1036" spans="9:12" x14ac:dyDescent="0.2">
      <c r="I1036" s="7"/>
      <c r="J1036" s="5"/>
      <c r="K1036" s="5"/>
      <c r="L1036" s="8"/>
    </row>
    <row r="1037" spans="9:12" x14ac:dyDescent="0.2">
      <c r="I1037" s="7"/>
      <c r="J1037" s="5"/>
      <c r="K1037" s="5"/>
      <c r="L1037" s="8"/>
    </row>
    <row r="1038" spans="9:12" x14ac:dyDescent="0.2">
      <c r="I1038" s="7"/>
      <c r="J1038" s="5"/>
      <c r="K1038" s="5"/>
      <c r="L1038" s="8"/>
    </row>
    <row r="1039" spans="9:12" x14ac:dyDescent="0.2">
      <c r="I1039" s="7"/>
      <c r="J1039" s="5"/>
      <c r="K1039" s="5"/>
      <c r="L1039" s="8"/>
    </row>
    <row r="1040" spans="9:12" x14ac:dyDescent="0.2">
      <c r="I1040" s="7"/>
      <c r="J1040" s="5"/>
      <c r="K1040" s="5"/>
      <c r="L1040" s="8"/>
    </row>
    <row r="1041" spans="9:12" x14ac:dyDescent="0.2">
      <c r="I1041" s="7"/>
      <c r="J1041" s="5"/>
      <c r="K1041" s="5"/>
      <c r="L1041" s="8"/>
    </row>
    <row r="1042" spans="9:12" x14ac:dyDescent="0.2">
      <c r="I1042" s="7"/>
      <c r="J1042" s="5"/>
      <c r="K1042" s="5"/>
      <c r="L1042" s="8"/>
    </row>
    <row r="1043" spans="9:12" x14ac:dyDescent="0.2">
      <c r="I1043" s="7"/>
      <c r="J1043" s="5"/>
      <c r="K1043" s="5"/>
      <c r="L1043" s="8"/>
    </row>
    <row r="1044" spans="9:12" x14ac:dyDescent="0.2">
      <c r="I1044" s="7"/>
      <c r="J1044" s="5"/>
      <c r="K1044" s="5"/>
      <c r="L1044" s="8"/>
    </row>
    <row r="1045" spans="9:12" x14ac:dyDescent="0.2">
      <c r="I1045" s="7"/>
      <c r="J1045" s="5"/>
      <c r="K1045" s="5"/>
      <c r="L1045" s="8"/>
    </row>
    <row r="1046" spans="9:12" x14ac:dyDescent="0.2">
      <c r="I1046" s="7"/>
      <c r="J1046" s="5"/>
      <c r="K1046" s="5"/>
      <c r="L1046" s="8"/>
    </row>
    <row r="1047" spans="9:12" x14ac:dyDescent="0.2">
      <c r="I1047" s="7"/>
      <c r="J1047" s="5"/>
      <c r="K1047" s="5"/>
      <c r="L1047" s="8"/>
    </row>
    <row r="1048" spans="9:12" x14ac:dyDescent="0.2">
      <c r="I1048" s="7"/>
      <c r="J1048" s="5"/>
      <c r="K1048" s="5"/>
      <c r="L1048" s="8"/>
    </row>
    <row r="1049" spans="9:12" x14ac:dyDescent="0.2">
      <c r="I1049" s="7"/>
      <c r="J1049" s="5"/>
      <c r="K1049" s="5"/>
      <c r="L1049" s="8"/>
    </row>
    <row r="1050" spans="9:12" x14ac:dyDescent="0.2">
      <c r="I1050" s="7"/>
      <c r="J1050" s="5"/>
      <c r="K1050" s="5"/>
      <c r="L1050" s="8"/>
    </row>
    <row r="1051" spans="9:12" x14ac:dyDescent="0.2">
      <c r="I1051" s="7"/>
      <c r="J1051" s="5"/>
      <c r="K1051" s="5"/>
      <c r="L1051" s="8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Instructions</vt:lpstr>
      <vt:lpstr>Report</vt:lpstr>
      <vt:lpstr>HoursPer</vt:lpstr>
      <vt:lpstr>District</vt:lpstr>
      <vt:lpstr>HoursPer</vt:lpstr>
      <vt:lpstr>Instructions!Print_Area</vt:lpstr>
      <vt:lpstr>Report!Print_Area</vt:lpstr>
      <vt:lpstr>Report!Print_Titles</vt:lpstr>
      <vt:lpstr>HoursPer!Query_from_Databridge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BOBP</dc:creator>
  <cp:lastModifiedBy>Kostelecky, Teri</cp:lastModifiedBy>
  <cp:lastPrinted>2007-09-17T20:43:52Z</cp:lastPrinted>
  <dcterms:created xsi:type="dcterms:W3CDTF">2007-08-29T14:57:07Z</dcterms:created>
  <dcterms:modified xsi:type="dcterms:W3CDTF">2011-10-25T15:33:20Z</dcterms:modified>
</cp:coreProperties>
</file>