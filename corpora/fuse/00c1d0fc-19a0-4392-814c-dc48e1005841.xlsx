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65" windowWidth="15180" windowHeight="87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Sheet1!$A$1:$AF$39</definedName>
  </definedNames>
  <calcPr calcId="145621"/>
</workbook>
</file>

<file path=xl/calcChain.xml><?xml version="1.0" encoding="utf-8"?>
<calcChain xmlns="http://schemas.openxmlformats.org/spreadsheetml/2006/main">
  <c r="AH32" i="1" l="1"/>
  <c r="AH31" i="1"/>
  <c r="AH30" i="1"/>
  <c r="AH22" i="1"/>
  <c r="AH21" i="1"/>
  <c r="AH20" i="1"/>
  <c r="AH29" i="1"/>
  <c r="AH19" i="1"/>
  <c r="AH12" i="1"/>
  <c r="C12" i="1" s="1"/>
  <c r="AH11" i="1"/>
  <c r="C11" i="1" s="1"/>
  <c r="AH10" i="1"/>
  <c r="C10" i="1" s="1"/>
  <c r="AH9" i="1"/>
  <c r="C9" i="1" l="1"/>
  <c r="T30" i="1"/>
  <c r="T10" i="1"/>
  <c r="T29" i="1"/>
  <c r="T12" i="1" l="1"/>
  <c r="T9" i="1"/>
  <c r="T11" i="1"/>
  <c r="T32" i="1"/>
  <c r="T31" i="1"/>
</calcChain>
</file>

<file path=xl/sharedStrings.xml><?xml version="1.0" encoding="utf-8"?>
<sst xmlns="http://schemas.openxmlformats.org/spreadsheetml/2006/main" count="110" uniqueCount="36">
  <si>
    <t>Precinct 1</t>
  </si>
  <si>
    <t>Poll</t>
  </si>
  <si>
    <t>Precinct 4</t>
  </si>
  <si>
    <t>Precinct 2</t>
  </si>
  <si>
    <t>Precinct 6</t>
  </si>
  <si>
    <t>Precinct 8</t>
  </si>
  <si>
    <t>Precinct 9</t>
  </si>
  <si>
    <t>Precinct 12</t>
  </si>
  <si>
    <t>Mail</t>
  </si>
  <si>
    <t>Total</t>
  </si>
  <si>
    <t>Votes</t>
  </si>
  <si>
    <t>Precinct 15</t>
  </si>
  <si>
    <t>Precinct 17</t>
  </si>
  <si>
    <t>Precinct 19</t>
  </si>
  <si>
    <t xml:space="preserve"> </t>
  </si>
  <si>
    <t>Precinct 25</t>
  </si>
  <si>
    <t>Precinct 29</t>
  </si>
  <si>
    <t>Precinct 31</t>
  </si>
  <si>
    <t>Precinct 35</t>
  </si>
  <si>
    <t>Precinct 36</t>
  </si>
  <si>
    <t>Precinct 57</t>
  </si>
  <si>
    <t>Precinct 62</t>
  </si>
  <si>
    <t>Precinct 72</t>
  </si>
  <si>
    <t>Precinct 79</t>
  </si>
  <si>
    <t>Precinct 51</t>
  </si>
  <si>
    <t>Precinct 66</t>
  </si>
  <si>
    <t>Precinct 82</t>
  </si>
  <si>
    <t>Precinct 171</t>
  </si>
  <si>
    <t>Council</t>
  </si>
  <si>
    <t>Candidates</t>
  </si>
  <si>
    <t>DONOVAN</t>
  </si>
  <si>
    <t>AHERN</t>
  </si>
  <si>
    <t>DUTRA</t>
  </si>
  <si>
    <t>HENDERSON</t>
  </si>
  <si>
    <t>2014 General Municipal Election - Votes Cast</t>
  </si>
  <si>
    <t>City of Whittier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</si>
</sst>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Border="1"/>
    <xf numFmtId="0" fontId="0" fillId="0" borderId="1" xfId="0" applyFill="1" applyBorder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3" fontId="0" fillId="0" borderId="1" xfId="0" applyNumberFormat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39"/>
  <sheetViews>
    <sheetView tabSelected="1" zoomScaleNormal="100" workbookViewId="0">
      <selection activeCell="F5" sqref="F5"/>
    </sheetView>
  </sheetViews>
  <sheetFormatPr defaultRowHeight="12.75" x14ac:dyDescent="0.2"/>
  <cols>
    <col min="1" max="1" width="12.85546875" bestFit="1" customWidth="1"/>
    <col min="2" max="2" width="6.7109375" customWidth="1"/>
    <col min="3" max="5" width="7.140625" customWidth="1"/>
    <col min="6" max="17" width="6.7109375" customWidth="1"/>
    <col min="18" max="18" width="0.140625" customWidth="1"/>
    <col min="19" max="21" width="6.7109375" hidden="1" customWidth="1"/>
    <col min="22" max="22" width="5.85546875" hidden="1" customWidth="1"/>
    <col min="23" max="26" width="6.7109375" hidden="1" customWidth="1"/>
    <col min="27" max="29" width="7.28515625" hidden="1" customWidth="1"/>
    <col min="30" max="31" width="6.7109375" hidden="1" customWidth="1"/>
    <col min="32" max="32" width="6.7109375" customWidth="1"/>
    <col min="34" max="34" width="0" hidden="1" customWidth="1"/>
    <col min="35" max="35" width="8.140625" customWidth="1"/>
  </cols>
  <sheetData>
    <row r="2" spans="1:34" ht="15" x14ac:dyDescent="0.2">
      <c r="A2" s="8"/>
      <c r="AE2" s="9"/>
      <c r="AF2" s="15"/>
    </row>
    <row r="3" spans="1:34" ht="15.75" x14ac:dyDescent="0.25">
      <c r="A3" s="25" t="s">
        <v>35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AD3" s="24"/>
      <c r="AE3" s="24"/>
      <c r="AF3" s="15"/>
    </row>
    <row r="4" spans="1:34" ht="15.75" x14ac:dyDescent="0.25">
      <c r="A4" s="25" t="s">
        <v>34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16"/>
    </row>
    <row r="5" spans="1:34" ht="15.75" x14ac:dyDescent="0.25">
      <c r="A5" s="10"/>
      <c r="B5" s="10"/>
      <c r="C5" s="10"/>
      <c r="D5" s="16"/>
      <c r="E5" s="16"/>
      <c r="F5" s="10"/>
      <c r="G5" s="10"/>
      <c r="H5" s="16"/>
      <c r="I5" s="16"/>
      <c r="J5" s="10"/>
      <c r="K5" s="10"/>
      <c r="L5" s="16"/>
      <c r="M5" s="16"/>
      <c r="N5" s="10"/>
      <c r="O5" s="10"/>
      <c r="P5" s="16"/>
      <c r="Q5" s="16"/>
      <c r="R5" s="10"/>
      <c r="S5" s="10"/>
      <c r="T5" s="16"/>
      <c r="U5" s="16"/>
      <c r="V5" s="10"/>
      <c r="W5" s="10"/>
      <c r="X5" s="16"/>
      <c r="Y5" s="16"/>
      <c r="Z5" s="10"/>
      <c r="AA5" s="10"/>
      <c r="AB5" s="16"/>
      <c r="AC5" s="16"/>
      <c r="AD5" s="10"/>
      <c r="AE5" s="10"/>
      <c r="AF5" s="16"/>
    </row>
    <row r="7" spans="1:34" x14ac:dyDescent="0.2">
      <c r="A7" s="2" t="s">
        <v>28</v>
      </c>
      <c r="B7" s="2"/>
      <c r="C7" s="5" t="s">
        <v>9</v>
      </c>
      <c r="D7" s="19" t="s">
        <v>0</v>
      </c>
      <c r="E7" s="20"/>
      <c r="F7" s="19" t="s">
        <v>3</v>
      </c>
      <c r="G7" s="20"/>
      <c r="H7" s="19" t="s">
        <v>2</v>
      </c>
      <c r="I7" s="20"/>
      <c r="J7" s="19" t="s">
        <v>4</v>
      </c>
      <c r="K7" s="20"/>
      <c r="L7" s="19" t="s">
        <v>5</v>
      </c>
      <c r="M7" s="20"/>
      <c r="N7" s="19" t="s">
        <v>6</v>
      </c>
      <c r="O7" s="20"/>
      <c r="P7" s="21" t="s">
        <v>7</v>
      </c>
      <c r="Q7" s="21"/>
      <c r="R7" s="17"/>
    </row>
    <row r="8" spans="1:34" x14ac:dyDescent="0.2">
      <c r="A8" s="3" t="s">
        <v>29</v>
      </c>
      <c r="B8" s="3"/>
      <c r="C8" s="6" t="s">
        <v>10</v>
      </c>
      <c r="D8" s="4" t="s">
        <v>1</v>
      </c>
      <c r="E8" s="1" t="s">
        <v>8</v>
      </c>
      <c r="F8" s="1" t="s">
        <v>1</v>
      </c>
      <c r="G8" s="1" t="s">
        <v>8</v>
      </c>
      <c r="H8" s="1" t="s">
        <v>1</v>
      </c>
      <c r="I8" s="1" t="s">
        <v>8</v>
      </c>
      <c r="J8" s="1" t="s">
        <v>1</v>
      </c>
      <c r="K8" s="1" t="s">
        <v>8</v>
      </c>
      <c r="L8" s="1" t="s">
        <v>1</v>
      </c>
      <c r="M8" s="1" t="s">
        <v>8</v>
      </c>
      <c r="N8" s="1" t="s">
        <v>1</v>
      </c>
      <c r="O8" s="1" t="s">
        <v>8</v>
      </c>
      <c r="P8" s="1" t="s">
        <v>1</v>
      </c>
      <c r="Q8" s="1" t="s">
        <v>8</v>
      </c>
      <c r="R8" s="17"/>
      <c r="S8" s="11" t="s">
        <v>14</v>
      </c>
    </row>
    <row r="9" spans="1:34" ht="14.25" customHeight="1" x14ac:dyDescent="0.2">
      <c r="A9" s="7" t="s">
        <v>31</v>
      </c>
      <c r="B9" s="14" t="s">
        <v>14</v>
      </c>
      <c r="C9" s="7">
        <f>SUM(AH9+AH19+AH29)</f>
        <v>633</v>
      </c>
      <c r="D9" s="7">
        <v>7</v>
      </c>
      <c r="E9" s="7">
        <v>24</v>
      </c>
      <c r="F9" s="7">
        <v>13</v>
      </c>
      <c r="G9" s="7">
        <v>17</v>
      </c>
      <c r="H9" s="7">
        <v>19</v>
      </c>
      <c r="I9" s="7">
        <v>16</v>
      </c>
      <c r="J9" s="7">
        <v>14</v>
      </c>
      <c r="K9" s="7">
        <v>21</v>
      </c>
      <c r="L9" s="7">
        <v>13</v>
      </c>
      <c r="M9" s="7">
        <v>25</v>
      </c>
      <c r="N9" s="7">
        <v>4</v>
      </c>
      <c r="O9" s="7">
        <v>9</v>
      </c>
      <c r="P9" s="7">
        <v>21</v>
      </c>
      <c r="Q9" s="7">
        <v>39</v>
      </c>
      <c r="R9" s="11" t="s">
        <v>14</v>
      </c>
      <c r="T9">
        <f>SUM(D9:S9)</f>
        <v>242</v>
      </c>
      <c r="AH9">
        <f>SUM(D9:Q9)</f>
        <v>242</v>
      </c>
    </row>
    <row r="10" spans="1:34" x14ac:dyDescent="0.2">
      <c r="A10" s="7" t="s">
        <v>32</v>
      </c>
      <c r="B10" s="14" t="s">
        <v>14</v>
      </c>
      <c r="C10" s="18">
        <f t="shared" ref="C10:C12" si="0">SUM(AH10+AH20+AH30)</f>
        <v>3380</v>
      </c>
      <c r="D10" s="7">
        <v>55</v>
      </c>
      <c r="E10" s="7">
        <v>123</v>
      </c>
      <c r="F10" s="7">
        <v>57</v>
      </c>
      <c r="G10" s="7">
        <v>93</v>
      </c>
      <c r="H10" s="7">
        <v>106</v>
      </c>
      <c r="I10" s="7">
        <v>148</v>
      </c>
      <c r="J10" s="7">
        <v>81</v>
      </c>
      <c r="K10" s="7">
        <v>136</v>
      </c>
      <c r="L10" s="7">
        <v>56</v>
      </c>
      <c r="M10" s="7">
        <v>125</v>
      </c>
      <c r="N10" s="7">
        <v>42</v>
      </c>
      <c r="O10" s="7">
        <v>46</v>
      </c>
      <c r="P10" s="7">
        <v>77</v>
      </c>
      <c r="Q10" s="7">
        <v>164</v>
      </c>
      <c r="R10" s="11" t="s">
        <v>14</v>
      </c>
      <c r="T10">
        <f>SUM(D10:S10)</f>
        <v>1309</v>
      </c>
      <c r="AH10">
        <f t="shared" ref="AH10:AH12" si="1">SUM(D10:Q10)</f>
        <v>1309</v>
      </c>
    </row>
    <row r="11" spans="1:34" x14ac:dyDescent="0.2">
      <c r="A11" s="7" t="s">
        <v>30</v>
      </c>
      <c r="B11" s="14" t="s">
        <v>14</v>
      </c>
      <c r="C11" s="18">
        <f t="shared" si="0"/>
        <v>2060</v>
      </c>
      <c r="D11" s="7">
        <v>44</v>
      </c>
      <c r="E11" s="7">
        <v>91</v>
      </c>
      <c r="F11" s="7">
        <v>43</v>
      </c>
      <c r="G11" s="7">
        <v>75</v>
      </c>
      <c r="H11" s="7">
        <v>86</v>
      </c>
      <c r="I11" s="7">
        <v>102</v>
      </c>
      <c r="J11" s="7">
        <v>48</v>
      </c>
      <c r="K11" s="7">
        <v>68</v>
      </c>
      <c r="L11" s="7">
        <v>48</v>
      </c>
      <c r="M11" s="7">
        <v>59</v>
      </c>
      <c r="N11" s="7">
        <v>17</v>
      </c>
      <c r="O11" s="7">
        <v>27</v>
      </c>
      <c r="P11" s="7">
        <v>59</v>
      </c>
      <c r="Q11" s="7">
        <v>96</v>
      </c>
      <c r="R11" s="11" t="s">
        <v>14</v>
      </c>
      <c r="T11">
        <f>SUM(D11:S11)</f>
        <v>863</v>
      </c>
      <c r="AH11">
        <f t="shared" si="1"/>
        <v>863</v>
      </c>
    </row>
    <row r="12" spans="1:34" x14ac:dyDescent="0.2">
      <c r="A12" s="7" t="s">
        <v>33</v>
      </c>
      <c r="B12" s="14" t="s">
        <v>14</v>
      </c>
      <c r="C12" s="18">
        <f t="shared" si="0"/>
        <v>3555</v>
      </c>
      <c r="D12" s="7">
        <v>46</v>
      </c>
      <c r="E12" s="7">
        <v>118</v>
      </c>
      <c r="F12" s="7">
        <v>50</v>
      </c>
      <c r="G12" s="7">
        <v>124</v>
      </c>
      <c r="H12" s="7">
        <v>86</v>
      </c>
      <c r="I12" s="7">
        <v>134</v>
      </c>
      <c r="J12" s="7">
        <v>84</v>
      </c>
      <c r="K12" s="7">
        <v>139</v>
      </c>
      <c r="L12" s="7">
        <v>55</v>
      </c>
      <c r="M12" s="7">
        <v>135</v>
      </c>
      <c r="N12" s="7">
        <v>39</v>
      </c>
      <c r="O12" s="7">
        <v>61</v>
      </c>
      <c r="P12" s="7">
        <v>94</v>
      </c>
      <c r="Q12" s="7">
        <v>155</v>
      </c>
      <c r="R12" s="11" t="s">
        <v>14</v>
      </c>
      <c r="T12">
        <f>SUM(D12:S12)</f>
        <v>1320</v>
      </c>
      <c r="AH12">
        <f t="shared" si="1"/>
        <v>1320</v>
      </c>
    </row>
    <row r="13" spans="1:34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1" t="s">
        <v>14</v>
      </c>
    </row>
    <row r="14" spans="1:34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1"/>
    </row>
    <row r="15" spans="1:34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1"/>
    </row>
    <row r="17" spans="1:34" x14ac:dyDescent="0.2">
      <c r="A17" s="2" t="s">
        <v>14</v>
      </c>
      <c r="B17" s="19" t="s">
        <v>11</v>
      </c>
      <c r="C17" s="20"/>
      <c r="D17" s="19" t="s">
        <v>12</v>
      </c>
      <c r="E17" s="20"/>
      <c r="F17" s="19" t="s">
        <v>13</v>
      </c>
      <c r="G17" s="20"/>
      <c r="H17" s="19" t="s">
        <v>15</v>
      </c>
      <c r="I17" s="20"/>
      <c r="J17" s="19" t="s">
        <v>16</v>
      </c>
      <c r="K17" s="20"/>
      <c r="L17" s="19" t="s">
        <v>17</v>
      </c>
      <c r="M17" s="20"/>
      <c r="N17" s="19" t="s">
        <v>18</v>
      </c>
      <c r="O17" s="20"/>
      <c r="P17" s="21" t="s">
        <v>19</v>
      </c>
      <c r="Q17" s="21"/>
      <c r="R17" s="17"/>
    </row>
    <row r="18" spans="1:34" x14ac:dyDescent="0.2">
      <c r="A18" s="3" t="s">
        <v>14</v>
      </c>
      <c r="B18" s="4" t="s">
        <v>1</v>
      </c>
      <c r="C18" s="1" t="s">
        <v>8</v>
      </c>
      <c r="D18" s="4" t="s">
        <v>1</v>
      </c>
      <c r="E18" s="1" t="s">
        <v>8</v>
      </c>
      <c r="F18" s="1" t="s">
        <v>1</v>
      </c>
      <c r="G18" s="1" t="s">
        <v>8</v>
      </c>
      <c r="H18" s="1" t="s">
        <v>1</v>
      </c>
      <c r="I18" s="1" t="s">
        <v>8</v>
      </c>
      <c r="J18" s="1" t="s">
        <v>1</v>
      </c>
      <c r="K18" s="1" t="s">
        <v>8</v>
      </c>
      <c r="L18" s="1" t="s">
        <v>1</v>
      </c>
      <c r="M18" s="1" t="s">
        <v>8</v>
      </c>
      <c r="N18" s="1" t="s">
        <v>1</v>
      </c>
      <c r="O18" s="1" t="s">
        <v>8</v>
      </c>
      <c r="P18" s="1" t="s">
        <v>1</v>
      </c>
      <c r="Q18" s="1" t="s">
        <v>8</v>
      </c>
      <c r="R18" s="17"/>
    </row>
    <row r="19" spans="1:34" x14ac:dyDescent="0.2">
      <c r="A19" s="7" t="s">
        <v>31</v>
      </c>
      <c r="B19" s="7">
        <v>13</v>
      </c>
      <c r="C19" s="7">
        <v>25</v>
      </c>
      <c r="D19" s="7">
        <v>9</v>
      </c>
      <c r="E19" s="7">
        <v>23</v>
      </c>
      <c r="F19" s="7">
        <v>5</v>
      </c>
      <c r="G19" s="7">
        <v>13</v>
      </c>
      <c r="H19" s="7">
        <v>20</v>
      </c>
      <c r="I19" s="7">
        <v>22</v>
      </c>
      <c r="J19" s="7">
        <v>3</v>
      </c>
      <c r="K19" s="7">
        <v>15</v>
      </c>
      <c r="L19" s="7">
        <v>4</v>
      </c>
      <c r="M19" s="7">
        <v>15</v>
      </c>
      <c r="N19" s="7">
        <v>3</v>
      </c>
      <c r="O19" s="7">
        <v>10</v>
      </c>
      <c r="P19" s="7">
        <v>9</v>
      </c>
      <c r="Q19" s="7">
        <v>17</v>
      </c>
      <c r="R19" s="11" t="s">
        <v>14</v>
      </c>
      <c r="AH19">
        <f>SUM(B19:Q19)</f>
        <v>206</v>
      </c>
    </row>
    <row r="20" spans="1:34" x14ac:dyDescent="0.2">
      <c r="A20" s="7" t="s">
        <v>32</v>
      </c>
      <c r="B20" s="7">
        <v>69</v>
      </c>
      <c r="C20" s="7">
        <v>84</v>
      </c>
      <c r="D20" s="7">
        <v>38</v>
      </c>
      <c r="E20" s="7">
        <v>69</v>
      </c>
      <c r="F20" s="7">
        <v>44</v>
      </c>
      <c r="G20" s="7">
        <v>66</v>
      </c>
      <c r="H20" s="7">
        <v>91</v>
      </c>
      <c r="I20" s="7">
        <v>102</v>
      </c>
      <c r="J20" s="7">
        <v>32</v>
      </c>
      <c r="K20" s="7">
        <v>67</v>
      </c>
      <c r="L20" s="7">
        <v>38</v>
      </c>
      <c r="M20" s="7">
        <v>58</v>
      </c>
      <c r="N20" s="7">
        <v>20</v>
      </c>
      <c r="O20" s="7">
        <v>37</v>
      </c>
      <c r="P20" s="7">
        <v>35</v>
      </c>
      <c r="Q20" s="7">
        <v>63</v>
      </c>
      <c r="R20" s="11" t="s">
        <v>14</v>
      </c>
      <c r="AH20">
        <f>SUM(B20:Q20)</f>
        <v>913</v>
      </c>
    </row>
    <row r="21" spans="1:34" x14ac:dyDescent="0.2">
      <c r="A21" s="7" t="s">
        <v>30</v>
      </c>
      <c r="B21" s="7">
        <v>41</v>
      </c>
      <c r="C21" s="7">
        <v>54</v>
      </c>
      <c r="D21" s="7">
        <v>23</v>
      </c>
      <c r="E21" s="7">
        <v>32</v>
      </c>
      <c r="F21" s="7">
        <v>33</v>
      </c>
      <c r="G21" s="7">
        <v>38</v>
      </c>
      <c r="H21" s="7">
        <v>76</v>
      </c>
      <c r="I21" s="7">
        <v>74</v>
      </c>
      <c r="J21" s="7">
        <v>24</v>
      </c>
      <c r="K21" s="7">
        <v>36</v>
      </c>
      <c r="L21" s="7">
        <v>12</v>
      </c>
      <c r="M21" s="7">
        <v>34</v>
      </c>
      <c r="N21" s="7">
        <v>10</v>
      </c>
      <c r="O21" s="7">
        <v>21</v>
      </c>
      <c r="P21" s="7">
        <v>20</v>
      </c>
      <c r="Q21" s="7">
        <v>31</v>
      </c>
      <c r="R21" s="11" t="s">
        <v>14</v>
      </c>
      <c r="AH21">
        <f>SUM(B21:Q21)</f>
        <v>559</v>
      </c>
    </row>
    <row r="22" spans="1:34" x14ac:dyDescent="0.2">
      <c r="A22" s="7" t="s">
        <v>33</v>
      </c>
      <c r="B22" s="7">
        <v>70</v>
      </c>
      <c r="C22" s="7">
        <v>101</v>
      </c>
      <c r="D22" s="7">
        <v>30</v>
      </c>
      <c r="E22" s="7">
        <v>65</v>
      </c>
      <c r="F22" s="7">
        <v>37</v>
      </c>
      <c r="G22" s="7">
        <v>63</v>
      </c>
      <c r="H22" s="7">
        <v>97</v>
      </c>
      <c r="I22" s="7">
        <v>102</v>
      </c>
      <c r="J22" s="7">
        <v>31</v>
      </c>
      <c r="K22" s="7">
        <v>84</v>
      </c>
      <c r="L22" s="7">
        <v>36</v>
      </c>
      <c r="M22" s="7">
        <v>76</v>
      </c>
      <c r="N22" s="7">
        <v>21</v>
      </c>
      <c r="O22" s="7">
        <v>43</v>
      </c>
      <c r="P22" s="7">
        <v>31</v>
      </c>
      <c r="Q22" s="7">
        <v>75</v>
      </c>
      <c r="R22" s="11" t="s">
        <v>14</v>
      </c>
      <c r="AH22">
        <f>SUM(B22:Q22)</f>
        <v>962</v>
      </c>
    </row>
    <row r="24" spans="1:34" x14ac:dyDescent="0.2">
      <c r="AG24" s="11" t="s">
        <v>14</v>
      </c>
    </row>
    <row r="25" spans="1:34" x14ac:dyDescent="0.2">
      <c r="AG25" s="11" t="s">
        <v>14</v>
      </c>
    </row>
    <row r="26" spans="1:34" x14ac:dyDescent="0.2">
      <c r="AG26" s="11" t="s">
        <v>14</v>
      </c>
    </row>
    <row r="27" spans="1:34" x14ac:dyDescent="0.2">
      <c r="A27" s="2" t="s">
        <v>14</v>
      </c>
      <c r="B27" s="19" t="s">
        <v>24</v>
      </c>
      <c r="C27" s="20"/>
      <c r="D27" s="19" t="s">
        <v>20</v>
      </c>
      <c r="E27" s="20"/>
      <c r="F27" s="19" t="s">
        <v>21</v>
      </c>
      <c r="G27" s="20"/>
      <c r="H27" s="22" t="s">
        <v>25</v>
      </c>
      <c r="I27" s="23"/>
      <c r="J27" s="19" t="s">
        <v>22</v>
      </c>
      <c r="K27" s="20"/>
      <c r="L27" s="19" t="s">
        <v>23</v>
      </c>
      <c r="M27" s="20"/>
      <c r="N27" s="19" t="s">
        <v>26</v>
      </c>
      <c r="O27" s="20"/>
      <c r="P27" s="21" t="s">
        <v>27</v>
      </c>
      <c r="Q27" s="21"/>
      <c r="R27" s="17"/>
      <c r="S27" s="11" t="s">
        <v>14</v>
      </c>
    </row>
    <row r="28" spans="1:34" x14ac:dyDescent="0.2">
      <c r="A28" s="3" t="s">
        <v>14</v>
      </c>
      <c r="B28" s="4" t="s">
        <v>1</v>
      </c>
      <c r="C28" s="1" t="s">
        <v>8</v>
      </c>
      <c r="D28" s="4" t="s">
        <v>1</v>
      </c>
      <c r="E28" s="1" t="s">
        <v>8</v>
      </c>
      <c r="F28" s="1" t="s">
        <v>1</v>
      </c>
      <c r="G28" s="1" t="s">
        <v>8</v>
      </c>
      <c r="H28" s="1" t="s">
        <v>1</v>
      </c>
      <c r="I28" s="1" t="s">
        <v>8</v>
      </c>
      <c r="J28" s="1" t="s">
        <v>1</v>
      </c>
      <c r="K28" s="1" t="s">
        <v>8</v>
      </c>
      <c r="L28" s="1" t="s">
        <v>1</v>
      </c>
      <c r="M28" s="1" t="s">
        <v>8</v>
      </c>
      <c r="N28" s="1" t="s">
        <v>1</v>
      </c>
      <c r="O28" s="1" t="s">
        <v>8</v>
      </c>
      <c r="P28" s="1" t="s">
        <v>1</v>
      </c>
      <c r="Q28" s="1" t="s">
        <v>8</v>
      </c>
      <c r="R28" s="17"/>
      <c r="S28" s="11" t="s">
        <v>14</v>
      </c>
    </row>
    <row r="29" spans="1:34" x14ac:dyDescent="0.2">
      <c r="A29" s="7" t="s">
        <v>31</v>
      </c>
      <c r="B29" s="7">
        <v>11</v>
      </c>
      <c r="C29" s="7">
        <v>15</v>
      </c>
      <c r="D29" s="7">
        <v>2</v>
      </c>
      <c r="E29" s="7">
        <v>23</v>
      </c>
      <c r="F29" s="7">
        <v>5</v>
      </c>
      <c r="G29" s="7">
        <v>9</v>
      </c>
      <c r="H29" s="7">
        <v>7</v>
      </c>
      <c r="I29" s="7">
        <v>27</v>
      </c>
      <c r="J29" s="7">
        <v>6</v>
      </c>
      <c r="K29" s="7">
        <v>13</v>
      </c>
      <c r="L29" s="7">
        <v>4</v>
      </c>
      <c r="M29" s="7">
        <v>12</v>
      </c>
      <c r="N29" s="7">
        <v>7</v>
      </c>
      <c r="O29" s="7">
        <v>18</v>
      </c>
      <c r="P29" s="7">
        <v>6</v>
      </c>
      <c r="Q29" s="7">
        <v>20</v>
      </c>
      <c r="T29">
        <f>SUM(AG33:AH33)</f>
        <v>0</v>
      </c>
      <c r="AH29">
        <f>SUM(B29:Q29)</f>
        <v>185</v>
      </c>
    </row>
    <row r="30" spans="1:34" x14ac:dyDescent="0.2">
      <c r="A30" s="7" t="s">
        <v>32</v>
      </c>
      <c r="B30" s="7">
        <v>70</v>
      </c>
      <c r="C30" s="7">
        <v>80</v>
      </c>
      <c r="D30" s="7">
        <v>74</v>
      </c>
      <c r="E30" s="7">
        <v>104</v>
      </c>
      <c r="F30" s="7">
        <v>35</v>
      </c>
      <c r="G30" s="7">
        <v>92</v>
      </c>
      <c r="H30" s="7">
        <v>91</v>
      </c>
      <c r="I30" s="7">
        <v>127</v>
      </c>
      <c r="J30" s="7">
        <v>28</v>
      </c>
      <c r="K30" s="7">
        <v>96</v>
      </c>
      <c r="L30" s="7">
        <v>34</v>
      </c>
      <c r="M30" s="7">
        <v>67</v>
      </c>
      <c r="N30" s="7">
        <v>84</v>
      </c>
      <c r="O30" s="7">
        <v>104</v>
      </c>
      <c r="P30" s="7">
        <v>19</v>
      </c>
      <c r="Q30" s="7">
        <v>53</v>
      </c>
      <c r="T30">
        <f>SUM(AG38:AH38)</f>
        <v>0</v>
      </c>
      <c r="AH30">
        <f>SUM(B30:Q30)</f>
        <v>1158</v>
      </c>
    </row>
    <row r="31" spans="1:34" x14ac:dyDescent="0.2">
      <c r="A31" s="7" t="s">
        <v>30</v>
      </c>
      <c r="B31" s="7">
        <v>77</v>
      </c>
      <c r="C31" s="7">
        <v>53</v>
      </c>
      <c r="D31" s="7">
        <v>22</v>
      </c>
      <c r="E31" s="7">
        <v>67</v>
      </c>
      <c r="F31" s="7">
        <v>10</v>
      </c>
      <c r="G31" s="7">
        <v>42</v>
      </c>
      <c r="H31" s="7">
        <v>41</v>
      </c>
      <c r="I31" s="7">
        <v>79</v>
      </c>
      <c r="J31" s="7">
        <v>14</v>
      </c>
      <c r="K31" s="7">
        <v>45</v>
      </c>
      <c r="L31" s="7">
        <v>13</v>
      </c>
      <c r="M31" s="7">
        <v>42</v>
      </c>
      <c r="N31" s="7">
        <v>18</v>
      </c>
      <c r="O31" s="7">
        <v>54</v>
      </c>
      <c r="P31" s="7">
        <v>14</v>
      </c>
      <c r="Q31" s="7">
        <v>47</v>
      </c>
      <c r="T31">
        <f>SUM(AG39:AH39)</f>
        <v>0</v>
      </c>
      <c r="AH31">
        <f t="shared" ref="AH31:AH32" si="2">SUM(B31:Q31)</f>
        <v>638</v>
      </c>
    </row>
    <row r="32" spans="1:34" x14ac:dyDescent="0.2">
      <c r="A32" s="7" t="s">
        <v>33</v>
      </c>
      <c r="B32" s="7">
        <v>58</v>
      </c>
      <c r="C32" s="7">
        <v>86</v>
      </c>
      <c r="D32" s="7">
        <v>72</v>
      </c>
      <c r="E32" s="7">
        <v>107</v>
      </c>
      <c r="F32" s="7">
        <v>38</v>
      </c>
      <c r="G32" s="7">
        <v>111</v>
      </c>
      <c r="H32" s="7">
        <v>84</v>
      </c>
      <c r="I32" s="7">
        <v>139</v>
      </c>
      <c r="J32" s="7">
        <v>24</v>
      </c>
      <c r="K32" s="7">
        <v>120</v>
      </c>
      <c r="L32" s="7">
        <v>39</v>
      </c>
      <c r="M32" s="7">
        <v>94</v>
      </c>
      <c r="N32" s="7">
        <v>83</v>
      </c>
      <c r="O32" s="7">
        <v>135</v>
      </c>
      <c r="P32" s="7">
        <v>26</v>
      </c>
      <c r="Q32" s="7">
        <v>57</v>
      </c>
      <c r="T32" t="e">
        <f>SUM(#REF!)</f>
        <v>#REF!</v>
      </c>
      <c r="AH32">
        <f t="shared" si="2"/>
        <v>1273</v>
      </c>
    </row>
    <row r="33" spans="1:33" ht="15" x14ac:dyDescent="0.2">
      <c r="AG33" s="12"/>
    </row>
    <row r="34" spans="1:33" ht="15" x14ac:dyDescent="0.2">
      <c r="AG34" s="12"/>
    </row>
    <row r="35" spans="1:33" ht="15" x14ac:dyDescent="0.2">
      <c r="AG35" s="12"/>
    </row>
    <row r="36" spans="1:33" ht="15" x14ac:dyDescent="0.2">
      <c r="AG36" s="12"/>
    </row>
    <row r="37" spans="1:33" ht="15" x14ac:dyDescent="0.2">
      <c r="AG37" s="12"/>
    </row>
    <row r="39" spans="1:33" ht="15" hidden="1" x14ac:dyDescent="0.2">
      <c r="A39" s="8"/>
      <c r="AE39" s="9"/>
      <c r="AF39" s="15"/>
    </row>
  </sheetData>
  <mergeCells count="26">
    <mergeCell ref="F17:G17"/>
    <mergeCell ref="H17:I17"/>
    <mergeCell ref="J17:K17"/>
    <mergeCell ref="L17:M17"/>
    <mergeCell ref="AD3:AE3"/>
    <mergeCell ref="N17:O17"/>
    <mergeCell ref="P17:Q17"/>
    <mergeCell ref="J7:K7"/>
    <mergeCell ref="H7:I7"/>
    <mergeCell ref="A4:AE4"/>
    <mergeCell ref="D7:E7"/>
    <mergeCell ref="P7:Q7"/>
    <mergeCell ref="N7:O7"/>
    <mergeCell ref="L7:M7"/>
    <mergeCell ref="A3:Q3"/>
    <mergeCell ref="F7:G7"/>
    <mergeCell ref="L27:M27"/>
    <mergeCell ref="B27:C27"/>
    <mergeCell ref="D27:E27"/>
    <mergeCell ref="N27:O27"/>
    <mergeCell ref="P27:Q27"/>
    <mergeCell ref="F27:G27"/>
    <mergeCell ref="H27:I27"/>
    <mergeCell ref="J27:K27"/>
    <mergeCell ref="B17:C17"/>
    <mergeCell ref="D17:E17"/>
  </mergeCells>
  <phoneticPr fontId="2" type="noConversion"/>
  <pageMargins left="0.5" right="0.5" top="0.75" bottom="0.7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City of Whittier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kmarshall</dc:creator>
  <cp:lastModifiedBy>kmarshall</cp:lastModifiedBy>
  <cp:lastPrinted>2014-04-14T21:54:04Z</cp:lastPrinted>
  <dcterms:created xsi:type="dcterms:W3CDTF">2008-03-07T15:00:16Z</dcterms:created>
  <dcterms:modified xsi:type="dcterms:W3CDTF">2014-04-14T21:54:06Z</dcterms:modified>
</cp:coreProperties>
</file>