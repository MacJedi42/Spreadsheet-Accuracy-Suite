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<sst xmlns="http://schemas.openxmlformats.org/spreadsheetml/2006/main" count="86" uniqueCount="86">
  <si>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</si>
  <si>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</si>
  <si>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100040835</t>
  </si>
  <si>
    <t>Notes/Supplemental Information:</t>
  </si>
  <si>
    <t>REIT Name:</t>
  </si>
  <si>
    <t>KBS Legacy Partners Apartment REIT,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</si>
  <si>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</si>
  <si>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</si>
  <si>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</si>
  <si>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</si>
  <si>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</si>
  <si>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</si>
  <si>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</si>
  <si>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</si>
  <si>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</si>
  <si>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</si>
  <si>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</si>
  <si>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</si>
  <si>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</si>
  <si>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</si>
  <si>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</si>
  <si>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</si>
  <si>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</si>
  <si>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</si>
  <si>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</si>
  <si>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</si>
  <si>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</si>
  <si>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</si>
  <si>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</si>
  <si>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</si>
  <si>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</si>
  <si>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</si>
  <si>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</si>
  <si>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</si>
  <si>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</si>
  <si>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</si>
  <si>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</si>
  <si>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</si>
  <si>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</si>
  <si>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</si>
  <si>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</si>
  <si>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</si>
  <si>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</si>
  <si>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</si>
  <si>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</si>
  <si>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</si>
  <si>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</si>
  <si>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</si>
  <si>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</si>
  <si>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</si>
  <si>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</si>
  <si>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</si>
  <si>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</si>
  <si>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</si>
  <si>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</si>
  <si>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</si>
  <si>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</si>
  <si>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</si>
  <si>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</si>
  <si>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</si>
  <si>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</si>
  <si>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</si>
  <si>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</si>
  <si>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</si>
  <si>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</si>
  <si>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</si>
  <si>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</si>
  <si>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</si>
  <si>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</si>
  <si>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</si>
  <si>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</si>
  <si>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</si>
  <si>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</si>
  <si>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</si>
  <si>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</si>
  <si>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</si>
  <si>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</si>
  <si>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</si>
  <si>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</si>
  <si>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</si>
  <si>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</si>
  <si>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</si>
  <si>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</si>
  <si>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</si>
  <si>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</si>
  <si>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48243K101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</si>
</sst>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33" xfId="0">
      <protection locked="0"/>
    </xf>
    <xf numFmtId="0" fontId="1" fillId="2" borderId="29"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B22" sqref="B22"/>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3"/>
      <c r="L2" s="94"/>
      <c r="M2" s="94"/>
      <c r="N2" s="94"/>
      <c r="O2" s="94"/>
      <c r="P2" s="94"/>
      <c r="Q2" s="95"/>
    </row>
    <row r="3">
      <c r="A3" s="4" t="s">
        <v>4</v>
      </c>
      <c r="B3" s="9" t="s">
        <v>5</v>
      </c>
      <c r="C3" s="10"/>
      <c r="D3" s="10"/>
      <c r="E3" s="10"/>
      <c r="F3" s="11"/>
      <c r="G3" s="12"/>
      <c r="H3" s="13"/>
      <c r="J3" s="13"/>
      <c r="K3" s="96"/>
      <c r="L3" s="97"/>
      <c r="M3" s="97"/>
      <c r="N3" s="97"/>
      <c r="O3" s="97"/>
      <c r="P3" s="97"/>
      <c r="Q3" s="98"/>
      <c r="R3" s="13"/>
      <c r="S3" s="13"/>
      <c r="T3" s="13"/>
      <c r="U3" s="13"/>
      <c r="V3" s="13"/>
      <c r="W3" s="13"/>
      <c r="X3" s="13"/>
      <c r="Y3" s="13"/>
      <c r="Z3" s="13"/>
      <c r="AA3" s="13"/>
      <c r="AB3" s="13"/>
      <c r="AC3" s="13"/>
      <c r="AD3" s="13"/>
    </row>
    <row r="4">
      <c r="A4" s="4" t="s">
        <v>6</v>
      </c>
      <c r="B4" s="14">
        <v>2012</v>
      </c>
      <c r="C4" s="15"/>
      <c r="D4" s="15"/>
      <c r="E4" s="15"/>
      <c r="F4" s="15"/>
      <c r="G4" s="16"/>
      <c r="K4" s="96"/>
      <c r="L4" s="97"/>
      <c r="M4" s="97"/>
      <c r="N4" s="97"/>
      <c r="O4" s="97"/>
      <c r="P4" s="97"/>
      <c r="Q4" s="98"/>
    </row>
    <row r="5">
      <c r="A5" s="13"/>
      <c r="B5" s="13"/>
      <c r="C5" s="13"/>
      <c r="D5" s="13"/>
      <c r="E5" s="13"/>
      <c r="F5" s="13"/>
      <c r="G5" s="13"/>
      <c r="H5" s="13"/>
      <c r="J5" s="13"/>
      <c r="K5" s="99"/>
      <c r="L5" s="100"/>
      <c r="M5" s="100"/>
      <c r="N5" s="100"/>
      <c r="O5" s="100"/>
      <c r="P5" s="100"/>
      <c r="Q5" s="101"/>
      <c r="R5" s="13"/>
      <c r="S5" s="13"/>
      <c r="T5" s="13"/>
      <c r="U5" s="13"/>
      <c r="V5" s="13"/>
      <c r="W5" s="13"/>
      <c r="X5" s="13"/>
      <c r="Y5" s="13"/>
      <c r="Z5" s="13"/>
      <c r="AA5" s="13"/>
      <c r="AB5" s="13"/>
      <c r="AC5" s="13"/>
      <c r="AD5" s="13"/>
    </row>
    <row r="6">
      <c r="A6" s="8" t="s">
        <v>7</v>
      </c>
      <c r="B6" s="90">
        <v>41274</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2" t="s">
        <v>9</v>
      </c>
      <c r="B9" s="102"/>
      <c r="C9" s="102"/>
      <c r="D9" s="102"/>
      <c r="E9" s="102"/>
      <c r="F9" s="102"/>
      <c r="G9" s="102"/>
      <c r="H9" s="102"/>
      <c r="I9" s="102"/>
      <c r="J9" s="102"/>
      <c r="K9" s="102"/>
      <c r="L9" s="102"/>
      <c r="M9" s="102"/>
      <c r="N9" s="20"/>
      <c r="O9" s="20"/>
      <c r="P9" s="20"/>
      <c r="Q9" s="13"/>
      <c r="R9" s="13"/>
      <c r="S9" s="13"/>
      <c r="T9" s="13"/>
      <c r="U9" s="13"/>
      <c r="V9" s="13"/>
      <c r="W9" s="13"/>
      <c r="X9" s="13"/>
      <c r="Y9" s="13"/>
      <c r="Z9" s="13"/>
      <c r="AA9" s="13"/>
      <c r="AB9" s="13"/>
      <c r="AC9" s="13"/>
      <c r="AD9" s="13"/>
    </row>
    <row r="10">
      <c r="A10" s="102"/>
      <c r="B10" s="102"/>
      <c r="C10" s="102"/>
      <c r="D10" s="102"/>
      <c r="E10" s="102"/>
      <c r="F10" s="102"/>
      <c r="G10" s="102"/>
      <c r="H10" s="102"/>
      <c r="I10" s="102"/>
      <c r="J10" s="102"/>
      <c r="K10" s="102"/>
      <c r="L10" s="102"/>
      <c r="M10" s="102"/>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3" t="s">
        <v>10</v>
      </c>
      <c r="B13" s="103"/>
      <c r="C13" s="103"/>
      <c r="D13" s="103"/>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4" t="s">
        <v>12</v>
      </c>
      <c r="L15" s="105"/>
      <c r="M15" s="106"/>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s="2" customFormat="1">
      <c r="A20" s="60" t="s">
        <v>84</v>
      </c>
      <c r="B20" s="61" t="s">
        <v>85</v>
      </c>
      <c r="C20" s="61"/>
      <c r="D20" s="91"/>
      <c r="E20" s="91"/>
      <c r="F20" s="91"/>
      <c r="G20" s="63">
        <v>40923</v>
      </c>
      <c r="H20" s="91"/>
      <c r="I20" s="63">
        <v>40923</v>
      </c>
      <c r="J20" s="64"/>
      <c r="K20" s="54"/>
      <c r="L20" s="54"/>
      <c r="M20" s="54">
        <f>Z20</f>
      </c>
      <c r="N20" s="64"/>
      <c r="O20" s="65"/>
      <c r="P20" s="56"/>
      <c r="Q20" s="66"/>
      <c r="R20" s="64"/>
      <c r="S20" s="92"/>
      <c r="T20" s="92"/>
      <c r="U20" s="64"/>
      <c r="V20" s="64"/>
      <c r="W20" s="64"/>
      <c r="X20" s="92"/>
      <c r="Y20" s="64"/>
      <c r="Z20" s="64">
        <v>0.055205</v>
      </c>
      <c r="AA20" s="92"/>
      <c r="AB20" s="64"/>
      <c r="AC20" s="64"/>
      <c r="AD20" s="92"/>
      <c r="AE20" s="92"/>
      <c r="AF20" s="67"/>
      <c r="AG20" s="59"/>
    </row>
    <row r="21" s="2" customFormat="1">
      <c r="A21" s="60" t="s">
        <v>84</v>
      </c>
      <c r="B21" s="61" t="s">
        <v>85</v>
      </c>
      <c r="C21" s="61"/>
      <c r="D21" s="91"/>
      <c r="E21" s="91"/>
      <c r="F21" s="91"/>
      <c r="G21" s="63">
        <v>40954</v>
      </c>
      <c r="H21" s="91"/>
      <c r="I21" s="63">
        <v>40954</v>
      </c>
      <c r="J21" s="64"/>
      <c r="K21" s="54"/>
      <c r="L21" s="54"/>
      <c r="M21" s="54">
        <f ref="M21:M31" t="shared" si="1">Z21</f>
      </c>
      <c r="N21" s="64"/>
      <c r="O21" s="65"/>
      <c r="P21" s="56"/>
      <c r="Q21" s="66"/>
      <c r="R21" s="64"/>
      <c r="S21" s="92"/>
      <c r="T21" s="92"/>
      <c r="U21" s="64"/>
      <c r="V21" s="64"/>
      <c r="W21" s="64"/>
      <c r="X21" s="92"/>
      <c r="Y21" s="64"/>
      <c r="Z21" s="64">
        <v>0.055205</v>
      </c>
      <c r="AA21" s="92"/>
      <c r="AB21" s="64"/>
      <c r="AC21" s="64"/>
      <c r="AD21" s="92"/>
      <c r="AE21" s="92"/>
      <c r="AF21" s="67"/>
      <c r="AG21" s="59"/>
    </row>
    <row r="22" s="2" customFormat="1">
      <c r="A22" s="60" t="s">
        <v>84</v>
      </c>
      <c r="B22" s="61" t="s">
        <v>85</v>
      </c>
      <c r="C22" s="61"/>
      <c r="D22" s="91"/>
      <c r="E22" s="91"/>
      <c r="F22" s="91"/>
      <c r="G22" s="63">
        <v>40983</v>
      </c>
      <c r="H22" s="91"/>
      <c r="I22" s="63">
        <v>40983</v>
      </c>
      <c r="J22" s="64"/>
      <c r="K22" s="54"/>
      <c r="L22" s="54"/>
      <c r="M22" s="54">
        <f t="shared" si="1"/>
      </c>
      <c r="N22" s="64"/>
      <c r="O22" s="65"/>
      <c r="P22" s="56"/>
      <c r="Q22" s="66"/>
      <c r="R22" s="64"/>
      <c r="S22" s="92"/>
      <c r="T22" s="92"/>
      <c r="U22" s="64"/>
      <c r="V22" s="64"/>
      <c r="W22" s="64"/>
      <c r="X22" s="92"/>
      <c r="Y22" s="64"/>
      <c r="Z22" s="64">
        <v>0.049863</v>
      </c>
      <c r="AA22" s="92"/>
      <c r="AB22" s="64"/>
      <c r="AC22" s="64"/>
      <c r="AD22" s="92"/>
      <c r="AE22" s="92"/>
      <c r="AF22" s="67"/>
      <c r="AG22" s="59"/>
    </row>
    <row r="23" s="2" customFormat="1">
      <c r="A23" s="60" t="s">
        <v>84</v>
      </c>
      <c r="B23" s="61" t="s">
        <v>85</v>
      </c>
      <c r="C23" s="61"/>
      <c r="D23" s="91"/>
      <c r="E23" s="91"/>
      <c r="F23" s="91"/>
      <c r="G23" s="63">
        <v>41012</v>
      </c>
      <c r="H23" s="91"/>
      <c r="I23" s="63">
        <v>41012</v>
      </c>
      <c r="J23" s="64"/>
      <c r="K23" s="54"/>
      <c r="L23" s="54"/>
      <c r="M23" s="54">
        <f t="shared" si="1"/>
      </c>
      <c r="N23" s="64"/>
      <c r="O23" s="65"/>
      <c r="P23" s="56"/>
      <c r="Q23" s="66"/>
      <c r="R23" s="64"/>
      <c r="S23" s="92"/>
      <c r="T23" s="92"/>
      <c r="U23" s="64"/>
      <c r="V23" s="64"/>
      <c r="W23" s="64"/>
      <c r="X23" s="92"/>
      <c r="Y23" s="64"/>
      <c r="Z23" s="64">
        <v>0.055205</v>
      </c>
      <c r="AA23" s="92"/>
      <c r="AB23" s="64"/>
      <c r="AC23" s="64"/>
      <c r="AD23" s="92"/>
      <c r="AE23" s="92"/>
      <c r="AF23" s="67"/>
      <c r="AG23" s="59"/>
    </row>
    <row r="24" s="2" customFormat="1">
      <c r="A24" s="60" t="s">
        <v>84</v>
      </c>
      <c r="B24" s="61" t="s">
        <v>85</v>
      </c>
      <c r="C24" s="61"/>
      <c r="D24" s="91"/>
      <c r="E24" s="91"/>
      <c r="F24" s="91"/>
      <c r="G24" s="63">
        <v>41044</v>
      </c>
      <c r="H24" s="91"/>
      <c r="I24" s="63">
        <v>41044</v>
      </c>
      <c r="J24" s="64"/>
      <c r="K24" s="54"/>
      <c r="L24" s="54"/>
      <c r="M24" s="54">
        <f t="shared" si="1"/>
      </c>
      <c r="N24" s="64"/>
      <c r="O24" s="65"/>
      <c r="P24" s="56"/>
      <c r="Q24" s="66"/>
      <c r="R24" s="64"/>
      <c r="S24" s="92"/>
      <c r="T24" s="92"/>
      <c r="U24" s="64"/>
      <c r="V24" s="64"/>
      <c r="W24" s="64"/>
      <c r="X24" s="92"/>
      <c r="Y24" s="64"/>
      <c r="Z24" s="64">
        <v>0.053425</v>
      </c>
      <c r="AA24" s="92"/>
      <c r="AB24" s="64"/>
      <c r="AC24" s="64"/>
      <c r="AD24" s="92"/>
      <c r="AE24" s="92"/>
      <c r="AF24" s="67"/>
      <c r="AG24" s="59"/>
    </row>
    <row r="25" s="2" customFormat="1">
      <c r="A25" s="60" t="s">
        <v>84</v>
      </c>
      <c r="B25" s="61" t="s">
        <v>85</v>
      </c>
      <c r="C25" s="61"/>
      <c r="D25" s="91"/>
      <c r="E25" s="91"/>
      <c r="F25" s="91"/>
      <c r="G25" s="63">
        <v>41075</v>
      </c>
      <c r="H25" s="91"/>
      <c r="I25" s="63">
        <v>41075</v>
      </c>
      <c r="J25" s="64"/>
      <c r="K25" s="54"/>
      <c r="L25" s="54"/>
      <c r="M25" s="54">
        <f t="shared" si="1"/>
      </c>
      <c r="N25" s="64"/>
      <c r="O25" s="65"/>
      <c r="P25" s="56"/>
      <c r="Q25" s="66"/>
      <c r="R25" s="64"/>
      <c r="S25" s="92"/>
      <c r="T25" s="92"/>
      <c r="U25" s="64"/>
      <c r="V25" s="64"/>
      <c r="W25" s="64"/>
      <c r="X25" s="92"/>
      <c r="Y25" s="64"/>
      <c r="Z25" s="64">
        <v>0.055205</v>
      </c>
      <c r="AA25" s="92"/>
      <c r="AB25" s="64"/>
      <c r="AC25" s="64"/>
      <c r="AD25" s="92"/>
      <c r="AE25" s="92"/>
      <c r="AF25" s="67"/>
      <c r="AG25" s="59"/>
    </row>
    <row r="26" s="2" customFormat="1">
      <c r="A26" s="60" t="s">
        <v>84</v>
      </c>
      <c r="B26" s="61" t="s">
        <v>85</v>
      </c>
      <c r="C26" s="61"/>
      <c r="D26" s="91"/>
      <c r="E26" s="91"/>
      <c r="F26" s="91"/>
      <c r="G26" s="63">
        <v>41103</v>
      </c>
      <c r="H26" s="91"/>
      <c r="I26" s="63">
        <v>41103</v>
      </c>
      <c r="J26" s="64"/>
      <c r="K26" s="54"/>
      <c r="L26" s="54"/>
      <c r="M26" s="54">
        <f t="shared" si="1"/>
      </c>
      <c r="N26" s="64"/>
      <c r="O26" s="65"/>
      <c r="P26" s="56"/>
      <c r="Q26" s="66"/>
      <c r="R26" s="64"/>
      <c r="S26" s="92"/>
      <c r="T26" s="92"/>
      <c r="U26" s="64"/>
      <c r="V26" s="64"/>
      <c r="W26" s="64"/>
      <c r="X26" s="92"/>
      <c r="Y26" s="64"/>
      <c r="Z26" s="64">
        <v>0.053425</v>
      </c>
      <c r="AA26" s="92"/>
      <c r="AB26" s="64"/>
      <c r="AC26" s="64"/>
      <c r="AD26" s="92"/>
      <c r="AE26" s="92"/>
      <c r="AF26" s="67"/>
      <c r="AG26" s="59"/>
    </row>
    <row r="27" s="2" customFormat="1">
      <c r="A27" s="60" t="s">
        <v>84</v>
      </c>
      <c r="B27" s="61" t="s">
        <v>85</v>
      </c>
      <c r="C27" s="61"/>
      <c r="D27" s="91"/>
      <c r="E27" s="91"/>
      <c r="F27" s="91"/>
      <c r="G27" s="63">
        <v>41136</v>
      </c>
      <c r="H27" s="91"/>
      <c r="I27" s="63">
        <v>41136</v>
      </c>
      <c r="J27" s="64"/>
      <c r="K27" s="54"/>
      <c r="L27" s="54"/>
      <c r="M27" s="54">
        <f t="shared" si="1"/>
      </c>
      <c r="N27" s="64"/>
      <c r="O27" s="65"/>
      <c r="P27" s="56"/>
      <c r="Q27" s="66"/>
      <c r="R27" s="64"/>
      <c r="S27" s="92"/>
      <c r="T27" s="92"/>
      <c r="U27" s="64"/>
      <c r="V27" s="64"/>
      <c r="W27" s="64"/>
      <c r="X27" s="92"/>
      <c r="Y27" s="64"/>
      <c r="Z27" s="64">
        <v>0.055205</v>
      </c>
      <c r="AA27" s="92"/>
      <c r="AB27" s="64"/>
      <c r="AC27" s="64"/>
      <c r="AD27" s="92"/>
      <c r="AE27" s="92"/>
      <c r="AF27" s="67"/>
      <c r="AG27" s="59"/>
    </row>
    <row r="28">
      <c r="A28" s="60" t="s">
        <v>84</v>
      </c>
      <c r="B28" s="61" t="s">
        <v>85</v>
      </c>
      <c r="C28" s="61"/>
      <c r="D28" s="62"/>
      <c r="E28" s="62"/>
      <c r="F28" s="62"/>
      <c r="G28" s="63">
        <v>41166</v>
      </c>
      <c r="H28" s="63"/>
      <c r="I28" s="63">
        <v>41166</v>
      </c>
      <c r="J28" s="64"/>
      <c r="K28" s="54"/>
      <c r="L28" s="54"/>
      <c r="M28" s="54">
        <f t="shared" si="1"/>
      </c>
      <c r="N28" s="64"/>
      <c r="O28" s="65"/>
      <c r="P28" s="56"/>
      <c r="Q28" s="66"/>
      <c r="R28" s="64"/>
      <c r="S28" s="56"/>
      <c r="T28" s="56"/>
      <c r="U28" s="64"/>
      <c r="V28" s="64"/>
      <c r="W28" s="64"/>
      <c r="X28" s="56"/>
      <c r="Y28" s="64"/>
      <c r="Z28" s="64">
        <v>0.055205</v>
      </c>
      <c r="AA28" s="56"/>
      <c r="AB28" s="64"/>
      <c r="AC28" s="64"/>
      <c r="AD28" s="56"/>
      <c r="AE28" s="56"/>
      <c r="AF28" s="67"/>
      <c r="AG28" s="38"/>
    </row>
    <row r="29">
      <c r="A29" s="60" t="s">
        <v>84</v>
      </c>
      <c r="B29" s="61" t="s">
        <v>85</v>
      </c>
      <c r="C29" s="61"/>
      <c r="D29" s="62"/>
      <c r="E29" s="62"/>
      <c r="F29" s="62"/>
      <c r="G29" s="63">
        <v>41197</v>
      </c>
      <c r="H29" s="63"/>
      <c r="I29" s="63">
        <v>41197</v>
      </c>
      <c r="J29" s="64"/>
      <c r="K29" s="54"/>
      <c r="L29" s="54"/>
      <c r="M29" s="54">
        <f t="shared" si="1"/>
      </c>
      <c r="N29" s="64"/>
      <c r="O29" s="65"/>
      <c r="P29" s="56"/>
      <c r="Q29" s="66"/>
      <c r="R29" s="64"/>
      <c r="S29" s="56"/>
      <c r="T29" s="56"/>
      <c r="U29" s="64"/>
      <c r="V29" s="64"/>
      <c r="W29" s="64"/>
      <c r="X29" s="56"/>
      <c r="Y29" s="64"/>
      <c r="Z29" s="64">
        <v>0.053425</v>
      </c>
      <c r="AA29" s="56"/>
      <c r="AB29" s="64"/>
      <c r="AC29" s="64"/>
      <c r="AD29" s="56"/>
      <c r="AE29" s="56"/>
      <c r="AF29" s="67"/>
      <c r="AG29" s="38"/>
    </row>
    <row r="30">
      <c r="A30" s="60" t="s">
        <v>84</v>
      </c>
      <c r="B30" s="61" t="s">
        <v>85</v>
      </c>
      <c r="C30" s="61"/>
      <c r="D30" s="62"/>
      <c r="E30" s="62"/>
      <c r="F30" s="62"/>
      <c r="G30" s="63">
        <v>41228</v>
      </c>
      <c r="H30" s="63"/>
      <c r="I30" s="63">
        <v>41228</v>
      </c>
      <c r="J30" s="64"/>
      <c r="K30" s="54"/>
      <c r="L30" s="54"/>
      <c r="M30" s="54">
        <f t="shared" si="1"/>
      </c>
      <c r="N30" s="54"/>
      <c r="O30" s="68"/>
      <c r="P30" s="69"/>
      <c r="Q30" s="70"/>
      <c r="R30" s="54"/>
      <c r="S30" s="69"/>
      <c r="T30" s="69"/>
      <c r="U30" s="54"/>
      <c r="V30" s="54"/>
      <c r="W30" s="54"/>
      <c r="X30" s="69"/>
      <c r="Y30" s="54"/>
      <c r="Z30" s="54">
        <v>0.055205</v>
      </c>
      <c r="AA30" s="69"/>
      <c r="AB30" s="54"/>
      <c r="AC30" s="54"/>
      <c r="AD30" s="69"/>
      <c r="AE30" s="69"/>
      <c r="AF30" s="71"/>
      <c r="AG30" s="38"/>
    </row>
    <row r="31">
      <c r="A31" s="60" t="s">
        <v>84</v>
      </c>
      <c r="B31" s="61" t="s">
        <v>85</v>
      </c>
      <c r="C31" s="73"/>
      <c r="D31" s="74"/>
      <c r="E31" s="74"/>
      <c r="F31" s="74"/>
      <c r="G31" s="75">
        <v>41246</v>
      </c>
      <c r="H31" s="75"/>
      <c r="I31" s="75">
        <v>41246</v>
      </c>
      <c r="J31" s="54"/>
      <c r="K31" s="54"/>
      <c r="L31" s="54"/>
      <c r="M31" s="54">
        <f t="shared" si="1"/>
      </c>
      <c r="N31" s="54"/>
      <c r="O31" s="68"/>
      <c r="P31" s="69"/>
      <c r="Q31" s="70"/>
      <c r="R31" s="54"/>
      <c r="S31" s="69"/>
      <c r="T31" s="69"/>
      <c r="U31" s="54"/>
      <c r="V31" s="54"/>
      <c r="W31" s="54"/>
      <c r="X31" s="69"/>
      <c r="Y31" s="54"/>
      <c r="Z31" s="54">
        <v>0.053425</v>
      </c>
      <c r="AA31" s="69"/>
      <c r="AB31" s="54"/>
      <c r="AC31" s="54"/>
      <c r="AD31" s="69"/>
      <c r="AE31" s="69"/>
      <c r="AF31" s="71"/>
      <c r="AG31" s="38"/>
    </row>
    <row r="32">
      <c r="A32" s="84">
        <f>IF(COUNTA(M28:M31)=0,"",IF(COUNTA(F28:F31)=0,IF(COUNTA(D28:D31)=0,"Totals - Final","Totals - Estimated"),"Totals - Corrected"))</f>
      </c>
      <c r="B32" s="87">
        <f>IF(ISNA(INDEX(B28:B31,MAX(MATCH(REPT("z",255),B28:B31)))),"",INDEX(B28:B31,MAX(MATCH(REPT("z",255),B28:B31))))</f>
      </c>
      <c r="C32" s="87">
        <f>IF(ISNA(INDEX(C28:C31,MAX(MATCH(REPT("z",255),C28:C31)))),"",INDEX(C28:C31,MAX(MATCH(REPT("z",255),C28:C31))))</f>
      </c>
      <c r="D32" s="87">
        <f>IF(ISNA(INDEX(A28:A31,MAX(MATCH(REPT("z",255),A28:A31)))),"",INDEX(A28:A31,MAX(MATCH(REPT("z",255),A28:A31))))</f>
      </c>
      <c r="E32" s="85"/>
      <c r="F32" s="85"/>
      <c r="G32" s="86"/>
      <c r="H32" s="86"/>
      <c r="I32" s="86"/>
      <c r="J32" s="76">
        <f>SUM(IF(NOT(ISBLANK($B19:$B31)),J19:J31,""))</f>
      </c>
      <c r="K32" s="76">
        <f ref="K32:K32" t="array">SUM(IF(NOT(ISBLANK($B19:$B31)),K19:K31,""))</f>
      </c>
      <c r="L32" s="76">
        <f ref="L32:L32" t="array">SUM(IF(NOT(ISBLANK($B19:$B31)),L19:L31,""))</f>
      </c>
      <c r="M32" s="76">
        <f ref="M32:M32" t="array">SUM(IF(NOT(ISBLANK($B19:$B31)),M19:M31,""))</f>
      </c>
      <c r="N32" s="76">
        <f ref="N32:N32" t="array">SUM(IF(NOT(ISBLANK($B19:$B31)),N19:N31,""))</f>
      </c>
      <c r="O32" s="76">
        <f ref="O32:O32" t="array">SUM(IF(NOT(ISBLANK($B19:$B31)),O19:O31,""))</f>
      </c>
      <c r="P32" s="77"/>
      <c r="Q32" s="76">
        <f ref="Q32:Q32" t="array">SUM(IF(NOT(ISBLANK($B19:$B31)),Q19:Q31,""))</f>
      </c>
      <c r="R32" s="76">
        <f ref="R32:R32" t="array">SUM(IF(NOT(ISBLANK($B19:$B31)),R19:R31,""))</f>
      </c>
      <c r="S32" s="77"/>
      <c r="T32" s="77"/>
      <c r="U32" s="76">
        <f ref="U32:U32" t="array">SUM(IF(NOT(ISBLANK($B19:$B31)),U19:U31,""))</f>
      </c>
      <c r="V32" s="76">
        <f ref="V32:V32" t="array">SUM(IF(NOT(ISBLANK($B19:$B31)),V19:V31,""))</f>
      </c>
      <c r="W32" s="76">
        <f ref="W32:W32" t="array">SUM(IF(NOT(ISBLANK($B19:$B31)),W19:W31,""))</f>
      </c>
      <c r="X32" s="77"/>
      <c r="Y32" s="76">
        <f ref="Y32:Y32" t="array">SUM(IF(NOT(ISBLANK($B19:$B31)),Y19:Y31,""))</f>
      </c>
      <c r="Z32" s="76">
        <f ref="Z32:Z32" t="array">SUM(IF(NOT(ISBLANK($B19:$B31)),Z19:Z31,""))</f>
      </c>
      <c r="AA32" s="77"/>
      <c r="AB32" s="76">
        <f ref="AB32:AB32" t="array">SUM(IF(NOT(ISBLANK($B19:$B31)),AB19:AB31,""))</f>
      </c>
      <c r="AC32" s="76">
        <f ref="AC32:AC32" t="array">SUM(IF(NOT(ISBLANK($B19:$B31)),AC19:AC31,""))</f>
      </c>
      <c r="AD32" s="77"/>
      <c r="AE32" s="77"/>
      <c r="AF32" s="78"/>
      <c r="AG32" s="79">
        <v>1</v>
      </c>
    </row>
    <row r="33" ht="0" hidden="1">
      <c r="A33" s="50"/>
      <c r="B33" s="51"/>
      <c r="C33" s="51"/>
      <c r="D33" s="80"/>
      <c r="E33" s="80"/>
      <c r="F33" s="80"/>
      <c r="G33" s="81"/>
      <c r="H33" s="81"/>
      <c r="I33" s="81"/>
      <c r="J33" s="53"/>
      <c r="K33" s="54"/>
      <c r="L33" s="54"/>
      <c r="M33" s="54"/>
      <c r="N33" s="53"/>
      <c r="O33" s="55"/>
      <c r="P33" s="82"/>
      <c r="Q33" s="57"/>
      <c r="R33" s="53"/>
      <c r="S33" s="82"/>
      <c r="T33" s="82"/>
      <c r="U33" s="53"/>
      <c r="V33" s="53"/>
      <c r="W33" s="53"/>
      <c r="X33" s="82"/>
      <c r="Y33" s="53"/>
      <c r="Z33" s="53"/>
      <c r="AA33" s="82"/>
      <c r="AB33" s="53"/>
      <c r="AC33" s="53"/>
      <c r="AD33" s="82"/>
      <c r="AE33" s="82"/>
      <c r="AF33" s="83"/>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60"/>
      <c r="B35" s="61"/>
      <c r="C35" s="61"/>
      <c r="D35" s="62"/>
      <c r="E35" s="62"/>
      <c r="F35" s="62"/>
      <c r="G35" s="63"/>
      <c r="H35" s="63"/>
      <c r="I35" s="63"/>
      <c r="J35" s="64"/>
      <c r="K35" s="54"/>
      <c r="L35" s="54"/>
      <c r="M35" s="54"/>
      <c r="N35" s="64"/>
      <c r="O35" s="65"/>
      <c r="P35" s="56"/>
      <c r="Q35" s="66"/>
      <c r="R35" s="64"/>
      <c r="S35" s="56"/>
      <c r="T35" s="56"/>
      <c r="U35" s="64"/>
      <c r="V35" s="64"/>
      <c r="W35" s="64"/>
      <c r="X35" s="56"/>
      <c r="Y35" s="64"/>
      <c r="Z35" s="64"/>
      <c r="AA35" s="56"/>
      <c r="AB35" s="64"/>
      <c r="AC35" s="64"/>
      <c r="AD35" s="56"/>
      <c r="AE35" s="56"/>
      <c r="AF35" s="67"/>
      <c r="AG35" s="38"/>
    </row>
    <row r="36">
      <c r="A36" s="60"/>
      <c r="B36" s="61"/>
      <c r="C36" s="61"/>
      <c r="D36" s="62"/>
      <c r="E36" s="62"/>
      <c r="F36" s="62"/>
      <c r="G36" s="63"/>
      <c r="H36" s="63"/>
      <c r="I36" s="63"/>
      <c r="J36" s="6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72"/>
      <c r="B37" s="73"/>
      <c r="C37" s="73"/>
      <c r="D37" s="74"/>
      <c r="E37" s="74"/>
      <c r="F37" s="74"/>
      <c r="G37" s="75"/>
      <c r="H37" s="75"/>
      <c r="I37" s="75"/>
      <c r="J37" s="54"/>
      <c r="K37" s="54"/>
      <c r="L37" s="54"/>
      <c r="M37" s="54"/>
      <c r="N37" s="54"/>
      <c r="O37" s="68"/>
      <c r="P37" s="69"/>
      <c r="Q37" s="70"/>
      <c r="R37" s="54"/>
      <c r="S37" s="69"/>
      <c r="T37" s="69"/>
      <c r="U37" s="54"/>
      <c r="V37" s="54"/>
      <c r="W37" s="54"/>
      <c r="X37" s="69"/>
      <c r="Y37" s="54"/>
      <c r="Z37" s="54"/>
      <c r="AA37" s="69"/>
      <c r="AB37" s="54"/>
      <c r="AC37" s="54"/>
      <c r="AD37" s="69"/>
      <c r="AE37" s="69"/>
      <c r="AF37" s="71"/>
      <c r="AG37" s="38"/>
    </row>
    <row r="38">
      <c r="A38" s="84">
        <f>IF(COUNTA(M34:M37)=0,"",IF(COUNTA(F34:F37)=0,IF(COUNTA(D34:D37)=0,"Totals - Final","Totals - Estimated"),"Totals - Corrected"))</f>
      </c>
      <c r="B38" s="87">
        <f>IF(ISNA(INDEX(B34:B37,MAX(MATCH(REPT("z",255),B34:B37)))),"",INDEX(B34:B37,MAX(MATCH(REPT("z",255),B34:B37))))</f>
      </c>
      <c r="C38" s="87">
        <f>IF(ISNA(INDEX(C34:C37,MAX(MATCH(REPT("z",255),C34:C37)))),"",INDEX(C34:C37,MAX(MATCH(REPT("z",255),C34:C37))))</f>
      </c>
      <c r="D38" s="87">
        <f>IF(ISNA(INDEX(A34:A37,MAX(MATCH(REPT("z",255),A34:A37)))),"",INDEX(A34:A37,MAX(MATCH(REPT("z",255),A34:A37))))</f>
      </c>
      <c r="E38" s="85"/>
      <c r="F38" s="85"/>
      <c r="G38" s="86"/>
      <c r="H38" s="86"/>
      <c r="I38" s="86"/>
      <c r="J38" s="76">
        <f ref="J38:J38" t="array">SUM(IF(NOT(ISBLANK($B33:$B37)),J33:J37,""))</f>
      </c>
      <c r="K38" s="76">
        <f ref="K38:K38" t="array">SUM(IF(NOT(ISBLANK($B33:$B37)),K33:K37,""))</f>
      </c>
      <c r="L38" s="76">
        <f ref="L38:L38" t="array">SUM(IF(NOT(ISBLANK($B33:$B37)),L33:L37,""))</f>
      </c>
      <c r="M38" s="76">
        <f ref="M38:M38" t="array">SUM(IF(NOT(ISBLANK($B33:$B37)),M33:M37,""))</f>
      </c>
      <c r="N38" s="76">
        <f ref="N38:N38" t="array">SUM(IF(NOT(ISBLANK($B33:$B37)),N33:N37,""))</f>
      </c>
      <c r="O38" s="76">
        <f ref="O38:O38" t="array">SUM(IF(NOT(ISBLANK($B33:$B37)),O33:O37,""))</f>
      </c>
      <c r="P38" s="77"/>
      <c r="Q38" s="76">
        <f ref="Q38:Q38" t="array">SUM(IF(NOT(ISBLANK($B33:$B37)),Q33:Q37,""))</f>
      </c>
      <c r="R38" s="76">
        <f ref="R38:R38" t="array">SUM(IF(NOT(ISBLANK($B33:$B37)),R33:R37,""))</f>
      </c>
      <c r="S38" s="77"/>
      <c r="T38" s="77"/>
      <c r="U38" s="76">
        <f ref="U38:U38" t="array">SUM(IF(NOT(ISBLANK($B33:$B37)),U33:U37,""))</f>
      </c>
      <c r="V38" s="76">
        <f ref="V38:V38" t="array">SUM(IF(NOT(ISBLANK($B33:$B37)),V33:V37,""))</f>
      </c>
      <c r="W38" s="76">
        <f ref="W38:W38" t="array">SUM(IF(NOT(ISBLANK($B33:$B37)),W33:W37,""))</f>
      </c>
      <c r="X38" s="77"/>
      <c r="Y38" s="76">
        <f ref="Y38:Y38" t="array">SUM(IF(NOT(ISBLANK($B33:$B37)),Y33:Y37,""))</f>
      </c>
      <c r="Z38" s="76">
        <f ref="Z38:Z38" t="array">SUM(IF(NOT(ISBLANK($B33:$B37)),Z33:Z37,""))</f>
      </c>
      <c r="AA38" s="77"/>
      <c r="AB38" s="76">
        <f ref="AB38:AB38" t="array">SUM(IF(NOT(ISBLANK($B33:$B37)),AB33:AB37,""))</f>
      </c>
      <c r="AC38" s="76">
        <f ref="AC38:AC38" t="array">SUM(IF(NOT(ISBLANK($B33:$B37)),AC33:AC37,""))</f>
      </c>
      <c r="AD38" s="77"/>
      <c r="AE38" s="77"/>
      <c r="AF38" s="78"/>
      <c r="AG38" s="79">
        <v>1</v>
      </c>
    </row>
    <row r="39" ht="0" hidden="1">
      <c r="A39" s="50"/>
      <c r="B39" s="51"/>
      <c r="C39" s="51"/>
      <c r="D39" s="80"/>
      <c r="E39" s="80"/>
      <c r="F39" s="80"/>
      <c r="G39" s="81"/>
      <c r="H39" s="81"/>
      <c r="I39" s="81"/>
      <c r="J39" s="53"/>
      <c r="K39" s="54"/>
      <c r="L39" s="54"/>
      <c r="M39" s="54"/>
      <c r="N39" s="53"/>
      <c r="O39" s="55"/>
      <c r="P39" s="82"/>
      <c r="Q39" s="57"/>
      <c r="R39" s="53"/>
      <c r="S39" s="82"/>
      <c r="T39" s="82"/>
      <c r="U39" s="53"/>
      <c r="V39" s="53"/>
      <c r="W39" s="53"/>
      <c r="X39" s="82"/>
      <c r="Y39" s="53"/>
      <c r="Z39" s="53"/>
      <c r="AA39" s="82"/>
      <c r="AB39" s="53"/>
      <c r="AC39" s="53"/>
      <c r="AD39" s="82"/>
      <c r="AE39" s="82"/>
      <c r="AF39" s="83"/>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84">
        <f>IF(COUNTA(M40:M43)=0,"",IF(COUNTA(F40:F43)=0,IF(COUNTA(D40:D43)=0,"Totals - Final","Totals - Estimated"),"Totals - Corrected"))</f>
      </c>
      <c r="B44" s="87">
        <f>IF(ISNA(INDEX(B40:B43,MAX(MATCH(REPT("z",255),B40:B43)))),"",INDEX(B40:B43,MAX(MATCH(REPT("z",255),B40:B43))))</f>
      </c>
      <c r="C44" s="87">
        <f>IF(ISNA(INDEX(C40:C43,MAX(MATCH(REPT("z",255),C40:C43)))),"",INDEX(C40:C43,MAX(MATCH(REPT("z",255),C40:C43))))</f>
      </c>
      <c r="D44" s="87">
        <f>IF(ISNA(INDEX(A40:A43,MAX(MATCH(REPT("z",255),A40:A43)))),"",INDEX(A40:A43,MAX(MATCH(REPT("z",255),A40:A43))))</f>
      </c>
      <c r="E44" s="85"/>
      <c r="F44" s="85"/>
      <c r="G44" s="86"/>
      <c r="H44" s="86"/>
      <c r="I44" s="86"/>
      <c r="J44" s="76">
        <f ref="J44:J44" t="array">SUM(IF(NOT(ISBLANK($B39:$B43)),J39:J43,""))</f>
      </c>
      <c r="K44" s="76">
        <f ref="K44:K44" t="array">SUM(IF(NOT(ISBLANK($B39:$B43)),K39:K43,""))</f>
      </c>
      <c r="L44" s="76">
        <f ref="L44:L44" t="array">SUM(IF(NOT(ISBLANK($B39:$B43)),L39:L43,""))</f>
      </c>
      <c r="M44" s="76">
        <f ref="M44:M44" t="array">SUM(IF(NOT(ISBLANK($B39:$B43)),M39:M43,""))</f>
      </c>
      <c r="N44" s="76">
        <f ref="N44:N44" t="array">SUM(IF(NOT(ISBLANK($B39:$B43)),N39:N43,""))</f>
      </c>
      <c r="O44" s="76">
        <f ref="O44:O44" t="array">SUM(IF(NOT(ISBLANK($B39:$B43)),O39:O43,""))</f>
      </c>
      <c r="P44" s="77"/>
      <c r="Q44" s="76">
        <f ref="Q44:Q44" t="array">SUM(IF(NOT(ISBLANK($B39:$B43)),Q39:Q43,""))</f>
      </c>
      <c r="R44" s="76">
        <f ref="R44:R44" t="array">SUM(IF(NOT(ISBLANK($B39:$B43)),R39:R43,""))</f>
      </c>
      <c r="S44" s="77"/>
      <c r="T44" s="77"/>
      <c r="U44" s="76">
        <f ref="U44:U44" t="array">SUM(IF(NOT(ISBLANK($B39:$B43)),U39:U43,""))</f>
      </c>
      <c r="V44" s="76">
        <f ref="V44:V44" t="array">SUM(IF(NOT(ISBLANK($B39:$B43)),V39:V43,""))</f>
      </c>
      <c r="W44" s="76">
        <f ref="W44:W44" t="array">SUM(IF(NOT(ISBLANK($B39:$B43)),W39:W43,""))</f>
      </c>
      <c r="X44" s="77"/>
      <c r="Y44" s="76">
        <f ref="Y44:Y44" t="array">SUM(IF(NOT(ISBLANK($B39:$B43)),Y39:Y43,""))</f>
      </c>
      <c r="Z44" s="76">
        <f ref="Z44:Z44" t="array">SUM(IF(NOT(ISBLANK($B39:$B43)),Z39:Z43,""))</f>
      </c>
      <c r="AA44" s="77"/>
      <c r="AB44" s="76">
        <f ref="AB44:AB44" t="array">SUM(IF(NOT(ISBLANK($B39:$B43)),AB39:AB43,""))</f>
      </c>
      <c r="AC44" s="76">
        <f ref="AC44:AC44" t="array">SUM(IF(NOT(ISBLANK($B39:$B43)),AC39:AC43,""))</f>
      </c>
      <c r="AD44" s="77"/>
      <c r="AE44" s="77"/>
      <c r="AF44" s="78"/>
      <c r="AG44" s="79">
        <v>1</v>
      </c>
    </row>
    <row r="45" ht="0" hidden="1">
      <c r="A45" s="50"/>
      <c r="B45" s="51"/>
      <c r="C45" s="51"/>
      <c r="D45" s="80"/>
      <c r="E45" s="80"/>
      <c r="F45" s="80"/>
      <c r="G45" s="81"/>
      <c r="H45" s="81"/>
      <c r="I45" s="81"/>
      <c r="J45" s="53"/>
      <c r="K45" s="54"/>
      <c r="L45" s="54"/>
      <c r="M45" s="54"/>
      <c r="N45" s="53"/>
      <c r="O45" s="55"/>
      <c r="P45" s="82"/>
      <c r="Q45" s="57"/>
      <c r="R45" s="53"/>
      <c r="S45" s="82"/>
      <c r="T45" s="82"/>
      <c r="U45" s="53"/>
      <c r="V45" s="53"/>
      <c r="W45" s="53"/>
      <c r="X45" s="82"/>
      <c r="Y45" s="53"/>
      <c r="Z45" s="53"/>
      <c r="AA45" s="82"/>
      <c r="AB45" s="53"/>
      <c r="AC45" s="53"/>
      <c r="AD45" s="82"/>
      <c r="AE45" s="82"/>
      <c r="AF45" s="83"/>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84">
        <f>IF(COUNTA(M46:M49)=0,"",IF(COUNTA(F46:F49)=0,IF(COUNTA(D46:D49)=0,"Totals - Final","Totals - Estimated"),"Totals - Corrected"))</f>
      </c>
      <c r="B50" s="87">
        <f>IF(ISNA(INDEX(B46:B49,MAX(MATCH(REPT("z",255),B46:B49)))),"",INDEX(B46:B49,MAX(MATCH(REPT("z",255),B46:B49))))</f>
      </c>
      <c r="C50" s="87">
        <f>IF(ISNA(INDEX(C46:C49,MAX(MATCH(REPT("z",255),C46:C49)))),"",INDEX(C46:C49,MAX(MATCH(REPT("z",255),C46:C49))))</f>
      </c>
      <c r="D50" s="87">
        <f>IF(ISNA(INDEX(A46:A49,MAX(MATCH(REPT("z",255),A46:A49)))),"",INDEX(A46:A49,MAX(MATCH(REPT("z",255),A46:A49))))</f>
      </c>
      <c r="E50" s="85"/>
      <c r="F50" s="85"/>
      <c r="G50" s="86"/>
      <c r="H50" s="86"/>
      <c r="I50" s="86"/>
      <c r="J50" s="76">
        <f ref="J50:J50" t="array">SUM(IF(NOT(ISBLANK($B45:$B49)),J45:J49,""))</f>
      </c>
      <c r="K50" s="76">
        <f ref="K50:K50" t="array">SUM(IF(NOT(ISBLANK($B45:$B49)),K45:K49,""))</f>
      </c>
      <c r="L50" s="76">
        <f ref="L50:L50" t="array">SUM(IF(NOT(ISBLANK($B45:$B49)),L45:L49,""))</f>
      </c>
      <c r="M50" s="76">
        <f ref="M50:M50" t="array">SUM(IF(NOT(ISBLANK($B45:$B49)),M45:M49,""))</f>
      </c>
      <c r="N50" s="76">
        <f ref="N50:N50" t="array">SUM(IF(NOT(ISBLANK($B45:$B49)),N45:N49,""))</f>
      </c>
      <c r="O50" s="76">
        <f ref="O50:O50" t="array">SUM(IF(NOT(ISBLANK($B45:$B49)),O45:O49,""))</f>
      </c>
      <c r="P50" s="77"/>
      <c r="Q50" s="76">
        <f ref="Q50:Q50" t="array">SUM(IF(NOT(ISBLANK($B45:$B49)),Q45:Q49,""))</f>
      </c>
      <c r="R50" s="76">
        <f ref="R50:R50" t="array">SUM(IF(NOT(ISBLANK($B45:$B49)),R45:R49,""))</f>
      </c>
      <c r="S50" s="77"/>
      <c r="T50" s="77"/>
      <c r="U50" s="76">
        <f ref="U50:U50" t="array">SUM(IF(NOT(ISBLANK($B45:$B49)),U45:U49,""))</f>
      </c>
      <c r="V50" s="76">
        <f ref="V50:V50" t="array">SUM(IF(NOT(ISBLANK($B45:$B49)),V45:V49,""))</f>
      </c>
      <c r="W50" s="76">
        <f ref="W50:W50" t="array">SUM(IF(NOT(ISBLANK($B45:$B49)),W45:W49,""))</f>
      </c>
      <c r="X50" s="77"/>
      <c r="Y50" s="76">
        <f ref="Y50:Y50" t="array">SUM(IF(NOT(ISBLANK($B45:$B49)),Y45:Y49,""))</f>
      </c>
      <c r="Z50" s="76">
        <f ref="Z50:Z50" t="array">SUM(IF(NOT(ISBLANK($B45:$B49)),Z45:Z49,""))</f>
      </c>
      <c r="AA50" s="77"/>
      <c r="AB50" s="76">
        <f ref="AB50:AB50" t="array">SUM(IF(NOT(ISBLANK($B45:$B49)),AB45:AB49,""))</f>
      </c>
      <c r="AC50" s="76">
        <f ref="AC50:AC50" t="array">SUM(IF(NOT(ISBLANK($B45:$B49)),AC45:AC49,""))</f>
      </c>
      <c r="AD50" s="77"/>
      <c r="AE50" s="77"/>
      <c r="AF50" s="78"/>
      <c r="AG50" s="79">
        <v>1</v>
      </c>
    </row>
    <row r="51" ht="0" hidden="1">
      <c r="A51" s="50"/>
      <c r="B51" s="51"/>
      <c r="C51" s="51"/>
      <c r="D51" s="80"/>
      <c r="E51" s="80"/>
      <c r="F51" s="80"/>
      <c r="G51" s="81"/>
      <c r="H51" s="81"/>
      <c r="I51" s="81"/>
      <c r="J51" s="53"/>
      <c r="K51" s="54"/>
      <c r="L51" s="54"/>
      <c r="M51" s="54"/>
      <c r="N51" s="53"/>
      <c r="O51" s="55"/>
      <c r="P51" s="82"/>
      <c r="Q51" s="57"/>
      <c r="R51" s="53"/>
      <c r="S51" s="82"/>
      <c r="T51" s="82"/>
      <c r="U51" s="53"/>
      <c r="V51" s="53"/>
      <c r="W51" s="53"/>
      <c r="X51" s="82"/>
      <c r="Y51" s="53"/>
      <c r="Z51" s="53"/>
      <c r="AA51" s="82"/>
      <c r="AB51" s="53"/>
      <c r="AC51" s="53"/>
      <c r="AD51" s="82"/>
      <c r="AE51" s="82"/>
      <c r="AF51" s="83"/>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84">
        <f>IF(COUNTA(M52:M55)=0,"",IF(COUNTA(F52:F55)=0,IF(COUNTA(D52:D55)=0,"Totals - Final","Totals - Estimated"),"Totals - Corrected"))</f>
      </c>
      <c r="B56" s="87">
        <f>IF(ISNA(INDEX(B52:B55,MAX(MATCH(REPT("z",255),B52:B55)))),"",INDEX(B52:B55,MAX(MATCH(REPT("z",255),B52:B55))))</f>
      </c>
      <c r="C56" s="87">
        <f>IF(ISNA(INDEX(C52:C55,MAX(MATCH(REPT("z",255),C52:C55)))),"",INDEX(C52:C55,MAX(MATCH(REPT("z",255),C52:C55))))</f>
      </c>
      <c r="D56" s="87">
        <f>IF(ISNA(INDEX(A52:A55,MAX(MATCH(REPT("z",255),A52:A55)))),"",INDEX(A52:A55,MAX(MATCH(REPT("z",255),A52:A55))))</f>
      </c>
      <c r="E56" s="85"/>
      <c r="F56" s="85"/>
      <c r="G56" s="86"/>
      <c r="H56" s="86"/>
      <c r="I56" s="86"/>
      <c r="J56" s="76">
        <f ref="J56:J56" t="array">SUM(IF(NOT(ISBLANK($B51:$B55)),J51:J55,""))</f>
      </c>
      <c r="K56" s="76">
        <f ref="K56:K56" t="array">SUM(IF(NOT(ISBLANK($B51:$B55)),K51:K55,""))</f>
      </c>
      <c r="L56" s="76">
        <f ref="L56:L56" t="array">SUM(IF(NOT(ISBLANK($B51:$B55)),L51:L55,""))</f>
      </c>
      <c r="M56" s="76">
        <f ref="M56:M56" t="array">SUM(IF(NOT(ISBLANK($B51:$B55)),M51:M55,""))</f>
      </c>
      <c r="N56" s="76">
        <f ref="N56:N56" t="array">SUM(IF(NOT(ISBLANK($B51:$B55)),N51:N55,""))</f>
      </c>
      <c r="O56" s="76">
        <f ref="O56:O56" t="array">SUM(IF(NOT(ISBLANK($B51:$B55)),O51:O55,""))</f>
      </c>
      <c r="P56" s="77"/>
      <c r="Q56" s="76">
        <f ref="Q56:Q56" t="array">SUM(IF(NOT(ISBLANK($B51:$B55)),Q51:Q55,""))</f>
      </c>
      <c r="R56" s="76">
        <f ref="R56:R56" t="array">SUM(IF(NOT(ISBLANK($B51:$B55)),R51:R55,""))</f>
      </c>
      <c r="S56" s="77"/>
      <c r="T56" s="77"/>
      <c r="U56" s="76">
        <f ref="U56:U56" t="array">SUM(IF(NOT(ISBLANK($B51:$B55)),U51:U55,""))</f>
      </c>
      <c r="V56" s="76">
        <f ref="V56:V56" t="array">SUM(IF(NOT(ISBLANK($B51:$B55)),V51:V55,""))</f>
      </c>
      <c r="W56" s="76">
        <f ref="W56:W56" t="array">SUM(IF(NOT(ISBLANK($B51:$B55)),W51:W55,""))</f>
      </c>
      <c r="X56" s="77"/>
      <c r="Y56" s="76">
        <f ref="Y56:Y56" t="array">SUM(IF(NOT(ISBLANK($B51:$B55)),Y51:Y55,""))</f>
      </c>
      <c r="Z56" s="76">
        <f ref="Z56:Z56" t="array">SUM(IF(NOT(ISBLANK($B51:$B55)),Z51:Z55,""))</f>
      </c>
      <c r="AA56" s="77"/>
      <c r="AB56" s="76">
        <f ref="AB56:AB56" t="array">SUM(IF(NOT(ISBLANK($B51:$B55)),AB51:AB55,""))</f>
      </c>
      <c r="AC56" s="76">
        <f ref="AC56:AC56" t="array">SUM(IF(NOT(ISBLANK($B51:$B55)),AC51:AC55,""))</f>
      </c>
      <c r="AD56" s="77"/>
      <c r="AE56" s="77"/>
      <c r="AF56" s="78"/>
      <c r="AG56" s="79">
        <v>1</v>
      </c>
    </row>
    <row r="57" ht="0" hidden="1">
      <c r="A57" s="50"/>
      <c r="B57" s="51"/>
      <c r="C57" s="51"/>
      <c r="D57" s="80"/>
      <c r="E57" s="80"/>
      <c r="F57" s="80"/>
      <c r="G57" s="81"/>
      <c r="H57" s="81"/>
      <c r="I57" s="81"/>
      <c r="J57" s="53"/>
      <c r="K57" s="54"/>
      <c r="L57" s="54"/>
      <c r="M57" s="54"/>
      <c r="N57" s="53"/>
      <c r="O57" s="55"/>
      <c r="P57" s="82"/>
      <c r="Q57" s="57"/>
      <c r="R57" s="53"/>
      <c r="S57" s="82"/>
      <c r="T57" s="82"/>
      <c r="U57" s="53"/>
      <c r="V57" s="53"/>
      <c r="W57" s="53"/>
      <c r="X57" s="82"/>
      <c r="Y57" s="53"/>
      <c r="Z57" s="53"/>
      <c r="AA57" s="82"/>
      <c r="AB57" s="53"/>
      <c r="AC57" s="53"/>
      <c r="AD57" s="82"/>
      <c r="AE57" s="82"/>
      <c r="AF57" s="83"/>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84">
        <f>IF(COUNTA(M58:M61)=0,"",IF(COUNTA(F58:F61)=0,IF(COUNTA(D58:D61)=0,"Totals - Final","Totals - Estimated"),"Totals - Corrected"))</f>
      </c>
      <c r="B62" s="87">
        <f>IF(ISNA(INDEX(B58:B61,MAX(MATCH(REPT("z",255),B58:B61)))),"",INDEX(B58:B61,MAX(MATCH(REPT("z",255),B58:B61))))</f>
      </c>
      <c r="C62" s="87">
        <f>IF(ISNA(INDEX(C58:C61,MAX(MATCH(REPT("z",255),C58:C61)))),"",INDEX(C58:C61,MAX(MATCH(REPT("z",255),C58:C61))))</f>
      </c>
      <c r="D62" s="87">
        <f>IF(ISNA(INDEX(A58:A61,MAX(MATCH(REPT("z",255),A58:A61)))),"",INDEX(A58:A61,MAX(MATCH(REPT("z",255),A58:A61))))</f>
      </c>
      <c r="E62" s="85"/>
      <c r="F62" s="85"/>
      <c r="G62" s="86"/>
      <c r="H62" s="86"/>
      <c r="I62" s="86"/>
      <c r="J62" s="76">
        <f ref="J62:J62" t="array">SUM(IF(NOT(ISBLANK($B57:$B61)),J57:J61,""))</f>
      </c>
      <c r="K62" s="76">
        <f ref="K62:K62" t="array">SUM(IF(NOT(ISBLANK($B57:$B61)),K57:K61,""))</f>
      </c>
      <c r="L62" s="76">
        <f ref="L62:L62" t="array">SUM(IF(NOT(ISBLANK($B57:$B61)),L57:L61,""))</f>
      </c>
      <c r="M62" s="76">
        <f ref="M62:M62" t="array">SUM(IF(NOT(ISBLANK($B57:$B61)),M57:M61,""))</f>
      </c>
      <c r="N62" s="76">
        <f ref="N62:N62" t="array">SUM(IF(NOT(ISBLANK($B57:$B61)),N57:N61,""))</f>
      </c>
      <c r="O62" s="76">
        <f ref="O62:O62" t="array">SUM(IF(NOT(ISBLANK($B57:$B61)),O57:O61,""))</f>
      </c>
      <c r="P62" s="77"/>
      <c r="Q62" s="76">
        <f ref="Q62:Q62" t="array">SUM(IF(NOT(ISBLANK($B57:$B61)),Q57:Q61,""))</f>
      </c>
      <c r="R62" s="76">
        <f ref="R62:R62" t="array">SUM(IF(NOT(ISBLANK($B57:$B61)),R57:R61,""))</f>
      </c>
      <c r="S62" s="77"/>
      <c r="T62" s="77"/>
      <c r="U62" s="76">
        <f ref="U62:U62" t="array">SUM(IF(NOT(ISBLANK($B57:$B61)),U57:U61,""))</f>
      </c>
      <c r="V62" s="76">
        <f ref="V62:V62" t="array">SUM(IF(NOT(ISBLANK($B57:$B61)),V57:V61,""))</f>
      </c>
      <c r="W62" s="76">
        <f ref="W62:W62" t="array">SUM(IF(NOT(ISBLANK($B57:$B61)),W57:W61,""))</f>
      </c>
      <c r="X62" s="77"/>
      <c r="Y62" s="76">
        <f ref="Y62:Y62" t="array">SUM(IF(NOT(ISBLANK($B57:$B61)),Y57:Y61,""))</f>
      </c>
      <c r="Z62" s="76">
        <f ref="Z62:Z62" t="array">SUM(IF(NOT(ISBLANK($B57:$B61)),Z57:Z61,""))</f>
      </c>
      <c r="AA62" s="77"/>
      <c r="AB62" s="76">
        <f ref="AB62:AB62" t="array">SUM(IF(NOT(ISBLANK($B57:$B61)),AB57:AB61,""))</f>
      </c>
      <c r="AC62" s="76">
        <f ref="AC62:AC62" t="array">SUM(IF(NOT(ISBLANK($B57:$B61)),AC57:AC61,""))</f>
      </c>
      <c r="AD62" s="77"/>
      <c r="AE62" s="77"/>
      <c r="AF62" s="78"/>
      <c r="AG62" s="79">
        <v>1</v>
      </c>
    </row>
    <row r="63" ht="0" hidden="1">
      <c r="A63" s="50"/>
      <c r="B63" s="51"/>
      <c r="C63" s="51"/>
      <c r="D63" s="80"/>
      <c r="E63" s="80"/>
      <c r="F63" s="80"/>
      <c r="G63" s="81"/>
      <c r="H63" s="81"/>
      <c r="I63" s="81"/>
      <c r="J63" s="53"/>
      <c r="K63" s="54"/>
      <c r="L63" s="54"/>
      <c r="M63" s="54"/>
      <c r="N63" s="53"/>
      <c r="O63" s="55"/>
      <c r="P63" s="82"/>
      <c r="Q63" s="57"/>
      <c r="R63" s="53"/>
      <c r="S63" s="82"/>
      <c r="T63" s="82"/>
      <c r="U63" s="53"/>
      <c r="V63" s="53"/>
      <c r="W63" s="53"/>
      <c r="X63" s="82"/>
      <c r="Y63" s="53"/>
      <c r="Z63" s="53"/>
      <c r="AA63" s="82"/>
      <c r="AB63" s="53"/>
      <c r="AC63" s="53"/>
      <c r="AD63" s="82"/>
      <c r="AE63" s="82"/>
      <c r="AF63" s="83"/>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84">
        <f>IF(COUNTA(M64:M67)=0,"",IF(COUNTA(F64:F67)=0,IF(COUNTA(D64:D67)=0,"Totals - Final","Totals - Estimated"),"Totals - Corrected"))</f>
      </c>
      <c r="B68" s="87">
        <f>IF(ISNA(INDEX(B64:B67,MAX(MATCH(REPT("z",255),B64:B67)))),"",INDEX(B64:B67,MAX(MATCH(REPT("z",255),B64:B67))))</f>
      </c>
      <c r="C68" s="87">
        <f>IF(ISNA(INDEX(C64:C67,MAX(MATCH(REPT("z",255),C64:C67)))),"",INDEX(C64:C67,MAX(MATCH(REPT("z",255),C64:C67))))</f>
      </c>
      <c r="D68" s="87">
        <f>IF(ISNA(INDEX(A64:A67,MAX(MATCH(REPT("z",255),A64:A67)))),"",INDEX(A64:A67,MAX(MATCH(REPT("z",255),A64:A67))))</f>
      </c>
      <c r="E68" s="85"/>
      <c r="F68" s="85"/>
      <c r="G68" s="86"/>
      <c r="H68" s="86"/>
      <c r="I68" s="86"/>
      <c r="J68" s="76">
        <f ref="J68:J68" t="array">SUM(IF(NOT(ISBLANK($B63:$B67)),J63:J67,""))</f>
      </c>
      <c r="K68" s="76">
        <f ref="K68:K68" t="array">SUM(IF(NOT(ISBLANK($B63:$B67)),K63:K67,""))</f>
      </c>
      <c r="L68" s="76">
        <f ref="L68:L68" t="array">SUM(IF(NOT(ISBLANK($B63:$B67)),L63:L67,""))</f>
      </c>
      <c r="M68" s="76">
        <f ref="M68:M68" t="array">SUM(IF(NOT(ISBLANK($B63:$B67)),M63:M67,""))</f>
      </c>
      <c r="N68" s="76">
        <f ref="N68:N68" t="array">SUM(IF(NOT(ISBLANK($B63:$B67)),N63:N67,""))</f>
      </c>
      <c r="O68" s="76">
        <f ref="O68:O68" t="array">SUM(IF(NOT(ISBLANK($B63:$B67)),O63:O67,""))</f>
      </c>
      <c r="P68" s="77"/>
      <c r="Q68" s="76">
        <f ref="Q68:Q68" t="array">SUM(IF(NOT(ISBLANK($B63:$B67)),Q63:Q67,""))</f>
      </c>
      <c r="R68" s="76">
        <f ref="R68:R68" t="array">SUM(IF(NOT(ISBLANK($B63:$B67)),R63:R67,""))</f>
      </c>
      <c r="S68" s="77"/>
      <c r="T68" s="77"/>
      <c r="U68" s="76">
        <f ref="U68:U68" t="array">SUM(IF(NOT(ISBLANK($B63:$B67)),U63:U67,""))</f>
      </c>
      <c r="V68" s="76">
        <f ref="V68:V68" t="array">SUM(IF(NOT(ISBLANK($B63:$B67)),V63:V67,""))</f>
      </c>
      <c r="W68" s="76">
        <f ref="W68:W68" t="array">SUM(IF(NOT(ISBLANK($B63:$B67)),W63:W67,""))</f>
      </c>
      <c r="X68" s="77"/>
      <c r="Y68" s="76">
        <f ref="Y68:Y68" t="array">SUM(IF(NOT(ISBLANK($B63:$B67)),Y63:Y67,""))</f>
      </c>
      <c r="Z68" s="76">
        <f ref="Z68:Z68" t="array">SUM(IF(NOT(ISBLANK($B63:$B67)),Z63:Z67,""))</f>
      </c>
      <c r="AA68" s="77"/>
      <c r="AB68" s="76">
        <f ref="AB68:AB68" t="array">SUM(IF(NOT(ISBLANK($B63:$B67)),AB63:AB67,""))</f>
      </c>
      <c r="AC68" s="76">
        <f ref="AC68:AC68" t="array">SUM(IF(NOT(ISBLANK($B63:$B67)),AC63:AC67,""))</f>
      </c>
      <c r="AD68" s="77"/>
      <c r="AE68" s="77"/>
      <c r="AF68" s="78"/>
      <c r="AG68" s="79">
        <v>1</v>
      </c>
    </row>
    <row r="69" ht="0" hidden="1">
      <c r="A69" s="50"/>
      <c r="B69" s="51"/>
      <c r="C69" s="51"/>
      <c r="D69" s="80"/>
      <c r="E69" s="80"/>
      <c r="F69" s="80"/>
      <c r="G69" s="81"/>
      <c r="H69" s="81"/>
      <c r="I69" s="81"/>
      <c r="J69" s="53"/>
      <c r="K69" s="54"/>
      <c r="L69" s="54"/>
      <c r="M69" s="54"/>
      <c r="N69" s="53"/>
      <c r="O69" s="55"/>
      <c r="P69" s="82"/>
      <c r="Q69" s="57"/>
      <c r="R69" s="53"/>
      <c r="S69" s="82"/>
      <c r="T69" s="82"/>
      <c r="U69" s="53"/>
      <c r="V69" s="53"/>
      <c r="W69" s="53"/>
      <c r="X69" s="82"/>
      <c r="Y69" s="53"/>
      <c r="Z69" s="53"/>
      <c r="AA69" s="82"/>
      <c r="AB69" s="53"/>
      <c r="AC69" s="53"/>
      <c r="AD69" s="82"/>
      <c r="AE69" s="82"/>
      <c r="AF69" s="83"/>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84">
        <f>IF(COUNTA(M70:M73)=0,"",IF(COUNTA(F70:F73)=0,IF(COUNTA(D70:D73)=0,"Totals - Final","Totals - Estimated"),"Totals - Corrected"))</f>
      </c>
      <c r="B74" s="87">
        <f>IF(ISNA(INDEX(B70:B73,MAX(MATCH(REPT("z",255),B70:B73)))),"",INDEX(B70:B73,MAX(MATCH(REPT("z",255),B70:B73))))</f>
      </c>
      <c r="C74" s="87">
        <f>IF(ISNA(INDEX(C70:C73,MAX(MATCH(REPT("z",255),C70:C73)))),"",INDEX(C70:C73,MAX(MATCH(REPT("z",255),C70:C73))))</f>
      </c>
      <c r="D74" s="87">
        <f>IF(ISNA(INDEX(A70:A73,MAX(MATCH(REPT("z",255),A70:A73)))),"",INDEX(A70:A73,MAX(MATCH(REPT("z",255),A70:A73))))</f>
      </c>
      <c r="E74" s="85"/>
      <c r="F74" s="85"/>
      <c r="G74" s="86"/>
      <c r="H74" s="86"/>
      <c r="I74" s="86"/>
      <c r="J74" s="76">
        <f ref="J74:J74" t="array">SUM(IF(NOT(ISBLANK($B69:$B73)),J69:J73,""))</f>
      </c>
      <c r="K74" s="76">
        <f ref="K74:K74" t="array">SUM(IF(NOT(ISBLANK($B69:$B73)),K69:K73,""))</f>
      </c>
      <c r="L74" s="76">
        <f ref="L74:L74" t="array">SUM(IF(NOT(ISBLANK($B69:$B73)),L69:L73,""))</f>
      </c>
      <c r="M74" s="76">
        <f ref="M74:M74" t="array">SUM(IF(NOT(ISBLANK($B69:$B73)),M69:M73,""))</f>
      </c>
      <c r="N74" s="76">
        <f ref="N74:N74" t="array">SUM(IF(NOT(ISBLANK($B69:$B73)),N69:N73,""))</f>
      </c>
      <c r="O74" s="76">
        <f ref="O74:O74" t="array">SUM(IF(NOT(ISBLANK($B69:$B73)),O69:O73,""))</f>
      </c>
      <c r="P74" s="77"/>
      <c r="Q74" s="76">
        <f ref="Q74:Q74" t="array">SUM(IF(NOT(ISBLANK($B69:$B73)),Q69:Q73,""))</f>
      </c>
      <c r="R74" s="76">
        <f ref="R74:R74" t="array">SUM(IF(NOT(ISBLANK($B69:$B73)),R69:R73,""))</f>
      </c>
      <c r="S74" s="77"/>
      <c r="T74" s="77"/>
      <c r="U74" s="76">
        <f ref="U74:U74" t="array">SUM(IF(NOT(ISBLANK($B69:$B73)),U69:U73,""))</f>
      </c>
      <c r="V74" s="76">
        <f ref="V74:V74" t="array">SUM(IF(NOT(ISBLANK($B69:$B73)),V69:V73,""))</f>
      </c>
      <c r="W74" s="76">
        <f ref="W74:W74" t="array">SUM(IF(NOT(ISBLANK($B69:$B73)),W69:W73,""))</f>
      </c>
      <c r="X74" s="77"/>
      <c r="Y74" s="76">
        <f ref="Y74:Y74" t="array">SUM(IF(NOT(ISBLANK($B69:$B73)),Y69:Y73,""))</f>
      </c>
      <c r="Z74" s="76">
        <f ref="Z74:Z74" t="array">SUM(IF(NOT(ISBLANK($B69:$B73)),Z69:Z73,""))</f>
      </c>
      <c r="AA74" s="77"/>
      <c r="AB74" s="76">
        <f ref="AB74:AB74" t="array">SUM(IF(NOT(ISBLANK($B69:$B73)),AB69:AB73,""))</f>
      </c>
      <c r="AC74" s="76">
        <f ref="AC74:AC74" t="array">SUM(IF(NOT(ISBLANK($B69:$B73)),AC69:AC73,""))</f>
      </c>
      <c r="AD74" s="77"/>
      <c r="AE74" s="77"/>
      <c r="AF74" s="78"/>
      <c r="AG74" s="79">
        <v>1</v>
      </c>
    </row>
    <row r="75" ht="0" hidden="1">
      <c r="A75" s="50"/>
      <c r="B75" s="51"/>
      <c r="C75" s="51"/>
      <c r="D75" s="80"/>
      <c r="E75" s="80"/>
      <c r="F75" s="80"/>
      <c r="G75" s="81"/>
      <c r="H75" s="81"/>
      <c r="I75" s="81"/>
      <c r="J75" s="53"/>
      <c r="K75" s="54"/>
      <c r="L75" s="54"/>
      <c r="M75" s="54"/>
      <c r="N75" s="53"/>
      <c r="O75" s="55"/>
      <c r="P75" s="82"/>
      <c r="Q75" s="57"/>
      <c r="R75" s="53"/>
      <c r="S75" s="82"/>
      <c r="T75" s="82"/>
      <c r="U75" s="53"/>
      <c r="V75" s="53"/>
      <c r="W75" s="53"/>
      <c r="X75" s="82"/>
      <c r="Y75" s="53"/>
      <c r="Z75" s="53"/>
      <c r="AA75" s="82"/>
      <c r="AB75" s="53"/>
      <c r="AC75" s="53"/>
      <c r="AD75" s="82"/>
      <c r="AE75" s="82"/>
      <c r="AF75" s="83"/>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84">
        <f>IF(COUNTA(M76:M79)=0,"",IF(COUNTA(F76:F79)=0,IF(COUNTA(D76:D79)=0,"Totals - Final","Totals - Estimated"),"Totals - Corrected"))</f>
      </c>
      <c r="B80" s="87">
        <f>IF(ISNA(INDEX(B76:B79,MAX(MATCH(REPT("z",255),B76:B79)))),"",INDEX(B76:B79,MAX(MATCH(REPT("z",255),B76:B79))))</f>
      </c>
      <c r="C80" s="87">
        <f>IF(ISNA(INDEX(C76:C79,MAX(MATCH(REPT("z",255),C76:C79)))),"",INDEX(C76:C79,MAX(MATCH(REPT("z",255),C76:C79))))</f>
      </c>
      <c r="D80" s="87">
        <f>IF(ISNA(INDEX(A76:A79,MAX(MATCH(REPT("z",255),A76:A79)))),"",INDEX(A76:A79,MAX(MATCH(REPT("z",255),A76:A79))))</f>
      </c>
      <c r="E80" s="85"/>
      <c r="F80" s="85"/>
      <c r="G80" s="86"/>
      <c r="H80" s="86"/>
      <c r="I80" s="86"/>
      <c r="J80" s="76">
        <f ref="J80:J80" t="array">SUM(IF(NOT(ISBLANK($B75:$B79)),J75:J79,""))</f>
      </c>
      <c r="K80" s="76">
        <f ref="K80:K80" t="array">SUM(IF(NOT(ISBLANK($B75:$B79)),K75:K79,""))</f>
      </c>
      <c r="L80" s="76">
        <f ref="L80:L80" t="array">SUM(IF(NOT(ISBLANK($B75:$B79)),L75:L79,""))</f>
      </c>
      <c r="M80" s="76">
        <f ref="M80:M80" t="array">SUM(IF(NOT(ISBLANK($B75:$B79)),M75:M79,""))</f>
      </c>
      <c r="N80" s="76">
        <f ref="N80:N80" t="array">SUM(IF(NOT(ISBLANK($B75:$B79)),N75:N79,""))</f>
      </c>
      <c r="O80" s="76">
        <f ref="O80:O80" t="array">SUM(IF(NOT(ISBLANK($B75:$B79)),O75:O79,""))</f>
      </c>
      <c r="P80" s="77"/>
      <c r="Q80" s="76">
        <f ref="Q80:Q80" t="array">SUM(IF(NOT(ISBLANK($B75:$B79)),Q75:Q79,""))</f>
      </c>
      <c r="R80" s="76">
        <f ref="R80:R80" t="array">SUM(IF(NOT(ISBLANK($B75:$B79)),R75:R79,""))</f>
      </c>
      <c r="S80" s="77"/>
      <c r="T80" s="77"/>
      <c r="U80" s="76">
        <f ref="U80:U80" t="array">SUM(IF(NOT(ISBLANK($B75:$B79)),U75:U79,""))</f>
      </c>
      <c r="V80" s="76">
        <f ref="V80:V80" t="array">SUM(IF(NOT(ISBLANK($B75:$B79)),V75:V79,""))</f>
      </c>
      <c r="W80" s="76">
        <f ref="W80:W80" t="array">SUM(IF(NOT(ISBLANK($B75:$B79)),W75:W79,""))</f>
      </c>
      <c r="X80" s="77"/>
      <c r="Y80" s="76">
        <f ref="Y80:Y80" t="array">SUM(IF(NOT(ISBLANK($B75:$B79)),Y75:Y79,""))</f>
      </c>
      <c r="Z80" s="76">
        <f ref="Z80:Z80" t="array">SUM(IF(NOT(ISBLANK($B75:$B79)),Z75:Z79,""))</f>
      </c>
      <c r="AA80" s="77"/>
      <c r="AB80" s="76">
        <f ref="AB80:AB80" t="array">SUM(IF(NOT(ISBLANK($B75:$B79)),AB75:AB79,""))</f>
      </c>
      <c r="AC80" s="76">
        <f ref="AC80:AC80" t="array">SUM(IF(NOT(ISBLANK($B75:$B79)),AC75:AC79,""))</f>
      </c>
      <c r="AD80" s="77"/>
      <c r="AE80" s="77"/>
      <c r="AF80" s="78"/>
      <c r="AG80" s="79">
        <v>1</v>
      </c>
    </row>
    <row r="81" ht="0" hidden="1">
      <c r="A81" s="50"/>
      <c r="B81" s="51"/>
      <c r="C81" s="51"/>
      <c r="D81" s="80"/>
      <c r="E81" s="80"/>
      <c r="F81" s="80"/>
      <c r="G81" s="81"/>
      <c r="H81" s="81"/>
      <c r="I81" s="81"/>
      <c r="J81" s="53"/>
      <c r="K81" s="54"/>
      <c r="L81" s="54"/>
      <c r="M81" s="54"/>
      <c r="N81" s="53"/>
      <c r="O81" s="55"/>
      <c r="P81" s="82"/>
      <c r="Q81" s="57"/>
      <c r="R81" s="53"/>
      <c r="S81" s="82"/>
      <c r="T81" s="82"/>
      <c r="U81" s="53"/>
      <c r="V81" s="53"/>
      <c r="W81" s="53"/>
      <c r="X81" s="82"/>
      <c r="Y81" s="53"/>
      <c r="Z81" s="53"/>
      <c r="AA81" s="82"/>
      <c r="AB81" s="53"/>
      <c r="AC81" s="53"/>
      <c r="AD81" s="82"/>
      <c r="AE81" s="82"/>
      <c r="AF81" s="83"/>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84">
        <f>IF(COUNTA(M82:M85)=0,"",IF(COUNTA(F82:F85)=0,IF(COUNTA(D82:D85)=0,"Totals - Final","Totals - Estimated"),"Totals - Corrected"))</f>
      </c>
      <c r="B86" s="87">
        <f>IF(ISNA(INDEX(B82:B85,MAX(MATCH(REPT("z",255),B82:B85)))),"",INDEX(B82:B85,MAX(MATCH(REPT("z",255),B82:B85))))</f>
      </c>
      <c r="C86" s="87">
        <f>IF(ISNA(INDEX(C82:C85,MAX(MATCH(REPT("z",255),C82:C85)))),"",INDEX(C82:C85,MAX(MATCH(REPT("z",255),C82:C85))))</f>
      </c>
      <c r="D86" s="87">
        <f>IF(ISNA(INDEX(A82:A85,MAX(MATCH(REPT("z",255),A82:A85)))),"",INDEX(A82:A85,MAX(MATCH(REPT("z",255),A82:A85))))</f>
      </c>
      <c r="E86" s="85"/>
      <c r="F86" s="85"/>
      <c r="G86" s="86"/>
      <c r="H86" s="86"/>
      <c r="I86" s="86"/>
      <c r="J86" s="76">
        <f ref="J86:J86" t="array">SUM(IF(NOT(ISBLANK($B81:$B85)),J81:J85,""))</f>
      </c>
      <c r="K86" s="76">
        <f ref="K86:K86" t="array">SUM(IF(NOT(ISBLANK($B81:$B85)),K81:K85,""))</f>
      </c>
      <c r="L86" s="76">
        <f ref="L86:L86" t="array">SUM(IF(NOT(ISBLANK($B81:$B85)),L81:L85,""))</f>
      </c>
      <c r="M86" s="76">
        <f ref="M86:M86" t="array">SUM(IF(NOT(ISBLANK($B81:$B85)),M81:M85,""))</f>
      </c>
      <c r="N86" s="76">
        <f ref="N86:N86" t="array">SUM(IF(NOT(ISBLANK($B81:$B85)),N81:N85,""))</f>
      </c>
      <c r="O86" s="76">
        <f ref="O86:O86" t="array">SUM(IF(NOT(ISBLANK($B81:$B85)),O81:O85,""))</f>
      </c>
      <c r="P86" s="77"/>
      <c r="Q86" s="76">
        <f ref="Q86:Q86" t="array">SUM(IF(NOT(ISBLANK($B81:$B85)),Q81:Q85,""))</f>
      </c>
      <c r="R86" s="76">
        <f ref="R86:R86" t="array">SUM(IF(NOT(ISBLANK($B81:$B85)),R81:R85,""))</f>
      </c>
      <c r="S86" s="77"/>
      <c r="T86" s="77"/>
      <c r="U86" s="76">
        <f ref="U86:U86" t="array">SUM(IF(NOT(ISBLANK($B81:$B85)),U81:U85,""))</f>
      </c>
      <c r="V86" s="76">
        <f ref="V86:V86" t="array">SUM(IF(NOT(ISBLANK($B81:$B85)),V81:V85,""))</f>
      </c>
      <c r="W86" s="76">
        <f ref="W86:W86" t="array">SUM(IF(NOT(ISBLANK($B81:$B85)),W81:W85,""))</f>
      </c>
      <c r="X86" s="77"/>
      <c r="Y86" s="76">
        <f ref="Y86:Y86" t="array">SUM(IF(NOT(ISBLANK($B81:$B85)),Y81:Y85,""))</f>
      </c>
      <c r="Z86" s="76">
        <f ref="Z86:Z86" t="array">SUM(IF(NOT(ISBLANK($B81:$B85)),Z81:Z85,""))</f>
      </c>
      <c r="AA86" s="77"/>
      <c r="AB86" s="76">
        <f ref="AB86:AB86" t="array">SUM(IF(NOT(ISBLANK($B81:$B85)),AB81:AB85,""))</f>
      </c>
      <c r="AC86" s="76">
        <f ref="AC86:AC86" t="array">SUM(IF(NOT(ISBLANK($B81:$B85)),AC81:AC85,""))</f>
      </c>
      <c r="AD86" s="77"/>
      <c r="AE86" s="77"/>
      <c r="AF86" s="78"/>
      <c r="AG86" s="79">
        <v>1</v>
      </c>
    </row>
    <row r="87" ht="0" hidden="1">
      <c r="A87" s="50"/>
      <c r="B87" s="51"/>
      <c r="C87" s="51"/>
      <c r="D87" s="80"/>
      <c r="E87" s="80"/>
      <c r="F87" s="80"/>
      <c r="G87" s="81"/>
      <c r="H87" s="81"/>
      <c r="I87" s="81"/>
      <c r="J87" s="53"/>
      <c r="K87" s="54"/>
      <c r="L87" s="54"/>
      <c r="M87" s="54"/>
      <c r="N87" s="53"/>
      <c r="O87" s="55"/>
      <c r="P87" s="82"/>
      <c r="Q87" s="57"/>
      <c r="R87" s="53"/>
      <c r="S87" s="82"/>
      <c r="T87" s="82"/>
      <c r="U87" s="53"/>
      <c r="V87" s="53"/>
      <c r="W87" s="53"/>
      <c r="X87" s="82"/>
      <c r="Y87" s="53"/>
      <c r="Z87" s="53"/>
      <c r="AA87" s="82"/>
      <c r="AB87" s="53"/>
      <c r="AC87" s="53"/>
      <c r="AD87" s="82"/>
      <c r="AE87" s="82"/>
      <c r="AF87" s="83"/>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84">
        <f>IF(COUNTA(M88:M91)=0,"",IF(COUNTA(F88:F91)=0,IF(COUNTA(D88:D91)=0,"Totals - Final","Totals - Estimated"),"Totals - Corrected"))</f>
      </c>
      <c r="B92" s="87">
        <f>IF(ISNA(INDEX(B88:B91,MAX(MATCH(REPT("z",255),B88:B91)))),"",INDEX(B88:B91,MAX(MATCH(REPT("z",255),B88:B91))))</f>
      </c>
      <c r="C92" s="87">
        <f>IF(ISNA(INDEX(C88:C91,MAX(MATCH(REPT("z",255),C88:C91)))),"",INDEX(C88:C91,MAX(MATCH(REPT("z",255),C88:C91))))</f>
      </c>
      <c r="D92" s="87">
        <f>IF(ISNA(INDEX(A88:A91,MAX(MATCH(REPT("z",255),A88:A91)))),"",INDEX(A88:A91,MAX(MATCH(REPT("z",255),A88:A91))))</f>
      </c>
      <c r="E92" s="85"/>
      <c r="F92" s="85"/>
      <c r="G92" s="86"/>
      <c r="H92" s="86"/>
      <c r="I92" s="86"/>
      <c r="J92" s="76">
        <f ref="J92:J92" t="array">SUM(IF(NOT(ISBLANK($B87:$B91)),J87:J91,""))</f>
      </c>
      <c r="K92" s="76">
        <f ref="K92:K92" t="array">SUM(IF(NOT(ISBLANK($B87:$B91)),K87:K91,""))</f>
      </c>
      <c r="L92" s="76">
        <f ref="L92:L92" t="array">SUM(IF(NOT(ISBLANK($B87:$B91)),L87:L91,""))</f>
      </c>
      <c r="M92" s="76">
        <f ref="M92:M92" t="array">SUM(IF(NOT(ISBLANK($B87:$B91)),M87:M91,""))</f>
      </c>
      <c r="N92" s="76">
        <f ref="N92:N92" t="array">SUM(IF(NOT(ISBLANK($B87:$B91)),N87:N91,""))</f>
      </c>
      <c r="O92" s="76">
        <f ref="O92:O92" t="array">SUM(IF(NOT(ISBLANK($B87:$B91)),O87:O91,""))</f>
      </c>
      <c r="P92" s="77"/>
      <c r="Q92" s="76">
        <f ref="Q92:Q92" t="array">SUM(IF(NOT(ISBLANK($B87:$B91)),Q87:Q91,""))</f>
      </c>
      <c r="R92" s="76">
        <f ref="R92:R92" t="array">SUM(IF(NOT(ISBLANK($B87:$B91)),R87:R91,""))</f>
      </c>
      <c r="S92" s="77"/>
      <c r="T92" s="77"/>
      <c r="U92" s="76">
        <f ref="U92:U92" t="array">SUM(IF(NOT(ISBLANK($B87:$B91)),U87:U91,""))</f>
      </c>
      <c r="V92" s="76">
        <f ref="V92:V92" t="array">SUM(IF(NOT(ISBLANK($B87:$B91)),V87:V91,""))</f>
      </c>
      <c r="W92" s="76">
        <f ref="W92:W92" t="array">SUM(IF(NOT(ISBLANK($B87:$B91)),W87:W91,""))</f>
      </c>
      <c r="X92" s="77"/>
      <c r="Y92" s="76">
        <f ref="Y92:Y92" t="array">SUM(IF(NOT(ISBLANK($B87:$B91)),Y87:Y91,""))</f>
      </c>
      <c r="Z92" s="76">
        <f ref="Z92:Z92" t="array">SUM(IF(NOT(ISBLANK($B87:$B91)),Z87:Z91,""))</f>
      </c>
      <c r="AA92" s="77"/>
      <c r="AB92" s="76">
        <f ref="AB92:AB92" t="array">SUM(IF(NOT(ISBLANK($B87:$B91)),AB87:AB91,""))</f>
      </c>
      <c r="AC92" s="76">
        <f ref="AC92:AC92" t="array">SUM(IF(NOT(ISBLANK($B87:$B91)),AC87:AC91,""))</f>
      </c>
      <c r="AD92" s="77"/>
      <c r="AE92" s="77"/>
      <c r="AF92" s="78"/>
      <c r="AG92" s="79">
        <v>1</v>
      </c>
    </row>
    <row r="93" ht="0" hidden="1">
      <c r="A93" s="50"/>
      <c r="B93" s="51"/>
      <c r="C93" s="51"/>
      <c r="D93" s="80"/>
      <c r="E93" s="80"/>
      <c r="F93" s="80"/>
      <c r="G93" s="81"/>
      <c r="H93" s="81"/>
      <c r="I93" s="81"/>
      <c r="J93" s="53"/>
      <c r="K93" s="54"/>
      <c r="L93" s="54"/>
      <c r="M93" s="54"/>
      <c r="N93" s="53"/>
      <c r="O93" s="55"/>
      <c r="P93" s="82"/>
      <c r="Q93" s="57"/>
      <c r="R93" s="53"/>
      <c r="S93" s="82"/>
      <c r="T93" s="82"/>
      <c r="U93" s="53"/>
      <c r="V93" s="53"/>
      <c r="W93" s="53"/>
      <c r="X93" s="82"/>
      <c r="Y93" s="53"/>
      <c r="Z93" s="53"/>
      <c r="AA93" s="82"/>
      <c r="AB93" s="53"/>
      <c r="AC93" s="53"/>
      <c r="AD93" s="82"/>
      <c r="AE93" s="82"/>
      <c r="AF93" s="83"/>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84">
        <f>IF(COUNTA(M94:M97)=0,"",IF(COUNTA(F94:F97)=0,IF(COUNTA(D94:D97)=0,"Totals - Final","Totals - Estimated"),"Totals - Corrected"))</f>
      </c>
      <c r="B98" s="87">
        <f>IF(ISNA(INDEX(B94:B97,MAX(MATCH(REPT("z",255),B94:B97)))),"",INDEX(B94:B97,MAX(MATCH(REPT("z",255),B94:B97))))</f>
      </c>
      <c r="C98" s="87">
        <f>IF(ISNA(INDEX(C94:C97,MAX(MATCH(REPT("z",255),C94:C97)))),"",INDEX(C94:C97,MAX(MATCH(REPT("z",255),C94:C97))))</f>
      </c>
      <c r="D98" s="87">
        <f>IF(ISNA(INDEX(A94:A97,MAX(MATCH(REPT("z",255),A94:A97)))),"",INDEX(A94:A97,MAX(MATCH(REPT("z",255),A94:A97))))</f>
      </c>
      <c r="E98" s="85"/>
      <c r="F98" s="85"/>
      <c r="G98" s="86"/>
      <c r="H98" s="86"/>
      <c r="I98" s="86"/>
      <c r="J98" s="76">
        <f ref="J98:J98" t="array">SUM(IF(NOT(ISBLANK($B93:$B97)),J93:J97,""))</f>
      </c>
      <c r="K98" s="76">
        <f ref="K98:K98" t="array">SUM(IF(NOT(ISBLANK($B93:$B97)),K93:K97,""))</f>
      </c>
      <c r="L98" s="76">
        <f ref="L98:L98" t="array">SUM(IF(NOT(ISBLANK($B93:$B97)),L93:L97,""))</f>
      </c>
      <c r="M98" s="76">
        <f ref="M98:M98" t="array">SUM(IF(NOT(ISBLANK($B93:$B97)),M93:M97,""))</f>
      </c>
      <c r="N98" s="76">
        <f ref="N98:N98" t="array">SUM(IF(NOT(ISBLANK($B93:$B97)),N93:N97,""))</f>
      </c>
      <c r="O98" s="76">
        <f ref="O98:O98" t="array">SUM(IF(NOT(ISBLANK($B93:$B97)),O93:O97,""))</f>
      </c>
      <c r="P98" s="77"/>
      <c r="Q98" s="76">
        <f ref="Q98:Q98" t="array">SUM(IF(NOT(ISBLANK($B93:$B97)),Q93:Q97,""))</f>
      </c>
      <c r="R98" s="76">
        <f ref="R98:R98" t="array">SUM(IF(NOT(ISBLANK($B93:$B97)),R93:R97,""))</f>
      </c>
      <c r="S98" s="77"/>
      <c r="T98" s="77"/>
      <c r="U98" s="76">
        <f ref="U98:U98" t="array">SUM(IF(NOT(ISBLANK($B93:$B97)),U93:U97,""))</f>
      </c>
      <c r="V98" s="76">
        <f ref="V98:V98" t="array">SUM(IF(NOT(ISBLANK($B93:$B97)),V93:V97,""))</f>
      </c>
      <c r="W98" s="76">
        <f ref="W98:W98" t="array">SUM(IF(NOT(ISBLANK($B93:$B97)),W93:W97,""))</f>
      </c>
      <c r="X98" s="77"/>
      <c r="Y98" s="76">
        <f ref="Y98:Y98" t="array">SUM(IF(NOT(ISBLANK($B93:$B97)),Y93:Y97,""))</f>
      </c>
      <c r="Z98" s="76">
        <f ref="Z98:Z98" t="array">SUM(IF(NOT(ISBLANK($B93:$B97)),Z93:Z97,""))</f>
      </c>
      <c r="AA98" s="77"/>
      <c r="AB98" s="76">
        <f ref="AB98:AB98" t="array">SUM(IF(NOT(ISBLANK($B93:$B97)),AB93:AB97,""))</f>
      </c>
      <c r="AC98" s="76">
        <f ref="AC98:AC98" t="array">SUM(IF(NOT(ISBLANK($B93:$B97)),AC93:AC97,""))</f>
      </c>
      <c r="AD98" s="77"/>
      <c r="AE98" s="77"/>
      <c r="AF98" s="78"/>
      <c r="AG98" s="79">
        <v>1</v>
      </c>
    </row>
    <row r="99" ht="0" hidden="1">
      <c r="A99" s="50"/>
      <c r="B99" s="51"/>
      <c r="C99" s="51"/>
      <c r="D99" s="80"/>
      <c r="E99" s="80"/>
      <c r="F99" s="80"/>
      <c r="G99" s="81"/>
      <c r="H99" s="81"/>
      <c r="I99" s="81"/>
      <c r="J99" s="53"/>
      <c r="K99" s="54"/>
      <c r="L99" s="54"/>
      <c r="M99" s="54"/>
      <c r="N99" s="53"/>
      <c r="O99" s="55"/>
      <c r="P99" s="82"/>
      <c r="Q99" s="57"/>
      <c r="R99" s="53"/>
      <c r="S99" s="82"/>
      <c r="T99" s="82"/>
      <c r="U99" s="53"/>
      <c r="V99" s="53"/>
      <c r="W99" s="53"/>
      <c r="X99" s="82"/>
      <c r="Y99" s="53"/>
      <c r="Z99" s="53"/>
      <c r="AA99" s="82"/>
      <c r="AB99" s="53"/>
      <c r="AC99" s="53"/>
      <c r="AD99" s="82"/>
      <c r="AE99" s="82"/>
      <c r="AF99" s="83"/>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84">
        <f>IF(COUNTA(M100:M103)=0,"",IF(COUNTA(F100:F103)=0,IF(COUNTA(D100:D103)=0,"Totals - Final","Totals - Estimated"),"Totals - Corrected"))</f>
      </c>
      <c r="B104" s="87">
        <f>IF(ISNA(INDEX(B100:B103,MAX(MATCH(REPT("z",255),B100:B103)))),"",INDEX(B100:B103,MAX(MATCH(REPT("z",255),B100:B103))))</f>
      </c>
      <c r="C104" s="87">
        <f>IF(ISNA(INDEX(C100:C103,MAX(MATCH(REPT("z",255),C100:C103)))),"",INDEX(C100:C103,MAX(MATCH(REPT("z",255),C100:C103))))</f>
      </c>
      <c r="D104" s="87">
        <f>IF(ISNA(INDEX(A100:A103,MAX(MATCH(REPT("z",255),A100:A103)))),"",INDEX(A100:A103,MAX(MATCH(REPT("z",255),A100:A103))))</f>
      </c>
      <c r="E104" s="85"/>
      <c r="F104" s="85"/>
      <c r="G104" s="86"/>
      <c r="H104" s="86"/>
      <c r="I104" s="86"/>
      <c r="J104" s="76">
        <f ref="J104:J104" t="array">SUM(IF(NOT(ISBLANK($B99:$B103)),J99:J103,""))</f>
      </c>
      <c r="K104" s="76">
        <f ref="K104:K104" t="array">SUM(IF(NOT(ISBLANK($B99:$B103)),K99:K103,""))</f>
      </c>
      <c r="L104" s="76">
        <f ref="L104:L104" t="array">SUM(IF(NOT(ISBLANK($B99:$B103)),L99:L103,""))</f>
      </c>
      <c r="M104" s="76">
        <f ref="M104:M104" t="array">SUM(IF(NOT(ISBLANK($B99:$B103)),M99:M103,""))</f>
      </c>
      <c r="N104" s="76">
        <f ref="N104:N104" t="array">SUM(IF(NOT(ISBLANK($B99:$B103)),N99:N103,""))</f>
      </c>
      <c r="O104" s="76">
        <f ref="O104:O104" t="array">SUM(IF(NOT(ISBLANK($B99:$B103)),O99:O103,""))</f>
      </c>
      <c r="P104" s="77"/>
      <c r="Q104" s="76">
        <f ref="Q104:Q104" t="array">SUM(IF(NOT(ISBLANK($B99:$B103)),Q99:Q103,""))</f>
      </c>
      <c r="R104" s="76">
        <f ref="R104:R104" t="array">SUM(IF(NOT(ISBLANK($B99:$B103)),R99:R103,""))</f>
      </c>
      <c r="S104" s="77"/>
      <c r="T104" s="77"/>
      <c r="U104" s="76">
        <f ref="U104:U104" t="array">SUM(IF(NOT(ISBLANK($B99:$B103)),U99:U103,""))</f>
      </c>
      <c r="V104" s="76">
        <f ref="V104:V104" t="array">SUM(IF(NOT(ISBLANK($B99:$B103)),V99:V103,""))</f>
      </c>
      <c r="W104" s="76">
        <f ref="W104:W104" t="array">SUM(IF(NOT(ISBLANK($B99:$B103)),W99:W103,""))</f>
      </c>
      <c r="X104" s="77"/>
      <c r="Y104" s="76">
        <f ref="Y104:Y104" t="array">SUM(IF(NOT(ISBLANK($B99:$B103)),Y99:Y103,""))</f>
      </c>
      <c r="Z104" s="76">
        <f ref="Z104:Z104" t="array">SUM(IF(NOT(ISBLANK($B99:$B103)),Z99:Z103,""))</f>
      </c>
      <c r="AA104" s="77"/>
      <c r="AB104" s="76">
        <f ref="AB104:AB104" t="array">SUM(IF(NOT(ISBLANK($B99:$B103)),AB99:AB103,""))</f>
      </c>
      <c r="AC104" s="76">
        <f ref="AC104:AC104" t="array">SUM(IF(NOT(ISBLANK($B99:$B103)),AC99:AC103,""))</f>
      </c>
      <c r="AD104" s="77"/>
      <c r="AE104" s="77"/>
      <c r="AF104" s="78"/>
      <c r="AG104" s="79">
        <v>1</v>
      </c>
    </row>
    <row r="105" ht="0" hidden="1">
      <c r="A105" s="50"/>
      <c r="B105" s="51"/>
      <c r="C105" s="51"/>
      <c r="D105" s="80"/>
      <c r="E105" s="80"/>
      <c r="F105" s="80"/>
      <c r="G105" s="81"/>
      <c r="H105" s="81"/>
      <c r="I105" s="81"/>
      <c r="J105" s="53"/>
      <c r="K105" s="54"/>
      <c r="L105" s="54"/>
      <c r="M105" s="54"/>
      <c r="N105" s="53"/>
      <c r="O105" s="55"/>
      <c r="P105" s="82"/>
      <c r="Q105" s="57"/>
      <c r="R105" s="53"/>
      <c r="S105" s="82"/>
      <c r="T105" s="82"/>
      <c r="U105" s="53"/>
      <c r="V105" s="53"/>
      <c r="W105" s="53"/>
      <c r="X105" s="82"/>
      <c r="Y105" s="53"/>
      <c r="Z105" s="53"/>
      <c r="AA105" s="82"/>
      <c r="AB105" s="53"/>
      <c r="AC105" s="53"/>
      <c r="AD105" s="82"/>
      <c r="AE105" s="82"/>
      <c r="AF105" s="83"/>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84">
        <f>IF(COUNTA(M106:M109)=0,"",IF(COUNTA(F106:F109)=0,IF(COUNTA(D106:D109)=0,"Totals - Final","Totals - Estimated"),"Totals - Corrected"))</f>
      </c>
      <c r="B110" s="87">
        <f>IF(ISNA(INDEX(B106:B109,MAX(MATCH(REPT("z",255),B106:B109)))),"",INDEX(B106:B109,MAX(MATCH(REPT("z",255),B106:B109))))</f>
      </c>
      <c r="C110" s="87">
        <f>IF(ISNA(INDEX(C106:C109,MAX(MATCH(REPT("z",255),C106:C109)))),"",INDEX(C106:C109,MAX(MATCH(REPT("z",255),C106:C109))))</f>
      </c>
      <c r="D110" s="87">
        <f>IF(ISNA(INDEX(A106:A109,MAX(MATCH(REPT("z",255),A106:A109)))),"",INDEX(A106:A109,MAX(MATCH(REPT("z",255),A106:A109))))</f>
      </c>
      <c r="E110" s="85"/>
      <c r="F110" s="85"/>
      <c r="G110" s="86"/>
      <c r="H110" s="86"/>
      <c r="I110" s="86"/>
      <c r="J110" s="76">
        <f ref="J110:J110" t="array">SUM(IF(NOT(ISBLANK($B105:$B109)),J105:J109,""))</f>
      </c>
      <c r="K110" s="76">
        <f ref="K110:K110" t="array">SUM(IF(NOT(ISBLANK($B105:$B109)),K105:K109,""))</f>
      </c>
      <c r="L110" s="76">
        <f ref="L110:L110" t="array">SUM(IF(NOT(ISBLANK($B105:$B109)),L105:L109,""))</f>
      </c>
      <c r="M110" s="76">
        <f ref="M110:M110" t="array">SUM(IF(NOT(ISBLANK($B105:$B109)),M105:M109,""))</f>
      </c>
      <c r="N110" s="76">
        <f ref="N110:N110" t="array">SUM(IF(NOT(ISBLANK($B105:$B109)),N105:N109,""))</f>
      </c>
      <c r="O110" s="76">
        <f ref="O110:O110" t="array">SUM(IF(NOT(ISBLANK($B105:$B109)),O105:O109,""))</f>
      </c>
      <c r="P110" s="77"/>
      <c r="Q110" s="76">
        <f ref="Q110:Q110" t="array">SUM(IF(NOT(ISBLANK($B105:$B109)),Q105:Q109,""))</f>
      </c>
      <c r="R110" s="76">
        <f ref="R110:R110" t="array">SUM(IF(NOT(ISBLANK($B105:$B109)),R105:R109,""))</f>
      </c>
      <c r="S110" s="77"/>
      <c r="T110" s="77"/>
      <c r="U110" s="76">
        <f ref="U110:U110" t="array">SUM(IF(NOT(ISBLANK($B105:$B109)),U105:U109,""))</f>
      </c>
      <c r="V110" s="76">
        <f ref="V110:V110" t="array">SUM(IF(NOT(ISBLANK($B105:$B109)),V105:V109,""))</f>
      </c>
      <c r="W110" s="76">
        <f ref="W110:W110" t="array">SUM(IF(NOT(ISBLANK($B105:$B109)),W105:W109,""))</f>
      </c>
      <c r="X110" s="77"/>
      <c r="Y110" s="76">
        <f ref="Y110:Y110" t="array">SUM(IF(NOT(ISBLANK($B105:$B109)),Y105:Y109,""))</f>
      </c>
      <c r="Z110" s="76">
        <f ref="Z110:Z110" t="array">SUM(IF(NOT(ISBLANK($B105:$B109)),Z105:Z109,""))</f>
      </c>
      <c r="AA110" s="77"/>
      <c r="AB110" s="76">
        <f ref="AB110:AB110" t="array">SUM(IF(NOT(ISBLANK($B105:$B109)),AB105:AB109,""))</f>
      </c>
      <c r="AC110" s="76">
        <f ref="AC110:AC110" t="array">SUM(IF(NOT(ISBLANK($B105:$B109)),AC105:AC109,""))</f>
      </c>
      <c r="AD110" s="77"/>
      <c r="AE110" s="77"/>
      <c r="AF110" s="78"/>
      <c r="AG110" s="79">
        <v>1</v>
      </c>
    </row>
    <row r="111" ht="0" hidden="1">
      <c r="A111" s="50"/>
      <c r="B111" s="51"/>
      <c r="C111" s="51"/>
      <c r="D111" s="80"/>
      <c r="E111" s="80"/>
      <c r="F111" s="80"/>
      <c r="G111" s="81"/>
      <c r="H111" s="81"/>
      <c r="I111" s="81"/>
      <c r="J111" s="53"/>
      <c r="K111" s="54"/>
      <c r="L111" s="54"/>
      <c r="M111" s="54"/>
      <c r="N111" s="53"/>
      <c r="O111" s="55"/>
      <c r="P111" s="82"/>
      <c r="Q111" s="57"/>
      <c r="R111" s="53"/>
      <c r="S111" s="82"/>
      <c r="T111" s="82"/>
      <c r="U111" s="53"/>
      <c r="V111" s="53"/>
      <c r="W111" s="53"/>
      <c r="X111" s="82"/>
      <c r="Y111" s="53"/>
      <c r="Z111" s="53"/>
      <c r="AA111" s="82"/>
      <c r="AB111" s="53"/>
      <c r="AC111" s="53"/>
      <c r="AD111" s="82"/>
      <c r="AE111" s="82"/>
      <c r="AF111" s="83"/>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84">
        <f>IF(COUNTA(M112:M115)=0,"",IF(COUNTA(F112:F115)=0,IF(COUNTA(D112:D115)=0,"Totals - Final","Totals - Estimated"),"Totals - Corrected"))</f>
      </c>
      <c r="B116" s="87">
        <f>IF(ISNA(INDEX(B112:B115,MAX(MATCH(REPT("z",255),B112:B115)))),"",INDEX(B112:B115,MAX(MATCH(REPT("z",255),B112:B115))))</f>
      </c>
      <c r="C116" s="87">
        <f>IF(ISNA(INDEX(C112:C115,MAX(MATCH(REPT("z",255),C112:C115)))),"",INDEX(C112:C115,MAX(MATCH(REPT("z",255),C112:C115))))</f>
      </c>
      <c r="D116" s="87">
        <f>IF(ISNA(INDEX(A112:A115,MAX(MATCH(REPT("z",255),A112:A115)))),"",INDEX(A112:A115,MAX(MATCH(REPT("z",255),A112:A115))))</f>
      </c>
      <c r="E116" s="85"/>
      <c r="F116" s="85"/>
      <c r="G116" s="86"/>
      <c r="H116" s="86"/>
      <c r="I116" s="86"/>
      <c r="J116" s="76">
        <f ref="J116:J116" t="array">SUM(IF(NOT(ISBLANK($B111:$B115)),J111:J115,""))</f>
      </c>
      <c r="K116" s="76">
        <f ref="K116:K116" t="array">SUM(IF(NOT(ISBLANK($B111:$B115)),K111:K115,""))</f>
      </c>
      <c r="L116" s="76">
        <f ref="L116:L116" t="array">SUM(IF(NOT(ISBLANK($B111:$B115)),L111:L115,""))</f>
      </c>
      <c r="M116" s="76">
        <f ref="M116:M116" t="array">SUM(IF(NOT(ISBLANK($B111:$B115)),M111:M115,""))</f>
      </c>
      <c r="N116" s="76">
        <f ref="N116:N116" t="array">SUM(IF(NOT(ISBLANK($B111:$B115)),N111:N115,""))</f>
      </c>
      <c r="O116" s="76">
        <f ref="O116:O116" t="array">SUM(IF(NOT(ISBLANK($B111:$B115)),O111:O115,""))</f>
      </c>
      <c r="P116" s="77"/>
      <c r="Q116" s="76">
        <f ref="Q116:Q116" t="array">SUM(IF(NOT(ISBLANK($B111:$B115)),Q111:Q115,""))</f>
      </c>
      <c r="R116" s="76">
        <f ref="R116:R116" t="array">SUM(IF(NOT(ISBLANK($B111:$B115)),R111:R115,""))</f>
      </c>
      <c r="S116" s="77"/>
      <c r="T116" s="77"/>
      <c r="U116" s="76">
        <f ref="U116:U116" t="array">SUM(IF(NOT(ISBLANK($B111:$B115)),U111:U115,""))</f>
      </c>
      <c r="V116" s="76">
        <f ref="V116:V116" t="array">SUM(IF(NOT(ISBLANK($B111:$B115)),V111:V115,""))</f>
      </c>
      <c r="W116" s="76">
        <f ref="W116:W116" t="array">SUM(IF(NOT(ISBLANK($B111:$B115)),W111:W115,""))</f>
      </c>
      <c r="X116" s="77"/>
      <c r="Y116" s="76">
        <f ref="Y116:Y116" t="array">SUM(IF(NOT(ISBLANK($B111:$B115)),Y111:Y115,""))</f>
      </c>
      <c r="Z116" s="76">
        <f ref="Z116:Z116" t="array">SUM(IF(NOT(ISBLANK($B111:$B115)),Z111:Z115,""))</f>
      </c>
      <c r="AA116" s="77"/>
      <c r="AB116" s="76">
        <f ref="AB116:AB116" t="array">SUM(IF(NOT(ISBLANK($B111:$B115)),AB111:AB115,""))</f>
      </c>
      <c r="AC116" s="76">
        <f ref="AC116:AC116" t="array">SUM(IF(NOT(ISBLANK($B111:$B115)),AC111:AC115,""))</f>
      </c>
      <c r="AD116" s="77"/>
      <c r="AE116" s="77"/>
      <c r="AF116" s="78"/>
      <c r="AG116" s="79">
        <v>1</v>
      </c>
    </row>
    <row r="117" ht="0" hidden="1">
      <c r="A117" s="50"/>
      <c r="B117" s="51"/>
      <c r="C117" s="51"/>
      <c r="D117" s="80"/>
      <c r="E117" s="80"/>
      <c r="F117" s="80"/>
      <c r="G117" s="81"/>
      <c r="H117" s="81"/>
      <c r="I117" s="81"/>
      <c r="J117" s="53"/>
      <c r="K117" s="54"/>
      <c r="L117" s="54"/>
      <c r="M117" s="54"/>
      <c r="N117" s="53"/>
      <c r="O117" s="55"/>
      <c r="P117" s="82"/>
      <c r="Q117" s="57"/>
      <c r="R117" s="53"/>
      <c r="S117" s="82"/>
      <c r="T117" s="82"/>
      <c r="U117" s="53"/>
      <c r="V117" s="53"/>
      <c r="W117" s="53"/>
      <c r="X117" s="82"/>
      <c r="Y117" s="53"/>
      <c r="Z117" s="53"/>
      <c r="AA117" s="82"/>
      <c r="AB117" s="53"/>
      <c r="AC117" s="53"/>
      <c r="AD117" s="82"/>
      <c r="AE117" s="82"/>
      <c r="AF117" s="83"/>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84">
        <f>IF(COUNTA(M118:M121)=0,"",IF(COUNTA(F118:F121)=0,IF(COUNTA(D118:D121)=0,"Totals - Final","Totals - Estimated"),"Totals - Corrected"))</f>
      </c>
      <c r="B122" s="87">
        <f>IF(ISNA(INDEX(B118:B121,MAX(MATCH(REPT("z",255),B118:B121)))),"",INDEX(B118:B121,MAX(MATCH(REPT("z",255),B118:B121))))</f>
      </c>
      <c r="C122" s="87">
        <f>IF(ISNA(INDEX(C118:C121,MAX(MATCH(REPT("z",255),C118:C121)))),"",INDEX(C118:C121,MAX(MATCH(REPT("z",255),C118:C121))))</f>
      </c>
      <c r="D122" s="87">
        <f>IF(ISNA(INDEX(A118:A121,MAX(MATCH(REPT("z",255),A118:A121)))),"",INDEX(A118:A121,MAX(MATCH(REPT("z",255),A118:A121))))</f>
      </c>
      <c r="E122" s="85"/>
      <c r="F122" s="85"/>
      <c r="G122" s="86"/>
      <c r="H122" s="86"/>
      <c r="I122" s="86"/>
      <c r="J122" s="76">
        <f ref="J122:J122" t="array">SUM(IF(NOT(ISBLANK($B117:$B121)),J117:J121,""))</f>
      </c>
      <c r="K122" s="76">
        <f ref="K122:K122" t="array">SUM(IF(NOT(ISBLANK($B117:$B121)),K117:K121,""))</f>
      </c>
      <c r="L122" s="76">
        <f ref="L122:L122" t="array">SUM(IF(NOT(ISBLANK($B117:$B121)),L117:L121,""))</f>
      </c>
      <c r="M122" s="76">
        <f ref="M122:M122" t="array">SUM(IF(NOT(ISBLANK($B117:$B121)),M117:M121,""))</f>
      </c>
      <c r="N122" s="76">
        <f ref="N122:N122" t="array">SUM(IF(NOT(ISBLANK($B117:$B121)),N117:N121,""))</f>
      </c>
      <c r="O122" s="76">
        <f ref="O122:O122" t="array">SUM(IF(NOT(ISBLANK($B117:$B121)),O117:O121,""))</f>
      </c>
      <c r="P122" s="77"/>
      <c r="Q122" s="76">
        <f ref="Q122:Q122" t="array">SUM(IF(NOT(ISBLANK($B117:$B121)),Q117:Q121,""))</f>
      </c>
      <c r="R122" s="76">
        <f ref="R122:R122" t="array">SUM(IF(NOT(ISBLANK($B117:$B121)),R117:R121,""))</f>
      </c>
      <c r="S122" s="77"/>
      <c r="T122" s="77"/>
      <c r="U122" s="76">
        <f ref="U122:U122" t="array">SUM(IF(NOT(ISBLANK($B117:$B121)),U117:U121,""))</f>
      </c>
      <c r="V122" s="76">
        <f ref="V122:V122" t="array">SUM(IF(NOT(ISBLANK($B117:$B121)),V117:V121,""))</f>
      </c>
      <c r="W122" s="76">
        <f ref="W122:W122" t="array">SUM(IF(NOT(ISBLANK($B117:$B121)),W117:W121,""))</f>
      </c>
      <c r="X122" s="77"/>
      <c r="Y122" s="76">
        <f ref="Y122:Y122" t="array">SUM(IF(NOT(ISBLANK($B117:$B121)),Y117:Y121,""))</f>
      </c>
      <c r="Z122" s="76">
        <f ref="Z122:Z122" t="array">SUM(IF(NOT(ISBLANK($B117:$B121)),Z117:Z121,""))</f>
      </c>
      <c r="AA122" s="77"/>
      <c r="AB122" s="76">
        <f ref="AB122:AB122" t="array">SUM(IF(NOT(ISBLANK($B117:$B121)),AB117:AB121,""))</f>
      </c>
      <c r="AC122" s="76">
        <f ref="AC122:AC122" t="array">SUM(IF(NOT(ISBLANK($B117:$B121)),AC117:AC121,""))</f>
      </c>
      <c r="AD122" s="77"/>
      <c r="AE122" s="77"/>
      <c r="AF122" s="78"/>
      <c r="AG122" s="79">
        <v>1</v>
      </c>
    </row>
    <row r="123" ht="0" hidden="1">
      <c r="A123" s="50"/>
      <c r="B123" s="51"/>
      <c r="C123" s="51"/>
      <c r="D123" s="80"/>
      <c r="E123" s="80"/>
      <c r="F123" s="80"/>
      <c r="G123" s="81"/>
      <c r="H123" s="81"/>
      <c r="I123" s="81"/>
      <c r="J123" s="53"/>
      <c r="K123" s="54"/>
      <c r="L123" s="54"/>
      <c r="M123" s="54"/>
      <c r="N123" s="53"/>
      <c r="O123" s="55"/>
      <c r="P123" s="82"/>
      <c r="Q123" s="57"/>
      <c r="R123" s="53"/>
      <c r="S123" s="82"/>
      <c r="T123" s="82"/>
      <c r="U123" s="53"/>
      <c r="V123" s="53"/>
      <c r="W123" s="53"/>
      <c r="X123" s="82"/>
      <c r="Y123" s="53"/>
      <c r="Z123" s="53"/>
      <c r="AA123" s="82"/>
      <c r="AB123" s="53"/>
      <c r="AC123" s="53"/>
      <c r="AD123" s="82"/>
      <c r="AE123" s="82"/>
      <c r="AF123" s="83"/>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84">
        <f>IF(COUNTA(M124:M127)=0,"",IF(COUNTA(F124:F127)=0,IF(COUNTA(D124:D127)=0,"Totals - Final","Totals - Estimated"),"Totals - Corrected"))</f>
      </c>
      <c r="B128" s="87">
        <f>IF(ISNA(INDEX(B124:B127,MAX(MATCH(REPT("z",255),B124:B127)))),"",INDEX(B124:B127,MAX(MATCH(REPT("z",255),B124:B127))))</f>
      </c>
      <c r="C128" s="87">
        <f>IF(ISNA(INDEX(C124:C127,MAX(MATCH(REPT("z",255),C124:C127)))),"",INDEX(C124:C127,MAX(MATCH(REPT("z",255),C124:C127))))</f>
      </c>
      <c r="D128" s="87">
        <f>IF(ISNA(INDEX(A124:A127,MAX(MATCH(REPT("z",255),A124:A127)))),"",INDEX(A124:A127,MAX(MATCH(REPT("z",255),A124:A127))))</f>
      </c>
      <c r="E128" s="85"/>
      <c r="F128" s="85"/>
      <c r="G128" s="86"/>
      <c r="H128" s="86"/>
      <c r="I128" s="86"/>
      <c r="J128" s="76">
        <f ref="J128:J128" t="array">SUM(IF(NOT(ISBLANK($B123:$B127)),J123:J127,""))</f>
      </c>
      <c r="K128" s="76">
        <f ref="K128:K128" t="array">SUM(IF(NOT(ISBLANK($B123:$B127)),K123:K127,""))</f>
      </c>
      <c r="L128" s="76">
        <f ref="L128:L128" t="array">SUM(IF(NOT(ISBLANK($B123:$B127)),L123:L127,""))</f>
      </c>
      <c r="M128" s="76">
        <f ref="M128:M128" t="array">SUM(IF(NOT(ISBLANK($B123:$B127)),M123:M127,""))</f>
      </c>
      <c r="N128" s="76">
        <f ref="N128:N128" t="array">SUM(IF(NOT(ISBLANK($B123:$B127)),N123:N127,""))</f>
      </c>
      <c r="O128" s="76">
        <f ref="O128:O128" t="array">SUM(IF(NOT(ISBLANK($B123:$B127)),O123:O127,""))</f>
      </c>
      <c r="P128" s="77"/>
      <c r="Q128" s="76">
        <f ref="Q128:Q128" t="array">SUM(IF(NOT(ISBLANK($B123:$B127)),Q123:Q127,""))</f>
      </c>
      <c r="R128" s="76">
        <f ref="R128:R128" t="array">SUM(IF(NOT(ISBLANK($B123:$B127)),R123:R127,""))</f>
      </c>
      <c r="S128" s="77"/>
      <c r="T128" s="77"/>
      <c r="U128" s="76">
        <f ref="U128:U128" t="array">SUM(IF(NOT(ISBLANK($B123:$B127)),U123:U127,""))</f>
      </c>
      <c r="V128" s="76">
        <f ref="V128:V128" t="array">SUM(IF(NOT(ISBLANK($B123:$B127)),V123:V127,""))</f>
      </c>
      <c r="W128" s="76">
        <f ref="W128:W128" t="array">SUM(IF(NOT(ISBLANK($B123:$B127)),W123:W127,""))</f>
      </c>
      <c r="X128" s="77"/>
      <c r="Y128" s="76">
        <f ref="Y128:Y128" t="array">SUM(IF(NOT(ISBLANK($B123:$B127)),Y123:Y127,""))</f>
      </c>
      <c r="Z128" s="76">
        <f ref="Z128:Z128" t="array">SUM(IF(NOT(ISBLANK($B123:$B127)),Z123:Z127,""))</f>
      </c>
      <c r="AA128" s="77"/>
      <c r="AB128" s="76">
        <f ref="AB128:AB128" t="array">SUM(IF(NOT(ISBLANK($B123:$B127)),AB123:AB127,""))</f>
      </c>
      <c r="AC128" s="76">
        <f ref="AC128:AC128" t="array">SUM(IF(NOT(ISBLANK($B123:$B127)),AC123:AC127,""))</f>
      </c>
      <c r="AD128" s="77"/>
      <c r="AE128" s="77"/>
      <c r="AF128" s="78"/>
      <c r="AG128" s="79">
        <v>1</v>
      </c>
    </row>
    <row r="129" ht="0" hidden="1">
      <c r="A129" s="50"/>
      <c r="B129" s="51"/>
      <c r="C129" s="51"/>
      <c r="D129" s="80"/>
      <c r="E129" s="80"/>
      <c r="F129" s="80"/>
      <c r="G129" s="81"/>
      <c r="H129" s="81"/>
      <c r="I129" s="81"/>
      <c r="J129" s="53"/>
      <c r="K129" s="54"/>
      <c r="L129" s="54"/>
      <c r="M129" s="54"/>
      <c r="N129" s="53"/>
      <c r="O129" s="55"/>
      <c r="P129" s="82"/>
      <c r="Q129" s="57"/>
      <c r="R129" s="53"/>
      <c r="S129" s="82"/>
      <c r="T129" s="82"/>
      <c r="U129" s="53"/>
      <c r="V129" s="53"/>
      <c r="W129" s="53"/>
      <c r="X129" s="82"/>
      <c r="Y129" s="53"/>
      <c r="Z129" s="53"/>
      <c r="AA129" s="82"/>
      <c r="AB129" s="53"/>
      <c r="AC129" s="53"/>
      <c r="AD129" s="82"/>
      <c r="AE129" s="82"/>
      <c r="AF129" s="83"/>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84">
        <f>IF(COUNTA(M130:M133)=0,"",IF(COUNTA(F130:F133)=0,IF(COUNTA(D130:D133)=0,"Totals - Final","Totals - Estimated"),"Totals - Corrected"))</f>
      </c>
      <c r="B134" s="87">
        <f>IF(ISNA(INDEX(B130:B133,MAX(MATCH(REPT("z",255),B130:B133)))),"",INDEX(B130:B133,MAX(MATCH(REPT("z",255),B130:B133))))</f>
      </c>
      <c r="C134" s="87">
        <f>IF(ISNA(INDEX(C130:C133,MAX(MATCH(REPT("z",255),C130:C133)))),"",INDEX(C130:C133,MAX(MATCH(REPT("z",255),C130:C133))))</f>
      </c>
      <c r="D134" s="87">
        <f>IF(ISNA(INDEX(A130:A133,MAX(MATCH(REPT("z",255),A130:A133)))),"",INDEX(A130:A133,MAX(MATCH(REPT("z",255),A130:A133))))</f>
      </c>
      <c r="E134" s="85"/>
      <c r="F134" s="85"/>
      <c r="G134" s="86"/>
      <c r="H134" s="86"/>
      <c r="I134" s="86"/>
      <c r="J134" s="76">
        <f ref="J134:J134" t="array">SUM(IF(NOT(ISBLANK($B129:$B133)),J129:J133,""))</f>
      </c>
      <c r="K134" s="76">
        <f ref="K134:K134" t="array">SUM(IF(NOT(ISBLANK($B129:$B133)),K129:K133,""))</f>
      </c>
      <c r="L134" s="76">
        <f ref="L134:L134" t="array">SUM(IF(NOT(ISBLANK($B129:$B133)),L129:L133,""))</f>
      </c>
      <c r="M134" s="76">
        <f ref="M134:M134" t="array">SUM(IF(NOT(ISBLANK($B129:$B133)),M129:M133,""))</f>
      </c>
      <c r="N134" s="76">
        <f ref="N134:N134" t="array">SUM(IF(NOT(ISBLANK($B129:$B133)),N129:N133,""))</f>
      </c>
      <c r="O134" s="76">
        <f ref="O134:O134" t="array">SUM(IF(NOT(ISBLANK($B129:$B133)),O129:O133,""))</f>
      </c>
      <c r="P134" s="77"/>
      <c r="Q134" s="76">
        <f ref="Q134:Q134" t="array">SUM(IF(NOT(ISBLANK($B129:$B133)),Q129:Q133,""))</f>
      </c>
      <c r="R134" s="76">
        <f ref="R134:R134" t="array">SUM(IF(NOT(ISBLANK($B129:$B133)),R129:R133,""))</f>
      </c>
      <c r="S134" s="77"/>
      <c r="T134" s="77"/>
      <c r="U134" s="76">
        <f ref="U134:U134" t="array">SUM(IF(NOT(ISBLANK($B129:$B133)),U129:U133,""))</f>
      </c>
      <c r="V134" s="76">
        <f ref="V134:V134" t="array">SUM(IF(NOT(ISBLANK($B129:$B133)),V129:V133,""))</f>
      </c>
      <c r="W134" s="76">
        <f ref="W134:W134" t="array">SUM(IF(NOT(ISBLANK($B129:$B133)),W129:W133,""))</f>
      </c>
      <c r="X134" s="77"/>
      <c r="Y134" s="76">
        <f ref="Y134:Y134" t="array">SUM(IF(NOT(ISBLANK($B129:$B133)),Y129:Y133,""))</f>
      </c>
      <c r="Z134" s="76">
        <f ref="Z134:Z134" t="array">SUM(IF(NOT(ISBLANK($B129:$B133)),Z129:Z133,""))</f>
      </c>
      <c r="AA134" s="77"/>
      <c r="AB134" s="76">
        <f ref="AB134:AB134" t="array">SUM(IF(NOT(ISBLANK($B129:$B133)),AB129:AB133,""))</f>
      </c>
      <c r="AC134" s="76">
        <f ref="AC134:AC134" t="array">SUM(IF(NOT(ISBLANK($B129:$B133)),AC129:AC133,""))</f>
      </c>
      <c r="AD134" s="77"/>
      <c r="AE134" s="77"/>
      <c r="AF134" s="78"/>
      <c r="AG134" s="79">
        <v>1</v>
      </c>
    </row>
    <row r="135" ht="0" hidden="1">
      <c r="A135" s="50"/>
      <c r="B135" s="51"/>
      <c r="C135" s="51"/>
      <c r="D135" s="80"/>
      <c r="E135" s="80"/>
      <c r="F135" s="80"/>
      <c r="G135" s="81"/>
      <c r="H135" s="81"/>
      <c r="I135" s="81"/>
      <c r="J135" s="53"/>
      <c r="K135" s="54"/>
      <c r="L135" s="54"/>
      <c r="M135" s="54"/>
      <c r="N135" s="53"/>
      <c r="O135" s="55"/>
      <c r="P135" s="82"/>
      <c r="Q135" s="57"/>
      <c r="R135" s="53"/>
      <c r="S135" s="82"/>
      <c r="T135" s="82"/>
      <c r="U135" s="53"/>
      <c r="V135" s="53"/>
      <c r="W135" s="53"/>
      <c r="X135" s="82"/>
      <c r="Y135" s="53"/>
      <c r="Z135" s="53"/>
      <c r="AA135" s="82"/>
      <c r="AB135" s="53"/>
      <c r="AC135" s="53"/>
      <c r="AD135" s="82"/>
      <c r="AE135" s="82"/>
      <c r="AF135" s="83"/>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84">
        <f>IF(COUNTA(M136:M139)=0,"",IF(COUNTA(F136:F139)=0,IF(COUNTA(D136:D139)=0,"Totals - Final","Totals - Estimated"),"Totals - Corrected"))</f>
      </c>
      <c r="B140" s="87">
        <f>IF(ISNA(INDEX(B136:B139,MAX(MATCH(REPT("z",255),B136:B139)))),"",INDEX(B136:B139,MAX(MATCH(REPT("z",255),B136:B139))))</f>
      </c>
      <c r="C140" s="87">
        <f>IF(ISNA(INDEX(C136:C139,MAX(MATCH(REPT("z",255),C136:C139)))),"",INDEX(C136:C139,MAX(MATCH(REPT("z",255),C136:C139))))</f>
      </c>
      <c r="D140" s="87">
        <f>IF(ISNA(INDEX(A136:A139,MAX(MATCH(REPT("z",255),A136:A139)))),"",INDEX(A136:A139,MAX(MATCH(REPT("z",255),A136:A139))))</f>
      </c>
      <c r="E140" s="85"/>
      <c r="F140" s="85"/>
      <c r="G140" s="86"/>
      <c r="H140" s="86"/>
      <c r="I140" s="86"/>
      <c r="J140" s="76">
        <f ref="J140:J140" t="array">SUM(IF(NOT(ISBLANK($B135:$B139)),J135:J139,""))</f>
      </c>
      <c r="K140" s="76">
        <f ref="K140:K140" t="array">SUM(IF(NOT(ISBLANK($B135:$B139)),K135:K139,""))</f>
      </c>
      <c r="L140" s="76">
        <f ref="L140:L140" t="array">SUM(IF(NOT(ISBLANK($B135:$B139)),L135:L139,""))</f>
      </c>
      <c r="M140" s="76">
        <f ref="M140:M140" t="array">SUM(IF(NOT(ISBLANK($B135:$B139)),M135:M139,""))</f>
      </c>
      <c r="N140" s="76">
        <f ref="N140:N140" t="array">SUM(IF(NOT(ISBLANK($B135:$B139)),N135:N139,""))</f>
      </c>
      <c r="O140" s="76">
        <f ref="O140:O140" t="array">SUM(IF(NOT(ISBLANK($B135:$B139)),O135:O139,""))</f>
      </c>
      <c r="P140" s="77"/>
      <c r="Q140" s="76">
        <f ref="Q140:Q140" t="array">SUM(IF(NOT(ISBLANK($B135:$B139)),Q135:Q139,""))</f>
      </c>
      <c r="R140" s="76">
        <f ref="R140:R140" t="array">SUM(IF(NOT(ISBLANK($B135:$B139)),R135:R139,""))</f>
      </c>
      <c r="S140" s="77"/>
      <c r="T140" s="77"/>
      <c r="U140" s="76">
        <f ref="U140:U140" t="array">SUM(IF(NOT(ISBLANK($B135:$B139)),U135:U139,""))</f>
      </c>
      <c r="V140" s="76">
        <f ref="V140:V140" t="array">SUM(IF(NOT(ISBLANK($B135:$B139)),V135:V139,""))</f>
      </c>
      <c r="W140" s="76">
        <f ref="W140:W140" t="array">SUM(IF(NOT(ISBLANK($B135:$B139)),W135:W139,""))</f>
      </c>
      <c r="X140" s="77"/>
      <c r="Y140" s="76">
        <f ref="Y140:Y140" t="array">SUM(IF(NOT(ISBLANK($B135:$B139)),Y135:Y139,""))</f>
      </c>
      <c r="Z140" s="76">
        <f ref="Z140:Z140" t="array">SUM(IF(NOT(ISBLANK($B135:$B139)),Z135:Z139,""))</f>
      </c>
      <c r="AA140" s="77"/>
      <c r="AB140" s="76">
        <f ref="AB140:AB140" t="array">SUM(IF(NOT(ISBLANK($B135:$B139)),AB135:AB139,""))</f>
      </c>
      <c r="AC140" s="76">
        <f ref="AC140:AC140" t="array">SUM(IF(NOT(ISBLANK($B135:$B139)),AC135:AC139,""))</f>
      </c>
      <c r="AD140" s="77"/>
      <c r="AE140" s="77"/>
      <c r="AF140" s="78"/>
      <c r="AG140" s="79">
        <v>1</v>
      </c>
    </row>
    <row r="141" ht="0" hidden="1">
      <c r="A141" s="50"/>
      <c r="B141" s="51"/>
      <c r="C141" s="51"/>
      <c r="D141" s="80"/>
      <c r="E141" s="80"/>
      <c r="F141" s="80"/>
      <c r="G141" s="81"/>
      <c r="H141" s="81"/>
      <c r="I141" s="81"/>
      <c r="J141" s="53"/>
      <c r="K141" s="54"/>
      <c r="L141" s="54"/>
      <c r="M141" s="54"/>
      <c r="N141" s="53"/>
      <c r="O141" s="55"/>
      <c r="P141" s="82"/>
      <c r="Q141" s="57"/>
      <c r="R141" s="53"/>
      <c r="S141" s="82"/>
      <c r="T141" s="82"/>
      <c r="U141" s="53"/>
      <c r="V141" s="53"/>
      <c r="W141" s="53"/>
      <c r="X141" s="82"/>
      <c r="Y141" s="53"/>
      <c r="Z141" s="53"/>
      <c r="AA141" s="82"/>
      <c r="AB141" s="53"/>
      <c r="AC141" s="53"/>
      <c r="AD141" s="82"/>
      <c r="AE141" s="82"/>
      <c r="AF141" s="83"/>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84">
        <f>IF(COUNTA(M142:M145)=0,"",IF(COUNTA(F142:F145)=0,IF(COUNTA(D142:D145)=0,"Totals - Final","Totals - Estimated"),"Totals - Corrected"))</f>
      </c>
      <c r="B146" s="87">
        <f>IF(ISNA(INDEX(B142:B145,MAX(MATCH(REPT("z",255),B142:B145)))),"",INDEX(B142:B145,MAX(MATCH(REPT("z",255),B142:B145))))</f>
      </c>
      <c r="C146" s="87">
        <f>IF(ISNA(INDEX(C142:C145,MAX(MATCH(REPT("z",255),C142:C145)))),"",INDEX(C142:C145,MAX(MATCH(REPT("z",255),C142:C145))))</f>
      </c>
      <c r="D146" s="87">
        <f>IF(ISNA(INDEX(A142:A145,MAX(MATCH(REPT("z",255),A142:A145)))),"",INDEX(A142:A145,MAX(MATCH(REPT("z",255),A142:A145))))</f>
      </c>
      <c r="E146" s="85"/>
      <c r="F146" s="85"/>
      <c r="G146" s="86"/>
      <c r="H146" s="86"/>
      <c r="I146" s="86"/>
      <c r="J146" s="76">
        <f ref="J146:J146" t="array">SUM(IF(NOT(ISBLANK($B141:$B145)),J141:J145,""))</f>
      </c>
      <c r="K146" s="76">
        <f ref="K146:K146" t="array">SUM(IF(NOT(ISBLANK($B141:$B145)),K141:K145,""))</f>
      </c>
      <c r="L146" s="76">
        <f ref="L146:L146" t="array">SUM(IF(NOT(ISBLANK($B141:$B145)),L141:L145,""))</f>
      </c>
      <c r="M146" s="76">
        <f ref="M146:M146" t="array">SUM(IF(NOT(ISBLANK($B141:$B145)),M141:M145,""))</f>
      </c>
      <c r="N146" s="76">
        <f ref="N146:N146" t="array">SUM(IF(NOT(ISBLANK($B141:$B145)),N141:N145,""))</f>
      </c>
      <c r="O146" s="76">
        <f ref="O146:O146" t="array">SUM(IF(NOT(ISBLANK($B141:$B145)),O141:O145,""))</f>
      </c>
      <c r="P146" s="77"/>
      <c r="Q146" s="76">
        <f ref="Q146:Q146" t="array">SUM(IF(NOT(ISBLANK($B141:$B145)),Q141:Q145,""))</f>
      </c>
      <c r="R146" s="76">
        <f ref="R146:R146" t="array">SUM(IF(NOT(ISBLANK($B141:$B145)),R141:R145,""))</f>
      </c>
      <c r="S146" s="77"/>
      <c r="T146" s="77"/>
      <c r="U146" s="76">
        <f ref="U146:U146" t="array">SUM(IF(NOT(ISBLANK($B141:$B145)),U141:U145,""))</f>
      </c>
      <c r="V146" s="76">
        <f ref="V146:V146" t="array">SUM(IF(NOT(ISBLANK($B141:$B145)),V141:V145,""))</f>
      </c>
      <c r="W146" s="76">
        <f ref="W146:W146" t="array">SUM(IF(NOT(ISBLANK($B141:$B145)),W141:W145,""))</f>
      </c>
      <c r="X146" s="77"/>
      <c r="Y146" s="76">
        <f ref="Y146:Y146" t="array">SUM(IF(NOT(ISBLANK($B141:$B145)),Y141:Y145,""))</f>
      </c>
      <c r="Z146" s="76">
        <f ref="Z146:Z146" t="array">SUM(IF(NOT(ISBLANK($B141:$B145)),Z141:Z145,""))</f>
      </c>
      <c r="AA146" s="77"/>
      <c r="AB146" s="76">
        <f ref="AB146:AB146" t="array">SUM(IF(NOT(ISBLANK($B141:$B145)),AB141:AB145,""))</f>
      </c>
      <c r="AC146" s="76">
        <f ref="AC146:AC146" t="array">SUM(IF(NOT(ISBLANK($B141:$B145)),AC141:AC145,""))</f>
      </c>
      <c r="AD146" s="77"/>
      <c r="AE146" s="77"/>
      <c r="AF146" s="78"/>
      <c r="AG146" s="79">
        <v>1</v>
      </c>
    </row>
    <row r="147" ht="0" hidden="1">
      <c r="A147" s="50"/>
      <c r="B147" s="51"/>
      <c r="C147" s="51"/>
      <c r="D147" s="80"/>
      <c r="E147" s="80"/>
      <c r="F147" s="80"/>
      <c r="G147" s="81"/>
      <c r="H147" s="81"/>
      <c r="I147" s="81"/>
      <c r="J147" s="53"/>
      <c r="K147" s="54"/>
      <c r="L147" s="54"/>
      <c r="M147" s="54"/>
      <c r="N147" s="53"/>
      <c r="O147" s="55"/>
      <c r="P147" s="82"/>
      <c r="Q147" s="57"/>
      <c r="R147" s="53"/>
      <c r="S147" s="82"/>
      <c r="T147" s="82"/>
      <c r="U147" s="53"/>
      <c r="V147" s="53"/>
      <c r="W147" s="53"/>
      <c r="X147" s="82"/>
      <c r="Y147" s="53"/>
      <c r="Z147" s="53"/>
      <c r="AA147" s="82"/>
      <c r="AB147" s="53"/>
      <c r="AC147" s="53"/>
      <c r="AD147" s="82"/>
      <c r="AE147" s="82"/>
      <c r="AF147" s="83"/>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84">
        <f>IF(COUNTA(M148:M151)=0,"",IF(COUNTA(F148:F151)=0,IF(COUNTA(D148:D151)=0,"Totals - Final","Totals - Estimated"),"Totals - Corrected"))</f>
      </c>
      <c r="B152" s="87">
        <f>IF(ISNA(INDEX(B148:B151,MAX(MATCH(REPT("z",255),B148:B151)))),"",INDEX(B148:B151,MAX(MATCH(REPT("z",255),B148:B151))))</f>
      </c>
      <c r="C152" s="87">
        <f>IF(ISNA(INDEX(C148:C151,MAX(MATCH(REPT("z",255),C148:C151)))),"",INDEX(C148:C151,MAX(MATCH(REPT("z",255),C148:C151))))</f>
      </c>
      <c r="D152" s="87">
        <f>IF(ISNA(INDEX(A148:A151,MAX(MATCH(REPT("z",255),A148:A151)))),"",INDEX(A148:A151,MAX(MATCH(REPT("z",255),A148:A151))))</f>
      </c>
      <c r="E152" s="85"/>
      <c r="F152" s="85"/>
      <c r="G152" s="86"/>
      <c r="H152" s="86"/>
      <c r="I152" s="86"/>
      <c r="J152" s="76">
        <f ref="J152:J152" t="array">SUM(IF(NOT(ISBLANK($B147:$B151)),J147:J151,""))</f>
      </c>
      <c r="K152" s="76">
        <f ref="K152:K152" t="array">SUM(IF(NOT(ISBLANK($B147:$B151)),K147:K151,""))</f>
      </c>
      <c r="L152" s="76">
        <f ref="L152:L152" t="array">SUM(IF(NOT(ISBLANK($B147:$B151)),L147:L151,""))</f>
      </c>
      <c r="M152" s="76">
        <f ref="M152:M152" t="array">SUM(IF(NOT(ISBLANK($B147:$B151)),M147:M151,""))</f>
      </c>
      <c r="N152" s="76">
        <f ref="N152:N152" t="array">SUM(IF(NOT(ISBLANK($B147:$B151)),N147:N151,""))</f>
      </c>
      <c r="O152" s="76">
        <f ref="O152:O152" t="array">SUM(IF(NOT(ISBLANK($B147:$B151)),O147:O151,""))</f>
      </c>
      <c r="P152" s="77"/>
      <c r="Q152" s="76">
        <f ref="Q152:Q152" t="array">SUM(IF(NOT(ISBLANK($B147:$B151)),Q147:Q151,""))</f>
      </c>
      <c r="R152" s="76">
        <f ref="R152:R152" t="array">SUM(IF(NOT(ISBLANK($B147:$B151)),R147:R151,""))</f>
      </c>
      <c r="S152" s="77"/>
      <c r="T152" s="77"/>
      <c r="U152" s="76">
        <f ref="U152:U152" t="array">SUM(IF(NOT(ISBLANK($B147:$B151)),U147:U151,""))</f>
      </c>
      <c r="V152" s="76">
        <f ref="V152:V152" t="array">SUM(IF(NOT(ISBLANK($B147:$B151)),V147:V151,""))</f>
      </c>
      <c r="W152" s="76">
        <f ref="W152:W152" t="array">SUM(IF(NOT(ISBLANK($B147:$B151)),W147:W151,""))</f>
      </c>
      <c r="X152" s="77"/>
      <c r="Y152" s="76">
        <f ref="Y152:Y152" t="array">SUM(IF(NOT(ISBLANK($B147:$B151)),Y147:Y151,""))</f>
      </c>
      <c r="Z152" s="76">
        <f ref="Z152:Z152" t="array">SUM(IF(NOT(ISBLANK($B147:$B151)),Z147:Z151,""))</f>
      </c>
      <c r="AA152" s="77"/>
      <c r="AB152" s="76">
        <f ref="AB152:AB152" t="array">SUM(IF(NOT(ISBLANK($B147:$B151)),AB147:AB151,""))</f>
      </c>
      <c r="AC152" s="76">
        <f ref="AC152:AC152" t="array">SUM(IF(NOT(ISBLANK($B147:$B151)),AC147:AC151,""))</f>
      </c>
      <c r="AD152" s="77"/>
      <c r="AE152" s="77"/>
      <c r="AF152" s="78"/>
      <c r="AG152" s="79">
        <v>1</v>
      </c>
    </row>
    <row r="153" ht="0" hidden="1">
      <c r="A153" s="50"/>
      <c r="B153" s="51"/>
      <c r="C153" s="51"/>
      <c r="D153" s="80"/>
      <c r="E153" s="80"/>
      <c r="F153" s="80"/>
      <c r="G153" s="81"/>
      <c r="H153" s="81"/>
      <c r="I153" s="81"/>
      <c r="J153" s="53"/>
      <c r="K153" s="54"/>
      <c r="L153" s="54"/>
      <c r="M153" s="54"/>
      <c r="N153" s="53"/>
      <c r="O153" s="55"/>
      <c r="P153" s="82"/>
      <c r="Q153" s="57"/>
      <c r="R153" s="53"/>
      <c r="S153" s="82"/>
      <c r="T153" s="82"/>
      <c r="U153" s="53"/>
      <c r="V153" s="53"/>
      <c r="W153" s="53"/>
      <c r="X153" s="82"/>
      <c r="Y153" s="53"/>
      <c r="Z153" s="53"/>
      <c r="AA153" s="82"/>
      <c r="AB153" s="53"/>
      <c r="AC153" s="53"/>
      <c r="AD153" s="82"/>
      <c r="AE153" s="82"/>
      <c r="AF153" s="83"/>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84">
        <f>IF(COUNTA(M154:M157)=0,"",IF(COUNTA(F154:F157)=0,IF(COUNTA(D154:D157)=0,"Totals - Final","Totals - Estimated"),"Totals - Corrected"))</f>
      </c>
      <c r="B158" s="87">
        <f>IF(ISNA(INDEX(B154:B157,MAX(MATCH(REPT("z",255),B154:B157)))),"",INDEX(B154:B157,MAX(MATCH(REPT("z",255),B154:B157))))</f>
      </c>
      <c r="C158" s="87">
        <f>IF(ISNA(INDEX(C154:C157,MAX(MATCH(REPT("z",255),C154:C157)))),"",INDEX(C154:C157,MAX(MATCH(REPT("z",255),C154:C157))))</f>
      </c>
      <c r="D158" s="87">
        <f>IF(ISNA(INDEX(A154:A157,MAX(MATCH(REPT("z",255),A154:A157)))),"",INDEX(A154:A157,MAX(MATCH(REPT("z",255),A154:A157))))</f>
      </c>
      <c r="E158" s="85"/>
      <c r="F158" s="85"/>
      <c r="G158" s="86"/>
      <c r="H158" s="86"/>
      <c r="I158" s="86"/>
      <c r="J158" s="76">
        <f ref="J158:J158" t="array">SUM(IF(NOT(ISBLANK($B153:$B157)),J153:J157,""))</f>
      </c>
      <c r="K158" s="76">
        <f ref="K158:K158" t="array">SUM(IF(NOT(ISBLANK($B153:$B157)),K153:K157,""))</f>
      </c>
      <c r="L158" s="76">
        <f ref="L158:L158" t="array">SUM(IF(NOT(ISBLANK($B153:$B157)),L153:L157,""))</f>
      </c>
      <c r="M158" s="76">
        <f ref="M158:M158" t="array">SUM(IF(NOT(ISBLANK($B153:$B157)),M153:M157,""))</f>
      </c>
      <c r="N158" s="76">
        <f ref="N158:N158" t="array">SUM(IF(NOT(ISBLANK($B153:$B157)),N153:N157,""))</f>
      </c>
      <c r="O158" s="76">
        <f ref="O158:O158" t="array">SUM(IF(NOT(ISBLANK($B153:$B157)),O153:O157,""))</f>
      </c>
      <c r="P158" s="77"/>
      <c r="Q158" s="76">
        <f ref="Q158:Q158" t="array">SUM(IF(NOT(ISBLANK($B153:$B157)),Q153:Q157,""))</f>
      </c>
      <c r="R158" s="76">
        <f ref="R158:R158" t="array">SUM(IF(NOT(ISBLANK($B153:$B157)),R153:R157,""))</f>
      </c>
      <c r="S158" s="77"/>
      <c r="T158" s="77"/>
      <c r="U158" s="76">
        <f ref="U158:U158" t="array">SUM(IF(NOT(ISBLANK($B153:$B157)),U153:U157,""))</f>
      </c>
      <c r="V158" s="76">
        <f ref="V158:V158" t="array">SUM(IF(NOT(ISBLANK($B153:$B157)),V153:V157,""))</f>
      </c>
      <c r="W158" s="76">
        <f ref="W158:W158" t="array">SUM(IF(NOT(ISBLANK($B153:$B157)),W153:W157,""))</f>
      </c>
      <c r="X158" s="77"/>
      <c r="Y158" s="76">
        <f ref="Y158:Y158" t="array">SUM(IF(NOT(ISBLANK($B153:$B157)),Y153:Y157,""))</f>
      </c>
      <c r="Z158" s="76">
        <f ref="Z158:Z158" t="array">SUM(IF(NOT(ISBLANK($B153:$B157)),Z153:Z157,""))</f>
      </c>
      <c r="AA158" s="77"/>
      <c r="AB158" s="76">
        <f ref="AB158:AB158" t="array">SUM(IF(NOT(ISBLANK($B153:$B157)),AB153:AB157,""))</f>
      </c>
      <c r="AC158" s="76">
        <f ref="AC158:AC158" t="array">SUM(IF(NOT(ISBLANK($B153:$B157)),AC153:AC157,""))</f>
      </c>
      <c r="AD158" s="77"/>
      <c r="AE158" s="77"/>
      <c r="AF158" s="78"/>
      <c r="AG158" s="79">
        <v>1</v>
      </c>
    </row>
    <row r="159" ht="0" hidden="1">
      <c r="A159" s="50"/>
      <c r="B159" s="51"/>
      <c r="C159" s="51"/>
      <c r="D159" s="80"/>
      <c r="E159" s="80"/>
      <c r="F159" s="80"/>
      <c r="G159" s="81"/>
      <c r="H159" s="81"/>
      <c r="I159" s="81"/>
      <c r="J159" s="53"/>
      <c r="K159" s="54"/>
      <c r="L159" s="54"/>
      <c r="M159" s="54"/>
      <c r="N159" s="53"/>
      <c r="O159" s="55"/>
      <c r="P159" s="82"/>
      <c r="Q159" s="57"/>
      <c r="R159" s="53"/>
      <c r="S159" s="82"/>
      <c r="T159" s="82"/>
      <c r="U159" s="53"/>
      <c r="V159" s="53"/>
      <c r="W159" s="53"/>
      <c r="X159" s="82"/>
      <c r="Y159" s="53"/>
      <c r="Z159" s="53"/>
      <c r="AA159" s="82"/>
      <c r="AB159" s="53"/>
      <c r="AC159" s="53"/>
      <c r="AD159" s="82"/>
      <c r="AE159" s="82"/>
      <c r="AF159" s="83"/>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84">
        <f>IF(COUNTA(M160:M163)=0,"",IF(COUNTA(F160:F163)=0,IF(COUNTA(D160:D163)=0,"Totals - Final","Totals - Estimated"),"Totals - Corrected"))</f>
      </c>
      <c r="B164" s="87">
        <f>IF(ISNA(INDEX(B160:B163,MAX(MATCH(REPT("z",255),B160:B163)))),"",INDEX(B160:B163,MAX(MATCH(REPT("z",255),B160:B163))))</f>
      </c>
      <c r="C164" s="87">
        <f>IF(ISNA(INDEX(C160:C163,MAX(MATCH(REPT("z",255),C160:C163)))),"",INDEX(C160:C163,MAX(MATCH(REPT("z",255),C160:C163))))</f>
      </c>
      <c r="D164" s="87">
        <f>IF(ISNA(INDEX(A160:A163,MAX(MATCH(REPT("z",255),A160:A163)))),"",INDEX(A160:A163,MAX(MATCH(REPT("z",255),A160:A163))))</f>
      </c>
      <c r="E164" s="85"/>
      <c r="F164" s="85"/>
      <c r="G164" s="86"/>
      <c r="H164" s="86"/>
      <c r="I164" s="86"/>
      <c r="J164" s="76">
        <f ref="J164:J164" t="array">SUM(IF(NOT(ISBLANK($B159:$B163)),J159:J163,""))</f>
      </c>
      <c r="K164" s="76">
        <f ref="K164:K164" t="array">SUM(IF(NOT(ISBLANK($B159:$B163)),K159:K163,""))</f>
      </c>
      <c r="L164" s="76">
        <f ref="L164:L164" t="array">SUM(IF(NOT(ISBLANK($B159:$B163)),L159:L163,""))</f>
      </c>
      <c r="M164" s="76">
        <f ref="M164:M164" t="array">SUM(IF(NOT(ISBLANK($B159:$B163)),M159:M163,""))</f>
      </c>
      <c r="N164" s="76">
        <f ref="N164:N164" t="array">SUM(IF(NOT(ISBLANK($B159:$B163)),N159:N163,""))</f>
      </c>
      <c r="O164" s="76">
        <f ref="O164:O164" t="array">SUM(IF(NOT(ISBLANK($B159:$B163)),O159:O163,""))</f>
      </c>
      <c r="P164" s="77"/>
      <c r="Q164" s="76">
        <f ref="Q164:Q164" t="array">SUM(IF(NOT(ISBLANK($B159:$B163)),Q159:Q163,""))</f>
      </c>
      <c r="R164" s="76">
        <f ref="R164:R164" t="array">SUM(IF(NOT(ISBLANK($B159:$B163)),R159:R163,""))</f>
      </c>
      <c r="S164" s="77"/>
      <c r="T164" s="77"/>
      <c r="U164" s="76">
        <f ref="U164:U164" t="array">SUM(IF(NOT(ISBLANK($B159:$B163)),U159:U163,""))</f>
      </c>
      <c r="V164" s="76">
        <f ref="V164:V164" t="array">SUM(IF(NOT(ISBLANK($B159:$B163)),V159:V163,""))</f>
      </c>
      <c r="W164" s="76">
        <f ref="W164:W164" t="array">SUM(IF(NOT(ISBLANK($B159:$B163)),W159:W163,""))</f>
      </c>
      <c r="X164" s="77"/>
      <c r="Y164" s="76">
        <f ref="Y164:Y164" t="array">SUM(IF(NOT(ISBLANK($B159:$B163)),Y159:Y163,""))</f>
      </c>
      <c r="Z164" s="76">
        <f ref="Z164:Z164" t="array">SUM(IF(NOT(ISBLANK($B159:$B163)),Z159:Z163,""))</f>
      </c>
      <c r="AA164" s="77"/>
      <c r="AB164" s="76">
        <f ref="AB164:AB164" t="array">SUM(IF(NOT(ISBLANK($B159:$B163)),AB159:AB163,""))</f>
      </c>
      <c r="AC164" s="76">
        <f ref="AC164:AC164" t="array">SUM(IF(NOT(ISBLANK($B159:$B163)),AC159:AC163,""))</f>
      </c>
      <c r="AD164" s="77"/>
      <c r="AE164" s="77"/>
      <c r="AF164" s="78"/>
      <c r="AG164" s="79">
        <v>1</v>
      </c>
    </row>
    <row r="165" ht="0" hidden="1">
      <c r="A165" s="50"/>
      <c r="B165" s="51"/>
      <c r="C165" s="51"/>
      <c r="D165" s="80"/>
      <c r="E165" s="80"/>
      <c r="F165" s="80"/>
      <c r="G165" s="81"/>
      <c r="H165" s="81"/>
      <c r="I165" s="81"/>
      <c r="J165" s="53"/>
      <c r="K165" s="54"/>
      <c r="L165" s="54"/>
      <c r="M165" s="54"/>
      <c r="N165" s="53"/>
      <c r="O165" s="55"/>
      <c r="P165" s="82"/>
      <c r="Q165" s="57"/>
      <c r="R165" s="53"/>
      <c r="S165" s="82"/>
      <c r="T165" s="82"/>
      <c r="U165" s="53"/>
      <c r="V165" s="53"/>
      <c r="W165" s="53"/>
      <c r="X165" s="82"/>
      <c r="Y165" s="53"/>
      <c r="Z165" s="53"/>
      <c r="AA165" s="82"/>
      <c r="AB165" s="53"/>
      <c r="AC165" s="53"/>
      <c r="AD165" s="82"/>
      <c r="AE165" s="82"/>
      <c r="AF165" s="83"/>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84">
        <f>IF(COUNTA(M166:M169)=0,"",IF(COUNTA(F166:F169)=0,IF(COUNTA(D166:D169)=0,"Totals - Final","Totals - Estimated"),"Totals - Corrected"))</f>
      </c>
      <c r="B170" s="87">
        <f>IF(ISNA(INDEX(B166:B169,MAX(MATCH(REPT("z",255),B166:B169)))),"",INDEX(B166:B169,MAX(MATCH(REPT("z",255),B166:B169))))</f>
      </c>
      <c r="C170" s="87">
        <f>IF(ISNA(INDEX(C166:C169,MAX(MATCH(REPT("z",255),C166:C169)))),"",INDEX(C166:C169,MAX(MATCH(REPT("z",255),C166:C169))))</f>
      </c>
      <c r="D170" s="87">
        <f>IF(ISNA(INDEX(A166:A169,MAX(MATCH(REPT("z",255),A166:A169)))),"",INDEX(A166:A169,MAX(MATCH(REPT("z",255),A166:A169))))</f>
      </c>
      <c r="E170" s="85"/>
      <c r="F170" s="85"/>
      <c r="G170" s="86"/>
      <c r="H170" s="86"/>
      <c r="I170" s="86"/>
      <c r="J170" s="76">
        <f ref="J170:J170" t="array">SUM(IF(NOT(ISBLANK($B165:$B169)),J165:J169,""))</f>
      </c>
      <c r="K170" s="76">
        <f ref="K170:K170" t="array">SUM(IF(NOT(ISBLANK($B165:$B169)),K165:K169,""))</f>
      </c>
      <c r="L170" s="76">
        <f ref="L170:L170" t="array">SUM(IF(NOT(ISBLANK($B165:$B169)),L165:L169,""))</f>
      </c>
      <c r="M170" s="76">
        <f ref="M170:M170" t="array">SUM(IF(NOT(ISBLANK($B165:$B169)),M165:M169,""))</f>
      </c>
      <c r="N170" s="76">
        <f ref="N170:N170" t="array">SUM(IF(NOT(ISBLANK($B165:$B169)),N165:N169,""))</f>
      </c>
      <c r="O170" s="76">
        <f ref="O170:O170" t="array">SUM(IF(NOT(ISBLANK($B165:$B169)),O165:O169,""))</f>
      </c>
      <c r="P170" s="77"/>
      <c r="Q170" s="76">
        <f ref="Q170:Q170" t="array">SUM(IF(NOT(ISBLANK($B165:$B169)),Q165:Q169,""))</f>
      </c>
      <c r="R170" s="76">
        <f ref="R170:R170" t="array">SUM(IF(NOT(ISBLANK($B165:$B169)),R165:R169,""))</f>
      </c>
      <c r="S170" s="77"/>
      <c r="T170" s="77"/>
      <c r="U170" s="76">
        <f ref="U170:U170" t="array">SUM(IF(NOT(ISBLANK($B165:$B169)),U165:U169,""))</f>
      </c>
      <c r="V170" s="76">
        <f ref="V170:V170" t="array">SUM(IF(NOT(ISBLANK($B165:$B169)),V165:V169,""))</f>
      </c>
      <c r="W170" s="76">
        <f ref="W170:W170" t="array">SUM(IF(NOT(ISBLANK($B165:$B169)),W165:W169,""))</f>
      </c>
      <c r="X170" s="77"/>
      <c r="Y170" s="76">
        <f ref="Y170:Y170" t="array">SUM(IF(NOT(ISBLANK($B165:$B169)),Y165:Y169,""))</f>
      </c>
      <c r="Z170" s="76">
        <f ref="Z170:Z170" t="array">SUM(IF(NOT(ISBLANK($B165:$B169)),Z165:Z169,""))</f>
      </c>
      <c r="AA170" s="77"/>
      <c r="AB170" s="76">
        <f ref="AB170:AB170" t="array">SUM(IF(NOT(ISBLANK($B165:$B169)),AB165:AB169,""))</f>
      </c>
      <c r="AC170" s="76">
        <f ref="AC170:AC170" t="array">SUM(IF(NOT(ISBLANK($B165:$B169)),AC165:AC169,""))</f>
      </c>
      <c r="AD170" s="77"/>
      <c r="AE170" s="77"/>
      <c r="AF170" s="78"/>
      <c r="AG170" s="79">
        <v>1</v>
      </c>
    </row>
    <row r="171" ht="0" hidden="1">
      <c r="A171" s="50"/>
      <c r="B171" s="51"/>
      <c r="C171" s="51"/>
      <c r="D171" s="80"/>
      <c r="E171" s="80"/>
      <c r="F171" s="80"/>
      <c r="G171" s="81"/>
      <c r="H171" s="81"/>
      <c r="I171" s="81"/>
      <c r="J171" s="53"/>
      <c r="K171" s="54"/>
      <c r="L171" s="54"/>
      <c r="M171" s="54"/>
      <c r="N171" s="53"/>
      <c r="O171" s="55"/>
      <c r="P171" s="82"/>
      <c r="Q171" s="57"/>
      <c r="R171" s="53"/>
      <c r="S171" s="82"/>
      <c r="T171" s="82"/>
      <c r="U171" s="53"/>
      <c r="V171" s="53"/>
      <c r="W171" s="53"/>
      <c r="X171" s="82"/>
      <c r="Y171" s="53"/>
      <c r="Z171" s="53"/>
      <c r="AA171" s="82"/>
      <c r="AB171" s="53"/>
      <c r="AC171" s="53"/>
      <c r="AD171" s="82"/>
      <c r="AE171" s="82"/>
      <c r="AF171" s="83"/>
      <c r="AG171" s="38"/>
    </row>
    <row r="172">
      <c r="A172" s="60"/>
      <c r="B172" s="61"/>
      <c r="C172" s="61"/>
      <c r="D172" s="62"/>
      <c r="E172" s="62"/>
      <c r="F172" s="62"/>
      <c r="G172" s="63"/>
      <c r="H172" s="63"/>
      <c r="I172" s="63"/>
      <c r="J172" s="64"/>
      <c r="K172" s="54"/>
      <c r="L172" s="54"/>
      <c r="M172" s="54"/>
      <c r="N172" s="64"/>
      <c r="O172" s="65"/>
      <c r="P172" s="56"/>
      <c r="Q172" s="66"/>
      <c r="R172" s="64"/>
      <c r="S172" s="56"/>
      <c r="T172" s="56"/>
      <c r="U172" s="64"/>
      <c r="V172" s="64"/>
      <c r="W172" s="64"/>
      <c r="X172" s="56"/>
      <c r="Y172" s="64"/>
      <c r="Z172" s="64"/>
      <c r="AA172" s="56"/>
      <c r="AB172" s="64"/>
      <c r="AC172" s="64"/>
      <c r="AD172" s="56"/>
      <c r="AE172" s="56"/>
      <c r="AF172" s="67"/>
      <c r="AG172" s="38"/>
    </row>
    <row r="173">
      <c r="A173" s="60"/>
      <c r="B173" s="61"/>
      <c r="C173" s="61"/>
      <c r="D173" s="62"/>
      <c r="E173" s="62"/>
      <c r="F173" s="62"/>
      <c r="G173" s="63"/>
      <c r="H173" s="63"/>
      <c r="I173" s="63"/>
      <c r="J173" s="64"/>
      <c r="K173" s="54"/>
      <c r="L173" s="54"/>
      <c r="M173" s="54"/>
      <c r="N173" s="64"/>
      <c r="O173" s="65"/>
      <c r="P173" s="56"/>
      <c r="Q173" s="66"/>
      <c r="R173" s="64"/>
      <c r="S173" s="56"/>
      <c r="T173" s="56"/>
      <c r="U173" s="64"/>
      <c r="V173" s="64"/>
      <c r="W173" s="64"/>
      <c r="X173" s="56"/>
      <c r="Y173" s="64"/>
      <c r="Z173" s="64"/>
      <c r="AA173" s="56"/>
      <c r="AB173" s="64"/>
      <c r="AC173" s="64"/>
      <c r="AD173" s="56"/>
      <c r="AE173" s="56"/>
      <c r="AF173" s="67"/>
      <c r="AG173" s="38"/>
    </row>
    <row r="174">
      <c r="A174" s="72"/>
      <c r="B174" s="73"/>
      <c r="C174" s="73"/>
      <c r="D174" s="74"/>
      <c r="E174" s="74"/>
      <c r="F174" s="74"/>
      <c r="G174" s="75"/>
      <c r="H174" s="75"/>
      <c r="I174" s="75"/>
      <c r="J174" s="54"/>
      <c r="K174" s="54"/>
      <c r="L174" s="54"/>
      <c r="M174" s="54"/>
      <c r="N174" s="54"/>
      <c r="O174" s="68"/>
      <c r="P174" s="69"/>
      <c r="Q174" s="70"/>
      <c r="R174" s="54"/>
      <c r="S174" s="69"/>
      <c r="T174" s="69"/>
      <c r="U174" s="54"/>
      <c r="V174" s="54"/>
      <c r="W174" s="54"/>
      <c r="X174" s="69"/>
      <c r="Y174" s="54"/>
      <c r="Z174" s="54"/>
      <c r="AA174" s="69"/>
      <c r="AB174" s="54"/>
      <c r="AC174" s="54"/>
      <c r="AD174" s="69"/>
      <c r="AE174" s="69"/>
      <c r="AF174" s="71"/>
      <c r="AG174" s="38"/>
    </row>
    <row r="175">
      <c r="A175" s="72"/>
      <c r="B175" s="73"/>
      <c r="C175" s="73"/>
      <c r="D175" s="74"/>
      <c r="E175" s="74"/>
      <c r="F175" s="74"/>
      <c r="G175" s="75"/>
      <c r="H175" s="75"/>
      <c r="I175" s="75"/>
      <c r="J175" s="54"/>
      <c r="K175" s="54"/>
      <c r="L175" s="54"/>
      <c r="M175" s="54"/>
      <c r="N175" s="54"/>
      <c r="O175" s="68"/>
      <c r="P175" s="69"/>
      <c r="Q175" s="70"/>
      <c r="R175" s="54"/>
      <c r="S175" s="69"/>
      <c r="T175" s="69"/>
      <c r="U175" s="54"/>
      <c r="V175" s="54"/>
      <c r="W175" s="54"/>
      <c r="X175" s="69"/>
      <c r="Y175" s="54"/>
      <c r="Z175" s="54"/>
      <c r="AA175" s="69"/>
      <c r="AB175" s="54"/>
      <c r="AC175" s="54"/>
      <c r="AD175" s="69"/>
      <c r="AE175" s="69"/>
      <c r="AF175" s="71"/>
      <c r="AG175" s="38"/>
    </row>
    <row r="176">
      <c r="A176" s="84">
        <f>IF(COUNTA(M172:M175)=0,"",IF(COUNTA(F172:F175)=0,IF(COUNTA(D172:D175)=0,"Totals - Final","Totals - Estimated"),"Totals - Corrected"))</f>
      </c>
      <c r="B176" s="87">
        <f>IF(ISNA(INDEX(B172:B175,MAX(MATCH(REPT("z",255),B172:B175)))),"",INDEX(B172:B175,MAX(MATCH(REPT("z",255),B172:B175))))</f>
      </c>
      <c r="C176" s="87">
        <f>IF(ISNA(INDEX(C172:C175,MAX(MATCH(REPT("z",255),C172:C175)))),"",INDEX(C172:C175,MAX(MATCH(REPT("z",255),C172:C175))))</f>
      </c>
      <c r="D176" s="87">
        <f>IF(ISNA(INDEX(A172:A175,MAX(MATCH(REPT("z",255),A172:A175)))),"",INDEX(A172:A175,MAX(MATCH(REPT("z",255),A172:A175))))</f>
      </c>
      <c r="E176" s="85"/>
      <c r="F176" s="85"/>
      <c r="G176" s="86"/>
      <c r="H176" s="86"/>
      <c r="I176" s="86"/>
      <c r="J176" s="76">
        <f ref="J176:J176" t="array">SUM(IF(NOT(ISBLANK($B171:$B175)),J171:J175,""))</f>
      </c>
      <c r="K176" s="76">
        <f ref="K176:K176" t="array">SUM(IF(NOT(ISBLANK($B171:$B175)),K171:K175,""))</f>
      </c>
      <c r="L176" s="76">
        <f ref="L176:L176" t="array">SUM(IF(NOT(ISBLANK($B171:$B175)),L171:L175,""))</f>
      </c>
      <c r="M176" s="76">
        <f ref="M176:M176" t="array">SUM(IF(NOT(ISBLANK($B171:$B175)),M171:M175,""))</f>
      </c>
      <c r="N176" s="76">
        <f ref="N176:N176" t="array">SUM(IF(NOT(ISBLANK($B171:$B175)),N171:N175,""))</f>
      </c>
      <c r="O176" s="76">
        <f ref="O176:O176" t="array">SUM(IF(NOT(ISBLANK($B171:$B175)),O171:O175,""))</f>
      </c>
      <c r="P176" s="77"/>
      <c r="Q176" s="76">
        <f ref="Q176:Q176" t="array">SUM(IF(NOT(ISBLANK($B171:$B175)),Q171:Q175,""))</f>
      </c>
      <c r="R176" s="76">
        <f ref="R176:R176" t="array">SUM(IF(NOT(ISBLANK($B171:$B175)),R171:R175,""))</f>
      </c>
      <c r="S176" s="77"/>
      <c r="T176" s="77"/>
      <c r="U176" s="76">
        <f ref="U176:U176" t="array">SUM(IF(NOT(ISBLANK($B171:$B175)),U171:U175,""))</f>
      </c>
      <c r="V176" s="76">
        <f ref="V176:V176" t="array">SUM(IF(NOT(ISBLANK($B171:$B175)),V171:V175,""))</f>
      </c>
      <c r="W176" s="76">
        <f ref="W176:W176" t="array">SUM(IF(NOT(ISBLANK($B171:$B175)),W171:W175,""))</f>
      </c>
      <c r="X176" s="77"/>
      <c r="Y176" s="76">
        <f ref="Y176:Y176" t="array">SUM(IF(NOT(ISBLANK($B171:$B175)),Y171:Y175,""))</f>
      </c>
      <c r="Z176" s="76">
        <f ref="Z176:Z176" t="array">SUM(IF(NOT(ISBLANK($B171:$B175)),Z171:Z175,""))</f>
      </c>
      <c r="AA176" s="77"/>
      <c r="AB176" s="76">
        <f ref="AB176:AB176" t="array">SUM(IF(NOT(ISBLANK($B171:$B175)),AB171:AB175,""))</f>
      </c>
      <c r="AC176" s="76">
        <f ref="AC176:AC176" t="array">SUM(IF(NOT(ISBLANK($B171:$B175)),AC171:AC175,""))</f>
      </c>
      <c r="AD176" s="77"/>
      <c r="AE176" s="77"/>
      <c r="AF176" s="78"/>
      <c r="AG176" s="79">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Todd Smith</cp:lastModifiedBy>
  <dcterms:created xsi:type="dcterms:W3CDTF">2012-11-27T14:14:45Z</dcterms:created>
  <dcterms:modified xsi:type="dcterms:W3CDTF">2013-01-18T21:21:09Z</dcterms:modified>
</cp:coreProperties>
</file>