
<file path=[Content_Types].xml><?xml version="1.0" encoding="utf-8"?>
<Types xmlns="http://schemas.openxmlformats.org/package/2006/content-types">
  <Override PartName="/xl/worksheets/sheet12.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comments2.xml" ContentType="application/vnd.openxmlformats-officedocument.spreadsheetml.comments+xml"/>
  <Override PartName="/docProps/app.xml" ContentType="application/vnd.openxmlformats-officedocument.extended-properties+xml"/>
  <Override PartName="/xl/worksheets/sheet7.xml" ContentType="application/vnd.openxmlformats-officedocument.spreadsheetml.worksheet+xml"/>
  <Override PartName="/xl/worksheets/sheet9.xml" ContentType="application/vnd.openxmlformats-officedocument.spreadsheetml.worksheet+xml"/>
  <Override PartName="/xl/charts/chart2.xml" ContentType="application/vnd.openxmlformats-officedocument.drawingml.chart+xml"/>
  <Override PartName="/xl/worksheets/sheet1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workbook.xml" ContentType="application/vnd.openxmlformats-officedocument.spreadsheetml.sheet.main+xml"/>
  <Override PartName="/docProps/core.xml" ContentType="application/vnd.openxmlformats-package.core-properties+xml"/>
  <Default Extension="xml" ContentType="application/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Default Extension="rels" ContentType="application/vnd.openxmlformats-package.relationships+xml"/>
  <Override PartName="/xl/worksheets/sheet6.xml" ContentType="application/vnd.openxmlformats-officedocument.spreadsheetml.worksheet+xml"/>
  <Override PartName="/docProps/custom.xml" ContentType="application/vnd.openxmlformats-officedocument.custom-properties+xml"/>
  <Override PartName="/xl/drawings/drawing1.xml" ContentType="application/vnd.openxmlformats-officedocument.drawing+xml"/>
  <Override PartName="/xl/comments1.xml" ContentType="application/vnd.openxmlformats-officedocument.spreadsheetml.comments+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120" yWindow="20" windowWidth="8700" windowHeight="10200"/>
  </bookViews>
  <sheets>
    <sheet name="Legend" sheetId="14" r:id="rId1"/>
    <sheet name="1,2,4" sheetId="10" r:id="rId2"/>
    <sheet name="Figure 3" sheetId="11" r:id="rId3"/>
    <sheet name="Figure 5" sheetId="12" r:id="rId4"/>
    <sheet name="Figure 6" sheetId="13" r:id="rId5"/>
    <sheet name="Charter Archive File" sheetId="1" r:id="rId6"/>
    <sheet name="Charter Work File" sheetId="8" r:id="rId7"/>
    <sheet name="Sending District" sheetId="2" r:id="rId8"/>
    <sheet name="District Archive File" sheetId="3" r:id="rId9"/>
    <sheet name="Dist Work File" sheetId="9" r:id="rId10"/>
    <sheet name="Dist Food Sv &amp; Capital" sheetId="6" r:id="rId11"/>
    <sheet name="Adult" sheetId="7" r:id="rId12"/>
    <sheet name="Sheet1" sheetId="4" r:id="rId13"/>
  </sheets>
  <definedNames>
    <definedName name="_xlnm._FilterDatabase" localSheetId="5" hidden="1">'Charter Archive File'!$C$1:$C$94</definedName>
    <definedName name="_xlnm._FilterDatabase" localSheetId="7" hidden="1">'Sending District'!$C$1:$C$518</definedName>
    <definedName name="_xlnm.Print_Area" localSheetId="1">'1,2,4'!$A$1:$K$33</definedName>
    <definedName name="_xlnm.Print_Area" localSheetId="12">Sheet1!#REF!</definedName>
  </definedName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H16" i="10"/>
  <c r="F16"/>
  <c r="K13"/>
  <c r="K9"/>
  <c r="K10"/>
  <c r="K11"/>
  <c r="K12"/>
  <c r="K14"/>
  <c r="K28"/>
  <c r="I13"/>
  <c r="G13"/>
  <c r="H18"/>
  <c r="H17"/>
  <c r="F18"/>
  <c r="F17"/>
  <c r="B18"/>
  <c r="B16"/>
  <c r="B19"/>
  <c r="H19"/>
  <c r="F19"/>
  <c r="B17"/>
  <c r="J5"/>
  <c r="I9"/>
  <c r="I10"/>
  <c r="I11"/>
  <c r="I12"/>
  <c r="I14"/>
  <c r="H5"/>
  <c r="I30"/>
  <c r="K30"/>
  <c r="K31"/>
  <c r="K29"/>
  <c r="I28"/>
  <c r="I31"/>
  <c r="I29"/>
  <c r="C13"/>
  <c r="J16"/>
  <c r="J18"/>
  <c r="J17"/>
  <c r="J19"/>
  <c r="C12"/>
  <c r="C9"/>
  <c r="C10"/>
  <c r="C11"/>
  <c r="C14"/>
  <c r="C31"/>
  <c r="C29"/>
  <c r="G9"/>
  <c r="G10"/>
  <c r="G11"/>
  <c r="G12"/>
  <c r="G14"/>
  <c r="G28"/>
  <c r="G29"/>
  <c r="F5"/>
  <c r="G30"/>
  <c r="G31"/>
  <c r="C28"/>
  <c r="C30"/>
  <c r="B5"/>
  <c r="F24"/>
  <c r="B24"/>
  <c r="H24"/>
  <c r="J24"/>
  <c r="J13"/>
  <c r="B13"/>
  <c r="F13"/>
  <c r="H13"/>
  <c r="B9"/>
  <c r="B10"/>
  <c r="B11"/>
  <c r="B12"/>
  <c r="B14"/>
  <c r="B28"/>
  <c r="F10"/>
  <c r="F9"/>
  <c r="F11"/>
  <c r="F12"/>
  <c r="F14"/>
  <c r="F29"/>
  <c r="B30"/>
  <c r="B31"/>
  <c r="B29"/>
  <c r="F22"/>
  <c r="F26"/>
  <c r="F25"/>
  <c r="H12"/>
  <c r="H9"/>
  <c r="H10"/>
  <c r="H11"/>
  <c r="H14"/>
  <c r="H31"/>
  <c r="H29"/>
  <c r="H30"/>
  <c r="B4"/>
  <c r="B6"/>
  <c r="B35"/>
  <c r="B7"/>
  <c r="B22"/>
  <c r="B26"/>
  <c r="B25"/>
  <c r="F31"/>
  <c r="F30"/>
  <c r="F28"/>
  <c r="H22"/>
  <c r="H26"/>
  <c r="H25"/>
  <c r="H28"/>
  <c r="J10"/>
  <c r="J9"/>
  <c r="J11"/>
  <c r="J12"/>
  <c r="J14"/>
  <c r="J29"/>
  <c r="F4"/>
  <c r="F6"/>
  <c r="F7"/>
  <c r="F35"/>
  <c r="H4"/>
  <c r="H6"/>
  <c r="H35"/>
  <c r="H7"/>
  <c r="J22"/>
  <c r="J26"/>
  <c r="J25"/>
  <c r="H23"/>
  <c r="B23"/>
  <c r="F23"/>
  <c r="J30"/>
  <c r="J28"/>
  <c r="J31"/>
  <c r="J23"/>
  <c r="J4"/>
  <c r="J6"/>
  <c r="J35"/>
  <c r="J7"/>
  <c r="L21" i="7"/>
  <c r="L3"/>
  <c r="L15"/>
  <c r="L12"/>
  <c r="L7"/>
  <c r="G59"/>
  <c r="G24"/>
  <c r="AO95" i="1"/>
  <c r="AO8"/>
  <c r="AO94"/>
  <c r="AO93"/>
  <c r="AO92"/>
  <c r="AO91"/>
  <c r="AO90"/>
  <c r="AO89"/>
  <c r="AO88"/>
  <c r="AO87"/>
  <c r="AO86"/>
  <c r="AO85"/>
  <c r="AO84"/>
  <c r="AO83"/>
  <c r="AO82"/>
  <c r="AO81"/>
  <c r="AO80"/>
  <c r="AO79"/>
  <c r="AO78"/>
  <c r="AO77"/>
  <c r="AO76"/>
  <c r="AO75"/>
  <c r="AO74"/>
  <c r="AO73"/>
  <c r="AO72"/>
  <c r="AO71"/>
  <c r="AO70"/>
  <c r="AO69"/>
  <c r="AO68"/>
  <c r="AO67"/>
  <c r="AO66"/>
  <c r="AO65"/>
  <c r="AO64"/>
  <c r="AO63"/>
  <c r="AO62"/>
  <c r="AO61"/>
  <c r="AO60"/>
  <c r="AO59"/>
  <c r="AO58"/>
  <c r="AO57"/>
  <c r="AO56"/>
  <c r="AO55"/>
  <c r="AO54"/>
  <c r="AO53"/>
  <c r="AO52"/>
  <c r="AO51"/>
  <c r="AO50"/>
  <c r="AO49"/>
  <c r="AO48"/>
  <c r="AO47"/>
  <c r="AO46"/>
  <c r="AO45"/>
  <c r="AO44"/>
  <c r="AO43"/>
  <c r="AO42"/>
  <c r="AO41"/>
  <c r="AO40"/>
  <c r="AO39"/>
  <c r="AO38"/>
  <c r="AO37"/>
  <c r="AO36"/>
  <c r="AO35"/>
  <c r="AO34"/>
  <c r="AO33"/>
  <c r="AO32"/>
  <c r="AO31"/>
  <c r="AO30"/>
  <c r="AO29"/>
  <c r="AO28"/>
  <c r="AO27"/>
  <c r="AO26"/>
  <c r="AO25"/>
  <c r="AO24"/>
  <c r="AO23"/>
  <c r="AO22"/>
  <c r="AO21"/>
  <c r="AO20"/>
  <c r="AO19"/>
  <c r="AO18"/>
  <c r="AO17"/>
  <c r="AO16"/>
  <c r="AO15"/>
  <c r="AO14"/>
  <c r="AO13"/>
  <c r="AO12"/>
  <c r="AO11"/>
  <c r="AO10"/>
  <c r="AO9"/>
  <c r="AO7"/>
  <c r="AO6"/>
  <c r="AO5"/>
  <c r="AO4"/>
  <c r="AJ97" i="8"/>
  <c r="AJ183"/>
  <c r="AK170"/>
  <c r="AK171"/>
  <c r="AK172"/>
  <c r="AK173"/>
  <c r="AK174"/>
  <c r="AK175"/>
  <c r="AK176"/>
  <c r="AK177"/>
  <c r="AK178"/>
  <c r="AK179"/>
  <c r="AK180"/>
  <c r="AK181"/>
  <c r="AK182"/>
  <c r="AK183"/>
  <c r="AJ185"/>
  <c r="Y183"/>
  <c r="Y185"/>
  <c r="R183"/>
  <c r="R185"/>
  <c r="O183"/>
  <c r="O185"/>
  <c r="G183"/>
  <c r="G185"/>
  <c r="AK105"/>
  <c r="AK106"/>
  <c r="AK107"/>
  <c r="AK108"/>
  <c r="AK109"/>
  <c r="AK110"/>
  <c r="AK111"/>
  <c r="AK112"/>
  <c r="AK113"/>
  <c r="AK114"/>
  <c r="AK115"/>
  <c r="AK116"/>
  <c r="AK117"/>
  <c r="AK118"/>
  <c r="AK119"/>
  <c r="AK120"/>
  <c r="AK121"/>
  <c r="AK122"/>
  <c r="AK123"/>
  <c r="AK124"/>
  <c r="AK125"/>
  <c r="AK126"/>
  <c r="AK127"/>
  <c r="AK128"/>
  <c r="AK129"/>
  <c r="AK130"/>
  <c r="AK131"/>
  <c r="AK132"/>
  <c r="AK133"/>
  <c r="AK134"/>
  <c r="AK135"/>
  <c r="AK136"/>
  <c r="AK137"/>
  <c r="AK138"/>
  <c r="AK139"/>
  <c r="AK140"/>
  <c r="AK141"/>
  <c r="AK142"/>
  <c r="AK143"/>
  <c r="AK144"/>
  <c r="AK145"/>
  <c r="AK146"/>
  <c r="AK147"/>
  <c r="AK148"/>
  <c r="AK149"/>
  <c r="AK150"/>
  <c r="AK151"/>
  <c r="AK152"/>
  <c r="AK153"/>
  <c r="AK154"/>
  <c r="AK155"/>
  <c r="AK156"/>
  <c r="AK157"/>
  <c r="AK158"/>
  <c r="AK159"/>
  <c r="AK160"/>
  <c r="AK161"/>
  <c r="AK162"/>
  <c r="AK163"/>
  <c r="AJ163"/>
  <c r="AJ165"/>
  <c r="Y163"/>
  <c r="Y165"/>
  <c r="O163"/>
  <c r="O165"/>
  <c r="AJ197"/>
  <c r="B190"/>
  <c r="B191"/>
  <c r="B192"/>
  <c r="B193"/>
  <c r="B194"/>
  <c r="B195"/>
  <c r="B196"/>
  <c r="B197"/>
  <c r="AJ198"/>
  <c r="R197"/>
  <c r="R198"/>
  <c r="O197"/>
  <c r="O198"/>
  <c r="G197"/>
  <c r="G198"/>
  <c r="B170"/>
  <c r="B171"/>
  <c r="B172"/>
  <c r="B173"/>
  <c r="B174"/>
  <c r="B175"/>
  <c r="B176"/>
  <c r="B177"/>
  <c r="B178"/>
  <c r="B179"/>
  <c r="B180"/>
  <c r="B181"/>
  <c r="B182"/>
  <c r="B183"/>
  <c r="AJ184"/>
  <c r="Y184"/>
  <c r="R184"/>
  <c r="O184"/>
  <c r="G184"/>
  <c r="B105"/>
  <c r="B106"/>
  <c r="B107"/>
  <c r="B108"/>
  <c r="B109"/>
  <c r="B110"/>
  <c r="B111"/>
  <c r="B112"/>
  <c r="B113"/>
  <c r="B114"/>
  <c r="B115"/>
  <c r="B116"/>
  <c r="B117"/>
  <c r="B118"/>
  <c r="B119"/>
  <c r="B120"/>
  <c r="B121"/>
  <c r="B122"/>
  <c r="B123"/>
  <c r="B124"/>
  <c r="B125"/>
  <c r="B126"/>
  <c r="B127"/>
  <c r="B128"/>
  <c r="B129"/>
  <c r="B130"/>
  <c r="B131"/>
  <c r="B132"/>
  <c r="B133"/>
  <c r="B134"/>
  <c r="B135"/>
  <c r="B136"/>
  <c r="B137"/>
  <c r="B138"/>
  <c r="B139"/>
  <c r="B140"/>
  <c r="B141"/>
  <c r="B142"/>
  <c r="B143"/>
  <c r="B144"/>
  <c r="B145"/>
  <c r="B146"/>
  <c r="B147"/>
  <c r="B148"/>
  <c r="B149"/>
  <c r="B150"/>
  <c r="B151"/>
  <c r="B152"/>
  <c r="B153"/>
  <c r="B154"/>
  <c r="B155"/>
  <c r="B156"/>
  <c r="B157"/>
  <c r="B158"/>
  <c r="B159"/>
  <c r="B160"/>
  <c r="B161"/>
  <c r="B162"/>
  <c r="B163"/>
  <c r="AJ164"/>
  <c r="Y164"/>
  <c r="R163"/>
  <c r="R164"/>
  <c r="O164"/>
  <c r="G163"/>
  <c r="G164"/>
  <c r="R97"/>
  <c r="B97"/>
  <c r="R98"/>
  <c r="O97"/>
  <c r="O98"/>
  <c r="G97"/>
  <c r="G98"/>
  <c r="K163"/>
  <c r="K183"/>
  <c r="K197"/>
  <c r="K97"/>
  <c r="E197"/>
  <c r="E183"/>
  <c r="E163"/>
  <c r="E97"/>
  <c r="AK193"/>
  <c r="AK93"/>
  <c r="Y197"/>
  <c r="AK196"/>
  <c r="AK195"/>
  <c r="AK194"/>
  <c r="AK190"/>
  <c r="AK191"/>
  <c r="AK192"/>
  <c r="AK197"/>
  <c r="AK96"/>
  <c r="AK95"/>
  <c r="AK94"/>
  <c r="AK4"/>
  <c r="AK5"/>
  <c r="AK6"/>
  <c r="AK7"/>
  <c r="AK8"/>
  <c r="AK9"/>
  <c r="AK10"/>
  <c r="AK11"/>
  <c r="AK12"/>
  <c r="AK13"/>
  <c r="AK14"/>
  <c r="AK15"/>
  <c r="AK16"/>
  <c r="AK17"/>
  <c r="AK18"/>
  <c r="AK19"/>
  <c r="AK20"/>
  <c r="AK21"/>
  <c r="AK22"/>
  <c r="AK23"/>
  <c r="AK24"/>
  <c r="AK25"/>
  <c r="AK26"/>
  <c r="AK27"/>
  <c r="AK28"/>
  <c r="AK29"/>
  <c r="AK30"/>
  <c r="AK31"/>
  <c r="AK32"/>
  <c r="AK33"/>
  <c r="AK34"/>
  <c r="AK35"/>
  <c r="AK36"/>
  <c r="AK37"/>
  <c r="AK38"/>
  <c r="AK39"/>
  <c r="AK40"/>
  <c r="AK41"/>
  <c r="AK42"/>
  <c r="AK43"/>
  <c r="AK44"/>
  <c r="AK45"/>
  <c r="AK46"/>
  <c r="AK47"/>
  <c r="AK48"/>
  <c r="AK49"/>
  <c r="AK50"/>
  <c r="AK51"/>
  <c r="AK52"/>
  <c r="AK53"/>
  <c r="AK54"/>
  <c r="AK55"/>
  <c r="AK56"/>
  <c r="AK57"/>
  <c r="AK58"/>
  <c r="AK59"/>
  <c r="AK60"/>
  <c r="AK61"/>
  <c r="AK62"/>
  <c r="AK63"/>
  <c r="AK64"/>
  <c r="AK65"/>
  <c r="AK66"/>
  <c r="AK67"/>
  <c r="AK68"/>
  <c r="AK69"/>
  <c r="AK70"/>
  <c r="AK71"/>
  <c r="AK72"/>
  <c r="AK73"/>
  <c r="AK74"/>
  <c r="AK75"/>
  <c r="AK76"/>
  <c r="AK77"/>
  <c r="AK78"/>
  <c r="AK79"/>
  <c r="AK80"/>
  <c r="AK81"/>
  <c r="AK82"/>
  <c r="AK83"/>
  <c r="AK84"/>
  <c r="AK85"/>
  <c r="AK86"/>
  <c r="AK87"/>
  <c r="AK88"/>
  <c r="AK89"/>
  <c r="AK90"/>
  <c r="AK91"/>
  <c r="AK92"/>
  <c r="AK97"/>
  <c r="Y97"/>
  <c r="Y99"/>
  <c r="G165"/>
  <c r="R165"/>
  <c r="AJ98"/>
  <c r="R99"/>
  <c r="G99"/>
  <c r="AJ99"/>
  <c r="O99"/>
  <c r="Y98"/>
  <c r="AJ199"/>
  <c r="R199"/>
  <c r="G199"/>
  <c r="O199"/>
  <c r="Y199"/>
  <c r="Y198"/>
  <c r="AK98"/>
  <c r="R5" i="6"/>
  <c r="R6"/>
  <c r="R7"/>
  <c r="R8"/>
  <c r="R9"/>
  <c r="K10"/>
  <c r="R10"/>
  <c r="R11"/>
  <c r="R12"/>
  <c r="R13"/>
  <c r="R14"/>
  <c r="R15"/>
  <c r="R16"/>
  <c r="R17"/>
  <c r="R18"/>
  <c r="R19"/>
  <c r="R20"/>
  <c r="R21"/>
  <c r="R22"/>
  <c r="R23"/>
  <c r="R24"/>
  <c r="R25"/>
  <c r="R26"/>
  <c r="R27"/>
  <c r="R28"/>
  <c r="R29"/>
  <c r="R30"/>
  <c r="R31"/>
  <c r="R32"/>
  <c r="R33"/>
  <c r="R34"/>
  <c r="R35"/>
  <c r="R36"/>
  <c r="R37"/>
  <c r="K38"/>
  <c r="R38"/>
  <c r="R39"/>
  <c r="R42"/>
  <c r="U39"/>
  <c r="T39"/>
  <c r="S39"/>
  <c r="U34"/>
  <c r="T34"/>
  <c r="S34"/>
  <c r="U21"/>
  <c r="T21"/>
  <c r="S21"/>
  <c r="U11"/>
  <c r="T11"/>
  <c r="S11"/>
  <c r="U9"/>
  <c r="T9"/>
  <c r="S9"/>
  <c r="C715" i="9"/>
  <c r="F713"/>
  <c r="E713"/>
  <c r="F703"/>
  <c r="E703"/>
  <c r="F693"/>
  <c r="E693"/>
  <c r="F683"/>
  <c r="E683"/>
  <c r="C685"/>
  <c r="N682"/>
  <c r="N683"/>
  <c r="G712"/>
  <c r="M682"/>
  <c r="M683"/>
  <c r="F712"/>
  <c r="I710"/>
  <c r="I711"/>
  <c r="I715"/>
  <c r="H710"/>
  <c r="G710"/>
  <c r="G711"/>
  <c r="F710"/>
  <c r="F711"/>
  <c r="E710"/>
  <c r="E711"/>
  <c r="E715"/>
  <c r="E716"/>
  <c r="I700"/>
  <c r="I701"/>
  <c r="I705"/>
  <c r="H700"/>
  <c r="H701"/>
  <c r="H705"/>
  <c r="H706"/>
  <c r="G700"/>
  <c r="G701"/>
  <c r="G702"/>
  <c r="G704"/>
  <c r="G705"/>
  <c r="F700"/>
  <c r="F701"/>
  <c r="E700"/>
  <c r="E701"/>
  <c r="I690"/>
  <c r="I691"/>
  <c r="H690"/>
  <c r="H691"/>
  <c r="G690"/>
  <c r="G691"/>
  <c r="G692"/>
  <c r="G695"/>
  <c r="G696"/>
  <c r="F690"/>
  <c r="F691"/>
  <c r="E690"/>
  <c r="H711"/>
  <c r="E691"/>
  <c r="E695"/>
  <c r="E696"/>
  <c r="I680"/>
  <c r="I681"/>
  <c r="H680"/>
  <c r="H681"/>
  <c r="H685"/>
  <c r="G680"/>
  <c r="G681"/>
  <c r="G684"/>
  <c r="G685"/>
  <c r="G686"/>
  <c r="F680"/>
  <c r="F681"/>
  <c r="E680"/>
  <c r="E681"/>
  <c r="E685"/>
  <c r="E686"/>
  <c r="G714"/>
  <c r="F714"/>
  <c r="F704"/>
  <c r="F694"/>
  <c r="F692"/>
  <c r="F695"/>
  <c r="F684"/>
  <c r="F685"/>
  <c r="F686"/>
  <c r="G715"/>
  <c r="G716"/>
  <c r="I716"/>
  <c r="I685"/>
  <c r="I686"/>
  <c r="H695"/>
  <c r="H696"/>
  <c r="H715"/>
  <c r="H716"/>
  <c r="F702"/>
  <c r="F705"/>
  <c r="F706"/>
  <c r="I695"/>
  <c r="I696"/>
  <c r="E705"/>
  <c r="E706"/>
  <c r="H686"/>
  <c r="I706"/>
  <c r="F696"/>
  <c r="J695"/>
  <c r="F697"/>
  <c r="G706"/>
  <c r="J705"/>
  <c r="G707"/>
  <c r="F715"/>
  <c r="J685"/>
  <c r="G687"/>
  <c r="I687"/>
  <c r="H687"/>
  <c r="F687"/>
  <c r="E687"/>
  <c r="E707"/>
  <c r="H707"/>
  <c r="J715"/>
  <c r="F716"/>
  <c r="I697"/>
  <c r="E697"/>
  <c r="H697"/>
  <c r="G697"/>
  <c r="F707"/>
  <c r="I707"/>
  <c r="E717"/>
  <c r="I717"/>
  <c r="H717"/>
  <c r="G717"/>
  <c r="J716"/>
  <c r="F717"/>
  <c r="H430" i="2"/>
  <c r="K430"/>
  <c r="G430"/>
  <c r="I430"/>
  <c r="O254"/>
  <c r="O411"/>
  <c r="O412"/>
  <c r="O413"/>
  <c r="O414"/>
  <c r="D415"/>
  <c r="N414"/>
  <c r="H414"/>
  <c r="K414"/>
  <c r="L414"/>
  <c r="Q414"/>
  <c r="I481"/>
  <c r="H481"/>
  <c r="D482"/>
  <c r="N481"/>
  <c r="D479"/>
  <c r="N478"/>
  <c r="O271"/>
  <c r="O478"/>
  <c r="I478"/>
  <c r="H478"/>
  <c r="K478"/>
  <c r="L478"/>
  <c r="O475"/>
  <c r="I475"/>
  <c r="H475"/>
  <c r="K475"/>
  <c r="L475"/>
  <c r="G475"/>
  <c r="D476"/>
  <c r="N475"/>
  <c r="O472"/>
  <c r="I472"/>
  <c r="H472"/>
  <c r="D473"/>
  <c r="N472"/>
  <c r="K472"/>
  <c r="L472"/>
  <c r="Q472"/>
  <c r="Q473"/>
  <c r="O469"/>
  <c r="D470"/>
  <c r="N469"/>
  <c r="H469"/>
  <c r="K469"/>
  <c r="M469"/>
  <c r="P469"/>
  <c r="I469"/>
  <c r="G469"/>
  <c r="O466"/>
  <c r="I466"/>
  <c r="H466"/>
  <c r="K466"/>
  <c r="M466"/>
  <c r="D467"/>
  <c r="N466"/>
  <c r="D464"/>
  <c r="N463"/>
  <c r="O463"/>
  <c r="H463"/>
  <c r="K463"/>
  <c r="M463"/>
  <c r="P463"/>
  <c r="P464"/>
  <c r="I463"/>
  <c r="O459"/>
  <c r="D461"/>
  <c r="N459"/>
  <c r="H459"/>
  <c r="K459"/>
  <c r="L459"/>
  <c r="Q459"/>
  <c r="O441"/>
  <c r="O427"/>
  <c r="O417"/>
  <c r="O402"/>
  <c r="O403"/>
  <c r="O397"/>
  <c r="D400"/>
  <c r="N397"/>
  <c r="H397"/>
  <c r="K397"/>
  <c r="L397"/>
  <c r="Q397"/>
  <c r="O390"/>
  <c r="O391"/>
  <c r="O387"/>
  <c r="O384"/>
  <c r="O379"/>
  <c r="O376"/>
  <c r="O373"/>
  <c r="O370"/>
  <c r="O366"/>
  <c r="O367"/>
  <c r="O363"/>
  <c r="O360"/>
  <c r="O357"/>
  <c r="O354"/>
  <c r="O351"/>
  <c r="O348"/>
  <c r="O345"/>
  <c r="O341"/>
  <c r="O338"/>
  <c r="O335"/>
  <c r="O332"/>
  <c r="O329"/>
  <c r="O326"/>
  <c r="O323"/>
  <c r="O320"/>
  <c r="O317"/>
  <c r="O314"/>
  <c r="O310"/>
  <c r="O307"/>
  <c r="O301"/>
  <c r="O298"/>
  <c r="O295"/>
  <c r="O292"/>
  <c r="O289"/>
  <c r="O286"/>
  <c r="O283"/>
  <c r="O280"/>
  <c r="O277"/>
  <c r="O274"/>
  <c r="O268"/>
  <c r="O265"/>
  <c r="O262"/>
  <c r="O257"/>
  <c r="O258"/>
  <c r="O251"/>
  <c r="O248"/>
  <c r="O245"/>
  <c r="O242"/>
  <c r="O236"/>
  <c r="O237"/>
  <c r="O233"/>
  <c r="O230"/>
  <c r="O227"/>
  <c r="O208"/>
  <c r="O205"/>
  <c r="O200"/>
  <c r="O189"/>
  <c r="O179"/>
  <c r="D187"/>
  <c r="N179"/>
  <c r="H179"/>
  <c r="K179"/>
  <c r="M179"/>
  <c r="P179"/>
  <c r="O157"/>
  <c r="O146"/>
  <c r="O143"/>
  <c r="O140"/>
  <c r="O134"/>
  <c r="O125"/>
  <c r="O117"/>
  <c r="O119"/>
  <c r="D123"/>
  <c r="N119"/>
  <c r="H119"/>
  <c r="K119"/>
  <c r="M119"/>
  <c r="P119"/>
  <c r="O113"/>
  <c r="O114"/>
  <c r="O103"/>
  <c r="O104"/>
  <c r="D111"/>
  <c r="N104"/>
  <c r="H104"/>
  <c r="K104"/>
  <c r="M104"/>
  <c r="P104"/>
  <c r="O91"/>
  <c r="O77"/>
  <c r="O68"/>
  <c r="O73"/>
  <c r="D75"/>
  <c r="N73"/>
  <c r="H73"/>
  <c r="K73"/>
  <c r="M73"/>
  <c r="P73"/>
  <c r="O58"/>
  <c r="O61"/>
  <c r="D66"/>
  <c r="N61"/>
  <c r="H61"/>
  <c r="K61"/>
  <c r="L61"/>
  <c r="Q61"/>
  <c r="O55"/>
  <c r="O83"/>
  <c r="O74"/>
  <c r="D395"/>
  <c r="N394"/>
  <c r="D457"/>
  <c r="N455"/>
  <c r="D439"/>
  <c r="N437"/>
  <c r="D425"/>
  <c r="N423"/>
  <c r="N413"/>
  <c r="D409"/>
  <c r="N407"/>
  <c r="N399"/>
  <c r="D385"/>
  <c r="N384"/>
  <c r="D382"/>
  <c r="N380"/>
  <c r="D368"/>
  <c r="N367"/>
  <c r="D343"/>
  <c r="N342"/>
  <c r="D312"/>
  <c r="N311"/>
  <c r="D260"/>
  <c r="N259"/>
  <c r="D240"/>
  <c r="D487"/>
  <c r="D225"/>
  <c r="N223"/>
  <c r="D203"/>
  <c r="N202"/>
  <c r="D198"/>
  <c r="N196"/>
  <c r="N186"/>
  <c r="D177"/>
  <c r="N176"/>
  <c r="D155"/>
  <c r="N154"/>
  <c r="D138"/>
  <c r="N136"/>
  <c r="D132"/>
  <c r="N130"/>
  <c r="N122"/>
  <c r="D115"/>
  <c r="N114"/>
  <c r="N110"/>
  <c r="D101"/>
  <c r="N100"/>
  <c r="D89"/>
  <c r="N88"/>
  <c r="D81"/>
  <c r="N80"/>
  <c r="N74"/>
  <c r="N64"/>
  <c r="D388"/>
  <c r="N387"/>
  <c r="D377"/>
  <c r="N376"/>
  <c r="D374"/>
  <c r="N373"/>
  <c r="D371"/>
  <c r="N370"/>
  <c r="D364"/>
  <c r="N363"/>
  <c r="D361"/>
  <c r="N360"/>
  <c r="D358"/>
  <c r="N357"/>
  <c r="D355"/>
  <c r="N354"/>
  <c r="D352"/>
  <c r="N351"/>
  <c r="D349"/>
  <c r="N348"/>
  <c r="D346"/>
  <c r="N345"/>
  <c r="D339"/>
  <c r="N338"/>
  <c r="D336"/>
  <c r="N335"/>
  <c r="D333"/>
  <c r="N332"/>
  <c r="D330"/>
  <c r="N329"/>
  <c r="D327"/>
  <c r="N326"/>
  <c r="D324"/>
  <c r="N323"/>
  <c r="D321"/>
  <c r="N320"/>
  <c r="D318"/>
  <c r="N317"/>
  <c r="D315"/>
  <c r="N314"/>
  <c r="D308"/>
  <c r="N307"/>
  <c r="D305"/>
  <c r="N304"/>
  <c r="D302"/>
  <c r="N301"/>
  <c r="D299"/>
  <c r="N298"/>
  <c r="D296"/>
  <c r="N295"/>
  <c r="D293"/>
  <c r="N292"/>
  <c r="D290"/>
  <c r="N289"/>
  <c r="D287"/>
  <c r="N286"/>
  <c r="D284"/>
  <c r="N283"/>
  <c r="D281"/>
  <c r="N280"/>
  <c r="D278"/>
  <c r="N277"/>
  <c r="D275"/>
  <c r="N274"/>
  <c r="D272"/>
  <c r="N271"/>
  <c r="D269"/>
  <c r="N268"/>
  <c r="D266"/>
  <c r="N265"/>
  <c r="D263"/>
  <c r="N262"/>
  <c r="D255"/>
  <c r="N254"/>
  <c r="D252"/>
  <c r="N251"/>
  <c r="D249"/>
  <c r="N248"/>
  <c r="D246"/>
  <c r="N245"/>
  <c r="D243"/>
  <c r="N242"/>
  <c r="D234"/>
  <c r="N233"/>
  <c r="D231"/>
  <c r="N230"/>
  <c r="D228"/>
  <c r="D486"/>
  <c r="D206"/>
  <c r="N205"/>
  <c r="D144"/>
  <c r="N143"/>
  <c r="D141"/>
  <c r="N140"/>
  <c r="D56"/>
  <c r="N55"/>
  <c r="M430"/>
  <c r="L430"/>
  <c r="I460"/>
  <c r="H460"/>
  <c r="G460"/>
  <c r="I456"/>
  <c r="H456"/>
  <c r="G456"/>
  <c r="I455"/>
  <c r="H455"/>
  <c r="K455"/>
  <c r="M455"/>
  <c r="I453"/>
  <c r="H453"/>
  <c r="K453"/>
  <c r="M453"/>
  <c r="I452"/>
  <c r="H452"/>
  <c r="G452"/>
  <c r="I451"/>
  <c r="H451"/>
  <c r="K451"/>
  <c r="M451"/>
  <c r="I450"/>
  <c r="H450"/>
  <c r="I449"/>
  <c r="H449"/>
  <c r="K449"/>
  <c r="M449"/>
  <c r="I448"/>
  <c r="H448"/>
  <c r="G448"/>
  <c r="I447"/>
  <c r="H447"/>
  <c r="K447"/>
  <c r="I446"/>
  <c r="H446"/>
  <c r="I445"/>
  <c r="H445"/>
  <c r="K445"/>
  <c r="M445"/>
  <c r="I444"/>
  <c r="H444"/>
  <c r="G444"/>
  <c r="I443"/>
  <c r="H443"/>
  <c r="K443"/>
  <c r="M443"/>
  <c r="I442"/>
  <c r="H442"/>
  <c r="I441"/>
  <c r="H441"/>
  <c r="K441"/>
  <c r="I438"/>
  <c r="H438"/>
  <c r="G438"/>
  <c r="I437"/>
  <c r="H437"/>
  <c r="I436"/>
  <c r="H436"/>
  <c r="I434"/>
  <c r="H434"/>
  <c r="G434"/>
  <c r="I433"/>
  <c r="H433"/>
  <c r="I432"/>
  <c r="H432"/>
  <c r="G432"/>
  <c r="I431"/>
  <c r="H431"/>
  <c r="K431"/>
  <c r="M431"/>
  <c r="I429"/>
  <c r="H429"/>
  <c r="I428"/>
  <c r="H428"/>
  <c r="G428"/>
  <c r="I435"/>
  <c r="H435"/>
  <c r="K435"/>
  <c r="I454"/>
  <c r="H454"/>
  <c r="G454"/>
  <c r="I427"/>
  <c r="H427"/>
  <c r="G427"/>
  <c r="I424"/>
  <c r="H424"/>
  <c r="G424"/>
  <c r="I423"/>
  <c r="H423"/>
  <c r="K423"/>
  <c r="I422"/>
  <c r="H422"/>
  <c r="G422"/>
  <c r="I421"/>
  <c r="H421"/>
  <c r="G421"/>
  <c r="I420"/>
  <c r="H420"/>
  <c r="I419"/>
  <c r="H419"/>
  <c r="K419"/>
  <c r="M419"/>
  <c r="I418"/>
  <c r="H418"/>
  <c r="K418"/>
  <c r="M418"/>
  <c r="I417"/>
  <c r="H417"/>
  <c r="I414"/>
  <c r="G414"/>
  <c r="I413"/>
  <c r="H413"/>
  <c r="I412"/>
  <c r="H412"/>
  <c r="G412"/>
  <c r="I411"/>
  <c r="H411"/>
  <c r="G411"/>
  <c r="I407"/>
  <c r="H407"/>
  <c r="K407"/>
  <c r="I406"/>
  <c r="H406"/>
  <c r="K406"/>
  <c r="I405"/>
  <c r="H405"/>
  <c r="G405"/>
  <c r="I404"/>
  <c r="H404"/>
  <c r="I402"/>
  <c r="H402"/>
  <c r="G402"/>
  <c r="I408"/>
  <c r="H408"/>
  <c r="G408"/>
  <c r="I399"/>
  <c r="H399"/>
  <c r="I398"/>
  <c r="H398"/>
  <c r="G398"/>
  <c r="I403"/>
  <c r="H403"/>
  <c r="I397"/>
  <c r="G397"/>
  <c r="I366"/>
  <c r="H366"/>
  <c r="G366"/>
  <c r="I311"/>
  <c r="H311"/>
  <c r="I224"/>
  <c r="H224"/>
  <c r="G224"/>
  <c r="I223"/>
  <c r="H223"/>
  <c r="I222"/>
  <c r="H222"/>
  <c r="I220"/>
  <c r="H220"/>
  <c r="K220"/>
  <c r="M220"/>
  <c r="I219"/>
  <c r="H219"/>
  <c r="K219"/>
  <c r="I218"/>
  <c r="H218"/>
  <c r="I217"/>
  <c r="H217"/>
  <c r="I216"/>
  <c r="H216"/>
  <c r="I215"/>
  <c r="H215"/>
  <c r="G215"/>
  <c r="I214"/>
  <c r="H214"/>
  <c r="I213"/>
  <c r="H213"/>
  <c r="G213"/>
  <c r="I212"/>
  <c r="H212"/>
  <c r="K212"/>
  <c r="M212"/>
  <c r="I379"/>
  <c r="H379"/>
  <c r="G379"/>
  <c r="I341"/>
  <c r="H341"/>
  <c r="G341"/>
  <c r="I211"/>
  <c r="H211"/>
  <c r="G211"/>
  <c r="I210"/>
  <c r="H210"/>
  <c r="I209"/>
  <c r="H209"/>
  <c r="I208"/>
  <c r="H208"/>
  <c r="K208"/>
  <c r="M208"/>
  <c r="I195"/>
  <c r="H195"/>
  <c r="I194"/>
  <c r="H194"/>
  <c r="G194"/>
  <c r="I200"/>
  <c r="H200"/>
  <c r="G200"/>
  <c r="I190"/>
  <c r="H190"/>
  <c r="I189"/>
  <c r="H189"/>
  <c r="I197"/>
  <c r="H197"/>
  <c r="I186"/>
  <c r="H186"/>
  <c r="G186"/>
  <c r="I185"/>
  <c r="H185"/>
  <c r="I183"/>
  <c r="H183"/>
  <c r="K183"/>
  <c r="L183"/>
  <c r="I182"/>
  <c r="H182"/>
  <c r="K182"/>
  <c r="L182"/>
  <c r="I193"/>
  <c r="H193"/>
  <c r="G193"/>
  <c r="I181"/>
  <c r="H181"/>
  <c r="I201"/>
  <c r="H201"/>
  <c r="K201"/>
  <c r="M201"/>
  <c r="I192"/>
  <c r="H192"/>
  <c r="I180"/>
  <c r="H180"/>
  <c r="K180"/>
  <c r="L180"/>
  <c r="I191"/>
  <c r="H191"/>
  <c r="I179"/>
  <c r="I176"/>
  <c r="H176"/>
  <c r="G176"/>
  <c r="I391"/>
  <c r="H391"/>
  <c r="K391"/>
  <c r="M391"/>
  <c r="I174"/>
  <c r="H174"/>
  <c r="I173"/>
  <c r="H173"/>
  <c r="I205"/>
  <c r="H205"/>
  <c r="K205"/>
  <c r="M205"/>
  <c r="I202"/>
  <c r="H202"/>
  <c r="K202"/>
  <c r="I196"/>
  <c r="H196"/>
  <c r="G196"/>
  <c r="I184"/>
  <c r="H184"/>
  <c r="G184"/>
  <c r="I170"/>
  <c r="H170"/>
  <c r="H169"/>
  <c r="G169"/>
  <c r="I169"/>
  <c r="I109"/>
  <c r="H109"/>
  <c r="G109"/>
  <c r="I99"/>
  <c r="H99"/>
  <c r="G99"/>
  <c r="I98"/>
  <c r="H98"/>
  <c r="I166"/>
  <c r="H166"/>
  <c r="G166"/>
  <c r="I165"/>
  <c r="H165"/>
  <c r="I167"/>
  <c r="H167"/>
  <c r="G167"/>
  <c r="I152"/>
  <c r="H152"/>
  <c r="G152"/>
  <c r="I164"/>
  <c r="H164"/>
  <c r="I150"/>
  <c r="H150"/>
  <c r="K150"/>
  <c r="L150"/>
  <c r="I394"/>
  <c r="H394"/>
  <c r="I393"/>
  <c r="H393"/>
  <c r="I392"/>
  <c r="H392"/>
  <c r="I175"/>
  <c r="H175"/>
  <c r="I131"/>
  <c r="H131"/>
  <c r="G131"/>
  <c r="I128"/>
  <c r="H128"/>
  <c r="G128"/>
  <c r="I158"/>
  <c r="H158"/>
  <c r="K158"/>
  <c r="M158"/>
  <c r="I126"/>
  <c r="H126"/>
  <c r="K126"/>
  <c r="M126"/>
  <c r="I92"/>
  <c r="H92"/>
  <c r="G92"/>
  <c r="I157"/>
  <c r="H157"/>
  <c r="G157"/>
  <c r="I125"/>
  <c r="H125"/>
  <c r="G125"/>
  <c r="I103"/>
  <c r="H103"/>
  <c r="I91"/>
  <c r="H91"/>
  <c r="K91"/>
  <c r="M91"/>
  <c r="I159"/>
  <c r="H159"/>
  <c r="K159"/>
  <c r="M159"/>
  <c r="I146"/>
  <c r="H146"/>
  <c r="K146"/>
  <c r="M146"/>
  <c r="I134"/>
  <c r="H134"/>
  <c r="G134"/>
  <c r="I117"/>
  <c r="H117"/>
  <c r="I104"/>
  <c r="I93"/>
  <c r="H93"/>
  <c r="K93"/>
  <c r="M93"/>
  <c r="I83"/>
  <c r="H83"/>
  <c r="K83"/>
  <c r="I151"/>
  <c r="H151"/>
  <c r="G151"/>
  <c r="I120"/>
  <c r="H120"/>
  <c r="I79"/>
  <c r="H79"/>
  <c r="I171"/>
  <c r="H171"/>
  <c r="G171"/>
  <c r="I130"/>
  <c r="H130"/>
  <c r="I122"/>
  <c r="H122"/>
  <c r="G122"/>
  <c r="I110"/>
  <c r="H110"/>
  <c r="I87"/>
  <c r="H87"/>
  <c r="I73"/>
  <c r="I72"/>
  <c r="H72"/>
  <c r="I221"/>
  <c r="H221"/>
  <c r="G221"/>
  <c r="I459"/>
  <c r="I387"/>
  <c r="H387"/>
  <c r="K387"/>
  <c r="I384"/>
  <c r="H384"/>
  <c r="G384"/>
  <c r="I381"/>
  <c r="H381"/>
  <c r="I380"/>
  <c r="H380"/>
  <c r="I376"/>
  <c r="H376"/>
  <c r="K376"/>
  <c r="I373"/>
  <c r="H373"/>
  <c r="K373"/>
  <c r="M373"/>
  <c r="I370"/>
  <c r="H370"/>
  <c r="I367"/>
  <c r="H367"/>
  <c r="I363"/>
  <c r="H363"/>
  <c r="K363"/>
  <c r="M363"/>
  <c r="I360"/>
  <c r="H360"/>
  <c r="K360"/>
  <c r="I357"/>
  <c r="H357"/>
  <c r="K357"/>
  <c r="L357"/>
  <c r="I354"/>
  <c r="H354"/>
  <c r="K354"/>
  <c r="M354"/>
  <c r="I351"/>
  <c r="H351"/>
  <c r="K351"/>
  <c r="I348"/>
  <c r="H348"/>
  <c r="G348"/>
  <c r="I345"/>
  <c r="H345"/>
  <c r="K345"/>
  <c r="M345"/>
  <c r="I342"/>
  <c r="H342"/>
  <c r="I338"/>
  <c r="H338"/>
  <c r="I335"/>
  <c r="H335"/>
  <c r="G335"/>
  <c r="I332"/>
  <c r="H332"/>
  <c r="K332"/>
  <c r="M332"/>
  <c r="I329"/>
  <c r="H329"/>
  <c r="I326"/>
  <c r="H326"/>
  <c r="K326"/>
  <c r="I323"/>
  <c r="H323"/>
  <c r="K323"/>
  <c r="I320"/>
  <c r="H320"/>
  <c r="K320"/>
  <c r="I317"/>
  <c r="H317"/>
  <c r="K317"/>
  <c r="M317"/>
  <c r="I314"/>
  <c r="H314"/>
  <c r="K314"/>
  <c r="I310"/>
  <c r="H310"/>
  <c r="K310"/>
  <c r="I307"/>
  <c r="H307"/>
  <c r="I304"/>
  <c r="H304"/>
  <c r="I301"/>
  <c r="H301"/>
  <c r="I298"/>
  <c r="H298"/>
  <c r="I295"/>
  <c r="H295"/>
  <c r="G295"/>
  <c r="I292"/>
  <c r="H292"/>
  <c r="K292"/>
  <c r="M292"/>
  <c r="I289"/>
  <c r="H289"/>
  <c r="K289"/>
  <c r="M289"/>
  <c r="I286"/>
  <c r="H286"/>
  <c r="I283"/>
  <c r="H283"/>
  <c r="K283"/>
  <c r="M283"/>
  <c r="I280"/>
  <c r="H280"/>
  <c r="K280"/>
  <c r="M280"/>
  <c r="I277"/>
  <c r="H277"/>
  <c r="K277"/>
  <c r="M277"/>
  <c r="I274"/>
  <c r="H274"/>
  <c r="K274"/>
  <c r="I271"/>
  <c r="H271"/>
  <c r="G271"/>
  <c r="I268"/>
  <c r="H268"/>
  <c r="K268"/>
  <c r="M268"/>
  <c r="I265"/>
  <c r="H265"/>
  <c r="I262"/>
  <c r="H262"/>
  <c r="K262"/>
  <c r="I259"/>
  <c r="H259"/>
  <c r="G259"/>
  <c r="I258"/>
  <c r="H258"/>
  <c r="K258"/>
  <c r="M258"/>
  <c r="I257"/>
  <c r="H257"/>
  <c r="I254"/>
  <c r="H254"/>
  <c r="K254"/>
  <c r="M254"/>
  <c r="I251"/>
  <c r="H251"/>
  <c r="I248"/>
  <c r="H248"/>
  <c r="K248"/>
  <c r="M248"/>
  <c r="I245"/>
  <c r="H245"/>
  <c r="I242"/>
  <c r="H242"/>
  <c r="K242"/>
  <c r="I239"/>
  <c r="H239"/>
  <c r="G239"/>
  <c r="I238"/>
  <c r="H238"/>
  <c r="I237"/>
  <c r="H237"/>
  <c r="K237"/>
  <c r="M237"/>
  <c r="I236"/>
  <c r="H236"/>
  <c r="I233"/>
  <c r="H233"/>
  <c r="G233"/>
  <c r="I230"/>
  <c r="H230"/>
  <c r="K230"/>
  <c r="M230"/>
  <c r="I227"/>
  <c r="H227"/>
  <c r="I172"/>
  <c r="H172"/>
  <c r="G172"/>
  <c r="I154"/>
  <c r="H154"/>
  <c r="K154"/>
  <c r="M154"/>
  <c r="I100"/>
  <c r="H100"/>
  <c r="I88"/>
  <c r="H88"/>
  <c r="K88"/>
  <c r="I80"/>
  <c r="H80"/>
  <c r="G80"/>
  <c r="I74"/>
  <c r="H74"/>
  <c r="K74"/>
  <c r="M74"/>
  <c r="I65"/>
  <c r="H65"/>
  <c r="I168"/>
  <c r="H168"/>
  <c r="K168"/>
  <c r="M168"/>
  <c r="I153"/>
  <c r="H153"/>
  <c r="K153"/>
  <c r="M153"/>
  <c r="I137"/>
  <c r="H137"/>
  <c r="I129"/>
  <c r="H129"/>
  <c r="K129"/>
  <c r="I121"/>
  <c r="H121"/>
  <c r="K121"/>
  <c r="M121"/>
  <c r="I71"/>
  <c r="H71"/>
  <c r="K71"/>
  <c r="M71"/>
  <c r="I64"/>
  <c r="H64"/>
  <c r="K64"/>
  <c r="M64"/>
  <c r="I63"/>
  <c r="H63"/>
  <c r="K63"/>
  <c r="I62"/>
  <c r="H62"/>
  <c r="K62"/>
  <c r="I163"/>
  <c r="H163"/>
  <c r="I149"/>
  <c r="H149"/>
  <c r="I119"/>
  <c r="I108"/>
  <c r="H108"/>
  <c r="K108"/>
  <c r="M108"/>
  <c r="I97"/>
  <c r="H97"/>
  <c r="K97"/>
  <c r="M97"/>
  <c r="I86"/>
  <c r="H86"/>
  <c r="G86"/>
  <c r="I70"/>
  <c r="H70"/>
  <c r="G70"/>
  <c r="I61"/>
  <c r="G61"/>
  <c r="I162"/>
  <c r="H162"/>
  <c r="I107"/>
  <c r="H107"/>
  <c r="K107"/>
  <c r="I96"/>
  <c r="H96"/>
  <c r="K96"/>
  <c r="I60"/>
  <c r="H60"/>
  <c r="I161"/>
  <c r="H161"/>
  <c r="G161"/>
  <c r="I148"/>
  <c r="H148"/>
  <c r="K148"/>
  <c r="M148"/>
  <c r="I136"/>
  <c r="H136"/>
  <c r="G136"/>
  <c r="I114"/>
  <c r="H114"/>
  <c r="K114"/>
  <c r="M114"/>
  <c r="I106"/>
  <c r="H106"/>
  <c r="K106"/>
  <c r="M106"/>
  <c r="I95"/>
  <c r="H95"/>
  <c r="K95"/>
  <c r="M95"/>
  <c r="I85"/>
  <c r="H85"/>
  <c r="G85"/>
  <c r="I78"/>
  <c r="H78"/>
  <c r="G78"/>
  <c r="I69"/>
  <c r="H69"/>
  <c r="I59"/>
  <c r="H59"/>
  <c r="K59"/>
  <c r="M59"/>
  <c r="I390"/>
  <c r="H390"/>
  <c r="K390"/>
  <c r="M390"/>
  <c r="I160"/>
  <c r="H160"/>
  <c r="I147"/>
  <c r="H147"/>
  <c r="G147"/>
  <c r="I143"/>
  <c r="H143"/>
  <c r="K143"/>
  <c r="M143"/>
  <c r="I140"/>
  <c r="H140"/>
  <c r="K140"/>
  <c r="M140"/>
  <c r="I135"/>
  <c r="H135"/>
  <c r="G135"/>
  <c r="I127"/>
  <c r="H127"/>
  <c r="G127"/>
  <c r="I118"/>
  <c r="H118"/>
  <c r="G118"/>
  <c r="I113"/>
  <c r="H113"/>
  <c r="K113"/>
  <c r="I105"/>
  <c r="H105"/>
  <c r="G105"/>
  <c r="I94"/>
  <c r="H94"/>
  <c r="I84"/>
  <c r="H84"/>
  <c r="I77"/>
  <c r="H77"/>
  <c r="K77"/>
  <c r="M77"/>
  <c r="I68"/>
  <c r="H68"/>
  <c r="G68"/>
  <c r="I58"/>
  <c r="H58"/>
  <c r="G58"/>
  <c r="I55"/>
  <c r="H55"/>
  <c r="K55"/>
  <c r="D53"/>
  <c r="N52"/>
  <c r="H52"/>
  <c r="K52"/>
  <c r="M52"/>
  <c r="P52"/>
  <c r="I52"/>
  <c r="G52"/>
  <c r="I51"/>
  <c r="H51"/>
  <c r="G51"/>
  <c r="I50"/>
  <c r="H50"/>
  <c r="I49"/>
  <c r="H49"/>
  <c r="K49"/>
  <c r="I48"/>
  <c r="H48"/>
  <c r="I47"/>
  <c r="H47"/>
  <c r="K47"/>
  <c r="M47"/>
  <c r="N47"/>
  <c r="P47"/>
  <c r="I46"/>
  <c r="H46"/>
  <c r="K46"/>
  <c r="I45"/>
  <c r="H45"/>
  <c r="I44"/>
  <c r="H44"/>
  <c r="I43"/>
  <c r="H43"/>
  <c r="D41"/>
  <c r="I40"/>
  <c r="H40"/>
  <c r="K40"/>
  <c r="M40"/>
  <c r="I39"/>
  <c r="H39"/>
  <c r="G39"/>
  <c r="I38"/>
  <c r="H38"/>
  <c r="G38"/>
  <c r="I37"/>
  <c r="H37"/>
  <c r="I36"/>
  <c r="H36"/>
  <c r="K36"/>
  <c r="I35"/>
  <c r="H35"/>
  <c r="G35"/>
  <c r="I34"/>
  <c r="H34"/>
  <c r="I33"/>
  <c r="H33"/>
  <c r="K33"/>
  <c r="D31"/>
  <c r="N30"/>
  <c r="I30"/>
  <c r="H30"/>
  <c r="K30"/>
  <c r="I29"/>
  <c r="H29"/>
  <c r="K29"/>
  <c r="D27"/>
  <c r="N25"/>
  <c r="I26"/>
  <c r="H26"/>
  <c r="K26"/>
  <c r="L26"/>
  <c r="I25"/>
  <c r="H25"/>
  <c r="K25"/>
  <c r="M25"/>
  <c r="I24"/>
  <c r="H24"/>
  <c r="K24"/>
  <c r="I23"/>
  <c r="H23"/>
  <c r="I22"/>
  <c r="H22"/>
  <c r="D20"/>
  <c r="I19"/>
  <c r="H19"/>
  <c r="K19"/>
  <c r="I18"/>
  <c r="H18"/>
  <c r="K18"/>
  <c r="M18"/>
  <c r="I17"/>
  <c r="H17"/>
  <c r="G17"/>
  <c r="I16"/>
  <c r="H16"/>
  <c r="G16"/>
  <c r="D14"/>
  <c r="I13"/>
  <c r="H13"/>
  <c r="I12"/>
  <c r="H12"/>
  <c r="G12"/>
  <c r="I11"/>
  <c r="H11"/>
  <c r="I10"/>
  <c r="H10"/>
  <c r="I9"/>
  <c r="H9"/>
  <c r="G9"/>
  <c r="I8"/>
  <c r="H8"/>
  <c r="D6"/>
  <c r="I5"/>
  <c r="H5"/>
  <c r="K5"/>
  <c r="M5"/>
  <c r="K427"/>
  <c r="M427"/>
  <c r="G418"/>
  <c r="K422"/>
  <c r="M422"/>
  <c r="M414"/>
  <c r="K405"/>
  <c r="M405"/>
  <c r="K408"/>
  <c r="M408"/>
  <c r="K224"/>
  <c r="M224"/>
  <c r="G220"/>
  <c r="G219"/>
  <c r="G217"/>
  <c r="K215"/>
  <c r="M215"/>
  <c r="G209"/>
  <c r="K200"/>
  <c r="M200"/>
  <c r="K186"/>
  <c r="M186"/>
  <c r="G77"/>
  <c r="G183"/>
  <c r="G26"/>
  <c r="K193"/>
  <c r="M193"/>
  <c r="G180"/>
  <c r="G354"/>
  <c r="G387"/>
  <c r="G146"/>
  <c r="G19"/>
  <c r="G158"/>
  <c r="G363"/>
  <c r="G357"/>
  <c r="K221"/>
  <c r="M221"/>
  <c r="G323"/>
  <c r="K167"/>
  <c r="M167"/>
  <c r="G376"/>
  <c r="K99"/>
  <c r="M99"/>
  <c r="G148"/>
  <c r="G367"/>
  <c r="G314"/>
  <c r="G93"/>
  <c r="N50"/>
  <c r="G286"/>
  <c r="G332"/>
  <c r="G83"/>
  <c r="K131"/>
  <c r="G393"/>
  <c r="K51"/>
  <c r="K147"/>
  <c r="M147"/>
  <c r="G274"/>
  <c r="K348"/>
  <c r="M348"/>
  <c r="K384"/>
  <c r="M384"/>
  <c r="K72"/>
  <c r="M72"/>
  <c r="G72"/>
  <c r="G159"/>
  <c r="K157"/>
  <c r="M157"/>
  <c r="K393"/>
  <c r="M393"/>
  <c r="K152"/>
  <c r="M152"/>
  <c r="K196"/>
  <c r="G185"/>
  <c r="K185"/>
  <c r="G208"/>
  <c r="K218"/>
  <c r="M218"/>
  <c r="G218"/>
  <c r="M397"/>
  <c r="G419"/>
  <c r="G423"/>
  <c r="G435"/>
  <c r="G47"/>
  <c r="G292"/>
  <c r="G317"/>
  <c r="G342"/>
  <c r="K367"/>
  <c r="M367"/>
  <c r="K380"/>
  <c r="L380"/>
  <c r="G380"/>
  <c r="G459"/>
  <c r="K171"/>
  <c r="M171"/>
  <c r="K134"/>
  <c r="K175"/>
  <c r="G175"/>
  <c r="G150"/>
  <c r="K165"/>
  <c r="M165"/>
  <c r="G165"/>
  <c r="K109"/>
  <c r="M109"/>
  <c r="G182"/>
  <c r="K197"/>
  <c r="G197"/>
  <c r="K194"/>
  <c r="M194"/>
  <c r="G216"/>
  <c r="K216"/>
  <c r="K398"/>
  <c r="M398"/>
  <c r="K417"/>
  <c r="M417"/>
  <c r="G417"/>
  <c r="K421"/>
  <c r="M421"/>
  <c r="L451"/>
  <c r="G360"/>
  <c r="G310"/>
  <c r="G373"/>
  <c r="K341"/>
  <c r="M341"/>
  <c r="L363"/>
  <c r="L93"/>
  <c r="L220"/>
  <c r="L431"/>
  <c r="L449"/>
  <c r="L453"/>
  <c r="K438"/>
  <c r="M438"/>
  <c r="K448"/>
  <c r="M448"/>
  <c r="K452"/>
  <c r="M452"/>
  <c r="N11"/>
  <c r="G143"/>
  <c r="K85"/>
  <c r="G63"/>
  <c r="N36"/>
  <c r="M380"/>
  <c r="L417"/>
  <c r="L408"/>
  <c r="L277"/>
  <c r="L168"/>
  <c r="G280"/>
  <c r="G96"/>
  <c r="G163"/>
  <c r="K12"/>
  <c r="K58"/>
  <c r="G254"/>
  <c r="G326"/>
  <c r="G237"/>
  <c r="K136"/>
  <c r="M136"/>
  <c r="K68"/>
  <c r="M68"/>
  <c r="G268"/>
  <c r="L193"/>
  <c r="L167"/>
  <c r="L77"/>
  <c r="G113"/>
  <c r="K38"/>
  <c r="M38"/>
  <c r="N26"/>
  <c r="Q26"/>
  <c r="G106"/>
  <c r="K127"/>
  <c r="K39"/>
  <c r="M26"/>
  <c r="K86"/>
  <c r="N33"/>
  <c r="G55"/>
  <c r="G24"/>
  <c r="G33"/>
  <c r="G242"/>
  <c r="N8"/>
  <c r="G230"/>
  <c r="K70"/>
  <c r="K105"/>
  <c r="N23"/>
  <c r="G40"/>
  <c r="G248"/>
  <c r="N18"/>
  <c r="P18"/>
  <c r="N29"/>
  <c r="N49"/>
  <c r="N43"/>
  <c r="L341"/>
  <c r="L215"/>
  <c r="L237"/>
  <c r="L114"/>
  <c r="G119"/>
  <c r="G5"/>
  <c r="K80"/>
  <c r="M80"/>
  <c r="G97"/>
  <c r="K162"/>
  <c r="M162"/>
  <c r="G121"/>
  <c r="G114"/>
  <c r="G168"/>
  <c r="G129"/>
  <c r="G95"/>
  <c r="G108"/>
  <c r="G62"/>
  <c r="L47"/>
  <c r="Q47"/>
  <c r="G478"/>
  <c r="K481"/>
  <c r="M481"/>
  <c r="G481"/>
  <c r="M478"/>
  <c r="M475"/>
  <c r="M472"/>
  <c r="G472"/>
  <c r="M274"/>
  <c r="L274"/>
  <c r="M326"/>
  <c r="L326"/>
  <c r="L419"/>
  <c r="L452"/>
  <c r="M150"/>
  <c r="L280"/>
  <c r="K460"/>
  <c r="M460"/>
  <c r="K444"/>
  <c r="K434"/>
  <c r="M434"/>
  <c r="L445"/>
  <c r="L165"/>
  <c r="L97"/>
  <c r="L59"/>
  <c r="L289"/>
  <c r="K191"/>
  <c r="M191"/>
  <c r="G174"/>
  <c r="G262"/>
  <c r="K169"/>
  <c r="M169"/>
  <c r="L443"/>
  <c r="L108"/>
  <c r="L427"/>
  <c r="G126"/>
  <c r="G390"/>
  <c r="N24"/>
  <c r="G18"/>
  <c r="G406"/>
  <c r="K128"/>
  <c r="K335"/>
  <c r="G71"/>
  <c r="G391"/>
  <c r="G345"/>
  <c r="N34"/>
  <c r="N39"/>
  <c r="N46"/>
  <c r="K92"/>
  <c r="M92"/>
  <c r="K35"/>
  <c r="G25"/>
  <c r="G46"/>
  <c r="K151"/>
  <c r="M151"/>
  <c r="G289"/>
  <c r="G301"/>
  <c r="K172"/>
  <c r="M172"/>
  <c r="K135"/>
  <c r="M135"/>
  <c r="N35"/>
  <c r="N22"/>
  <c r="G36"/>
  <c r="G49"/>
  <c r="K176"/>
  <c r="M176"/>
  <c r="G258"/>
  <c r="G277"/>
  <c r="G351"/>
  <c r="G59"/>
  <c r="G140"/>
  <c r="K379"/>
  <c r="L379"/>
  <c r="K402"/>
  <c r="M402"/>
  <c r="K411"/>
  <c r="L283"/>
  <c r="G443"/>
  <c r="G466"/>
  <c r="L466"/>
  <c r="M30"/>
  <c r="L30"/>
  <c r="M113"/>
  <c r="L113"/>
  <c r="M423"/>
  <c r="L423"/>
  <c r="L143"/>
  <c r="L71"/>
  <c r="L126"/>
  <c r="L212"/>
  <c r="M182"/>
  <c r="L373"/>
  <c r="L40"/>
  <c r="L390"/>
  <c r="L194"/>
  <c r="K456"/>
  <c r="K432"/>
  <c r="M432"/>
  <c r="L384"/>
  <c r="L354"/>
  <c r="L153"/>
  <c r="L147"/>
  <c r="L121"/>
  <c r="L99"/>
  <c r="L95"/>
  <c r="L91"/>
  <c r="K122"/>
  <c r="L25"/>
  <c r="K161"/>
  <c r="G153"/>
  <c r="L348"/>
  <c r="L172"/>
  <c r="L136"/>
  <c r="L405"/>
  <c r="G205"/>
  <c r="L205"/>
  <c r="G30"/>
  <c r="G214"/>
  <c r="N17"/>
  <c r="K17"/>
  <c r="L17"/>
  <c r="Q17"/>
  <c r="N16"/>
  <c r="K16"/>
  <c r="L16"/>
  <c r="Q16"/>
  <c r="L18"/>
  <c r="Q18"/>
  <c r="N19"/>
  <c r="L19"/>
  <c r="Q19"/>
  <c r="Q20"/>
  <c r="K184"/>
  <c r="M184"/>
  <c r="G130"/>
  <c r="G283"/>
  <c r="G251"/>
  <c r="G154"/>
  <c r="G107"/>
  <c r="K118"/>
  <c r="M118"/>
  <c r="N45"/>
  <c r="K45"/>
  <c r="L45"/>
  <c r="Q45"/>
  <c r="N51"/>
  <c r="N44"/>
  <c r="K44"/>
  <c r="M44"/>
  <c r="P44"/>
  <c r="N48"/>
  <c r="G202"/>
  <c r="K166"/>
  <c r="M166"/>
  <c r="K125"/>
  <c r="M125"/>
  <c r="G64"/>
  <c r="G74"/>
  <c r="N12"/>
  <c r="N9"/>
  <c r="G320"/>
  <c r="K78"/>
  <c r="M78"/>
  <c r="G88"/>
  <c r="G29"/>
  <c r="G91"/>
  <c r="G212"/>
  <c r="K366"/>
  <c r="M366"/>
  <c r="K412"/>
  <c r="M412"/>
  <c r="G407"/>
  <c r="K424"/>
  <c r="M424"/>
  <c r="K454"/>
  <c r="M454"/>
  <c r="K233"/>
  <c r="M233"/>
  <c r="K251"/>
  <c r="M251"/>
  <c r="G441"/>
  <c r="G455"/>
  <c r="N391"/>
  <c r="M46"/>
  <c r="P46"/>
  <c r="L46"/>
  <c r="Q46"/>
  <c r="M129"/>
  <c r="L129"/>
  <c r="M83"/>
  <c r="L83"/>
  <c r="M183"/>
  <c r="M24"/>
  <c r="L24"/>
  <c r="M107"/>
  <c r="L107"/>
  <c r="M63"/>
  <c r="L63"/>
  <c r="M314"/>
  <c r="L314"/>
  <c r="M351"/>
  <c r="L351"/>
  <c r="M180"/>
  <c r="M407"/>
  <c r="L407"/>
  <c r="M441"/>
  <c r="L441"/>
  <c r="L201"/>
  <c r="N390"/>
  <c r="N393"/>
  <c r="L432"/>
  <c r="L38"/>
  <c r="L317"/>
  <c r="L292"/>
  <c r="L208"/>
  <c r="L171"/>
  <c r="L159"/>
  <c r="L109"/>
  <c r="L218"/>
  <c r="L152"/>
  <c r="L72"/>
  <c r="L367"/>
  <c r="L5"/>
  <c r="K271"/>
  <c r="M271"/>
  <c r="K295"/>
  <c r="M295"/>
  <c r="L345"/>
  <c r="L221"/>
  <c r="K213"/>
  <c r="M213"/>
  <c r="K217"/>
  <c r="M217"/>
  <c r="L418"/>
  <c r="L455"/>
  <c r="L197"/>
  <c r="M197"/>
  <c r="L33"/>
  <c r="Q33"/>
  <c r="M33"/>
  <c r="P33"/>
  <c r="M88"/>
  <c r="L88"/>
  <c r="M262"/>
  <c r="L262"/>
  <c r="M310"/>
  <c r="L310"/>
  <c r="M216"/>
  <c r="L216"/>
  <c r="L119"/>
  <c r="M435"/>
  <c r="L435"/>
  <c r="M406"/>
  <c r="L406"/>
  <c r="M185"/>
  <c r="L185"/>
  <c r="M127"/>
  <c r="L127"/>
  <c r="M51"/>
  <c r="P51"/>
  <c r="L51"/>
  <c r="Q51"/>
  <c r="M39"/>
  <c r="P39"/>
  <c r="L39"/>
  <c r="Q39"/>
  <c r="M131"/>
  <c r="L131"/>
  <c r="M58"/>
  <c r="L58"/>
  <c r="M61"/>
  <c r="M19"/>
  <c r="L49"/>
  <c r="Q49"/>
  <c r="M49"/>
  <c r="P49"/>
  <c r="M55"/>
  <c r="L55"/>
  <c r="M62"/>
  <c r="L62"/>
  <c r="M242"/>
  <c r="L242"/>
  <c r="M320"/>
  <c r="L320"/>
  <c r="M360"/>
  <c r="L360"/>
  <c r="M202"/>
  <c r="L202"/>
  <c r="M219"/>
  <c r="L219"/>
  <c r="L438"/>
  <c r="L448"/>
  <c r="L434"/>
  <c r="L332"/>
  <c r="L254"/>
  <c r="L157"/>
  <c r="L391"/>
  <c r="L106"/>
  <c r="L52"/>
  <c r="K9"/>
  <c r="M9"/>
  <c r="P9"/>
  <c r="L135"/>
  <c r="L140"/>
  <c r="L78"/>
  <c r="L74"/>
  <c r="K239"/>
  <c r="M239"/>
  <c r="L258"/>
  <c r="K259"/>
  <c r="M259"/>
  <c r="M357"/>
  <c r="L125"/>
  <c r="G201"/>
  <c r="L200"/>
  <c r="K211"/>
  <c r="M211"/>
  <c r="L366"/>
  <c r="L402"/>
  <c r="L422"/>
  <c r="L68"/>
  <c r="L118"/>
  <c r="L148"/>
  <c r="L64"/>
  <c r="L154"/>
  <c r="L230"/>
  <c r="L248"/>
  <c r="L268"/>
  <c r="L151"/>
  <c r="L146"/>
  <c r="L92"/>
  <c r="L158"/>
  <c r="L186"/>
  <c r="L224"/>
  <c r="L412"/>
  <c r="L454"/>
  <c r="K428"/>
  <c r="M428"/>
  <c r="G431"/>
  <c r="G433"/>
  <c r="K433"/>
  <c r="M433"/>
  <c r="G445"/>
  <c r="G447"/>
  <c r="G449"/>
  <c r="G451"/>
  <c r="G453"/>
  <c r="N59"/>
  <c r="P61"/>
  <c r="N63"/>
  <c r="N65"/>
  <c r="N69"/>
  <c r="N71"/>
  <c r="N77"/>
  <c r="Q77"/>
  <c r="N79"/>
  <c r="N83"/>
  <c r="N85"/>
  <c r="N87"/>
  <c r="N91"/>
  <c r="N93"/>
  <c r="N95"/>
  <c r="N97"/>
  <c r="N99"/>
  <c r="N103"/>
  <c r="N105"/>
  <c r="N107"/>
  <c r="N109"/>
  <c r="N113"/>
  <c r="P113"/>
  <c r="N117"/>
  <c r="N121"/>
  <c r="N125"/>
  <c r="N127"/>
  <c r="N129"/>
  <c r="N131"/>
  <c r="N135"/>
  <c r="N137"/>
  <c r="N147"/>
  <c r="N149"/>
  <c r="N151"/>
  <c r="N153"/>
  <c r="N157"/>
  <c r="N159"/>
  <c r="N161"/>
  <c r="N163"/>
  <c r="N165"/>
  <c r="N167"/>
  <c r="N169"/>
  <c r="N171"/>
  <c r="N173"/>
  <c r="N175"/>
  <c r="N181"/>
  <c r="N183"/>
  <c r="N185"/>
  <c r="N189"/>
  <c r="N191"/>
  <c r="N193"/>
  <c r="N195"/>
  <c r="N197"/>
  <c r="N201"/>
  <c r="N208"/>
  <c r="N210"/>
  <c r="N212"/>
  <c r="N214"/>
  <c r="N216"/>
  <c r="N218"/>
  <c r="N220"/>
  <c r="N222"/>
  <c r="N224"/>
  <c r="N237"/>
  <c r="N239"/>
  <c r="N258"/>
  <c r="N310"/>
  <c r="N341"/>
  <c r="N366"/>
  <c r="N379"/>
  <c r="N381"/>
  <c r="N398"/>
  <c r="N402"/>
  <c r="N404"/>
  <c r="N406"/>
  <c r="N408"/>
  <c r="N412"/>
  <c r="N418"/>
  <c r="N420"/>
  <c r="N422"/>
  <c r="N424"/>
  <c r="N428"/>
  <c r="N430"/>
  <c r="N432"/>
  <c r="N434"/>
  <c r="N436"/>
  <c r="N438"/>
  <c r="N442"/>
  <c r="N444"/>
  <c r="N446"/>
  <c r="N448"/>
  <c r="N450"/>
  <c r="N452"/>
  <c r="N454"/>
  <c r="N456"/>
  <c r="N460"/>
  <c r="N58"/>
  <c r="N60"/>
  <c r="N62"/>
  <c r="N68"/>
  <c r="N70"/>
  <c r="N72"/>
  <c r="N78"/>
  <c r="N84"/>
  <c r="N86"/>
  <c r="N92"/>
  <c r="N94"/>
  <c r="N96"/>
  <c r="N98"/>
  <c r="N106"/>
  <c r="N108"/>
  <c r="N118"/>
  <c r="N120"/>
  <c r="N126"/>
  <c r="N128"/>
  <c r="N134"/>
  <c r="N146"/>
  <c r="Q146"/>
  <c r="N148"/>
  <c r="N150"/>
  <c r="N152"/>
  <c r="N158"/>
  <c r="N160"/>
  <c r="N162"/>
  <c r="N164"/>
  <c r="N166"/>
  <c r="N168"/>
  <c r="N170"/>
  <c r="N172"/>
  <c r="N174"/>
  <c r="N180"/>
  <c r="N182"/>
  <c r="N184"/>
  <c r="N190"/>
  <c r="N192"/>
  <c r="N194"/>
  <c r="N200"/>
  <c r="P200"/>
  <c r="N209"/>
  <c r="N211"/>
  <c r="N213"/>
  <c r="N215"/>
  <c r="N217"/>
  <c r="N219"/>
  <c r="N221"/>
  <c r="N236"/>
  <c r="N257"/>
  <c r="N392"/>
  <c r="P397"/>
  <c r="N403"/>
  <c r="N405"/>
  <c r="N411"/>
  <c r="N417"/>
  <c r="N419"/>
  <c r="N421"/>
  <c r="N427"/>
  <c r="N429"/>
  <c r="N431"/>
  <c r="N433"/>
  <c r="N435"/>
  <c r="N441"/>
  <c r="N443"/>
  <c r="N445"/>
  <c r="N447"/>
  <c r="N449"/>
  <c r="N451"/>
  <c r="N453"/>
  <c r="G463"/>
  <c r="M12"/>
  <c r="P12"/>
  <c r="L12"/>
  <c r="Q12"/>
  <c r="M86"/>
  <c r="L86"/>
  <c r="L184"/>
  <c r="L176"/>
  <c r="L166"/>
  <c r="M379"/>
  <c r="L460"/>
  <c r="L80"/>
  <c r="L481"/>
  <c r="M411"/>
  <c r="L411"/>
  <c r="M35"/>
  <c r="P35"/>
  <c r="L35"/>
  <c r="Q35"/>
  <c r="M335"/>
  <c r="L335"/>
  <c r="L169"/>
  <c r="L469"/>
  <c r="M456"/>
  <c r="L456"/>
  <c r="L233"/>
  <c r="M16"/>
  <c r="M161"/>
  <c r="L161"/>
  <c r="M122"/>
  <c r="L122"/>
  <c r="L424"/>
  <c r="L251"/>
  <c r="L259"/>
  <c r="L271"/>
  <c r="L295"/>
  <c r="L9"/>
  <c r="Q9"/>
  <c r="L433"/>
  <c r="L211"/>
  <c r="O95"/>
  <c r="O70"/>
  <c r="M70"/>
  <c r="P70"/>
  <c r="O131"/>
  <c r="P131"/>
  <c r="O99"/>
  <c r="O72"/>
  <c r="Q72"/>
  <c r="O62"/>
  <c r="Q91"/>
  <c r="O121"/>
  <c r="O135"/>
  <c r="Q135"/>
  <c r="O69"/>
  <c r="K69"/>
  <c r="M69"/>
  <c r="P69"/>
  <c r="P83"/>
  <c r="P472"/>
  <c r="P473"/>
  <c r="O59"/>
  <c r="Q59"/>
  <c r="Q208"/>
  <c r="Q366"/>
  <c r="O64"/>
  <c r="O63"/>
  <c r="Q63"/>
  <c r="P58"/>
  <c r="Q157"/>
  <c r="Q310"/>
  <c r="P63"/>
  <c r="Q131"/>
  <c r="O60"/>
  <c r="K60"/>
  <c r="M60"/>
  <c r="P60"/>
  <c r="O65"/>
  <c r="Q58"/>
  <c r="O71"/>
  <c r="P71"/>
  <c r="P390"/>
  <c r="O96"/>
  <c r="M96"/>
  <c r="P96"/>
  <c r="Q68"/>
  <c r="O137"/>
  <c r="K137"/>
  <c r="L137"/>
  <c r="Q137"/>
  <c r="Q390"/>
  <c r="Q113"/>
  <c r="P411"/>
  <c r="P427"/>
  <c r="P24"/>
  <c r="Q24"/>
  <c r="M444"/>
  <c r="L444"/>
  <c r="L70"/>
  <c r="M175"/>
  <c r="L175"/>
  <c r="M459"/>
  <c r="M196"/>
  <c r="L196"/>
  <c r="K10"/>
  <c r="G10"/>
  <c r="K11"/>
  <c r="G11"/>
  <c r="K22"/>
  <c r="M22"/>
  <c r="P22"/>
  <c r="G22"/>
  <c r="L22"/>
  <c r="Q22"/>
  <c r="G23"/>
  <c r="K23"/>
  <c r="M23"/>
  <c r="P23"/>
  <c r="L36"/>
  <c r="M36"/>
  <c r="P36"/>
  <c r="K37"/>
  <c r="M37"/>
  <c r="G37"/>
  <c r="L37"/>
  <c r="K43"/>
  <c r="G43"/>
  <c r="G44"/>
  <c r="M45"/>
  <c r="P45"/>
  <c r="G45"/>
  <c r="K50"/>
  <c r="G50"/>
  <c r="K160"/>
  <c r="M160"/>
  <c r="G160"/>
  <c r="G162"/>
  <c r="L162"/>
  <c r="G65"/>
  <c r="K65"/>
  <c r="G227"/>
  <c r="K227"/>
  <c r="K238"/>
  <c r="M238"/>
  <c r="G238"/>
  <c r="L238"/>
  <c r="K257"/>
  <c r="M257"/>
  <c r="G257"/>
  <c r="L257"/>
  <c r="Q257"/>
  <c r="K286"/>
  <c r="M286"/>
  <c r="L286"/>
  <c r="M323"/>
  <c r="L323"/>
  <c r="G338"/>
  <c r="K338"/>
  <c r="K342"/>
  <c r="M342"/>
  <c r="L342"/>
  <c r="K370"/>
  <c r="G370"/>
  <c r="M376"/>
  <c r="L376"/>
  <c r="G73"/>
  <c r="K87"/>
  <c r="G87"/>
  <c r="K110"/>
  <c r="G110"/>
  <c r="G104"/>
  <c r="K117"/>
  <c r="M117"/>
  <c r="G117"/>
  <c r="L117"/>
  <c r="G103"/>
  <c r="K103"/>
  <c r="G392"/>
  <c r="K392"/>
  <c r="K394"/>
  <c r="G394"/>
  <c r="K164"/>
  <c r="G164"/>
  <c r="G179"/>
  <c r="G191"/>
  <c r="L191"/>
  <c r="K181"/>
  <c r="G181"/>
  <c r="G195"/>
  <c r="K195"/>
  <c r="K214"/>
  <c r="M214"/>
  <c r="K403"/>
  <c r="M403"/>
  <c r="G403"/>
  <c r="L403"/>
  <c r="K399"/>
  <c r="G399"/>
  <c r="G413"/>
  <c r="K413"/>
  <c r="G436"/>
  <c r="K436"/>
  <c r="M436"/>
  <c r="K437"/>
  <c r="M437"/>
  <c r="G437"/>
  <c r="L437"/>
  <c r="G446"/>
  <c r="K446"/>
  <c r="M447"/>
  <c r="L447"/>
  <c r="Q71"/>
  <c r="L463"/>
  <c r="Q463"/>
  <c r="Q464"/>
  <c r="L239"/>
  <c r="L213"/>
  <c r="L217"/>
  <c r="L428"/>
  <c r="L393"/>
  <c r="M128"/>
  <c r="L128"/>
  <c r="M105"/>
  <c r="L105"/>
  <c r="M85"/>
  <c r="L85"/>
  <c r="M134"/>
  <c r="L134"/>
  <c r="K8"/>
  <c r="G8"/>
  <c r="K13"/>
  <c r="G13"/>
  <c r="N13"/>
  <c r="N10"/>
  <c r="P16"/>
  <c r="M17"/>
  <c r="P17"/>
  <c r="P19"/>
  <c r="P20"/>
  <c r="M29"/>
  <c r="P29"/>
  <c r="L29"/>
  <c r="Q29"/>
  <c r="G34"/>
  <c r="K34"/>
  <c r="M34"/>
  <c r="N40"/>
  <c r="N38"/>
  <c r="Q38"/>
  <c r="N37"/>
  <c r="K48"/>
  <c r="M48"/>
  <c r="G48"/>
  <c r="L48"/>
  <c r="Q48"/>
  <c r="G84"/>
  <c r="K84"/>
  <c r="K94"/>
  <c r="G94"/>
  <c r="G69"/>
  <c r="G60"/>
  <c r="L96"/>
  <c r="K149"/>
  <c r="G149"/>
  <c r="K163"/>
  <c r="M163"/>
  <c r="G137"/>
  <c r="G100"/>
  <c r="K100"/>
  <c r="K236"/>
  <c r="G236"/>
  <c r="K245"/>
  <c r="G245"/>
  <c r="K265"/>
  <c r="G265"/>
  <c r="K298"/>
  <c r="M298"/>
  <c r="G298"/>
  <c r="L298"/>
  <c r="K301"/>
  <c r="M301"/>
  <c r="L301"/>
  <c r="K304"/>
  <c r="M304"/>
  <c r="G304"/>
  <c r="L304"/>
  <c r="K307"/>
  <c r="G307"/>
  <c r="G329"/>
  <c r="K329"/>
  <c r="K381"/>
  <c r="G381"/>
  <c r="M387"/>
  <c r="L387"/>
  <c r="K130"/>
  <c r="M130"/>
  <c r="L130"/>
  <c r="K79"/>
  <c r="M79"/>
  <c r="L79"/>
  <c r="G79"/>
  <c r="K120"/>
  <c r="G120"/>
  <c r="G98"/>
  <c r="K98"/>
  <c r="K170"/>
  <c r="G170"/>
  <c r="K173"/>
  <c r="G173"/>
  <c r="K174"/>
  <c r="M174"/>
  <c r="K192"/>
  <c r="G192"/>
  <c r="K189"/>
  <c r="G189"/>
  <c r="G190"/>
  <c r="K190"/>
  <c r="K209"/>
  <c r="M209"/>
  <c r="K210"/>
  <c r="M210"/>
  <c r="G210"/>
  <c r="L210"/>
  <c r="G222"/>
  <c r="K222"/>
  <c r="K223"/>
  <c r="G223"/>
  <c r="K311"/>
  <c r="G311"/>
  <c r="G404"/>
  <c r="K404"/>
  <c r="G420"/>
  <c r="K420"/>
  <c r="M420"/>
  <c r="G429"/>
  <c r="K429"/>
  <c r="G442"/>
  <c r="K442"/>
  <c r="G450"/>
  <c r="K450"/>
  <c r="P125"/>
  <c r="P48"/>
  <c r="P402"/>
  <c r="P34"/>
  <c r="Q36"/>
  <c r="Q379"/>
  <c r="P38"/>
  <c r="P68"/>
  <c r="D485"/>
  <c r="P391"/>
  <c r="P26"/>
  <c r="L398"/>
  <c r="L421"/>
  <c r="N5"/>
  <c r="M404"/>
  <c r="L404"/>
  <c r="M222"/>
  <c r="L222"/>
  <c r="M189"/>
  <c r="L189"/>
  <c r="M192"/>
  <c r="L192"/>
  <c r="M173"/>
  <c r="L173"/>
  <c r="M170"/>
  <c r="L170"/>
  <c r="M120"/>
  <c r="L120"/>
  <c r="L329"/>
  <c r="M329"/>
  <c r="M100"/>
  <c r="L100"/>
  <c r="L60"/>
  <c r="L69"/>
  <c r="M84"/>
  <c r="L84"/>
  <c r="L13"/>
  <c r="Q13"/>
  <c r="M13"/>
  <c r="P13"/>
  <c r="M8"/>
  <c r="P8"/>
  <c r="L8"/>
  <c r="Q8"/>
  <c r="L399"/>
  <c r="M399"/>
  <c r="L195"/>
  <c r="M195"/>
  <c r="M392"/>
  <c r="L392"/>
  <c r="M103"/>
  <c r="L103"/>
  <c r="L104"/>
  <c r="M110"/>
  <c r="L110"/>
  <c r="M87"/>
  <c r="L87"/>
  <c r="M370"/>
  <c r="L370"/>
  <c r="L44"/>
  <c r="L43"/>
  <c r="Q43"/>
  <c r="M43"/>
  <c r="P43"/>
  <c r="M50"/>
  <c r="P50"/>
  <c r="P53"/>
  <c r="L163"/>
  <c r="L34"/>
  <c r="Q34"/>
  <c r="Q37"/>
  <c r="Q40"/>
  <c r="Q41"/>
  <c r="L436"/>
  <c r="L214"/>
  <c r="L160"/>
  <c r="L23"/>
  <c r="Q23"/>
  <c r="L450"/>
  <c r="M450"/>
  <c r="M442"/>
  <c r="L442"/>
  <c r="M429"/>
  <c r="L429"/>
  <c r="M311"/>
  <c r="L311"/>
  <c r="M223"/>
  <c r="L223"/>
  <c r="M190"/>
  <c r="L190"/>
  <c r="M98"/>
  <c r="L98"/>
  <c r="L381"/>
  <c r="M381"/>
  <c r="M307"/>
  <c r="L307"/>
  <c r="M265"/>
  <c r="L265"/>
  <c r="M245"/>
  <c r="L245"/>
  <c r="M236"/>
  <c r="L236"/>
  <c r="M137"/>
  <c r="M149"/>
  <c r="L149"/>
  <c r="M94"/>
  <c r="L94"/>
  <c r="P37"/>
  <c r="P40"/>
  <c r="P41"/>
  <c r="M446"/>
  <c r="L446"/>
  <c r="M413"/>
  <c r="L413"/>
  <c r="M181"/>
  <c r="L181"/>
  <c r="L179"/>
  <c r="M164"/>
  <c r="L164"/>
  <c r="M394"/>
  <c r="L394"/>
  <c r="L73"/>
  <c r="M338"/>
  <c r="L338"/>
  <c r="M227"/>
  <c r="L227"/>
  <c r="M65"/>
  <c r="P65"/>
  <c r="L65"/>
  <c r="Q65"/>
  <c r="L50"/>
  <c r="Q50"/>
  <c r="M11"/>
  <c r="P11"/>
  <c r="L11"/>
  <c r="Q11"/>
  <c r="M10"/>
  <c r="P10"/>
  <c r="L10"/>
  <c r="Q10"/>
  <c r="L420"/>
  <c r="L209"/>
  <c r="L174"/>
  <c r="P5"/>
  <c r="P6"/>
  <c r="Q5"/>
  <c r="Q6"/>
  <c r="Q14"/>
  <c r="P14"/>
  <c r="Q411"/>
  <c r="P366"/>
  <c r="P59"/>
  <c r="O79"/>
  <c r="Q417"/>
  <c r="Q403"/>
  <c r="P137"/>
  <c r="Q236"/>
  <c r="P236"/>
  <c r="Q60"/>
  <c r="Q189"/>
  <c r="Q96"/>
  <c r="P470"/>
  <c r="P117"/>
  <c r="Q402"/>
  <c r="O118"/>
  <c r="O109"/>
  <c r="Q109"/>
  <c r="P135"/>
  <c r="O105"/>
  <c r="P105"/>
  <c r="Q104"/>
  <c r="Q83"/>
  <c r="O86"/>
  <c r="Q86"/>
  <c r="O100"/>
  <c r="P91"/>
  <c r="O94"/>
  <c r="Q94"/>
  <c r="O93"/>
  <c r="O97"/>
  <c r="P97"/>
  <c r="O98"/>
  <c r="O92"/>
  <c r="P92"/>
  <c r="O127"/>
  <c r="Q127"/>
  <c r="O126"/>
  <c r="P126"/>
  <c r="O158"/>
  <c r="P157"/>
  <c r="O201"/>
  <c r="Q200"/>
  <c r="Q237"/>
  <c r="O460"/>
  <c r="P121"/>
  <c r="Q121"/>
  <c r="P95"/>
  <c r="Q95"/>
  <c r="O80"/>
  <c r="O110"/>
  <c r="O107"/>
  <c r="O108"/>
  <c r="Q108"/>
  <c r="O106"/>
  <c r="P103"/>
  <c r="Q103"/>
  <c r="O122"/>
  <c r="O120"/>
  <c r="Q117"/>
  <c r="O150"/>
  <c r="P150"/>
  <c r="O153"/>
  <c r="P153"/>
  <c r="O180"/>
  <c r="P180"/>
  <c r="Q179"/>
  <c r="P208"/>
  <c r="O209"/>
  <c r="P257"/>
  <c r="P310"/>
  <c r="O311"/>
  <c r="O398"/>
  <c r="O399"/>
  <c r="Q441"/>
  <c r="O442"/>
  <c r="P441"/>
  <c r="P72"/>
  <c r="Q118"/>
  <c r="P118"/>
  <c r="Q105"/>
  <c r="P109"/>
  <c r="O259"/>
  <c r="P120"/>
  <c r="Q120"/>
  <c r="Q106"/>
  <c r="P106"/>
  <c r="Q107"/>
  <c r="P107"/>
  <c r="O202"/>
  <c r="Q201"/>
  <c r="P201"/>
  <c r="Q158"/>
  <c r="P158"/>
  <c r="O159"/>
  <c r="P159"/>
  <c r="P98"/>
  <c r="Q98"/>
  <c r="P93"/>
  <c r="Q93"/>
  <c r="P442"/>
  <c r="P398"/>
  <c r="O181"/>
  <c r="Q181"/>
  <c r="Q180"/>
  <c r="Q153"/>
  <c r="Q150"/>
  <c r="P108"/>
  <c r="Q126"/>
  <c r="Q92"/>
  <c r="Q97"/>
  <c r="P94"/>
  <c r="P181"/>
  <c r="Q159"/>
  <c r="Q412"/>
  <c r="P412"/>
  <c r="P414"/>
  <c r="Q73"/>
  <c r="Q119"/>
  <c r="O136"/>
  <c r="P134"/>
  <c r="Q134"/>
  <c r="O190"/>
  <c r="P189"/>
  <c r="O342"/>
  <c r="P342"/>
  <c r="P341"/>
  <c r="P343"/>
  <c r="Q341"/>
  <c r="O392"/>
  <c r="Q391"/>
  <c r="O418"/>
  <c r="P417"/>
  <c r="O443"/>
  <c r="Q442"/>
  <c r="P209"/>
  <c r="O210"/>
  <c r="Q460"/>
  <c r="Q461"/>
  <c r="P460"/>
  <c r="Q62"/>
  <c r="P62"/>
  <c r="P99"/>
  <c r="Q99"/>
  <c r="P79"/>
  <c r="Q79"/>
  <c r="O87"/>
  <c r="Q87"/>
  <c r="O88"/>
  <c r="O84"/>
  <c r="O85"/>
  <c r="O78"/>
  <c r="P77"/>
  <c r="O129"/>
  <c r="Q125"/>
  <c r="O130"/>
  <c r="Q130"/>
  <c r="O128"/>
  <c r="O154"/>
  <c r="Q154"/>
  <c r="O151"/>
  <c r="O148"/>
  <c r="O149"/>
  <c r="O147"/>
  <c r="O152"/>
  <c r="P146"/>
  <c r="O238"/>
  <c r="O239"/>
  <c r="P237"/>
  <c r="Q258"/>
  <c r="P258"/>
  <c r="O380"/>
  <c r="O381"/>
  <c r="P379"/>
  <c r="O404"/>
  <c r="P403"/>
  <c r="O428"/>
  <c r="Q427"/>
  <c r="O160"/>
  <c r="O182"/>
  <c r="P86"/>
  <c r="P127"/>
  <c r="Q209"/>
  <c r="Q398"/>
  <c r="Q70"/>
  <c r="Q69"/>
  <c r="P459"/>
  <c r="P461"/>
  <c r="Q469"/>
  <c r="Q470"/>
  <c r="Q143"/>
  <c r="Q144"/>
  <c r="P143"/>
  <c r="P144"/>
  <c r="P233"/>
  <c r="P234"/>
  <c r="Q233"/>
  <c r="Q234"/>
  <c r="Q245"/>
  <c r="Q246"/>
  <c r="P245"/>
  <c r="P246"/>
  <c r="Q251"/>
  <c r="Q252"/>
  <c r="P251"/>
  <c r="P252"/>
  <c r="P262"/>
  <c r="P263"/>
  <c r="Q262"/>
  <c r="Q263"/>
  <c r="Q268"/>
  <c r="Q269"/>
  <c r="P268"/>
  <c r="P269"/>
  <c r="P274"/>
  <c r="P275"/>
  <c r="Q274"/>
  <c r="Q275"/>
  <c r="Q280"/>
  <c r="Q281"/>
  <c r="P280"/>
  <c r="P281"/>
  <c r="P286"/>
  <c r="P287"/>
  <c r="Q286"/>
  <c r="Q287"/>
  <c r="P292"/>
  <c r="P293"/>
  <c r="Q292"/>
  <c r="Q293"/>
  <c r="P298"/>
  <c r="P299"/>
  <c r="Q298"/>
  <c r="Q299"/>
  <c r="P304"/>
  <c r="P305"/>
  <c r="Q304"/>
  <c r="Q305"/>
  <c r="Q314"/>
  <c r="Q315"/>
  <c r="P314"/>
  <c r="P315"/>
  <c r="Q320"/>
  <c r="Q321"/>
  <c r="P320"/>
  <c r="P321"/>
  <c r="Q326"/>
  <c r="Q327"/>
  <c r="P326"/>
  <c r="P327"/>
  <c r="Q332"/>
  <c r="Q333"/>
  <c r="P332"/>
  <c r="P333"/>
  <c r="P338"/>
  <c r="P339"/>
  <c r="Q338"/>
  <c r="Q339"/>
  <c r="P348"/>
  <c r="P349"/>
  <c r="Q348"/>
  <c r="Q349"/>
  <c r="Q354"/>
  <c r="Q355"/>
  <c r="P354"/>
  <c r="P355"/>
  <c r="Q360"/>
  <c r="Q361"/>
  <c r="P360"/>
  <c r="P361"/>
  <c r="P370"/>
  <c r="P371"/>
  <c r="Q370"/>
  <c r="Q371"/>
  <c r="P376"/>
  <c r="P377"/>
  <c r="Q376"/>
  <c r="Q377"/>
  <c r="P64"/>
  <c r="Q64"/>
  <c r="Q66"/>
  <c r="P80"/>
  <c r="Q80"/>
  <c r="Q100"/>
  <c r="Q101"/>
  <c r="P100"/>
  <c r="P101"/>
  <c r="P114"/>
  <c r="P115"/>
  <c r="Q114"/>
  <c r="Q115"/>
  <c r="P130"/>
  <c r="P154"/>
  <c r="Q202"/>
  <c r="Q203"/>
  <c r="P202"/>
  <c r="P203"/>
  <c r="P311"/>
  <c r="P312"/>
  <c r="Q311"/>
  <c r="Q312"/>
  <c r="P367"/>
  <c r="P368"/>
  <c r="Q367"/>
  <c r="Q368"/>
  <c r="Q384"/>
  <c r="Q385"/>
  <c r="P384"/>
  <c r="P385"/>
  <c r="Q466"/>
  <c r="Q467"/>
  <c r="P466"/>
  <c r="P467"/>
  <c r="P478"/>
  <c r="P479"/>
  <c r="Q478"/>
  <c r="Q479"/>
  <c r="P140"/>
  <c r="P141"/>
  <c r="Q140"/>
  <c r="Q141"/>
  <c r="P205"/>
  <c r="P206"/>
  <c r="Q205"/>
  <c r="Q206"/>
  <c r="Q230"/>
  <c r="Q231"/>
  <c r="P230"/>
  <c r="P231"/>
  <c r="P242"/>
  <c r="P243"/>
  <c r="Q242"/>
  <c r="Q243"/>
  <c r="P248"/>
  <c r="P249"/>
  <c r="Q248"/>
  <c r="Q249"/>
  <c r="Q254"/>
  <c r="Q255"/>
  <c r="P254"/>
  <c r="P255"/>
  <c r="P265"/>
  <c r="P266"/>
  <c r="Q265"/>
  <c r="Q266"/>
  <c r="P271"/>
  <c r="P272"/>
  <c r="Q271"/>
  <c r="Q272"/>
  <c r="Q277"/>
  <c r="Q278"/>
  <c r="P277"/>
  <c r="P278"/>
  <c r="Q283"/>
  <c r="Q284"/>
  <c r="P283"/>
  <c r="P284"/>
  <c r="Q289"/>
  <c r="Q290"/>
  <c r="P289"/>
  <c r="P290"/>
  <c r="Q295"/>
  <c r="Q296"/>
  <c r="P295"/>
  <c r="P296"/>
  <c r="Q301"/>
  <c r="Q302"/>
  <c r="P301"/>
  <c r="P302"/>
  <c r="P307"/>
  <c r="P308"/>
  <c r="Q307"/>
  <c r="Q308"/>
  <c r="P317"/>
  <c r="P318"/>
  <c r="Q317"/>
  <c r="Q318"/>
  <c r="Q323"/>
  <c r="Q324"/>
  <c r="P323"/>
  <c r="P324"/>
  <c r="Q329"/>
  <c r="Q330"/>
  <c r="P329"/>
  <c r="P330"/>
  <c r="P335"/>
  <c r="P336"/>
  <c r="Q335"/>
  <c r="Q336"/>
  <c r="Q345"/>
  <c r="Q346"/>
  <c r="P345"/>
  <c r="P346"/>
  <c r="P351"/>
  <c r="P352"/>
  <c r="Q351"/>
  <c r="Q352"/>
  <c r="Q357"/>
  <c r="Q358"/>
  <c r="P357"/>
  <c r="P358"/>
  <c r="Q363"/>
  <c r="Q364"/>
  <c r="P363"/>
  <c r="P364"/>
  <c r="Q373"/>
  <c r="Q374"/>
  <c r="P373"/>
  <c r="P374"/>
  <c r="P387"/>
  <c r="P388"/>
  <c r="Q387"/>
  <c r="Q388"/>
  <c r="P74"/>
  <c r="P75"/>
  <c r="Q74"/>
  <c r="Q75"/>
  <c r="P88"/>
  <c r="Q88"/>
  <c r="Q110"/>
  <c r="Q111"/>
  <c r="P110"/>
  <c r="P111"/>
  <c r="P122"/>
  <c r="P123"/>
  <c r="Q122"/>
  <c r="Q123"/>
  <c r="P136"/>
  <c r="Q136"/>
  <c r="Q138"/>
  <c r="P259"/>
  <c r="Q259"/>
  <c r="Q260"/>
  <c r="Q342"/>
  <c r="Q343"/>
  <c r="Q380"/>
  <c r="P380"/>
  <c r="Q399"/>
  <c r="P399"/>
  <c r="P400"/>
  <c r="Q413"/>
  <c r="Q415"/>
  <c r="P413"/>
  <c r="P415"/>
  <c r="Q475"/>
  <c r="Q476"/>
  <c r="P475"/>
  <c r="P476"/>
  <c r="P481"/>
  <c r="P482"/>
  <c r="Q481"/>
  <c r="Q482"/>
  <c r="P66"/>
  <c r="N227"/>
  <c r="N238"/>
  <c r="P55"/>
  <c r="P56"/>
  <c r="Q55"/>
  <c r="Q56"/>
  <c r="Q44"/>
  <c r="Q52"/>
  <c r="Q53"/>
  <c r="R53"/>
  <c r="P30"/>
  <c r="P31"/>
  <c r="Q30"/>
  <c r="Q31"/>
  <c r="P25"/>
  <c r="P27"/>
  <c r="Q25"/>
  <c r="Q27"/>
  <c r="P182"/>
  <c r="O183"/>
  <c r="Q182"/>
  <c r="Q147"/>
  <c r="Q148"/>
  <c r="Q149"/>
  <c r="Q151"/>
  <c r="Q152"/>
  <c r="Q155"/>
  <c r="P147"/>
  <c r="P148"/>
  <c r="Q129"/>
  <c r="P129"/>
  <c r="P78"/>
  <c r="P81"/>
  <c r="Q78"/>
  <c r="Q81"/>
  <c r="P84"/>
  <c r="Q84"/>
  <c r="P443"/>
  <c r="O444"/>
  <c r="Q443"/>
  <c r="O191"/>
  <c r="Q190"/>
  <c r="P190"/>
  <c r="Q160"/>
  <c r="O161"/>
  <c r="P160"/>
  <c r="P428"/>
  <c r="O429"/>
  <c r="Q428"/>
  <c r="O405"/>
  <c r="Q404"/>
  <c r="P404"/>
  <c r="P381"/>
  <c r="Q381"/>
  <c r="Q239"/>
  <c r="P239"/>
  <c r="P152"/>
  <c r="P149"/>
  <c r="P151"/>
  <c r="P155"/>
  <c r="P128"/>
  <c r="P132"/>
  <c r="Q128"/>
  <c r="Q132"/>
  <c r="Q85"/>
  <c r="P85"/>
  <c r="O211"/>
  <c r="Q210"/>
  <c r="P210"/>
  <c r="P418"/>
  <c r="O419"/>
  <c r="Q418"/>
  <c r="O393"/>
  <c r="Q392"/>
  <c r="P392"/>
  <c r="P382"/>
  <c r="Q89"/>
  <c r="Q400"/>
  <c r="Q382"/>
  <c r="P260"/>
  <c r="P138"/>
  <c r="P87"/>
  <c r="Q238"/>
  <c r="Q240"/>
  <c r="P238"/>
  <c r="P240"/>
  <c r="P227"/>
  <c r="P228"/>
  <c r="Q227"/>
  <c r="Q228"/>
  <c r="P211"/>
  <c r="O212"/>
  <c r="Q211"/>
  <c r="P183"/>
  <c r="Q183"/>
  <c r="O184"/>
  <c r="P89"/>
  <c r="P393"/>
  <c r="O394"/>
  <c r="Q393"/>
  <c r="Q419"/>
  <c r="O420"/>
  <c r="P419"/>
  <c r="P405"/>
  <c r="O406"/>
  <c r="Q405"/>
  <c r="P429"/>
  <c r="Q429"/>
  <c r="O430"/>
  <c r="P161"/>
  <c r="O162"/>
  <c r="Q161"/>
  <c r="Q191"/>
  <c r="O192"/>
  <c r="P191"/>
  <c r="O445"/>
  <c r="P444"/>
  <c r="Q444"/>
  <c r="Q445"/>
  <c r="P445"/>
  <c r="O446"/>
  <c r="Q192"/>
  <c r="O193"/>
  <c r="P192"/>
  <c r="P420"/>
  <c r="O421"/>
  <c r="Q420"/>
  <c r="O185"/>
  <c r="P184"/>
  <c r="Q184"/>
  <c r="P212"/>
  <c r="O213"/>
  <c r="Q212"/>
  <c r="O163"/>
  <c r="Q162"/>
  <c r="P162"/>
  <c r="P430"/>
  <c r="O431"/>
  <c r="Q430"/>
  <c r="Q406"/>
  <c r="O407"/>
  <c r="P406"/>
  <c r="P394"/>
  <c r="P395"/>
  <c r="Q394"/>
  <c r="Q395"/>
  <c r="O408"/>
  <c r="Q407"/>
  <c r="P407"/>
  <c r="P193"/>
  <c r="O194"/>
  <c r="Q193"/>
  <c r="Q446"/>
  <c r="O447"/>
  <c r="P446"/>
  <c r="P431"/>
  <c r="Q431"/>
  <c r="O432"/>
  <c r="O164"/>
  <c r="Q163"/>
  <c r="P163"/>
  <c r="O214"/>
  <c r="Q213"/>
  <c r="P213"/>
  <c r="Q185"/>
  <c r="O186"/>
  <c r="P185"/>
  <c r="P421"/>
  <c r="O422"/>
  <c r="Q421"/>
  <c r="Q186"/>
  <c r="Q187"/>
  <c r="P186"/>
  <c r="P187"/>
  <c r="O215"/>
  <c r="P214"/>
  <c r="Q214"/>
  <c r="Q432"/>
  <c r="P432"/>
  <c r="O433"/>
  <c r="O195"/>
  <c r="P194"/>
  <c r="Q194"/>
  <c r="Q408"/>
  <c r="P408"/>
  <c r="P409"/>
  <c r="O423"/>
  <c r="Q422"/>
  <c r="P422"/>
  <c r="Q164"/>
  <c r="P164"/>
  <c r="O165"/>
  <c r="O448"/>
  <c r="Q447"/>
  <c r="P447"/>
  <c r="Q409"/>
  <c r="Q165"/>
  <c r="O166"/>
  <c r="P165"/>
  <c r="O434"/>
  <c r="P433"/>
  <c r="Q433"/>
  <c r="O449"/>
  <c r="Q448"/>
  <c r="P448"/>
  <c r="O424"/>
  <c r="P423"/>
  <c r="Q423"/>
  <c r="O196"/>
  <c r="P195"/>
  <c r="Q195"/>
  <c r="Q215"/>
  <c r="O216"/>
  <c r="P215"/>
  <c r="Q216"/>
  <c r="O217"/>
  <c r="P216"/>
  <c r="O197"/>
  <c r="Q196"/>
  <c r="P196"/>
  <c r="O450"/>
  <c r="Q449"/>
  <c r="P449"/>
  <c r="P424"/>
  <c r="P425"/>
  <c r="Q424"/>
  <c r="O435"/>
  <c r="Q434"/>
  <c r="P434"/>
  <c r="P166"/>
  <c r="O167"/>
  <c r="Q166"/>
  <c r="Q425"/>
  <c r="P167"/>
  <c r="O168"/>
  <c r="Q167"/>
  <c r="P435"/>
  <c r="Q435"/>
  <c r="O436"/>
  <c r="O451"/>
  <c r="P450"/>
  <c r="Q450"/>
  <c r="Q197"/>
  <c r="Q198"/>
  <c r="P197"/>
  <c r="Q217"/>
  <c r="P217"/>
  <c r="O218"/>
  <c r="P198"/>
  <c r="Q451"/>
  <c r="O452"/>
  <c r="P451"/>
  <c r="Q218"/>
  <c r="P218"/>
  <c r="O219"/>
  <c r="Q436"/>
  <c r="O437"/>
  <c r="P436"/>
  <c r="O169"/>
  <c r="P168"/>
  <c r="Q168"/>
  <c r="P169"/>
  <c r="O170"/>
  <c r="Q169"/>
  <c r="O438"/>
  <c r="P437"/>
  <c r="Q437"/>
  <c r="O220"/>
  <c r="P219"/>
  <c r="Q219"/>
  <c r="O453"/>
  <c r="Q452"/>
  <c r="P452"/>
  <c r="O221"/>
  <c r="Q220"/>
  <c r="P220"/>
  <c r="P453"/>
  <c r="O454"/>
  <c r="Q453"/>
  <c r="Q438"/>
  <c r="P438"/>
  <c r="P439"/>
  <c r="P170"/>
  <c r="O171"/>
  <c r="Q170"/>
  <c r="Q439"/>
  <c r="P171"/>
  <c r="O172"/>
  <c r="Q171"/>
  <c r="Q221"/>
  <c r="P221"/>
  <c r="O222"/>
  <c r="P454"/>
  <c r="O455"/>
  <c r="Q454"/>
  <c r="O456"/>
  <c r="P455"/>
  <c r="Q455"/>
  <c r="Q222"/>
  <c r="O223"/>
  <c r="P222"/>
  <c r="Q172"/>
  <c r="O173"/>
  <c r="P172"/>
  <c r="O224"/>
  <c r="P223"/>
  <c r="Q223"/>
  <c r="Q456"/>
  <c r="P456"/>
  <c r="Q457"/>
  <c r="P173"/>
  <c r="O174"/>
  <c r="Q173"/>
  <c r="P457"/>
  <c r="P174"/>
  <c r="O175"/>
  <c r="Q174"/>
  <c r="Q224"/>
  <c r="Q225"/>
  <c r="P224"/>
  <c r="P225"/>
  <c r="P175"/>
  <c r="O176"/>
  <c r="Q175"/>
  <c r="P176"/>
  <c r="P177"/>
  <c r="Q176"/>
  <c r="Q177"/>
</calcChain>
</file>

<file path=xl/comments1.xml><?xml version="1.0" encoding="utf-8"?>
<comments xmlns="http://schemas.openxmlformats.org/spreadsheetml/2006/main">
  <authors>
    <author>Larry</author>
  </authors>
  <commentList>
    <comment ref="H6" authorId="0">
      <text>
        <r>
          <rPr>
            <b/>
            <sz val="9"/>
            <color indexed="81"/>
            <rFont val="Tahoma"/>
            <family val="2"/>
          </rPr>
          <t>Larry:</t>
        </r>
        <r>
          <rPr>
            <sz val="9"/>
            <color indexed="81"/>
            <rFont val="Tahoma"/>
            <family val="2"/>
          </rPr>
          <t xml:space="preserve">
Audit lists $2,430,539 for contributions.  Have reduced by $1,327,496 as a result of contributions to affiliate</t>
        </r>
      </text>
    </comment>
    <comment ref="J6" authorId="0">
      <text>
        <r>
          <rPr>
            <b/>
            <sz val="9"/>
            <color indexed="81"/>
            <rFont val="Tahoma"/>
            <family val="2"/>
          </rPr>
          <t>Larry:</t>
        </r>
        <r>
          <rPr>
            <sz val="9"/>
            <color indexed="81"/>
            <rFont val="Tahoma"/>
            <family val="2"/>
          </rPr>
          <t xml:space="preserve">
Audit shows 8,957 in Miscellaneous income.  Reduced to 5,988 to elimiate revenue for the affiliate</t>
        </r>
      </text>
    </comment>
    <comment ref="N6" authorId="0">
      <text>
        <r>
          <rPr>
            <b/>
            <sz val="9"/>
            <color indexed="81"/>
            <rFont val="Tahoma"/>
            <family val="2"/>
          </rPr>
          <t>Larry:</t>
        </r>
        <r>
          <rPr>
            <sz val="9"/>
            <color indexed="81"/>
            <rFont val="Tahoma"/>
            <family val="2"/>
          </rPr>
          <t xml:space="preserve">
Audit lists 67,163 for benefit event. Reduced by 65,913 for revenue to the affiliate to 1,250</t>
        </r>
      </text>
    </comment>
    <comment ref="O6" authorId="0">
      <text>
        <r>
          <rPr>
            <b/>
            <sz val="9"/>
            <color indexed="81"/>
            <rFont val="Tahoma"/>
            <family val="2"/>
          </rPr>
          <t>Larry:</t>
        </r>
        <r>
          <rPr>
            <sz val="9"/>
            <color indexed="81"/>
            <rFont val="Tahoma"/>
            <family val="2"/>
          </rPr>
          <t xml:space="preserve">
Audit lists 91,342 for interest income.  Reduced by 42,809 for interest revenue for the affliliate.</t>
        </r>
      </text>
    </comment>
    <comment ref="P6" authorId="0">
      <text>
        <r>
          <rPr>
            <b/>
            <sz val="9"/>
            <color indexed="81"/>
            <rFont val="Tahoma"/>
            <family val="2"/>
          </rPr>
          <t>Larry:</t>
        </r>
        <r>
          <rPr>
            <sz val="9"/>
            <color indexed="81"/>
            <rFont val="Tahoma"/>
            <family val="2"/>
          </rPr>
          <t xml:space="preserve">
Audit shows -100,942 for fundraising expenses.  Reduced to 66,197 to account for expenses of the affiliate.</t>
        </r>
      </text>
    </comment>
    <comment ref="B35" authorId="0">
      <text>
        <r>
          <rPr>
            <b/>
            <sz val="9"/>
            <color indexed="81"/>
            <rFont val="Tahoma"/>
            <family val="2"/>
          </rPr>
          <t>Larry:</t>
        </r>
        <r>
          <rPr>
            <sz val="9"/>
            <color indexed="81"/>
            <rFont val="Tahoma"/>
            <family val="2"/>
          </rPr>
          <t xml:space="preserve">
Audit includes revenue for affiliated LLC.  However, the audit does not segment revenue and expenditures for the affiliate as do other New York audits.</t>
        </r>
      </text>
    </comment>
    <comment ref="H45" authorId="0">
      <text>
        <r>
          <rPr>
            <b/>
            <sz val="9"/>
            <color indexed="81"/>
            <rFont val="Tahoma"/>
            <family val="2"/>
          </rPr>
          <t>Larry:</t>
        </r>
        <r>
          <rPr>
            <sz val="9"/>
            <color indexed="81"/>
            <rFont val="Tahoma"/>
            <family val="2"/>
          </rPr>
          <t xml:space="preserve">
audit shows 512,230 for contributions.  Reduced by 177,795 for affliate contributions.</t>
        </r>
      </text>
    </comment>
    <comment ref="O45" authorId="0">
      <text>
        <r>
          <rPr>
            <b/>
            <sz val="9"/>
            <color indexed="81"/>
            <rFont val="Tahoma"/>
            <family val="2"/>
          </rPr>
          <t>Larry:</t>
        </r>
        <r>
          <rPr>
            <sz val="9"/>
            <color indexed="81"/>
            <rFont val="Tahoma"/>
            <family val="2"/>
          </rPr>
          <t xml:space="preserve">
Audit indicates 3,354 for interest.  Reduced by 737 for affiliate interest.</t>
        </r>
      </text>
    </comment>
    <comment ref="P45" authorId="0">
      <text>
        <r>
          <rPr>
            <b/>
            <sz val="9"/>
            <color indexed="81"/>
            <rFont val="Tahoma"/>
            <family val="2"/>
          </rPr>
          <t>Larry:</t>
        </r>
        <r>
          <rPr>
            <sz val="9"/>
            <color indexed="81"/>
            <rFont val="Tahoma"/>
            <family val="2"/>
          </rPr>
          <t xml:space="preserve">
Audit indicates -71,298 for fundraising expenses.  Reduced to -62,791 to reflect affiliate fundraising expenses.</t>
        </r>
      </text>
    </comment>
    <comment ref="H52" authorId="0">
      <text>
        <r>
          <rPr>
            <b/>
            <sz val="9"/>
            <color indexed="81"/>
            <rFont val="Tahoma"/>
            <family val="2"/>
          </rPr>
          <t>Larry:</t>
        </r>
        <r>
          <rPr>
            <sz val="9"/>
            <color indexed="81"/>
            <rFont val="Tahoma"/>
            <family val="2"/>
          </rPr>
          <t xml:space="preserve">
Audit includes $264,951 for all types of contributions.  Reduced by 66,076 for contributions to affiliate.</t>
        </r>
      </text>
    </comment>
    <comment ref="O52" authorId="0">
      <text>
        <r>
          <rPr>
            <b/>
            <sz val="9"/>
            <color indexed="81"/>
            <rFont val="Tahoma"/>
            <family val="2"/>
          </rPr>
          <t>Larry:</t>
        </r>
        <r>
          <rPr>
            <sz val="9"/>
            <color indexed="81"/>
            <rFont val="Tahoma"/>
            <family val="2"/>
          </rPr>
          <t xml:space="preserve">
Audit lists 39,594 for interest income.  Reduced by 7,648 for affiliate interest income</t>
        </r>
      </text>
    </comment>
    <comment ref="P52" authorId="0">
      <text>
        <r>
          <rPr>
            <b/>
            <sz val="9"/>
            <color indexed="81"/>
            <rFont val="Tahoma"/>
            <family val="2"/>
          </rPr>
          <t>Larry:</t>
        </r>
        <r>
          <rPr>
            <sz val="9"/>
            <color indexed="81"/>
            <rFont val="Tahoma"/>
            <family val="2"/>
          </rPr>
          <t xml:space="preserve">
Audit shows -17,031 for fundraising expenses.  Reduced by -8015 to account for affiliate expenses related to fundraising</t>
        </r>
      </text>
    </comment>
    <comment ref="H55" authorId="0">
      <text>
        <r>
          <rPr>
            <b/>
            <sz val="9"/>
            <color indexed="81"/>
            <rFont val="Tahoma"/>
            <family val="2"/>
          </rPr>
          <t>Larry:</t>
        </r>
        <r>
          <rPr>
            <sz val="9"/>
            <color indexed="81"/>
            <rFont val="Tahoma"/>
            <family val="2"/>
          </rPr>
          <t xml:space="preserve">
Audit indicates 329,420 for contributions.  Reduced to 200,140 to account for $149,280 in contributions to affiliate</t>
        </r>
      </text>
    </comment>
    <comment ref="O55" authorId="0">
      <text>
        <r>
          <rPr>
            <b/>
            <sz val="9"/>
            <color indexed="81"/>
            <rFont val="Tahoma"/>
            <family val="2"/>
          </rPr>
          <t>Larry:</t>
        </r>
        <r>
          <rPr>
            <sz val="9"/>
            <color indexed="81"/>
            <rFont val="Tahoma"/>
            <family val="2"/>
          </rPr>
          <t xml:space="preserve">
Audit lists 15,411 in interest income.  Reduced to 10,813 to account for interest earned by affiliate in the amount of 4,598</t>
        </r>
      </text>
    </comment>
  </commentList>
</comments>
</file>

<file path=xl/comments2.xml><?xml version="1.0" encoding="utf-8"?>
<comments xmlns="http://schemas.openxmlformats.org/spreadsheetml/2006/main">
  <authors>
    <author>Larry</author>
  </authors>
  <commentList>
    <comment ref="AO6" authorId="0">
      <text>
        <r>
          <rPr>
            <b/>
            <sz val="9"/>
            <color indexed="81"/>
            <rFont val="Tahoma"/>
            <family val="2"/>
          </rPr>
          <t>Larry:</t>
        </r>
        <r>
          <rPr>
            <sz val="9"/>
            <color indexed="81"/>
            <rFont val="Tahoma"/>
            <family val="2"/>
          </rPr>
          <t xml:space="preserve">
Audit shows -100,942 for fundraising expenses.  Reduced to 66,197 to account for expenses of the affiliate.</t>
        </r>
      </text>
    </comment>
    <comment ref="A7" authorId="0">
      <text>
        <r>
          <rPr>
            <b/>
            <sz val="9"/>
            <color indexed="81"/>
            <rFont val="Tahoma"/>
            <family val="2"/>
          </rPr>
          <t>Larry:</t>
        </r>
        <r>
          <rPr>
            <sz val="9"/>
            <color indexed="81"/>
            <rFont val="Tahoma"/>
            <family val="2"/>
          </rPr>
          <t xml:space="preserve">
Audit includes revenue for affiliated LLC.  However, the audit does not segment revenue and expenditures for the affiliate as do other New York audits.</t>
        </r>
      </text>
    </comment>
    <comment ref="C7" authorId="0">
      <text>
        <r>
          <rPr>
            <b/>
            <sz val="9"/>
            <color indexed="81"/>
            <rFont val="Tahoma"/>
            <family val="2"/>
          </rPr>
          <t>Larry:</t>
        </r>
        <r>
          <rPr>
            <sz val="9"/>
            <color indexed="81"/>
            <rFont val="Tahoma"/>
            <family val="2"/>
          </rPr>
          <t xml:space="preserve">
street address is in Buffalo but state indicates this charter is in the Kenmore-Tonawanda School District</t>
        </r>
      </text>
    </comment>
    <comment ref="T21" authorId="0">
      <text>
        <r>
          <rPr>
            <b/>
            <sz val="9"/>
            <color indexed="81"/>
            <rFont val="Tahoma"/>
            <family val="2"/>
          </rPr>
          <t>Larry:</t>
        </r>
        <r>
          <rPr>
            <sz val="9"/>
            <color indexed="81"/>
            <rFont val="Tahoma"/>
            <family val="2"/>
          </rPr>
          <t xml:space="preserve">
Audit lists $2,430,539 for contributions.  Have reduced by $1,327,496 as a result of contributions to affiliate</t>
        </r>
      </text>
    </comment>
    <comment ref="U21" authorId="0">
      <text>
        <r>
          <rPr>
            <b/>
            <sz val="9"/>
            <color indexed="81"/>
            <rFont val="Tahoma"/>
            <family val="2"/>
          </rPr>
          <t>Larry:</t>
        </r>
        <r>
          <rPr>
            <sz val="9"/>
            <color indexed="81"/>
            <rFont val="Tahoma"/>
            <family val="2"/>
          </rPr>
          <t xml:space="preserve">
Audit shows 8,957 in Miscellaneous income.  Reduced to 5,988 to elimiate revenue for the affiliate</t>
        </r>
      </text>
    </comment>
    <comment ref="V21" authorId="0">
      <text>
        <r>
          <rPr>
            <b/>
            <sz val="9"/>
            <color indexed="81"/>
            <rFont val="Tahoma"/>
            <family val="2"/>
          </rPr>
          <t>Larry:</t>
        </r>
        <r>
          <rPr>
            <sz val="9"/>
            <color indexed="81"/>
            <rFont val="Tahoma"/>
            <family val="2"/>
          </rPr>
          <t xml:space="preserve">
Audit lists 67,163 for benefit event. Reduced by 65,913 for revenue to the affiliate to 1,250</t>
        </r>
      </text>
    </comment>
    <comment ref="W21" authorId="0">
      <text>
        <r>
          <rPr>
            <b/>
            <sz val="9"/>
            <color indexed="81"/>
            <rFont val="Tahoma"/>
            <family val="2"/>
          </rPr>
          <t>Larry:</t>
        </r>
        <r>
          <rPr>
            <sz val="9"/>
            <color indexed="81"/>
            <rFont val="Tahoma"/>
            <family val="2"/>
          </rPr>
          <t xml:space="preserve">
Audit lists 91,342 for interest income.  Reduced by 42,809 for interest revenue for the affliliate.</t>
        </r>
      </text>
    </comment>
    <comment ref="B27" authorId="0">
      <text>
        <r>
          <rPr>
            <b/>
            <sz val="9"/>
            <color indexed="81"/>
            <rFont val="Tahoma"/>
            <family val="2"/>
          </rPr>
          <t>Larry:</t>
        </r>
        <r>
          <rPr>
            <sz val="9"/>
            <color indexed="81"/>
            <rFont val="Tahoma"/>
            <family val="2"/>
          </rPr>
          <t xml:space="preserve">
The State Department of Ed report card for ross does not contain any data.  Therefore, we have used the sending district enrollment as a proxy.</t>
        </r>
      </text>
    </comment>
    <comment ref="T42" authorId="0">
      <text>
        <r>
          <rPr>
            <b/>
            <sz val="9"/>
            <color indexed="81"/>
            <rFont val="Tahoma"/>
            <family val="2"/>
          </rPr>
          <t>Larry:</t>
        </r>
        <r>
          <rPr>
            <sz val="9"/>
            <color indexed="81"/>
            <rFont val="Tahoma"/>
            <family val="2"/>
          </rPr>
          <t xml:space="preserve">
audit shows 512,230 for contributions.  Reduced by 177,795 for affliate contributions.</t>
        </r>
      </text>
    </comment>
    <comment ref="W42" authorId="0">
      <text>
        <r>
          <rPr>
            <b/>
            <sz val="9"/>
            <color indexed="81"/>
            <rFont val="Tahoma"/>
            <family val="2"/>
          </rPr>
          <t>Larry:</t>
        </r>
        <r>
          <rPr>
            <sz val="9"/>
            <color indexed="81"/>
            <rFont val="Tahoma"/>
            <family val="2"/>
          </rPr>
          <t xml:space="preserve">
Audit indicates 3,354 for interest.  Reduced by 737 for affiliate interest.</t>
        </r>
      </text>
    </comment>
    <comment ref="AO45" authorId="0">
      <text>
        <r>
          <rPr>
            <b/>
            <sz val="9"/>
            <color indexed="81"/>
            <rFont val="Tahoma"/>
            <family val="2"/>
          </rPr>
          <t>Larry:</t>
        </r>
        <r>
          <rPr>
            <sz val="9"/>
            <color indexed="81"/>
            <rFont val="Tahoma"/>
            <family val="2"/>
          </rPr>
          <t xml:space="preserve">
Audit indicates -71,298 for fundraising expenses.  Reduced to -62,791 to reflect affiliate fundraising expenses.</t>
        </r>
      </text>
    </comment>
    <comment ref="B49" authorId="0">
      <text>
        <r>
          <rPr>
            <b/>
            <sz val="9"/>
            <color indexed="81"/>
            <rFont val="Tahoma"/>
            <family val="2"/>
          </rPr>
          <t>Larry:</t>
        </r>
        <r>
          <rPr>
            <sz val="9"/>
            <color indexed="81"/>
            <rFont val="Tahoma"/>
            <family val="2"/>
          </rPr>
          <t xml:space="preserve">
The state does not record a report card for Explore for FY07, and we used the report cards to determine enrollment.  In the absence of the report card for this charter, we used the enrollment by sending district as an enrollment proxy.</t>
        </r>
      </text>
    </comment>
    <comment ref="T49" authorId="0">
      <text>
        <r>
          <rPr>
            <b/>
            <sz val="9"/>
            <color indexed="81"/>
            <rFont val="Tahoma"/>
            <family val="2"/>
          </rPr>
          <t>Larry:</t>
        </r>
        <r>
          <rPr>
            <sz val="9"/>
            <color indexed="81"/>
            <rFont val="Tahoma"/>
            <family val="2"/>
          </rPr>
          <t xml:space="preserve">
Audit includes $264,951 for all types of contributions.  Reduced by 66,076 for contributions to affiliate.</t>
        </r>
      </text>
    </comment>
    <comment ref="W49" authorId="0">
      <text>
        <r>
          <rPr>
            <b/>
            <sz val="9"/>
            <color indexed="81"/>
            <rFont val="Tahoma"/>
            <family val="2"/>
          </rPr>
          <t>Larry:</t>
        </r>
        <r>
          <rPr>
            <sz val="9"/>
            <color indexed="81"/>
            <rFont val="Tahoma"/>
            <family val="2"/>
          </rPr>
          <t xml:space="preserve">
Audit lists 39,594 for interest income.  Reduced by 7,648 for affiliate interest income</t>
        </r>
      </text>
    </comment>
    <comment ref="T51" authorId="0">
      <text>
        <r>
          <rPr>
            <b/>
            <sz val="9"/>
            <color indexed="81"/>
            <rFont val="Tahoma"/>
            <family val="2"/>
          </rPr>
          <t>Larry:</t>
        </r>
        <r>
          <rPr>
            <sz val="9"/>
            <color indexed="81"/>
            <rFont val="Tahoma"/>
            <family val="2"/>
          </rPr>
          <t xml:space="preserve">
Audit indicates 329,420 for contributions.  Reduced to 200,140 to account for $149,280 in contributions to affiliate</t>
        </r>
      </text>
    </comment>
    <comment ref="W51" authorId="0">
      <text>
        <r>
          <rPr>
            <b/>
            <sz val="9"/>
            <color indexed="81"/>
            <rFont val="Tahoma"/>
            <family val="2"/>
          </rPr>
          <t>Larry:</t>
        </r>
        <r>
          <rPr>
            <sz val="9"/>
            <color indexed="81"/>
            <rFont val="Tahoma"/>
            <family val="2"/>
          </rPr>
          <t xml:space="preserve">
Audit lists 15,411 in interest income.  Reduced to 10,813 to account for interest earned by affiliate in the amount of 4,598</t>
        </r>
      </text>
    </comment>
    <comment ref="AO52" authorId="0">
      <text>
        <r>
          <rPr>
            <b/>
            <sz val="9"/>
            <color indexed="81"/>
            <rFont val="Tahoma"/>
            <family val="2"/>
          </rPr>
          <t>Larry:</t>
        </r>
        <r>
          <rPr>
            <sz val="9"/>
            <color indexed="81"/>
            <rFont val="Tahoma"/>
            <family val="2"/>
          </rPr>
          <t xml:space="preserve">
Audit shows -17,031 for fundraising expenses.  Reduced by -8015 to account for affiliate expenses related to fundraising</t>
        </r>
      </text>
    </comment>
    <comment ref="T107" authorId="0">
      <text>
        <r>
          <rPr>
            <b/>
            <sz val="9"/>
            <color indexed="81"/>
            <rFont val="Tahoma"/>
            <family val="2"/>
          </rPr>
          <t>Larry:</t>
        </r>
        <r>
          <rPr>
            <sz val="9"/>
            <color indexed="81"/>
            <rFont val="Tahoma"/>
            <family val="2"/>
          </rPr>
          <t xml:space="preserve">
Audit lists $2,430,539 for contributions.  Have reduced by $1,327,496 as a result of contributions to affiliate</t>
        </r>
      </text>
    </comment>
    <comment ref="U107" authorId="0">
      <text>
        <r>
          <rPr>
            <b/>
            <sz val="9"/>
            <color indexed="81"/>
            <rFont val="Tahoma"/>
            <family val="2"/>
          </rPr>
          <t>Larry:</t>
        </r>
        <r>
          <rPr>
            <sz val="9"/>
            <color indexed="81"/>
            <rFont val="Tahoma"/>
            <family val="2"/>
          </rPr>
          <t xml:space="preserve">
Audit shows 8,957 in Miscellaneous income.  Reduced to 5,988 to elimiate revenue for the affiliate</t>
        </r>
      </text>
    </comment>
    <comment ref="V107" authorId="0">
      <text>
        <r>
          <rPr>
            <b/>
            <sz val="9"/>
            <color indexed="81"/>
            <rFont val="Tahoma"/>
            <family val="2"/>
          </rPr>
          <t>Larry:</t>
        </r>
        <r>
          <rPr>
            <sz val="9"/>
            <color indexed="81"/>
            <rFont val="Tahoma"/>
            <family val="2"/>
          </rPr>
          <t xml:space="preserve">
Audit lists 67,163 for benefit event. Reduced by 65,913 for revenue to the affiliate to 1,250</t>
        </r>
      </text>
    </comment>
    <comment ref="W107" authorId="0">
      <text>
        <r>
          <rPr>
            <b/>
            <sz val="9"/>
            <color indexed="81"/>
            <rFont val="Tahoma"/>
            <family val="2"/>
          </rPr>
          <t>Larry:</t>
        </r>
        <r>
          <rPr>
            <sz val="9"/>
            <color indexed="81"/>
            <rFont val="Tahoma"/>
            <family val="2"/>
          </rPr>
          <t xml:space="preserve">
Audit lists 91,342 for interest income.  Reduced by 42,809 for interest revenue for the affliliate.</t>
        </r>
      </text>
    </comment>
    <comment ref="T128" authorId="0">
      <text>
        <r>
          <rPr>
            <b/>
            <sz val="9"/>
            <color indexed="81"/>
            <rFont val="Tahoma"/>
            <family val="2"/>
          </rPr>
          <t>Larry:</t>
        </r>
        <r>
          <rPr>
            <sz val="9"/>
            <color indexed="81"/>
            <rFont val="Tahoma"/>
            <family val="2"/>
          </rPr>
          <t xml:space="preserve">
audit shows 512,230 for contributions.  Reduced by 177,795 for affliate contributions.</t>
        </r>
      </text>
    </comment>
    <comment ref="W128" authorId="0">
      <text>
        <r>
          <rPr>
            <b/>
            <sz val="9"/>
            <color indexed="81"/>
            <rFont val="Tahoma"/>
            <family val="2"/>
          </rPr>
          <t>Larry:</t>
        </r>
        <r>
          <rPr>
            <sz val="9"/>
            <color indexed="81"/>
            <rFont val="Tahoma"/>
            <family val="2"/>
          </rPr>
          <t xml:space="preserve">
Audit indicates 3,354 for interest.  Reduced by 737 for affiliate interest.</t>
        </r>
      </text>
    </comment>
    <comment ref="AO131" authorId="0">
      <text>
        <r>
          <rPr>
            <b/>
            <sz val="9"/>
            <color indexed="81"/>
            <rFont val="Tahoma"/>
            <family val="2"/>
          </rPr>
          <t>Larry:</t>
        </r>
        <r>
          <rPr>
            <sz val="9"/>
            <color indexed="81"/>
            <rFont val="Tahoma"/>
            <family val="2"/>
          </rPr>
          <t xml:space="preserve">
Audit indicates -71,298 for fundraising expenses.  Reduced to -62,791 to reflect affiliate fundraising expenses.</t>
        </r>
      </text>
    </comment>
    <comment ref="T135" authorId="0">
      <text>
        <r>
          <rPr>
            <b/>
            <sz val="9"/>
            <color indexed="81"/>
            <rFont val="Tahoma"/>
            <family val="2"/>
          </rPr>
          <t>Larry:</t>
        </r>
        <r>
          <rPr>
            <sz val="9"/>
            <color indexed="81"/>
            <rFont val="Tahoma"/>
            <family val="2"/>
          </rPr>
          <t xml:space="preserve">
Audit includes $264,951 for all types of contributions.  Reduced by 66,076 for contributions to affiliate.</t>
        </r>
      </text>
    </comment>
    <comment ref="W135" authorId="0">
      <text>
        <r>
          <rPr>
            <b/>
            <sz val="9"/>
            <color indexed="81"/>
            <rFont val="Tahoma"/>
            <family val="2"/>
          </rPr>
          <t>Larry:</t>
        </r>
        <r>
          <rPr>
            <sz val="9"/>
            <color indexed="81"/>
            <rFont val="Tahoma"/>
            <family val="2"/>
          </rPr>
          <t xml:space="preserve">
Audit lists 39,594 for interest income.  Reduced by 7,648 for affiliate interest income</t>
        </r>
      </text>
    </comment>
    <comment ref="T137" authorId="0">
      <text>
        <r>
          <rPr>
            <b/>
            <sz val="9"/>
            <color indexed="81"/>
            <rFont val="Tahoma"/>
            <family val="2"/>
          </rPr>
          <t>Larry:</t>
        </r>
        <r>
          <rPr>
            <sz val="9"/>
            <color indexed="81"/>
            <rFont val="Tahoma"/>
            <family val="2"/>
          </rPr>
          <t xml:space="preserve">
Audit indicates 329,420 for contributions.  Reduced to 200,140 to account for $149,280 in contributions to affiliate</t>
        </r>
      </text>
    </comment>
    <comment ref="W137" authorId="0">
      <text>
        <r>
          <rPr>
            <b/>
            <sz val="9"/>
            <color indexed="81"/>
            <rFont val="Tahoma"/>
            <family val="2"/>
          </rPr>
          <t>Larry:</t>
        </r>
        <r>
          <rPr>
            <sz val="9"/>
            <color indexed="81"/>
            <rFont val="Tahoma"/>
            <family val="2"/>
          </rPr>
          <t xml:space="preserve">
Audit lists 15,411 in interest income.  Reduced to 10,813 to account for interest earned by affiliate in the amount of 4,598</t>
        </r>
      </text>
    </comment>
    <comment ref="AO138" authorId="0">
      <text>
        <r>
          <rPr>
            <b/>
            <sz val="9"/>
            <color indexed="81"/>
            <rFont val="Tahoma"/>
            <family val="2"/>
          </rPr>
          <t>Larry:</t>
        </r>
        <r>
          <rPr>
            <sz val="9"/>
            <color indexed="81"/>
            <rFont val="Tahoma"/>
            <family val="2"/>
          </rPr>
          <t xml:space="preserve">
Audit shows -17,031 for fundraising expenses.  Reduced by -8015 to account for affiliate expenses related to fundraising</t>
        </r>
      </text>
    </comment>
  </commentList>
</comments>
</file>

<file path=xl/comments3.xml><?xml version="1.0" encoding="utf-8"?>
<comments xmlns="http://schemas.openxmlformats.org/spreadsheetml/2006/main">
  <authors>
    <author>Larry</author>
  </authors>
  <commentList>
    <comment ref="C679" authorId="0">
      <text>
        <r>
          <rPr>
            <b/>
            <sz val="9"/>
            <color indexed="81"/>
            <rFont val="Tahoma"/>
            <family val="2"/>
          </rPr>
          <t>Larry:</t>
        </r>
        <r>
          <rPr>
            <sz val="9"/>
            <color indexed="81"/>
            <rFont val="Tahoma"/>
            <family val="2"/>
          </rPr>
          <t xml:space="preserve">
State report enrollment for FY07 at 2,741,258.  This number backs out 26,485 students at charter schools</t>
        </r>
      </text>
    </comment>
  </commentList>
</comments>
</file>

<file path=xl/sharedStrings.xml><?xml version="1.0" encoding="utf-8"?>
<sst xmlns="http://schemas.openxmlformats.org/spreadsheetml/2006/main" count="7852" uniqueCount="2266">
  <si>
    <t>New York Department of Education</t>
  </si>
  <si>
    <t>All files are "read only" and based on data collections from the New York Department of Education.</t>
  </si>
  <si>
    <t>District public school receive differential funding (e.g. more funding for 9-12 vs. K-8 schools)</t>
  </si>
  <si>
    <t>Charter schools receive differential funding</t>
  </si>
  <si>
    <t>State allows districts to withhold funding from charter schools for providing adminstrative services</t>
  </si>
  <si>
    <t>State "holds harmless" ditrict funding for charter enrollment</t>
  </si>
  <si>
    <t>School is considered LEA if authorized by non-district organization</t>
  </si>
  <si>
    <t>School is considered LEA if authorized by district</t>
  </si>
  <si>
    <t>Cap on number of charter schools</t>
  </si>
  <si>
    <t>Cap on number of charters schools authorized per year</t>
  </si>
  <si>
    <t>Cap on number of studens attending charter schools</t>
  </si>
  <si>
    <t>Charter schools have an open enrollment policy</t>
  </si>
  <si>
    <t>X</t>
  </si>
  <si>
    <t>X1</t>
  </si>
  <si>
    <t>1. The State University of New York may authorize 50 charter schools, and the state's Board of Regents may authorize 50.  There is no limit on the number of existing district schools that may convert to charter schools.  The legislature approved raising the cap to 200 charter schools effective July 1, 2007</t>
  </si>
  <si>
    <t>Total NYC Charter Schools (Blue)</t>
  </si>
  <si>
    <t>Schools receiving more than 50% revenue stake from state (yellow)</t>
  </si>
  <si>
    <t>Figure 6: State Scorecard</t>
  </si>
  <si>
    <t>New York</t>
  </si>
  <si>
    <t>Statewide Weighted for Charter Enrollment</t>
  </si>
  <si>
    <t>-</t>
  </si>
  <si>
    <t>n/a</t>
  </si>
  <si>
    <t>Statewide Weighted</t>
  </si>
  <si>
    <t>Percentage of federal revenue equals percentage of total enrollment for charter schools (&lt;, &gt;, or =)</t>
  </si>
  <si>
    <t>Percentage of state revenue equals percentage of total enrollment for charter schools (&lt;, &gt;, or =)</t>
  </si>
  <si>
    <t>Percentage of local revenue equals percentage of total enrollment for charter schools (&lt;, &gt;, or =)</t>
  </si>
  <si>
    <t>Percentage of facilities revenue equals percentage of total enrollment for charter schools (&lt;, &gt;, or =)</t>
  </si>
  <si>
    <t>&gt;</t>
  </si>
  <si>
    <t>NA</t>
  </si>
  <si>
    <t>Charters have access to federal funds according to state statutes (Yes = black, No = white)</t>
  </si>
  <si>
    <t>Legend</t>
  </si>
  <si>
    <t>Not Used</t>
  </si>
  <si>
    <t>Focus District</t>
  </si>
  <si>
    <t>Source</t>
  </si>
  <si>
    <t>The conclusions reached in this document are those of the author(s) and do not necessarily represent those</t>
  </si>
  <si>
    <t xml:space="preserve">of Ball State University.  </t>
  </si>
  <si>
    <t>for New York City.  NYC data derived from the FY07 audit of the New York City</t>
  </si>
  <si>
    <t>School Construction Authority</t>
  </si>
  <si>
    <t xml:space="preserve">Note:  NYC enrollment gathered from state report cards with exception of District 75 - </t>
  </si>
  <si>
    <t>the special education district, at which enrollments were not reported for 06-07.</t>
  </si>
  <si>
    <t>Findings</t>
  </si>
  <si>
    <t>Use the following options only</t>
  </si>
  <si>
    <t>Federal Funding</t>
  </si>
  <si>
    <t>Y</t>
  </si>
  <si>
    <t>P</t>
  </si>
  <si>
    <t>N</t>
  </si>
  <si>
    <t>State Funding</t>
  </si>
  <si>
    <t>Charters have access to state funds according to state statutes (Yes = black, No = white)</t>
  </si>
  <si>
    <t>Local Funding</t>
  </si>
  <si>
    <t>Charters have access to local funds according to state statutes (Yes = black, No = white)</t>
  </si>
  <si>
    <t>Facilities Funding</t>
  </si>
  <si>
    <t>Charters have access to facilities funds according to state statutes (Yes = black, No = white)</t>
  </si>
  <si>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</si>
  <si>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</si>
  <si>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</si>
  <si>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</si>
  <si>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</si>
  <si>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</si>
  <si>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
  </si>
  <si>
    <t>L</t>
  </si>
  <si>
    <t>Use these options for the query to the left only (B18)</t>
  </si>
  <si>
    <t>State funding formula is fair and equitable (Yes = black, No = white</t>
  </si>
  <si>
    <t>* For this finding, No could indicate that the statue is silent or that it denies access.</t>
  </si>
  <si>
    <t>Percentage of stuents eligible for free or reduced price lunch</t>
  </si>
  <si>
    <t>Percentage of schools eligible for Title 1</t>
  </si>
  <si>
    <t>Percent of students by school type</t>
  </si>
  <si>
    <t>Primary (K-5)</t>
  </si>
  <si>
    <t>Middle (6-8)</t>
  </si>
  <si>
    <t>High (9-12)</t>
  </si>
  <si>
    <t>Other (K-12,K-8, etc.)</t>
  </si>
  <si>
    <t>State Charter School Policies</t>
  </si>
  <si>
    <t>Figure 3</t>
  </si>
  <si>
    <t>State Policies</t>
  </si>
  <si>
    <t>Yes</t>
  </si>
  <si>
    <t xml:space="preserve">No </t>
  </si>
  <si>
    <t>Partial</t>
  </si>
  <si>
    <t>Charter schools received their funding directly from the state</t>
  </si>
  <si>
    <t>Charter schools are eligible for local funding</t>
  </si>
  <si>
    <t>Cap on funding a charter school can receive</t>
  </si>
  <si>
    <t>Buffalo Charter Totals</t>
  </si>
  <si>
    <t>Albany Charter Totals</t>
  </si>
  <si>
    <t>Enrollment</t>
  </si>
  <si>
    <t>green = Preschool/PreK enrollment</t>
  </si>
  <si>
    <t>Brighter Choice Charter School Girls</t>
  </si>
  <si>
    <t>Albany Charters</t>
  </si>
  <si>
    <t>Buffalo Charters</t>
  </si>
  <si>
    <t>New York City Charters</t>
  </si>
  <si>
    <t>Food Service &amp; Capital Revenue</t>
  </si>
  <si>
    <t>State Subtotal</t>
  </si>
  <si>
    <t>Less Preschool/PreK</t>
  </si>
  <si>
    <t>Less Adult</t>
  </si>
  <si>
    <t>Archive Data</t>
  </si>
  <si>
    <t>Working Data</t>
  </si>
  <si>
    <t>NYC Alternative &amp; Adult Education</t>
  </si>
  <si>
    <t>City Working Data</t>
  </si>
  <si>
    <t>total</t>
  </si>
  <si>
    <t>Total Statewide prior to deductions</t>
  </si>
  <si>
    <t>Total Statewide After Deductions</t>
  </si>
  <si>
    <t>Total Albany prior to deducations</t>
  </si>
  <si>
    <t>Total Albany After Deducations</t>
  </si>
  <si>
    <t>Total NYC prior to deductions</t>
  </si>
  <si>
    <t>Total NYC After Deductions</t>
  </si>
  <si>
    <t>Total Buffalo prior to deductions</t>
  </si>
  <si>
    <t>Total Buffalo After Deducations</t>
  </si>
  <si>
    <t>State Preschool</t>
  </si>
  <si>
    <t>Federal Preschool</t>
  </si>
  <si>
    <t>Note:  NIEER reports 84,660 preschool students.</t>
  </si>
  <si>
    <t>However, NIEER only has statewide numbers - none</t>
  </si>
  <si>
    <t xml:space="preserve">for districts.  We used the NYSED report card stats </t>
  </si>
  <si>
    <t>for that reason as they provide district based numbers</t>
  </si>
  <si>
    <t>for pre-K.  This results in a higher per pupil than using</t>
  </si>
  <si>
    <t xml:space="preserve">the NIEER enrollment but there was no other choice </t>
  </si>
  <si>
    <t>since they do not have district based enrollments.</t>
  </si>
  <si>
    <t>NIEER Preschool Revenue Data</t>
  </si>
  <si>
    <t>Figure 1</t>
  </si>
  <si>
    <t>Figure 2</t>
  </si>
  <si>
    <t>Charter</t>
  </si>
  <si>
    <t>Difference</t>
  </si>
  <si>
    <t>Per-Pupil Revenue</t>
  </si>
  <si>
    <t>Per-Pupil Revenue by Source</t>
  </si>
  <si>
    <t xml:space="preserve">District </t>
  </si>
  <si>
    <t>Number of Charters</t>
  </si>
  <si>
    <t>Total Revenue</t>
  </si>
  <si>
    <t>Figure 4</t>
  </si>
  <si>
    <t>Percentage of Revenue by Source</t>
  </si>
  <si>
    <t xml:space="preserve">Federal </t>
  </si>
  <si>
    <t xml:space="preserve">Other </t>
  </si>
  <si>
    <t>Statewide District</t>
  </si>
  <si>
    <t>Statewide Charter</t>
  </si>
  <si>
    <t>Change in district school funding if subjected to charter funding structure</t>
  </si>
  <si>
    <t>New York         (2006-07)</t>
  </si>
  <si>
    <t>Buffalo Charter</t>
  </si>
  <si>
    <t>Less Charter Passthroughs</t>
  </si>
  <si>
    <t>($17.9 billion)</t>
  </si>
  <si>
    <t>($81.7 million)</t>
  </si>
  <si>
    <t>($242.7 million)</t>
  </si>
  <si>
    <t>($6.6 billion)</t>
  </si>
  <si>
    <t xml:space="preserve">Note:  Food Service and Capital Revenue not reported in public documents by the NYSED.  </t>
  </si>
  <si>
    <t>Information provided through the raw data submission by districts to the NYSED except</t>
  </si>
  <si>
    <t>CUNY Bronx Community Coll</t>
  </si>
  <si>
    <t>Brooklyn-Chinese American</t>
  </si>
  <si>
    <t>South Bronx Overall Econo</t>
  </si>
  <si>
    <t>CUNY York College</t>
  </si>
  <si>
    <t>CAMBA</t>
  </si>
  <si>
    <t>CUNY College of Staten</t>
  </si>
  <si>
    <t>Literacy Volunteers of Re</t>
  </si>
  <si>
    <t>BOCES Erie 1</t>
  </si>
  <si>
    <t>Literacy Vol of Clinton</t>
  </si>
  <si>
    <t>BOCES Jeffer-Lewis</t>
  </si>
  <si>
    <t>Shorefront YM-WYHA Bright</t>
  </si>
  <si>
    <t>CUNY Borough of Manhattan</t>
  </si>
  <si>
    <t>Highbridget Comm Life CTR</t>
  </si>
  <si>
    <t>CUNY Hostos Community Coll</t>
  </si>
  <si>
    <t>CUNY College of Staten Is</t>
  </si>
  <si>
    <t>BOCES Orange</t>
  </si>
  <si>
    <t>BOCES Cayuga</t>
  </si>
  <si>
    <t>SUNY Ag &amp; Tech</t>
  </si>
  <si>
    <t>BOCES Tompkins</t>
  </si>
  <si>
    <t>CUNY Borough of Manhatta</t>
  </si>
  <si>
    <t>BOCES  Western Suffolk</t>
  </si>
  <si>
    <t>BOCES St. awrence</t>
  </si>
  <si>
    <t>BOCES Shuy-Steub</t>
  </si>
  <si>
    <t>BOCES Clinton</t>
  </si>
  <si>
    <t>BOCES Hamlton</t>
  </si>
  <si>
    <t>BOCES Putnam</t>
  </si>
  <si>
    <t>South Bronx Overall Econ</t>
  </si>
  <si>
    <t>BOCES St. lawrence</t>
  </si>
  <si>
    <t>Buffalo &amp; Erie County Wor</t>
  </si>
  <si>
    <t>Literacy Vol of Westchester</t>
  </si>
  <si>
    <t>Literacy Neny</t>
  </si>
  <si>
    <t>Opening Word Program</t>
  </si>
  <si>
    <t>Smithtown CSD</t>
  </si>
  <si>
    <t>BOCES Eastern Suffolk</t>
  </si>
  <si>
    <t>BOES Sullivan</t>
  </si>
  <si>
    <t xml:space="preserve">Literacy Volunteers of </t>
  </si>
  <si>
    <t>BOES Tompkins</t>
  </si>
  <si>
    <t>Tompkins Learning Partner</t>
  </si>
  <si>
    <t>BOCES Wayne</t>
  </si>
  <si>
    <t>Fulton City SD</t>
  </si>
  <si>
    <t>Wesbury UFSD</t>
  </si>
  <si>
    <t>Abilities Inc</t>
  </si>
  <si>
    <t>Education &amp; Assistance</t>
  </si>
  <si>
    <t>Hempstead UFSD</t>
  </si>
  <si>
    <t>Port Washington UFSD</t>
  </si>
  <si>
    <t>Learning Disabilities Ass</t>
  </si>
  <si>
    <t>Lutheran Family Health</t>
  </si>
  <si>
    <t>CUNY Central Admini</t>
  </si>
  <si>
    <t>Literacy Partners</t>
  </si>
  <si>
    <t>Ridgewood Bushwick</t>
  </si>
  <si>
    <t>Northern manhattan Impro</t>
  </si>
  <si>
    <t>University Settlement Soc</t>
  </si>
  <si>
    <t>Unino Settlement Ass</t>
  </si>
  <si>
    <t>Tolentine Zeiser</t>
  </si>
  <si>
    <t>Literacy Volunteers</t>
  </si>
  <si>
    <t>Highbridge Comm Life</t>
  </si>
  <si>
    <t>Queens Commiunmity House</t>
  </si>
  <si>
    <t>Community Impact</t>
  </si>
  <si>
    <t>College of Mt St. Vincent</t>
  </si>
  <si>
    <t>Riverside Lang Prog Inc</t>
  </si>
  <si>
    <t>Shorfront YM-YWHA Bright</t>
  </si>
  <si>
    <t>Camba</t>
  </si>
  <si>
    <t>hellenic Amer Neighbor</t>
  </si>
  <si>
    <t>Agudath Israel of Amer</t>
  </si>
  <si>
    <t>BOCES Opnondaga</t>
  </si>
  <si>
    <t>BOCES Franklin</t>
  </si>
  <si>
    <t>BOCES Questar III</t>
  </si>
  <si>
    <t>Capital region BOCES</t>
  </si>
  <si>
    <t>Alternative Education &amp; Adult</t>
  </si>
  <si>
    <t>Binghampton City SD</t>
  </si>
  <si>
    <t>BOCES Broome</t>
  </si>
  <si>
    <t>Kenmore-Tonawanda UFSD</t>
  </si>
  <si>
    <t>Everywoman Opportunity</t>
  </si>
  <si>
    <t>BOCES Cattar-Allegany</t>
  </si>
  <si>
    <t>Harriet Tubman Charter School</t>
  </si>
  <si>
    <t>Statewide totals</t>
  </si>
  <si>
    <t>New York City Charter Totals</t>
  </si>
  <si>
    <t>BOCES Rockland</t>
  </si>
  <si>
    <t>BOCES Onondaga</t>
  </si>
  <si>
    <t>BOCES St. Lawrence</t>
  </si>
  <si>
    <t>BOCES Washing-Sara</t>
  </si>
  <si>
    <t>BOCES Wester Suffolk</t>
  </si>
  <si>
    <t>BOCES Franklin-Essex</t>
  </si>
  <si>
    <t>BOCES Qestar III</t>
  </si>
  <si>
    <t>BOCES Schuy-Steub-Chem</t>
  </si>
  <si>
    <t>BOCES Erie 2</t>
  </si>
  <si>
    <t>BOES Dutchess</t>
  </si>
  <si>
    <t>BOCES Hamilton</t>
  </si>
  <si>
    <t>Capital Region BOCES</t>
  </si>
  <si>
    <t>BOCES Genesee Valley</t>
  </si>
  <si>
    <t>BOCES Monroe 2</t>
  </si>
  <si>
    <t>BOCES Orleans</t>
  </si>
  <si>
    <t>BOCES Madison</t>
  </si>
  <si>
    <t>BOCES Herk</t>
  </si>
  <si>
    <t>Alternative &amp; Adult Ed</t>
  </si>
  <si>
    <t>Schenectady City SD</t>
  </si>
  <si>
    <t>Albany City SD</t>
  </si>
  <si>
    <t>BOCES Questar</t>
  </si>
  <si>
    <t>Cheektowaga-Maryvale UFSD</t>
  </si>
  <si>
    <t>BOCES Erie</t>
  </si>
  <si>
    <t>Olean City SD</t>
  </si>
  <si>
    <t>BOCES Cattar-Alegany</t>
  </si>
  <si>
    <t>Afton CSD</t>
  </si>
  <si>
    <t>BOCES Delaw</t>
  </si>
  <si>
    <t>Oneonta City SD</t>
  </si>
  <si>
    <t>Catholic Chartities</t>
  </si>
  <si>
    <t>BOCES Dutchess</t>
  </si>
  <si>
    <t>Alden CSD</t>
  </si>
  <si>
    <t>BOCES Monroe 1</t>
  </si>
  <si>
    <t>CUNY LaGuardia community</t>
  </si>
  <si>
    <t>BOCES Schuy-Steub</t>
  </si>
  <si>
    <t>Alternative &amp; Adult Education</t>
  </si>
  <si>
    <t>College of Mt. St. Vincent</t>
  </si>
  <si>
    <t>Northern Manhattan Improvdment</t>
  </si>
  <si>
    <t>Brooklyn Public Library</t>
  </si>
  <si>
    <t>Learning Disabilities Assn</t>
  </si>
  <si>
    <t>Union Settlement Assn</t>
  </si>
  <si>
    <t>Inwood Community Services</t>
  </si>
  <si>
    <t>Haitian Americans United</t>
  </si>
  <si>
    <t>Opportunities for a Better</t>
  </si>
  <si>
    <t>Jewish Comm Center</t>
  </si>
  <si>
    <t>Friends of Island Academy</t>
  </si>
  <si>
    <t>Queens Borough Public Library</t>
  </si>
  <si>
    <t>Partners in Learning</t>
  </si>
  <si>
    <t>CUNY Laguardia Community</t>
  </si>
  <si>
    <t>CAMBA Inc</t>
  </si>
  <si>
    <t>CUNY</t>
  </si>
  <si>
    <t>Queens Community House</t>
  </si>
  <si>
    <t>Highbridge Comm Life Ctr</t>
  </si>
  <si>
    <t>Literacy New York</t>
  </si>
  <si>
    <t>Chinatown Manpower Project</t>
  </si>
  <si>
    <t>Discipleship Outreach Min</t>
  </si>
  <si>
    <t>Cypress Hills Local Deve</t>
  </si>
  <si>
    <t>University Settlement</t>
  </si>
  <si>
    <t>Circulo de la Hispanidad</t>
  </si>
  <si>
    <t>Finger Lakes Comm College</t>
  </si>
  <si>
    <t>Project Reach Youth</t>
  </si>
  <si>
    <t>Edith &amp; Carl Marks Jewish</t>
  </si>
  <si>
    <t>Fifth Ave Committee</t>
  </si>
  <si>
    <t>Best Resource Center</t>
  </si>
  <si>
    <t>BOCES Easter Suffolk</t>
  </si>
  <si>
    <t>Literacy Connections</t>
  </si>
  <si>
    <t>Westbury UFSD</t>
  </si>
  <si>
    <t>BOCES Herk-Fulton</t>
  </si>
  <si>
    <t>Lenox Hill Neghborhood</t>
  </si>
  <si>
    <t>NYC Geog Dist #10 ISC</t>
  </si>
  <si>
    <t>YMCA of Greater NY</t>
  </si>
  <si>
    <t>Literacy Vol of America</t>
  </si>
  <si>
    <t>BOCES Monroe I</t>
  </si>
  <si>
    <t>BOCES Western Suffolk</t>
  </si>
  <si>
    <t>Syracuse City SD</t>
  </si>
  <si>
    <t>Queensborough Comm Coll</t>
  </si>
  <si>
    <t>CUNY NYC College of Tech</t>
  </si>
  <si>
    <t>Norther Manhattan Improv</t>
  </si>
  <si>
    <t>NY Public Library Astor</t>
  </si>
  <si>
    <t>the Capital Funds.  Capital for New York City School District is not reported through the ST-3 process.   Capital numbers included here derived from the audit of the New York City School Construction Authority for FY08 and FY07 http://source.nycsca.org/pdf/PAAA-Report-08.pdf</t>
  </si>
  <si>
    <t>ST3- Row</t>
  </si>
  <si>
    <t>Funding Type</t>
  </si>
  <si>
    <t>Local</t>
  </si>
  <si>
    <t>Other</t>
  </si>
  <si>
    <t>State</t>
  </si>
  <si>
    <t>Indeterminate</t>
  </si>
  <si>
    <t>DP Code</t>
  </si>
  <si>
    <t>ST-3 Revenue Type</t>
  </si>
  <si>
    <t>NYC Non-state Capital (manually added item)</t>
  </si>
  <si>
    <t>NYC State Capital (EXCEL) (Manually added item)</t>
  </si>
  <si>
    <t>Based on other school districts that send students to the charter school, have forced at 90% Local and 10% state</t>
  </si>
  <si>
    <t>However, do not have the total state and local revenue for Wainscott.  Therefore, I used the total provided to the charter as the total state and local for the district</t>
  </si>
  <si>
    <t>Pedro Gomez</t>
  </si>
  <si>
    <t>898561 is all federal, about 95% sure</t>
  </si>
  <si>
    <t>gene ficsh - LM 110209</t>
  </si>
  <si>
    <t>brianna call february 12</t>
  </si>
  <si>
    <t>tsaintsing@excellencecharter.org</t>
  </si>
  <si>
    <t>Tim Saintsing</t>
  </si>
  <si>
    <t>sent email 11 Feb</t>
  </si>
  <si>
    <t>lmarshall@futureleadersinstitute.org</t>
  </si>
  <si>
    <t>Jim Adamack - LM 110209</t>
  </si>
  <si>
    <t>did not want to answer question</t>
  </si>
  <si>
    <t>gar</t>
  </si>
  <si>
    <t>gar@communityroots.org</t>
  </si>
  <si>
    <t>sent email 12 Feb</t>
  </si>
  <si>
    <t>sharon johnson ext 145</t>
  </si>
  <si>
    <t>LM 12 Feb</t>
  </si>
  <si>
    <t xml:space="preserve">Reagan Kelly </t>
  </si>
  <si>
    <t>18533 ext</t>
  </si>
  <si>
    <t>Discard</t>
  </si>
  <si>
    <t>Indetemrinate</t>
  </si>
  <si>
    <t>BOCES Cayuga-Onondaga</t>
  </si>
  <si>
    <t>Long Beach City SD</t>
  </si>
  <si>
    <t>Exclude</t>
  </si>
  <si>
    <t>Include</t>
  </si>
  <si>
    <t>BOCES Schuy-Steub-CHEM</t>
  </si>
  <si>
    <t>Buffalo City SD</t>
  </si>
  <si>
    <t>BOCES Franklin-Essex-Ham</t>
  </si>
  <si>
    <t>BOCES Oswego</t>
  </si>
  <si>
    <t>BOCES Madison Oneida</t>
  </si>
  <si>
    <t>BOCES Eastern Suffold</t>
  </si>
  <si>
    <t>BOCES Sullivan</t>
  </si>
  <si>
    <t>BOCES Tomkings</t>
  </si>
  <si>
    <t>Kingston City SD</t>
  </si>
  <si>
    <t>BOCES Ulster</t>
  </si>
  <si>
    <t>Yonkers City SD</t>
  </si>
  <si>
    <t>BOCES Westchester</t>
  </si>
  <si>
    <t>BOCES Putnam-Northern</t>
  </si>
  <si>
    <t>White Plains City SD</t>
  </si>
  <si>
    <t>Mt. Vernon City SD</t>
  </si>
  <si>
    <t>BOCES Clinton-Essex</t>
  </si>
  <si>
    <t>BOCES Nassau</t>
  </si>
  <si>
    <t>Niagara Falls City SD</t>
  </si>
  <si>
    <t>BOCES St. Lawrence-Lewis</t>
  </si>
  <si>
    <t>Rochester City SD</t>
  </si>
  <si>
    <t>East Bloomfield CSD</t>
  </si>
  <si>
    <t>BOCES Wayne-Finger Lakes</t>
  </si>
  <si>
    <t>Great Neck UFSD</t>
  </si>
  <si>
    <t>BOCES Orange-Ulster</t>
  </si>
  <si>
    <t>Greece CSD</t>
  </si>
  <si>
    <t>BOCES Monroe</t>
  </si>
  <si>
    <t>josh - a combination, can't tell off the top of my head.</t>
  </si>
  <si>
    <t>(718) 860-4340</t>
  </si>
  <si>
    <t>lkonda@southbronxclassical.org Lena</t>
  </si>
  <si>
    <t>Lena</t>
  </si>
  <si>
    <t xml:space="preserve">Local </t>
  </si>
  <si>
    <t xml:space="preserve">State </t>
  </si>
  <si>
    <t>Federal</t>
  </si>
  <si>
    <t xml:space="preserve">585-544-6170 </t>
  </si>
  <si>
    <t>(718) 858-1629</t>
  </si>
  <si>
    <t>(718) 893-1042</t>
  </si>
  <si>
    <t>(646) 915-0025</t>
  </si>
  <si>
    <t>(212) 678-2868</t>
  </si>
  <si>
    <t>(212) 388-0241</t>
  </si>
  <si>
    <t>(212) 281-1248</t>
  </si>
  <si>
    <t>(718) 638-1830</t>
  </si>
  <si>
    <t>(212) 283-5400</t>
  </si>
  <si>
    <t>(212) 860-2580</t>
  </si>
  <si>
    <t>(917) 492-1481</t>
  </si>
  <si>
    <t>(212) 534-0700</t>
  </si>
  <si>
    <t>(646) 277-7170</t>
  </si>
  <si>
    <t>(718) 410-8100</t>
  </si>
  <si>
    <t>District Food Service and Capital Expenditures from the ST-3 Database Download for FY06</t>
  </si>
  <si>
    <t>Sale of Reimbursable Meals</t>
  </si>
  <si>
    <t>Other Cafeteria Sales</t>
  </si>
  <si>
    <t>Interest and Earnings</t>
  </si>
  <si>
    <t>Sale of Equipment</t>
  </si>
  <si>
    <t>Compensation for Loss</t>
  </si>
  <si>
    <t>Reimbursement of Medicare Part D Expends</t>
  </si>
  <si>
    <t>Refunds of Prior Years Expendiutres</t>
  </si>
  <si>
    <t>Gifts and Donation</t>
  </si>
  <si>
    <t>Misc. Revenues from Local Sources</t>
  </si>
  <si>
    <t>State Reimbursement</t>
  </si>
  <si>
    <t>Federal Reimbursement</t>
  </si>
  <si>
    <t>Federal Reimbursement Surplus Food Only</t>
  </si>
  <si>
    <t>Summer Food Servic Program for Children</t>
  </si>
  <si>
    <t>Downloads</t>
  </si>
  <si>
    <t>New York City</t>
  </si>
  <si>
    <t>Capital</t>
  </si>
  <si>
    <t>Insurance Recoveries</t>
  </si>
  <si>
    <t>Gifts and Donations</t>
  </si>
  <si>
    <t>Other Misc</t>
  </si>
  <si>
    <t>State Sources</t>
  </si>
  <si>
    <t>Proceeds Term Bonds</t>
  </si>
  <si>
    <t>Proceeds Serial Bonds</t>
  </si>
  <si>
    <t>Proceeds Statutory Installment Bond</t>
  </si>
  <si>
    <t>Proceeds Bond Anticipation Notes</t>
  </si>
  <si>
    <t>Proceeds Bond Anticipation Notes Redeemed from Appropriations</t>
  </si>
  <si>
    <t>Proceeds Capital Notes</t>
  </si>
  <si>
    <t>Proceeds Installment Purchase Debt</t>
  </si>
  <si>
    <t>Proceeds Other Debt</t>
  </si>
  <si>
    <t>ST3-010100-051301</t>
  </si>
  <si>
    <t>ST3-051901-120501</t>
  </si>
  <si>
    <t>ST3-120701-150901</t>
  </si>
  <si>
    <t>ST3-151001-230301</t>
  </si>
  <si>
    <t>ST3-230901-280214</t>
  </si>
  <si>
    <t>ST3-280215-411603</t>
  </si>
  <si>
    <t>ST3-411701-460102</t>
  </si>
  <si>
    <t>ST3-460500-512101</t>
  </si>
  <si>
    <t>ST3-512201-580211</t>
  </si>
  <si>
    <t>ST3-580212-600801</t>
  </si>
  <si>
    <t>ST3-600903-660301</t>
  </si>
  <si>
    <t xml:space="preserve">numbers derived from download of ST-3 financial data for all school districts in NYS for 2006-07.  Revenue calculations may be incomplete as the New York State Education Department does not require school districts to report data for the Food Service and </t>
  </si>
  <si>
    <t>EASTCHESTER</t>
  </si>
  <si>
    <t>660302</t>
  </si>
  <si>
    <t>TUCKAHOE</t>
  </si>
  <si>
    <t>660303</t>
  </si>
  <si>
    <t>BRONXVILLE</t>
  </si>
  <si>
    <t>660401</t>
  </si>
  <si>
    <t>TARRYTOWN</t>
  </si>
  <si>
    <t>660402</t>
  </si>
  <si>
    <t>IRVINGTON</t>
  </si>
  <si>
    <t>660403</t>
  </si>
  <si>
    <t>DOBBS FERRY</t>
  </si>
  <si>
    <t>660404</t>
  </si>
  <si>
    <t>HASTINGS ON HU</t>
  </si>
  <si>
    <t>660405</t>
  </si>
  <si>
    <t>ARDSLEY</t>
  </si>
  <si>
    <t>660406</t>
  </si>
  <si>
    <t>EDGEMONT</t>
  </si>
  <si>
    <t>660407</t>
  </si>
  <si>
    <t>GREENBURGH</t>
  </si>
  <si>
    <t>660409</t>
  </si>
  <si>
    <t>ELMSFORD</t>
  </si>
  <si>
    <t>660501</t>
  </si>
  <si>
    <t>HARRISON</t>
  </si>
  <si>
    <t>660701</t>
  </si>
  <si>
    <t>MAMARONECK</t>
  </si>
  <si>
    <t>660801</t>
  </si>
  <si>
    <t>MT PLEAS CENT</t>
  </si>
  <si>
    <t>660802</t>
  </si>
  <si>
    <t>POCANTICO HILL</t>
  </si>
  <si>
    <t>660805</t>
  </si>
  <si>
    <t>VALHALLA</t>
  </si>
  <si>
    <t>660809</t>
  </si>
  <si>
    <t>PLEASANTVILLE</t>
  </si>
  <si>
    <t>660900</t>
  </si>
  <si>
    <t>MOUNT VERNON</t>
  </si>
  <si>
    <t>661004</t>
  </si>
  <si>
    <t>CHAPPAQUA</t>
  </si>
  <si>
    <t>661100</t>
  </si>
  <si>
    <t>NEW ROCHELLE</t>
  </si>
  <si>
    <t>661201</t>
  </si>
  <si>
    <t>BYRAM HILLS</t>
  </si>
  <si>
    <t>661301</t>
  </si>
  <si>
    <t>NORTH SALEM</t>
  </si>
  <si>
    <t>661401</t>
  </si>
  <si>
    <t>OSSINING</t>
  </si>
  <si>
    <t>661402</t>
  </si>
  <si>
    <t>BRIARCLIFF MAN</t>
  </si>
  <si>
    <t>661500</t>
  </si>
  <si>
    <t>PEEKSKILL</t>
  </si>
  <si>
    <t>661601</t>
  </si>
  <si>
    <t>PELHAM</t>
  </si>
  <si>
    <t>661800</t>
  </si>
  <si>
    <t>RYE</t>
  </si>
  <si>
    <t>661901</t>
  </si>
  <si>
    <t>RYE NECK</t>
  </si>
  <si>
    <t>661904</t>
  </si>
  <si>
    <t>PORT CHESTER</t>
  </si>
  <si>
    <t>661905</t>
  </si>
  <si>
    <t>BLIND BROOK-RY</t>
  </si>
  <si>
    <t>662001</t>
  </si>
  <si>
    <t>SCARSDALE</t>
  </si>
  <si>
    <t>662101</t>
  </si>
  <si>
    <t>SOMERS</t>
  </si>
  <si>
    <t>662200</t>
  </si>
  <si>
    <t>WHITE PLAINS</t>
  </si>
  <si>
    <t>YONKERS</t>
  </si>
  <si>
    <t>662401</t>
  </si>
  <si>
    <t>LAKELAND</t>
  </si>
  <si>
    <t>662402</t>
  </si>
  <si>
    <t>YORKTOWN</t>
  </si>
  <si>
    <t>670201</t>
  </si>
  <si>
    <t>ATTICA</t>
  </si>
  <si>
    <t>670401</t>
  </si>
  <si>
    <t>LETCHWORTH</t>
  </si>
  <si>
    <t>671002</t>
  </si>
  <si>
    <t>WYOMING</t>
  </si>
  <si>
    <t>671201</t>
  </si>
  <si>
    <t>PERRY</t>
  </si>
  <si>
    <t>671501</t>
  </si>
  <si>
    <t>WARSAW</t>
  </si>
  <si>
    <t>680601</t>
  </si>
  <si>
    <t>PENN  YAN</t>
  </si>
  <si>
    <t>680801</t>
  </si>
  <si>
    <t>DUNDEE</t>
  </si>
  <si>
    <t>STATE</t>
  </si>
  <si>
    <t>Local Portion Public School District Revenue</t>
  </si>
  <si>
    <t>State Portion Public School District Revenue</t>
  </si>
  <si>
    <t>Total Westminster Community Charter</t>
  </si>
  <si>
    <t>Total Democracy Preparatory Charter</t>
  </si>
  <si>
    <t>Total Family Life Academy Charter</t>
  </si>
  <si>
    <t>Total Brooklyn Excelsior Charter</t>
  </si>
  <si>
    <t>Total UFT Charter</t>
  </si>
  <si>
    <t>Total International Charter of Schedectady</t>
  </si>
  <si>
    <t>Total Riverhead Charter</t>
  </si>
  <si>
    <t>Total Explore Charter</t>
  </si>
  <si>
    <t>Note:  The state FARU report does not contain any information for Wainscott.  The district could tell me that they provided 81,274 to the charter school</t>
  </si>
  <si>
    <t>Albany District</t>
  </si>
  <si>
    <t>Albany Charter</t>
  </si>
  <si>
    <t>Buffalo District</t>
  </si>
  <si>
    <t>NYC District</t>
  </si>
  <si>
    <t>NYC Charter</t>
  </si>
  <si>
    <t>PPR</t>
  </si>
  <si>
    <t>Total All Charter Schools</t>
  </si>
  <si>
    <t>Bronx Charter School for the Arts</t>
  </si>
  <si>
    <t xml:space="preserve">718-622-4786 </t>
  </si>
  <si>
    <t>212-786-7900</t>
  </si>
  <si>
    <t>581002</t>
  </si>
  <si>
    <t>OYSTERPONDS</t>
  </si>
  <si>
    <t>581004</t>
  </si>
  <si>
    <t>FISHERS ISLAND</t>
  </si>
  <si>
    <t>581005</t>
  </si>
  <si>
    <t>SOUTHOLD</t>
  </si>
  <si>
    <t>GREENPORT</t>
  </si>
  <si>
    <t>581012</t>
  </si>
  <si>
    <t>MATTITUK-CUT</t>
  </si>
  <si>
    <t>590501</t>
  </si>
  <si>
    <t>FALLSBURGH</t>
  </si>
  <si>
    <t>590801</t>
  </si>
  <si>
    <t>ELDRED</t>
  </si>
  <si>
    <t>590901</t>
  </si>
  <si>
    <t>LIBERTY</t>
  </si>
  <si>
    <t>591201</t>
  </si>
  <si>
    <t>TRI VALLEY</t>
  </si>
  <si>
    <t>591301</t>
  </si>
  <si>
    <t>ROSCOE</t>
  </si>
  <si>
    <t>591302</t>
  </si>
  <si>
    <t>LIVINGSTON MAN</t>
  </si>
  <si>
    <t>591401</t>
  </si>
  <si>
    <t>MONTICELLO</t>
  </si>
  <si>
    <t>591502</t>
  </si>
  <si>
    <t>SULLIVAN WEST</t>
  </si>
  <si>
    <t>600101</t>
  </si>
  <si>
    <t>WAVERLY</t>
  </si>
  <si>
    <t>600301</t>
  </si>
  <si>
    <t>CANDOR</t>
  </si>
  <si>
    <t>600402</t>
  </si>
  <si>
    <t>NEWARKVALLEY</t>
  </si>
  <si>
    <t>600601</t>
  </si>
  <si>
    <t>OWEGO-APALACHI</t>
  </si>
  <si>
    <t>600801</t>
  </si>
  <si>
    <t>SPENCER VAN ET</t>
  </si>
  <si>
    <t>600903</t>
  </si>
  <si>
    <t>TIOGA</t>
  </si>
  <si>
    <t>610301</t>
  </si>
  <si>
    <t>DRYDEN</t>
  </si>
  <si>
    <t>610501</t>
  </si>
  <si>
    <t>GROTON</t>
  </si>
  <si>
    <t>610600</t>
  </si>
  <si>
    <t>ITHACA</t>
  </si>
  <si>
    <t>610801</t>
  </si>
  <si>
    <t>LANSING</t>
  </si>
  <si>
    <t>610901</t>
  </si>
  <si>
    <t>NEWFIELD</t>
  </si>
  <si>
    <t>611001</t>
  </si>
  <si>
    <t>TRUMANSBURG</t>
  </si>
  <si>
    <t>620600</t>
  </si>
  <si>
    <t>KINGSTON</t>
  </si>
  <si>
    <t>620803</t>
  </si>
  <si>
    <t>HIGHLAND</t>
  </si>
  <si>
    <t>620901</t>
  </si>
  <si>
    <t>RONDOUT VALLEY</t>
  </si>
  <si>
    <t>621001</t>
  </si>
  <si>
    <t>MARLBORO</t>
  </si>
  <si>
    <t>621101</t>
  </si>
  <si>
    <t>NEW PALTZ</t>
  </si>
  <si>
    <t>621201</t>
  </si>
  <si>
    <t>ONTEORA</t>
  </si>
  <si>
    <t>621601</t>
  </si>
  <si>
    <t>SAUGERTIES</t>
  </si>
  <si>
    <t>621801</t>
  </si>
  <si>
    <t>WALLKILL</t>
  </si>
  <si>
    <t>622002</t>
  </si>
  <si>
    <t>ELLENVILLE</t>
  </si>
  <si>
    <t>630101</t>
  </si>
  <si>
    <t>BOLTON</t>
  </si>
  <si>
    <t>630202</t>
  </si>
  <si>
    <t>NORTH WARREN</t>
  </si>
  <si>
    <t>630300</t>
  </si>
  <si>
    <t>GLENS FALLS</t>
  </si>
  <si>
    <t>630601</t>
  </si>
  <si>
    <t>JOHNSBURG</t>
  </si>
  <si>
    <t>630701</t>
  </si>
  <si>
    <t>LAKE GEORGE</t>
  </si>
  <si>
    <t>630801</t>
  </si>
  <si>
    <t>HADLEYLUZERNE</t>
  </si>
  <si>
    <t>630902</t>
  </si>
  <si>
    <t>QUEENSBURY</t>
  </si>
  <si>
    <t>630918</t>
  </si>
  <si>
    <t>GLENS FALLS CO</t>
  </si>
  <si>
    <t>631201</t>
  </si>
  <si>
    <t>WARRENSBURG</t>
  </si>
  <si>
    <t>640101</t>
  </si>
  <si>
    <t>ARGYLE</t>
  </si>
  <si>
    <t>640502</t>
  </si>
  <si>
    <t>FORT ANN</t>
  </si>
  <si>
    <t>640601</t>
  </si>
  <si>
    <t>FORT EDWARD</t>
  </si>
  <si>
    <t>640701</t>
  </si>
  <si>
    <t>GRANVILLE</t>
  </si>
  <si>
    <t>640801</t>
  </si>
  <si>
    <t>GREENWICH</t>
  </si>
  <si>
    <t>641001</t>
  </si>
  <si>
    <t>HARTFORD</t>
  </si>
  <si>
    <t>641301</t>
  </si>
  <si>
    <t>HUDSONFALLS</t>
  </si>
  <si>
    <t>641401</t>
  </si>
  <si>
    <t>PUTNAM</t>
  </si>
  <si>
    <t>641501</t>
  </si>
  <si>
    <t>SALEM</t>
  </si>
  <si>
    <t>641610</t>
  </si>
  <si>
    <t>CAMBRIDGE</t>
  </si>
  <si>
    <t>641701</t>
  </si>
  <si>
    <t>WHITEHALL</t>
  </si>
  <si>
    <t>650101</t>
  </si>
  <si>
    <t>NEWARK</t>
  </si>
  <si>
    <t>650301</t>
  </si>
  <si>
    <t>CLYDE-SAVANNAH</t>
  </si>
  <si>
    <t>650501</t>
  </si>
  <si>
    <t>LYONS</t>
  </si>
  <si>
    <t>650701</t>
  </si>
  <si>
    <t>MARION</t>
  </si>
  <si>
    <t>650801</t>
  </si>
  <si>
    <t>WAYNE</t>
  </si>
  <si>
    <t>650901</t>
  </si>
  <si>
    <t>PALMYRA-MACEDO</t>
  </si>
  <si>
    <t>650902</t>
  </si>
  <si>
    <t>GANANDA</t>
  </si>
  <si>
    <t>651201</t>
  </si>
  <si>
    <t>SODUS</t>
  </si>
  <si>
    <t>651402</t>
  </si>
  <si>
    <t>WILLIAMSON</t>
  </si>
  <si>
    <t>651501</t>
  </si>
  <si>
    <t>N. ROSE-WOLCOT</t>
  </si>
  <si>
    <t>651503</t>
  </si>
  <si>
    <t>RED CREEK</t>
  </si>
  <si>
    <t>660101</t>
  </si>
  <si>
    <t>KATONAH LEWISB</t>
  </si>
  <si>
    <t>660102</t>
  </si>
  <si>
    <t>BEDFORD</t>
  </si>
  <si>
    <t>660202</t>
  </si>
  <si>
    <t>CROTONHARMON</t>
  </si>
  <si>
    <t>660203</t>
  </si>
  <si>
    <t>HENDRICK HUDSO</t>
  </si>
  <si>
    <t>660301</t>
  </si>
  <si>
    <t>550301</t>
  </si>
  <si>
    <t>WATKINS GLEN</t>
  </si>
  <si>
    <t>560501</t>
  </si>
  <si>
    <t>SOUTH SENECA</t>
  </si>
  <si>
    <t>560603</t>
  </si>
  <si>
    <t>ROMULUS</t>
  </si>
  <si>
    <t>560701</t>
  </si>
  <si>
    <t>SENECAFALLS</t>
  </si>
  <si>
    <t>561006</t>
  </si>
  <si>
    <t>WATERLOO CENT</t>
  </si>
  <si>
    <t>570101</t>
  </si>
  <si>
    <t>ADDISON</t>
  </si>
  <si>
    <t>570201</t>
  </si>
  <si>
    <t>AVOCA</t>
  </si>
  <si>
    <t>570302</t>
  </si>
  <si>
    <t>BATH</t>
  </si>
  <si>
    <t>570401</t>
  </si>
  <si>
    <t>BRADFORD</t>
  </si>
  <si>
    <t>570603</t>
  </si>
  <si>
    <t>CAMPBELL-SAVON</t>
  </si>
  <si>
    <t>571000</t>
  </si>
  <si>
    <t>CORNING</t>
  </si>
  <si>
    <t>571502</t>
  </si>
  <si>
    <t>CANISTEO-GREEN</t>
  </si>
  <si>
    <t>571800</t>
  </si>
  <si>
    <t>HORNELL</t>
  </si>
  <si>
    <t>571901</t>
  </si>
  <si>
    <t>ARKPORT</t>
  </si>
  <si>
    <t>572301</t>
  </si>
  <si>
    <t>PRATTSBURG</t>
  </si>
  <si>
    <t>572702</t>
  </si>
  <si>
    <t>JASPER-TRPSBRG</t>
  </si>
  <si>
    <t>572901</t>
  </si>
  <si>
    <t>HAMMONDSPORT</t>
  </si>
  <si>
    <t>573002</t>
  </si>
  <si>
    <t>WAYLAND-COHOCT</t>
  </si>
  <si>
    <t>580101</t>
  </si>
  <si>
    <t>BABYLON</t>
  </si>
  <si>
    <t>580102</t>
  </si>
  <si>
    <t>WEST BABYLON</t>
  </si>
  <si>
    <t>580103</t>
  </si>
  <si>
    <t>NORTH BABYLON</t>
  </si>
  <si>
    <t>580104</t>
  </si>
  <si>
    <t>LINDENHURST</t>
  </si>
  <si>
    <t>COPIAGUE</t>
  </si>
  <si>
    <t>AMITYVILLE</t>
  </si>
  <si>
    <t>580107</t>
  </si>
  <si>
    <t>DEER PARK</t>
  </si>
  <si>
    <t>WYANDANCH</t>
  </si>
  <si>
    <t>580201</t>
  </si>
  <si>
    <t>THREE VILLAGE</t>
  </si>
  <si>
    <t>580203</t>
  </si>
  <si>
    <t>COMSEWOGUE</t>
  </si>
  <si>
    <t>SACHEM</t>
  </si>
  <si>
    <t>580206</t>
  </si>
  <si>
    <t>PORT JEFFERSON</t>
  </si>
  <si>
    <t>MOUNT SINAI</t>
  </si>
  <si>
    <t>MILLERPLACE</t>
  </si>
  <si>
    <t>580209</t>
  </si>
  <si>
    <t>ROCKY POINT</t>
  </si>
  <si>
    <t>MIDDLECOUNTRY</t>
  </si>
  <si>
    <t>LONGWOOD</t>
  </si>
  <si>
    <t>PATCHOGUE-MEDF</t>
  </si>
  <si>
    <t>WILLIAM FLOYD</t>
  </si>
  <si>
    <t>CENTERMORICHE</t>
  </si>
  <si>
    <t>EAST MORICHES</t>
  </si>
  <si>
    <t>SOUTH COUNTRY</t>
  </si>
  <si>
    <t>EAST HAMPTON</t>
  </si>
  <si>
    <t>580303</t>
  </si>
  <si>
    <t>AMAGANSETT</t>
  </si>
  <si>
    <t>SPRINGS</t>
  </si>
  <si>
    <t>SAG HARBOR</t>
  </si>
  <si>
    <t>MONTAUK</t>
  </si>
  <si>
    <t>580401</t>
  </si>
  <si>
    <t>ELWOOD</t>
  </si>
  <si>
    <t>580402</t>
  </si>
  <si>
    <t>COLD SPRING HA</t>
  </si>
  <si>
    <t>580403</t>
  </si>
  <si>
    <t>HUNTINGTON</t>
  </si>
  <si>
    <t>580404</t>
  </si>
  <si>
    <t>NORTHPORT</t>
  </si>
  <si>
    <t>580405</t>
  </si>
  <si>
    <t>HALF HOLLOW HI</t>
  </si>
  <si>
    <t>580406</t>
  </si>
  <si>
    <t>HARBORFIELDS</t>
  </si>
  <si>
    <t>580410</t>
  </si>
  <si>
    <t>COMMACK</t>
  </si>
  <si>
    <t>S. HUNTINGTON</t>
  </si>
  <si>
    <t>580501</t>
  </si>
  <si>
    <t>BAY SHORE</t>
  </si>
  <si>
    <t>580502</t>
  </si>
  <si>
    <t>ISLIP</t>
  </si>
  <si>
    <t>580503</t>
  </si>
  <si>
    <t>EAST ISLIP</t>
  </si>
  <si>
    <t>580504</t>
  </si>
  <si>
    <t>SAYVILLE</t>
  </si>
  <si>
    <t>580505</t>
  </si>
  <si>
    <t>BAYPORT BLUE P</t>
  </si>
  <si>
    <t>580506</t>
  </si>
  <si>
    <t>HAUPPAUGE</t>
  </si>
  <si>
    <t>580507</t>
  </si>
  <si>
    <t>CONNETQUOT</t>
  </si>
  <si>
    <t>580509</t>
  </si>
  <si>
    <t>WEST ISLIP</t>
  </si>
  <si>
    <t>580512</t>
  </si>
  <si>
    <t>BRENTWOOD</t>
  </si>
  <si>
    <t>580513</t>
  </si>
  <si>
    <t>CENTRAL ISLIP</t>
  </si>
  <si>
    <t>580514</t>
  </si>
  <si>
    <t>FIRE ISLAND</t>
  </si>
  <si>
    <t>SHOREHAM-WADIN</t>
  </si>
  <si>
    <t>RIVERHEAD</t>
  </si>
  <si>
    <t>SHELTER ISLAND</t>
  </si>
  <si>
    <t>580801</t>
  </si>
  <si>
    <t>SMITHTOWN</t>
  </si>
  <si>
    <t>580805</t>
  </si>
  <si>
    <t>KINGS PARK</t>
  </si>
  <si>
    <t>580901</t>
  </si>
  <si>
    <t>REMSENBURG</t>
  </si>
  <si>
    <t>WESTHAMPTON BE</t>
  </si>
  <si>
    <t>580903</t>
  </si>
  <si>
    <t>QUOGUE</t>
  </si>
  <si>
    <t>HAMPTON BAYS</t>
  </si>
  <si>
    <t>SOUTHAMPTON</t>
  </si>
  <si>
    <t>BRIDGEHAMPTON</t>
  </si>
  <si>
    <t>EAST-SOUTH-MAN</t>
  </si>
  <si>
    <t>580913</t>
  </si>
  <si>
    <t>TUCKAHOE COMMO</t>
  </si>
  <si>
    <t>EAST QUOGUE</t>
  </si>
  <si>
    <t>471701</t>
  </si>
  <si>
    <t>COOPERSTOWN</t>
  </si>
  <si>
    <t>472001</t>
  </si>
  <si>
    <t>RICHFIELD SPRI</t>
  </si>
  <si>
    <t>472202</t>
  </si>
  <si>
    <t>CHERRYVLY-SPR</t>
  </si>
  <si>
    <t>472506</t>
  </si>
  <si>
    <t>WORCESTER</t>
  </si>
  <si>
    <t>480101</t>
  </si>
  <si>
    <t>MAHOPAC</t>
  </si>
  <si>
    <t>480102</t>
  </si>
  <si>
    <t>CARMEL</t>
  </si>
  <si>
    <t>480401</t>
  </si>
  <si>
    <t>HALDANE</t>
  </si>
  <si>
    <t>480404</t>
  </si>
  <si>
    <t>GARRISON</t>
  </si>
  <si>
    <t>480503</t>
  </si>
  <si>
    <t>PUTNAMVALLEY</t>
  </si>
  <si>
    <t>480601</t>
  </si>
  <si>
    <t>BREWSTER</t>
  </si>
  <si>
    <t>490101</t>
  </si>
  <si>
    <t>BERLIN</t>
  </si>
  <si>
    <t>490202</t>
  </si>
  <si>
    <t>BRUNSWICK CENT</t>
  </si>
  <si>
    <t>490301</t>
  </si>
  <si>
    <t>EAST GREENBUSH</t>
  </si>
  <si>
    <t>490501</t>
  </si>
  <si>
    <t>HOOSICK FALLS</t>
  </si>
  <si>
    <t>LANSINGBURGH</t>
  </si>
  <si>
    <t>490804</t>
  </si>
  <si>
    <t>WYNANTSKILL</t>
  </si>
  <si>
    <t>491200</t>
  </si>
  <si>
    <t>RENSSELAER</t>
  </si>
  <si>
    <t>491302</t>
  </si>
  <si>
    <t>AVERILL PARK</t>
  </si>
  <si>
    <t>491401</t>
  </si>
  <si>
    <t>HOOSICVALLEY</t>
  </si>
  <si>
    <t>491501</t>
  </si>
  <si>
    <t>SCHODACK</t>
  </si>
  <si>
    <t>TROY</t>
  </si>
  <si>
    <t>500101</t>
  </si>
  <si>
    <t>CLARKSTOWN</t>
  </si>
  <si>
    <t>500108</t>
  </si>
  <si>
    <t>NANUET</t>
  </si>
  <si>
    <t>500201</t>
  </si>
  <si>
    <t>HAVERSTRAW-ST</t>
  </si>
  <si>
    <t>500301</t>
  </si>
  <si>
    <t>S. ORANGETOWN</t>
  </si>
  <si>
    <t>500304</t>
  </si>
  <si>
    <t>NYACK</t>
  </si>
  <si>
    <t>500308</t>
  </si>
  <si>
    <t>PEARL RIVER</t>
  </si>
  <si>
    <t>500401</t>
  </si>
  <si>
    <t>RAMAPO</t>
  </si>
  <si>
    <t>EAST RAMAPO</t>
  </si>
  <si>
    <t>510101</t>
  </si>
  <si>
    <t>BRASHER FALLS</t>
  </si>
  <si>
    <t>510201</t>
  </si>
  <si>
    <t>CANTON</t>
  </si>
  <si>
    <t>510401</t>
  </si>
  <si>
    <t>CLIFTON FINE</t>
  </si>
  <si>
    <t>510501</t>
  </si>
  <si>
    <t>COLTONPIERREP</t>
  </si>
  <si>
    <t>511101</t>
  </si>
  <si>
    <t>GOUVERNEUR</t>
  </si>
  <si>
    <t>511201</t>
  </si>
  <si>
    <t>HAMMOND</t>
  </si>
  <si>
    <t>511301</t>
  </si>
  <si>
    <t>HERMONDEKALB</t>
  </si>
  <si>
    <t>511602</t>
  </si>
  <si>
    <t>LISBON</t>
  </si>
  <si>
    <t>511901</t>
  </si>
  <si>
    <t>MADRIDWADDING</t>
  </si>
  <si>
    <t>512001</t>
  </si>
  <si>
    <t>MASSENA</t>
  </si>
  <si>
    <t>512101</t>
  </si>
  <si>
    <t>MORRISTOWN</t>
  </si>
  <si>
    <t>512201</t>
  </si>
  <si>
    <t>NORWOOD NORFOL</t>
  </si>
  <si>
    <t>512300</t>
  </si>
  <si>
    <t>OGDENSBURG</t>
  </si>
  <si>
    <t>512404</t>
  </si>
  <si>
    <t>HEUVELTON</t>
  </si>
  <si>
    <t>512501</t>
  </si>
  <si>
    <t>PARISHVILLE</t>
  </si>
  <si>
    <t>512902</t>
  </si>
  <si>
    <t>POTSDAM</t>
  </si>
  <si>
    <t>513102</t>
  </si>
  <si>
    <t>EDWARDS-KNOX</t>
  </si>
  <si>
    <t>520101</t>
  </si>
  <si>
    <t>BURNT HILLS</t>
  </si>
  <si>
    <t>SHENENDEHOWA</t>
  </si>
  <si>
    <t>520401</t>
  </si>
  <si>
    <t>CORINTH</t>
  </si>
  <si>
    <t>520601</t>
  </si>
  <si>
    <t>EDINBURG</t>
  </si>
  <si>
    <t>520701</t>
  </si>
  <si>
    <t>GALWAY</t>
  </si>
  <si>
    <t>521200</t>
  </si>
  <si>
    <t>MECHANICVILLE</t>
  </si>
  <si>
    <t>521301</t>
  </si>
  <si>
    <t>BALLSTON SPA</t>
  </si>
  <si>
    <t>521401</t>
  </si>
  <si>
    <t>S. GLENS FALLS</t>
  </si>
  <si>
    <t>521701</t>
  </si>
  <si>
    <t>SCHUYLERVILLE</t>
  </si>
  <si>
    <t>521800</t>
  </si>
  <si>
    <t>SARATOGA SPRIN</t>
  </si>
  <si>
    <t>522001</t>
  </si>
  <si>
    <t>STILLWATER</t>
  </si>
  <si>
    <t>522101</t>
  </si>
  <si>
    <t>WATERFORD</t>
  </si>
  <si>
    <t>530101</t>
  </si>
  <si>
    <t>DUANESBURG</t>
  </si>
  <si>
    <t>SCOTIAGLENVIL</t>
  </si>
  <si>
    <t>NISKAYUNA</t>
  </si>
  <si>
    <t>SCHALMONT</t>
  </si>
  <si>
    <t>MOHONASEN</t>
  </si>
  <si>
    <t>SCHENECTADY</t>
  </si>
  <si>
    <t>540801</t>
  </si>
  <si>
    <t>GILBOACONESVI</t>
  </si>
  <si>
    <t>540901</t>
  </si>
  <si>
    <t>JEFFERSON</t>
  </si>
  <si>
    <t>541001</t>
  </si>
  <si>
    <t>MIDDLEBURGH</t>
  </si>
  <si>
    <t>541102</t>
  </si>
  <si>
    <t>COBLESKL-RICHM</t>
  </si>
  <si>
    <t>541201</t>
  </si>
  <si>
    <t>SCHOHARIE</t>
  </si>
  <si>
    <t>541401</t>
  </si>
  <si>
    <t>SHARONSPRINGS</t>
  </si>
  <si>
    <t>550101</t>
  </si>
  <si>
    <t>ODESSAMONTOUR</t>
  </si>
  <si>
    <t>SHERRILL</t>
  </si>
  <si>
    <t>412201</t>
  </si>
  <si>
    <t>HOLLAND PATENT</t>
  </si>
  <si>
    <t>412300</t>
  </si>
  <si>
    <t>UTICA</t>
  </si>
  <si>
    <t>412801</t>
  </si>
  <si>
    <t>WESTMORELAND</t>
  </si>
  <si>
    <t>412901</t>
  </si>
  <si>
    <t>ORISKANY</t>
  </si>
  <si>
    <t>412902</t>
  </si>
  <si>
    <t>WHITESBORO</t>
  </si>
  <si>
    <t>WEST GENESEE</t>
  </si>
  <si>
    <t>NORTH SYRACUSE</t>
  </si>
  <si>
    <t>420401</t>
  </si>
  <si>
    <t>E SYRACUSE-MIN</t>
  </si>
  <si>
    <t>JAMESVILLE-DEW</t>
  </si>
  <si>
    <t>420501</t>
  </si>
  <si>
    <t>JORDANELBRIDG</t>
  </si>
  <si>
    <t>420601</t>
  </si>
  <si>
    <t>FABIUS-POMPEY</t>
  </si>
  <si>
    <t>420701</t>
  </si>
  <si>
    <t>WESTHILL</t>
  </si>
  <si>
    <t>SOLVAY</t>
  </si>
  <si>
    <t>420807</t>
  </si>
  <si>
    <t>LA FAYETTE</t>
  </si>
  <si>
    <t>BALDWINSVILLE</t>
  </si>
  <si>
    <t>421001</t>
  </si>
  <si>
    <t>FAYETTEVILLE</t>
  </si>
  <si>
    <t>421101</t>
  </si>
  <si>
    <t>MARCELLUS</t>
  </si>
  <si>
    <t>ONONDAGA</t>
  </si>
  <si>
    <t>LIVERPOOL</t>
  </si>
  <si>
    <t>421504</t>
  </si>
  <si>
    <t>LYNCOURT</t>
  </si>
  <si>
    <t>421601</t>
  </si>
  <si>
    <t>SKANEATELES</t>
  </si>
  <si>
    <t>SYRACUSE</t>
  </si>
  <si>
    <t>421902</t>
  </si>
  <si>
    <t>TULLY</t>
  </si>
  <si>
    <t>430300</t>
  </si>
  <si>
    <t>CANANDAIGUA</t>
  </si>
  <si>
    <t>430501</t>
  </si>
  <si>
    <t>EAST BLOOMFIEL</t>
  </si>
  <si>
    <t>430700</t>
  </si>
  <si>
    <t>GENEVA</t>
  </si>
  <si>
    <t>430901</t>
  </si>
  <si>
    <t>GORHAM-MIDDLES</t>
  </si>
  <si>
    <t>431101</t>
  </si>
  <si>
    <t>MANCHSTR-SHRTS</t>
  </si>
  <si>
    <t>431201</t>
  </si>
  <si>
    <t>NAPLES</t>
  </si>
  <si>
    <t>431301</t>
  </si>
  <si>
    <t>PHELPS-CLIFTON</t>
  </si>
  <si>
    <t>431401</t>
  </si>
  <si>
    <t>HONEOYE</t>
  </si>
  <si>
    <t>431701</t>
  </si>
  <si>
    <t>VICTOR</t>
  </si>
  <si>
    <t>440102</t>
  </si>
  <si>
    <t>WASHINGTONVILL</t>
  </si>
  <si>
    <t>440201</t>
  </si>
  <si>
    <t>CHESTER</t>
  </si>
  <si>
    <t>440301</t>
  </si>
  <si>
    <t>CORNWALL</t>
  </si>
  <si>
    <t>440401</t>
  </si>
  <si>
    <t>PINE BUSH</t>
  </si>
  <si>
    <t>440601</t>
  </si>
  <si>
    <t>GOSHEN</t>
  </si>
  <si>
    <t>440901</t>
  </si>
  <si>
    <t>HIGHLAND FALLS</t>
  </si>
  <si>
    <t>441000</t>
  </si>
  <si>
    <t>MIDDLETOWN</t>
  </si>
  <si>
    <t>441101</t>
  </si>
  <si>
    <t>MINISINK VALLE</t>
  </si>
  <si>
    <t>441201</t>
  </si>
  <si>
    <t>MONROEWOODBUR</t>
  </si>
  <si>
    <t>441202</t>
  </si>
  <si>
    <t>KIRYASJOEL</t>
  </si>
  <si>
    <t>441301</t>
  </si>
  <si>
    <t>VALLEY-MONTGMR</t>
  </si>
  <si>
    <t>441600</t>
  </si>
  <si>
    <t>NEWBURGH</t>
  </si>
  <si>
    <t>441800</t>
  </si>
  <si>
    <t>PORT JERVIS</t>
  </si>
  <si>
    <t>441903</t>
  </si>
  <si>
    <t>TUXEDO</t>
  </si>
  <si>
    <t>442101</t>
  </si>
  <si>
    <t>WARWICK VALLEY</t>
  </si>
  <si>
    <t>442111</t>
  </si>
  <si>
    <t>GREENWOOD LAKE</t>
  </si>
  <si>
    <t>442115</t>
  </si>
  <si>
    <t>FLORIDA</t>
  </si>
  <si>
    <t>450101</t>
  </si>
  <si>
    <t>ALBION</t>
  </si>
  <si>
    <t>450607</t>
  </si>
  <si>
    <t>KENDALL</t>
  </si>
  <si>
    <t>450704</t>
  </si>
  <si>
    <t>HOLLEY</t>
  </si>
  <si>
    <t>450801</t>
  </si>
  <si>
    <t>MEDINA</t>
  </si>
  <si>
    <t>451001</t>
  </si>
  <si>
    <t>LYNDONVILLE</t>
  </si>
  <si>
    <t>460102</t>
  </si>
  <si>
    <t>ALTMARPARISH</t>
  </si>
  <si>
    <t>460500</t>
  </si>
  <si>
    <t>FULTON</t>
  </si>
  <si>
    <t>460701</t>
  </si>
  <si>
    <t>HANNIBAL</t>
  </si>
  <si>
    <t>460801</t>
  </si>
  <si>
    <t>CENTRAL SQUARE</t>
  </si>
  <si>
    <t>460901</t>
  </si>
  <si>
    <t>MEXICO</t>
  </si>
  <si>
    <t>461300</t>
  </si>
  <si>
    <t>OSWEGO</t>
  </si>
  <si>
    <t>461801</t>
  </si>
  <si>
    <t>PULASKI</t>
  </si>
  <si>
    <t>461901</t>
  </si>
  <si>
    <t>SANDY CREEK</t>
  </si>
  <si>
    <t>462001</t>
  </si>
  <si>
    <t>PHOENIX</t>
  </si>
  <si>
    <t>470202</t>
  </si>
  <si>
    <t>GLBTSVLLE-MT U</t>
  </si>
  <si>
    <t>470501</t>
  </si>
  <si>
    <t>EDMESTON</t>
  </si>
  <si>
    <t>470801</t>
  </si>
  <si>
    <t>LAURENS</t>
  </si>
  <si>
    <t>470901</t>
  </si>
  <si>
    <t>SCHENEVUS</t>
  </si>
  <si>
    <t>471101</t>
  </si>
  <si>
    <t>MILFORD</t>
  </si>
  <si>
    <t>471201</t>
  </si>
  <si>
    <t>MORRIS</t>
  </si>
  <si>
    <t>471400</t>
  </si>
  <si>
    <t>ONEONTA</t>
  </si>
  <si>
    <t>471601</t>
  </si>
  <si>
    <t>OTEGO-UNADILLA</t>
  </si>
  <si>
    <t>HEMPSTEAD</t>
  </si>
  <si>
    <t>UNIONDALE</t>
  </si>
  <si>
    <t>280203</t>
  </si>
  <si>
    <t>EAST MEADOW</t>
  </si>
  <si>
    <t>280204</t>
  </si>
  <si>
    <t>NORTH BELLMORE</t>
  </si>
  <si>
    <t>LEVITTOWN</t>
  </si>
  <si>
    <t>280206</t>
  </si>
  <si>
    <t>SEAFORD</t>
  </si>
  <si>
    <t>280207</t>
  </si>
  <si>
    <t>BELLMORE</t>
  </si>
  <si>
    <t>ROOSEVELT</t>
  </si>
  <si>
    <t>FREEPORT</t>
  </si>
  <si>
    <t>BALDWIN</t>
  </si>
  <si>
    <t>280211</t>
  </si>
  <si>
    <t>OCEANSIDE</t>
  </si>
  <si>
    <t>MALVERNE</t>
  </si>
  <si>
    <t>280213</t>
  </si>
  <si>
    <t>V STR THIRTEEN</t>
  </si>
  <si>
    <t>280214</t>
  </si>
  <si>
    <t>HEWLETT WOODME</t>
  </si>
  <si>
    <t>280215</t>
  </si>
  <si>
    <t>LAWRENCE</t>
  </si>
  <si>
    <t>ELMONT</t>
  </si>
  <si>
    <t>280217</t>
  </si>
  <si>
    <t>FRANKLIN SQUAR</t>
  </si>
  <si>
    <t>280218</t>
  </si>
  <si>
    <t>GARDENCITY</t>
  </si>
  <si>
    <t>280219</t>
  </si>
  <si>
    <t>EAST ROCKAWAY</t>
  </si>
  <si>
    <t>280220</t>
  </si>
  <si>
    <t>LYNBROOK</t>
  </si>
  <si>
    <t>ROCKVILLE CENT</t>
  </si>
  <si>
    <t>280222</t>
  </si>
  <si>
    <t>FLORALPARK</t>
  </si>
  <si>
    <t>280223</t>
  </si>
  <si>
    <t>WANTAGH</t>
  </si>
  <si>
    <t>V STR TWENTY-F</t>
  </si>
  <si>
    <t>280225</t>
  </si>
  <si>
    <t>MERRICK</t>
  </si>
  <si>
    <t>280226</t>
  </si>
  <si>
    <t>ISLANDTREES</t>
  </si>
  <si>
    <t>280227</t>
  </si>
  <si>
    <t>WEST HEMPSTEAD</t>
  </si>
  <si>
    <t>NORTH MERRICK</t>
  </si>
  <si>
    <t>VALLEYSTR UF</t>
  </si>
  <si>
    <t>280231</t>
  </si>
  <si>
    <t>ISLANDPARK</t>
  </si>
  <si>
    <t>280251</t>
  </si>
  <si>
    <t>VALLEYSTR CHS</t>
  </si>
  <si>
    <t>280252</t>
  </si>
  <si>
    <t>SEWANHAKA</t>
  </si>
  <si>
    <t>280253</t>
  </si>
  <si>
    <t>BELLMORE-MERRI</t>
  </si>
  <si>
    <t>LONG BEACH</t>
  </si>
  <si>
    <t>280401</t>
  </si>
  <si>
    <t>WESTBURY</t>
  </si>
  <si>
    <t>280402</t>
  </si>
  <si>
    <t>EAST WILLISTON</t>
  </si>
  <si>
    <t>ROSLYN</t>
  </si>
  <si>
    <t>280404</t>
  </si>
  <si>
    <t>PORT WASHINGTO</t>
  </si>
  <si>
    <t>280405</t>
  </si>
  <si>
    <t>NEW HYDE PARK</t>
  </si>
  <si>
    <t>280406</t>
  </si>
  <si>
    <t>MANHASSET</t>
  </si>
  <si>
    <t>280407</t>
  </si>
  <si>
    <t>GREAT NECK</t>
  </si>
  <si>
    <t>280409</t>
  </si>
  <si>
    <t>HERRICKS</t>
  </si>
  <si>
    <t>280410</t>
  </si>
  <si>
    <t>MINEOLA</t>
  </si>
  <si>
    <t>280411</t>
  </si>
  <si>
    <t>CARLE PLACE</t>
  </si>
  <si>
    <t>280501</t>
  </si>
  <si>
    <t>NORTH SHORE</t>
  </si>
  <si>
    <t>280502</t>
  </si>
  <si>
    <t>SYOSSET</t>
  </si>
  <si>
    <t>280503</t>
  </si>
  <si>
    <t>LOCUSTVALLEY</t>
  </si>
  <si>
    <t>280504</t>
  </si>
  <si>
    <t>PLAINVIEW</t>
  </si>
  <si>
    <t>280506</t>
  </si>
  <si>
    <t>OYSTERBAY</t>
  </si>
  <si>
    <t>280515</t>
  </si>
  <si>
    <t>JERICHO</t>
  </si>
  <si>
    <t>280517</t>
  </si>
  <si>
    <t>HICKSVILLE</t>
  </si>
  <si>
    <t>280518</t>
  </si>
  <si>
    <t>PLAINEDGE</t>
  </si>
  <si>
    <t>280521</t>
  </si>
  <si>
    <t>BETHPAGE</t>
  </si>
  <si>
    <t>280522</t>
  </si>
  <si>
    <t>FARMINGDALE</t>
  </si>
  <si>
    <t>280523</t>
  </si>
  <si>
    <t>MASSAPEQUA</t>
  </si>
  <si>
    <t>NEW YORK CITY</t>
  </si>
  <si>
    <t>400301</t>
  </si>
  <si>
    <t>LEWISTON PORTE</t>
  </si>
  <si>
    <t>LOCKPORT</t>
  </si>
  <si>
    <t>400601</t>
  </si>
  <si>
    <t>NEWFANE</t>
  </si>
  <si>
    <t>NIAGARA WHEATF</t>
  </si>
  <si>
    <t>NIAGARA FALLS</t>
  </si>
  <si>
    <t>N. TONAWANDA</t>
  </si>
  <si>
    <t>401001</t>
  </si>
  <si>
    <t>STARPOINT</t>
  </si>
  <si>
    <t>401201</t>
  </si>
  <si>
    <t>ROYALTON HARTL</t>
  </si>
  <si>
    <t>401301</t>
  </si>
  <si>
    <t>BARKER</t>
  </si>
  <si>
    <t>401501</t>
  </si>
  <si>
    <t>WILSON</t>
  </si>
  <si>
    <t>410401</t>
  </si>
  <si>
    <t>ADIRONDACK</t>
  </si>
  <si>
    <t>410601</t>
  </si>
  <si>
    <t>CAMDEN</t>
  </si>
  <si>
    <t>411101</t>
  </si>
  <si>
    <t>CLINTON</t>
  </si>
  <si>
    <t>411501</t>
  </si>
  <si>
    <t>NEW HARTFORD</t>
  </si>
  <si>
    <t>411504</t>
  </si>
  <si>
    <t>NEW YORK MILLS</t>
  </si>
  <si>
    <t>411603</t>
  </si>
  <si>
    <t>SAUQUOIT VALLE</t>
  </si>
  <si>
    <t>411701</t>
  </si>
  <si>
    <t>REMSEN</t>
  </si>
  <si>
    <t>411800</t>
  </si>
  <si>
    <t>ROME</t>
  </si>
  <si>
    <t>411902</t>
  </si>
  <si>
    <t>WATERVILLE</t>
  </si>
  <si>
    <t>412000</t>
  </si>
  <si>
    <t>INDIANLAKE</t>
  </si>
  <si>
    <t>200601</t>
  </si>
  <si>
    <t>LAKE PLEASANT</t>
  </si>
  <si>
    <t>200701</t>
  </si>
  <si>
    <t>LONG LAKE</t>
  </si>
  <si>
    <t>200901</t>
  </si>
  <si>
    <t>WELLS</t>
  </si>
  <si>
    <t>210302</t>
  </si>
  <si>
    <t>WEST CANADA VA</t>
  </si>
  <si>
    <t>210402</t>
  </si>
  <si>
    <t>FRANKFORT-SCHU</t>
  </si>
  <si>
    <t>210501</t>
  </si>
  <si>
    <t>ILION</t>
  </si>
  <si>
    <t>210502</t>
  </si>
  <si>
    <t>MOHAWK</t>
  </si>
  <si>
    <t>210601</t>
  </si>
  <si>
    <t>HERKIMER</t>
  </si>
  <si>
    <t>210800</t>
  </si>
  <si>
    <t>LITTLEFALLS</t>
  </si>
  <si>
    <t>211003</t>
  </si>
  <si>
    <t>DOLGEVILLE</t>
  </si>
  <si>
    <t>211103</t>
  </si>
  <si>
    <t>POLAND</t>
  </si>
  <si>
    <t>211701</t>
  </si>
  <si>
    <t>VAN HORNSVILLE</t>
  </si>
  <si>
    <t>211901</t>
  </si>
  <si>
    <t>TOWN OF WEBB</t>
  </si>
  <si>
    <t>212001</t>
  </si>
  <si>
    <t>BRIDGEWATER-W</t>
  </si>
  <si>
    <t>220101</t>
  </si>
  <si>
    <t>S. JEFFERSON</t>
  </si>
  <si>
    <t>220202</t>
  </si>
  <si>
    <t>ALEXANDRIA</t>
  </si>
  <si>
    <t>220301</t>
  </si>
  <si>
    <t>INDIANRIVER</t>
  </si>
  <si>
    <t>220401</t>
  </si>
  <si>
    <t>GENERAL BROWN</t>
  </si>
  <si>
    <t>220701</t>
  </si>
  <si>
    <t>THOUSAND ISLAN</t>
  </si>
  <si>
    <t>220909</t>
  </si>
  <si>
    <t>BELLEVILLE-HEN</t>
  </si>
  <si>
    <t>221001</t>
  </si>
  <si>
    <t>SACKETS HARBOR</t>
  </si>
  <si>
    <t>221301</t>
  </si>
  <si>
    <t>LYME</t>
  </si>
  <si>
    <t>221401</t>
  </si>
  <si>
    <t>LA FARGEVILLE</t>
  </si>
  <si>
    <t>222000</t>
  </si>
  <si>
    <t>WATERTOWN</t>
  </si>
  <si>
    <t>222201</t>
  </si>
  <si>
    <t>CARTHAGE</t>
  </si>
  <si>
    <t>230201</t>
  </si>
  <si>
    <t>COPENHAGEN</t>
  </si>
  <si>
    <t>230301</t>
  </si>
  <si>
    <t>HARRISVILLE</t>
  </si>
  <si>
    <t>230901</t>
  </si>
  <si>
    <t>LOWVILLE</t>
  </si>
  <si>
    <t>231101</t>
  </si>
  <si>
    <t>SOUTH LEWIS</t>
  </si>
  <si>
    <t>231301</t>
  </si>
  <si>
    <t>BEAVERRIVER</t>
  </si>
  <si>
    <t>240101</t>
  </si>
  <si>
    <t>AVON</t>
  </si>
  <si>
    <t>240201</t>
  </si>
  <si>
    <t>CALEDONIA MUMF</t>
  </si>
  <si>
    <t>240401</t>
  </si>
  <si>
    <t>GENESEO</t>
  </si>
  <si>
    <t>240801</t>
  </si>
  <si>
    <t>LIVONIA</t>
  </si>
  <si>
    <t>240901</t>
  </si>
  <si>
    <t>MOUNT MORRIS</t>
  </si>
  <si>
    <t>241001</t>
  </si>
  <si>
    <t>DANSVILLE</t>
  </si>
  <si>
    <t>241101</t>
  </si>
  <si>
    <t>DALTON-NUNDA</t>
  </si>
  <si>
    <t>241701</t>
  </si>
  <si>
    <t>YORK</t>
  </si>
  <si>
    <t>250109</t>
  </si>
  <si>
    <t>BROOKFIELD</t>
  </si>
  <si>
    <t>250201</t>
  </si>
  <si>
    <t>CAZENOVIA</t>
  </si>
  <si>
    <t>250301</t>
  </si>
  <si>
    <t>DE RUYTER</t>
  </si>
  <si>
    <t>250401</t>
  </si>
  <si>
    <t>MORRISVILLE EA</t>
  </si>
  <si>
    <t>250701</t>
  </si>
  <si>
    <t>HAMILTON</t>
  </si>
  <si>
    <t>250901</t>
  </si>
  <si>
    <t>CANASTOTA</t>
  </si>
  <si>
    <t>251101</t>
  </si>
  <si>
    <t>MADISON</t>
  </si>
  <si>
    <t>251400</t>
  </si>
  <si>
    <t>ONEIDACITY</t>
  </si>
  <si>
    <t>251501</t>
  </si>
  <si>
    <t>STOCKBRIDGE VA</t>
  </si>
  <si>
    <t>251601</t>
  </si>
  <si>
    <t>CHITTENANGO</t>
  </si>
  <si>
    <t>BRIGHTON</t>
  </si>
  <si>
    <t>GATES CHILI</t>
  </si>
  <si>
    <t>GREECE</t>
  </si>
  <si>
    <t>E. IRONDEQUOIT</t>
  </si>
  <si>
    <t>W. IRONDEQUOIT</t>
  </si>
  <si>
    <t>260901</t>
  </si>
  <si>
    <t>HONEOYE FALLS</t>
  </si>
  <si>
    <t>261001</t>
  </si>
  <si>
    <t>SPENCERPORT</t>
  </si>
  <si>
    <t>HILTON</t>
  </si>
  <si>
    <t>PENFIELD</t>
  </si>
  <si>
    <t>FAIRPORT</t>
  </si>
  <si>
    <t>EAST ROCHESTER</t>
  </si>
  <si>
    <t>261401</t>
  </si>
  <si>
    <t>PITTSFORD</t>
  </si>
  <si>
    <t>261501</t>
  </si>
  <si>
    <t>CHURCHVILLE CH</t>
  </si>
  <si>
    <t>ROCHESTER</t>
  </si>
  <si>
    <t>RUSH HENRIETTA</t>
  </si>
  <si>
    <t>261801</t>
  </si>
  <si>
    <t>BROCKPORT</t>
  </si>
  <si>
    <t>WEBSTER</t>
  </si>
  <si>
    <t>262001</t>
  </si>
  <si>
    <t>WHEATLAND CHIL</t>
  </si>
  <si>
    <t>AMSTERDAM</t>
  </si>
  <si>
    <t>270301</t>
  </si>
  <si>
    <t>CANAJOHARIE</t>
  </si>
  <si>
    <t>270601</t>
  </si>
  <si>
    <t>FONDA FULTONVI</t>
  </si>
  <si>
    <t>270701</t>
  </si>
  <si>
    <t>FORT PLAIN</t>
  </si>
  <si>
    <t>271102</t>
  </si>
  <si>
    <t>ST JOHNSVILLE</t>
  </si>
  <si>
    <t>280100</t>
  </si>
  <si>
    <t>GLEN COVE</t>
  </si>
  <si>
    <t>131101</t>
  </si>
  <si>
    <t>NORTHEAST</t>
  </si>
  <si>
    <t>131201</t>
  </si>
  <si>
    <t>PAWLING</t>
  </si>
  <si>
    <t>131301</t>
  </si>
  <si>
    <t>PINE PLAINS</t>
  </si>
  <si>
    <t>131500</t>
  </si>
  <si>
    <t>POUGHKEEPSIE</t>
  </si>
  <si>
    <t>131601</t>
  </si>
  <si>
    <t>ARLINGTON</t>
  </si>
  <si>
    <t>131602</t>
  </si>
  <si>
    <t>SPACKENKILL</t>
  </si>
  <si>
    <t>131701</t>
  </si>
  <si>
    <t>RED HOOK</t>
  </si>
  <si>
    <t>131801</t>
  </si>
  <si>
    <t>RHINEBECK</t>
  </si>
  <si>
    <t>132101</t>
  </si>
  <si>
    <t>WAPPINGERS</t>
  </si>
  <si>
    <t>132201</t>
  </si>
  <si>
    <t>MILLBROOK</t>
  </si>
  <si>
    <t>140101</t>
  </si>
  <si>
    <t>ALDEN</t>
  </si>
  <si>
    <t>AMHERST</t>
  </si>
  <si>
    <t>WILLIAMSVILLE</t>
  </si>
  <si>
    <t>SWEET HOME</t>
  </si>
  <si>
    <t>140301</t>
  </si>
  <si>
    <t>EAST AURORA</t>
  </si>
  <si>
    <t>BUFFALO</t>
  </si>
  <si>
    <t>CHEEKTOWAGA</t>
  </si>
  <si>
    <t>MARYVALE</t>
  </si>
  <si>
    <t>CLEVELAND HILL</t>
  </si>
  <si>
    <t>DEPEW</t>
  </si>
  <si>
    <t>SLOAN</t>
  </si>
  <si>
    <t>CLARENCE</t>
  </si>
  <si>
    <t>SPRINGVILLE-GR</t>
  </si>
  <si>
    <t>141201</t>
  </si>
  <si>
    <t>EDEN</t>
  </si>
  <si>
    <t>141301</t>
  </si>
  <si>
    <t>IROQUOIS</t>
  </si>
  <si>
    <t>141401</t>
  </si>
  <si>
    <t>EVANS-BRANT</t>
  </si>
  <si>
    <t>GRAND ISLAND</t>
  </si>
  <si>
    <t>HAMBURG</t>
  </si>
  <si>
    <t>FRONTIER</t>
  </si>
  <si>
    <t>HOLLAND</t>
  </si>
  <si>
    <t>LACKAWANNA</t>
  </si>
  <si>
    <t>LANCASTER</t>
  </si>
  <si>
    <t>142101</t>
  </si>
  <si>
    <t>AKRON</t>
  </si>
  <si>
    <t>142201</t>
  </si>
  <si>
    <t>NORTH COLLINS</t>
  </si>
  <si>
    <t>ORCHARD PARK</t>
  </si>
  <si>
    <t>TONAWANDA</t>
  </si>
  <si>
    <t>KENMORE</t>
  </si>
  <si>
    <t>WEST SENECA</t>
  </si>
  <si>
    <t>150203</t>
  </si>
  <si>
    <t>CROWN POINT</t>
  </si>
  <si>
    <t>150301</t>
  </si>
  <si>
    <t>ELIZABETHTOWN</t>
  </si>
  <si>
    <t>150601</t>
  </si>
  <si>
    <t>KEENE</t>
  </si>
  <si>
    <t>150801</t>
  </si>
  <si>
    <t>MINERVA</t>
  </si>
  <si>
    <t>150901</t>
  </si>
  <si>
    <t>MORIAH</t>
  </si>
  <si>
    <t>151001</t>
  </si>
  <si>
    <t>NEWCOMB</t>
  </si>
  <si>
    <t>151102</t>
  </si>
  <si>
    <t>LAKE PLACID</t>
  </si>
  <si>
    <t>151401</t>
  </si>
  <si>
    <t>SCHROON LAKE</t>
  </si>
  <si>
    <t>151501</t>
  </si>
  <si>
    <t>TICONDEROGA</t>
  </si>
  <si>
    <t>151601</t>
  </si>
  <si>
    <t>WESTPORT</t>
  </si>
  <si>
    <t>151701</t>
  </si>
  <si>
    <t>WILLSBORO</t>
  </si>
  <si>
    <t>160101</t>
  </si>
  <si>
    <t>TUPPERLAKE</t>
  </si>
  <si>
    <t>160801</t>
  </si>
  <si>
    <t>CHATEAUGAY</t>
  </si>
  <si>
    <t>161201</t>
  </si>
  <si>
    <t>SALMONRIVER</t>
  </si>
  <si>
    <t>161401</t>
  </si>
  <si>
    <t>SARANAC LAKE</t>
  </si>
  <si>
    <t>161501</t>
  </si>
  <si>
    <t>MALONE</t>
  </si>
  <si>
    <t>161601</t>
  </si>
  <si>
    <t>BRUSHTON MOIRA</t>
  </si>
  <si>
    <t>161801</t>
  </si>
  <si>
    <t>ST REGIS FALLS</t>
  </si>
  <si>
    <t>170301</t>
  </si>
  <si>
    <t>WHEELERVILLE</t>
  </si>
  <si>
    <t>170500</t>
  </si>
  <si>
    <t>GLOVERSVILLE</t>
  </si>
  <si>
    <t>170600</t>
  </si>
  <si>
    <t>JOHNSTOWN</t>
  </si>
  <si>
    <t>170801</t>
  </si>
  <si>
    <t>MAYFIELD</t>
  </si>
  <si>
    <t>170901</t>
  </si>
  <si>
    <t>NORTHVILLE</t>
  </si>
  <si>
    <t>171001</t>
  </si>
  <si>
    <t>OPPENHEIM EPHR</t>
  </si>
  <si>
    <t>171102</t>
  </si>
  <si>
    <t>BROADALBIN-PER</t>
  </si>
  <si>
    <t>180202</t>
  </si>
  <si>
    <t>ALEXANDER</t>
  </si>
  <si>
    <t>180300</t>
  </si>
  <si>
    <t>BATAVIA</t>
  </si>
  <si>
    <t>180701</t>
  </si>
  <si>
    <t>BYRON BERGEN</t>
  </si>
  <si>
    <t>180901</t>
  </si>
  <si>
    <t>ELBA</t>
  </si>
  <si>
    <t>181001</t>
  </si>
  <si>
    <t>LE ROY</t>
  </si>
  <si>
    <t>181101</t>
  </si>
  <si>
    <t>OAKFIELD ALABA</t>
  </si>
  <si>
    <t>181201</t>
  </si>
  <si>
    <t>PAVILION</t>
  </si>
  <si>
    <t>181302</t>
  </si>
  <si>
    <t>PEMBROKE</t>
  </si>
  <si>
    <t>190301</t>
  </si>
  <si>
    <t>CAIRO-DURHAM</t>
  </si>
  <si>
    <t>190401</t>
  </si>
  <si>
    <t>CATSKILL</t>
  </si>
  <si>
    <t>190501</t>
  </si>
  <si>
    <t>COXSACKIE ATHE</t>
  </si>
  <si>
    <t>190701</t>
  </si>
  <si>
    <t>GREENVILLE</t>
  </si>
  <si>
    <t>190901</t>
  </si>
  <si>
    <t>HUNTERTANNERS</t>
  </si>
  <si>
    <t>191401</t>
  </si>
  <si>
    <t>WINDHAM ASHLAN</t>
  </si>
  <si>
    <t>200401</t>
  </si>
  <si>
    <t>050301</t>
  </si>
  <si>
    <t>WEEDSPORT</t>
  </si>
  <si>
    <t>050401</t>
  </si>
  <si>
    <t>CATO MERIDIAN</t>
  </si>
  <si>
    <t>050701</t>
  </si>
  <si>
    <t>SOUTHERN CAYUG</t>
  </si>
  <si>
    <t>051101</t>
  </si>
  <si>
    <t>PORT BYRON</t>
  </si>
  <si>
    <t>051301</t>
  </si>
  <si>
    <t>MORAVIA</t>
  </si>
  <si>
    <t>051901</t>
  </si>
  <si>
    <t>UNION SPRINGS</t>
  </si>
  <si>
    <t>060201</t>
  </si>
  <si>
    <t>SOUTHWESTERN</t>
  </si>
  <si>
    <t>060301</t>
  </si>
  <si>
    <t>FREWSBURG</t>
  </si>
  <si>
    <t>060401</t>
  </si>
  <si>
    <t>CASSADAGA VALL</t>
  </si>
  <si>
    <t>060503</t>
  </si>
  <si>
    <t>CHAUTAUQUA LAKE CSD</t>
  </si>
  <si>
    <t>060601</t>
  </si>
  <si>
    <t>PINE VALLEY</t>
  </si>
  <si>
    <t>060701</t>
  </si>
  <si>
    <t>CLYMER</t>
  </si>
  <si>
    <t>060800</t>
  </si>
  <si>
    <t>DUNKIRK</t>
  </si>
  <si>
    <t>061001</t>
  </si>
  <si>
    <t>BEMUS POINT</t>
  </si>
  <si>
    <t>061101</t>
  </si>
  <si>
    <t>FALCONER</t>
  </si>
  <si>
    <t>061501</t>
  </si>
  <si>
    <t>SILVERCREEK</t>
  </si>
  <si>
    <t>061503</t>
  </si>
  <si>
    <t>FORESTVILLE</t>
  </si>
  <si>
    <t>061601</t>
  </si>
  <si>
    <t>PANAMA</t>
  </si>
  <si>
    <t>061700</t>
  </si>
  <si>
    <t>JAMESTOWN</t>
  </si>
  <si>
    <t>062201</t>
  </si>
  <si>
    <t>FREDONIA</t>
  </si>
  <si>
    <t>062301</t>
  </si>
  <si>
    <t>BROCTON</t>
  </si>
  <si>
    <t>062401</t>
  </si>
  <si>
    <t>RIPLEY</t>
  </si>
  <si>
    <t>062601</t>
  </si>
  <si>
    <t>SHERMAN</t>
  </si>
  <si>
    <t>062901</t>
  </si>
  <si>
    <t>WESTFIELD</t>
  </si>
  <si>
    <t>070600</t>
  </si>
  <si>
    <t>ELMIRA</t>
  </si>
  <si>
    <t>070901</t>
  </si>
  <si>
    <t>HORSEHEADS</t>
  </si>
  <si>
    <t>070902</t>
  </si>
  <si>
    <t>ELMIRAHEIGHTS</t>
  </si>
  <si>
    <t>080101</t>
  </si>
  <si>
    <t>AFTON</t>
  </si>
  <si>
    <t>080201</t>
  </si>
  <si>
    <t>BAINBRIDGE GUI</t>
  </si>
  <si>
    <t>080601</t>
  </si>
  <si>
    <t>GREENE</t>
  </si>
  <si>
    <t>081003</t>
  </si>
  <si>
    <t>UNADILLA VALLEY CSD</t>
  </si>
  <si>
    <t>081200</t>
  </si>
  <si>
    <t>NORWICH</t>
  </si>
  <si>
    <t>081401</t>
  </si>
  <si>
    <t>GRGETWN-SO OTS</t>
  </si>
  <si>
    <t>081501</t>
  </si>
  <si>
    <t>OXFORD</t>
  </si>
  <si>
    <t>082001</t>
  </si>
  <si>
    <t>SHERBURNE EARL</t>
  </si>
  <si>
    <t>090201</t>
  </si>
  <si>
    <t>AUSABLE VALLEY</t>
  </si>
  <si>
    <t>090301</t>
  </si>
  <si>
    <t>BEEKMANTOWN</t>
  </si>
  <si>
    <t>090501</t>
  </si>
  <si>
    <t>NORTHEASTERN</t>
  </si>
  <si>
    <t>090601</t>
  </si>
  <si>
    <t>CHAZY</t>
  </si>
  <si>
    <t>090901</t>
  </si>
  <si>
    <t>NORTHRN ADIRON</t>
  </si>
  <si>
    <t>091101</t>
  </si>
  <si>
    <t>PERU</t>
  </si>
  <si>
    <t>091200</t>
  </si>
  <si>
    <t>PLATTSBURGH</t>
  </si>
  <si>
    <t>091402</t>
  </si>
  <si>
    <t>SARANAC</t>
  </si>
  <si>
    <t>100501</t>
  </si>
  <si>
    <t>COPAKE-TACONIC</t>
  </si>
  <si>
    <t>100902</t>
  </si>
  <si>
    <t>GERMANTOWN</t>
  </si>
  <si>
    <t>101001</t>
  </si>
  <si>
    <t>CHATHAM</t>
  </si>
  <si>
    <t>101300</t>
  </si>
  <si>
    <t>HUDSON</t>
  </si>
  <si>
    <t>101401</t>
  </si>
  <si>
    <t>KINDERHOOK</t>
  </si>
  <si>
    <t>101601</t>
  </si>
  <si>
    <t>NEW LEBANON</t>
  </si>
  <si>
    <t>110101</t>
  </si>
  <si>
    <t>CINCINNATUS</t>
  </si>
  <si>
    <t>110200</t>
  </si>
  <si>
    <t>CORTLAND</t>
  </si>
  <si>
    <t>110304</t>
  </si>
  <si>
    <t>MCGRAW</t>
  </si>
  <si>
    <t>110701</t>
  </si>
  <si>
    <t>HOMER</t>
  </si>
  <si>
    <t>110901</t>
  </si>
  <si>
    <t>MARATHON</t>
  </si>
  <si>
    <t>120102</t>
  </si>
  <si>
    <t>ANDES</t>
  </si>
  <si>
    <t>120301</t>
  </si>
  <si>
    <t>DOWNSVILLE</t>
  </si>
  <si>
    <t>120401</t>
  </si>
  <si>
    <t>CHARLOTTE VALL</t>
  </si>
  <si>
    <t>120501</t>
  </si>
  <si>
    <t>DELHI</t>
  </si>
  <si>
    <t>120701</t>
  </si>
  <si>
    <t>FRANKLIN</t>
  </si>
  <si>
    <t>120906</t>
  </si>
  <si>
    <t>HANCOCK</t>
  </si>
  <si>
    <t>121401</t>
  </si>
  <si>
    <t>MARGARETVILLE</t>
  </si>
  <si>
    <t>121502</t>
  </si>
  <si>
    <t>ROXBURY</t>
  </si>
  <si>
    <t>121601</t>
  </si>
  <si>
    <t>SIDNEY</t>
  </si>
  <si>
    <t>121701</t>
  </si>
  <si>
    <t>STAMFORD</t>
  </si>
  <si>
    <t>121702</t>
  </si>
  <si>
    <t>S. KORTRIGHT</t>
  </si>
  <si>
    <t>121901</t>
  </si>
  <si>
    <t>WALTON</t>
  </si>
  <si>
    <t>130200</t>
  </si>
  <si>
    <t>BEACON</t>
  </si>
  <si>
    <t>130502</t>
  </si>
  <si>
    <t>DOVER</t>
  </si>
  <si>
    <t>130801</t>
  </si>
  <si>
    <t>HYDE PARK</t>
  </si>
  <si>
    <t>010802</t>
  </si>
  <si>
    <t>District</t>
  </si>
  <si>
    <t>Year</t>
  </si>
  <si>
    <t>UFB</t>
  </si>
  <si>
    <t>STaid</t>
  </si>
  <si>
    <t>STAR</t>
  </si>
  <si>
    <t>TOTSTAT</t>
  </si>
  <si>
    <t>LREV</t>
  </si>
  <si>
    <t>FEDREV</t>
  </si>
  <si>
    <t>TOTREV</t>
  </si>
  <si>
    <t>BDED0607</t>
  </si>
  <si>
    <t>CADM0607</t>
  </si>
  <si>
    <t>TSAL0607</t>
  </si>
  <si>
    <t>PPS0607</t>
  </si>
  <si>
    <t>CDS0607</t>
  </si>
  <si>
    <t>BOC0607</t>
  </si>
  <si>
    <t>TUI10607</t>
  </si>
  <si>
    <t>TUI20607</t>
  </si>
  <si>
    <t>OIS0607</t>
  </si>
  <si>
    <t>OIEXP0607</t>
  </si>
  <si>
    <t>CSER0607</t>
  </si>
  <si>
    <t>OPMT0607</t>
  </si>
  <si>
    <t>TCHR0607</t>
  </si>
  <si>
    <t>HEAL0607</t>
  </si>
  <si>
    <t>OEB0607</t>
  </si>
  <si>
    <t>OUND0607</t>
  </si>
  <si>
    <t>OTH0607</t>
  </si>
  <si>
    <t>SUBTOT</t>
  </si>
  <si>
    <t>TRANS0607</t>
  </si>
  <si>
    <t>DSP0607</t>
  </si>
  <si>
    <t>DSI0607</t>
  </si>
  <si>
    <t>TEXP0506</t>
  </si>
  <si>
    <t>DCAADM</t>
  </si>
  <si>
    <t>REV/PUPIL</t>
  </si>
  <si>
    <t>EXP/PUPIL</t>
  </si>
  <si>
    <t>AV/TWPU</t>
  </si>
  <si>
    <t>INC/TWPU</t>
  </si>
  <si>
    <t>CWR</t>
  </si>
  <si>
    <t>IE1/TOTAL</t>
  </si>
  <si>
    <t>INS FB%</t>
  </si>
  <si>
    <t>IE2%</t>
  </si>
  <si>
    <t>IE3/ADJ EXP</t>
  </si>
  <si>
    <t>LOC EFF RATE</t>
  </si>
  <si>
    <t>ALBANY</t>
  </si>
  <si>
    <t>2006</t>
  </si>
  <si>
    <t>BERNE KNOX</t>
  </si>
  <si>
    <t>010306</t>
  </si>
  <si>
    <t>BETHLEHEM</t>
  </si>
  <si>
    <t>RAVENACOEYMAN</t>
  </si>
  <si>
    <t>COHOES</t>
  </si>
  <si>
    <t>010601</t>
  </si>
  <si>
    <t>SOUTH COLONIE</t>
  </si>
  <si>
    <t>NORTH COLONIE</t>
  </si>
  <si>
    <t>MENANDS</t>
  </si>
  <si>
    <t>010622</t>
  </si>
  <si>
    <t>MAPLEWOOD</t>
  </si>
  <si>
    <t>GREEN ISLAND</t>
  </si>
  <si>
    <t>GUILDERLAND</t>
  </si>
  <si>
    <t>011003</t>
  </si>
  <si>
    <t>VOORHEESVILLE</t>
  </si>
  <si>
    <t>WATERVLIET</t>
  </si>
  <si>
    <t>020101</t>
  </si>
  <si>
    <t>ALFREDALMOND</t>
  </si>
  <si>
    <t>020601</t>
  </si>
  <si>
    <t>ANDOVER</t>
  </si>
  <si>
    <t>020702</t>
  </si>
  <si>
    <t>GENESEE VALLEY CSD</t>
  </si>
  <si>
    <t>020801</t>
  </si>
  <si>
    <t>BELFAST</t>
  </si>
  <si>
    <t>021102</t>
  </si>
  <si>
    <t>CANASERAGA</t>
  </si>
  <si>
    <t>021601</t>
  </si>
  <si>
    <t>FRIENDSHIP</t>
  </si>
  <si>
    <t>022001</t>
  </si>
  <si>
    <t>FILLMORE</t>
  </si>
  <si>
    <t>022101</t>
  </si>
  <si>
    <t>WHITESVILLE</t>
  </si>
  <si>
    <t>022302</t>
  </si>
  <si>
    <t>CUBA-RUSHFORD</t>
  </si>
  <si>
    <t>022401</t>
  </si>
  <si>
    <t>SCIO</t>
  </si>
  <si>
    <t>022601</t>
  </si>
  <si>
    <t>WELLSVILLE</t>
  </si>
  <si>
    <t>022902</t>
  </si>
  <si>
    <t>BOLIVAR-RICHBG</t>
  </si>
  <si>
    <t>030101</t>
  </si>
  <si>
    <t>CHENANGO FORKS</t>
  </si>
  <si>
    <t>030200</t>
  </si>
  <si>
    <t>BINGHAMTON</t>
  </si>
  <si>
    <t>030501</t>
  </si>
  <si>
    <t>HARPURSVILLE</t>
  </si>
  <si>
    <t>030601</t>
  </si>
  <si>
    <t>SUSQUEHANNA VA</t>
  </si>
  <si>
    <t>030701</t>
  </si>
  <si>
    <t>CHENANGO VALLE</t>
  </si>
  <si>
    <t>031101</t>
  </si>
  <si>
    <t>MAINE ENDWELL</t>
  </si>
  <si>
    <t>031301</t>
  </si>
  <si>
    <t>DEPOSIT</t>
  </si>
  <si>
    <t>031401</t>
  </si>
  <si>
    <t>WHITNEY POINT</t>
  </si>
  <si>
    <t>031501</t>
  </si>
  <si>
    <t>UNION-ENDICOTT</t>
  </si>
  <si>
    <t>031502</t>
  </si>
  <si>
    <t>JOHNSON   CITY</t>
  </si>
  <si>
    <t>031601</t>
  </si>
  <si>
    <t>VESTAL</t>
  </si>
  <si>
    <t>031701</t>
  </si>
  <si>
    <t>WINDSOR</t>
  </si>
  <si>
    <t>040204</t>
  </si>
  <si>
    <t>WEST VALLEY</t>
  </si>
  <si>
    <t>040302</t>
  </si>
  <si>
    <t>ALLEGANY-LIMES</t>
  </si>
  <si>
    <t>040901</t>
  </si>
  <si>
    <t>ELLICOTTVILLE</t>
  </si>
  <si>
    <t>041101</t>
  </si>
  <si>
    <t>FRANKLINVILLE</t>
  </si>
  <si>
    <t>041401</t>
  </si>
  <si>
    <t>HINSDALE</t>
  </si>
  <si>
    <t>042302</t>
  </si>
  <si>
    <t>CATTAR-LIT VAL</t>
  </si>
  <si>
    <t>042400</t>
  </si>
  <si>
    <t>OLEAN</t>
  </si>
  <si>
    <t>042801</t>
  </si>
  <si>
    <t>GOWANDA</t>
  </si>
  <si>
    <t>042901</t>
  </si>
  <si>
    <t>PORTVILLE</t>
  </si>
  <si>
    <t>043001</t>
  </si>
  <si>
    <t>RANDOLPH</t>
  </si>
  <si>
    <t>043200</t>
  </si>
  <si>
    <t>SALAMANCA</t>
  </si>
  <si>
    <t>043501</t>
  </si>
  <si>
    <t>YORKSHRE-PIONE</t>
  </si>
  <si>
    <t>050100</t>
  </si>
  <si>
    <t>AUBURN</t>
  </si>
  <si>
    <t>Total Southside Academy Charter</t>
  </si>
  <si>
    <t>Syracuse Academy Of Science Charter</t>
  </si>
  <si>
    <t>Total Syracuse Academy of Science Charter</t>
  </si>
  <si>
    <t>International Charter Of Schenectady</t>
  </si>
  <si>
    <t>Total Child Development Center of the Hamptons</t>
  </si>
  <si>
    <t>Riverhead Charter</t>
  </si>
  <si>
    <t>Total Charter School of Educational Excellence</t>
  </si>
  <si>
    <t>Total</t>
  </si>
  <si>
    <t>The Renaissance Charter School</t>
  </si>
  <si>
    <t>New York Center for Autism Charter School</t>
  </si>
  <si>
    <t>Bronx Charter School for Excellence</t>
  </si>
  <si>
    <t>Public School District Revenue/State Aid/NYC Grant</t>
  </si>
  <si>
    <t>Kipp Sankofa Charter</t>
  </si>
  <si>
    <t>Total Kipp Sankofa Charter</t>
  </si>
  <si>
    <t>Total Harlem Children's Zone Promise Academy I</t>
  </si>
  <si>
    <t>Explore Charter</t>
  </si>
  <si>
    <t>Note: File from the state did not include explore charter school enrollments by sending district.</t>
  </si>
  <si>
    <t>Williamsburg Charter High</t>
  </si>
  <si>
    <t>Total Williamsburg Charter High</t>
  </si>
  <si>
    <t>Note: File from the state did not include williamsburg charter high school enrollments by sending district.</t>
  </si>
  <si>
    <t>Bronx Preparatory Charter</t>
  </si>
  <si>
    <t>Total Bronx Preparatory Charter</t>
  </si>
  <si>
    <t>Note: File from the state did not include Bronx Preparatory charter enrollments by sending district.</t>
  </si>
  <si>
    <t>Total Ross Global Academy Charter</t>
  </si>
  <si>
    <t>KIPP AMP Academy Charter</t>
  </si>
  <si>
    <t>Total KIPP AMP Academy Charter</t>
  </si>
  <si>
    <t>Total Harlem Success Academy Charter</t>
  </si>
  <si>
    <t>Manhattan Charter</t>
  </si>
  <si>
    <t>Total Manhattan Charter</t>
  </si>
  <si>
    <t>Note: File from the state did not include Ross Global charter enrollments by sending district.</t>
  </si>
  <si>
    <t>Note: File from the state did not include KIPP AMP Academy  charter enrollments by sending district.</t>
  </si>
  <si>
    <t>Note: File from the state did not include Harlem Success Academy  charter enrollments by sending district.</t>
  </si>
  <si>
    <t>Note: File from the state did not include Manhattan charter enrollments by sending district.</t>
  </si>
  <si>
    <t>District Location</t>
  </si>
  <si>
    <t>NYC</t>
  </si>
  <si>
    <t>Buffalo</t>
  </si>
  <si>
    <t>Statewide</t>
  </si>
  <si>
    <t>Beginning With Children Charter School</t>
  </si>
  <si>
    <t>District BEDS</t>
  </si>
  <si>
    <t>Sending District</t>
  </si>
  <si>
    <t>% State Revenue</t>
  </si>
  <si>
    <t>Formula for Distribution of FY07 Charter Sending District Revenue by Local and State Funds</t>
  </si>
  <si>
    <t>010402</t>
  </si>
  <si>
    <t>010201</t>
  </si>
  <si>
    <t>010500</t>
  </si>
  <si>
    <t>Kipp Academy Charter</t>
  </si>
  <si>
    <t>Total Kiip Academy Charter</t>
  </si>
  <si>
    <t>Total Bronx Charter School for Children</t>
  </si>
  <si>
    <t>Total South Bronx Charter School-Inter Culture</t>
  </si>
  <si>
    <t>Total Bronx Charter School For The Arts</t>
  </si>
  <si>
    <t>Bronx Lighthouse Charter</t>
  </si>
  <si>
    <t>Total Broinx Lighthouse Charter</t>
  </si>
  <si>
    <t>Hyde Leadership Charter</t>
  </si>
  <si>
    <t>Total Hyde Leadership Charter</t>
  </si>
  <si>
    <t>Harriet Tubman Charter</t>
  </si>
  <si>
    <t>Total Harriet Tubman Charter</t>
  </si>
  <si>
    <t>Carl C Icahn Charter</t>
  </si>
  <si>
    <t>Total Carl C. Icahn Charter</t>
  </si>
  <si>
    <t>Grand Concourse Academy Charter</t>
  </si>
  <si>
    <t>Total Grand Concourse Academy Charter</t>
  </si>
  <si>
    <t>International Leadership Charter</t>
  </si>
  <si>
    <t>Total International Leadership Charter</t>
  </si>
  <si>
    <t>Total Bronx Charter for Better Learning</t>
  </si>
  <si>
    <t>Bronx Charter For Better Learning</t>
  </si>
  <si>
    <t>Total Bronx Charter School For Excellence</t>
  </si>
  <si>
    <t>Total Sourth Bronx Classical Charter</t>
  </si>
  <si>
    <t>Total Community Partnership Charter</t>
  </si>
  <si>
    <t>Community Roots Charter</t>
  </si>
  <si>
    <t>Total Community Roots Charter</t>
  </si>
  <si>
    <t>Leadership Preparatory Charter</t>
  </si>
  <si>
    <t>Total Leadership Preparatory Charter</t>
  </si>
  <si>
    <t>Brooklyn Charter</t>
  </si>
  <si>
    <t>Total Brooklyn Charter</t>
  </si>
  <si>
    <t>Beginning With Children Charter</t>
  </si>
  <si>
    <t>Total Beginning With Children Charter</t>
  </si>
  <si>
    <t>Total Williamsburg Collegiate Charter</t>
  </si>
  <si>
    <t>Achievement First Endeavor Charter</t>
  </si>
  <si>
    <t>Total Achievement First Endeavor Charter</t>
  </si>
  <si>
    <t>Hellenic Classical Charter</t>
  </si>
  <si>
    <t>Total Hellenic Classical Charter</t>
  </si>
  <si>
    <t>Brooklyn Excelsior Charter</t>
  </si>
  <si>
    <t>Excellence Charter School Of Bedford</t>
  </si>
  <si>
    <t>Total Excellence Charter School Of Bedford</t>
  </si>
  <si>
    <t>Total Achievement First Crown Heights Charter</t>
  </si>
  <si>
    <t>Total Achievement First East New York Charter</t>
  </si>
  <si>
    <t>UFT Charter</t>
  </si>
  <si>
    <t>East New York Preparatory Charter</t>
  </si>
  <si>
    <t>Total East New York Preparatory Charter</t>
  </si>
  <si>
    <t>Total Achievement First Bushwick Charter</t>
  </si>
  <si>
    <t>Total Peninsula Preparatory Academy Charter</t>
  </si>
  <si>
    <t>Total Merrick Academy-Queens Public Charter</t>
  </si>
  <si>
    <t>Renaissance Charter</t>
  </si>
  <si>
    <t>Total Renaissance Charter</t>
  </si>
  <si>
    <t>Total Our World Neighborhood Charter</t>
  </si>
  <si>
    <t>Niagara Charter</t>
  </si>
  <si>
    <t>Total Niagara Charter</t>
  </si>
  <si>
    <t>Southside Academy Charter</t>
  </si>
  <si>
    <t>Total King Center Charter</t>
  </si>
  <si>
    <t>Total South Buffalo Charter</t>
  </si>
  <si>
    <t>Tapestry Charter</t>
  </si>
  <si>
    <t>Community Charter</t>
  </si>
  <si>
    <t>Total Tapestry Charter</t>
  </si>
  <si>
    <t>Total Community Charter</t>
  </si>
  <si>
    <t>Buffalo United Charter</t>
  </si>
  <si>
    <t>Total Buffalo United Charter</t>
  </si>
  <si>
    <t>Pinnacle Charter</t>
  </si>
  <si>
    <t>Total Pinnacle Charter</t>
  </si>
  <si>
    <t>Buffalo Academy Of Science</t>
  </si>
  <si>
    <t>Total Buffalo Academy of Science</t>
  </si>
  <si>
    <t>Total Western New York Maritime Charter</t>
  </si>
  <si>
    <t>Oracle Charter</t>
  </si>
  <si>
    <t>Total Oracle Charter</t>
  </si>
  <si>
    <t>Westminster Community Charter</t>
  </si>
  <si>
    <t>Elmwood Village Charter</t>
  </si>
  <si>
    <t>Total Elmwood Village Charter</t>
  </si>
  <si>
    <t>Global Concepts Charter</t>
  </si>
  <si>
    <t>Total Global Concepts Charter</t>
  </si>
  <si>
    <t>Total Charter School for Applied Technologies</t>
  </si>
  <si>
    <t>Total Eugenio Maria De Hostos Charter</t>
  </si>
  <si>
    <t>Genesee Community Charter</t>
  </si>
  <si>
    <t>Total Genesee Community Charter</t>
  </si>
  <si>
    <t>Urban Choice Charter</t>
  </si>
  <si>
    <t>Total Urban Choice Charter</t>
  </si>
  <si>
    <t>Total True North Rochester Preparatory Charter</t>
  </si>
  <si>
    <t>Total Roosevelt Children's Academy Charter</t>
  </si>
  <si>
    <t>Girls Preparatory Charter</t>
  </si>
  <si>
    <t>Total Girls Preparatory Charter</t>
  </si>
  <si>
    <t>John V Lindsay Wildcat Academy Charter</t>
  </si>
  <si>
    <t>Total John V Lindsay Wildcat Academy Charter</t>
  </si>
  <si>
    <t>Total Sisulu-Walker Charter School of Harlem</t>
  </si>
  <si>
    <t>Opportunity Charter</t>
  </si>
  <si>
    <t>Total Opportunity Charter</t>
  </si>
  <si>
    <t>Total Harlem Link Charter</t>
  </si>
  <si>
    <t>Harlem Link Charter</t>
  </si>
  <si>
    <t>Total Future Leaders Charter</t>
  </si>
  <si>
    <t>Harlem Children's Zone Promise Academy I</t>
  </si>
  <si>
    <t>Total Harlem Children's Zone Promise Academy</t>
  </si>
  <si>
    <t>Amber Charter</t>
  </si>
  <si>
    <t>Total Amber Charter</t>
  </si>
  <si>
    <t>Harbor Science And Arts Charter</t>
  </si>
  <si>
    <t>Total Harbor Science And Arts Charter</t>
  </si>
  <si>
    <t>Harlem Day Charter</t>
  </si>
  <si>
    <t>Total Harlem Day Charter</t>
  </si>
  <si>
    <t>Total Leadership Village Academy Charter</t>
  </si>
  <si>
    <t>New York Center For Autism Charter</t>
  </si>
  <si>
    <t>Total New York Center for Autism Charter</t>
  </si>
  <si>
    <t>Harlem Village Academy Charter</t>
  </si>
  <si>
    <t>Total Harlem Village Academy Charter</t>
  </si>
  <si>
    <t>Kipp Success Through Teamwork</t>
  </si>
  <si>
    <t>Total Kiip Success Through Teamwork</t>
  </si>
  <si>
    <t>Kipp Infinity Charter</t>
  </si>
  <si>
    <t>Total Kipp Infinity Charter</t>
  </si>
  <si>
    <t>Democracy Preparatory Charter</t>
  </si>
  <si>
    <t>Total New Heights Academy Charter</t>
  </si>
  <si>
    <t>Shenendehowa Central School District</t>
  </si>
  <si>
    <t>530202</t>
  </si>
  <si>
    <t>Scotia-Glenville Central School District</t>
  </si>
  <si>
    <t>530301</t>
  </si>
  <si>
    <t>Niskayuna Central School District</t>
  </si>
  <si>
    <t>530501</t>
  </si>
  <si>
    <t>Schalmont Central School District</t>
  </si>
  <si>
    <t>530515</t>
  </si>
  <si>
    <t>Rotterdam-Mohonasen Central School Distr</t>
  </si>
  <si>
    <t>530600</t>
  </si>
  <si>
    <t>Schenectady City School District</t>
  </si>
  <si>
    <t>Child Development Center Of The Hamptons</t>
  </si>
  <si>
    <t>580207</t>
  </si>
  <si>
    <t>Mount Sinai Union Free School District</t>
  </si>
  <si>
    <t>580232</t>
  </si>
  <si>
    <t>William Floyd Union Free School District</t>
  </si>
  <si>
    <t>580301</t>
  </si>
  <si>
    <t>East Hampton Union Free School District</t>
  </si>
  <si>
    <t>580302</t>
  </si>
  <si>
    <t>Wainscott Common School District</t>
  </si>
  <si>
    <t>580304</t>
  </si>
  <si>
    <t>Springs Union Free School District</t>
  </si>
  <si>
    <t>580305</t>
  </si>
  <si>
    <t>Sag Harbor Union Free School District</t>
  </si>
  <si>
    <t>580306</t>
  </si>
  <si>
    <t>Montauk Union Free School District</t>
  </si>
  <si>
    <t>580701</t>
  </si>
  <si>
    <t>Shelter Island Union Free School Distric</t>
  </si>
  <si>
    <t>580905</t>
  </si>
  <si>
    <t>Hampton Bays Union Free School District</t>
  </si>
  <si>
    <t>580906</t>
  </si>
  <si>
    <t>Southampton Union Free School District</t>
  </si>
  <si>
    <t>580909</t>
  </si>
  <si>
    <t>Bridgehampton Union Free School District</t>
  </si>
  <si>
    <t>581010</t>
  </si>
  <si>
    <t>Greenport Union Free School District</t>
  </si>
  <si>
    <t>580205</t>
  </si>
  <si>
    <t>Sachem Central School District</t>
  </si>
  <si>
    <t>580208</t>
  </si>
  <si>
    <t>Miller Place Union Free School District</t>
  </si>
  <si>
    <t>580211</t>
  </si>
  <si>
    <t>Middle Country Central School District</t>
  </si>
  <si>
    <t>580212</t>
  </si>
  <si>
    <t>Longwood Central School District</t>
  </si>
  <si>
    <t>580224</t>
  </si>
  <si>
    <t>Patchogue-Medford Union Free School Dist</t>
  </si>
  <si>
    <t>580233</t>
  </si>
  <si>
    <t>Center Moriches Union Free School Distri</t>
  </si>
  <si>
    <t>580234</t>
  </si>
  <si>
    <t>East Moriches Union Free School District</t>
  </si>
  <si>
    <t>580235</t>
  </si>
  <si>
    <t>South Country Central School District</t>
  </si>
  <si>
    <t>580413</t>
  </si>
  <si>
    <t>South Huntington Union Free School Distr</t>
  </si>
  <si>
    <t>580601</t>
  </si>
  <si>
    <t>Shoreham-Wading River Central School Dis</t>
  </si>
  <si>
    <t>580602</t>
  </si>
  <si>
    <t>Riverhead Central School District</t>
  </si>
  <si>
    <t>580902</t>
  </si>
  <si>
    <t>Westhampton Beach Union Free School Dist</t>
  </si>
  <si>
    <t>580912</t>
  </si>
  <si>
    <t>Eastport-South Manor Csd</t>
  </si>
  <si>
    <t>580917</t>
  </si>
  <si>
    <t>East Quogue Union Free School District</t>
  </si>
  <si>
    <t>Charter School Of Educational Excellence</t>
  </si>
  <si>
    <t>662300</t>
  </si>
  <si>
    <t>Yonkers City School District</t>
  </si>
  <si>
    <t xml:space="preserve">Total Enterprise Charter </t>
  </si>
  <si>
    <t>Enterprise Charter</t>
  </si>
  <si>
    <t>King Center Charter</t>
  </si>
  <si>
    <t>Uniondale Union Free School District</t>
  </si>
  <si>
    <t>280205</t>
  </si>
  <si>
    <t>Levittown Union Free School District</t>
  </si>
  <si>
    <t>280208</t>
  </si>
  <si>
    <t>Roosevelt Union Free School District</t>
  </si>
  <si>
    <t>280209</t>
  </si>
  <si>
    <t>Freeport Union Free School District</t>
  </si>
  <si>
    <t>280210</t>
  </si>
  <si>
    <t>Baldwin Union Free School District</t>
  </si>
  <si>
    <t>280212</t>
  </si>
  <si>
    <t>Malverne Union Free School District</t>
  </si>
  <si>
    <t>280216</t>
  </si>
  <si>
    <t>Elmont Union Free School District</t>
  </si>
  <si>
    <t>280221</t>
  </si>
  <si>
    <t>Rockville Centre Union Free School Distr</t>
  </si>
  <si>
    <t>280224</t>
  </si>
  <si>
    <t>Valley Stream 24 Union Free School Distr</t>
  </si>
  <si>
    <t>280229</t>
  </si>
  <si>
    <t>North Merrick Union Free School District</t>
  </si>
  <si>
    <t>280300</t>
  </si>
  <si>
    <t>Long Beach City School District</t>
  </si>
  <si>
    <t>280403</t>
  </si>
  <si>
    <t>Roslyn Union Free School District</t>
  </si>
  <si>
    <t>300000</t>
  </si>
  <si>
    <t>580105</t>
  </si>
  <si>
    <t>Copiague Union Free School District</t>
  </si>
  <si>
    <t>580106</t>
  </si>
  <si>
    <t>Amityville Union Free School District</t>
  </si>
  <si>
    <t>580109</t>
  </si>
  <si>
    <t>Wyandanch Union Free School District</t>
  </si>
  <si>
    <t>Sisulu-Walker Charter School Of Harlem</t>
  </si>
  <si>
    <t>Bronx Charter School For Children</t>
  </si>
  <si>
    <t>South Bronx Charter School-Inter Culture</t>
  </si>
  <si>
    <t>Bronx Charter School For The Arts</t>
  </si>
  <si>
    <t>500402</t>
  </si>
  <si>
    <t>East Ramapo Central School District (Spr</t>
  </si>
  <si>
    <t>Bronx Charter School For Excellence</t>
  </si>
  <si>
    <t xml:space="preserve">Achievement First Crown Heights Charter </t>
  </si>
  <si>
    <t xml:space="preserve">Achievement First East New York Charter </t>
  </si>
  <si>
    <t>280230</t>
  </si>
  <si>
    <t>Valley Stream 30 Union Free School Distr</t>
  </si>
  <si>
    <t>420303</t>
  </si>
  <si>
    <t>North Syracuse Central School District</t>
  </si>
  <si>
    <t>421501</t>
  </si>
  <si>
    <t>Liverpool Central School District</t>
  </si>
  <si>
    <t>421800</t>
  </si>
  <si>
    <t>Syracuse City School District</t>
  </si>
  <si>
    <t>420101</t>
  </si>
  <si>
    <t>West Genesee Central School District</t>
  </si>
  <si>
    <t>420411</t>
  </si>
  <si>
    <t>Jamesville-Dewitt Central School Distric</t>
  </si>
  <si>
    <t>420702</t>
  </si>
  <si>
    <t>Solvay Union Free School District</t>
  </si>
  <si>
    <t>420901</t>
  </si>
  <si>
    <t>Baldwinsville Central School District</t>
  </si>
  <si>
    <t>421201</t>
  </si>
  <si>
    <t>Onondaga Central School District</t>
  </si>
  <si>
    <t>010701</t>
  </si>
  <si>
    <t>Green Island Union Free School District</t>
  </si>
  <si>
    <t>Watervliet City School District</t>
  </si>
  <si>
    <t>490601</t>
  </si>
  <si>
    <t>Lansingburgh Central School District</t>
  </si>
  <si>
    <t>491700</t>
  </si>
  <si>
    <t>Troy City School District</t>
  </si>
  <si>
    <t>010605</t>
  </si>
  <si>
    <t>North Colonie Central School District</t>
  </si>
  <si>
    <t>270100</t>
  </si>
  <si>
    <t>Amsterdam City School District</t>
  </si>
  <si>
    <t>520302</t>
  </si>
  <si>
    <t>Cheektowaga-Maryvale Union Free School D</t>
  </si>
  <si>
    <t>140703</t>
  </si>
  <si>
    <t>Cleveland Hill Union Free School Distric</t>
  </si>
  <si>
    <t>141101</t>
  </si>
  <si>
    <t>Springville-Griffith Institute Central S</t>
  </si>
  <si>
    <t>141604</t>
  </si>
  <si>
    <t>Frontier Central School District</t>
  </si>
  <si>
    <t>141800</t>
  </si>
  <si>
    <t>Lackawanna City School District</t>
  </si>
  <si>
    <t>142801</t>
  </si>
  <si>
    <t>West Seneca Central School District</t>
  </si>
  <si>
    <t>142301</t>
  </si>
  <si>
    <t>Orchard Park Central School District</t>
  </si>
  <si>
    <t>142601</t>
  </si>
  <si>
    <t>Kenmore-Tonawanda Union Free School Dist</t>
  </si>
  <si>
    <t>140709</t>
  </si>
  <si>
    <t>Cheektowaga-Sloan Union Free School Dist</t>
  </si>
  <si>
    <t>140207</t>
  </si>
  <si>
    <t>Sweet Home Central School District</t>
  </si>
  <si>
    <t>140201</t>
  </si>
  <si>
    <t>Amherst Central School District</t>
  </si>
  <si>
    <t>140203</t>
  </si>
  <si>
    <t>Williamsville Central School District</t>
  </si>
  <si>
    <t>140707</t>
  </si>
  <si>
    <t>Depew Union Free School District</t>
  </si>
  <si>
    <t>141601</t>
  </si>
  <si>
    <t>Hamburg Central School District</t>
  </si>
  <si>
    <t>141901</t>
  </si>
  <si>
    <t>Lancaster Central School District</t>
  </si>
  <si>
    <t>141701</t>
  </si>
  <si>
    <t>Holland Central School District</t>
  </si>
  <si>
    <t>400800</t>
  </si>
  <si>
    <t>Niagara Falls City School District</t>
  </si>
  <si>
    <t>Charter School For Applied Technologies</t>
  </si>
  <si>
    <t>140801</t>
  </si>
  <si>
    <t>Clarence Central School District</t>
  </si>
  <si>
    <t>141501</t>
  </si>
  <si>
    <t>Grand Island Central School District</t>
  </si>
  <si>
    <t>142500</t>
  </si>
  <si>
    <t>Tonawanda City School District</t>
  </si>
  <si>
    <t>400400</t>
  </si>
  <si>
    <t>Lockport City School District</t>
  </si>
  <si>
    <t>400701</t>
  </si>
  <si>
    <t>Niagara-Wheatfield Central School Distri</t>
  </si>
  <si>
    <t>400900</t>
  </si>
  <si>
    <t>North Tonawanda City School District</t>
  </si>
  <si>
    <t>260501</t>
  </si>
  <si>
    <t>Greece Central School District</t>
  </si>
  <si>
    <t>260801</t>
  </si>
  <si>
    <t>East Irondequoit Central School District</t>
  </si>
  <si>
    <t>260803</t>
  </si>
  <si>
    <t>West Irondequoit Central School District</t>
  </si>
  <si>
    <t>261101</t>
  </si>
  <si>
    <t>Hilton Central School District</t>
  </si>
  <si>
    <t>261313</t>
  </si>
  <si>
    <t>East Rochester Union Free School Distric</t>
  </si>
  <si>
    <t>261600</t>
  </si>
  <si>
    <t>Rochester City School District</t>
  </si>
  <si>
    <t>261701</t>
  </si>
  <si>
    <t>Rush-Henrietta Central School District</t>
  </si>
  <si>
    <t>261901</t>
  </si>
  <si>
    <t>Webster Central School District</t>
  </si>
  <si>
    <t>260101</t>
  </si>
  <si>
    <t>Brighton Central School District</t>
  </si>
  <si>
    <t>260401</t>
  </si>
  <si>
    <t>Gates-Chili Central School District</t>
  </si>
  <si>
    <t>261201</t>
  </si>
  <si>
    <t>Penfield Central School District</t>
  </si>
  <si>
    <t>261301</t>
  </si>
  <si>
    <t>Fairport Central School District</t>
  </si>
  <si>
    <t>280201</t>
  </si>
  <si>
    <t>Hempstead Union Free School District</t>
  </si>
  <si>
    <t>280202</t>
  </si>
  <si>
    <t>KIPP Tech Valley Charter School</t>
  </si>
  <si>
    <t>Leadership Preparatory Charter School</t>
  </si>
  <si>
    <t>Leadership Village Academy Charter</t>
  </si>
  <si>
    <t>Manhattan Charter School</t>
  </si>
  <si>
    <t>Merrick Academy-Queens Public Charter</t>
  </si>
  <si>
    <t>The Harbor Science and Arts Charter School</t>
  </si>
  <si>
    <t>Harlem Children's Zone Promise Academy II</t>
  </si>
  <si>
    <t>Table 6</t>
  </si>
  <si>
    <t># Pupils</t>
  </si>
  <si>
    <t>Sending District Funding Formula</t>
  </si>
  <si>
    <t>Total Sending District Local &amp; State Revenue</t>
  </si>
  <si>
    <t>State Revenue</t>
  </si>
  <si>
    <t>% Local Revenue</t>
  </si>
  <si>
    <t>Local Revenue</t>
  </si>
  <si>
    <t>Sending District Total State &amp; Local</t>
  </si>
  <si>
    <t>State % Total State &amp; Local</t>
  </si>
  <si>
    <t>Local % Total State &amp; Local</t>
  </si>
  <si>
    <t>% of pupils</t>
  </si>
  <si>
    <t>Charter Self Reported Basic Operating Revenues</t>
  </si>
  <si>
    <t>Local Portion Basic Operating Revenues</t>
  </si>
  <si>
    <t>State Portion Basic Operating Revenues</t>
  </si>
  <si>
    <t>Albany</t>
  </si>
  <si>
    <t>Total Achievement Academy</t>
  </si>
  <si>
    <t>Albany Community</t>
  </si>
  <si>
    <t>Ravena-Coeymans-Selkirk</t>
  </si>
  <si>
    <t>Watervliet</t>
  </si>
  <si>
    <t>East Greenbush</t>
  </si>
  <si>
    <t>Lansingburgh</t>
  </si>
  <si>
    <t>Troy</t>
  </si>
  <si>
    <t>Total Albany Community</t>
  </si>
  <si>
    <t>Albany Prep</t>
  </si>
  <si>
    <t>Scotia-Glenville</t>
  </si>
  <si>
    <t>Total Albany Prep</t>
  </si>
  <si>
    <t>Brighter Choice Boys</t>
  </si>
  <si>
    <t>010100</t>
  </si>
  <si>
    <t>Lansingburg</t>
  </si>
  <si>
    <t>Schenectady</t>
  </si>
  <si>
    <t>Total Brighter Choice Boys</t>
  </si>
  <si>
    <t>Brighter Choice Girls</t>
  </si>
  <si>
    <t>Total Brighter Choice Girls</t>
  </si>
  <si>
    <t>KIPP Tech Valley</t>
  </si>
  <si>
    <t>Berne-Knox Westerlo</t>
  </si>
  <si>
    <t>Menands</t>
  </si>
  <si>
    <t>Rensselaer</t>
  </si>
  <si>
    <t>Rotterdam-Mohonasen</t>
  </si>
  <si>
    <t>Total Kipp Tech Valley</t>
  </si>
  <si>
    <t>Cohoes</t>
  </si>
  <si>
    <t>Guilderland</t>
  </si>
  <si>
    <t>010615</t>
  </si>
  <si>
    <t>011200</t>
  </si>
  <si>
    <t>Total New Covenant</t>
  </si>
  <si>
    <t>District data derived from the Financial Analysis Reporting Unit (FARU) jProfile of Revenues &amp; Expenditures Report Winter 2007 based on FY06 reporting.</t>
  </si>
  <si>
    <t>With the exception of Albany, which is based off of ST-3 reporting for FY07</t>
  </si>
  <si>
    <t>However, check Albany amount in the FARU report when available as not sure if FARU claims all the Local and State revenue I have counted in their reporting</t>
  </si>
  <si>
    <t>and Albany analysis should match to the other districts in this report.</t>
  </si>
  <si>
    <t>140600</t>
  </si>
  <si>
    <t>Buffalo City School District</t>
  </si>
  <si>
    <t>140701</t>
  </si>
  <si>
    <t>Cheektowaga Central School District</t>
  </si>
  <si>
    <t>140702</t>
  </si>
  <si>
    <t>New Covenant Charter School</t>
  </si>
  <si>
    <t>Child Development Center of the Hamptons</t>
  </si>
  <si>
    <t>Community Charter School</t>
  </si>
  <si>
    <t>Community Partnership Charter</t>
  </si>
  <si>
    <t>Community Roots Charter School</t>
  </si>
  <si>
    <t>State &amp; City Grants</t>
  </si>
  <si>
    <t>Brighter Choice Charter School Boys</t>
  </si>
  <si>
    <t>Bronx Charter School for Better Learning</t>
  </si>
  <si>
    <t>The Bronx Charter School for Children</t>
  </si>
  <si>
    <t>Bronx Lighthouse Charter School</t>
  </si>
  <si>
    <t>John V Lindsay Wildcat Charter</t>
  </si>
  <si>
    <t>Achievement First Bushwick Charter</t>
  </si>
  <si>
    <t>Future Leaders Institute Charter</t>
  </si>
  <si>
    <t>Explore Charter School and Affiliate</t>
  </si>
  <si>
    <t>NOTE:  Review all audit statements above to determine if the audit also includes an "Affliate" agency.</t>
  </si>
  <si>
    <t>Opportunity Charter School</t>
  </si>
  <si>
    <t>Genesee Community Charter School</t>
  </si>
  <si>
    <t>Girls Preparatory Charter School</t>
  </si>
  <si>
    <t>Global Concepts Charter School</t>
  </si>
  <si>
    <t>Grand Concourse Academy</t>
  </si>
  <si>
    <t>Democracy Preparatory Charter School</t>
  </si>
  <si>
    <t>East NY Preparatory Charter School</t>
  </si>
  <si>
    <t>Elmwood Village Charter School</t>
  </si>
  <si>
    <t>Enterprise Charter School</t>
  </si>
  <si>
    <t>Other revenue from public school districts</t>
  </si>
  <si>
    <t>Eugenio Maria De Hostos Charter</t>
  </si>
  <si>
    <t>Federal &amp; State Grants</t>
  </si>
  <si>
    <t>Excellence Charter School of Bedford Stuyvesant</t>
  </si>
  <si>
    <t>Southside Academy Charter School</t>
  </si>
  <si>
    <t>Syracuse Academy of Science Charter</t>
  </si>
  <si>
    <t>New Heights Academy Charter</t>
  </si>
  <si>
    <t>Oracle Charter School</t>
  </si>
  <si>
    <t>Tapestry Charter School</t>
  </si>
  <si>
    <t>True North Rochester Preparatory Charter</t>
  </si>
  <si>
    <t>The UFT Charter School</t>
  </si>
  <si>
    <t>Niagara Charter School</t>
  </si>
  <si>
    <t>Urban Choice Charter School</t>
  </si>
  <si>
    <t>The Williamsburg Charter High School</t>
  </si>
  <si>
    <t>Hellenic Classical Charter School</t>
  </si>
  <si>
    <t>Hyde Leadership Charter School</t>
  </si>
  <si>
    <t>International Charter School of Schenectady</t>
  </si>
  <si>
    <t>International Leadership Charter School</t>
  </si>
  <si>
    <t>Harlem Children's Zone Promise Academy</t>
  </si>
  <si>
    <t>Harlem Day Charter School</t>
  </si>
  <si>
    <t>Harlem Link Charter School</t>
  </si>
  <si>
    <t>Harlem Success Academy Charter</t>
  </si>
  <si>
    <t>Harlem Village Academy</t>
  </si>
  <si>
    <t>Albany Community Charter School</t>
  </si>
  <si>
    <t>Albany Preparatory Charter School</t>
  </si>
  <si>
    <t>Amber Charter School</t>
  </si>
  <si>
    <t>KIPP Star College Prep Charter</t>
  </si>
  <si>
    <t>New York Charter School Audits</t>
  </si>
  <si>
    <t>FY06-07</t>
  </si>
  <si>
    <t>Brooklyn Excelsior Charter School</t>
  </si>
  <si>
    <t>Other State Source</t>
  </si>
  <si>
    <t>Federal Sources</t>
  </si>
  <si>
    <t>Private Sources</t>
  </si>
  <si>
    <t>Brooklyn Charter School</t>
  </si>
  <si>
    <t>Contributions</t>
  </si>
  <si>
    <t>In-Kind Contributions</t>
  </si>
  <si>
    <t>Other Income</t>
  </si>
  <si>
    <t>Bronx Preparatory Charter School</t>
  </si>
  <si>
    <t>State &amp; Local per pupil Operating</t>
  </si>
  <si>
    <t>Government Grants and Contracts</t>
  </si>
  <si>
    <t>Government Grant - Purchase of Land</t>
  </si>
  <si>
    <t>Benefit Event</t>
  </si>
  <si>
    <t>Interest Income</t>
  </si>
  <si>
    <t>Fundraising expenses</t>
  </si>
  <si>
    <t>Public School District Sped</t>
  </si>
  <si>
    <t>Net Assets Released from Restriction</t>
  </si>
  <si>
    <t>KIPP Sankofa Charter School</t>
  </si>
  <si>
    <t>Buffalo Academy of Science Charter School</t>
  </si>
  <si>
    <t>Local Sources</t>
  </si>
  <si>
    <t>Grants and Other</t>
  </si>
  <si>
    <t>Buffalo United Charter School</t>
  </si>
  <si>
    <t>Achievement Academy</t>
  </si>
  <si>
    <t>Achievement First East New York Charter School</t>
  </si>
  <si>
    <t>Achievement First Crown Heights Charter</t>
  </si>
  <si>
    <t>Revenue from School Operations</t>
  </si>
  <si>
    <t>Achievement First Endeavor Charter School</t>
  </si>
  <si>
    <t>Federal, State &amp; Local Grants</t>
  </si>
  <si>
    <t>Student Meal Fees</t>
  </si>
  <si>
    <t>Westminster Community Charter School</t>
  </si>
  <si>
    <t>Western New York Maritime Charter</t>
  </si>
  <si>
    <t>Williamsburg Collegiate Charter</t>
  </si>
  <si>
    <t>Various Grants &amp; Honorarius</t>
  </si>
  <si>
    <t>Proportionate Share Benefit Agreement</t>
  </si>
  <si>
    <t>Riverhead Charter School</t>
  </si>
  <si>
    <t>Roosevelt Children's Academy Charter</t>
  </si>
  <si>
    <t>Ross Global Academy Charter</t>
  </si>
  <si>
    <t>Sisulu-Walker Charter School of Harlem</t>
  </si>
  <si>
    <t>Food Service</t>
  </si>
  <si>
    <t>South Bronx Charter Intl Cultures</t>
  </si>
  <si>
    <t>Is this the NY State Stimulus Facility Financing Grant?</t>
  </si>
  <si>
    <t>NYS Stimulus Facility financing grant</t>
  </si>
  <si>
    <t>South Bronx Classical Charter</t>
  </si>
  <si>
    <t>South Buffalo Charter</t>
  </si>
  <si>
    <t>Our World Neighborhood Charter</t>
  </si>
  <si>
    <t>Peninsula Preparatory Academy Charter</t>
  </si>
  <si>
    <t>Pinnacle Charter School</t>
  </si>
  <si>
    <t>King Center Charter School</t>
  </si>
  <si>
    <t>KIPP Academy Charter School</t>
  </si>
  <si>
    <t>KIPP AMP Academy</t>
  </si>
  <si>
    <t>KIPP Infinity Charter</t>
  </si>
  <si>
    <t>Family Life Academy Charter</t>
  </si>
  <si>
    <t>Public Support</t>
  </si>
  <si>
    <t>Ark Community Charter</t>
  </si>
  <si>
    <t>Carl C. Icahn Charter</t>
  </si>
  <si>
    <t>Charter School for Applied Technologies</t>
  </si>
  <si>
    <t>Charter School for Educational Excellence</t>
  </si>
</sst>
</file>

<file path=xl/styles.xml><?xml version="1.0" encoding="utf-8"?>
<styleSheet xmlns="http://schemas.openxmlformats.org/spreadsheetml/2006/main">
  <numFmts count="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quot;$&quot;* #,##0.00_);_(&quot;$&quot;* \(#,##0.00\);_(&quot;$&quot;* &quot;-&quot;??_);_(@_)"/>
    <numFmt numFmtId="167" formatCode="0.0%"/>
  </numFmts>
  <fonts count="30">
    <font>
      <sz val="10"/>
      <name val="Arial"/>
    </font>
    <font>
      <sz val="8"/>
      <name val="Arial"/>
      <family val="2"/>
    </font>
    <font>
      <sz val="10"/>
      <name val="Arial"/>
    </font>
    <font>
      <sz val="9"/>
      <name val="Arial"/>
      <family val="2"/>
    </font>
    <font>
      <sz val="9"/>
      <color indexed="9"/>
      <name val="Arial"/>
      <family val="2"/>
    </font>
    <font>
      <sz val="9"/>
      <color indexed="8"/>
      <name val="Arial"/>
      <family val="2"/>
    </font>
    <font>
      <i/>
      <sz val="9"/>
      <color indexed="9"/>
      <name val="Arial"/>
      <family val="2"/>
    </font>
    <font>
      <sz val="10"/>
      <color indexed="8"/>
      <name val="MS Sans Serif"/>
      <family val="2"/>
    </font>
    <font>
      <sz val="10"/>
      <name val="Arial"/>
    </font>
    <font>
      <sz val="10"/>
      <color indexed="8"/>
      <name val="Arial"/>
      <family val="2"/>
    </font>
    <font>
      <sz val="10"/>
      <color indexed="8"/>
      <name val="Arial"/>
      <family val="2"/>
    </font>
    <font>
      <sz val="9"/>
      <color indexed="81"/>
      <name val="Tahoma"/>
      <family val="2"/>
    </font>
    <font>
      <b/>
      <sz val="9"/>
      <color indexed="81"/>
      <name val="Tahoma"/>
      <family val="2"/>
    </font>
    <font>
      <sz val="8.5"/>
      <name val="Arial"/>
      <family val="2"/>
    </font>
    <font>
      <b/>
      <sz val="10"/>
      <name val="Arial"/>
      <family val="2"/>
    </font>
    <font>
      <sz val="10"/>
      <color indexed="10"/>
      <name val="Arial"/>
      <family val="2"/>
    </font>
    <font>
      <sz val="10"/>
      <color indexed="9"/>
      <name val="Arial"/>
      <family val="2"/>
    </font>
    <font>
      <u/>
      <sz val="10"/>
      <color indexed="12"/>
      <name val="Arial"/>
      <family val="2"/>
    </font>
    <font>
      <sz val="9"/>
      <color indexed="8"/>
      <name val="Arial"/>
      <family val="2"/>
    </font>
    <font>
      <sz val="10"/>
      <color indexed="13"/>
      <name val="Arial"/>
      <family val="2"/>
    </font>
    <font>
      <sz val="8.5"/>
      <color indexed="13"/>
      <name val="Arial"/>
      <family val="2"/>
    </font>
    <font>
      <u/>
      <sz val="10"/>
      <color indexed="13"/>
      <name val="Arial"/>
      <family val="2"/>
    </font>
    <font>
      <sz val="10"/>
      <color indexed="8"/>
      <name val="Arial"/>
      <family val="2"/>
    </font>
    <font>
      <sz val="11"/>
      <color indexed="13"/>
      <name val="Arial"/>
      <family val="2"/>
    </font>
    <font>
      <sz val="10"/>
      <color indexed="10"/>
      <name val="Arial"/>
      <family val="2"/>
    </font>
    <font>
      <sz val="10"/>
      <color indexed="9"/>
      <name val="Arial"/>
      <family val="2"/>
    </font>
    <font>
      <sz val="8"/>
      <color indexed="8"/>
      <name val="Arial"/>
      <family val="2"/>
    </font>
    <font>
      <sz val="10"/>
      <color indexed="8"/>
      <name val="Arial"/>
      <family val="2"/>
    </font>
    <font>
      <sz val="8"/>
      <name val="Helvetica"/>
      <family val="2"/>
    </font>
    <font>
      <sz val="8"/>
      <name val="Verdana"/>
    </font>
  </fonts>
  <fills count="18">
    <fill>
      <patternFill patternType="none"/>
    </fill>
    <fill>
      <patternFill patternType="gray125"/>
    </fill>
    <fill>
      <patternFill patternType="solid">
        <fgColor indexed="13"/>
        <bgColor indexed="64"/>
      </patternFill>
    </fill>
    <fill>
      <patternFill patternType="solid">
        <fgColor indexed="44"/>
        <bgColor indexed="64"/>
      </patternFill>
    </fill>
    <fill>
      <patternFill patternType="solid">
        <fgColor indexed="8"/>
        <bgColor indexed="64"/>
      </patternFill>
    </fill>
    <fill>
      <patternFill patternType="solid">
        <fgColor indexed="22"/>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0"/>
        <bgColor indexed="64"/>
      </patternFill>
    </fill>
    <fill>
      <patternFill patternType="solid">
        <fgColor theme="0"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thin">
        <color indexed="64"/>
      </right>
      <top/>
      <bottom/>
      <diagonal/>
    </border>
    <border>
      <left style="medium">
        <color indexed="64"/>
      </left>
      <right/>
      <top style="thin">
        <color indexed="22"/>
      </top>
      <bottom/>
      <diagonal/>
    </border>
    <border>
      <left/>
      <right/>
      <top style="thin">
        <color indexed="22"/>
      </top>
      <bottom/>
      <diagonal/>
    </border>
    <border>
      <left/>
      <right style="thin">
        <color indexed="64"/>
      </right>
      <top style="thin">
        <color indexed="22"/>
      </top>
      <bottom/>
      <diagonal/>
    </border>
  </borders>
  <cellStyleXfs count="7">
    <xf numFmtId="0" fontId="0" fillId="0" borderId="0"/>
    <xf numFmtId="0" fontId="17" fillId="0" borderId="0" applyNumberFormat="0" applyFill="0" applyBorder="0" applyAlignment="0" applyProtection="0">
      <alignment vertical="top"/>
      <protection locked="0"/>
    </xf>
    <xf numFmtId="0" fontId="26" fillId="0" borderId="0"/>
    <xf numFmtId="0" fontId="2" fillId="0" borderId="0"/>
    <xf numFmtId="0" fontId="26" fillId="0" borderId="0"/>
    <xf numFmtId="0" fontId="7" fillId="0" borderId="0"/>
    <xf numFmtId="0" fontId="9" fillId="0" borderId="0"/>
  </cellStyleXfs>
  <cellXfs count="266">
    <xf numFmtId="0" fontId="0" fillId="0" borderId="0" xfId="0"/>
    <xf numFmtId="0" fontId="0" fillId="6" borderId="0" xfId="0" applyFill="1"/>
    <xf numFmtId="0" fontId="0" fillId="7" borderId="0" xfId="0" applyFill="1"/>
    <xf numFmtId="0" fontId="3" fillId="0" borderId="0" xfId="0" applyFont="1"/>
    <xf numFmtId="0" fontId="0" fillId="3" borderId="0" xfId="0" applyFill="1"/>
    <xf numFmtId="0" fontId="0" fillId="0" borderId="0" xfId="0" applyFill="1"/>
    <xf numFmtId="3" fontId="0" fillId="0" borderId="0" xfId="0" applyNumberFormat="1" applyFill="1"/>
    <xf numFmtId="3" fontId="0" fillId="0" borderId="0" xfId="0" applyNumberFormat="1"/>
    <xf numFmtId="3" fontId="3" fillId="0" borderId="0" xfId="0" applyNumberFormat="1" applyFont="1"/>
    <xf numFmtId="0" fontId="3" fillId="0" borderId="2" xfId="0" applyFont="1" applyFill="1" applyBorder="1" applyAlignment="1">
      <alignment wrapText="1"/>
    </xf>
    <xf numFmtId="0" fontId="3" fillId="0" borderId="3" xfId="0" applyFont="1" applyBorder="1" applyAlignment="1">
      <alignment wrapText="1"/>
    </xf>
    <xf numFmtId="0" fontId="3" fillId="0" borderId="3" xfId="0" applyFont="1" applyFill="1" applyBorder="1" applyAlignment="1">
      <alignment wrapText="1"/>
    </xf>
    <xf numFmtId="3" fontId="3" fillId="0" borderId="3" xfId="0" applyNumberFormat="1" applyFont="1" applyFill="1" applyBorder="1" applyAlignment="1">
      <alignment wrapText="1"/>
    </xf>
    <xf numFmtId="3" fontId="3" fillId="0" borderId="4" xfId="0" applyNumberFormat="1" applyFont="1" applyFill="1" applyBorder="1" applyAlignment="1">
      <alignment wrapText="1"/>
    </xf>
    <xf numFmtId="3" fontId="0" fillId="0" borderId="0" xfId="0" applyNumberFormat="1" applyFill="1" applyAlignment="1">
      <alignment wrapText="1"/>
    </xf>
    <xf numFmtId="0" fontId="4" fillId="4" borderId="5" xfId="0" applyFont="1" applyFill="1" applyBorder="1"/>
    <xf numFmtId="0" fontId="4" fillId="4" borderId="6" xfId="0" applyFont="1" applyFill="1" applyBorder="1"/>
    <xf numFmtId="0" fontId="4" fillId="4" borderId="6" xfId="0" applyFont="1" applyFill="1" applyBorder="1" applyAlignment="1">
      <alignment wrapText="1"/>
    </xf>
    <xf numFmtId="0" fontId="3" fillId="4" borderId="6" xfId="0" applyFont="1" applyFill="1" applyBorder="1" applyAlignment="1">
      <alignment wrapText="1"/>
    </xf>
    <xf numFmtId="3" fontId="4" fillId="4" borderId="6" xfId="0" applyNumberFormat="1" applyFont="1" applyFill="1" applyBorder="1" applyAlignment="1">
      <alignment wrapText="1"/>
    </xf>
    <xf numFmtId="3" fontId="4" fillId="4" borderId="7" xfId="0" applyNumberFormat="1" applyFont="1" applyFill="1" applyBorder="1" applyAlignment="1">
      <alignment wrapText="1"/>
    </xf>
    <xf numFmtId="0" fontId="3" fillId="0" borderId="5" xfId="0" applyFont="1" applyBorder="1"/>
    <xf numFmtId="0" fontId="3" fillId="0" borderId="6" xfId="0" applyFont="1" applyBorder="1"/>
    <xf numFmtId="0" fontId="3" fillId="0" borderId="6" xfId="0" applyFont="1" applyFill="1" applyBorder="1" applyAlignment="1">
      <alignment wrapText="1"/>
    </xf>
    <xf numFmtId="3" fontId="3" fillId="0" borderId="6" xfId="0" applyNumberFormat="1" applyFont="1" applyFill="1" applyBorder="1" applyAlignment="1">
      <alignment wrapText="1"/>
    </xf>
    <xf numFmtId="10" fontId="3" fillId="0" borderId="6" xfId="0" applyNumberFormat="1" applyFont="1" applyFill="1" applyBorder="1"/>
    <xf numFmtId="3" fontId="3" fillId="0" borderId="6" xfId="0" applyNumberFormat="1" applyFont="1" applyFill="1" applyBorder="1"/>
    <xf numFmtId="4" fontId="3" fillId="0" borderId="6" xfId="0" applyNumberFormat="1" applyFont="1" applyFill="1" applyBorder="1"/>
    <xf numFmtId="4" fontId="5" fillId="0" borderId="6" xfId="0" applyNumberFormat="1" applyFont="1" applyFill="1" applyBorder="1"/>
    <xf numFmtId="3" fontId="3" fillId="0" borderId="7" xfId="0" applyNumberFormat="1" applyFont="1" applyFill="1" applyBorder="1"/>
    <xf numFmtId="3" fontId="5" fillId="0" borderId="6" xfId="5" applyNumberFormat="1" applyFont="1" applyFill="1" applyBorder="1" applyAlignment="1">
      <alignment horizontal="right" wrapText="1"/>
    </xf>
    <xf numFmtId="0" fontId="3" fillId="0" borderId="5" xfId="0" applyFont="1" applyFill="1" applyBorder="1"/>
    <xf numFmtId="4" fontId="3" fillId="0" borderId="7" xfId="0" applyNumberFormat="1" applyFont="1" applyFill="1" applyBorder="1"/>
    <xf numFmtId="10" fontId="0" fillId="0" borderId="0" xfId="0" applyNumberFormat="1"/>
    <xf numFmtId="0" fontId="8" fillId="0" borderId="0" xfId="0" applyFont="1"/>
    <xf numFmtId="0" fontId="9" fillId="0" borderId="1" xfId="6" applyFont="1" applyFill="1" applyBorder="1" applyAlignment="1">
      <alignment wrapText="1"/>
    </xf>
    <xf numFmtId="165" fontId="0" fillId="0" borderId="0" xfId="0" applyNumberFormat="1" applyFill="1"/>
    <xf numFmtId="165" fontId="3" fillId="0" borderId="0" xfId="0" applyNumberFormat="1" applyFont="1"/>
    <xf numFmtId="165" fontId="3" fillId="0" borderId="3" xfId="0" applyNumberFormat="1" applyFont="1" applyFill="1" applyBorder="1" applyAlignment="1">
      <alignment wrapText="1"/>
    </xf>
    <xf numFmtId="165" fontId="4" fillId="4" borderId="6" xfId="0" applyNumberFormat="1" applyFont="1" applyFill="1" applyBorder="1" applyAlignment="1">
      <alignment wrapText="1"/>
    </xf>
    <xf numFmtId="165" fontId="3" fillId="0" borderId="6" xfId="0" applyNumberFormat="1" applyFont="1" applyFill="1" applyBorder="1" applyAlignment="1">
      <alignment wrapText="1"/>
    </xf>
    <xf numFmtId="165" fontId="3" fillId="0" borderId="6" xfId="0" applyNumberFormat="1" applyFont="1" applyFill="1" applyBorder="1"/>
    <xf numFmtId="165" fontId="0" fillId="0" borderId="0" xfId="0" applyNumberFormat="1"/>
    <xf numFmtId="165" fontId="8" fillId="0" borderId="0" xfId="0" applyNumberFormat="1" applyFont="1"/>
    <xf numFmtId="0" fontId="0" fillId="8" borderId="0" xfId="0" applyFill="1"/>
    <xf numFmtId="0" fontId="10" fillId="0" borderId="1" xfId="6" applyFont="1" applyFill="1" applyBorder="1" applyAlignment="1">
      <alignment wrapText="1"/>
    </xf>
    <xf numFmtId="10" fontId="0" fillId="0" borderId="0" xfId="0" applyNumberFormat="1" applyFill="1"/>
    <xf numFmtId="10" fontId="3" fillId="0" borderId="0" xfId="0" applyNumberFormat="1" applyFont="1"/>
    <xf numFmtId="10" fontId="3" fillId="0" borderId="3" xfId="0" applyNumberFormat="1" applyFont="1" applyFill="1" applyBorder="1" applyAlignment="1">
      <alignment wrapText="1"/>
    </xf>
    <xf numFmtId="10" fontId="4" fillId="4" borderId="6" xfId="0" applyNumberFormat="1" applyFont="1" applyFill="1" applyBorder="1" applyAlignment="1">
      <alignment wrapText="1"/>
    </xf>
    <xf numFmtId="0" fontId="0" fillId="9" borderId="0" xfId="0" applyFill="1"/>
    <xf numFmtId="165" fontId="0" fillId="2" borderId="0" xfId="0" applyNumberFormat="1" applyFill="1"/>
    <xf numFmtId="165" fontId="0" fillId="6" borderId="0" xfId="0" applyNumberFormat="1" applyFill="1"/>
    <xf numFmtId="165" fontId="0" fillId="9" borderId="0" xfId="0" applyNumberFormat="1" applyFill="1"/>
    <xf numFmtId="0" fontId="3" fillId="0" borderId="0" xfId="0" applyFont="1" applyFill="1" applyBorder="1"/>
    <xf numFmtId="165" fontId="4" fillId="4" borderId="0" xfId="0" applyNumberFormat="1" applyFont="1" applyFill="1" applyBorder="1" applyAlignment="1">
      <alignment wrapText="1"/>
    </xf>
    <xf numFmtId="165" fontId="5" fillId="0" borderId="6" xfId="5" applyNumberFormat="1" applyFont="1" applyFill="1" applyBorder="1" applyAlignment="1">
      <alignment horizontal="right" wrapText="1"/>
    </xf>
    <xf numFmtId="165" fontId="3" fillId="0" borderId="0" xfId="0" applyNumberFormat="1" applyFont="1" applyFill="1"/>
    <xf numFmtId="165" fontId="18" fillId="0" borderId="0" xfId="0" applyNumberFormat="1" applyFont="1" applyFill="1"/>
    <xf numFmtId="165" fontId="18" fillId="0" borderId="0" xfId="0" applyNumberFormat="1" applyFont="1"/>
    <xf numFmtId="1" fontId="3" fillId="0" borderId="6" xfId="0" applyNumberFormat="1" applyFont="1" applyBorder="1" applyAlignment="1">
      <alignment horizontal="right"/>
    </xf>
    <xf numFmtId="1" fontId="3" fillId="0" borderId="0" xfId="0" applyNumberFormat="1" applyFont="1" applyFill="1" applyAlignment="1">
      <alignment horizontal="right"/>
    </xf>
    <xf numFmtId="1" fontId="3" fillId="0" borderId="0" xfId="0" applyNumberFormat="1" applyFont="1" applyAlignment="1">
      <alignment horizontal="right"/>
    </xf>
    <xf numFmtId="1" fontId="3" fillId="0" borderId="3" xfId="0" applyNumberFormat="1" applyFont="1" applyBorder="1" applyAlignment="1">
      <alignment horizontal="right" wrapText="1"/>
    </xf>
    <xf numFmtId="1" fontId="4" fillId="4" borderId="6" xfId="0" applyNumberFormat="1" applyFont="1" applyFill="1" applyBorder="1" applyAlignment="1">
      <alignment horizontal="right" wrapText="1"/>
    </xf>
    <xf numFmtId="1" fontId="18" fillId="0" borderId="0" xfId="0" applyNumberFormat="1" applyFont="1" applyAlignment="1">
      <alignment horizontal="right"/>
    </xf>
    <xf numFmtId="1" fontId="4" fillId="4" borderId="6" xfId="0" applyNumberFormat="1" applyFont="1" applyFill="1" applyBorder="1" applyAlignment="1">
      <alignment horizontal="right"/>
    </xf>
    <xf numFmtId="1" fontId="5" fillId="0" borderId="1" xfId="6" applyNumberFormat="1" applyFont="1" applyFill="1" applyBorder="1" applyAlignment="1">
      <alignment horizontal="right" wrapText="1"/>
    </xf>
    <xf numFmtId="164" fontId="0" fillId="6" borderId="0" xfId="0" applyNumberFormat="1" applyFill="1"/>
    <xf numFmtId="165" fontId="0" fillId="8" borderId="0" xfId="0" applyNumberFormat="1" applyFill="1"/>
    <xf numFmtId="165" fontId="8" fillId="7" borderId="0" xfId="0" applyNumberFormat="1" applyFont="1" applyFill="1"/>
    <xf numFmtId="3" fontId="3" fillId="7" borderId="6" xfId="0" applyNumberFormat="1" applyFont="1" applyFill="1" applyBorder="1" applyAlignment="1">
      <alignment wrapText="1"/>
    </xf>
    <xf numFmtId="3" fontId="3" fillId="7" borderId="7" xfId="0" applyNumberFormat="1" applyFont="1" applyFill="1" applyBorder="1" applyAlignment="1">
      <alignment wrapText="1"/>
    </xf>
    <xf numFmtId="164" fontId="0" fillId="0" borderId="0" xfId="0" applyNumberFormat="1"/>
    <xf numFmtId="165" fontId="19" fillId="8" borderId="0" xfId="0" applyNumberFormat="1" applyFont="1" applyFill="1"/>
    <xf numFmtId="0" fontId="20" fillId="8" borderId="0" xfId="0" applyFont="1" applyFill="1"/>
    <xf numFmtId="165" fontId="21" fillId="8" borderId="0" xfId="1" applyNumberFormat="1" applyFont="1" applyFill="1" applyAlignment="1" applyProtection="1"/>
    <xf numFmtId="49" fontId="8" fillId="0" borderId="0" xfId="0" applyNumberFormat="1" applyFont="1"/>
    <xf numFmtId="0" fontId="8" fillId="9" borderId="0" xfId="0" applyFont="1" applyFill="1"/>
    <xf numFmtId="0" fontId="8" fillId="11" borderId="0" xfId="0" applyFont="1" applyFill="1"/>
    <xf numFmtId="0" fontId="0" fillId="11" borderId="0" xfId="0" applyFill="1"/>
    <xf numFmtId="0" fontId="8" fillId="12" borderId="0" xfId="0" applyFont="1" applyFill="1"/>
    <xf numFmtId="0" fontId="0" fillId="12" borderId="0" xfId="0" applyFill="1"/>
    <xf numFmtId="165" fontId="0" fillId="10" borderId="0" xfId="0" applyNumberFormat="1" applyFill="1"/>
    <xf numFmtId="3" fontId="22" fillId="0" borderId="0" xfId="0" applyNumberFormat="1" applyFont="1" applyFill="1"/>
    <xf numFmtId="0" fontId="8" fillId="6" borderId="0" xfId="0" applyFont="1" applyFill="1"/>
    <xf numFmtId="165" fontId="17" fillId="0" borderId="0" xfId="1" applyNumberFormat="1" applyAlignment="1" applyProtection="1"/>
    <xf numFmtId="0" fontId="13" fillId="9" borderId="0" xfId="0" applyFont="1" applyFill="1"/>
    <xf numFmtId="165" fontId="17" fillId="9" borderId="0" xfId="1" applyNumberFormat="1" applyFill="1" applyAlignment="1" applyProtection="1"/>
    <xf numFmtId="0" fontId="23" fillId="8" borderId="0" xfId="0" applyFont="1" applyFill="1"/>
    <xf numFmtId="165" fontId="8" fillId="0" borderId="0" xfId="0" applyNumberFormat="1" applyFont="1" applyFill="1"/>
    <xf numFmtId="165" fontId="0" fillId="13" borderId="0" xfId="0" applyNumberFormat="1" applyFill="1"/>
    <xf numFmtId="165" fontId="0" fillId="11" borderId="0" xfId="0" applyNumberFormat="1" applyFill="1"/>
    <xf numFmtId="165" fontId="0" fillId="14" borderId="0" xfId="0" applyNumberFormat="1" applyFill="1"/>
    <xf numFmtId="165" fontId="0" fillId="15" borderId="0" xfId="0" applyNumberFormat="1" applyFill="1"/>
    <xf numFmtId="165" fontId="0" fillId="12" borderId="0" xfId="0" applyNumberFormat="1" applyFill="1"/>
    <xf numFmtId="165" fontId="8" fillId="12" borderId="0" xfId="0" applyNumberFormat="1" applyFont="1" applyFill="1"/>
    <xf numFmtId="0" fontId="0" fillId="0" borderId="8" xfId="0" applyBorder="1"/>
    <xf numFmtId="165" fontId="0" fillId="11" borderId="8" xfId="0" applyNumberFormat="1" applyFill="1" applyBorder="1"/>
    <xf numFmtId="165" fontId="8" fillId="11" borderId="8" xfId="0" applyNumberFormat="1" applyFont="1" applyFill="1" applyBorder="1"/>
    <xf numFmtId="165" fontId="0" fillId="13" borderId="8" xfId="0" applyNumberFormat="1" applyFill="1" applyBorder="1"/>
    <xf numFmtId="165" fontId="8" fillId="13" borderId="8" xfId="0" applyNumberFormat="1" applyFont="1" applyFill="1" applyBorder="1"/>
    <xf numFmtId="165" fontId="0" fillId="14" borderId="8" xfId="0" applyNumberFormat="1" applyFill="1" applyBorder="1"/>
    <xf numFmtId="165" fontId="0" fillId="15" borderId="8" xfId="0" applyNumberFormat="1" applyFill="1" applyBorder="1"/>
    <xf numFmtId="165" fontId="0" fillId="12" borderId="8" xfId="0" applyNumberFormat="1" applyFill="1" applyBorder="1"/>
    <xf numFmtId="165" fontId="0" fillId="0" borderId="8" xfId="0" applyNumberFormat="1" applyBorder="1"/>
    <xf numFmtId="165" fontId="8" fillId="14" borderId="8" xfId="0" applyNumberFormat="1" applyFont="1" applyFill="1" applyBorder="1"/>
    <xf numFmtId="165" fontId="8" fillId="0" borderId="8" xfId="0" applyNumberFormat="1" applyFont="1" applyBorder="1"/>
    <xf numFmtId="165" fontId="0" fillId="0" borderId="8" xfId="0" applyNumberFormat="1" applyFill="1" applyBorder="1"/>
    <xf numFmtId="0" fontId="13" fillId="12" borderId="8" xfId="0" applyFont="1" applyFill="1" applyBorder="1"/>
    <xf numFmtId="3" fontId="3" fillId="11" borderId="8" xfId="0" applyNumberFormat="1" applyFont="1" applyFill="1" applyBorder="1" applyAlignment="1">
      <alignment wrapText="1"/>
    </xf>
    <xf numFmtId="3" fontId="3" fillId="13" borderId="8" xfId="0" applyNumberFormat="1" applyFont="1" applyFill="1" applyBorder="1" applyAlignment="1">
      <alignment wrapText="1"/>
    </xf>
    <xf numFmtId="0" fontId="23" fillId="13" borderId="8" xfId="0" applyFont="1" applyFill="1" applyBorder="1"/>
    <xf numFmtId="165" fontId="19" fillId="12" borderId="8" xfId="0" applyNumberFormat="1" applyFont="1" applyFill="1" applyBorder="1"/>
    <xf numFmtId="165" fontId="8" fillId="12" borderId="8" xfId="0" applyNumberFormat="1" applyFont="1" applyFill="1" applyBorder="1"/>
    <xf numFmtId="0" fontId="20" fillId="12" borderId="8" xfId="0" applyFont="1" applyFill="1" applyBorder="1"/>
    <xf numFmtId="165" fontId="19" fillId="11" borderId="8" xfId="0" applyNumberFormat="1" applyFont="1" applyFill="1" applyBorder="1"/>
    <xf numFmtId="165" fontId="21" fillId="13" borderId="8" xfId="1" applyNumberFormat="1" applyFont="1" applyFill="1" applyBorder="1" applyAlignment="1" applyProtection="1"/>
    <xf numFmtId="165" fontId="19" fillId="13" borderId="8" xfId="0" applyNumberFormat="1" applyFont="1" applyFill="1" applyBorder="1"/>
    <xf numFmtId="0" fontId="0" fillId="0" borderId="8" xfId="0" applyFill="1" applyBorder="1"/>
    <xf numFmtId="165" fontId="17" fillId="12" borderId="8" xfId="1" applyNumberFormat="1" applyFill="1" applyBorder="1" applyAlignment="1" applyProtection="1"/>
    <xf numFmtId="165" fontId="0" fillId="6" borderId="8" xfId="0" applyNumberFormat="1" applyFill="1" applyBorder="1"/>
    <xf numFmtId="0" fontId="14" fillId="0" borderId="8" xfId="0" applyFont="1" applyBorder="1"/>
    <xf numFmtId="0" fontId="14" fillId="0" borderId="8" xfId="0" applyFont="1" applyFill="1" applyBorder="1"/>
    <xf numFmtId="0" fontId="0" fillId="9" borderId="8" xfId="0" applyFill="1" applyBorder="1"/>
    <xf numFmtId="0" fontId="14" fillId="0" borderId="0" xfId="0" applyFont="1" applyFill="1" applyBorder="1"/>
    <xf numFmtId="164" fontId="0" fillId="13" borderId="0" xfId="0" applyNumberFormat="1" applyFill="1"/>
    <xf numFmtId="164" fontId="0" fillId="11" borderId="0" xfId="0" applyNumberFormat="1" applyFill="1"/>
    <xf numFmtId="164" fontId="0" fillId="14" borderId="0" xfId="0" applyNumberFormat="1" applyFill="1"/>
    <xf numFmtId="164" fontId="0" fillId="15" borderId="0" xfId="0" applyNumberFormat="1" applyFill="1"/>
    <xf numFmtId="164" fontId="0" fillId="0" borderId="0" xfId="0" applyNumberFormat="1" applyFill="1"/>
    <xf numFmtId="164" fontId="8" fillId="12" borderId="0" xfId="0" applyNumberFormat="1" applyFont="1" applyFill="1"/>
    <xf numFmtId="164" fontId="0" fillId="12" borderId="0" xfId="0" applyNumberFormat="1" applyFill="1"/>
    <xf numFmtId="164" fontId="8" fillId="15" borderId="0" xfId="0" applyNumberFormat="1" applyFont="1" applyFill="1"/>
    <xf numFmtId="0" fontId="8" fillId="0" borderId="0" xfId="0" applyFont="1" applyFill="1"/>
    <xf numFmtId="0" fontId="8" fillId="15" borderId="0" xfId="0" applyFont="1" applyFill="1"/>
    <xf numFmtId="0" fontId="14" fillId="0" borderId="0" xfId="0" applyFont="1"/>
    <xf numFmtId="3" fontId="0" fillId="6" borderId="0" xfId="0" applyNumberFormat="1" applyFill="1"/>
    <xf numFmtId="3" fontId="8" fillId="0" borderId="0" xfId="0" applyNumberFormat="1" applyFont="1"/>
    <xf numFmtId="166" fontId="0" fillId="6" borderId="0" xfId="0" applyNumberFormat="1" applyFill="1"/>
    <xf numFmtId="0" fontId="0" fillId="0" borderId="9" xfId="0" applyBorder="1" applyAlignment="1">
      <alignment wrapText="1"/>
    </xf>
    <xf numFmtId="0" fontId="0" fillId="4" borderId="0" xfId="0" applyFill="1"/>
    <xf numFmtId="0" fontId="0" fillId="5" borderId="10" xfId="0" applyFill="1" applyBorder="1"/>
    <xf numFmtId="0" fontId="0" fillId="5" borderId="11" xfId="0" applyFill="1" applyBorder="1"/>
    <xf numFmtId="0" fontId="0" fillId="5" borderId="12" xfId="0" applyFill="1" applyBorder="1"/>
    <xf numFmtId="0" fontId="15" fillId="0" borderId="0" xfId="0" applyFont="1" applyFill="1"/>
    <xf numFmtId="0" fontId="0" fillId="5" borderId="10" xfId="0" applyFill="1" applyBorder="1" applyAlignment="1">
      <alignment wrapText="1"/>
    </xf>
    <xf numFmtId="0" fontId="2" fillId="5" borderId="8" xfId="0" applyFont="1" applyFill="1" applyBorder="1" applyAlignment="1">
      <alignment horizontal="center" vertical="center"/>
    </xf>
    <xf numFmtId="164" fontId="2" fillId="0" borderId="8" xfId="0" applyNumberFormat="1" applyFont="1" applyBorder="1"/>
    <xf numFmtId="0" fontId="2" fillId="5" borderId="11" xfId="0" applyFont="1" applyFill="1" applyBorder="1"/>
    <xf numFmtId="0" fontId="2" fillId="5" borderId="12" xfId="0" applyFont="1" applyFill="1" applyBorder="1"/>
    <xf numFmtId="0" fontId="0" fillId="5" borderId="8" xfId="0" applyFill="1" applyBorder="1" applyAlignment="1">
      <alignment wrapText="1"/>
    </xf>
    <xf numFmtId="0" fontId="0" fillId="5" borderId="8" xfId="0" applyFill="1" applyBorder="1" applyAlignment="1">
      <alignment horizontal="center" vertical="center"/>
    </xf>
    <xf numFmtId="167" fontId="0" fillId="0" borderId="8" xfId="0" applyNumberFormat="1" applyBorder="1"/>
    <xf numFmtId="0" fontId="0" fillId="0" borderId="13" xfId="0" applyBorder="1"/>
    <xf numFmtId="0" fontId="24" fillId="0" borderId="0" xfId="0" applyFont="1"/>
    <xf numFmtId="167" fontId="0" fillId="11" borderId="0" xfId="0" applyNumberFormat="1" applyFill="1"/>
    <xf numFmtId="167" fontId="0" fillId="13" borderId="0" xfId="0" applyNumberFormat="1" applyFill="1"/>
    <xf numFmtId="167" fontId="0" fillId="14" borderId="0" xfId="0" applyNumberFormat="1" applyFill="1"/>
    <xf numFmtId="167" fontId="0" fillId="15" borderId="0" xfId="0" applyNumberFormat="1" applyFill="1"/>
    <xf numFmtId="167" fontId="0" fillId="12" borderId="0" xfId="0" applyNumberFormat="1" applyFill="1"/>
    <xf numFmtId="0" fontId="0" fillId="0" borderId="0" xfId="0" applyBorder="1"/>
    <xf numFmtId="165" fontId="0" fillId="11" borderId="0" xfId="0" applyNumberFormat="1" applyFill="1" applyBorder="1"/>
    <xf numFmtId="165" fontId="0" fillId="6" borderId="0" xfId="0" applyNumberFormat="1" applyFill="1" applyBorder="1"/>
    <xf numFmtId="165" fontId="0" fillId="13" borderId="0" xfId="0" applyNumberFormat="1" applyFill="1" applyBorder="1"/>
    <xf numFmtId="165" fontId="0" fillId="14" borderId="0" xfId="0" applyNumberFormat="1" applyFill="1" applyBorder="1"/>
    <xf numFmtId="165" fontId="0" fillId="15" borderId="0" xfId="0" applyNumberFormat="1" applyFill="1" applyBorder="1"/>
    <xf numFmtId="165" fontId="0" fillId="12" borderId="0" xfId="0" applyNumberFormat="1" applyFill="1" applyBorder="1"/>
    <xf numFmtId="165" fontId="8" fillId="12" borderId="0" xfId="0" applyNumberFormat="1" applyFont="1" applyFill="1" applyBorder="1"/>
    <xf numFmtId="165" fontId="0" fillId="0" borderId="0" xfId="0" applyNumberFormat="1" applyBorder="1"/>
    <xf numFmtId="0" fontId="14" fillId="0" borderId="0" xfId="0" applyFont="1" applyBorder="1"/>
    <xf numFmtId="165" fontId="0" fillId="0" borderId="0" xfId="0" applyNumberFormat="1" applyFill="1" applyBorder="1"/>
    <xf numFmtId="167" fontId="0" fillId="6" borderId="0" xfId="0" applyNumberFormat="1" applyFill="1" applyBorder="1"/>
    <xf numFmtId="0" fontId="0" fillId="0" borderId="8" xfId="0" applyBorder="1" applyAlignment="1">
      <alignment horizontal="center" vertical="center"/>
    </xf>
    <xf numFmtId="0" fontId="0" fillId="0" borderId="8" xfId="0" applyBorder="1" applyAlignment="1">
      <alignment wrapText="1"/>
    </xf>
    <xf numFmtId="0" fontId="16" fillId="4" borderId="8" xfId="0" applyFont="1" applyFill="1" applyBorder="1" applyAlignment="1">
      <alignment horizontal="center" vertical="center"/>
    </xf>
    <xf numFmtId="0" fontId="0" fillId="0" borderId="10" xfId="0" applyBorder="1"/>
    <xf numFmtId="0" fontId="0" fillId="0" borderId="12" xfId="0" applyBorder="1"/>
    <xf numFmtId="0" fontId="2" fillId="0" borderId="8" xfId="0" applyFont="1" applyBorder="1"/>
    <xf numFmtId="167" fontId="0" fillId="0" borderId="8" xfId="0" applyNumberFormat="1" applyBorder="1" applyAlignment="1">
      <alignment wrapText="1"/>
    </xf>
    <xf numFmtId="0" fontId="2" fillId="0" borderId="0" xfId="0" applyFont="1" applyFill="1" applyBorder="1" applyAlignment="1">
      <alignment wrapText="1"/>
    </xf>
    <xf numFmtId="164" fontId="25" fillId="0" borderId="0" xfId="0" applyNumberFormat="1" applyFont="1" applyFill="1" applyBorder="1" applyAlignment="1"/>
    <xf numFmtId="0" fontId="2" fillId="0" borderId="0" xfId="0" applyFont="1"/>
    <xf numFmtId="0" fontId="2" fillId="5" borderId="8" xfId="0" applyFont="1" applyFill="1" applyBorder="1"/>
    <xf numFmtId="0" fontId="0" fillId="16" borderId="0" xfId="0" applyFill="1"/>
    <xf numFmtId="0" fontId="27" fillId="17" borderId="11" xfId="2" applyFont="1" applyFill="1" applyBorder="1"/>
    <xf numFmtId="0" fontId="2" fillId="17" borderId="8" xfId="2" applyFont="1" applyFill="1" applyBorder="1" applyAlignment="1">
      <alignment horizontal="center" vertical="center"/>
    </xf>
    <xf numFmtId="164" fontId="2" fillId="17" borderId="8" xfId="2" applyNumberFormat="1" applyFont="1" applyFill="1" applyBorder="1"/>
    <xf numFmtId="0" fontId="2" fillId="17" borderId="11" xfId="2" applyFont="1" applyFill="1" applyBorder="1"/>
    <xf numFmtId="167" fontId="27" fillId="17" borderId="8" xfId="2" applyNumberFormat="1" applyFont="1" applyFill="1" applyBorder="1"/>
    <xf numFmtId="0" fontId="2" fillId="0" borderId="8" xfId="0" applyFont="1" applyBorder="1" applyAlignment="1">
      <alignment wrapText="1"/>
    </xf>
    <xf numFmtId="0" fontId="26" fillId="0" borderId="0" xfId="4"/>
    <xf numFmtId="164" fontId="26" fillId="0" borderId="0" xfId="4" applyNumberFormat="1"/>
    <xf numFmtId="0" fontId="2" fillId="0" borderId="0" xfId="4" applyFont="1"/>
    <xf numFmtId="0" fontId="26" fillId="0" borderId="0" xfId="4" applyFill="1"/>
    <xf numFmtId="0" fontId="26" fillId="0" borderId="0" xfId="4" applyFill="1" applyBorder="1" applyAlignment="1">
      <alignment horizontal="center" vertical="center"/>
    </xf>
    <xf numFmtId="0" fontId="2" fillId="0" borderId="0" xfId="4" applyFont="1" applyFill="1"/>
    <xf numFmtId="0" fontId="15" fillId="0" borderId="0" xfId="4" applyFont="1" applyFill="1"/>
    <xf numFmtId="0" fontId="15" fillId="4" borderId="0" xfId="4" applyFont="1" applyFill="1"/>
    <xf numFmtId="0" fontId="26" fillId="4" borderId="0" xfId="4" applyFill="1"/>
    <xf numFmtId="0" fontId="2" fillId="5" borderId="8" xfId="0" applyFont="1" applyFill="1" applyBorder="1" applyAlignment="1">
      <alignment wrapText="1"/>
    </xf>
    <xf numFmtId="0" fontId="2" fillId="0" borderId="8" xfId="0" applyFont="1" applyFill="1" applyBorder="1" applyAlignment="1">
      <alignment horizontal="center" vertical="center"/>
    </xf>
    <xf numFmtId="0" fontId="2" fillId="0" borderId="8" xfId="0" applyFont="1" applyBorder="1" applyAlignment="1">
      <alignment horizontal="center" vertical="center"/>
    </xf>
    <xf numFmtId="0" fontId="0" fillId="11" borderId="10" xfId="0" applyFill="1" applyBorder="1"/>
    <xf numFmtId="0" fontId="0" fillId="11" borderId="11" xfId="0" applyFill="1" applyBorder="1"/>
    <xf numFmtId="0" fontId="0" fillId="16" borderId="11" xfId="0" applyFill="1" applyBorder="1"/>
    <xf numFmtId="0" fontId="0" fillId="16" borderId="12" xfId="0" applyFill="1" applyBorder="1"/>
    <xf numFmtId="0" fontId="0" fillId="16" borderId="10" xfId="0" applyFill="1" applyBorder="1"/>
    <xf numFmtId="0" fontId="0" fillId="13" borderId="10" xfId="0" applyFill="1" applyBorder="1"/>
    <xf numFmtId="0" fontId="0" fillId="13" borderId="11" xfId="0" applyFill="1" applyBorder="1"/>
    <xf numFmtId="0" fontId="0" fillId="14" borderId="10" xfId="0" applyFill="1" applyBorder="1"/>
    <xf numFmtId="0" fontId="0" fillId="14" borderId="11" xfId="0" applyFill="1" applyBorder="1"/>
    <xf numFmtId="0" fontId="0" fillId="15" borderId="10" xfId="0" applyFill="1" applyBorder="1"/>
    <xf numFmtId="0" fontId="0" fillId="15" borderId="11" xfId="0" applyFill="1" applyBorder="1"/>
    <xf numFmtId="0" fontId="0" fillId="12" borderId="10" xfId="0" applyFill="1" applyBorder="1"/>
    <xf numFmtId="0" fontId="0" fillId="12" borderId="11" xfId="0" applyFill="1" applyBorder="1"/>
    <xf numFmtId="0" fontId="28" fillId="8" borderId="10" xfId="0" applyFont="1" applyFill="1" applyBorder="1" applyAlignment="1"/>
    <xf numFmtId="0" fontId="28" fillId="8" borderId="11" xfId="0" applyFont="1" applyFill="1" applyBorder="1" applyAlignment="1"/>
    <xf numFmtId="0" fontId="2" fillId="16" borderId="12" xfId="0" applyFont="1" applyFill="1" applyBorder="1"/>
    <xf numFmtId="0" fontId="0" fillId="0" borderId="11" xfId="0" applyBorder="1"/>
    <xf numFmtId="0" fontId="0" fillId="9" borderId="10" xfId="0" applyFill="1" applyBorder="1"/>
    <xf numFmtId="0" fontId="0" fillId="9" borderId="11" xfId="0" applyFill="1" applyBorder="1"/>
    <xf numFmtId="0" fontId="2" fillId="0" borderId="12" xfId="0" applyFont="1" applyBorder="1"/>
    <xf numFmtId="0" fontId="0" fillId="6" borderId="10" xfId="0" applyFill="1" applyBorder="1"/>
    <xf numFmtId="0" fontId="0" fillId="6" borderId="11" xfId="0" applyFill="1" applyBorder="1"/>
    <xf numFmtId="164" fontId="25" fillId="0" borderId="0" xfId="0" applyNumberFormat="1" applyFont="1" applyFill="1" applyBorder="1" applyAlignment="1"/>
    <xf numFmtId="49" fontId="0" fillId="0" borderId="10" xfId="0" applyNumberFormat="1" applyFill="1" applyBorder="1" applyAlignment="1">
      <alignment horizontal="center"/>
    </xf>
    <xf numFmtId="49" fontId="0" fillId="0" borderId="12" xfId="0" applyNumberFormat="1" applyFill="1" applyBorder="1" applyAlignment="1">
      <alignment horizontal="center"/>
    </xf>
    <xf numFmtId="49" fontId="27" fillId="17" borderId="10" xfId="2" applyNumberFormat="1" applyFont="1" applyFill="1" applyBorder="1" applyAlignment="1">
      <alignment horizontal="center"/>
    </xf>
    <xf numFmtId="49" fontId="27" fillId="17" borderId="12" xfId="2" applyNumberFormat="1" applyFont="1" applyFill="1" applyBorder="1" applyAlignment="1">
      <alignment horizontal="center"/>
    </xf>
    <xf numFmtId="164" fontId="2" fillId="0" borderId="10" xfId="0" applyNumberFormat="1" applyFont="1" applyBorder="1" applyAlignment="1"/>
    <xf numFmtId="164" fontId="2" fillId="0" borderId="12" xfId="0" applyNumberFormat="1" applyFont="1" applyBorder="1" applyAlignment="1"/>
    <xf numFmtId="164" fontId="2" fillId="17" borderId="10" xfId="2" applyNumberFormat="1" applyFont="1" applyFill="1" applyBorder="1" applyAlignment="1">
      <alignment horizontal="center"/>
    </xf>
    <xf numFmtId="164" fontId="2" fillId="17" borderId="12" xfId="2" applyNumberFormat="1" applyFont="1" applyFill="1" applyBorder="1" applyAlignment="1">
      <alignment horizontal="center"/>
    </xf>
    <xf numFmtId="0" fontId="0" fillId="0" borderId="14" xfId="0" applyBorder="1" applyAlignment="1">
      <alignment vertical="center"/>
    </xf>
    <xf numFmtId="0" fontId="0" fillId="0" borderId="15" xfId="0" applyBorder="1" applyAlignment="1">
      <alignment vertical="center"/>
    </xf>
    <xf numFmtId="167" fontId="2" fillId="0" borderId="10" xfId="0" applyNumberFormat="1" applyFont="1" applyBorder="1" applyAlignment="1"/>
    <xf numFmtId="167" fontId="2" fillId="0" borderId="12" xfId="0" applyNumberFormat="1" applyFont="1" applyBorder="1" applyAlignment="1"/>
    <xf numFmtId="0" fontId="2" fillId="0" borderId="10" xfId="0" applyFont="1" applyBorder="1" applyAlignment="1"/>
    <xf numFmtId="0" fontId="2" fillId="0" borderId="12" xfId="0" applyFont="1" applyBorder="1" applyAlignment="1"/>
    <xf numFmtId="3" fontId="2" fillId="17" borderId="10" xfId="2" applyNumberFormat="1" applyFont="1" applyFill="1" applyBorder="1" applyAlignment="1">
      <alignment horizontal="center"/>
    </xf>
    <xf numFmtId="3" fontId="2" fillId="17" borderId="12" xfId="2" applyNumberFormat="1" applyFont="1" applyFill="1" applyBorder="1" applyAlignment="1">
      <alignment horizontal="center"/>
    </xf>
    <xf numFmtId="3" fontId="2" fillId="0" borderId="10" xfId="0" applyNumberFormat="1" applyFont="1" applyBorder="1" applyAlignment="1"/>
    <xf numFmtId="3" fontId="2" fillId="0" borderId="12" xfId="0" applyNumberFormat="1" applyFont="1" applyBorder="1" applyAlignment="1"/>
    <xf numFmtId="3" fontId="2" fillId="0" borderId="10" xfId="0" applyNumberFormat="1" applyFont="1" applyFill="1" applyBorder="1" applyAlignment="1"/>
    <xf numFmtId="3" fontId="2" fillId="0" borderId="12" xfId="0" applyNumberFormat="1" applyFont="1" applyFill="1" applyBorder="1" applyAlignment="1"/>
    <xf numFmtId="167" fontId="2" fillId="17" borderId="10" xfId="2" applyNumberFormat="1" applyFont="1" applyFill="1" applyBorder="1" applyAlignment="1">
      <alignment horizontal="center"/>
    </xf>
    <xf numFmtId="167" fontId="2" fillId="17" borderId="12" xfId="2" applyNumberFormat="1" applyFont="1" applyFill="1" applyBorder="1" applyAlignment="1">
      <alignment horizontal="center"/>
    </xf>
    <xf numFmtId="0" fontId="0" fillId="0" borderId="8" xfId="0" applyBorder="1" applyAlignment="1">
      <alignment horizontal="center" vertical="center"/>
    </xf>
    <xf numFmtId="0" fontId="8" fillId="0" borderId="8" xfId="0" applyFont="1" applyBorder="1" applyAlignment="1">
      <alignment horizontal="center" vertical="center"/>
    </xf>
    <xf numFmtId="0" fontId="2" fillId="17" borderId="10" xfId="3" applyFont="1" applyFill="1" applyBorder="1" applyAlignment="1">
      <alignment horizontal="center" vertical="center" wrapText="1"/>
    </xf>
    <xf numFmtId="0" fontId="2" fillId="17" borderId="12" xfId="3" applyFont="1" applyFill="1" applyBorder="1" applyAlignment="1">
      <alignment horizontal="center" vertical="center"/>
    </xf>
    <xf numFmtId="0" fontId="0" fillId="0" borderId="8" xfId="0" applyBorder="1" applyAlignment="1">
      <alignment wrapText="1"/>
    </xf>
    <xf numFmtId="0" fontId="0" fillId="5" borderId="14" xfId="0" applyFill="1" applyBorder="1" applyAlignment="1">
      <alignment horizontal="center" vertical="center" textRotation="90" wrapText="1"/>
    </xf>
    <xf numFmtId="0" fontId="0" fillId="5" borderId="6" xfId="0" applyFill="1" applyBorder="1" applyAlignment="1">
      <alignment horizontal="center" vertical="center" textRotation="90" wrapText="1"/>
    </xf>
    <xf numFmtId="0" fontId="0" fillId="5" borderId="15" xfId="0" applyFill="1" applyBorder="1" applyAlignment="1">
      <alignment horizontal="center" vertical="center" textRotation="90" wrapText="1"/>
    </xf>
    <xf numFmtId="0" fontId="0" fillId="0" borderId="14" xfId="0" applyBorder="1" applyAlignment="1">
      <alignment horizontal="center" vertical="center" textRotation="90" wrapText="1"/>
    </xf>
    <xf numFmtId="0" fontId="0" fillId="0" borderId="15" xfId="0" applyBorder="1" applyAlignment="1">
      <alignment horizontal="center" vertical="center" textRotation="90" wrapText="1"/>
    </xf>
    <xf numFmtId="0" fontId="0" fillId="17" borderId="14" xfId="0" applyFill="1" applyBorder="1" applyAlignment="1">
      <alignment horizontal="center" vertical="center" textRotation="90" wrapText="1"/>
    </xf>
    <xf numFmtId="0" fontId="0" fillId="17" borderId="15" xfId="0" applyFill="1" applyBorder="1" applyAlignment="1">
      <alignment horizontal="center" vertical="center" textRotation="90" wrapText="1"/>
    </xf>
    <xf numFmtId="0" fontId="6" fillId="4" borderId="16" xfId="0" applyFont="1" applyFill="1" applyBorder="1" applyAlignment="1">
      <alignment horizontal="right"/>
    </xf>
    <xf numFmtId="0" fontId="0" fillId="0" borderId="0" xfId="0" applyBorder="1" applyAlignment="1">
      <alignment horizontal="right"/>
    </xf>
    <xf numFmtId="0" fontId="0" fillId="0" borderId="17" xfId="0" applyBorder="1" applyAlignment="1">
      <alignment horizontal="right"/>
    </xf>
    <xf numFmtId="0" fontId="6" fillId="4" borderId="18" xfId="0" applyFont="1" applyFill="1" applyBorder="1" applyAlignment="1">
      <alignment horizontal="right"/>
    </xf>
    <xf numFmtId="0" fontId="0" fillId="0" borderId="19" xfId="0" applyBorder="1" applyAlignment="1">
      <alignment horizontal="right"/>
    </xf>
    <xf numFmtId="0" fontId="0" fillId="0" borderId="20" xfId="0" applyBorder="1" applyAlignment="1">
      <alignment horizontal="right"/>
    </xf>
  </cellXfs>
  <cellStyles count="7">
    <cellStyle name="Hyperlink" xfId="1" builtinId="8"/>
    <cellStyle name="Normal" xfId="0" builtinId="0"/>
    <cellStyle name="Normal 2" xfId="2"/>
    <cellStyle name="Normal 3" xfId="3"/>
    <cellStyle name="Normal 4" xfId="4"/>
    <cellStyle name="Normal_Sheet1" xfId="5"/>
    <cellStyle name="Normal_Sheet2" xfId="6"/>
  </cellStyles>
  <dxfs count="0"/>
  <tableStyles count="0" defaultTableStyle="TableStyleMedium9"/>
</styleSheet>
</file>

<file path=xl/_rels/workbook.xml.rels><?xml version="1.0" encoding="UTF-8" standalone="yes"?>
<Relationships xmlns="http://schemas.openxmlformats.org/package/2006/relationships"><Relationship Id="rId14" Type="http://schemas.openxmlformats.org/officeDocument/2006/relationships/theme" Target="theme/theme1.xml"/><Relationship Id="rId4" Type="http://schemas.openxmlformats.org/officeDocument/2006/relationships/worksheet" Target="worksheets/sheet4.xml"/><Relationship Id="rId7" Type="http://schemas.openxmlformats.org/officeDocument/2006/relationships/worksheet" Target="worksheets/sheet7.xml"/><Relationship Id="rId11" Type="http://schemas.openxmlformats.org/officeDocument/2006/relationships/worksheet" Target="worksheets/sheet11.xml"/><Relationship Id="rId1" Type="http://schemas.openxmlformats.org/officeDocument/2006/relationships/worksheet" Target="worksheets/sheet1.xml"/><Relationship Id="rId6" Type="http://schemas.openxmlformats.org/officeDocument/2006/relationships/worksheet" Target="worksheets/sheet6.xml"/><Relationship Id="rId16" Type="http://schemas.openxmlformats.org/officeDocument/2006/relationships/sharedStrings" Target="sharedStrings.xml"/><Relationship Id="rId8" Type="http://schemas.openxmlformats.org/officeDocument/2006/relationships/worksheet" Target="worksheets/sheet8.xml"/><Relationship Id="rId13" Type="http://schemas.openxmlformats.org/officeDocument/2006/relationships/worksheet" Target="worksheets/sheet13.xml"/><Relationship Id="rId10"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9" Type="http://schemas.openxmlformats.org/officeDocument/2006/relationships/worksheet" Target="worksheets/sheet9.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164969450101833"/>
          <c:y val="0.197802905373259"/>
          <c:w val="0.806517311608961"/>
          <c:h val="0.637364917313836"/>
        </c:manualLayout>
      </c:layout>
      <c:barChart>
        <c:barDir val="col"/>
        <c:grouping val="clustered"/>
        <c:ser>
          <c:idx val="0"/>
          <c:order val="0"/>
          <c:tx>
            <c:strRef>
              <c:f>'1,2,4'!$N$2</c:f>
              <c:strCache>
                <c:ptCount val="1"/>
                <c:pt idx="0">
                  <c:v>District</c:v>
                </c:pt>
              </c:strCache>
            </c:strRef>
          </c:tx>
          <c:spPr>
            <a:solidFill>
              <a:srgbClr val="000000"/>
            </a:solidFill>
            <a:ln w="12700">
              <a:solidFill>
                <a:srgbClr val="000000"/>
              </a:solidFill>
              <a:prstDash val="solid"/>
            </a:ln>
          </c:spPr>
          <c:cat>
            <c:strRef>
              <c:f>'1,2,4'!$M$3:$M$6</c:f>
              <c:strCache>
                <c:ptCount val="4"/>
                <c:pt idx="0">
                  <c:v>State</c:v>
                </c:pt>
                <c:pt idx="1">
                  <c:v>Statewide Weighted</c:v>
                </c:pt>
                <c:pt idx="2">
                  <c:v>Albany</c:v>
                </c:pt>
                <c:pt idx="3">
                  <c:v>Buffalo</c:v>
                </c:pt>
              </c:strCache>
            </c:strRef>
          </c:cat>
          <c:val>
            <c:numRef>
              <c:f>'1,2,4'!$N$3:$N$6</c:f>
              <c:numCache>
                <c:formatCode>_(\$* #,##0_);_(\$* \(#,##0\);_(\$* "-"_);_(@_)</c:formatCode>
                <c:ptCount val="4"/>
                <c:pt idx="0">
                  <c:v>19518.39282768762</c:v>
                </c:pt>
                <c:pt idx="1">
                  <c:v>19782.0</c:v>
                </c:pt>
                <c:pt idx="2">
                  <c:v>22761.06087276715</c:v>
                </c:pt>
                <c:pt idx="3">
                  <c:v>18665.73330761964</c:v>
                </c:pt>
              </c:numCache>
            </c:numRef>
          </c:val>
        </c:ser>
        <c:ser>
          <c:idx val="1"/>
          <c:order val="1"/>
          <c:tx>
            <c:strRef>
              <c:f>'1,2,4'!$O$2</c:f>
              <c:strCache>
                <c:ptCount val="1"/>
                <c:pt idx="0">
                  <c:v>Charter</c:v>
                </c:pt>
              </c:strCache>
            </c:strRef>
          </c:tx>
          <c:spPr>
            <a:solidFill>
              <a:srgbClr val="C0C0C0"/>
            </a:solidFill>
            <a:ln w="12700">
              <a:solidFill>
                <a:srgbClr val="000000"/>
              </a:solidFill>
              <a:prstDash val="solid"/>
            </a:ln>
          </c:spPr>
          <c:cat>
            <c:strRef>
              <c:f>'1,2,4'!$M$3:$M$6</c:f>
              <c:strCache>
                <c:ptCount val="4"/>
                <c:pt idx="0">
                  <c:v>State</c:v>
                </c:pt>
                <c:pt idx="1">
                  <c:v>Statewide Weighted</c:v>
                </c:pt>
                <c:pt idx="2">
                  <c:v>Albany</c:v>
                </c:pt>
                <c:pt idx="3">
                  <c:v>Buffalo</c:v>
                </c:pt>
              </c:strCache>
            </c:strRef>
          </c:cat>
          <c:val>
            <c:numRef>
              <c:f>'1,2,4'!$O$3:$O$6</c:f>
              <c:numCache>
                <c:formatCode>_(\$* #,##0_);_(\$* \(#,##0\);_(\$* "-"_);_(@_)</c:formatCode>
                <c:ptCount val="4"/>
                <c:pt idx="0">
                  <c:v>12908.47558995658</c:v>
                </c:pt>
                <c:pt idx="1">
                  <c:v>12908.0</c:v>
                </c:pt>
                <c:pt idx="2">
                  <c:v>13261.84983388704</c:v>
                </c:pt>
                <c:pt idx="3">
                  <c:v>11647.2689578714</c:v>
                </c:pt>
              </c:numCache>
            </c:numRef>
          </c:val>
        </c:ser>
        <c:ser>
          <c:idx val="2"/>
          <c:order val="2"/>
          <c:tx>
            <c:strRef>
              <c:f>'1,2,4'!$P$2</c:f>
              <c:strCache>
                <c:ptCount val="1"/>
                <c:pt idx="0">
                  <c:v>Difference</c:v>
                </c:pt>
              </c:strCache>
            </c:strRef>
          </c:tx>
          <c:spPr>
            <a:solidFill>
              <a:srgbClr val="808080"/>
            </a:solidFill>
            <a:ln w="12700">
              <a:solidFill>
                <a:srgbClr val="000000"/>
              </a:solidFill>
              <a:prstDash val="solid"/>
            </a:ln>
          </c:spPr>
          <c:cat>
            <c:strRef>
              <c:f>'1,2,4'!$M$3:$M$6</c:f>
              <c:strCache>
                <c:ptCount val="4"/>
                <c:pt idx="0">
                  <c:v>State</c:v>
                </c:pt>
                <c:pt idx="1">
                  <c:v>Statewide Weighted</c:v>
                </c:pt>
                <c:pt idx="2">
                  <c:v>Albany</c:v>
                </c:pt>
                <c:pt idx="3">
                  <c:v>Buffalo</c:v>
                </c:pt>
              </c:strCache>
            </c:strRef>
          </c:cat>
          <c:val>
            <c:numRef>
              <c:f>'1,2,4'!$P$3:$P$6</c:f>
              <c:numCache>
                <c:formatCode>_(\$* #,##0_);_(\$* \(#,##0\);_(\$* "-"_);_(@_)</c:formatCode>
                <c:ptCount val="4"/>
                <c:pt idx="0">
                  <c:v>6609.917237731035</c:v>
                </c:pt>
                <c:pt idx="1">
                  <c:v>6874.0</c:v>
                </c:pt>
                <c:pt idx="2">
                  <c:v>9499.211038880102</c:v>
                </c:pt>
                <c:pt idx="3">
                  <c:v>7018.464349748245</c:v>
                </c:pt>
              </c:numCache>
            </c:numRef>
          </c:val>
        </c:ser>
        <c:axId val="476111384"/>
        <c:axId val="476559704"/>
      </c:barChart>
      <c:catAx>
        <c:axId val="476111384"/>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559704"/>
        <c:crosses val="autoZero"/>
        <c:auto val="1"/>
        <c:lblAlgn val="ctr"/>
        <c:lblOffset val="100"/>
        <c:tickLblSkip val="1"/>
        <c:tickMarkSkip val="1"/>
      </c:catAx>
      <c:valAx>
        <c:axId val="476559704"/>
        <c:scaling>
          <c:orientation val="minMax"/>
        </c:scaling>
        <c:axPos val="l"/>
        <c:numFmt formatCode="#,##0" sourceLinked="0"/>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76111384"/>
        <c:crosses val="autoZero"/>
        <c:crossBetween val="between"/>
      </c:valAx>
      <c:spPr>
        <a:solidFill>
          <a:srgbClr val="FFFFFF"/>
        </a:solidFill>
        <a:ln w="12700">
          <a:solidFill>
            <a:srgbClr val="808080"/>
          </a:solidFill>
          <a:prstDash val="solid"/>
        </a:ln>
      </c:spPr>
    </c:plotArea>
    <c:legend>
      <c:legendPos val="t"/>
      <c:layout>
        <c:manualLayout>
          <c:xMode val="edge"/>
          <c:yMode val="edge"/>
          <c:x val="0.368635437881874"/>
          <c:y val="0.0293041229624895"/>
          <c:w val="0.39918533604888"/>
          <c:h val="0.0879123688874684"/>
        </c:manualLayout>
      </c:layout>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239583739528638"/>
          <c:y val="0.157509720945373"/>
          <c:w val="0.685765051549364"/>
          <c:h val="0.677658101741722"/>
        </c:manualLayout>
      </c:layout>
      <c:barChart>
        <c:barDir val="bar"/>
        <c:grouping val="stacked"/>
        <c:ser>
          <c:idx val="0"/>
          <c:order val="0"/>
          <c:tx>
            <c:strRef>
              <c:f>'1,2,4'!$N$28</c:f>
              <c:strCache>
                <c:ptCount val="1"/>
                <c:pt idx="0">
                  <c:v>Federal </c:v>
                </c:pt>
              </c:strCache>
            </c:strRef>
          </c:tx>
          <c:spPr>
            <a:solidFill>
              <a:srgbClr val="000000"/>
            </a:solidFill>
            <a:ln w="12700">
              <a:solidFill>
                <a:srgbClr val="000000"/>
              </a:solidFill>
              <a:prstDash val="solid"/>
            </a:ln>
          </c:spPr>
          <c:cat>
            <c:strRef>
              <c:f>'1,2,4'!$M$29:$M$37</c:f>
              <c:strCache>
                <c:ptCount val="9"/>
                <c:pt idx="0">
                  <c:v>Statewide District</c:v>
                </c:pt>
                <c:pt idx="1">
                  <c:v>Statewide Charter</c:v>
                </c:pt>
                <c:pt idx="2">
                  <c:v>Statewide Weighted</c:v>
                </c:pt>
                <c:pt idx="3">
                  <c:v>Albany District</c:v>
                </c:pt>
                <c:pt idx="4">
                  <c:v>Albany Charter</c:v>
                </c:pt>
                <c:pt idx="5">
                  <c:v>Buffalo District</c:v>
                </c:pt>
                <c:pt idx="6">
                  <c:v>Buffalo Charter</c:v>
                </c:pt>
                <c:pt idx="7">
                  <c:v>NYC District</c:v>
                </c:pt>
                <c:pt idx="8">
                  <c:v>NYC Charter</c:v>
                </c:pt>
              </c:strCache>
            </c:strRef>
          </c:cat>
          <c:val>
            <c:numRef>
              <c:f>'1,2,4'!$N$29:$N$37</c:f>
              <c:numCache>
                <c:formatCode>_(\$* #,##0_);_(\$* \(#,##0\);_(\$* "-"_);_(@_)</c:formatCode>
                <c:ptCount val="9"/>
                <c:pt idx="0">
                  <c:v>760.5479415774357</c:v>
                </c:pt>
                <c:pt idx="1">
                  <c:v>610.461166698131</c:v>
                </c:pt>
                <c:pt idx="2">
                  <c:v>1265.0</c:v>
                </c:pt>
                <c:pt idx="3">
                  <c:v>1255.605256006342</c:v>
                </c:pt>
                <c:pt idx="4">
                  <c:v>2015.152823920266</c:v>
                </c:pt>
                <c:pt idx="5">
                  <c:v>1429.47935196939</c:v>
                </c:pt>
                <c:pt idx="6">
                  <c:v>551.9239467849224</c:v>
                </c:pt>
                <c:pt idx="7">
                  <c:v>1582.435903795822</c:v>
                </c:pt>
                <c:pt idx="8">
                  <c:v>343.1158752421024</c:v>
                </c:pt>
              </c:numCache>
            </c:numRef>
          </c:val>
        </c:ser>
        <c:ser>
          <c:idx val="1"/>
          <c:order val="1"/>
          <c:tx>
            <c:strRef>
              <c:f>'1,2,4'!$O$28</c:f>
              <c:strCache>
                <c:ptCount val="1"/>
                <c:pt idx="0">
                  <c:v>State</c:v>
                </c:pt>
              </c:strCache>
            </c:strRef>
          </c:tx>
          <c:spPr>
            <a:solidFill>
              <a:srgbClr val="C0C0C0"/>
            </a:solidFill>
            <a:ln w="12700">
              <a:solidFill>
                <a:srgbClr val="000000"/>
              </a:solidFill>
              <a:prstDash val="solid"/>
            </a:ln>
          </c:spPr>
          <c:cat>
            <c:strRef>
              <c:f>'1,2,4'!$M$29:$M$37</c:f>
              <c:strCache>
                <c:ptCount val="9"/>
                <c:pt idx="0">
                  <c:v>Statewide District</c:v>
                </c:pt>
                <c:pt idx="1">
                  <c:v>Statewide Charter</c:v>
                </c:pt>
                <c:pt idx="2">
                  <c:v>Statewide Weighted</c:v>
                </c:pt>
                <c:pt idx="3">
                  <c:v>Albany District</c:v>
                </c:pt>
                <c:pt idx="4">
                  <c:v>Albany Charter</c:v>
                </c:pt>
                <c:pt idx="5">
                  <c:v>Buffalo District</c:v>
                </c:pt>
                <c:pt idx="6">
                  <c:v>Buffalo Charter</c:v>
                </c:pt>
                <c:pt idx="7">
                  <c:v>NYC District</c:v>
                </c:pt>
                <c:pt idx="8">
                  <c:v>NYC Charter</c:v>
                </c:pt>
              </c:strCache>
            </c:strRef>
          </c:cat>
          <c:val>
            <c:numRef>
              <c:f>'1,2,4'!$O$29:$O$37</c:f>
              <c:numCache>
                <c:formatCode>_(\$* #,##0_);_(\$* \(#,##0\);_(\$* "-"_);_(@_)</c:formatCode>
                <c:ptCount val="9"/>
                <c:pt idx="0">
                  <c:v>8856.144395468451</c:v>
                </c:pt>
                <c:pt idx="1">
                  <c:v>6606.874082723354</c:v>
                </c:pt>
                <c:pt idx="2">
                  <c:v>10028.0</c:v>
                </c:pt>
                <c:pt idx="3">
                  <c:v>7214.555906802636</c:v>
                </c:pt>
                <c:pt idx="4">
                  <c:v>4652.918408485126</c:v>
                </c:pt>
                <c:pt idx="5">
                  <c:v>14085.52857768041</c:v>
                </c:pt>
                <c:pt idx="6">
                  <c:v>8619.6264076716</c:v>
                </c:pt>
                <c:pt idx="7">
                  <c:v>9741.988176394772</c:v>
                </c:pt>
                <c:pt idx="8">
                  <c:v>5849.860637623504</c:v>
                </c:pt>
              </c:numCache>
            </c:numRef>
          </c:val>
        </c:ser>
        <c:ser>
          <c:idx val="2"/>
          <c:order val="2"/>
          <c:tx>
            <c:strRef>
              <c:f>'1,2,4'!$P$28</c:f>
              <c:strCache>
                <c:ptCount val="1"/>
                <c:pt idx="0">
                  <c:v>Local</c:v>
                </c:pt>
              </c:strCache>
            </c:strRef>
          </c:tx>
          <c:spPr>
            <a:solidFill>
              <a:srgbClr val="969696"/>
            </a:solidFill>
            <a:ln w="12700">
              <a:solidFill>
                <a:srgbClr val="000000"/>
              </a:solidFill>
              <a:prstDash val="solid"/>
            </a:ln>
          </c:spPr>
          <c:cat>
            <c:strRef>
              <c:f>'1,2,4'!$M$29:$M$37</c:f>
              <c:strCache>
                <c:ptCount val="9"/>
                <c:pt idx="0">
                  <c:v>Statewide District</c:v>
                </c:pt>
                <c:pt idx="1">
                  <c:v>Statewide Charter</c:v>
                </c:pt>
                <c:pt idx="2">
                  <c:v>Statewide Weighted</c:v>
                </c:pt>
                <c:pt idx="3">
                  <c:v>Albany District</c:v>
                </c:pt>
                <c:pt idx="4">
                  <c:v>Albany Charter</c:v>
                </c:pt>
                <c:pt idx="5">
                  <c:v>Buffalo District</c:v>
                </c:pt>
                <c:pt idx="6">
                  <c:v>Buffalo Charter</c:v>
                </c:pt>
                <c:pt idx="7">
                  <c:v>NYC District</c:v>
                </c:pt>
                <c:pt idx="8">
                  <c:v>NYC Charter</c:v>
                </c:pt>
              </c:strCache>
            </c:strRef>
          </c:cat>
          <c:val>
            <c:numRef>
              <c:f>'1,2,4'!$P$29:$P$37</c:f>
              <c:numCache>
                <c:formatCode>_(\$* #,##0_);_(\$* \(#,##0\);_(\$* "-"_);_(@_)</c:formatCode>
                <c:ptCount val="9"/>
                <c:pt idx="0">
                  <c:v>9756.293852959686</c:v>
                </c:pt>
                <c:pt idx="1">
                  <c:v>4007.015968248897</c:v>
                </c:pt>
                <c:pt idx="2">
                  <c:v>8401.0</c:v>
                </c:pt>
                <c:pt idx="3">
                  <c:v>14241.28899276649</c:v>
                </c:pt>
                <c:pt idx="4">
                  <c:v>5326.999199488296</c:v>
                </c:pt>
                <c:pt idx="5">
                  <c:v>3031.909164722857</c:v>
                </c:pt>
                <c:pt idx="6">
                  <c:v>1607.791995876072</c:v>
                </c:pt>
                <c:pt idx="7">
                  <c:v>8659.18409275547</c:v>
                </c:pt>
                <c:pt idx="8">
                  <c:v>4963.272668995074</c:v>
                </c:pt>
              </c:numCache>
            </c:numRef>
          </c:val>
        </c:ser>
        <c:ser>
          <c:idx val="3"/>
          <c:order val="3"/>
          <c:tx>
            <c:strRef>
              <c:f>'1,2,4'!$Q$28</c:f>
              <c:strCache>
                <c:ptCount val="1"/>
                <c:pt idx="0">
                  <c:v>Other </c:v>
                </c:pt>
              </c:strCache>
            </c:strRef>
          </c:tx>
          <c:spPr>
            <a:solidFill>
              <a:srgbClr val="333333"/>
            </a:solidFill>
            <a:ln w="12700">
              <a:solidFill>
                <a:srgbClr val="000000"/>
              </a:solidFill>
              <a:prstDash val="solid"/>
            </a:ln>
          </c:spPr>
          <c:cat>
            <c:strRef>
              <c:f>'1,2,4'!$M$29:$M$37</c:f>
              <c:strCache>
                <c:ptCount val="9"/>
                <c:pt idx="0">
                  <c:v>Statewide District</c:v>
                </c:pt>
                <c:pt idx="1">
                  <c:v>Statewide Charter</c:v>
                </c:pt>
                <c:pt idx="2">
                  <c:v>Statewide Weighted</c:v>
                </c:pt>
                <c:pt idx="3">
                  <c:v>Albany District</c:v>
                </c:pt>
                <c:pt idx="4">
                  <c:v>Albany Charter</c:v>
                </c:pt>
                <c:pt idx="5">
                  <c:v>Buffalo District</c:v>
                </c:pt>
                <c:pt idx="6">
                  <c:v>Buffalo Charter</c:v>
                </c:pt>
                <c:pt idx="7">
                  <c:v>NYC District</c:v>
                </c:pt>
                <c:pt idx="8">
                  <c:v>NYC Charter</c:v>
                </c:pt>
              </c:strCache>
            </c:strRef>
          </c:cat>
          <c:val>
            <c:numRef>
              <c:f>'1,2,4'!$Q$29:$Q$37</c:f>
              <c:numCache>
                <c:formatCode>_(\$* #,##0_);_(\$* \(#,##0\);_(\$* "-"_);_(@_)</c:formatCode>
                <c:ptCount val="9"/>
                <c:pt idx="0">
                  <c:v>145.3629279501454</c:v>
                </c:pt>
                <c:pt idx="1">
                  <c:v>990.7231640551254</c:v>
                </c:pt>
                <c:pt idx="2">
                  <c:v>88.0</c:v>
                </c:pt>
                <c:pt idx="3">
                  <c:v>49.61071719167732</c:v>
                </c:pt>
                <c:pt idx="4">
                  <c:v>763.6292358803987</c:v>
                </c:pt>
                <c:pt idx="5">
                  <c:v>118.816213246986</c:v>
                </c:pt>
                <c:pt idx="6">
                  <c:v>294.7028824833702</c:v>
                </c:pt>
                <c:pt idx="7">
                  <c:v>37.5008605605411</c:v>
                </c:pt>
                <c:pt idx="8">
                  <c:v>1416.065384358512</c:v>
                </c:pt>
              </c:numCache>
            </c:numRef>
          </c:val>
        </c:ser>
        <c:ser>
          <c:idx val="4"/>
          <c:order val="4"/>
          <c:tx>
            <c:strRef>
              <c:f>'1,2,4'!$R$28</c:f>
              <c:strCache>
                <c:ptCount val="1"/>
                <c:pt idx="0">
                  <c:v>Indeterminate</c:v>
                </c:pt>
              </c:strCache>
            </c:strRef>
          </c:tx>
          <c:spPr>
            <a:solidFill>
              <a:srgbClr val="808080"/>
            </a:solidFill>
            <a:ln w="12700">
              <a:solidFill>
                <a:srgbClr val="000000"/>
              </a:solidFill>
              <a:prstDash val="solid"/>
            </a:ln>
          </c:spPr>
          <c:cat>
            <c:strRef>
              <c:f>'1,2,4'!$M$29:$M$37</c:f>
              <c:strCache>
                <c:ptCount val="9"/>
                <c:pt idx="0">
                  <c:v>Statewide District</c:v>
                </c:pt>
                <c:pt idx="1">
                  <c:v>Statewide Charter</c:v>
                </c:pt>
                <c:pt idx="2">
                  <c:v>Statewide Weighted</c:v>
                </c:pt>
                <c:pt idx="3">
                  <c:v>Albany District</c:v>
                </c:pt>
                <c:pt idx="4">
                  <c:v>Albany Charter</c:v>
                </c:pt>
                <c:pt idx="5">
                  <c:v>Buffalo District</c:v>
                </c:pt>
                <c:pt idx="6">
                  <c:v>Buffalo Charter</c:v>
                </c:pt>
                <c:pt idx="7">
                  <c:v>NYC District</c:v>
                </c:pt>
                <c:pt idx="8">
                  <c:v>NYC Charter</c:v>
                </c:pt>
              </c:strCache>
            </c:strRef>
          </c:cat>
          <c:val>
            <c:numRef>
              <c:f>'1,2,4'!$R$29:$R$37</c:f>
              <c:numCache>
                <c:formatCode>_(\$* #,##0_);_(\$* \(#,##0\);_(\$* "-"_);_(@_)</c:formatCode>
                <c:ptCount val="9"/>
                <c:pt idx="0">
                  <c:v>0.0437097319002362</c:v>
                </c:pt>
                <c:pt idx="1">
                  <c:v>693.4012082310742</c:v>
                </c:pt>
                <c:pt idx="2">
                  <c:v>0.0</c:v>
                </c:pt>
                <c:pt idx="3">
                  <c:v>0.0</c:v>
                </c:pt>
                <c:pt idx="4">
                  <c:v>503.1501661129568</c:v>
                </c:pt>
                <c:pt idx="5">
                  <c:v>0.0</c:v>
                </c:pt>
                <c:pt idx="6">
                  <c:v>573.2237250554323</c:v>
                </c:pt>
                <c:pt idx="7">
                  <c:v>0.121421920247219</c:v>
                </c:pt>
                <c:pt idx="8">
                  <c:v>895.9231282976023</c:v>
                </c:pt>
              </c:numCache>
            </c:numRef>
          </c:val>
        </c:ser>
        <c:overlap val="100"/>
        <c:axId val="478352056"/>
        <c:axId val="478355768"/>
      </c:barChart>
      <c:catAx>
        <c:axId val="478352056"/>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355768"/>
        <c:crosses val="autoZero"/>
        <c:auto val="1"/>
        <c:lblAlgn val="ctr"/>
        <c:lblOffset val="100"/>
        <c:tickLblSkip val="1"/>
        <c:tickMarkSkip val="1"/>
      </c:catAx>
      <c:valAx>
        <c:axId val="478355768"/>
        <c:scaling>
          <c:orientation val="minMax"/>
        </c:scaling>
        <c:axPos val="b"/>
        <c:numFmt formatCode="#,##0" sourceLinked="0"/>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352056"/>
        <c:crosses val="autoZero"/>
        <c:crossBetween val="between"/>
      </c:valAx>
      <c:spPr>
        <a:solidFill>
          <a:srgbClr val="FFFFFF"/>
        </a:solidFill>
        <a:ln w="12700">
          <a:solidFill>
            <a:srgbClr val="808080"/>
          </a:solidFill>
          <a:prstDash val="solid"/>
        </a:ln>
      </c:spPr>
    </c:plotArea>
    <c:legend>
      <c:legendPos val="t"/>
      <c:layout>
        <c:manualLayout>
          <c:xMode val="edge"/>
          <c:yMode val="edge"/>
          <c:x val="0.310764435695538"/>
          <c:y val="0.0293040293040293"/>
          <c:w val="0.543403689122193"/>
          <c:h val="0.0879124724794016"/>
        </c:manualLayout>
      </c:layout>
      <c:spPr>
        <a:solidFill>
          <a:srgbClr val="FFFFFF"/>
        </a:solidFill>
        <a:ln w="3175">
          <a:solidFill>
            <a:srgbClr val="000000"/>
          </a:solidFill>
          <a:prstDash val="solid"/>
        </a:ln>
      </c:spPr>
      <c:txPr>
        <a:bodyPr/>
        <a:lstStyle/>
        <a:p>
          <a:pPr>
            <a:defRPr sz="77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0</xdr:colOff>
      <xdr:row>7</xdr:row>
      <xdr:rowOff>285750</xdr:rowOff>
    </xdr:from>
    <xdr:to>
      <xdr:col>19</xdr:col>
      <xdr:colOff>409575</xdr:colOff>
      <xdr:row>23</xdr:row>
      <xdr:rowOff>114300</xdr:rowOff>
    </xdr:to>
    <xdr:graphicFrame macro="">
      <xdr:nvGraphicFramePr>
        <xdr:cNvPr id="928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38</xdr:row>
      <xdr:rowOff>38100</xdr:rowOff>
    </xdr:from>
    <xdr:to>
      <xdr:col>21</xdr:col>
      <xdr:colOff>19050</xdr:colOff>
      <xdr:row>54</xdr:row>
      <xdr:rowOff>47625</xdr:rowOff>
    </xdr:to>
    <xdr:graphicFrame macro="">
      <xdr:nvGraphicFramePr>
        <xdr:cNvPr id="92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6" Type="http://schemas.openxmlformats.org/officeDocument/2006/relationships/comments" Target="../comments1.xml"/><Relationship Id="rId4" Type="http://schemas.openxmlformats.org/officeDocument/2006/relationships/hyperlink" Target="mailto:gar@communityroots.org" TargetMode="External"/><Relationship Id="rId1" Type="http://schemas.openxmlformats.org/officeDocument/2006/relationships/hyperlink" Target="mailto:lkonda@southbronxclassical.org%20Lena" TargetMode="External"/><Relationship Id="rId2" Type="http://schemas.openxmlformats.org/officeDocument/2006/relationships/hyperlink" Target="mailto:tsaintsing@excellencecharter.org" TargetMode="External"/><Relationship Id="rId3" Type="http://schemas.openxmlformats.org/officeDocument/2006/relationships/hyperlink" Target="mailto:lmarshall@futureleadersinstitute.org" TargetMode="Externa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28"/>
  <sheetViews>
    <sheetView tabSelected="1" workbookViewId="0"/>
  </sheetViews>
  <sheetFormatPr baseColWidth="10" defaultColWidth="8.83203125" defaultRowHeight="12"/>
  <cols>
    <col min="3" max="3" width="2" customWidth="1"/>
    <col min="4" max="4" width="12.83203125" bestFit="1" customWidth="1"/>
  </cols>
  <sheetData>
    <row r="2" spans="1:4">
      <c r="A2" t="s">
        <v>30</v>
      </c>
    </row>
    <row r="3" spans="1:4">
      <c r="A3" s="203"/>
      <c r="B3" s="204"/>
      <c r="C3" s="205"/>
      <c r="D3" s="206" t="s">
        <v>297</v>
      </c>
    </row>
    <row r="4" spans="1:4">
      <c r="A4" s="207"/>
      <c r="B4" s="205"/>
      <c r="C4" s="205"/>
      <c r="D4" s="206"/>
    </row>
    <row r="5" spans="1:4">
      <c r="A5" s="208"/>
      <c r="B5" s="209"/>
      <c r="C5" s="205"/>
      <c r="D5" s="206" t="s">
        <v>299</v>
      </c>
    </row>
    <row r="6" spans="1:4">
      <c r="A6" s="207"/>
      <c r="B6" s="205"/>
      <c r="C6" s="205"/>
      <c r="D6" s="206"/>
    </row>
    <row r="7" spans="1:4">
      <c r="A7" s="210"/>
      <c r="B7" s="211"/>
      <c r="C7" s="205"/>
      <c r="D7" s="206" t="s">
        <v>362</v>
      </c>
    </row>
    <row r="8" spans="1:4">
      <c r="A8" s="207"/>
      <c r="B8" s="205"/>
      <c r="C8" s="205"/>
      <c r="D8" s="206"/>
    </row>
    <row r="9" spans="1:4">
      <c r="A9" s="212"/>
      <c r="B9" s="213"/>
      <c r="C9" s="205"/>
      <c r="D9" s="206" t="s">
        <v>298</v>
      </c>
    </row>
    <row r="10" spans="1:4">
      <c r="A10" s="207"/>
      <c r="B10" s="205"/>
      <c r="C10" s="205"/>
      <c r="D10" s="206"/>
    </row>
    <row r="11" spans="1:4">
      <c r="A11" s="214"/>
      <c r="B11" s="215"/>
      <c r="C11" s="205"/>
      <c r="D11" s="206" t="s">
        <v>300</v>
      </c>
    </row>
    <row r="12" spans="1:4">
      <c r="A12" s="207"/>
      <c r="B12" s="205"/>
      <c r="C12" s="205"/>
      <c r="D12" s="206"/>
    </row>
    <row r="13" spans="1:4">
      <c r="A13" s="216"/>
      <c r="B13" s="217"/>
      <c r="C13" s="205"/>
      <c r="D13" s="218" t="s">
        <v>31</v>
      </c>
    </row>
    <row r="14" spans="1:4">
      <c r="A14" s="207"/>
      <c r="B14" s="205"/>
      <c r="C14" s="205"/>
      <c r="D14" s="206"/>
    </row>
    <row r="15" spans="1:4">
      <c r="A15" s="220"/>
      <c r="B15" s="221"/>
      <c r="C15" s="219"/>
      <c r="D15" s="222" t="s">
        <v>2117</v>
      </c>
    </row>
    <row r="16" spans="1:4">
      <c r="A16" s="207"/>
      <c r="B16" s="205"/>
      <c r="C16" s="205"/>
      <c r="D16" s="206"/>
    </row>
    <row r="17" spans="1:4">
      <c r="A17" s="203"/>
      <c r="B17" s="204"/>
      <c r="C17" s="219"/>
      <c r="D17" s="222" t="s">
        <v>1765</v>
      </c>
    </row>
    <row r="18" spans="1:4">
      <c r="A18" s="207"/>
      <c r="B18" s="205"/>
      <c r="C18" s="205"/>
      <c r="D18" s="206"/>
    </row>
    <row r="19" spans="1:4">
      <c r="A19" s="214"/>
      <c r="B19" s="215"/>
      <c r="C19" s="219"/>
      <c r="D19" s="222" t="s">
        <v>392</v>
      </c>
    </row>
    <row r="20" spans="1:4">
      <c r="A20" s="207"/>
      <c r="B20" s="205"/>
      <c r="C20" s="205"/>
      <c r="D20" s="206"/>
    </row>
    <row r="21" spans="1:4">
      <c r="A21" s="223"/>
      <c r="B21" s="224"/>
      <c r="C21" s="205"/>
      <c r="D21" s="218" t="s">
        <v>32</v>
      </c>
    </row>
    <row r="24" spans="1:4">
      <c r="A24" t="s">
        <v>33</v>
      </c>
      <c r="B24" t="s">
        <v>0</v>
      </c>
    </row>
    <row r="26" spans="1:4">
      <c r="A26" t="s">
        <v>1</v>
      </c>
    </row>
    <row r="27" spans="1:4">
      <c r="A27" t="s">
        <v>34</v>
      </c>
    </row>
    <row r="28" spans="1:4">
      <c r="A28" t="s">
        <v>35</v>
      </c>
    </row>
  </sheetData>
  <phoneticPr fontId="29"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Z37"/>
  <sheetViews>
    <sheetView workbookViewId="0">
      <selection activeCell="V33" sqref="V33"/>
    </sheetView>
  </sheetViews>
  <sheetFormatPr baseColWidth="10" defaultColWidth="8.83203125" defaultRowHeight="12"/>
  <cols>
    <col min="1" max="1" width="16.6640625" customWidth="1"/>
    <col min="2" max="2" width="9.1640625" customWidth="1"/>
    <col min="6" max="6" width="9.1640625" customWidth="1"/>
    <col min="8" max="8" width="9.1640625" customWidth="1"/>
    <col min="10" max="10" width="9.1640625" customWidth="1"/>
    <col min="52" max="52" width="10.5" customWidth="1"/>
  </cols>
  <sheetData>
    <row r="1" spans="1:52">
      <c r="A1" t="s">
        <v>114</v>
      </c>
      <c r="B1" s="155"/>
      <c r="M1" s="191" t="s">
        <v>115</v>
      </c>
      <c r="N1" s="191"/>
      <c r="O1" s="191"/>
      <c r="P1" s="191"/>
      <c r="Q1" s="191"/>
      <c r="R1" s="191"/>
      <c r="S1" s="191"/>
      <c r="T1" s="191"/>
      <c r="U1" s="191"/>
      <c r="V1" s="191"/>
      <c r="W1" s="191"/>
      <c r="X1" s="191"/>
    </row>
    <row r="2" spans="1:52" ht="24">
      <c r="A2" s="140" t="s">
        <v>130</v>
      </c>
      <c r="B2" s="248" t="s">
        <v>1766</v>
      </c>
      <c r="C2" s="248"/>
      <c r="D2" s="250" t="s">
        <v>19</v>
      </c>
      <c r="E2" s="251"/>
      <c r="F2" s="249" t="s">
        <v>2117</v>
      </c>
      <c r="G2" s="248"/>
      <c r="H2" s="249" t="s">
        <v>1765</v>
      </c>
      <c r="I2" s="248"/>
      <c r="J2" s="249" t="s">
        <v>392</v>
      </c>
      <c r="K2" s="248"/>
      <c r="M2" s="191"/>
      <c r="N2" s="191" t="s">
        <v>1596</v>
      </c>
      <c r="O2" s="191" t="s">
        <v>116</v>
      </c>
      <c r="P2" s="191" t="s">
        <v>117</v>
      </c>
      <c r="Q2" s="191"/>
      <c r="R2" s="198"/>
      <c r="S2" s="199"/>
      <c r="T2" s="199"/>
      <c r="U2" s="199"/>
      <c r="V2" s="199"/>
      <c r="W2" s="199"/>
      <c r="X2" s="199"/>
      <c r="Y2" s="141"/>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spans="1:52">
      <c r="A3" s="142" t="s">
        <v>118</v>
      </c>
      <c r="B3" s="143"/>
      <c r="C3" s="143"/>
      <c r="D3" s="185"/>
      <c r="E3" s="185"/>
      <c r="F3" s="143"/>
      <c r="G3" s="143"/>
      <c r="H3" s="143"/>
      <c r="I3" s="143"/>
      <c r="J3" s="143"/>
      <c r="K3" s="144"/>
      <c r="M3" s="196" t="s">
        <v>299</v>
      </c>
      <c r="N3" s="192">
        <v>19518.392827687618</v>
      </c>
      <c r="O3" s="192">
        <v>12908.475589956583</v>
      </c>
      <c r="P3" s="192">
        <v>6609.9172377310351</v>
      </c>
      <c r="Q3" s="191"/>
      <c r="R3" s="197"/>
      <c r="S3" s="194"/>
      <c r="T3" s="194"/>
      <c r="U3" s="194"/>
      <c r="V3" s="194"/>
      <c r="W3" s="194"/>
      <c r="X3" s="194"/>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spans="1:52">
      <c r="A4" s="97" t="s">
        <v>1596</v>
      </c>
      <c r="B4" s="230">
        <f>B14</f>
        <v>19518.392827687618</v>
      </c>
      <c r="C4" s="231"/>
      <c r="D4" s="232">
        <v>19782</v>
      </c>
      <c r="E4" s="233"/>
      <c r="F4" s="230">
        <f>F14</f>
        <v>22761.060872767146</v>
      </c>
      <c r="G4" s="231"/>
      <c r="H4" s="230">
        <f>H14</f>
        <v>18665.733307619641</v>
      </c>
      <c r="I4" s="231"/>
      <c r="J4" s="230">
        <f>J14</f>
        <v>20021.230455426852</v>
      </c>
      <c r="K4" s="231"/>
      <c r="M4" s="196" t="s">
        <v>22</v>
      </c>
      <c r="N4" s="192">
        <v>19782</v>
      </c>
      <c r="O4" s="192">
        <v>12908</v>
      </c>
      <c r="P4" s="192">
        <v>6874</v>
      </c>
      <c r="Q4" s="191"/>
      <c r="R4" s="197"/>
      <c r="S4" s="194"/>
      <c r="T4" s="194"/>
      <c r="U4" s="194"/>
      <c r="V4" s="194"/>
      <c r="W4" s="194"/>
      <c r="X4" s="194"/>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spans="1:52">
      <c r="A5" s="97" t="s">
        <v>116</v>
      </c>
      <c r="B5" s="230">
        <f>C14</f>
        <v>12908.475589956583</v>
      </c>
      <c r="C5" s="231"/>
      <c r="D5" s="232">
        <v>12908</v>
      </c>
      <c r="E5" s="233"/>
      <c r="F5" s="230">
        <f>G14</f>
        <v>13261.849833887043</v>
      </c>
      <c r="G5" s="231"/>
      <c r="H5" s="230">
        <f>I14</f>
        <v>11647.268957871396</v>
      </c>
      <c r="I5" s="231"/>
      <c r="J5" s="230">
        <f>K14</f>
        <v>13468.237694516794</v>
      </c>
      <c r="K5" s="231"/>
      <c r="M5" s="196" t="s">
        <v>2117</v>
      </c>
      <c r="N5" s="192">
        <v>22761.060872767146</v>
      </c>
      <c r="O5" s="192">
        <v>13261.849833887043</v>
      </c>
      <c r="P5" s="192">
        <v>9499.2110388801029</v>
      </c>
      <c r="Q5" s="191"/>
      <c r="R5" s="197"/>
      <c r="S5" s="194"/>
      <c r="T5" s="194"/>
      <c r="U5" s="194"/>
      <c r="V5" s="194"/>
      <c r="W5" s="197"/>
      <c r="X5" s="197"/>
      <c r="Y5" s="145"/>
      <c r="Z5" s="145"/>
      <c r="AA5" s="145"/>
      <c r="AB5" s="145"/>
      <c r="AC5" s="145"/>
      <c r="AD5" s="145"/>
      <c r="AE5" s="145"/>
      <c r="AF5" s="145"/>
      <c r="AG5" s="145"/>
      <c r="AH5" s="145"/>
      <c r="AI5" s="145"/>
      <c r="AJ5" s="145"/>
      <c r="AK5" s="145"/>
      <c r="AL5" s="145"/>
      <c r="AM5" s="145"/>
      <c r="AN5" s="145"/>
      <c r="AO5" s="145"/>
      <c r="AP5" s="145"/>
      <c r="AQ5" s="145"/>
      <c r="AR5" s="145"/>
      <c r="AS5" s="145"/>
      <c r="AT5" s="145"/>
      <c r="AU5" s="145"/>
      <c r="AV5" s="145"/>
      <c r="AW5" s="145"/>
      <c r="AX5" s="145"/>
      <c r="AY5" s="145"/>
      <c r="AZ5" s="145"/>
    </row>
    <row r="6" spans="1:52">
      <c r="A6" s="234" t="s">
        <v>117</v>
      </c>
      <c r="B6" s="230">
        <f>B4-B5</f>
        <v>6609.9172377310351</v>
      </c>
      <c r="C6" s="231"/>
      <c r="D6" s="232">
        <v>6874</v>
      </c>
      <c r="E6" s="233"/>
      <c r="F6" s="230">
        <f>F4-F5</f>
        <v>9499.2110388801029</v>
      </c>
      <c r="G6" s="231"/>
      <c r="H6" s="230">
        <f>H4-H5</f>
        <v>7018.4643497482448</v>
      </c>
      <c r="I6" s="231"/>
      <c r="J6" s="230">
        <f>J4-J5</f>
        <v>6552.9927609100578</v>
      </c>
      <c r="K6" s="231"/>
      <c r="M6" s="196" t="s">
        <v>1765</v>
      </c>
      <c r="N6" s="192">
        <v>18665.733307619641</v>
      </c>
      <c r="O6" s="192">
        <v>11647.268957871396</v>
      </c>
      <c r="P6" s="192">
        <v>7018.4643497482448</v>
      </c>
      <c r="Q6" s="191"/>
      <c r="R6" s="197"/>
      <c r="S6" s="197"/>
      <c r="T6" s="197"/>
      <c r="U6" s="197"/>
      <c r="V6" s="197"/>
      <c r="W6" s="194"/>
      <c r="X6" s="194"/>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spans="1:52">
      <c r="A7" s="235"/>
      <c r="B7" s="236">
        <f>B6/B4</f>
        <v>0.33865069199522435</v>
      </c>
      <c r="C7" s="237"/>
      <c r="D7" s="246">
        <v>0.34699999999999998</v>
      </c>
      <c r="E7" s="247"/>
      <c r="F7" s="236">
        <f>F6/F4</f>
        <v>0.41734482816860236</v>
      </c>
      <c r="G7" s="237"/>
      <c r="H7" s="236">
        <f>H6/H4</f>
        <v>0.37600796250973967</v>
      </c>
      <c r="I7" s="237"/>
      <c r="J7" s="236">
        <f>J6/J4</f>
        <v>0.32730219930782711</v>
      </c>
      <c r="K7" s="237"/>
      <c r="M7" s="196" t="s">
        <v>392</v>
      </c>
      <c r="N7" s="192">
        <v>20021.230455426852</v>
      </c>
      <c r="O7" s="192">
        <v>13468.237694516794</v>
      </c>
      <c r="P7" s="192">
        <v>6552.9927609100578</v>
      </c>
      <c r="Q7" s="191"/>
      <c r="R7" s="197"/>
      <c r="S7" s="194"/>
      <c r="T7" s="194"/>
      <c r="U7" s="194"/>
      <c r="V7" s="194"/>
      <c r="W7" s="191"/>
      <c r="X7" s="191"/>
    </row>
    <row r="8" spans="1:52" ht="24">
      <c r="A8" s="146" t="s">
        <v>119</v>
      </c>
      <c r="B8" s="147" t="s">
        <v>120</v>
      </c>
      <c r="C8" s="147" t="s">
        <v>116</v>
      </c>
      <c r="D8" s="186" t="s">
        <v>120</v>
      </c>
      <c r="E8" s="186" t="s">
        <v>116</v>
      </c>
      <c r="F8" s="147" t="s">
        <v>120</v>
      </c>
      <c r="G8" s="147" t="s">
        <v>116</v>
      </c>
      <c r="H8" s="147" t="s">
        <v>120</v>
      </c>
      <c r="I8" s="147" t="s">
        <v>116</v>
      </c>
      <c r="J8" s="147" t="s">
        <v>120</v>
      </c>
      <c r="K8" s="147" t="s">
        <v>116</v>
      </c>
      <c r="M8" s="191"/>
      <c r="N8" s="191"/>
      <c r="O8" s="191"/>
      <c r="P8" s="191"/>
      <c r="Q8" s="191"/>
      <c r="R8" s="191"/>
      <c r="S8" s="191"/>
      <c r="T8" s="191"/>
      <c r="U8" s="191"/>
      <c r="V8" s="191"/>
      <c r="W8" s="191"/>
      <c r="X8" s="191"/>
    </row>
    <row r="9" spans="1:52">
      <c r="A9" s="97" t="s">
        <v>362</v>
      </c>
      <c r="B9" s="148">
        <f>'Dist Work File'!G686</f>
        <v>760.54794157743572</v>
      </c>
      <c r="C9" s="148">
        <f>'Charter Work File'!R98</f>
        <v>610.46116669813102</v>
      </c>
      <c r="D9" s="187">
        <v>1265</v>
      </c>
      <c r="E9" s="187">
        <v>610.46116669813102</v>
      </c>
      <c r="F9" s="148">
        <f>'Dist Work File'!G696</f>
        <v>1255.605256006342</v>
      </c>
      <c r="G9" s="148">
        <f>'Charter Work File'!R198</f>
        <v>2015.1528239202657</v>
      </c>
      <c r="H9" s="148">
        <f>'Dist Work File'!G706</f>
        <v>1429.4793519693892</v>
      </c>
      <c r="I9" s="148">
        <f>'Charter Work File'!R184</f>
        <v>551.92394678492235</v>
      </c>
      <c r="J9" s="148">
        <f>'Dist Work File'!G716</f>
        <v>1582.4359037958225</v>
      </c>
      <c r="K9" s="148">
        <f>'Charter Work File'!R164</f>
        <v>343.11587524210245</v>
      </c>
      <c r="M9" s="191"/>
      <c r="N9" s="191"/>
      <c r="O9" s="191"/>
      <c r="P9" s="191"/>
      <c r="Q9" s="191"/>
      <c r="R9" s="191"/>
      <c r="S9" s="191"/>
      <c r="T9" s="191"/>
      <c r="U9" s="191"/>
      <c r="V9" s="191"/>
      <c r="W9" s="191"/>
      <c r="X9" s="191"/>
    </row>
    <row r="10" spans="1:52">
      <c r="A10" s="97" t="s">
        <v>299</v>
      </c>
      <c r="B10" s="148">
        <f>'Dist Work File'!F686</f>
        <v>8856.144395468451</v>
      </c>
      <c r="C10" s="148">
        <f>'Charter Work File'!O98</f>
        <v>6606.8740827233541</v>
      </c>
      <c r="D10" s="187">
        <v>10028</v>
      </c>
      <c r="E10" s="187">
        <v>6606.8740827233541</v>
      </c>
      <c r="F10" s="148">
        <f>'Dist Work File'!F696</f>
        <v>7214.5559068026359</v>
      </c>
      <c r="G10" s="148">
        <f>'Charter Work File'!O198</f>
        <v>4652.9184084851258</v>
      </c>
      <c r="H10" s="148">
        <f>'Dist Work File'!F706</f>
        <v>14085.52857768041</v>
      </c>
      <c r="I10" s="148">
        <f>'Charter Work File'!O184</f>
        <v>8619.6264076715997</v>
      </c>
      <c r="J10" s="148">
        <f>'Dist Work File'!F716</f>
        <v>9741.9881763947724</v>
      </c>
      <c r="K10" s="148">
        <f>'Charter Work File'!O164</f>
        <v>5849.8606376235048</v>
      </c>
      <c r="M10" s="191"/>
      <c r="N10" s="191"/>
      <c r="O10" s="191"/>
      <c r="P10" s="191"/>
      <c r="Q10" s="191"/>
      <c r="R10" s="191"/>
      <c r="S10" s="191"/>
      <c r="T10" s="191"/>
      <c r="U10" s="191"/>
      <c r="V10" s="191"/>
      <c r="W10" s="191"/>
      <c r="X10" s="191"/>
    </row>
    <row r="11" spans="1:52">
      <c r="A11" s="97" t="s">
        <v>297</v>
      </c>
      <c r="B11" s="148">
        <f>'Dist Work File'!E686</f>
        <v>9756.2938529596868</v>
      </c>
      <c r="C11" s="148">
        <f>'Charter Work File'!G98</f>
        <v>4007.0159682488975</v>
      </c>
      <c r="D11" s="187">
        <v>8401</v>
      </c>
      <c r="E11" s="187">
        <v>4007.0159682488975</v>
      </c>
      <c r="F11" s="148">
        <f>'Dist Work File'!E696</f>
        <v>14241.288992766491</v>
      </c>
      <c r="G11" s="148">
        <f>'Charter Work File'!G198</f>
        <v>5326.9991994882957</v>
      </c>
      <c r="H11" s="148">
        <f>'Dist Work File'!E706</f>
        <v>3031.9091647228574</v>
      </c>
      <c r="I11" s="148">
        <f>'Charter Work File'!G184</f>
        <v>1607.7919958760724</v>
      </c>
      <c r="J11" s="148">
        <f>'Dist Work File'!E716</f>
        <v>8659.1840927554695</v>
      </c>
      <c r="K11" s="148">
        <f>'Charter Work File'!G164</f>
        <v>4963.2726689950741</v>
      </c>
      <c r="M11" s="191"/>
      <c r="N11" s="191"/>
      <c r="O11" s="191"/>
      <c r="P11" s="191"/>
      <c r="Q11" s="191"/>
      <c r="R11" s="191"/>
      <c r="S11" s="191"/>
      <c r="T11" s="191"/>
      <c r="U11" s="191"/>
      <c r="V11" s="191"/>
      <c r="W11" s="191"/>
      <c r="X11" s="191"/>
    </row>
    <row r="12" spans="1:52">
      <c r="A12" s="97" t="s">
        <v>298</v>
      </c>
      <c r="B12" s="148">
        <f>'Dist Work File'!H686</f>
        <v>145.36292795014538</v>
      </c>
      <c r="C12" s="148">
        <f>'Charter Work File'!Y98</f>
        <v>990.72316405512549</v>
      </c>
      <c r="D12" s="187">
        <v>88</v>
      </c>
      <c r="E12" s="187">
        <v>990.72316405512549</v>
      </c>
      <c r="F12" s="148">
        <f>'Dist Work File'!H696</f>
        <v>49.610717191677324</v>
      </c>
      <c r="G12" s="148">
        <f>'Charter Work File'!Y198</f>
        <v>763.62923588039871</v>
      </c>
      <c r="H12" s="148">
        <f>'Dist Work File'!H706</f>
        <v>118.81621324698604</v>
      </c>
      <c r="I12" s="148">
        <f>'Charter Work File'!Y184</f>
        <v>294.70288248337027</v>
      </c>
      <c r="J12" s="148">
        <f>'Dist Work File'!H716</f>
        <v>37.500860560541099</v>
      </c>
      <c r="K12" s="148">
        <f>'Charter Work File'!Y164</f>
        <v>1416.0653843585119</v>
      </c>
      <c r="M12" s="191"/>
      <c r="N12" s="191"/>
      <c r="O12" s="191"/>
      <c r="P12" s="191"/>
      <c r="Q12" s="191"/>
      <c r="R12" s="191"/>
      <c r="S12" s="191"/>
      <c r="T12" s="191"/>
      <c r="U12" s="191"/>
      <c r="V12" s="191"/>
      <c r="W12" s="191"/>
      <c r="X12" s="191"/>
    </row>
    <row r="13" spans="1:52">
      <c r="A13" s="97" t="s">
        <v>300</v>
      </c>
      <c r="B13" s="148">
        <f>'Dist Work File'!I686</f>
        <v>4.3709731900236228E-2</v>
      </c>
      <c r="C13" s="148">
        <f>'Charter Work File'!AJ98</f>
        <v>693.40120823107418</v>
      </c>
      <c r="D13" s="187" t="s">
        <v>20</v>
      </c>
      <c r="E13" s="187">
        <v>693.40120823107418</v>
      </c>
      <c r="F13" s="148">
        <f>'Dist Work File'!I696</f>
        <v>0</v>
      </c>
      <c r="G13" s="148">
        <f>'Charter Work File'!AJ198</f>
        <v>503.15016611295681</v>
      </c>
      <c r="H13" s="148">
        <f>'Dist Work File'!I706</f>
        <v>0</v>
      </c>
      <c r="I13" s="148">
        <f>'Charter Work File'!AJ184</f>
        <v>573.2237250554324</v>
      </c>
      <c r="J13" s="148">
        <f>'Dist Work File'!I716</f>
        <v>0.12142192024721929</v>
      </c>
      <c r="K13" s="148">
        <f>'Charter Work File'!AJ164</f>
        <v>895.92312829760237</v>
      </c>
      <c r="M13" s="191"/>
      <c r="N13" s="191"/>
      <c r="O13" s="191"/>
      <c r="P13" s="191"/>
      <c r="Q13" s="191"/>
      <c r="R13" s="191"/>
      <c r="S13" s="191"/>
      <c r="T13" s="191"/>
      <c r="U13" s="191"/>
      <c r="V13" s="191"/>
      <c r="W13" s="191"/>
      <c r="X13" s="191"/>
    </row>
    <row r="14" spans="1:52">
      <c r="A14" s="97" t="s">
        <v>1737</v>
      </c>
      <c r="B14" s="148">
        <f t="shared" ref="B14:K14" si="0">SUM(B9:B13)</f>
        <v>19518.392827687618</v>
      </c>
      <c r="C14" s="148">
        <f t="shared" si="0"/>
        <v>12908.475589956583</v>
      </c>
      <c r="D14" s="187">
        <v>19782</v>
      </c>
      <c r="E14" s="187">
        <v>12908.475589956583</v>
      </c>
      <c r="F14" s="148">
        <f t="shared" si="0"/>
        <v>22761.060872767146</v>
      </c>
      <c r="G14" s="148">
        <f t="shared" si="0"/>
        <v>13261.849833887043</v>
      </c>
      <c r="H14" s="148">
        <f t="shared" si="0"/>
        <v>18665.733307619641</v>
      </c>
      <c r="I14" s="148">
        <f t="shared" si="0"/>
        <v>11647.268957871396</v>
      </c>
      <c r="J14" s="148">
        <f t="shared" si="0"/>
        <v>20021.230455426852</v>
      </c>
      <c r="K14" s="148">
        <f t="shared" si="0"/>
        <v>13468.237694516794</v>
      </c>
      <c r="M14" s="191"/>
      <c r="N14" s="191"/>
      <c r="O14" s="191"/>
      <c r="P14" s="191"/>
      <c r="Q14" s="191"/>
      <c r="R14" s="191"/>
      <c r="S14" s="191"/>
      <c r="T14" s="191"/>
      <c r="U14" s="191"/>
      <c r="V14" s="191"/>
      <c r="W14" s="191"/>
      <c r="X14" s="191"/>
    </row>
    <row r="15" spans="1:52">
      <c r="A15" s="142" t="s">
        <v>81</v>
      </c>
      <c r="B15" s="149"/>
      <c r="C15" s="149"/>
      <c r="D15" s="188"/>
      <c r="E15" s="188"/>
      <c r="F15" s="149"/>
      <c r="G15" s="149"/>
      <c r="H15" s="149"/>
      <c r="I15" s="149"/>
      <c r="J15" s="149"/>
      <c r="K15" s="150"/>
      <c r="M15" s="191"/>
      <c r="N15" s="191"/>
      <c r="O15" s="191"/>
      <c r="P15" s="191"/>
      <c r="Q15" s="191"/>
      <c r="R15" s="191"/>
      <c r="S15" s="191"/>
      <c r="T15" s="191"/>
      <c r="U15" s="191"/>
      <c r="V15" s="191"/>
      <c r="W15" s="191"/>
      <c r="X15" s="191"/>
    </row>
    <row r="16" spans="1:52">
      <c r="A16" s="234" t="s">
        <v>1596</v>
      </c>
      <c r="B16" s="242">
        <f>'Dist Work File'!C685</f>
        <v>2714773</v>
      </c>
      <c r="C16" s="243"/>
      <c r="D16" s="240" t="s">
        <v>21</v>
      </c>
      <c r="E16" s="241"/>
      <c r="F16" s="242">
        <f>'Dist Work File'!C695</f>
        <v>8603</v>
      </c>
      <c r="G16" s="243"/>
      <c r="H16" s="242">
        <f>'Dist Work File'!C705</f>
        <v>34589</v>
      </c>
      <c r="I16" s="243"/>
      <c r="J16" s="244">
        <f>'Dist Work File'!C715</f>
        <v>977270</v>
      </c>
      <c r="K16" s="245"/>
      <c r="M16" s="191"/>
      <c r="N16" s="191"/>
      <c r="O16" s="191"/>
      <c r="P16" s="191"/>
      <c r="Q16" s="191"/>
      <c r="R16" s="191"/>
      <c r="S16" s="191"/>
      <c r="T16" s="191"/>
      <c r="U16" s="191"/>
      <c r="V16" s="191"/>
      <c r="W16" s="191"/>
      <c r="X16" s="191"/>
    </row>
    <row r="17" spans="1:18">
      <c r="A17" s="235"/>
      <c r="B17" s="236">
        <f>B16/(B16+B18)</f>
        <v>0.99033837748945919</v>
      </c>
      <c r="C17" s="237"/>
      <c r="D17" s="240" t="s">
        <v>21</v>
      </c>
      <c r="E17" s="241"/>
      <c r="F17" s="236">
        <f>F16/(F16+F18)</f>
        <v>0.85110803324099726</v>
      </c>
      <c r="G17" s="237"/>
      <c r="H17" s="236">
        <f>H16/(H16+H18)</f>
        <v>0.88465178137548273</v>
      </c>
      <c r="I17" s="237"/>
      <c r="J17" s="236">
        <f>J16/(J16+J18)</f>
        <v>0.98490994645464869</v>
      </c>
      <c r="K17" s="237"/>
      <c r="M17" s="191"/>
      <c r="N17" s="191"/>
      <c r="O17" s="191"/>
      <c r="P17" s="191"/>
      <c r="Q17" s="191"/>
      <c r="R17" s="191"/>
    </row>
    <row r="18" spans="1:18">
      <c r="A18" s="234" t="s">
        <v>116</v>
      </c>
      <c r="B18" s="242">
        <f>'Charter Work File'!B97</f>
        <v>26485</v>
      </c>
      <c r="C18" s="243"/>
      <c r="D18" s="240" t="s">
        <v>21</v>
      </c>
      <c r="E18" s="241"/>
      <c r="F18" s="242">
        <f>'Charter Work File'!B197</f>
        <v>1505</v>
      </c>
      <c r="G18" s="243"/>
      <c r="H18" s="242">
        <f>'Charter Work File'!B183</f>
        <v>4510</v>
      </c>
      <c r="I18" s="243"/>
      <c r="J18" s="242">
        <f>'Charter Work File'!B163</f>
        <v>14973</v>
      </c>
      <c r="K18" s="243"/>
      <c r="M18" s="191"/>
      <c r="N18" s="191"/>
      <c r="O18" s="191"/>
      <c r="P18" s="191"/>
      <c r="Q18" s="191"/>
      <c r="R18" s="191"/>
    </row>
    <row r="19" spans="1:18">
      <c r="A19" s="235"/>
      <c r="B19" s="236">
        <f>B18/(B16+B18)</f>
        <v>9.6616225105407814E-3</v>
      </c>
      <c r="C19" s="237"/>
      <c r="D19" s="240" t="s">
        <v>21</v>
      </c>
      <c r="E19" s="241"/>
      <c r="F19" s="236">
        <f>F18/(F16+F18)</f>
        <v>0.14889196675900276</v>
      </c>
      <c r="G19" s="237"/>
      <c r="H19" s="236">
        <f>H18/(H16+H18)</f>
        <v>0.11534821862451725</v>
      </c>
      <c r="I19" s="237"/>
      <c r="J19" s="236">
        <f>J18/(J16+J18)</f>
        <v>1.5090053545351289E-2</v>
      </c>
      <c r="K19" s="237"/>
      <c r="M19" s="191"/>
      <c r="N19" s="191"/>
      <c r="O19" s="191"/>
      <c r="P19" s="191"/>
      <c r="Q19" s="191"/>
      <c r="R19" s="191"/>
    </row>
    <row r="20" spans="1:18">
      <c r="A20" s="97" t="s">
        <v>121</v>
      </c>
      <c r="B20" s="238">
        <v>93</v>
      </c>
      <c r="C20" s="239"/>
      <c r="D20" s="240" t="s">
        <v>21</v>
      </c>
      <c r="E20" s="241"/>
      <c r="F20" s="238">
        <v>7</v>
      </c>
      <c r="G20" s="239"/>
      <c r="H20" s="238">
        <v>13</v>
      </c>
      <c r="I20" s="239"/>
      <c r="J20" s="238">
        <v>58</v>
      </c>
      <c r="K20" s="239"/>
      <c r="M20" s="191"/>
      <c r="N20" s="191"/>
      <c r="O20" s="191"/>
      <c r="P20" s="191"/>
      <c r="Q20" s="191"/>
      <c r="R20" s="191"/>
    </row>
    <row r="21" spans="1:18">
      <c r="A21" s="142" t="s">
        <v>122</v>
      </c>
      <c r="B21" s="143"/>
      <c r="C21" s="143"/>
      <c r="D21" s="185"/>
      <c r="E21" s="185"/>
      <c r="F21" s="143"/>
      <c r="G21" s="143"/>
      <c r="H21" s="143"/>
      <c r="I21" s="143"/>
      <c r="J21" s="143"/>
      <c r="K21" s="144"/>
      <c r="M21" s="191"/>
      <c r="N21" s="191"/>
      <c r="O21" s="191"/>
      <c r="P21" s="191"/>
      <c r="Q21" s="191"/>
      <c r="R21" s="191"/>
    </row>
    <row r="22" spans="1:18">
      <c r="A22" s="234" t="s">
        <v>1596</v>
      </c>
      <c r="B22" s="230">
        <f>'Dist Work File'!J685</f>
        <v>52988005852</v>
      </c>
      <c r="C22" s="231"/>
      <c r="D22" s="232" t="s">
        <v>21</v>
      </c>
      <c r="E22" s="233"/>
      <c r="F22" s="230">
        <f>'Dist Work File'!J695</f>
        <v>195813406.68841577</v>
      </c>
      <c r="G22" s="231"/>
      <c r="H22" s="230">
        <f>'Dist Work File'!J705</f>
        <v>645629049.37725592</v>
      </c>
      <c r="I22" s="231"/>
      <c r="J22" s="230">
        <f>'Dist Work File'!J715</f>
        <v>19566147887.175003</v>
      </c>
      <c r="K22" s="231"/>
      <c r="M22" s="191"/>
      <c r="N22" s="191"/>
      <c r="O22" s="191"/>
      <c r="P22" s="191"/>
      <c r="Q22" s="191"/>
      <c r="R22" s="191"/>
    </row>
    <row r="23" spans="1:18">
      <c r="A23" s="235"/>
      <c r="B23" s="236">
        <f>B22/B26</f>
        <v>0.99358931742903112</v>
      </c>
      <c r="C23" s="237"/>
      <c r="D23" s="232" t="s">
        <v>21</v>
      </c>
      <c r="E23" s="233"/>
      <c r="F23" s="236">
        <f>F22/F26</f>
        <v>0.90749940394940465</v>
      </c>
      <c r="G23" s="237"/>
      <c r="H23" s="236">
        <f>H22/H26</f>
        <v>0.92476034720505107</v>
      </c>
      <c r="I23" s="237"/>
      <c r="J23" s="236">
        <f>J22/J26</f>
        <v>0.98979856922242027</v>
      </c>
      <c r="K23" s="237"/>
      <c r="M23" s="191"/>
      <c r="N23" s="191"/>
      <c r="O23" s="191"/>
      <c r="P23" s="191"/>
      <c r="Q23" s="191"/>
      <c r="R23" s="191"/>
    </row>
    <row r="24" spans="1:18">
      <c r="A24" s="234" t="s">
        <v>116</v>
      </c>
      <c r="B24" s="230">
        <f>'Charter Work File'!AK97</f>
        <v>341880976</v>
      </c>
      <c r="C24" s="231"/>
      <c r="D24" s="232" t="s">
        <v>21</v>
      </c>
      <c r="E24" s="233"/>
      <c r="F24" s="230">
        <f>'Charter Work File'!AK197</f>
        <v>19959084</v>
      </c>
      <c r="G24" s="231"/>
      <c r="H24" s="230">
        <f>'Charter Work File'!AK183</f>
        <v>52529183</v>
      </c>
      <c r="I24" s="231"/>
      <c r="J24" s="230">
        <f>'Charter Work File'!AK163</f>
        <v>201659923</v>
      </c>
      <c r="K24" s="231"/>
      <c r="M24" s="191"/>
      <c r="N24" s="191"/>
      <c r="O24" s="191"/>
      <c r="P24" s="191"/>
      <c r="Q24" s="191"/>
      <c r="R24" s="191"/>
    </row>
    <row r="25" spans="1:18">
      <c r="A25" s="235"/>
      <c r="B25" s="236">
        <f>B24/B26</f>
        <v>6.4106825709688339E-3</v>
      </c>
      <c r="C25" s="237"/>
      <c r="D25" s="232" t="s">
        <v>21</v>
      </c>
      <c r="E25" s="233"/>
      <c r="F25" s="236">
        <f>F24/F26</f>
        <v>9.2500596050595379E-2</v>
      </c>
      <c r="G25" s="237"/>
      <c r="H25" s="236">
        <f>H24/H26</f>
        <v>7.5239652794948916E-2</v>
      </c>
      <c r="I25" s="237"/>
      <c r="J25" s="236">
        <f>J24/J26</f>
        <v>1.0201430777579719E-2</v>
      </c>
      <c r="K25" s="237"/>
      <c r="M25" s="191"/>
      <c r="N25" s="191"/>
      <c r="O25" s="191"/>
      <c r="P25" s="191"/>
      <c r="Q25" s="191"/>
      <c r="R25" s="191"/>
    </row>
    <row r="26" spans="1:18">
      <c r="A26" s="97" t="s">
        <v>1737</v>
      </c>
      <c r="B26" s="230">
        <f>B22+B24</f>
        <v>53329886828</v>
      </c>
      <c r="C26" s="231"/>
      <c r="D26" s="232" t="s">
        <v>21</v>
      </c>
      <c r="E26" s="233"/>
      <c r="F26" s="230">
        <f>F22+F24</f>
        <v>215772490.68841577</v>
      </c>
      <c r="G26" s="231"/>
      <c r="H26" s="230">
        <f>H22+H24</f>
        <v>698158232.37725592</v>
      </c>
      <c r="I26" s="231"/>
      <c r="J26" s="230">
        <f>J22+J24</f>
        <v>19767807810.175003</v>
      </c>
      <c r="K26" s="231"/>
      <c r="M26" s="191"/>
      <c r="N26" s="191"/>
      <c r="O26" s="191"/>
      <c r="P26" s="191"/>
      <c r="Q26" s="191"/>
      <c r="R26" s="191"/>
    </row>
    <row r="27" spans="1:18" ht="24">
      <c r="A27" s="151" t="s">
        <v>124</v>
      </c>
      <c r="B27" s="152" t="s">
        <v>120</v>
      </c>
      <c r="C27" s="152" t="s">
        <v>116</v>
      </c>
      <c r="D27" s="186" t="s">
        <v>120</v>
      </c>
      <c r="E27" s="186" t="s">
        <v>116</v>
      </c>
      <c r="F27" s="152" t="s">
        <v>120</v>
      </c>
      <c r="G27" s="152" t="s">
        <v>116</v>
      </c>
      <c r="H27" s="152" t="s">
        <v>120</v>
      </c>
      <c r="I27" s="152" t="s">
        <v>116</v>
      </c>
      <c r="J27" s="152" t="s">
        <v>120</v>
      </c>
      <c r="K27" s="152" t="s">
        <v>116</v>
      </c>
      <c r="M27" s="191" t="s">
        <v>123</v>
      </c>
      <c r="N27" s="191"/>
      <c r="O27" s="191"/>
      <c r="P27" s="191"/>
      <c r="Q27" s="191"/>
      <c r="R27" s="191"/>
    </row>
    <row r="28" spans="1:18">
      <c r="A28" s="97" t="s">
        <v>362</v>
      </c>
      <c r="B28" s="153">
        <f>B9/$B$14</f>
        <v>3.8965705234632241E-2</v>
      </c>
      <c r="C28" s="153">
        <f>C9/$C$14</f>
        <v>4.7291499483726747E-2</v>
      </c>
      <c r="D28" s="189">
        <v>6.3947022545748661E-2</v>
      </c>
      <c r="E28" s="189">
        <v>4.7291499483726747E-2</v>
      </c>
      <c r="F28" s="153">
        <f>F9/$F$14</f>
        <v>5.5164619216349089E-2</v>
      </c>
      <c r="G28" s="153">
        <f>G9/$G$14</f>
        <v>0.1519511115840787</v>
      </c>
      <c r="H28" s="153">
        <f>H9/$H$14</f>
        <v>7.6583080257867697E-2</v>
      </c>
      <c r="I28" s="153">
        <f>I9/$I$14</f>
        <v>4.7386554631927168E-2</v>
      </c>
      <c r="J28" s="153">
        <f>J9/$J$14</f>
        <v>7.9037894664805458E-2</v>
      </c>
      <c r="K28" s="153">
        <f>K9/$K$14</f>
        <v>2.5475929592614199E-2</v>
      </c>
      <c r="M28" s="191"/>
      <c r="N28" s="195" t="s">
        <v>125</v>
      </c>
      <c r="O28" s="195" t="s">
        <v>299</v>
      </c>
      <c r="P28" s="195" t="s">
        <v>297</v>
      </c>
      <c r="Q28" s="195" t="s">
        <v>126</v>
      </c>
      <c r="R28" s="195" t="s">
        <v>300</v>
      </c>
    </row>
    <row r="29" spans="1:18">
      <c r="A29" s="97" t="s">
        <v>299</v>
      </c>
      <c r="B29" s="153">
        <f>B10/$B$14</f>
        <v>0.45373327986849704</v>
      </c>
      <c r="C29" s="153">
        <f>C10/$C$14</f>
        <v>0.51182450140462921</v>
      </c>
      <c r="D29" s="189">
        <v>0.50692548781720759</v>
      </c>
      <c r="E29" s="189">
        <v>0.51182450140462921</v>
      </c>
      <c r="F29" s="153">
        <f>F10/$F$14</f>
        <v>0.3169692285931458</v>
      </c>
      <c r="G29" s="153">
        <f>G10/$G$14</f>
        <v>0.35084987892080188</v>
      </c>
      <c r="H29" s="153">
        <f>H10/$H$14</f>
        <v>0.75461962011053052</v>
      </c>
      <c r="I29" s="153">
        <f>I10/$I$14</f>
        <v>0.74005558202949617</v>
      </c>
      <c r="J29" s="153">
        <f>J10/$J$14</f>
        <v>0.48658289000185595</v>
      </c>
      <c r="K29" s="153">
        <f>K10/$K$14</f>
        <v>0.43434492101406164</v>
      </c>
      <c r="M29" s="191" t="s">
        <v>127</v>
      </c>
      <c r="N29" s="192">
        <v>760.54794157743572</v>
      </c>
      <c r="O29" s="192">
        <v>8856.144395468451</v>
      </c>
      <c r="P29" s="192">
        <v>9756.2938529596868</v>
      </c>
      <c r="Q29" s="192">
        <v>145.36292795014538</v>
      </c>
      <c r="R29" s="192">
        <v>4.3709731900236228E-2</v>
      </c>
    </row>
    <row r="30" spans="1:18">
      <c r="A30" s="97" t="s">
        <v>297</v>
      </c>
      <c r="B30" s="153">
        <f>B11/$B$14</f>
        <v>0.49985129098949149</v>
      </c>
      <c r="C30" s="153">
        <f>C11/$C$14</f>
        <v>0.31041744165101487</v>
      </c>
      <c r="D30" s="189">
        <v>0.42467900111212215</v>
      </c>
      <c r="E30" s="189">
        <v>0.31041744165101487</v>
      </c>
      <c r="F30" s="153">
        <f>F11/$F$14</f>
        <v>0.62568652104461975</v>
      </c>
      <c r="G30" s="153">
        <f>G11/$G$14</f>
        <v>0.40167844352125004</v>
      </c>
      <c r="H30" s="153">
        <f>H11/$H$14</f>
        <v>0.1624318270681166</v>
      </c>
      <c r="I30" s="153">
        <f>I11/$I$14</f>
        <v>0.13804025662080233</v>
      </c>
      <c r="J30" s="153">
        <f>J11/$J$14</f>
        <v>0.43250009593732813</v>
      </c>
      <c r="K30" s="153">
        <f>K11/$K$14</f>
        <v>0.36851686030279429</v>
      </c>
      <c r="M30" s="191" t="s">
        <v>128</v>
      </c>
      <c r="N30" s="192">
        <v>610.46116669813102</v>
      </c>
      <c r="O30" s="192">
        <v>6606.8740827233541</v>
      </c>
      <c r="P30" s="192">
        <v>4007.0159682488975</v>
      </c>
      <c r="Q30" s="192">
        <v>990.72316405512549</v>
      </c>
      <c r="R30" s="192">
        <v>693.40120823107418</v>
      </c>
    </row>
    <row r="31" spans="1:18">
      <c r="A31" s="97" t="s">
        <v>298</v>
      </c>
      <c r="B31" s="153">
        <f>B12/$B$14</f>
        <v>7.4474844949294324E-3</v>
      </c>
      <c r="C31" s="153">
        <f>C12/$C$14</f>
        <v>7.6749818919435844E-2</v>
      </c>
      <c r="D31" s="189">
        <v>4.4484885249216457E-3</v>
      </c>
      <c r="E31" s="189">
        <v>7.6749818919435844E-2</v>
      </c>
      <c r="F31" s="153">
        <f>F12/$F$14</f>
        <v>2.1796311458854231E-3</v>
      </c>
      <c r="G31" s="153">
        <f>G12/$G$14</f>
        <v>5.7580899003180711E-2</v>
      </c>
      <c r="H31" s="153">
        <f>H12/$H$14</f>
        <v>6.3654725634852728E-3</v>
      </c>
      <c r="I31" s="153">
        <f>I12/$I$14</f>
        <v>2.5302316238194681E-2</v>
      </c>
      <c r="J31" s="153">
        <f>J12/$J$14</f>
        <v>1.8730547377709399E-3</v>
      </c>
      <c r="K31" s="153">
        <f>K12/$K$14</f>
        <v>0.10514110431352293</v>
      </c>
      <c r="M31" s="191" t="s">
        <v>22</v>
      </c>
      <c r="N31" s="192">
        <v>1265</v>
      </c>
      <c r="O31" s="192">
        <v>10028</v>
      </c>
      <c r="P31" s="192">
        <v>8401</v>
      </c>
      <c r="Q31" s="192">
        <v>88</v>
      </c>
      <c r="R31" s="192" t="s">
        <v>20</v>
      </c>
    </row>
    <row r="32" spans="1:18">
      <c r="A32" s="142" t="s">
        <v>129</v>
      </c>
      <c r="B32" s="143"/>
      <c r="C32" s="143"/>
      <c r="D32" s="185"/>
      <c r="E32" s="185"/>
      <c r="F32" s="143"/>
      <c r="G32" s="143"/>
      <c r="H32" s="143"/>
      <c r="I32" s="143"/>
      <c r="J32" s="143"/>
      <c r="K32" s="144"/>
      <c r="M32" s="193" t="s">
        <v>514</v>
      </c>
      <c r="N32" s="192">
        <v>1255.605256006342</v>
      </c>
      <c r="O32" s="192">
        <v>7214.5559068026359</v>
      </c>
      <c r="P32" s="192">
        <v>14241.288992766491</v>
      </c>
      <c r="Q32" s="192">
        <v>49.610717191677324</v>
      </c>
      <c r="R32" s="192">
        <v>0</v>
      </c>
    </row>
    <row r="33" spans="1:18">
      <c r="A33" s="154"/>
      <c r="B33" s="226" t="s">
        <v>133</v>
      </c>
      <c r="C33" s="227"/>
      <c r="D33" s="228"/>
      <c r="E33" s="229"/>
      <c r="F33" s="226" t="s">
        <v>134</v>
      </c>
      <c r="G33" s="227"/>
      <c r="H33" s="226" t="s">
        <v>135</v>
      </c>
      <c r="I33" s="227"/>
      <c r="J33" s="226" t="s">
        <v>136</v>
      </c>
      <c r="K33" s="227"/>
      <c r="M33" s="193" t="s">
        <v>515</v>
      </c>
      <c r="N33" s="192">
        <v>2015.1528239202657</v>
      </c>
      <c r="O33" s="192">
        <v>4652.9184084851258</v>
      </c>
      <c r="P33" s="192">
        <v>5326.9991994882957</v>
      </c>
      <c r="Q33" s="192">
        <v>763.62923588039871</v>
      </c>
      <c r="R33" s="192">
        <v>503.15016611295681</v>
      </c>
    </row>
    <row r="34" spans="1:18">
      <c r="M34" s="193" t="s">
        <v>516</v>
      </c>
      <c r="N34" s="192">
        <v>1429.4793519693892</v>
      </c>
      <c r="O34" s="192">
        <v>14085.52857768041</v>
      </c>
      <c r="P34" s="192">
        <v>3031.9091647228574</v>
      </c>
      <c r="Q34" s="192">
        <v>118.81621324698604</v>
      </c>
      <c r="R34" s="192">
        <v>0</v>
      </c>
    </row>
    <row r="35" spans="1:18">
      <c r="B35" s="225">
        <f>B6*B16</f>
        <v>17944424849.226795</v>
      </c>
      <c r="C35" s="225"/>
      <c r="D35" s="181"/>
      <c r="E35" s="181"/>
      <c r="F35" s="225">
        <f>F6*F16</f>
        <v>81721712.567485526</v>
      </c>
      <c r="G35" s="225"/>
      <c r="H35" s="225">
        <f>H6*H16</f>
        <v>242761663.39344203</v>
      </c>
      <c r="I35" s="225"/>
      <c r="J35" s="225">
        <f>J6*J16</f>
        <v>6404043235.4545717</v>
      </c>
      <c r="K35" s="225"/>
      <c r="M35" s="193" t="s">
        <v>131</v>
      </c>
      <c r="N35" s="192">
        <v>551.92394678492235</v>
      </c>
      <c r="O35" s="192">
        <v>8619.6264076715997</v>
      </c>
      <c r="P35" s="192">
        <v>1607.7919958760724</v>
      </c>
      <c r="Q35" s="192">
        <v>294.70288248337027</v>
      </c>
      <c r="R35" s="192">
        <v>573.2237250554324</v>
      </c>
    </row>
    <row r="36" spans="1:18">
      <c r="M36" s="193" t="s">
        <v>517</v>
      </c>
      <c r="N36" s="192">
        <v>1582.4359037958225</v>
      </c>
      <c r="O36" s="192">
        <v>9741.9881763947724</v>
      </c>
      <c r="P36" s="192">
        <v>8659.1840927554695</v>
      </c>
      <c r="Q36" s="192">
        <v>37.500860560541099</v>
      </c>
      <c r="R36" s="192">
        <v>0.12142192024721929</v>
      </c>
    </row>
    <row r="37" spans="1:18">
      <c r="M37" s="193" t="s">
        <v>518</v>
      </c>
      <c r="N37" s="192">
        <v>343.11587524210245</v>
      </c>
      <c r="O37" s="192">
        <v>5849.8606376235048</v>
      </c>
      <c r="P37" s="192">
        <v>4963.2726689950741</v>
      </c>
      <c r="Q37" s="192">
        <v>1416.0653843585119</v>
      </c>
      <c r="R37" s="192">
        <v>895.92312829760237</v>
      </c>
    </row>
  </sheetData>
  <mergeCells count="89">
    <mergeCell ref="B2:C2"/>
    <mergeCell ref="F2:G2"/>
    <mergeCell ref="H2:I2"/>
    <mergeCell ref="J2:K2"/>
    <mergeCell ref="B4:C4"/>
    <mergeCell ref="F4:G4"/>
    <mergeCell ref="H4:I4"/>
    <mergeCell ref="J4:K4"/>
    <mergeCell ref="D2:E2"/>
    <mergeCell ref="D4:E4"/>
    <mergeCell ref="B5:C5"/>
    <mergeCell ref="F5:G5"/>
    <mergeCell ref="H5:I5"/>
    <mergeCell ref="J5:K5"/>
    <mergeCell ref="A6:A7"/>
    <mergeCell ref="B6:C6"/>
    <mergeCell ref="F6:G6"/>
    <mergeCell ref="H6:I6"/>
    <mergeCell ref="J6:K6"/>
    <mergeCell ref="B7:C7"/>
    <mergeCell ref="D5:E5"/>
    <mergeCell ref="D6:E6"/>
    <mergeCell ref="F7:G7"/>
    <mergeCell ref="H7:I7"/>
    <mergeCell ref="J7:K7"/>
    <mergeCell ref="B17:C17"/>
    <mergeCell ref="F17:G17"/>
    <mergeCell ref="D16:E16"/>
    <mergeCell ref="D7:E7"/>
    <mergeCell ref="A16:A17"/>
    <mergeCell ref="B16:C16"/>
    <mergeCell ref="F16:G16"/>
    <mergeCell ref="H16:I16"/>
    <mergeCell ref="J16:K16"/>
    <mergeCell ref="H17:I17"/>
    <mergeCell ref="J17:K17"/>
    <mergeCell ref="D17:E17"/>
    <mergeCell ref="A18:A19"/>
    <mergeCell ref="B18:C18"/>
    <mergeCell ref="F18:G18"/>
    <mergeCell ref="H18:I18"/>
    <mergeCell ref="J18:K18"/>
    <mergeCell ref="B19:C19"/>
    <mergeCell ref="F19:G19"/>
    <mergeCell ref="H19:I19"/>
    <mergeCell ref="D18:E18"/>
    <mergeCell ref="B23:C23"/>
    <mergeCell ref="F23:G23"/>
    <mergeCell ref="H23:I23"/>
    <mergeCell ref="J23:K23"/>
    <mergeCell ref="A22:A23"/>
    <mergeCell ref="B22:C22"/>
    <mergeCell ref="F22:G22"/>
    <mergeCell ref="H22:I22"/>
    <mergeCell ref="J22:K22"/>
    <mergeCell ref="D22:E22"/>
    <mergeCell ref="D23:E23"/>
    <mergeCell ref="J19:K19"/>
    <mergeCell ref="B20:C20"/>
    <mergeCell ref="F20:G20"/>
    <mergeCell ref="H20:I20"/>
    <mergeCell ref="J20:K20"/>
    <mergeCell ref="D20:E20"/>
    <mergeCell ref="D19:E19"/>
    <mergeCell ref="A24:A25"/>
    <mergeCell ref="B24:C24"/>
    <mergeCell ref="F24:G24"/>
    <mergeCell ref="H24:I24"/>
    <mergeCell ref="J24:K24"/>
    <mergeCell ref="B25:C25"/>
    <mergeCell ref="F25:G25"/>
    <mergeCell ref="H25:I25"/>
    <mergeCell ref="J25:K25"/>
    <mergeCell ref="D25:E25"/>
    <mergeCell ref="D24:E24"/>
    <mergeCell ref="B26:C26"/>
    <mergeCell ref="F26:G26"/>
    <mergeCell ref="H26:I26"/>
    <mergeCell ref="J26:K26"/>
    <mergeCell ref="D26:E26"/>
    <mergeCell ref="F35:G35"/>
    <mergeCell ref="B33:C33"/>
    <mergeCell ref="F33:G33"/>
    <mergeCell ref="H33:I33"/>
    <mergeCell ref="J33:K33"/>
    <mergeCell ref="B35:C35"/>
    <mergeCell ref="H35:I35"/>
    <mergeCell ref="J35:K35"/>
    <mergeCell ref="D33:E33"/>
  </mergeCells>
  <phoneticPr fontId="29"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18"/>
  <sheetViews>
    <sheetView workbookViewId="0">
      <selection activeCell="A18" sqref="A18"/>
    </sheetView>
  </sheetViews>
  <sheetFormatPr baseColWidth="10" defaultColWidth="8.83203125" defaultRowHeight="12"/>
  <cols>
    <col min="1" max="1" width="39.6640625" customWidth="1"/>
  </cols>
  <sheetData>
    <row r="1" spans="1:4">
      <c r="A1" t="s">
        <v>70</v>
      </c>
    </row>
    <row r="2" spans="1:4">
      <c r="A2" t="s">
        <v>71</v>
      </c>
    </row>
    <row r="3" spans="1:4">
      <c r="A3" s="97" t="s">
        <v>72</v>
      </c>
      <c r="B3" s="97" t="s">
        <v>73</v>
      </c>
      <c r="C3" s="97" t="s">
        <v>74</v>
      </c>
      <c r="D3" s="97" t="s">
        <v>75</v>
      </c>
    </row>
    <row r="4" spans="1:4" ht="24">
      <c r="A4" s="174" t="s">
        <v>76</v>
      </c>
      <c r="B4" s="97"/>
      <c r="C4" s="178" t="s">
        <v>12</v>
      </c>
      <c r="D4" s="97"/>
    </row>
    <row r="5" spans="1:4" ht="12.75" customHeight="1">
      <c r="A5" s="174" t="s">
        <v>77</v>
      </c>
      <c r="B5" s="97"/>
      <c r="C5" s="97"/>
      <c r="D5" s="178" t="s">
        <v>12</v>
      </c>
    </row>
    <row r="6" spans="1:4" ht="12.75" customHeight="1">
      <c r="A6" s="174" t="s">
        <v>78</v>
      </c>
      <c r="B6" s="97"/>
      <c r="C6" s="178" t="s">
        <v>12</v>
      </c>
      <c r="D6" s="97"/>
    </row>
    <row r="7" spans="1:4" ht="25.5" customHeight="1">
      <c r="A7" s="174" t="s">
        <v>2</v>
      </c>
      <c r="B7" s="178" t="s">
        <v>12</v>
      </c>
      <c r="C7" s="97"/>
      <c r="D7" s="97"/>
    </row>
    <row r="8" spans="1:4" ht="12.75" customHeight="1">
      <c r="A8" s="174" t="s">
        <v>3</v>
      </c>
      <c r="B8" s="97"/>
      <c r="C8" s="178" t="s">
        <v>12</v>
      </c>
      <c r="D8" s="97"/>
    </row>
    <row r="9" spans="1:4" ht="39.75" customHeight="1">
      <c r="A9" s="174" t="s">
        <v>4</v>
      </c>
      <c r="B9" s="97"/>
      <c r="C9" s="178" t="s">
        <v>12</v>
      </c>
      <c r="D9" s="97"/>
    </row>
    <row r="10" spans="1:4" ht="24">
      <c r="A10" s="174" t="s">
        <v>5</v>
      </c>
      <c r="B10" s="97"/>
      <c r="C10" s="178" t="s">
        <v>12</v>
      </c>
      <c r="D10" s="97"/>
    </row>
    <row r="11" spans="1:4" ht="25.5" customHeight="1">
      <c r="A11" s="174" t="s">
        <v>6</v>
      </c>
      <c r="B11" s="97"/>
      <c r="C11" s="97"/>
      <c r="D11" s="178" t="s">
        <v>12</v>
      </c>
    </row>
    <row r="12" spans="1:4">
      <c r="A12" s="174" t="s">
        <v>7</v>
      </c>
      <c r="B12" s="97"/>
      <c r="C12" s="97"/>
      <c r="D12" s="178" t="s">
        <v>12</v>
      </c>
    </row>
    <row r="13" spans="1:4" ht="12.75" customHeight="1">
      <c r="A13" s="174" t="s">
        <v>8</v>
      </c>
      <c r="B13" s="178" t="s">
        <v>13</v>
      </c>
      <c r="C13" s="97"/>
      <c r="D13" s="97"/>
    </row>
    <row r="14" spans="1:4" ht="24">
      <c r="A14" s="174" t="s">
        <v>9</v>
      </c>
      <c r="B14" s="97"/>
      <c r="C14" s="178" t="s">
        <v>12</v>
      </c>
      <c r="D14" s="97"/>
    </row>
    <row r="15" spans="1:4" ht="24">
      <c r="A15" s="174" t="s">
        <v>10</v>
      </c>
      <c r="B15" s="97"/>
      <c r="C15" s="178" t="s">
        <v>12</v>
      </c>
      <c r="D15" s="97"/>
    </row>
    <row r="16" spans="1:4" ht="12.75" customHeight="1">
      <c r="A16" s="174" t="s">
        <v>11</v>
      </c>
      <c r="B16" s="178" t="s">
        <v>12</v>
      </c>
      <c r="C16" s="97"/>
      <c r="D16" s="97"/>
    </row>
    <row r="18" spans="1:1" ht="84">
      <c r="A18" s="180" t="s">
        <v>14</v>
      </c>
    </row>
  </sheetData>
  <phoneticPr fontId="29"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9"/>
  <sheetViews>
    <sheetView workbookViewId="0">
      <selection activeCell="D10" sqref="D10"/>
    </sheetView>
  </sheetViews>
  <sheetFormatPr baseColWidth="10" defaultColWidth="8.83203125" defaultRowHeight="12"/>
  <cols>
    <col min="1" max="1" width="11" customWidth="1"/>
    <col min="2" max="2" width="19.6640625" customWidth="1"/>
  </cols>
  <sheetData>
    <row r="2" spans="1:4" ht="24">
      <c r="A2" s="176"/>
      <c r="B2" s="177"/>
      <c r="C2" s="174" t="s">
        <v>127</v>
      </c>
      <c r="D2" s="174" t="s">
        <v>128</v>
      </c>
    </row>
    <row r="3" spans="1:4" ht="38.25" customHeight="1">
      <c r="A3" s="252" t="s">
        <v>63</v>
      </c>
      <c r="B3" s="252"/>
      <c r="C3" s="179">
        <v>0.435</v>
      </c>
      <c r="D3" s="179">
        <v>0.73299999999999998</v>
      </c>
    </row>
    <row r="4" spans="1:4" ht="25.5" customHeight="1">
      <c r="A4" s="252" t="s">
        <v>64</v>
      </c>
      <c r="B4" s="252"/>
      <c r="C4" s="153">
        <v>0.68</v>
      </c>
      <c r="D4" s="153">
        <v>0.90300000000000002</v>
      </c>
    </row>
    <row r="5" spans="1:4" ht="25.5" customHeight="1">
      <c r="A5" s="252" t="s">
        <v>65</v>
      </c>
      <c r="B5" s="252"/>
      <c r="C5" s="153"/>
      <c r="D5" s="153"/>
    </row>
    <row r="6" spans="1:4">
      <c r="A6" s="97"/>
      <c r="B6" s="97" t="s">
        <v>66</v>
      </c>
      <c r="C6" s="153">
        <v>0.45</v>
      </c>
      <c r="D6" s="153">
        <v>0.68799999999999994</v>
      </c>
    </row>
    <row r="7" spans="1:4">
      <c r="A7" s="97"/>
      <c r="B7" s="97" t="s">
        <v>67</v>
      </c>
      <c r="C7" s="153">
        <v>0.19500000000000001</v>
      </c>
      <c r="D7" s="153">
        <v>0.10199999999999999</v>
      </c>
    </row>
    <row r="8" spans="1:4">
      <c r="A8" s="97"/>
      <c r="B8" s="97" t="s">
        <v>68</v>
      </c>
      <c r="C8" s="153">
        <v>0.30599999999999999</v>
      </c>
      <c r="D8" s="153">
        <v>2.9000000000000001E-2</v>
      </c>
    </row>
    <row r="9" spans="1:4">
      <c r="A9" s="97"/>
      <c r="B9" s="97" t="s">
        <v>69</v>
      </c>
      <c r="C9" s="153">
        <v>4.8000000000000001E-2</v>
      </c>
      <c r="D9" s="153">
        <v>0.18</v>
      </c>
    </row>
  </sheetData>
  <mergeCells count="3">
    <mergeCell ref="A3:B3"/>
    <mergeCell ref="A4:B4"/>
    <mergeCell ref="A5:B5"/>
  </mergeCells>
  <phoneticPr fontId="29"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17"/>
  <sheetViews>
    <sheetView workbookViewId="0">
      <selection sqref="A1:C15"/>
    </sheetView>
  </sheetViews>
  <sheetFormatPr baseColWidth="10" defaultColWidth="8.83203125" defaultRowHeight="12"/>
  <cols>
    <col min="1" max="1" width="5.5" customWidth="1"/>
    <col min="2" max="2" width="46.1640625" customWidth="1"/>
    <col min="3" max="3" width="10.5" customWidth="1"/>
    <col min="7" max="7" width="3.5" customWidth="1"/>
  </cols>
  <sheetData>
    <row r="1" spans="1:8">
      <c r="A1" s="182" t="s">
        <v>17</v>
      </c>
      <c r="C1" s="184"/>
    </row>
    <row r="2" spans="1:8">
      <c r="A2" s="142"/>
      <c r="B2" s="144" t="s">
        <v>40</v>
      </c>
      <c r="C2" s="183" t="s">
        <v>18</v>
      </c>
      <c r="E2" t="s">
        <v>41</v>
      </c>
    </row>
    <row r="3" spans="1:8" ht="24">
      <c r="A3" s="256" t="s">
        <v>42</v>
      </c>
      <c r="B3" s="190" t="s">
        <v>29</v>
      </c>
      <c r="C3" s="175" t="s">
        <v>43</v>
      </c>
      <c r="E3" s="175" t="s">
        <v>43</v>
      </c>
    </row>
    <row r="4" spans="1:8" ht="24">
      <c r="A4" s="257"/>
      <c r="B4" s="190" t="s">
        <v>23</v>
      </c>
      <c r="C4" s="201" t="s">
        <v>27</v>
      </c>
      <c r="E4" s="152" t="s">
        <v>44</v>
      </c>
    </row>
    <row r="5" spans="1:8" ht="25.5" customHeight="1">
      <c r="A5" s="258" t="s">
        <v>46</v>
      </c>
      <c r="B5" s="151" t="s">
        <v>47</v>
      </c>
      <c r="C5" s="175" t="s">
        <v>43</v>
      </c>
      <c r="E5" s="173" t="s">
        <v>45</v>
      </c>
    </row>
    <row r="6" spans="1:8" ht="24">
      <c r="A6" s="259"/>
      <c r="B6" s="200" t="s">
        <v>24</v>
      </c>
      <c r="C6" s="202" t="s">
        <v>27</v>
      </c>
    </row>
    <row r="7" spans="1:8" ht="25.5" customHeight="1">
      <c r="A7" s="256" t="s">
        <v>48</v>
      </c>
      <c r="B7" s="174" t="s">
        <v>49</v>
      </c>
      <c r="C7" s="173" t="s">
        <v>45</v>
      </c>
    </row>
    <row r="8" spans="1:8" ht="24">
      <c r="A8" s="257"/>
      <c r="B8" s="190" t="s">
        <v>25</v>
      </c>
      <c r="C8" s="202" t="s">
        <v>27</v>
      </c>
    </row>
    <row r="9" spans="1:8" ht="25.5" customHeight="1">
      <c r="A9" s="258" t="s">
        <v>50</v>
      </c>
      <c r="B9" s="151" t="s">
        <v>51</v>
      </c>
      <c r="C9" s="175" t="s">
        <v>43</v>
      </c>
    </row>
    <row r="10" spans="1:8" ht="24">
      <c r="A10" s="259"/>
      <c r="B10" s="200" t="s">
        <v>26</v>
      </c>
      <c r="C10" s="202" t="s">
        <v>28</v>
      </c>
    </row>
    <row r="11" spans="1:8" ht="38.25" customHeight="1">
      <c r="A11" s="256" t="s">
        <v>52</v>
      </c>
      <c r="B11" s="174" t="s">
        <v>53</v>
      </c>
      <c r="C11" s="152" t="s">
        <v>44</v>
      </c>
    </row>
    <row r="12" spans="1:8" ht="36">
      <c r="A12" s="257"/>
      <c r="B12" s="174" t="s">
        <v>54</v>
      </c>
      <c r="C12" s="152" t="s">
        <v>44</v>
      </c>
    </row>
    <row r="13" spans="1:8" ht="24">
      <c r="A13" s="253" t="s">
        <v>55</v>
      </c>
      <c r="B13" s="151" t="s">
        <v>56</v>
      </c>
      <c r="C13" s="152" t="s">
        <v>44</v>
      </c>
    </row>
    <row r="14" spans="1:8">
      <c r="A14" s="254"/>
      <c r="B14" s="151" t="s">
        <v>57</v>
      </c>
      <c r="C14" s="175" t="s">
        <v>58</v>
      </c>
      <c r="E14" s="175" t="s">
        <v>58</v>
      </c>
      <c r="F14" s="152" t="s">
        <v>59</v>
      </c>
      <c r="H14" t="s">
        <v>60</v>
      </c>
    </row>
    <row r="15" spans="1:8" ht="24">
      <c r="A15" s="255"/>
      <c r="B15" s="151" t="s">
        <v>61</v>
      </c>
      <c r="C15" s="173" t="s">
        <v>45</v>
      </c>
    </row>
    <row r="17" spans="1:1">
      <c r="A17" t="s">
        <v>62</v>
      </c>
    </row>
  </sheetData>
  <mergeCells count="6">
    <mergeCell ref="A13:A15"/>
    <mergeCell ref="A3:A4"/>
    <mergeCell ref="A5:A6"/>
    <mergeCell ref="A7:A8"/>
    <mergeCell ref="A9:A10"/>
    <mergeCell ref="A11:A12"/>
  </mergeCells>
  <phoneticPr fontId="29"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O95"/>
  <sheetViews>
    <sheetView workbookViewId="0">
      <pane ySplit="3" topLeftCell="A4" activePane="bottomLeft" state="frozen"/>
      <selection pane="bottomLeft" sqref="A1:IV65536"/>
    </sheetView>
  </sheetViews>
  <sheetFormatPr baseColWidth="10" defaultColWidth="8.83203125" defaultRowHeight="12"/>
  <cols>
    <col min="2" max="2" width="41.5" customWidth="1"/>
    <col min="3" max="3" width="10.6640625" customWidth="1"/>
    <col min="4" max="16" width="10.6640625" style="42" customWidth="1"/>
    <col min="17" max="17" width="10.6640625" style="69" customWidth="1"/>
    <col min="18" max="19" width="10.6640625" style="70" customWidth="1"/>
    <col min="20" max="24" width="10.6640625" style="42" customWidth="1"/>
    <col min="25" max="27" width="14.5" style="42" customWidth="1"/>
    <col min="28" max="28" width="12" style="42" customWidth="1"/>
    <col min="29" max="29" width="14.5" style="42" customWidth="1"/>
    <col min="30" max="30" width="22.1640625" style="42" customWidth="1"/>
    <col min="31" max="32" width="14.5" style="42" customWidth="1"/>
    <col min="33" max="35" width="19.83203125" style="42" customWidth="1"/>
    <col min="36" max="36" width="10.1640625" style="42" customWidth="1"/>
    <col min="37" max="39" width="14.5" style="42" customWidth="1"/>
    <col min="40" max="40" width="5.33203125" style="42" customWidth="1"/>
    <col min="41" max="41" width="14.5" style="42" customWidth="1"/>
  </cols>
  <sheetData>
    <row r="1" spans="1:41">
      <c r="B1" t="s">
        <v>2207</v>
      </c>
      <c r="D1" s="51"/>
      <c r="E1" s="51"/>
      <c r="F1" s="51"/>
      <c r="G1" s="51"/>
      <c r="H1" s="51"/>
      <c r="I1" s="51"/>
      <c r="J1" s="51"/>
      <c r="K1" s="51"/>
      <c r="L1" s="51"/>
      <c r="M1" s="42" t="s">
        <v>2249</v>
      </c>
    </row>
    <row r="2" spans="1:41">
      <c r="B2" t="s">
        <v>2208</v>
      </c>
      <c r="D2" s="42" t="s">
        <v>299</v>
      </c>
      <c r="E2" s="42" t="s">
        <v>362</v>
      </c>
      <c r="F2" s="42" t="s">
        <v>297</v>
      </c>
      <c r="G2" s="42" t="s">
        <v>298</v>
      </c>
      <c r="H2" s="42" t="s">
        <v>298</v>
      </c>
      <c r="I2" s="42" t="s">
        <v>324</v>
      </c>
      <c r="J2" s="42" t="s">
        <v>298</v>
      </c>
      <c r="K2" s="42" t="s">
        <v>300</v>
      </c>
      <c r="L2" s="42" t="s">
        <v>300</v>
      </c>
      <c r="M2" s="42" t="s">
        <v>299</v>
      </c>
      <c r="N2" s="42" t="s">
        <v>298</v>
      </c>
      <c r="O2" s="42" t="s">
        <v>298</v>
      </c>
      <c r="P2" s="42" t="s">
        <v>298</v>
      </c>
      <c r="Q2" s="69" t="s">
        <v>324</v>
      </c>
      <c r="R2" s="70" t="s">
        <v>297</v>
      </c>
      <c r="S2" s="70" t="s">
        <v>299</v>
      </c>
      <c r="T2" s="51" t="s">
        <v>299</v>
      </c>
      <c r="U2" s="42" t="s">
        <v>300</v>
      </c>
      <c r="V2" s="42" t="s">
        <v>300</v>
      </c>
      <c r="W2" s="42" t="s">
        <v>298</v>
      </c>
      <c r="X2" s="42" t="s">
        <v>300</v>
      </c>
      <c r="Y2" s="43" t="s">
        <v>360</v>
      </c>
      <c r="Z2" s="43" t="s">
        <v>361</v>
      </c>
      <c r="AA2" s="43" t="s">
        <v>362</v>
      </c>
      <c r="AB2" s="42" t="s">
        <v>298</v>
      </c>
      <c r="AC2" s="42" t="s">
        <v>300</v>
      </c>
      <c r="AD2" s="42" t="s">
        <v>300</v>
      </c>
      <c r="AE2" s="42" t="s">
        <v>299</v>
      </c>
      <c r="AF2" s="42" t="s">
        <v>300</v>
      </c>
      <c r="AG2" s="42" t="s">
        <v>300</v>
      </c>
      <c r="AH2" s="42" t="s">
        <v>299</v>
      </c>
      <c r="AI2" s="42" t="s">
        <v>297</v>
      </c>
      <c r="AJ2" s="42" t="s">
        <v>325</v>
      </c>
      <c r="AK2" s="42" t="s">
        <v>300</v>
      </c>
      <c r="AL2" s="42" t="s">
        <v>362</v>
      </c>
      <c r="AM2" s="42" t="s">
        <v>299</v>
      </c>
    </row>
    <row r="3" spans="1:41">
      <c r="A3" s="1"/>
      <c r="C3" t="s">
        <v>1763</v>
      </c>
      <c r="D3" s="42" t="s">
        <v>2210</v>
      </c>
      <c r="E3" s="42" t="s">
        <v>2211</v>
      </c>
      <c r="F3" s="42" t="s">
        <v>2228</v>
      </c>
      <c r="G3" s="42" t="s">
        <v>2212</v>
      </c>
      <c r="H3" s="42" t="s">
        <v>2214</v>
      </c>
      <c r="I3" s="42" t="s">
        <v>2215</v>
      </c>
      <c r="J3" s="42" t="s">
        <v>2216</v>
      </c>
      <c r="K3" s="42" t="s">
        <v>2218</v>
      </c>
      <c r="L3" s="42" t="s">
        <v>2219</v>
      </c>
      <c r="M3" s="42" t="s">
        <v>2220</v>
      </c>
      <c r="N3" s="42" t="s">
        <v>2221</v>
      </c>
      <c r="O3" s="42" t="s">
        <v>2222</v>
      </c>
      <c r="P3" s="42" t="s">
        <v>2223</v>
      </c>
      <c r="Q3" s="69" t="s">
        <v>1741</v>
      </c>
      <c r="R3" s="70" t="s">
        <v>503</v>
      </c>
      <c r="S3" s="70" t="s">
        <v>504</v>
      </c>
      <c r="T3" s="42" t="s">
        <v>2224</v>
      </c>
      <c r="U3" s="42" t="s">
        <v>2225</v>
      </c>
      <c r="V3" s="42" t="s">
        <v>2229</v>
      </c>
      <c r="W3" s="42" t="s">
        <v>2234</v>
      </c>
      <c r="X3" s="42" t="s">
        <v>2236</v>
      </c>
      <c r="Y3" s="42" t="s">
        <v>2236</v>
      </c>
      <c r="Z3" s="42" t="s">
        <v>2236</v>
      </c>
      <c r="AA3" s="42" t="s">
        <v>2236</v>
      </c>
      <c r="AB3" s="42" t="s">
        <v>2237</v>
      </c>
      <c r="AC3" s="42" t="s">
        <v>2241</v>
      </c>
      <c r="AD3" s="42" t="s">
        <v>2242</v>
      </c>
      <c r="AE3" s="42" t="s">
        <v>2250</v>
      </c>
      <c r="AF3" s="42" t="s">
        <v>2261</v>
      </c>
      <c r="AG3" s="42" t="s">
        <v>2161</v>
      </c>
      <c r="AH3" s="42" t="s">
        <v>2161</v>
      </c>
      <c r="AI3" s="42" t="s">
        <v>2161</v>
      </c>
      <c r="AJ3" s="42" t="s">
        <v>2180</v>
      </c>
      <c r="AK3" s="42" t="s">
        <v>2182</v>
      </c>
      <c r="AL3" s="42" t="s">
        <v>2182</v>
      </c>
      <c r="AM3" s="42" t="s">
        <v>2182</v>
      </c>
      <c r="AO3" s="43" t="s">
        <v>1737</v>
      </c>
    </row>
    <row r="4" spans="1:41">
      <c r="A4" s="50"/>
      <c r="B4" t="s">
        <v>2209</v>
      </c>
      <c r="C4" t="s">
        <v>1764</v>
      </c>
      <c r="D4" s="42">
        <v>82544</v>
      </c>
      <c r="E4" s="42">
        <v>617358</v>
      </c>
      <c r="F4" s="42">
        <v>44352</v>
      </c>
      <c r="G4" s="42">
        <v>809841</v>
      </c>
      <c r="Q4" s="69">
        <v>6318578</v>
      </c>
      <c r="R4" s="70">
        <v>2964341.8278468437</v>
      </c>
      <c r="S4" s="70">
        <v>3354236.1721531567</v>
      </c>
      <c r="AO4" s="36">
        <f t="shared" ref="AO4:AO35" si="0">SUM(D4:AN4)</f>
        <v>14191251</v>
      </c>
    </row>
    <row r="5" spans="1:41">
      <c r="A5" s="50"/>
      <c r="B5" t="s">
        <v>2213</v>
      </c>
      <c r="C5" t="s">
        <v>1764</v>
      </c>
      <c r="D5" s="51"/>
      <c r="E5" s="42">
        <v>106924</v>
      </c>
      <c r="H5" s="42">
        <v>99818</v>
      </c>
      <c r="I5" s="42">
        <v>462000</v>
      </c>
      <c r="J5" s="42">
        <v>18475</v>
      </c>
      <c r="Q5" s="69">
        <v>2376282</v>
      </c>
      <c r="R5" s="70">
        <v>1114825.5394425064</v>
      </c>
      <c r="S5" s="70">
        <v>1261456.4605574936</v>
      </c>
      <c r="AO5" s="36">
        <f t="shared" si="0"/>
        <v>5439781</v>
      </c>
    </row>
    <row r="6" spans="1:41">
      <c r="A6" s="50"/>
      <c r="B6" t="s">
        <v>2217</v>
      </c>
      <c r="C6" t="s">
        <v>1764</v>
      </c>
      <c r="H6" s="42">
        <v>1103043</v>
      </c>
      <c r="J6" s="42">
        <v>5988</v>
      </c>
      <c r="L6" s="42">
        <v>515807</v>
      </c>
      <c r="M6" s="42">
        <v>350000</v>
      </c>
      <c r="N6" s="42">
        <v>1250</v>
      </c>
      <c r="O6" s="42">
        <v>48533</v>
      </c>
      <c r="P6" s="42">
        <v>-66197</v>
      </c>
      <c r="Q6" s="69">
        <v>5702690</v>
      </c>
      <c r="R6" s="70">
        <v>2675399.8286076263</v>
      </c>
      <c r="S6" s="70">
        <v>3027290.1713923742</v>
      </c>
      <c r="AO6" s="36">
        <f t="shared" si="0"/>
        <v>13363804</v>
      </c>
    </row>
    <row r="7" spans="1:41">
      <c r="A7" s="50"/>
      <c r="B7" t="s">
        <v>2226</v>
      </c>
      <c r="C7" t="s">
        <v>1765</v>
      </c>
      <c r="H7" s="42">
        <v>5200</v>
      </c>
      <c r="J7" s="42">
        <v>13758</v>
      </c>
      <c r="O7" s="42">
        <v>68</v>
      </c>
      <c r="Q7" s="69">
        <v>2181466</v>
      </c>
      <c r="R7" s="70">
        <v>372538.10541594255</v>
      </c>
      <c r="S7" s="70">
        <v>1808927.8945840576</v>
      </c>
      <c r="T7" s="42">
        <v>105425</v>
      </c>
      <c r="U7" s="42">
        <v>174162</v>
      </c>
      <c r="AO7" s="36">
        <f t="shared" si="0"/>
        <v>4661545</v>
      </c>
    </row>
    <row r="8" spans="1:41">
      <c r="A8" s="50"/>
      <c r="B8" t="s">
        <v>2227</v>
      </c>
      <c r="C8" t="s">
        <v>1765</v>
      </c>
      <c r="Q8" s="69">
        <v>3285894</v>
      </c>
      <c r="R8" s="71">
        <v>546361.16150789603</v>
      </c>
      <c r="S8" s="71">
        <v>2739532.8384921039</v>
      </c>
      <c r="V8" s="42">
        <v>310958</v>
      </c>
      <c r="AO8" s="36">
        <f t="shared" si="0"/>
        <v>6882746</v>
      </c>
    </row>
    <row r="9" spans="1:41">
      <c r="A9" s="50"/>
      <c r="B9" t="s">
        <v>2230</v>
      </c>
      <c r="C9" t="s">
        <v>1765</v>
      </c>
      <c r="D9" s="42">
        <v>166471</v>
      </c>
      <c r="E9" s="42">
        <v>620478</v>
      </c>
      <c r="F9" s="42">
        <v>19292</v>
      </c>
      <c r="Q9" s="69">
        <v>4445602</v>
      </c>
      <c r="R9" s="70">
        <v>779070.29177439876</v>
      </c>
      <c r="S9" s="70">
        <v>3666531.7082256009</v>
      </c>
      <c r="AO9" s="36">
        <f t="shared" si="0"/>
        <v>9697445</v>
      </c>
    </row>
    <row r="10" spans="1:41">
      <c r="A10" s="50"/>
      <c r="B10" t="s">
        <v>2231</v>
      </c>
      <c r="C10" t="s">
        <v>2117</v>
      </c>
      <c r="D10" s="42">
        <v>1985</v>
      </c>
      <c r="E10" s="42">
        <v>169152</v>
      </c>
      <c r="J10" s="42">
        <v>40088</v>
      </c>
      <c r="Q10" s="69">
        <v>1318525</v>
      </c>
      <c r="R10" s="70">
        <v>763500.38161207235</v>
      </c>
      <c r="S10" s="70">
        <v>555024.61838792765</v>
      </c>
      <c r="T10" s="42">
        <v>131675</v>
      </c>
      <c r="U10" s="42">
        <v>157841</v>
      </c>
      <c r="V10" s="42">
        <v>87500</v>
      </c>
      <c r="AO10" s="36">
        <f t="shared" si="0"/>
        <v>3225291</v>
      </c>
    </row>
    <row r="11" spans="1:41">
      <c r="A11" s="50"/>
      <c r="B11" t="s">
        <v>2232</v>
      </c>
      <c r="C11" t="s">
        <v>1764</v>
      </c>
      <c r="H11" s="42">
        <v>4000</v>
      </c>
      <c r="J11" s="42">
        <v>17517</v>
      </c>
      <c r="L11" s="42">
        <v>398113</v>
      </c>
      <c r="Q11" s="69">
        <v>2532177</v>
      </c>
      <c r="R11" s="70">
        <v>1187963.2089074056</v>
      </c>
      <c r="S11" s="70">
        <v>1344213.7910925946</v>
      </c>
      <c r="AO11" s="36">
        <f t="shared" si="0"/>
        <v>5483984</v>
      </c>
    </row>
    <row r="12" spans="1:41">
      <c r="A12" s="50"/>
      <c r="B12" t="s">
        <v>2233</v>
      </c>
      <c r="C12" t="s">
        <v>1764</v>
      </c>
      <c r="H12" s="42">
        <v>26200</v>
      </c>
      <c r="J12" s="42">
        <v>40363</v>
      </c>
      <c r="L12" s="42">
        <v>510760</v>
      </c>
      <c r="Q12" s="69">
        <v>4291802</v>
      </c>
      <c r="R12" s="70">
        <v>2013485.9750780538</v>
      </c>
      <c r="S12" s="70">
        <v>2278316.0249219462</v>
      </c>
      <c r="W12" s="42">
        <v>116972</v>
      </c>
      <c r="AO12" s="36">
        <f t="shared" si="0"/>
        <v>9277899</v>
      </c>
    </row>
    <row r="13" spans="1:41" ht="13">
      <c r="A13" s="50"/>
      <c r="B13" t="s">
        <v>2235</v>
      </c>
      <c r="C13" t="s">
        <v>1764</v>
      </c>
      <c r="H13" s="42">
        <v>295000</v>
      </c>
      <c r="J13" s="42">
        <v>650</v>
      </c>
      <c r="O13" s="42">
        <v>967</v>
      </c>
      <c r="Q13" s="69">
        <v>846982</v>
      </c>
      <c r="R13" s="70">
        <v>397359.05294409208</v>
      </c>
      <c r="S13" s="70">
        <v>449622.94705590798</v>
      </c>
      <c r="X13" s="52">
        <v>605579</v>
      </c>
      <c r="Y13" s="52"/>
      <c r="Z13" s="52"/>
      <c r="AA13" s="52"/>
      <c r="AB13" s="42">
        <v>5038</v>
      </c>
      <c r="AD13" s="74" t="s">
        <v>310</v>
      </c>
      <c r="AE13" s="89" t="s">
        <v>522</v>
      </c>
      <c r="AF13" s="43" t="s">
        <v>323</v>
      </c>
      <c r="AO13" s="36">
        <f t="shared" si="0"/>
        <v>2601198</v>
      </c>
    </row>
    <row r="14" spans="1:41">
      <c r="A14" s="50"/>
      <c r="B14" t="s">
        <v>2238</v>
      </c>
      <c r="C14" t="s">
        <v>1765</v>
      </c>
      <c r="D14" s="42">
        <v>618210</v>
      </c>
      <c r="E14" s="42">
        <v>405429</v>
      </c>
      <c r="G14" s="42">
        <v>504815</v>
      </c>
      <c r="H14" s="42">
        <v>2133</v>
      </c>
      <c r="J14" s="42">
        <v>135661</v>
      </c>
      <c r="Q14" s="69">
        <v>4837511</v>
      </c>
      <c r="R14" s="70">
        <v>784501.25211613881</v>
      </c>
      <c r="S14" s="70">
        <v>4053009.747883861</v>
      </c>
      <c r="T14" s="42">
        <v>34996</v>
      </c>
      <c r="AO14" s="36">
        <f t="shared" si="0"/>
        <v>11376266</v>
      </c>
    </row>
    <row r="15" spans="1:41">
      <c r="A15" s="50"/>
      <c r="B15" t="s">
        <v>2239</v>
      </c>
      <c r="C15" t="s">
        <v>1765</v>
      </c>
      <c r="H15" s="42">
        <v>67084</v>
      </c>
      <c r="J15" s="42">
        <v>7572</v>
      </c>
      <c r="P15" s="42">
        <v>13525</v>
      </c>
      <c r="Q15" s="69">
        <v>2793512</v>
      </c>
      <c r="R15" s="70">
        <v>482017.54168966989</v>
      </c>
      <c r="S15" s="70">
        <v>2311494.4583103303</v>
      </c>
      <c r="T15" s="42">
        <v>450108</v>
      </c>
      <c r="U15" s="42">
        <v>273172</v>
      </c>
      <c r="AO15" s="36">
        <f t="shared" si="0"/>
        <v>6398485</v>
      </c>
    </row>
    <row r="16" spans="1:41">
      <c r="A16" s="50"/>
      <c r="B16" t="s">
        <v>2240</v>
      </c>
      <c r="C16" t="s">
        <v>1764</v>
      </c>
      <c r="H16" s="42">
        <v>185000</v>
      </c>
      <c r="J16" s="42">
        <v>17253</v>
      </c>
      <c r="L16" s="42">
        <v>482069</v>
      </c>
      <c r="Q16" s="69">
        <v>1431586</v>
      </c>
      <c r="R16" s="70">
        <v>671624.25785674423</v>
      </c>
      <c r="S16" s="70">
        <v>759961.74214325577</v>
      </c>
      <c r="AO16" s="36">
        <f t="shared" si="0"/>
        <v>3547494</v>
      </c>
    </row>
    <row r="17" spans="1:41">
      <c r="A17" s="50"/>
      <c r="B17" t="s">
        <v>1738</v>
      </c>
      <c r="C17" t="s">
        <v>1764</v>
      </c>
      <c r="E17" s="42">
        <v>279835</v>
      </c>
      <c r="J17" s="42">
        <v>3961</v>
      </c>
      <c r="Q17" s="69">
        <v>5291724</v>
      </c>
      <c r="R17" s="70">
        <v>2482596.3681418528</v>
      </c>
      <c r="S17" s="70">
        <v>2809127.6318581477</v>
      </c>
      <c r="T17" s="42">
        <v>415011</v>
      </c>
      <c r="AC17" s="42">
        <v>198575</v>
      </c>
      <c r="AD17" s="42">
        <v>9115</v>
      </c>
      <c r="AO17" s="36">
        <f t="shared" si="0"/>
        <v>11489945</v>
      </c>
    </row>
    <row r="18" spans="1:41">
      <c r="A18" s="50"/>
      <c r="B18" t="s">
        <v>2243</v>
      </c>
      <c r="C18" t="s">
        <v>1766</v>
      </c>
      <c r="L18" s="42">
        <v>410647</v>
      </c>
      <c r="O18" s="42">
        <v>898</v>
      </c>
      <c r="Q18" s="69">
        <v>3796932</v>
      </c>
      <c r="R18" s="70">
        <v>2148294.4236212238</v>
      </c>
      <c r="S18" s="70">
        <v>1648637.5763787758</v>
      </c>
      <c r="AO18" s="36">
        <f t="shared" si="0"/>
        <v>8005409</v>
      </c>
    </row>
    <row r="19" spans="1:41">
      <c r="A19" s="50"/>
      <c r="B19" t="s">
        <v>2244</v>
      </c>
      <c r="C19" t="s">
        <v>1766</v>
      </c>
      <c r="D19" s="42">
        <v>29466</v>
      </c>
      <c r="E19" s="42">
        <v>226444</v>
      </c>
      <c r="H19" s="42">
        <v>5340</v>
      </c>
      <c r="J19" s="42">
        <v>37672</v>
      </c>
      <c r="O19" s="42">
        <v>58124</v>
      </c>
      <c r="Q19" s="69">
        <v>7067201</v>
      </c>
      <c r="R19" s="70">
        <v>2839171.6633101907</v>
      </c>
      <c r="S19" s="70">
        <v>4228029.3366898084</v>
      </c>
      <c r="AB19" s="42">
        <v>176450</v>
      </c>
      <c r="AO19" s="36">
        <f t="shared" si="0"/>
        <v>14667898</v>
      </c>
    </row>
    <row r="20" spans="1:41">
      <c r="A20" s="50"/>
      <c r="B20" t="s">
        <v>2245</v>
      </c>
      <c r="C20" t="s">
        <v>1764</v>
      </c>
      <c r="H20" s="42">
        <v>596250</v>
      </c>
      <c r="I20" s="42">
        <v>397664</v>
      </c>
      <c r="L20" s="42">
        <v>290713</v>
      </c>
      <c r="O20" s="42">
        <v>2930</v>
      </c>
      <c r="Q20" s="69">
        <v>1734688</v>
      </c>
      <c r="R20" s="70">
        <v>813823.64776758081</v>
      </c>
      <c r="S20" s="70">
        <v>920864.35223241919</v>
      </c>
      <c r="AO20" s="36">
        <f t="shared" si="0"/>
        <v>4756933</v>
      </c>
    </row>
    <row r="21" spans="1:41">
      <c r="A21" s="50"/>
      <c r="B21" t="s">
        <v>2246</v>
      </c>
      <c r="C21" t="s">
        <v>1764</v>
      </c>
      <c r="D21" s="42">
        <v>19246</v>
      </c>
      <c r="E21" s="42">
        <v>389928</v>
      </c>
      <c r="H21" s="42">
        <v>34012</v>
      </c>
      <c r="J21" s="42">
        <v>4891</v>
      </c>
      <c r="O21" s="42">
        <v>9139</v>
      </c>
      <c r="Q21" s="69">
        <v>2467850</v>
      </c>
      <c r="R21" s="70">
        <v>1157784.3907049708</v>
      </c>
      <c r="S21" s="70">
        <v>1310065.6092950292</v>
      </c>
      <c r="T21" s="42">
        <v>60209</v>
      </c>
      <c r="AB21" s="42">
        <v>78604</v>
      </c>
      <c r="AO21" s="36">
        <f t="shared" si="0"/>
        <v>5531729</v>
      </c>
    </row>
    <row r="22" spans="1:41">
      <c r="A22" s="50"/>
      <c r="B22" t="s">
        <v>2248</v>
      </c>
      <c r="C22" t="s">
        <v>1764</v>
      </c>
      <c r="D22" s="42">
        <v>211167</v>
      </c>
      <c r="E22" s="42">
        <v>99273</v>
      </c>
      <c r="O22" s="42">
        <v>17574</v>
      </c>
      <c r="Q22" s="69">
        <v>2068463</v>
      </c>
      <c r="R22" s="70">
        <v>970413.18319621379</v>
      </c>
      <c r="S22" s="70">
        <v>1098049.8168037864</v>
      </c>
      <c r="T22" s="42">
        <v>7908</v>
      </c>
      <c r="X22" s="52">
        <v>29311</v>
      </c>
      <c r="Y22" s="52"/>
      <c r="Z22" s="52"/>
      <c r="AA22" s="52"/>
      <c r="AB22" s="42">
        <v>106761</v>
      </c>
      <c r="AC22" s="75" t="s">
        <v>356</v>
      </c>
      <c r="AD22" s="75" t="s">
        <v>523</v>
      </c>
      <c r="AE22" s="42">
        <v>250000</v>
      </c>
      <c r="AO22" s="36">
        <f t="shared" si="0"/>
        <v>4858920</v>
      </c>
    </row>
    <row r="23" spans="1:41">
      <c r="A23" s="50"/>
      <c r="B23" t="s">
        <v>2251</v>
      </c>
      <c r="C23" t="s">
        <v>1764</v>
      </c>
      <c r="H23" s="42">
        <v>465030</v>
      </c>
      <c r="I23" s="42">
        <v>70895</v>
      </c>
      <c r="J23" s="42">
        <v>10993</v>
      </c>
      <c r="Q23" s="69">
        <v>1307094</v>
      </c>
      <c r="R23" s="70">
        <v>613219.21120980743</v>
      </c>
      <c r="S23" s="70">
        <v>693874.78879019269</v>
      </c>
      <c r="X23" s="69">
        <v>371495</v>
      </c>
      <c r="Y23" s="53">
        <v>136920</v>
      </c>
      <c r="Z23" s="53">
        <v>195056</v>
      </c>
      <c r="AA23" s="53">
        <v>39519</v>
      </c>
      <c r="AC23" s="74" t="s">
        <v>359</v>
      </c>
      <c r="AD23" s="75" t="s">
        <v>357</v>
      </c>
      <c r="AE23" s="76" t="s">
        <v>358</v>
      </c>
      <c r="AF23" s="74"/>
      <c r="AG23" s="74"/>
      <c r="AH23" s="74"/>
      <c r="AI23" s="74"/>
      <c r="AO23" s="36">
        <f t="shared" si="0"/>
        <v>3904096</v>
      </c>
    </row>
    <row r="24" spans="1:41">
      <c r="A24" s="50"/>
      <c r="B24" t="s">
        <v>2252</v>
      </c>
      <c r="C24" t="s">
        <v>1765</v>
      </c>
      <c r="D24" s="42">
        <v>350000</v>
      </c>
      <c r="E24" s="42">
        <v>728747</v>
      </c>
      <c r="J24" s="42">
        <v>36357</v>
      </c>
      <c r="O24" s="42">
        <v>90737</v>
      </c>
      <c r="Q24" s="69">
        <v>5964594</v>
      </c>
      <c r="R24" s="70">
        <v>1056656.4909908553</v>
      </c>
      <c r="S24" s="70">
        <v>4907937.5090091443</v>
      </c>
      <c r="T24" s="42">
        <v>316280</v>
      </c>
      <c r="AO24" s="36">
        <f t="shared" si="0"/>
        <v>13451309</v>
      </c>
    </row>
    <row r="25" spans="1:41">
      <c r="A25" s="50"/>
      <c r="B25" s="5" t="s">
        <v>2253</v>
      </c>
      <c r="C25" s="5" t="s">
        <v>1764</v>
      </c>
      <c r="D25" s="36"/>
      <c r="E25" s="36"/>
      <c r="F25" s="36"/>
      <c r="H25" s="42">
        <v>66875</v>
      </c>
      <c r="J25" s="42">
        <v>124624</v>
      </c>
      <c r="L25" s="42">
        <v>487524</v>
      </c>
      <c r="O25" s="42">
        <v>44994</v>
      </c>
      <c r="Q25" s="69">
        <v>7005755</v>
      </c>
      <c r="R25" s="70">
        <v>3286728.8466087091</v>
      </c>
      <c r="S25" s="70">
        <v>3719026.1533912914</v>
      </c>
      <c r="AB25" s="42">
        <v>96854</v>
      </c>
      <c r="AO25" s="36">
        <f t="shared" si="0"/>
        <v>14832381</v>
      </c>
    </row>
    <row r="26" spans="1:41">
      <c r="A26" s="50"/>
      <c r="B26" t="s">
        <v>2254</v>
      </c>
      <c r="C26" t="s">
        <v>1764</v>
      </c>
      <c r="D26" s="42">
        <v>19507</v>
      </c>
      <c r="E26" s="42">
        <v>116508</v>
      </c>
      <c r="H26" s="42">
        <v>327860</v>
      </c>
      <c r="J26" s="42">
        <v>23332</v>
      </c>
      <c r="Q26" s="69">
        <v>2546176</v>
      </c>
      <c r="R26" s="70">
        <v>1194530.7975718216</v>
      </c>
      <c r="S26" s="70">
        <v>1351645.2024281786</v>
      </c>
      <c r="T26" s="42">
        <v>51066</v>
      </c>
      <c r="AB26" s="42">
        <v>126056</v>
      </c>
      <c r="AO26" s="36">
        <f t="shared" si="0"/>
        <v>5756681</v>
      </c>
    </row>
    <row r="27" spans="1:41">
      <c r="A27" s="50"/>
      <c r="B27" t="s">
        <v>2255</v>
      </c>
      <c r="C27" t="s">
        <v>1765</v>
      </c>
      <c r="E27" s="42">
        <v>247174</v>
      </c>
      <c r="J27" s="42">
        <v>9750</v>
      </c>
      <c r="Q27" s="69">
        <v>3859552</v>
      </c>
      <c r="R27" s="70">
        <v>726012.0102830471</v>
      </c>
      <c r="S27" s="70">
        <v>3133539.9897169522</v>
      </c>
      <c r="T27" s="42">
        <v>497134</v>
      </c>
      <c r="U27" s="42">
        <v>6658</v>
      </c>
      <c r="AB27" s="42">
        <v>131124</v>
      </c>
      <c r="AO27" s="36">
        <f t="shared" si="0"/>
        <v>8610944</v>
      </c>
    </row>
    <row r="28" spans="1:41">
      <c r="A28" s="50"/>
      <c r="B28" t="s">
        <v>2256</v>
      </c>
      <c r="C28" t="s">
        <v>1765</v>
      </c>
      <c r="H28" s="42">
        <v>1346</v>
      </c>
      <c r="J28" s="42">
        <v>2142</v>
      </c>
      <c r="O28" s="42">
        <v>7402</v>
      </c>
      <c r="Q28" s="69">
        <v>985491</v>
      </c>
      <c r="R28" s="70">
        <v>159817.50190318652</v>
      </c>
      <c r="S28" s="70">
        <v>825673.49809681345</v>
      </c>
      <c r="T28" s="42">
        <v>48646</v>
      </c>
      <c r="U28" s="42">
        <v>334151</v>
      </c>
      <c r="AO28" s="36">
        <f t="shared" si="0"/>
        <v>2364669</v>
      </c>
    </row>
    <row r="29" spans="1:41">
      <c r="A29" s="50"/>
      <c r="B29" t="s">
        <v>2257</v>
      </c>
      <c r="C29" t="s">
        <v>1764</v>
      </c>
      <c r="H29" s="36">
        <v>2546857</v>
      </c>
      <c r="I29" s="36">
        <v>3570</v>
      </c>
      <c r="J29" s="36">
        <v>114929</v>
      </c>
      <c r="K29" s="36"/>
      <c r="L29" s="36">
        <v>202325</v>
      </c>
      <c r="O29" s="53">
        <v>116224</v>
      </c>
      <c r="P29" s="53">
        <v>-135463</v>
      </c>
      <c r="Q29" s="69">
        <v>2688070</v>
      </c>
      <c r="R29" s="70">
        <v>1261099.9400783316</v>
      </c>
      <c r="S29" s="70">
        <v>1426970.0599216684</v>
      </c>
      <c r="AO29" s="36">
        <f t="shared" si="0"/>
        <v>8224582</v>
      </c>
    </row>
    <row r="30" spans="1:41">
      <c r="A30" s="50"/>
      <c r="B30" t="s">
        <v>2258</v>
      </c>
      <c r="C30" t="s">
        <v>1764</v>
      </c>
      <c r="H30" s="42">
        <v>221632</v>
      </c>
      <c r="I30" s="42">
        <v>41683</v>
      </c>
      <c r="J30" s="42">
        <v>38696</v>
      </c>
      <c r="L30" s="42">
        <v>339570</v>
      </c>
      <c r="O30" s="42">
        <v>7242</v>
      </c>
      <c r="Q30" s="69">
        <v>1473829</v>
      </c>
      <c r="R30" s="70">
        <v>691442.43400867819</v>
      </c>
      <c r="S30" s="70">
        <v>782386.56599132193</v>
      </c>
      <c r="AO30" s="36">
        <f t="shared" si="0"/>
        <v>3596481.0000000005</v>
      </c>
    </row>
    <row r="31" spans="1:41">
      <c r="A31" s="50"/>
      <c r="B31" t="s">
        <v>2259</v>
      </c>
      <c r="C31" t="s">
        <v>1764</v>
      </c>
      <c r="H31" s="42">
        <v>220100</v>
      </c>
      <c r="I31" s="42">
        <v>40197</v>
      </c>
      <c r="J31" s="42">
        <v>44913</v>
      </c>
      <c r="L31" s="42">
        <v>302450</v>
      </c>
      <c r="O31" s="42">
        <v>15088</v>
      </c>
      <c r="Q31" s="69">
        <v>1687271</v>
      </c>
      <c r="R31" s="70">
        <v>791578.10510734725</v>
      </c>
      <c r="S31" s="70">
        <v>895692.89489265287</v>
      </c>
      <c r="AO31" s="36">
        <f t="shared" si="0"/>
        <v>3997290.0000000005</v>
      </c>
    </row>
    <row r="32" spans="1:41">
      <c r="A32" s="50"/>
      <c r="B32" t="s">
        <v>2260</v>
      </c>
      <c r="C32" t="s">
        <v>1764</v>
      </c>
      <c r="D32" s="42">
        <v>267785</v>
      </c>
      <c r="E32" s="42">
        <v>235903</v>
      </c>
      <c r="I32" s="42">
        <v>45000</v>
      </c>
      <c r="J32" s="42">
        <v>22554</v>
      </c>
      <c r="O32" s="42">
        <v>17689</v>
      </c>
      <c r="Q32" s="69">
        <v>3156950</v>
      </c>
      <c r="R32" s="70">
        <v>1482200.9521611708</v>
      </c>
      <c r="S32" s="70">
        <v>1674749.0478388295</v>
      </c>
      <c r="AC32" s="42" t="s">
        <v>376</v>
      </c>
      <c r="AF32" s="52">
        <v>198029</v>
      </c>
      <c r="AG32" s="42" t="s">
        <v>316</v>
      </c>
      <c r="AO32" s="36">
        <f t="shared" si="0"/>
        <v>7100860</v>
      </c>
    </row>
    <row r="33" spans="1:41">
      <c r="A33" s="50"/>
      <c r="B33" t="s">
        <v>2262</v>
      </c>
      <c r="C33" t="s">
        <v>1766</v>
      </c>
      <c r="D33" s="42">
        <v>50000</v>
      </c>
      <c r="E33" s="42">
        <v>326544</v>
      </c>
      <c r="H33" s="42">
        <v>7180</v>
      </c>
      <c r="J33" s="42">
        <v>7278</v>
      </c>
      <c r="O33" s="42">
        <v>11593</v>
      </c>
      <c r="Q33" s="69">
        <v>1895827</v>
      </c>
      <c r="R33" s="70">
        <v>672623.37099330919</v>
      </c>
      <c r="S33" s="70">
        <v>1223203.6290066906</v>
      </c>
      <c r="AO33" s="36">
        <f t="shared" si="0"/>
        <v>4194249</v>
      </c>
    </row>
    <row r="34" spans="1:41">
      <c r="A34" s="50"/>
      <c r="B34" t="s">
        <v>2263</v>
      </c>
      <c r="C34" t="s">
        <v>1764</v>
      </c>
      <c r="J34" s="42">
        <v>14116</v>
      </c>
      <c r="O34" s="42">
        <v>31205</v>
      </c>
      <c r="Q34" s="69">
        <v>2736898</v>
      </c>
      <c r="R34" s="70">
        <v>1284007.4491365575</v>
      </c>
      <c r="S34" s="70">
        <v>1452890.5508634427</v>
      </c>
      <c r="T34" s="42">
        <v>10815</v>
      </c>
      <c r="V34" s="42">
        <v>272913</v>
      </c>
      <c r="AO34" s="36">
        <f t="shared" si="0"/>
        <v>5802845</v>
      </c>
    </row>
    <row r="35" spans="1:41">
      <c r="A35" s="50"/>
      <c r="B35" t="s">
        <v>2264</v>
      </c>
      <c r="C35" t="s">
        <v>1766</v>
      </c>
      <c r="D35" s="42">
        <v>29909</v>
      </c>
      <c r="E35" s="42">
        <v>1734293</v>
      </c>
      <c r="J35" s="42">
        <v>154644</v>
      </c>
      <c r="O35" s="42">
        <v>386682</v>
      </c>
      <c r="Q35" s="69">
        <v>13401259</v>
      </c>
      <c r="R35" s="70">
        <v>2697653.7497560144</v>
      </c>
      <c r="S35" s="70">
        <v>10703605.250243988</v>
      </c>
      <c r="T35" s="42">
        <v>990404</v>
      </c>
      <c r="U35" s="42">
        <v>22237</v>
      </c>
      <c r="AO35" s="36">
        <f t="shared" si="0"/>
        <v>30120687.000000004</v>
      </c>
    </row>
    <row r="36" spans="1:41">
      <c r="A36" s="50"/>
      <c r="B36" t="s">
        <v>2265</v>
      </c>
      <c r="C36" t="s">
        <v>1766</v>
      </c>
      <c r="D36" s="42">
        <v>152247</v>
      </c>
      <c r="E36" s="42">
        <v>156632</v>
      </c>
      <c r="H36" s="42">
        <v>5200</v>
      </c>
      <c r="O36" s="42">
        <v>819</v>
      </c>
      <c r="Q36" s="69">
        <v>2655696</v>
      </c>
      <c r="R36" s="70">
        <v>1091870.4667502537</v>
      </c>
      <c r="S36" s="70">
        <v>1563825.5332497461</v>
      </c>
      <c r="AB36" s="42">
        <v>86595</v>
      </c>
      <c r="AO36" s="36">
        <f t="shared" ref="AO36:AO67" si="1">SUM(D36:AN36)</f>
        <v>5712885</v>
      </c>
    </row>
    <row r="37" spans="1:41">
      <c r="A37" s="50"/>
      <c r="B37" t="s">
        <v>2156</v>
      </c>
      <c r="C37" t="s">
        <v>2117</v>
      </c>
      <c r="D37" s="42">
        <v>27283</v>
      </c>
      <c r="E37" s="42">
        <v>894921</v>
      </c>
      <c r="J37" s="42">
        <v>236577</v>
      </c>
      <c r="Q37" s="69">
        <v>6496868</v>
      </c>
      <c r="R37" s="70">
        <v>3448538.5474295393</v>
      </c>
      <c r="S37" s="70">
        <v>3048329.4525704598</v>
      </c>
      <c r="T37" s="42">
        <v>18394</v>
      </c>
      <c r="U37" s="42">
        <v>57233</v>
      </c>
      <c r="AO37" s="36">
        <f t="shared" si="1"/>
        <v>14228144</v>
      </c>
    </row>
    <row r="38" spans="1:41">
      <c r="A38" s="50"/>
      <c r="B38" t="s">
        <v>2157</v>
      </c>
      <c r="C38" t="s">
        <v>1766</v>
      </c>
      <c r="D38" s="42">
        <v>21382</v>
      </c>
      <c r="H38" s="42">
        <v>62667</v>
      </c>
      <c r="J38" s="42">
        <v>9871</v>
      </c>
      <c r="Q38" s="69">
        <v>1195807</v>
      </c>
      <c r="T38" s="42">
        <v>831695</v>
      </c>
      <c r="AO38" s="36">
        <f t="shared" si="1"/>
        <v>2121422</v>
      </c>
    </row>
    <row r="39" spans="1:41">
      <c r="A39" s="50"/>
      <c r="B39" t="s">
        <v>2158</v>
      </c>
      <c r="C39" t="s">
        <v>1765</v>
      </c>
      <c r="E39" s="42">
        <v>179143</v>
      </c>
      <c r="J39" s="42">
        <v>46040</v>
      </c>
      <c r="Q39" s="69">
        <v>2610708</v>
      </c>
      <c r="R39" s="70">
        <v>440496.13573912316</v>
      </c>
      <c r="S39" s="70">
        <v>2170211.864260877</v>
      </c>
      <c r="T39" s="42">
        <v>141520</v>
      </c>
      <c r="AO39" s="36">
        <f t="shared" si="1"/>
        <v>5588119</v>
      </c>
    </row>
    <row r="40" spans="1:41">
      <c r="A40" s="50"/>
      <c r="B40" t="s">
        <v>2159</v>
      </c>
      <c r="C40" t="s">
        <v>1764</v>
      </c>
      <c r="H40" s="42">
        <v>181687</v>
      </c>
      <c r="J40" s="42">
        <v>3792</v>
      </c>
      <c r="L40" s="42">
        <v>215179</v>
      </c>
      <c r="O40" s="42">
        <v>68381</v>
      </c>
      <c r="Q40" s="69">
        <v>2937694</v>
      </c>
      <c r="R40" s="70">
        <v>1378210.2874435838</v>
      </c>
      <c r="S40" s="70">
        <v>1559483.7125564162</v>
      </c>
      <c r="AO40" s="36">
        <f t="shared" si="1"/>
        <v>6344427</v>
      </c>
    </row>
    <row r="41" spans="1:41">
      <c r="A41" s="50"/>
      <c r="B41" t="s">
        <v>2160</v>
      </c>
      <c r="C41" t="s">
        <v>1764</v>
      </c>
      <c r="E41" s="42">
        <v>217414</v>
      </c>
      <c r="H41" s="42">
        <v>417809</v>
      </c>
      <c r="I41" s="42">
        <v>64984</v>
      </c>
      <c r="O41" s="42">
        <v>9728</v>
      </c>
      <c r="Q41" s="69">
        <v>1020822</v>
      </c>
      <c r="R41" s="70">
        <v>478915.56508224964</v>
      </c>
      <c r="S41" s="70">
        <v>541906.43491775042</v>
      </c>
      <c r="AC41" s="42" t="s">
        <v>364</v>
      </c>
      <c r="AD41" s="86" t="s">
        <v>318</v>
      </c>
      <c r="AE41" s="42" t="s">
        <v>317</v>
      </c>
      <c r="AF41" s="42" t="s">
        <v>319</v>
      </c>
      <c r="AG41" s="69">
        <v>186527</v>
      </c>
      <c r="AH41" s="53">
        <v>47115</v>
      </c>
      <c r="AI41" s="53">
        <v>139412</v>
      </c>
      <c r="AO41" s="36">
        <f t="shared" si="1"/>
        <v>3124633</v>
      </c>
    </row>
    <row r="42" spans="1:41">
      <c r="A42" s="50"/>
      <c r="B42" t="s">
        <v>2162</v>
      </c>
      <c r="C42" t="s">
        <v>2117</v>
      </c>
      <c r="D42" s="51">
        <v>5244</v>
      </c>
      <c r="E42" s="51">
        <v>222542</v>
      </c>
      <c r="F42" s="51"/>
      <c r="H42" s="42">
        <v>176387</v>
      </c>
      <c r="J42" s="42">
        <v>90307</v>
      </c>
      <c r="O42" s="42">
        <v>21946</v>
      </c>
      <c r="Q42" s="69">
        <v>1415113</v>
      </c>
      <c r="R42" s="70">
        <v>811855.10950493009</v>
      </c>
      <c r="S42" s="70">
        <v>603257.89049506967</v>
      </c>
      <c r="AO42" s="36">
        <f t="shared" si="1"/>
        <v>3346652</v>
      </c>
    </row>
    <row r="43" spans="1:41">
      <c r="A43" s="50"/>
      <c r="B43" t="s">
        <v>2163</v>
      </c>
      <c r="C43" t="s">
        <v>1764</v>
      </c>
      <c r="H43" s="42">
        <v>120265</v>
      </c>
      <c r="J43" s="42">
        <v>125619</v>
      </c>
      <c r="L43" s="42">
        <v>162446</v>
      </c>
      <c r="P43" s="42">
        <v>-106991</v>
      </c>
      <c r="Q43" s="69">
        <v>2322671</v>
      </c>
      <c r="R43" s="70">
        <v>1089674.1003477138</v>
      </c>
      <c r="S43" s="70">
        <v>1232996.8996522864</v>
      </c>
      <c r="AO43" s="36">
        <f t="shared" si="1"/>
        <v>4946681</v>
      </c>
    </row>
    <row r="44" spans="1:41">
      <c r="A44" s="50"/>
      <c r="B44" t="s">
        <v>2164</v>
      </c>
      <c r="C44" t="s">
        <v>1764</v>
      </c>
      <c r="H44" s="42">
        <v>304015</v>
      </c>
      <c r="J44" s="42">
        <v>5905</v>
      </c>
      <c r="L44" s="42">
        <v>300740</v>
      </c>
      <c r="O44" s="42">
        <v>23743</v>
      </c>
      <c r="Q44" s="69">
        <v>2660639</v>
      </c>
      <c r="R44" s="70">
        <v>1248230.7690908615</v>
      </c>
      <c r="S44" s="70">
        <v>1412408.2309091385</v>
      </c>
      <c r="T44" s="42">
        <v>172546</v>
      </c>
      <c r="AO44" s="36">
        <f t="shared" si="1"/>
        <v>6128227</v>
      </c>
    </row>
    <row r="45" spans="1:41">
      <c r="A45" s="50"/>
      <c r="B45" t="s">
        <v>1740</v>
      </c>
      <c r="C45" t="s">
        <v>1764</v>
      </c>
      <c r="H45" s="42">
        <v>334435</v>
      </c>
      <c r="I45" s="42">
        <v>15186</v>
      </c>
      <c r="J45" s="42">
        <v>4280</v>
      </c>
      <c r="L45" s="42">
        <v>68362</v>
      </c>
      <c r="O45" s="42">
        <v>2617</v>
      </c>
      <c r="P45" s="42">
        <v>-62791</v>
      </c>
      <c r="Q45" s="69">
        <v>1918323</v>
      </c>
      <c r="R45" s="70">
        <v>899975.45463878755</v>
      </c>
      <c r="S45" s="70">
        <v>1018347.5453612126</v>
      </c>
      <c r="AO45" s="36">
        <f t="shared" si="1"/>
        <v>4198735</v>
      </c>
    </row>
    <row r="46" spans="1:41">
      <c r="A46" s="50"/>
      <c r="B46" t="s">
        <v>521</v>
      </c>
      <c r="C46" t="s">
        <v>1764</v>
      </c>
      <c r="E46" s="42">
        <v>187682</v>
      </c>
      <c r="H46" s="42">
        <v>422776</v>
      </c>
      <c r="J46" s="42">
        <v>26493</v>
      </c>
      <c r="O46" s="42">
        <v>22097</v>
      </c>
      <c r="Q46" s="69">
        <v>3298501</v>
      </c>
      <c r="R46" s="70">
        <v>1547481.8042120619</v>
      </c>
      <c r="S46" s="70">
        <v>1751019.1957879383</v>
      </c>
      <c r="AB46" s="42">
        <v>87823</v>
      </c>
      <c r="AC46" s="42" t="s">
        <v>365</v>
      </c>
      <c r="AD46" s="42" t="s">
        <v>320</v>
      </c>
      <c r="AF46" s="42" t="s">
        <v>321</v>
      </c>
      <c r="AG46" s="52">
        <v>214076</v>
      </c>
      <c r="AH46" s="52"/>
      <c r="AI46" s="52"/>
      <c r="AO46" s="36">
        <f t="shared" si="1"/>
        <v>7557949</v>
      </c>
    </row>
    <row r="47" spans="1:41">
      <c r="A47" s="50"/>
      <c r="B47" t="s">
        <v>2165</v>
      </c>
      <c r="C47" t="s">
        <v>1764</v>
      </c>
      <c r="E47" s="42">
        <v>240744</v>
      </c>
      <c r="I47" s="42">
        <v>606605</v>
      </c>
      <c r="J47" s="42">
        <v>11806</v>
      </c>
      <c r="O47" s="42">
        <v>24338</v>
      </c>
      <c r="Q47" s="69">
        <v>2790012</v>
      </c>
      <c r="R47" s="70">
        <v>1308925.7221790454</v>
      </c>
      <c r="S47" s="70">
        <v>1481086.2778209548</v>
      </c>
      <c r="AC47" s="42" t="s">
        <v>366</v>
      </c>
      <c r="AD47" s="42" t="s">
        <v>322</v>
      </c>
      <c r="AE47" s="42" t="s">
        <v>321</v>
      </c>
      <c r="AF47" s="52">
        <v>166815</v>
      </c>
      <c r="AO47" s="36">
        <f t="shared" si="1"/>
        <v>6630332.0000000009</v>
      </c>
    </row>
    <row r="48" spans="1:41">
      <c r="A48" s="50"/>
      <c r="B48" t="s">
        <v>2166</v>
      </c>
      <c r="C48" t="s">
        <v>1764</v>
      </c>
      <c r="E48" s="42">
        <v>380274</v>
      </c>
      <c r="H48" s="42">
        <v>87748</v>
      </c>
      <c r="J48" s="42">
        <v>7099</v>
      </c>
      <c r="O48" s="42">
        <v>101475</v>
      </c>
      <c r="Q48" s="69">
        <v>4333300</v>
      </c>
      <c r="R48" s="70">
        <v>2032954.6367250239</v>
      </c>
      <c r="S48" s="70">
        <v>2300345.3632749766</v>
      </c>
      <c r="T48" s="42">
        <v>859660</v>
      </c>
      <c r="AO48" s="36">
        <f t="shared" si="1"/>
        <v>10102856</v>
      </c>
    </row>
    <row r="49" spans="1:41">
      <c r="A49" s="50"/>
      <c r="B49" t="s">
        <v>1767</v>
      </c>
      <c r="C49" t="s">
        <v>1764</v>
      </c>
      <c r="H49" s="42">
        <v>113676</v>
      </c>
      <c r="L49" s="42">
        <v>282453</v>
      </c>
      <c r="O49" s="42">
        <v>57698</v>
      </c>
      <c r="Q49" s="69">
        <v>4686377</v>
      </c>
      <c r="R49" s="70">
        <v>2196900.2630089805</v>
      </c>
      <c r="S49" s="70">
        <v>2489476.7369910199</v>
      </c>
      <c r="AO49" s="36">
        <f t="shared" si="1"/>
        <v>9826581</v>
      </c>
    </row>
    <row r="50" spans="1:41">
      <c r="A50" s="50"/>
      <c r="B50" t="s">
        <v>2167</v>
      </c>
      <c r="C50" t="s">
        <v>1764</v>
      </c>
      <c r="H50" s="42">
        <v>255000</v>
      </c>
      <c r="L50" s="42">
        <v>440884</v>
      </c>
      <c r="O50" s="42">
        <v>3372</v>
      </c>
      <c r="Q50" s="69">
        <v>1694371</v>
      </c>
      <c r="R50" s="70">
        <v>794909.0487117013</v>
      </c>
      <c r="S50" s="70">
        <v>899461.9512882987</v>
      </c>
      <c r="AB50" s="42">
        <v>11995</v>
      </c>
      <c r="AO50" s="36">
        <f t="shared" si="1"/>
        <v>4099993</v>
      </c>
    </row>
    <row r="51" spans="1:41">
      <c r="A51" s="50"/>
      <c r="B51" t="s">
        <v>2168</v>
      </c>
      <c r="C51" t="s">
        <v>1764</v>
      </c>
      <c r="H51" s="42">
        <v>530107</v>
      </c>
      <c r="I51" s="42">
        <v>77407</v>
      </c>
      <c r="J51" s="42">
        <v>18558</v>
      </c>
      <c r="Q51" s="69">
        <v>3280302</v>
      </c>
      <c r="R51" s="70">
        <v>1538943.7982042253</v>
      </c>
      <c r="S51" s="70">
        <v>1741358.201795775</v>
      </c>
      <c r="AC51" s="42" t="s">
        <v>367</v>
      </c>
      <c r="AD51" s="86" t="s">
        <v>314</v>
      </c>
      <c r="AF51" s="42" t="s">
        <v>313</v>
      </c>
      <c r="AG51" s="52">
        <v>321822</v>
      </c>
      <c r="AH51" s="52"/>
      <c r="AI51" s="52"/>
      <c r="AO51" s="36">
        <f t="shared" si="1"/>
        <v>7508498</v>
      </c>
    </row>
    <row r="52" spans="1:41">
      <c r="A52" s="50" t="s">
        <v>2170</v>
      </c>
      <c r="B52" t="s">
        <v>2169</v>
      </c>
      <c r="C52" t="s">
        <v>1764</v>
      </c>
      <c r="E52" s="36">
        <v>332895</v>
      </c>
      <c r="F52" s="36"/>
      <c r="G52" s="36"/>
      <c r="H52" s="36">
        <v>198875</v>
      </c>
      <c r="I52" s="36"/>
      <c r="J52" s="36">
        <v>7210</v>
      </c>
      <c r="K52" s="36">
        <v>68739</v>
      </c>
      <c r="L52" s="36"/>
      <c r="M52" s="36"/>
      <c r="N52" s="36"/>
      <c r="O52" s="36">
        <v>31946</v>
      </c>
      <c r="P52" s="36">
        <v>-9016</v>
      </c>
      <c r="Q52" s="69">
        <v>3843715</v>
      </c>
      <c r="R52" s="70">
        <v>1803267.3093253467</v>
      </c>
      <c r="S52" s="70">
        <v>2040447.6906746535</v>
      </c>
      <c r="T52" s="36"/>
      <c r="U52" s="36"/>
      <c r="V52" s="36"/>
      <c r="W52" s="36"/>
      <c r="X52" s="36"/>
      <c r="Y52" s="36"/>
      <c r="Z52" s="36"/>
      <c r="AA52" s="36"/>
      <c r="AB52" s="36"/>
      <c r="AC52" s="36"/>
      <c r="AD52" s="36"/>
      <c r="AE52" s="36"/>
      <c r="AF52" s="36"/>
      <c r="AG52" s="36"/>
      <c r="AH52" s="36"/>
      <c r="AI52" s="36"/>
      <c r="AJ52" s="36"/>
      <c r="AK52" s="36"/>
      <c r="AL52" s="36"/>
      <c r="AM52" s="36"/>
      <c r="AN52" s="36"/>
      <c r="AO52" s="36">
        <f t="shared" si="1"/>
        <v>8318079</v>
      </c>
    </row>
    <row r="53" spans="1:41">
      <c r="A53" s="2"/>
      <c r="B53" t="s">
        <v>2171</v>
      </c>
      <c r="C53" t="s">
        <v>1764</v>
      </c>
      <c r="H53" s="42">
        <v>702032</v>
      </c>
      <c r="J53" s="42">
        <v>56957</v>
      </c>
      <c r="L53" s="42">
        <v>390745</v>
      </c>
      <c r="P53" s="42">
        <v>-122043</v>
      </c>
      <c r="Q53" s="69">
        <v>3819739</v>
      </c>
      <c r="R53" s="70">
        <v>1792019.0411763333</v>
      </c>
      <c r="S53" s="70">
        <v>2027719.9588236667</v>
      </c>
      <c r="AO53" s="36">
        <f t="shared" si="1"/>
        <v>8667169</v>
      </c>
    </row>
    <row r="54" spans="1:41">
      <c r="A54" s="50"/>
      <c r="B54" t="s">
        <v>2172</v>
      </c>
      <c r="C54" t="s">
        <v>1766</v>
      </c>
      <c r="E54" s="42">
        <v>164547</v>
      </c>
      <c r="H54" s="42">
        <v>83500</v>
      </c>
      <c r="J54" s="42">
        <v>50479</v>
      </c>
      <c r="O54" s="42">
        <v>51505</v>
      </c>
      <c r="Q54" s="69">
        <v>2047544</v>
      </c>
      <c r="R54" s="70">
        <v>572500.6273664172</v>
      </c>
      <c r="S54" s="70">
        <v>1475043.3726335829</v>
      </c>
      <c r="T54" s="42">
        <v>26756</v>
      </c>
      <c r="AB54" s="42">
        <v>50037</v>
      </c>
      <c r="AO54" s="36">
        <f t="shared" si="1"/>
        <v>4521912</v>
      </c>
    </row>
    <row r="55" spans="1:41">
      <c r="A55" s="50"/>
      <c r="B55" t="s">
        <v>2173</v>
      </c>
      <c r="C55" t="s">
        <v>1764</v>
      </c>
      <c r="E55" s="42">
        <v>164594</v>
      </c>
      <c r="H55" s="42">
        <v>200140</v>
      </c>
      <c r="J55" s="42">
        <v>46019</v>
      </c>
      <c r="O55" s="42">
        <v>10813</v>
      </c>
      <c r="Q55" s="69">
        <v>1394460</v>
      </c>
      <c r="R55" s="70">
        <v>654206.70683487796</v>
      </c>
      <c r="S55" s="70">
        <v>740253.29316512204</v>
      </c>
      <c r="AC55" s="42" t="s">
        <v>368</v>
      </c>
      <c r="AG55" s="52">
        <v>39838</v>
      </c>
      <c r="AH55" s="52"/>
      <c r="AI55" s="52"/>
      <c r="AO55" s="36">
        <f t="shared" si="1"/>
        <v>3250324</v>
      </c>
    </row>
    <row r="56" spans="1:41">
      <c r="A56" s="50"/>
      <c r="B56" t="s">
        <v>2174</v>
      </c>
      <c r="C56" t="s">
        <v>1766</v>
      </c>
      <c r="E56" s="42">
        <v>520538</v>
      </c>
      <c r="H56" s="42">
        <v>6500</v>
      </c>
      <c r="J56" s="42">
        <v>55159</v>
      </c>
      <c r="Q56" s="69">
        <v>3634166</v>
      </c>
      <c r="R56" s="70">
        <v>938733.73213465814</v>
      </c>
      <c r="S56" s="70">
        <v>2695432.2678653416</v>
      </c>
      <c r="T56" s="42">
        <v>93295</v>
      </c>
      <c r="AO56" s="36">
        <f t="shared" si="1"/>
        <v>7943824</v>
      </c>
    </row>
    <row r="57" spans="1:41">
      <c r="A57" s="50"/>
      <c r="B57" t="s">
        <v>2175</v>
      </c>
      <c r="C57" t="s">
        <v>1764</v>
      </c>
      <c r="J57" s="42">
        <v>11025</v>
      </c>
      <c r="L57" s="42">
        <v>374621</v>
      </c>
      <c r="O57" s="42">
        <v>11263</v>
      </c>
      <c r="Q57" s="69">
        <v>2864046</v>
      </c>
      <c r="R57" s="70">
        <v>1343658.5501797148</v>
      </c>
      <c r="S57" s="70">
        <v>1520387.4498202854</v>
      </c>
      <c r="AB57" s="42">
        <v>118434</v>
      </c>
      <c r="AO57" s="36">
        <f t="shared" si="1"/>
        <v>6243435</v>
      </c>
    </row>
    <row r="58" spans="1:41">
      <c r="A58" s="50"/>
      <c r="B58" t="s">
        <v>2176</v>
      </c>
      <c r="C58" t="s">
        <v>1764</v>
      </c>
      <c r="E58" s="42">
        <v>228010</v>
      </c>
      <c r="H58" s="42">
        <v>413946</v>
      </c>
      <c r="I58" s="42">
        <v>106934</v>
      </c>
      <c r="O58" s="42">
        <v>12581</v>
      </c>
      <c r="Q58" s="69">
        <v>1476831</v>
      </c>
      <c r="R58" s="70">
        <v>692850.81326223747</v>
      </c>
      <c r="S58" s="70">
        <v>783980.18673776265</v>
      </c>
      <c r="AC58" s="42" t="s">
        <v>369</v>
      </c>
      <c r="AG58" s="52">
        <v>404079</v>
      </c>
      <c r="AH58" s="52"/>
      <c r="AI58" s="52"/>
      <c r="AO58" s="36">
        <f t="shared" si="1"/>
        <v>4119212</v>
      </c>
    </row>
    <row r="59" spans="1:41">
      <c r="A59" s="50"/>
      <c r="B59" t="s">
        <v>2177</v>
      </c>
      <c r="C59" t="s">
        <v>1764</v>
      </c>
      <c r="H59" s="42">
        <v>290500</v>
      </c>
      <c r="J59" s="42">
        <v>22196</v>
      </c>
      <c r="L59" s="42">
        <v>363937</v>
      </c>
      <c r="Q59" s="69">
        <v>1059845</v>
      </c>
      <c r="R59" s="70">
        <v>497223.08793756098</v>
      </c>
      <c r="S59" s="70">
        <v>562621.91206243914</v>
      </c>
      <c r="AO59" s="36">
        <f t="shared" si="1"/>
        <v>2796323</v>
      </c>
    </row>
    <row r="60" spans="1:41">
      <c r="A60" s="50"/>
      <c r="B60" t="s">
        <v>2178</v>
      </c>
      <c r="C60" t="s">
        <v>1765</v>
      </c>
      <c r="D60" s="42">
        <v>200000</v>
      </c>
      <c r="E60" s="42">
        <v>209877</v>
      </c>
      <c r="H60" s="42">
        <v>1300</v>
      </c>
      <c r="J60" s="42">
        <v>4002</v>
      </c>
      <c r="Q60" s="69">
        <v>1057881</v>
      </c>
      <c r="R60" s="70">
        <v>171557.01952716449</v>
      </c>
      <c r="S60" s="70">
        <v>886323.98047283548</v>
      </c>
      <c r="T60" s="42">
        <v>25556</v>
      </c>
      <c r="AO60" s="36">
        <f t="shared" si="1"/>
        <v>2556497</v>
      </c>
    </row>
    <row r="61" spans="1:41">
      <c r="A61" s="50"/>
      <c r="B61" t="s">
        <v>2179</v>
      </c>
      <c r="C61" t="s">
        <v>1765</v>
      </c>
      <c r="H61" s="42">
        <v>350</v>
      </c>
      <c r="J61" s="42">
        <v>49325</v>
      </c>
      <c r="Q61" s="69">
        <v>5207575</v>
      </c>
      <c r="R61" s="70">
        <v>893077.03567520785</v>
      </c>
      <c r="S61" s="70">
        <v>4314497.9643247928</v>
      </c>
      <c r="T61" s="42">
        <v>374688</v>
      </c>
      <c r="V61" s="42">
        <v>1173001</v>
      </c>
      <c r="AJ61" s="42">
        <v>111420</v>
      </c>
      <c r="AO61" s="36">
        <f t="shared" si="1"/>
        <v>12123934</v>
      </c>
    </row>
    <row r="62" spans="1:41">
      <c r="A62" s="50"/>
      <c r="B62" t="s">
        <v>2181</v>
      </c>
      <c r="C62" t="s">
        <v>1766</v>
      </c>
      <c r="J62" s="42">
        <v>4582</v>
      </c>
      <c r="O62" s="42">
        <v>29845</v>
      </c>
      <c r="Q62" s="69">
        <v>2726879</v>
      </c>
      <c r="R62" s="70">
        <v>657375.74568833841</v>
      </c>
      <c r="S62" s="70">
        <v>2069503.2543116615</v>
      </c>
      <c r="T62" s="42">
        <v>80776</v>
      </c>
      <c r="AB62" s="42">
        <v>171176</v>
      </c>
      <c r="AC62" s="87" t="s">
        <v>363</v>
      </c>
      <c r="AD62" s="53" t="s">
        <v>307</v>
      </c>
      <c r="AK62" s="69">
        <v>896561</v>
      </c>
      <c r="AL62" s="53">
        <v>896561</v>
      </c>
      <c r="AM62" s="53"/>
      <c r="AN62" s="42" t="s">
        <v>308</v>
      </c>
      <c r="AO62" s="36">
        <f t="shared" si="1"/>
        <v>7533259</v>
      </c>
    </row>
    <row r="63" spans="1:41">
      <c r="A63" s="50"/>
      <c r="B63" t="s">
        <v>2183</v>
      </c>
      <c r="C63" t="s">
        <v>1764</v>
      </c>
      <c r="E63" s="42">
        <v>137404</v>
      </c>
      <c r="H63" s="42">
        <v>989184</v>
      </c>
      <c r="J63" s="42">
        <v>5847</v>
      </c>
      <c r="Q63" s="69">
        <v>1727664</v>
      </c>
      <c r="R63" s="70">
        <v>810528.35933420295</v>
      </c>
      <c r="S63" s="70">
        <v>917135.64066579717</v>
      </c>
      <c r="AC63" s="53" t="s">
        <v>370</v>
      </c>
      <c r="AD63" s="88" t="s">
        <v>311</v>
      </c>
      <c r="AE63" s="42" t="s">
        <v>312</v>
      </c>
      <c r="AF63" s="42" t="s">
        <v>313</v>
      </c>
      <c r="AG63" s="69">
        <v>214076</v>
      </c>
      <c r="AH63" s="53">
        <v>200000</v>
      </c>
      <c r="AI63" s="53">
        <v>14076</v>
      </c>
      <c r="AO63" s="36">
        <f t="shared" si="1"/>
        <v>5015915</v>
      </c>
    </row>
    <row r="64" spans="1:41">
      <c r="A64" s="50"/>
      <c r="B64" t="s">
        <v>2184</v>
      </c>
      <c r="C64" t="s">
        <v>1766</v>
      </c>
      <c r="D64" s="42">
        <v>41971</v>
      </c>
      <c r="E64" s="42">
        <v>641876</v>
      </c>
      <c r="F64" s="42">
        <v>13792</v>
      </c>
      <c r="G64" s="42">
        <v>257097</v>
      </c>
      <c r="Q64" s="69">
        <v>3481545</v>
      </c>
      <c r="R64" s="70">
        <v>815258.02772663918</v>
      </c>
      <c r="S64" s="70">
        <v>2666286.9722733614</v>
      </c>
      <c r="AO64" s="36">
        <f t="shared" si="1"/>
        <v>7917826</v>
      </c>
    </row>
    <row r="65" spans="1:41">
      <c r="A65" s="50"/>
      <c r="B65" t="s">
        <v>2185</v>
      </c>
      <c r="C65" t="s">
        <v>1766</v>
      </c>
      <c r="D65" s="42">
        <v>3143</v>
      </c>
      <c r="E65" s="42">
        <v>269634</v>
      </c>
      <c r="J65" s="42">
        <v>23392</v>
      </c>
      <c r="Q65" s="69">
        <v>2811637</v>
      </c>
      <c r="R65" s="70">
        <v>694872.7321289595</v>
      </c>
      <c r="S65" s="70">
        <v>2116764.2678710409</v>
      </c>
      <c r="T65" s="42">
        <v>193844</v>
      </c>
      <c r="AO65" s="36">
        <f t="shared" si="1"/>
        <v>6113287</v>
      </c>
    </row>
    <row r="66" spans="1:41">
      <c r="A66" s="50"/>
      <c r="B66" t="s">
        <v>2186</v>
      </c>
      <c r="C66" t="s">
        <v>1764</v>
      </c>
      <c r="E66" s="42">
        <v>258026</v>
      </c>
      <c r="H66" s="42">
        <v>77275</v>
      </c>
      <c r="I66" s="42">
        <v>25000</v>
      </c>
      <c r="O66" s="42">
        <v>10066</v>
      </c>
      <c r="Q66" s="69">
        <v>2166630</v>
      </c>
      <c r="R66" s="70">
        <v>1016467.9354227814</v>
      </c>
      <c r="S66" s="70">
        <v>1150162.0645772188</v>
      </c>
      <c r="AC66" s="42" t="s">
        <v>371</v>
      </c>
      <c r="AD66" s="42" t="s">
        <v>309</v>
      </c>
      <c r="AG66" s="52">
        <v>531238</v>
      </c>
      <c r="AH66" s="52"/>
      <c r="AI66" s="52"/>
      <c r="AO66" s="36">
        <f t="shared" si="1"/>
        <v>5234865</v>
      </c>
    </row>
    <row r="67" spans="1:41">
      <c r="A67" s="50"/>
      <c r="B67" t="s">
        <v>1739</v>
      </c>
      <c r="C67" t="s">
        <v>1764</v>
      </c>
      <c r="H67" s="42">
        <v>120910</v>
      </c>
      <c r="J67" s="42">
        <v>9311</v>
      </c>
      <c r="Q67" s="69">
        <v>1074720</v>
      </c>
      <c r="R67" s="70">
        <v>504201.64936217607</v>
      </c>
      <c r="S67" s="70">
        <v>570518.35063782393</v>
      </c>
      <c r="AC67" s="42" t="s">
        <v>372</v>
      </c>
      <c r="AF67" s="42" t="s">
        <v>321</v>
      </c>
      <c r="AG67" s="52">
        <v>281567</v>
      </c>
      <c r="AH67" s="52"/>
      <c r="AI67" s="52"/>
      <c r="AO67" s="36">
        <f t="shared" si="1"/>
        <v>2561228</v>
      </c>
    </row>
    <row r="68" spans="1:41">
      <c r="A68" s="50"/>
      <c r="B68" t="s">
        <v>2187</v>
      </c>
      <c r="C68" t="s">
        <v>1765</v>
      </c>
      <c r="D68" s="42">
        <v>309379</v>
      </c>
      <c r="E68" s="42">
        <v>98329</v>
      </c>
      <c r="H68" s="42">
        <v>200</v>
      </c>
      <c r="O68" s="42">
        <v>51738</v>
      </c>
      <c r="Q68" s="69">
        <v>2300324</v>
      </c>
      <c r="R68" s="70">
        <v>382995.57250723563</v>
      </c>
      <c r="S68" s="70">
        <v>1917328.4274927638</v>
      </c>
      <c r="T68" s="42">
        <v>200105</v>
      </c>
      <c r="AO68" s="36">
        <f t="shared" ref="AO68:AO95" si="2">SUM(D68:AN68)</f>
        <v>5260399</v>
      </c>
    </row>
    <row r="69" spans="1:41">
      <c r="A69" s="50"/>
      <c r="B69" t="s">
        <v>2188</v>
      </c>
      <c r="C69" t="s">
        <v>1765</v>
      </c>
      <c r="H69" s="42">
        <v>38679</v>
      </c>
      <c r="J69" s="42">
        <v>44171</v>
      </c>
      <c r="O69" s="42">
        <v>2230</v>
      </c>
      <c r="Q69" s="69">
        <v>2542833</v>
      </c>
      <c r="R69" s="70">
        <v>436749.78227122128</v>
      </c>
      <c r="S69" s="70">
        <v>2106083.2177287787</v>
      </c>
      <c r="T69" s="42">
        <v>194904</v>
      </c>
      <c r="V69" s="42">
        <v>201717</v>
      </c>
      <c r="AB69" s="42">
        <v>75926</v>
      </c>
      <c r="AO69" s="36">
        <f t="shared" si="2"/>
        <v>5643293</v>
      </c>
    </row>
    <row r="70" spans="1:41">
      <c r="A70" s="50"/>
      <c r="B70" t="s">
        <v>2189</v>
      </c>
      <c r="C70" t="s">
        <v>1766</v>
      </c>
      <c r="H70" s="42">
        <v>288500</v>
      </c>
      <c r="J70" s="42">
        <v>4877</v>
      </c>
      <c r="L70" s="42">
        <v>619158</v>
      </c>
      <c r="Q70" s="69">
        <v>743071</v>
      </c>
      <c r="R70" s="70">
        <v>168085.96746065025</v>
      </c>
      <c r="S70" s="70">
        <v>574985.03253934975</v>
      </c>
      <c r="AO70" s="36">
        <f t="shared" si="2"/>
        <v>2398677</v>
      </c>
    </row>
    <row r="71" spans="1:41">
      <c r="A71" s="50"/>
      <c r="B71" t="s">
        <v>2190</v>
      </c>
      <c r="C71" t="s">
        <v>1764</v>
      </c>
      <c r="H71" s="42">
        <v>473089</v>
      </c>
      <c r="J71" s="42">
        <v>20128</v>
      </c>
      <c r="L71" s="42">
        <v>536212</v>
      </c>
      <c r="N71" s="42">
        <v>31000</v>
      </c>
      <c r="O71" s="42">
        <v>20127</v>
      </c>
      <c r="Q71" s="69">
        <v>3637412</v>
      </c>
      <c r="R71" s="70">
        <v>1709551.8503393596</v>
      </c>
      <c r="S71" s="70">
        <v>1927860.1496606409</v>
      </c>
      <c r="AO71" s="36">
        <f t="shared" si="2"/>
        <v>8355380</v>
      </c>
    </row>
    <row r="72" spans="1:41">
      <c r="A72" s="50"/>
      <c r="B72" t="s">
        <v>2191</v>
      </c>
      <c r="C72" t="s">
        <v>1766</v>
      </c>
      <c r="H72" s="42">
        <v>947</v>
      </c>
      <c r="J72" s="42">
        <v>28005</v>
      </c>
      <c r="Q72" s="69">
        <v>2278236</v>
      </c>
      <c r="R72" s="70">
        <v>503021.17678036785</v>
      </c>
      <c r="S72" s="70">
        <v>1775214.8232196318</v>
      </c>
      <c r="T72" s="42">
        <v>144899</v>
      </c>
      <c r="V72" s="42">
        <v>485722</v>
      </c>
      <c r="AJ72" s="42">
        <v>23822</v>
      </c>
      <c r="AO72" s="36">
        <f t="shared" si="2"/>
        <v>5239867</v>
      </c>
    </row>
    <row r="73" spans="1:41">
      <c r="A73" s="50"/>
      <c r="B73" t="s">
        <v>2192</v>
      </c>
      <c r="C73" t="s">
        <v>1766</v>
      </c>
      <c r="E73" s="42">
        <v>276513</v>
      </c>
      <c r="J73" s="42">
        <v>11665</v>
      </c>
      <c r="O73" s="42">
        <v>8873</v>
      </c>
      <c r="Q73" s="69">
        <v>2509799</v>
      </c>
      <c r="R73" s="71">
        <v>576456.11965208617</v>
      </c>
      <c r="S73" s="71">
        <v>1933342.8803479136</v>
      </c>
      <c r="T73" s="42">
        <v>53436</v>
      </c>
      <c r="AB73" s="42">
        <v>119446</v>
      </c>
      <c r="AO73" s="36">
        <f t="shared" si="2"/>
        <v>5489531</v>
      </c>
    </row>
    <row r="74" spans="1:41">
      <c r="A74" s="50"/>
      <c r="B74" t="s">
        <v>2193</v>
      </c>
      <c r="C74" t="s">
        <v>1764</v>
      </c>
      <c r="H74" s="42">
        <v>233643</v>
      </c>
      <c r="J74" s="42">
        <v>19055</v>
      </c>
      <c r="L74" s="42">
        <v>281579</v>
      </c>
      <c r="N74" s="42">
        <v>7075</v>
      </c>
      <c r="P74" s="42">
        <v>-208069</v>
      </c>
      <c r="Q74" s="69">
        <v>4763457</v>
      </c>
      <c r="R74" s="70">
        <v>2234761.4970092704</v>
      </c>
      <c r="S74" s="70">
        <v>2528695.5029907296</v>
      </c>
      <c r="AO74" s="36">
        <f t="shared" si="2"/>
        <v>9860197</v>
      </c>
    </row>
    <row r="75" spans="1:41">
      <c r="A75" s="50"/>
      <c r="B75" t="s">
        <v>2194</v>
      </c>
      <c r="C75" t="s">
        <v>1764</v>
      </c>
      <c r="I75" s="42">
        <v>534000</v>
      </c>
      <c r="J75" s="42">
        <v>17823</v>
      </c>
      <c r="Q75" s="69">
        <v>1831610</v>
      </c>
      <c r="R75" s="70">
        <v>859294.31199592014</v>
      </c>
      <c r="S75" s="70">
        <v>972315.68800407997</v>
      </c>
      <c r="AG75" s="52">
        <v>9688</v>
      </c>
      <c r="AH75" s="52"/>
      <c r="AI75" s="52"/>
      <c r="AO75" s="36">
        <f t="shared" si="2"/>
        <v>4224731</v>
      </c>
    </row>
    <row r="76" spans="1:41">
      <c r="A76" s="50"/>
      <c r="B76" t="s">
        <v>2195</v>
      </c>
      <c r="C76" t="s">
        <v>1764</v>
      </c>
      <c r="H76" s="42">
        <v>294174</v>
      </c>
      <c r="I76" s="42">
        <v>41261</v>
      </c>
      <c r="J76" s="42">
        <v>29488</v>
      </c>
      <c r="L76" s="42">
        <v>373297</v>
      </c>
      <c r="Q76" s="69">
        <v>2009233</v>
      </c>
      <c r="R76" s="70">
        <v>942625.60718411603</v>
      </c>
      <c r="S76" s="70">
        <v>1066607.3928158842</v>
      </c>
      <c r="AO76" s="36">
        <f t="shared" si="2"/>
        <v>4756686</v>
      </c>
    </row>
    <row r="77" spans="1:41">
      <c r="A77" s="50"/>
      <c r="B77" t="s">
        <v>2196</v>
      </c>
      <c r="C77" t="s">
        <v>1766</v>
      </c>
      <c r="D77" s="42">
        <v>36804</v>
      </c>
      <c r="E77" s="42">
        <v>295026</v>
      </c>
      <c r="J77" s="42">
        <v>301586</v>
      </c>
      <c r="Q77" s="69">
        <v>6038794</v>
      </c>
      <c r="R77" s="70">
        <v>2152750.7462087055</v>
      </c>
      <c r="S77" s="70">
        <v>3886043.2537912955</v>
      </c>
      <c r="T77" s="42">
        <v>175995</v>
      </c>
      <c r="U77" s="42">
        <v>46008</v>
      </c>
      <c r="AO77" s="36">
        <f t="shared" si="2"/>
        <v>12933007</v>
      </c>
    </row>
    <row r="78" spans="1:41">
      <c r="A78" s="50"/>
      <c r="B78" t="s">
        <v>2197</v>
      </c>
      <c r="C78" t="s">
        <v>1764</v>
      </c>
      <c r="H78" s="42">
        <v>253525</v>
      </c>
      <c r="I78" s="42">
        <v>100000</v>
      </c>
      <c r="J78" s="42">
        <v>167</v>
      </c>
      <c r="L78" s="42">
        <v>372044</v>
      </c>
      <c r="P78" s="42">
        <v>-57032</v>
      </c>
      <c r="Q78" s="69">
        <v>936224</v>
      </c>
      <c r="R78" s="70">
        <v>439226.66831589059</v>
      </c>
      <c r="S78" s="70">
        <v>496997.33168410946</v>
      </c>
      <c r="AO78" s="36">
        <f t="shared" si="2"/>
        <v>2541152</v>
      </c>
    </row>
    <row r="79" spans="1:41">
      <c r="A79" s="50"/>
      <c r="B79" t="s">
        <v>2102</v>
      </c>
      <c r="C79" t="s">
        <v>1764</v>
      </c>
      <c r="I79" s="42">
        <v>852463</v>
      </c>
      <c r="Q79" s="69">
        <v>1444438</v>
      </c>
      <c r="R79" s="70">
        <v>677653.73492761177</v>
      </c>
      <c r="S79" s="70">
        <v>766784.26507238834</v>
      </c>
      <c r="AC79" s="42" t="s">
        <v>373</v>
      </c>
      <c r="AK79" s="52">
        <v>162644</v>
      </c>
      <c r="AL79" s="52"/>
      <c r="AM79" s="52"/>
      <c r="AO79" s="36">
        <f t="shared" si="2"/>
        <v>3903983</v>
      </c>
    </row>
    <row r="80" spans="1:41">
      <c r="A80" s="50"/>
      <c r="B80" t="s">
        <v>2199</v>
      </c>
      <c r="C80" t="s">
        <v>1764</v>
      </c>
      <c r="H80" s="42">
        <v>1423179</v>
      </c>
      <c r="J80" s="42">
        <v>91954</v>
      </c>
      <c r="L80" s="42">
        <v>368279</v>
      </c>
      <c r="Q80" s="69">
        <v>2504902</v>
      </c>
      <c r="R80" s="70">
        <v>1175167.2248498341</v>
      </c>
      <c r="S80" s="70">
        <v>1329734.7751501661</v>
      </c>
      <c r="AO80" s="36">
        <f t="shared" si="2"/>
        <v>6893216</v>
      </c>
    </row>
    <row r="81" spans="1:41">
      <c r="A81" s="50"/>
      <c r="B81" t="s">
        <v>2200</v>
      </c>
      <c r="C81" t="s">
        <v>1764</v>
      </c>
      <c r="D81" s="42">
        <v>152922</v>
      </c>
      <c r="E81" s="42">
        <v>332698</v>
      </c>
      <c r="H81" s="42">
        <v>142526</v>
      </c>
      <c r="Q81" s="69">
        <v>1669016</v>
      </c>
      <c r="R81" s="71">
        <v>783013.82686826494</v>
      </c>
      <c r="S81" s="72">
        <v>886002.17313173518</v>
      </c>
      <c r="T81" s="42">
        <v>61288</v>
      </c>
      <c r="AO81" s="36">
        <f t="shared" si="2"/>
        <v>4027466</v>
      </c>
    </row>
    <row r="82" spans="1:41">
      <c r="A82" s="50"/>
      <c r="B82" t="s">
        <v>2201</v>
      </c>
      <c r="C82" t="s">
        <v>1764</v>
      </c>
      <c r="E82" s="42">
        <v>235602</v>
      </c>
      <c r="H82" s="42">
        <v>1319156</v>
      </c>
      <c r="I82" s="42">
        <v>17500</v>
      </c>
      <c r="O82" s="42">
        <v>653</v>
      </c>
      <c r="Q82" s="69">
        <v>1532948</v>
      </c>
      <c r="R82" s="70">
        <v>719177.93470527127</v>
      </c>
      <c r="S82" s="70">
        <v>813770.06529472885</v>
      </c>
      <c r="AC82" s="42" t="s">
        <v>375</v>
      </c>
      <c r="AG82" s="52">
        <v>173863</v>
      </c>
      <c r="AH82" s="52"/>
      <c r="AI82" s="52"/>
      <c r="AO82" s="36">
        <f t="shared" si="2"/>
        <v>4812670</v>
      </c>
    </row>
    <row r="83" spans="1:41">
      <c r="A83" s="50"/>
      <c r="B83" t="s">
        <v>2202</v>
      </c>
      <c r="C83" t="s">
        <v>1764</v>
      </c>
      <c r="E83" s="42">
        <v>106306</v>
      </c>
      <c r="O83" s="42">
        <v>2201</v>
      </c>
      <c r="Q83" s="69">
        <v>2092541</v>
      </c>
      <c r="R83" s="70">
        <v>981709.30433785298</v>
      </c>
      <c r="S83" s="70">
        <v>1110831.6956621471</v>
      </c>
      <c r="AG83" s="52">
        <v>23032</v>
      </c>
      <c r="AH83" s="52"/>
      <c r="AI83" s="52"/>
      <c r="AO83" s="36">
        <f t="shared" si="2"/>
        <v>4316621</v>
      </c>
    </row>
    <row r="84" spans="1:41">
      <c r="A84" s="50"/>
      <c r="B84" t="s">
        <v>2203</v>
      </c>
      <c r="C84" t="s">
        <v>2117</v>
      </c>
      <c r="D84" s="42">
        <v>77640</v>
      </c>
      <c r="E84" s="42">
        <v>409080</v>
      </c>
      <c r="I84" s="42">
        <v>10596</v>
      </c>
      <c r="J84" s="42">
        <v>176104</v>
      </c>
      <c r="Q84" s="69">
        <v>1078927</v>
      </c>
      <c r="R84" s="70">
        <v>609081.53735442343</v>
      </c>
      <c r="S84" s="70">
        <v>469845.46264557657</v>
      </c>
      <c r="T84" s="42">
        <v>26216</v>
      </c>
      <c r="AO84" s="36">
        <f t="shared" si="2"/>
        <v>2857490</v>
      </c>
    </row>
    <row r="85" spans="1:41">
      <c r="A85" s="50"/>
      <c r="B85" t="s">
        <v>2204</v>
      </c>
      <c r="C85" t="s">
        <v>2117</v>
      </c>
      <c r="D85" s="42">
        <v>108883</v>
      </c>
      <c r="E85" s="42">
        <v>31334</v>
      </c>
      <c r="J85" s="42">
        <v>38796</v>
      </c>
      <c r="O85" s="42">
        <v>3032</v>
      </c>
      <c r="Q85" s="69">
        <v>1073355</v>
      </c>
      <c r="R85" s="70">
        <v>613841.16114281595</v>
      </c>
      <c r="S85" s="70">
        <v>459513.83885718387</v>
      </c>
      <c r="T85" s="42">
        <v>74619</v>
      </c>
      <c r="AO85" s="36">
        <f t="shared" si="2"/>
        <v>2403373.9999999995</v>
      </c>
    </row>
    <row r="86" spans="1:41">
      <c r="A86" s="50"/>
      <c r="B86" t="s">
        <v>2205</v>
      </c>
      <c r="C86" t="s">
        <v>1764</v>
      </c>
      <c r="H86" s="42">
        <v>206013</v>
      </c>
      <c r="J86" s="42">
        <v>86734</v>
      </c>
      <c r="L86" s="42">
        <v>506798</v>
      </c>
      <c r="O86" s="42">
        <v>314</v>
      </c>
      <c r="Q86" s="69">
        <v>3533526</v>
      </c>
      <c r="R86" s="70">
        <v>1657743.0747209808</v>
      </c>
      <c r="S86" s="70">
        <v>1875782.9252790192</v>
      </c>
      <c r="AO86" s="36">
        <f t="shared" si="2"/>
        <v>7866911</v>
      </c>
    </row>
    <row r="87" spans="1:41">
      <c r="A87" s="50"/>
      <c r="B87" t="s">
        <v>2206</v>
      </c>
      <c r="C87" t="s">
        <v>1764</v>
      </c>
      <c r="H87" s="42">
        <v>268959</v>
      </c>
      <c r="I87" s="42">
        <v>40389</v>
      </c>
      <c r="J87" s="42">
        <v>17692</v>
      </c>
      <c r="L87" s="42">
        <v>149435</v>
      </c>
      <c r="O87" s="42">
        <v>116479</v>
      </c>
      <c r="Q87" s="69">
        <v>3397806</v>
      </c>
      <c r="R87" s="70">
        <v>1594070.4457092993</v>
      </c>
      <c r="S87" s="70">
        <v>1803735.5542907009</v>
      </c>
      <c r="AO87" s="36">
        <f t="shared" si="2"/>
        <v>7388566</v>
      </c>
    </row>
    <row r="88" spans="1:41">
      <c r="A88" s="50"/>
      <c r="B88" t="s">
        <v>2096</v>
      </c>
      <c r="C88" t="s">
        <v>2117</v>
      </c>
      <c r="D88" s="42">
        <v>3773</v>
      </c>
      <c r="E88" s="42">
        <v>59939</v>
      </c>
      <c r="J88" s="42">
        <v>63296</v>
      </c>
      <c r="Q88" s="69">
        <v>1583116</v>
      </c>
      <c r="R88" s="70">
        <v>895694.64716250612</v>
      </c>
      <c r="S88" s="70">
        <v>687421.35283749364</v>
      </c>
      <c r="T88" s="42">
        <v>51703</v>
      </c>
      <c r="U88" s="42">
        <v>454667</v>
      </c>
      <c r="AO88" s="36">
        <f t="shared" si="2"/>
        <v>3799610</v>
      </c>
    </row>
    <row r="89" spans="1:41">
      <c r="A89" s="50"/>
      <c r="B89" t="s">
        <v>2097</v>
      </c>
      <c r="C89" t="s">
        <v>1764</v>
      </c>
      <c r="H89" s="42">
        <v>560075</v>
      </c>
      <c r="J89" s="42">
        <v>13098</v>
      </c>
      <c r="L89" s="42">
        <v>472382</v>
      </c>
      <c r="Q89" s="69">
        <v>1182735</v>
      </c>
      <c r="R89" s="70">
        <v>554876.56111207884</v>
      </c>
      <c r="S89" s="70">
        <v>627858.43888792128</v>
      </c>
      <c r="AO89" s="36">
        <f t="shared" si="2"/>
        <v>3411025</v>
      </c>
    </row>
    <row r="90" spans="1:41">
      <c r="A90" s="50"/>
      <c r="B90" t="s">
        <v>2098</v>
      </c>
      <c r="C90" t="s">
        <v>1764</v>
      </c>
      <c r="E90" s="42">
        <v>53552</v>
      </c>
      <c r="O90" s="42">
        <v>2352</v>
      </c>
      <c r="Q90" s="69">
        <v>1148559</v>
      </c>
      <c r="R90" s="70">
        <v>538842.99370047229</v>
      </c>
      <c r="S90" s="70">
        <v>609716.00629952771</v>
      </c>
      <c r="AG90" s="52">
        <v>59595</v>
      </c>
      <c r="AH90" s="52"/>
      <c r="AI90" s="52"/>
      <c r="AO90" s="36">
        <f t="shared" si="2"/>
        <v>2412617</v>
      </c>
    </row>
    <row r="91" spans="1:41">
      <c r="A91" s="50"/>
      <c r="B91" t="s">
        <v>2099</v>
      </c>
      <c r="C91" t="s">
        <v>1764</v>
      </c>
      <c r="D91" s="42">
        <v>125406</v>
      </c>
      <c r="E91" s="42">
        <v>131725</v>
      </c>
      <c r="H91" s="42">
        <v>2440</v>
      </c>
      <c r="J91" s="42">
        <v>15805</v>
      </c>
      <c r="Q91" s="69">
        <v>1194011</v>
      </c>
      <c r="R91" s="70">
        <v>560166.66253217694</v>
      </c>
      <c r="S91" s="70">
        <v>633844.33746782306</v>
      </c>
      <c r="AO91" s="36">
        <f t="shared" si="2"/>
        <v>2663398</v>
      </c>
    </row>
    <row r="92" spans="1:41">
      <c r="A92" s="50"/>
      <c r="B92" t="s">
        <v>2100</v>
      </c>
      <c r="C92" t="s">
        <v>1764</v>
      </c>
      <c r="D92" s="42">
        <v>39110</v>
      </c>
      <c r="E92" s="42">
        <v>245300</v>
      </c>
      <c r="L92" s="42">
        <v>2500</v>
      </c>
      <c r="O92" s="42">
        <v>24316</v>
      </c>
      <c r="Q92" s="69">
        <v>4961068</v>
      </c>
      <c r="R92" s="70">
        <v>2324256.577788563</v>
      </c>
      <c r="S92" s="70">
        <v>2636811.422211437</v>
      </c>
      <c r="T92" s="42">
        <v>52064</v>
      </c>
      <c r="AB92" s="42">
        <v>165314</v>
      </c>
      <c r="AO92" s="36">
        <f t="shared" si="2"/>
        <v>10450740</v>
      </c>
    </row>
    <row r="93" spans="1:41">
      <c r="A93" s="50"/>
      <c r="B93" t="s">
        <v>2101</v>
      </c>
      <c r="C93" t="s">
        <v>1764</v>
      </c>
      <c r="H93" s="42">
        <v>32348</v>
      </c>
      <c r="M93" s="42">
        <v>227200</v>
      </c>
      <c r="Q93" s="69">
        <v>2151681</v>
      </c>
      <c r="R93" s="70">
        <v>1009454.6571211631</v>
      </c>
      <c r="S93" s="70">
        <v>1142226.3428788371</v>
      </c>
      <c r="AO93" s="36">
        <f t="shared" si="2"/>
        <v>4562910</v>
      </c>
    </row>
    <row r="94" spans="1:41">
      <c r="A94" s="50"/>
      <c r="B94" t="s">
        <v>2198</v>
      </c>
      <c r="C94" t="s">
        <v>1764</v>
      </c>
      <c r="H94" s="42">
        <v>15010</v>
      </c>
      <c r="I94" s="42">
        <v>2735094</v>
      </c>
      <c r="J94" s="42">
        <v>4110</v>
      </c>
      <c r="Q94" s="69">
        <v>5436684</v>
      </c>
      <c r="R94" s="70">
        <v>2550603.9153090599</v>
      </c>
      <c r="S94" s="70">
        <v>2886080.0846909401</v>
      </c>
      <c r="AB94" s="42">
        <v>194345</v>
      </c>
      <c r="AC94" s="42" t="s">
        <v>374</v>
      </c>
      <c r="AD94" s="42" t="s">
        <v>315</v>
      </c>
      <c r="AK94" s="52">
        <v>212965</v>
      </c>
      <c r="AL94" s="52"/>
      <c r="AM94" s="52"/>
      <c r="AO94" s="36">
        <f t="shared" si="2"/>
        <v>14034892</v>
      </c>
    </row>
    <row r="95" spans="1:41">
      <c r="A95" s="50"/>
      <c r="B95" t="s">
        <v>213</v>
      </c>
      <c r="C95" t="s">
        <v>1764</v>
      </c>
      <c r="H95" s="42">
        <v>4773</v>
      </c>
      <c r="J95" s="42">
        <v>14847</v>
      </c>
      <c r="L95" s="42">
        <v>239950</v>
      </c>
      <c r="Q95" s="69">
        <v>4229282</v>
      </c>
      <c r="R95" s="70">
        <v>1984154.9054802766</v>
      </c>
      <c r="S95" s="70">
        <v>2245127.0945197237</v>
      </c>
      <c r="AO95" s="36">
        <f t="shared" si="2"/>
        <v>8718134</v>
      </c>
    </row>
  </sheetData>
  <autoFilter ref="C1:C94"/>
  <phoneticPr fontId="1" type="noConversion"/>
  <hyperlinks>
    <hyperlink ref="AE23" r:id="rId1"/>
    <hyperlink ref="AD63" r:id="rId2"/>
    <hyperlink ref="AD51" r:id="rId3"/>
    <hyperlink ref="AD41" r:id="rId4"/>
  </hyperlinks>
  <pageMargins left="0.75" right="0.75" top="1" bottom="1" header="0.5" footer="0.5"/>
  <headerFooter alignWithMargins="0"/>
  <legacyDrawing r:id="rId5"/>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O1206"/>
  <sheetViews>
    <sheetView workbookViewId="0">
      <pane ySplit="3" topLeftCell="A4" activePane="bottomLeft" state="frozen"/>
      <selection pane="bottomLeft" activeCell="O197" sqref="O197"/>
    </sheetView>
  </sheetViews>
  <sheetFormatPr baseColWidth="10" defaultColWidth="8.83203125" defaultRowHeight="12"/>
  <cols>
    <col min="1" max="2" width="41.5" customWidth="1"/>
    <col min="3" max="3" width="10.6640625" customWidth="1"/>
    <col min="4" max="4" width="10.6640625" style="92" customWidth="1"/>
    <col min="5" max="5" width="15.33203125" style="92" customWidth="1"/>
    <col min="6" max="6" width="10.6640625" style="92" customWidth="1"/>
    <col min="7" max="7" width="13.33203125" style="92" customWidth="1"/>
    <col min="8" max="9" width="10.5" style="91" customWidth="1"/>
    <col min="10" max="10" width="13" style="91" customWidth="1"/>
    <col min="11" max="11" width="12.1640625" style="91" customWidth="1"/>
    <col min="12" max="14" width="10.5" style="91" customWidth="1"/>
    <col min="15" max="15" width="13.5" style="91" customWidth="1"/>
    <col min="16" max="17" width="10.6640625" style="93" customWidth="1"/>
    <col min="18" max="18" width="12.1640625" style="93" customWidth="1"/>
    <col min="19" max="21" width="14.5" style="94" customWidth="1"/>
    <col min="22" max="22" width="12" style="94" customWidth="1"/>
    <col min="23" max="23" width="14.5" style="94" customWidth="1"/>
    <col min="24" max="24" width="22.1640625" style="94" customWidth="1"/>
    <col min="25" max="25" width="14.5" style="94" customWidth="1"/>
    <col min="26" max="33" width="10.6640625" style="95" customWidth="1"/>
    <col min="34" max="35" width="10.6640625" style="96" customWidth="1"/>
    <col min="36" max="36" width="12.5" style="95" customWidth="1"/>
    <col min="37" max="37" width="14.5" style="42" customWidth="1"/>
    <col min="40" max="41" width="10.6640625" style="42" customWidth="1"/>
  </cols>
  <sheetData>
    <row r="1" spans="1:41">
      <c r="A1" s="97" t="s">
        <v>2207</v>
      </c>
      <c r="B1" s="97"/>
      <c r="C1" s="97"/>
      <c r="D1" s="98"/>
      <c r="E1" s="99"/>
      <c r="F1" s="98"/>
      <c r="G1" s="98"/>
      <c r="H1" s="100"/>
      <c r="I1" s="100"/>
      <c r="J1" s="101"/>
      <c r="K1" s="100"/>
      <c r="L1" s="100"/>
      <c r="M1" s="100"/>
      <c r="N1" s="100"/>
      <c r="O1" s="100"/>
      <c r="P1" s="102"/>
      <c r="Q1" s="102"/>
      <c r="R1" s="102"/>
      <c r="S1" s="103"/>
      <c r="T1" s="103"/>
      <c r="U1" s="103"/>
      <c r="V1" s="103"/>
      <c r="W1" s="103"/>
      <c r="X1" s="103"/>
      <c r="Y1" s="103"/>
      <c r="Z1" s="104"/>
      <c r="AA1" s="104"/>
      <c r="AB1" s="104"/>
      <c r="AC1" s="104"/>
      <c r="AD1" s="104"/>
      <c r="AE1" s="104"/>
      <c r="AF1" s="104"/>
      <c r="AG1" s="104"/>
      <c r="AH1" s="104"/>
      <c r="AI1" s="104"/>
      <c r="AJ1" s="104"/>
      <c r="AK1" s="105"/>
      <c r="AN1" s="51"/>
    </row>
    <row r="2" spans="1:41">
      <c r="A2" s="97" t="s">
        <v>2208</v>
      </c>
      <c r="B2" s="124" t="s">
        <v>82</v>
      </c>
      <c r="C2" s="97"/>
      <c r="D2" s="98" t="s">
        <v>297</v>
      </c>
      <c r="E2" s="99" t="s">
        <v>297</v>
      </c>
      <c r="F2" s="98" t="s">
        <v>297</v>
      </c>
      <c r="G2" s="99" t="s">
        <v>360</v>
      </c>
      <c r="H2" s="100" t="s">
        <v>299</v>
      </c>
      <c r="I2" s="100" t="s">
        <v>299</v>
      </c>
      <c r="J2" s="101" t="s">
        <v>299</v>
      </c>
      <c r="K2" s="100" t="s">
        <v>299</v>
      </c>
      <c r="L2" s="100" t="s">
        <v>299</v>
      </c>
      <c r="M2" s="100" t="s">
        <v>299</v>
      </c>
      <c r="N2" s="100" t="s">
        <v>299</v>
      </c>
      <c r="O2" s="101" t="s">
        <v>361</v>
      </c>
      <c r="P2" s="102" t="s">
        <v>362</v>
      </c>
      <c r="Q2" s="106" t="s">
        <v>362</v>
      </c>
      <c r="R2" s="102" t="s">
        <v>362</v>
      </c>
      <c r="S2" s="103" t="s">
        <v>298</v>
      </c>
      <c r="T2" s="103" t="s">
        <v>298</v>
      </c>
      <c r="U2" s="103" t="s">
        <v>298</v>
      </c>
      <c r="V2" s="103" t="s">
        <v>298</v>
      </c>
      <c r="W2" s="103" t="s">
        <v>298</v>
      </c>
      <c r="X2" s="103" t="s">
        <v>298</v>
      </c>
      <c r="Y2" s="103" t="s">
        <v>298</v>
      </c>
      <c r="Z2" s="104" t="s">
        <v>325</v>
      </c>
      <c r="AA2" s="104" t="s">
        <v>300</v>
      </c>
      <c r="AB2" s="104" t="s">
        <v>300</v>
      </c>
      <c r="AC2" s="104" t="s">
        <v>300</v>
      </c>
      <c r="AD2" s="104" t="s">
        <v>300</v>
      </c>
      <c r="AE2" s="104" t="s">
        <v>300</v>
      </c>
      <c r="AF2" s="104" t="s">
        <v>300</v>
      </c>
      <c r="AG2" s="104" t="s">
        <v>300</v>
      </c>
      <c r="AH2" s="104" t="s">
        <v>300</v>
      </c>
      <c r="AI2" s="104" t="s">
        <v>300</v>
      </c>
      <c r="AJ2" s="104" t="s">
        <v>300</v>
      </c>
      <c r="AK2" s="105"/>
      <c r="AN2" s="42" t="s">
        <v>324</v>
      </c>
      <c r="AO2" s="42" t="s">
        <v>324</v>
      </c>
    </row>
    <row r="3" spans="1:41">
      <c r="A3" s="97"/>
      <c r="B3" s="97" t="s">
        <v>81</v>
      </c>
      <c r="C3" s="97" t="s">
        <v>1763</v>
      </c>
      <c r="D3" s="98" t="s">
        <v>2228</v>
      </c>
      <c r="E3" s="99" t="s">
        <v>503</v>
      </c>
      <c r="F3" s="98" t="s">
        <v>2161</v>
      </c>
      <c r="G3" s="98" t="s">
        <v>2236</v>
      </c>
      <c r="H3" s="100" t="s">
        <v>2210</v>
      </c>
      <c r="I3" s="100" t="s">
        <v>2220</v>
      </c>
      <c r="J3" s="101" t="s">
        <v>504</v>
      </c>
      <c r="K3" s="100" t="s">
        <v>2224</v>
      </c>
      <c r="L3" s="100" t="s">
        <v>2250</v>
      </c>
      <c r="M3" s="100" t="s">
        <v>2161</v>
      </c>
      <c r="N3" s="100" t="s">
        <v>2182</v>
      </c>
      <c r="O3" s="100" t="s">
        <v>2236</v>
      </c>
      <c r="P3" s="102" t="s">
        <v>2211</v>
      </c>
      <c r="Q3" s="102" t="s">
        <v>2236</v>
      </c>
      <c r="R3" s="102" t="s">
        <v>2182</v>
      </c>
      <c r="S3" s="103" t="s">
        <v>2212</v>
      </c>
      <c r="T3" s="103" t="s">
        <v>2214</v>
      </c>
      <c r="U3" s="103" t="s">
        <v>2216</v>
      </c>
      <c r="V3" s="103" t="s">
        <v>2221</v>
      </c>
      <c r="W3" s="103" t="s">
        <v>2222</v>
      </c>
      <c r="X3" s="103" t="s">
        <v>2234</v>
      </c>
      <c r="Y3" s="103" t="s">
        <v>2237</v>
      </c>
      <c r="Z3" s="104" t="s">
        <v>2180</v>
      </c>
      <c r="AA3" s="104" t="s">
        <v>2218</v>
      </c>
      <c r="AB3" s="104" t="s">
        <v>2219</v>
      </c>
      <c r="AC3" s="104" t="s">
        <v>2225</v>
      </c>
      <c r="AD3" s="104" t="s">
        <v>2229</v>
      </c>
      <c r="AE3" s="104" t="s">
        <v>2236</v>
      </c>
      <c r="AF3" s="104" t="s">
        <v>2241</v>
      </c>
      <c r="AG3" s="104" t="s">
        <v>2242</v>
      </c>
      <c r="AH3" s="104" t="s">
        <v>2261</v>
      </c>
      <c r="AI3" s="104" t="s">
        <v>2161</v>
      </c>
      <c r="AJ3" s="104" t="s">
        <v>2182</v>
      </c>
      <c r="AK3" s="107" t="s">
        <v>1737</v>
      </c>
      <c r="AN3" s="42" t="s">
        <v>2215</v>
      </c>
      <c r="AO3" s="42" t="s">
        <v>2223</v>
      </c>
    </row>
    <row r="4" spans="1:41">
      <c r="A4" s="97" t="s">
        <v>2243</v>
      </c>
      <c r="B4" s="97">
        <v>306</v>
      </c>
      <c r="C4" s="97" t="s">
        <v>1766</v>
      </c>
      <c r="D4" s="98"/>
      <c r="E4" s="99">
        <v>2148294.4236212238</v>
      </c>
      <c r="F4" s="98"/>
      <c r="G4" s="98"/>
      <c r="H4" s="100"/>
      <c r="I4" s="100"/>
      <c r="J4" s="101">
        <v>1648637.5763787758</v>
      </c>
      <c r="K4" s="100"/>
      <c r="L4" s="100"/>
      <c r="M4" s="100"/>
      <c r="N4" s="100"/>
      <c r="O4" s="100"/>
      <c r="P4" s="102"/>
      <c r="Q4" s="102"/>
      <c r="R4" s="102"/>
      <c r="S4" s="103"/>
      <c r="T4" s="103"/>
      <c r="U4" s="103"/>
      <c r="V4" s="103"/>
      <c r="W4" s="103">
        <v>898</v>
      </c>
      <c r="X4" s="103"/>
      <c r="Y4" s="103"/>
      <c r="Z4" s="104"/>
      <c r="AA4" s="104"/>
      <c r="AB4" s="104">
        <v>410647</v>
      </c>
      <c r="AC4" s="104"/>
      <c r="AD4" s="104"/>
      <c r="AE4" s="104"/>
      <c r="AF4" s="104"/>
      <c r="AG4" s="104"/>
      <c r="AH4" s="104"/>
      <c r="AI4" s="104"/>
      <c r="AJ4" s="104"/>
      <c r="AK4" s="108">
        <f>SUM(D4:AJ4)</f>
        <v>4208477</v>
      </c>
    </row>
    <row r="5" spans="1:41">
      <c r="A5" s="97" t="s">
        <v>2244</v>
      </c>
      <c r="B5" s="97">
        <v>499</v>
      </c>
      <c r="C5" s="97" t="s">
        <v>1766</v>
      </c>
      <c r="D5" s="98"/>
      <c r="E5" s="99">
        <v>2839171.6633101907</v>
      </c>
      <c r="F5" s="98"/>
      <c r="G5" s="98"/>
      <c r="H5" s="100">
        <v>29466</v>
      </c>
      <c r="I5" s="100"/>
      <c r="J5" s="101">
        <v>4228029.3366898084</v>
      </c>
      <c r="K5" s="100"/>
      <c r="L5" s="100"/>
      <c r="M5" s="100"/>
      <c r="N5" s="100"/>
      <c r="O5" s="100"/>
      <c r="P5" s="102">
        <v>226444</v>
      </c>
      <c r="Q5" s="102"/>
      <c r="R5" s="102"/>
      <c r="S5" s="103"/>
      <c r="T5" s="103">
        <v>5340</v>
      </c>
      <c r="U5" s="103">
        <v>37672</v>
      </c>
      <c r="V5" s="103"/>
      <c r="W5" s="103">
        <v>58124</v>
      </c>
      <c r="X5" s="103"/>
      <c r="Y5" s="103">
        <v>176450</v>
      </c>
      <c r="Z5" s="104"/>
      <c r="AA5" s="104"/>
      <c r="AB5" s="104"/>
      <c r="AC5" s="104"/>
      <c r="AD5" s="104"/>
      <c r="AE5" s="104"/>
      <c r="AF5" s="104"/>
      <c r="AG5" s="104"/>
      <c r="AH5" s="104"/>
      <c r="AI5" s="104"/>
      <c r="AJ5" s="104"/>
      <c r="AK5" s="108">
        <f>SUM(D5:AJ5)</f>
        <v>7600696.9999999991</v>
      </c>
      <c r="AN5" s="42">
        <v>462000</v>
      </c>
    </row>
    <row r="6" spans="1:41">
      <c r="A6" s="97" t="s">
        <v>2262</v>
      </c>
      <c r="B6" s="97">
        <v>179</v>
      </c>
      <c r="C6" s="97" t="s">
        <v>1766</v>
      </c>
      <c r="D6" s="98"/>
      <c r="E6" s="99">
        <v>672623.37099330919</v>
      </c>
      <c r="F6" s="98"/>
      <c r="G6" s="98"/>
      <c r="H6" s="100">
        <v>50000</v>
      </c>
      <c r="I6" s="100"/>
      <c r="J6" s="101">
        <v>1223203.6290066906</v>
      </c>
      <c r="K6" s="100"/>
      <c r="L6" s="100"/>
      <c r="M6" s="100"/>
      <c r="N6" s="100"/>
      <c r="O6" s="100"/>
      <c r="P6" s="102">
        <v>326544</v>
      </c>
      <c r="Q6" s="102"/>
      <c r="R6" s="102"/>
      <c r="S6" s="103"/>
      <c r="T6" s="103">
        <v>7180</v>
      </c>
      <c r="U6" s="103">
        <v>7278</v>
      </c>
      <c r="V6" s="103"/>
      <c r="W6" s="103">
        <v>11593</v>
      </c>
      <c r="X6" s="103"/>
      <c r="Y6" s="103"/>
      <c r="Z6" s="104"/>
      <c r="AA6" s="104"/>
      <c r="AB6" s="104"/>
      <c r="AC6" s="104"/>
      <c r="AD6" s="104"/>
      <c r="AE6" s="104"/>
      <c r="AF6" s="104"/>
      <c r="AG6" s="104"/>
      <c r="AH6" s="104"/>
      <c r="AI6" s="104"/>
      <c r="AJ6" s="104"/>
      <c r="AK6" s="108">
        <f t="shared" ref="AK6:AK69" si="0">SUM(D6:AJ6)</f>
        <v>2298422</v>
      </c>
      <c r="AO6" s="42">
        <v>-66197</v>
      </c>
    </row>
    <row r="7" spans="1:41">
      <c r="A7" s="119" t="s">
        <v>2264</v>
      </c>
      <c r="B7" s="97">
        <v>1402</v>
      </c>
      <c r="C7" s="119" t="s">
        <v>1766</v>
      </c>
      <c r="D7" s="98"/>
      <c r="E7" s="99">
        <v>2697653.7497560144</v>
      </c>
      <c r="F7" s="98"/>
      <c r="G7" s="98"/>
      <c r="H7" s="100">
        <v>29909</v>
      </c>
      <c r="I7" s="100"/>
      <c r="J7" s="101">
        <v>10703605.250243988</v>
      </c>
      <c r="K7" s="100">
        <v>990404</v>
      </c>
      <c r="L7" s="100"/>
      <c r="M7" s="100"/>
      <c r="N7" s="100"/>
      <c r="O7" s="100"/>
      <c r="P7" s="102">
        <v>1734293</v>
      </c>
      <c r="Q7" s="102"/>
      <c r="R7" s="102"/>
      <c r="S7" s="103"/>
      <c r="T7" s="103"/>
      <c r="U7" s="103">
        <v>154644</v>
      </c>
      <c r="V7" s="103"/>
      <c r="W7" s="103">
        <v>386682</v>
      </c>
      <c r="X7" s="103"/>
      <c r="Y7" s="103"/>
      <c r="Z7" s="104"/>
      <c r="AA7" s="104"/>
      <c r="AB7" s="104"/>
      <c r="AC7" s="104">
        <v>22237</v>
      </c>
      <c r="AD7" s="104"/>
      <c r="AE7" s="104"/>
      <c r="AF7" s="104"/>
      <c r="AG7" s="104"/>
      <c r="AH7" s="104"/>
      <c r="AI7" s="104"/>
      <c r="AJ7" s="104"/>
      <c r="AK7" s="108">
        <f t="shared" si="0"/>
        <v>16719428.000000002</v>
      </c>
    </row>
    <row r="8" spans="1:41">
      <c r="A8" s="97" t="s">
        <v>2265</v>
      </c>
      <c r="B8" s="97">
        <v>284</v>
      </c>
      <c r="C8" s="97" t="s">
        <v>1766</v>
      </c>
      <c r="D8" s="98"/>
      <c r="E8" s="99">
        <v>1091870.4667502537</v>
      </c>
      <c r="F8" s="98"/>
      <c r="G8" s="98"/>
      <c r="H8" s="100">
        <v>152247</v>
      </c>
      <c r="I8" s="100"/>
      <c r="J8" s="101">
        <v>1563825.5332497461</v>
      </c>
      <c r="K8" s="100"/>
      <c r="L8" s="100"/>
      <c r="M8" s="100"/>
      <c r="N8" s="100"/>
      <c r="O8" s="100"/>
      <c r="P8" s="102">
        <v>156632</v>
      </c>
      <c r="Q8" s="102"/>
      <c r="R8" s="102"/>
      <c r="S8" s="103"/>
      <c r="T8" s="103">
        <v>5200</v>
      </c>
      <c r="U8" s="103"/>
      <c r="V8" s="103"/>
      <c r="W8" s="103">
        <v>819</v>
      </c>
      <c r="X8" s="103"/>
      <c r="Y8" s="103">
        <v>86595</v>
      </c>
      <c r="Z8" s="104"/>
      <c r="AA8" s="104"/>
      <c r="AB8" s="104"/>
      <c r="AC8" s="104"/>
      <c r="AD8" s="104"/>
      <c r="AE8" s="104"/>
      <c r="AF8" s="104"/>
      <c r="AG8" s="104"/>
      <c r="AH8" s="104"/>
      <c r="AI8" s="104"/>
      <c r="AJ8" s="104"/>
      <c r="AK8" s="108">
        <f t="shared" si="0"/>
        <v>3057189</v>
      </c>
    </row>
    <row r="9" spans="1:41">
      <c r="A9" s="97" t="s">
        <v>2157</v>
      </c>
      <c r="B9" s="97">
        <v>60</v>
      </c>
      <c r="C9" s="97" t="s">
        <v>1766</v>
      </c>
      <c r="D9" s="98"/>
      <c r="E9" s="99"/>
      <c r="F9" s="98"/>
      <c r="G9" s="98"/>
      <c r="H9" s="100">
        <v>21382</v>
      </c>
      <c r="I9" s="100"/>
      <c r="J9" s="101"/>
      <c r="K9" s="100">
        <v>831695</v>
      </c>
      <c r="L9" s="100"/>
      <c r="M9" s="100"/>
      <c r="N9" s="100"/>
      <c r="O9" s="100"/>
      <c r="P9" s="102"/>
      <c r="Q9" s="102"/>
      <c r="R9" s="102"/>
      <c r="S9" s="103"/>
      <c r="T9" s="103">
        <v>62667</v>
      </c>
      <c r="U9" s="103">
        <v>9871</v>
      </c>
      <c r="V9" s="103"/>
      <c r="W9" s="103"/>
      <c r="X9" s="103"/>
      <c r="Y9" s="103"/>
      <c r="Z9" s="104"/>
      <c r="AA9" s="104"/>
      <c r="AB9" s="104"/>
      <c r="AC9" s="104"/>
      <c r="AD9" s="104"/>
      <c r="AE9" s="104"/>
      <c r="AF9" s="104"/>
      <c r="AG9" s="104"/>
      <c r="AH9" s="104"/>
      <c r="AI9" s="104"/>
      <c r="AJ9" s="104"/>
      <c r="AK9" s="108">
        <f t="shared" si="0"/>
        <v>925615</v>
      </c>
    </row>
    <row r="10" spans="1:41">
      <c r="A10" s="97" t="s">
        <v>2172</v>
      </c>
      <c r="B10" s="97">
        <v>212</v>
      </c>
      <c r="C10" s="97" t="s">
        <v>1766</v>
      </c>
      <c r="D10" s="98"/>
      <c r="E10" s="99">
        <v>572500.6273664172</v>
      </c>
      <c r="F10" s="98"/>
      <c r="G10" s="98"/>
      <c r="H10" s="100"/>
      <c r="I10" s="100"/>
      <c r="J10" s="101">
        <v>1475043.3726335829</v>
      </c>
      <c r="K10" s="100">
        <v>26756</v>
      </c>
      <c r="L10" s="100"/>
      <c r="M10" s="100"/>
      <c r="N10" s="100"/>
      <c r="O10" s="100"/>
      <c r="P10" s="102">
        <v>164547</v>
      </c>
      <c r="Q10" s="102"/>
      <c r="R10" s="102"/>
      <c r="S10" s="103"/>
      <c r="T10" s="103">
        <v>83500</v>
      </c>
      <c r="U10" s="103">
        <v>50479</v>
      </c>
      <c r="V10" s="103"/>
      <c r="W10" s="103">
        <v>51505</v>
      </c>
      <c r="X10" s="103"/>
      <c r="Y10" s="103">
        <v>50037</v>
      </c>
      <c r="Z10" s="104"/>
      <c r="AA10" s="104"/>
      <c r="AB10" s="104"/>
      <c r="AC10" s="104"/>
      <c r="AD10" s="104"/>
      <c r="AE10" s="104"/>
      <c r="AF10" s="104"/>
      <c r="AG10" s="104"/>
      <c r="AH10" s="104"/>
      <c r="AI10" s="104"/>
      <c r="AJ10" s="104"/>
      <c r="AK10" s="108">
        <f t="shared" si="0"/>
        <v>2474368</v>
      </c>
    </row>
    <row r="11" spans="1:41">
      <c r="A11" s="97" t="s">
        <v>2174</v>
      </c>
      <c r="B11" s="97">
        <v>381</v>
      </c>
      <c r="C11" s="97" t="s">
        <v>1766</v>
      </c>
      <c r="D11" s="98"/>
      <c r="E11" s="99">
        <v>938733.73213465814</v>
      </c>
      <c r="F11" s="98"/>
      <c r="G11" s="98"/>
      <c r="H11" s="100"/>
      <c r="I11" s="100"/>
      <c r="J11" s="101">
        <v>2695432.2678653416</v>
      </c>
      <c r="K11" s="100">
        <v>93295</v>
      </c>
      <c r="L11" s="100"/>
      <c r="M11" s="100"/>
      <c r="N11" s="100"/>
      <c r="O11" s="100"/>
      <c r="P11" s="102">
        <v>520538</v>
      </c>
      <c r="Q11" s="102"/>
      <c r="R11" s="102"/>
      <c r="S11" s="103"/>
      <c r="T11" s="103">
        <v>6500</v>
      </c>
      <c r="U11" s="103">
        <v>55159</v>
      </c>
      <c r="V11" s="103"/>
      <c r="W11" s="103"/>
      <c r="X11" s="103"/>
      <c r="Y11" s="103"/>
      <c r="Z11" s="104"/>
      <c r="AA11" s="104"/>
      <c r="AB11" s="104"/>
      <c r="AC11" s="104"/>
      <c r="AD11" s="104"/>
      <c r="AE11" s="104"/>
      <c r="AF11" s="104"/>
      <c r="AG11" s="104"/>
      <c r="AH11" s="104"/>
      <c r="AI11" s="104"/>
      <c r="AJ11" s="104"/>
      <c r="AK11" s="108">
        <f t="shared" si="0"/>
        <v>4309658</v>
      </c>
    </row>
    <row r="12" spans="1:41">
      <c r="A12" s="97" t="s">
        <v>2181</v>
      </c>
      <c r="B12" s="97">
        <v>290</v>
      </c>
      <c r="C12" s="97" t="s">
        <v>1766</v>
      </c>
      <c r="D12" s="98"/>
      <c r="E12" s="99">
        <v>657375.74568833841</v>
      </c>
      <c r="F12" s="98"/>
      <c r="G12" s="98"/>
      <c r="H12" s="100"/>
      <c r="I12" s="100"/>
      <c r="J12" s="101">
        <v>2069503.2543116615</v>
      </c>
      <c r="K12" s="100">
        <v>80776</v>
      </c>
      <c r="L12" s="100"/>
      <c r="M12" s="100"/>
      <c r="N12" s="100"/>
      <c r="O12" s="100"/>
      <c r="P12" s="102"/>
      <c r="Q12" s="102"/>
      <c r="R12" s="102">
        <v>896561</v>
      </c>
      <c r="S12" s="103"/>
      <c r="T12" s="103"/>
      <c r="U12" s="103">
        <v>4582</v>
      </c>
      <c r="V12" s="103"/>
      <c r="W12" s="103">
        <v>29845</v>
      </c>
      <c r="X12" s="103"/>
      <c r="Y12" s="103">
        <v>171176</v>
      </c>
      <c r="Z12" s="104"/>
      <c r="AA12" s="104"/>
      <c r="AB12" s="104"/>
      <c r="AC12" s="104"/>
      <c r="AD12" s="104"/>
      <c r="AE12" s="104"/>
      <c r="AF12" s="109"/>
      <c r="AG12" s="104"/>
      <c r="AH12" s="104"/>
      <c r="AI12" s="104"/>
      <c r="AJ12" s="104"/>
      <c r="AK12" s="108">
        <f t="shared" si="0"/>
        <v>3909819</v>
      </c>
    </row>
    <row r="13" spans="1:41">
      <c r="A13" s="97" t="s">
        <v>2184</v>
      </c>
      <c r="B13" s="97">
        <v>420</v>
      </c>
      <c r="C13" s="97" t="s">
        <v>1766</v>
      </c>
      <c r="D13" s="98">
        <v>13792</v>
      </c>
      <c r="E13" s="99">
        <v>815258.02772663918</v>
      </c>
      <c r="F13" s="98"/>
      <c r="G13" s="98"/>
      <c r="H13" s="100">
        <v>41971</v>
      </c>
      <c r="I13" s="100"/>
      <c r="J13" s="101">
        <v>2666286.9722733614</v>
      </c>
      <c r="K13" s="100"/>
      <c r="L13" s="100"/>
      <c r="M13" s="100"/>
      <c r="N13" s="100"/>
      <c r="O13" s="100"/>
      <c r="P13" s="102">
        <v>641876</v>
      </c>
      <c r="Q13" s="102"/>
      <c r="R13" s="102"/>
      <c r="S13" s="103">
        <v>257097</v>
      </c>
      <c r="T13" s="103"/>
      <c r="U13" s="103"/>
      <c r="V13" s="103"/>
      <c r="W13" s="103"/>
      <c r="X13" s="103"/>
      <c r="Y13" s="103"/>
      <c r="Z13" s="104"/>
      <c r="AA13" s="104"/>
      <c r="AB13" s="104"/>
      <c r="AC13" s="104"/>
      <c r="AD13" s="104"/>
      <c r="AE13" s="104"/>
      <c r="AF13" s="104"/>
      <c r="AG13" s="104"/>
      <c r="AH13" s="104"/>
      <c r="AI13" s="104"/>
      <c r="AJ13" s="104"/>
      <c r="AK13" s="108">
        <f t="shared" si="0"/>
        <v>4436281</v>
      </c>
    </row>
    <row r="14" spans="1:41">
      <c r="A14" s="97" t="s">
        <v>2185</v>
      </c>
      <c r="B14" s="97">
        <v>336</v>
      </c>
      <c r="C14" s="97" t="s">
        <v>1766</v>
      </c>
      <c r="D14" s="98"/>
      <c r="E14" s="99">
        <v>694872.7321289595</v>
      </c>
      <c r="F14" s="98"/>
      <c r="G14" s="98"/>
      <c r="H14" s="100">
        <v>3143</v>
      </c>
      <c r="I14" s="100"/>
      <c r="J14" s="101">
        <v>2116764.2678710409</v>
      </c>
      <c r="K14" s="100">
        <v>193844</v>
      </c>
      <c r="L14" s="100"/>
      <c r="M14" s="100"/>
      <c r="N14" s="100"/>
      <c r="O14" s="100"/>
      <c r="P14" s="102">
        <v>269634</v>
      </c>
      <c r="Q14" s="102"/>
      <c r="R14" s="102"/>
      <c r="S14" s="103"/>
      <c r="T14" s="103"/>
      <c r="U14" s="103">
        <v>23392</v>
      </c>
      <c r="V14" s="103"/>
      <c r="W14" s="103"/>
      <c r="X14" s="103"/>
      <c r="Y14" s="103"/>
      <c r="Z14" s="104"/>
      <c r="AA14" s="104"/>
      <c r="AB14" s="104"/>
      <c r="AC14" s="104"/>
      <c r="AD14" s="104"/>
      <c r="AE14" s="104"/>
      <c r="AF14" s="104"/>
      <c r="AG14" s="104"/>
      <c r="AH14" s="104"/>
      <c r="AI14" s="104"/>
      <c r="AJ14" s="104"/>
      <c r="AK14" s="108">
        <f t="shared" si="0"/>
        <v>3301650.0000000005</v>
      </c>
    </row>
    <row r="15" spans="1:41">
      <c r="A15" s="97" t="s">
        <v>2189</v>
      </c>
      <c r="B15" s="97">
        <v>81</v>
      </c>
      <c r="C15" s="97" t="s">
        <v>1766</v>
      </c>
      <c r="D15" s="98"/>
      <c r="E15" s="99">
        <v>168085.96746065025</v>
      </c>
      <c r="F15" s="98"/>
      <c r="G15" s="98"/>
      <c r="H15" s="100"/>
      <c r="I15" s="100"/>
      <c r="J15" s="101">
        <v>574985.03253934975</v>
      </c>
      <c r="K15" s="100"/>
      <c r="L15" s="100"/>
      <c r="M15" s="100"/>
      <c r="N15" s="100"/>
      <c r="O15" s="100"/>
      <c r="P15" s="102"/>
      <c r="Q15" s="102"/>
      <c r="R15" s="102"/>
      <c r="S15" s="103"/>
      <c r="T15" s="103">
        <v>288500</v>
      </c>
      <c r="U15" s="103">
        <v>4877</v>
      </c>
      <c r="V15" s="103"/>
      <c r="W15" s="103"/>
      <c r="X15" s="103"/>
      <c r="Y15" s="103"/>
      <c r="Z15" s="104"/>
      <c r="AA15" s="104"/>
      <c r="AB15" s="104">
        <v>619158</v>
      </c>
      <c r="AC15" s="104"/>
      <c r="AD15" s="104"/>
      <c r="AE15" s="104"/>
      <c r="AF15" s="104"/>
      <c r="AG15" s="104"/>
      <c r="AH15" s="104"/>
      <c r="AI15" s="104"/>
      <c r="AJ15" s="104"/>
      <c r="AK15" s="108">
        <f t="shared" si="0"/>
        <v>1655606</v>
      </c>
      <c r="AO15" s="42">
        <v>13525</v>
      </c>
    </row>
    <row r="16" spans="1:41">
      <c r="A16" s="97" t="s">
        <v>2191</v>
      </c>
      <c r="B16" s="97">
        <v>245</v>
      </c>
      <c r="C16" s="97" t="s">
        <v>1766</v>
      </c>
      <c r="D16" s="98"/>
      <c r="E16" s="99">
        <v>503021.17678036785</v>
      </c>
      <c r="F16" s="98"/>
      <c r="G16" s="98"/>
      <c r="H16" s="100"/>
      <c r="I16" s="100"/>
      <c r="J16" s="101">
        <v>1775214.8232196318</v>
      </c>
      <c r="K16" s="100">
        <v>144899</v>
      </c>
      <c r="L16" s="100"/>
      <c r="M16" s="100"/>
      <c r="N16" s="100"/>
      <c r="O16" s="100"/>
      <c r="P16" s="102"/>
      <c r="Q16" s="102"/>
      <c r="R16" s="102"/>
      <c r="S16" s="103"/>
      <c r="T16" s="103">
        <v>947</v>
      </c>
      <c r="U16" s="103">
        <v>28005</v>
      </c>
      <c r="V16" s="103"/>
      <c r="W16" s="103"/>
      <c r="X16" s="103"/>
      <c r="Y16" s="103"/>
      <c r="Z16" s="104">
        <v>23822</v>
      </c>
      <c r="AA16" s="104"/>
      <c r="AB16" s="104"/>
      <c r="AC16" s="104"/>
      <c r="AD16" s="104">
        <v>485722</v>
      </c>
      <c r="AE16" s="104"/>
      <c r="AF16" s="104"/>
      <c r="AG16" s="104"/>
      <c r="AH16" s="104"/>
      <c r="AI16" s="104"/>
      <c r="AJ16" s="104"/>
      <c r="AK16" s="108">
        <f t="shared" si="0"/>
        <v>2961630.9999999995</v>
      </c>
    </row>
    <row r="17" spans="1:41">
      <c r="A17" s="97" t="s">
        <v>2192</v>
      </c>
      <c r="B17" s="97">
        <v>264</v>
      </c>
      <c r="C17" s="97" t="s">
        <v>1766</v>
      </c>
      <c r="D17" s="98"/>
      <c r="E17" s="110">
        <v>576456.11965208617</v>
      </c>
      <c r="F17" s="98"/>
      <c r="G17" s="98"/>
      <c r="H17" s="100"/>
      <c r="I17" s="100"/>
      <c r="J17" s="111">
        <v>1933342.8803479136</v>
      </c>
      <c r="K17" s="100">
        <v>53436</v>
      </c>
      <c r="L17" s="100"/>
      <c r="M17" s="100"/>
      <c r="N17" s="100"/>
      <c r="O17" s="100"/>
      <c r="P17" s="102">
        <v>276513</v>
      </c>
      <c r="Q17" s="102"/>
      <c r="R17" s="102"/>
      <c r="S17" s="103"/>
      <c r="T17" s="103"/>
      <c r="U17" s="103">
        <v>11665</v>
      </c>
      <c r="V17" s="103"/>
      <c r="W17" s="103">
        <v>8873</v>
      </c>
      <c r="X17" s="103"/>
      <c r="Y17" s="103">
        <v>119446</v>
      </c>
      <c r="Z17" s="104"/>
      <c r="AA17" s="104"/>
      <c r="AB17" s="104"/>
      <c r="AC17" s="104"/>
      <c r="AD17" s="104"/>
      <c r="AE17" s="104"/>
      <c r="AF17" s="104"/>
      <c r="AG17" s="104"/>
      <c r="AH17" s="104"/>
      <c r="AI17" s="104"/>
      <c r="AJ17" s="104"/>
      <c r="AK17" s="108">
        <f t="shared" si="0"/>
        <v>2979732</v>
      </c>
    </row>
    <row r="18" spans="1:41">
      <c r="A18" s="97" t="s">
        <v>2196</v>
      </c>
      <c r="B18" s="97">
        <v>538</v>
      </c>
      <c r="C18" s="97" t="s">
        <v>1766</v>
      </c>
      <c r="D18" s="98"/>
      <c r="E18" s="99">
        <v>2152750.7462087055</v>
      </c>
      <c r="F18" s="98"/>
      <c r="G18" s="98"/>
      <c r="H18" s="100">
        <v>36804</v>
      </c>
      <c r="I18" s="100"/>
      <c r="J18" s="101">
        <v>3886043.2537912955</v>
      </c>
      <c r="K18" s="100">
        <v>175995</v>
      </c>
      <c r="L18" s="100"/>
      <c r="M18" s="100"/>
      <c r="N18" s="100"/>
      <c r="O18" s="100"/>
      <c r="P18" s="102">
        <v>295026</v>
      </c>
      <c r="Q18" s="102"/>
      <c r="R18" s="102"/>
      <c r="S18" s="103"/>
      <c r="T18" s="103"/>
      <c r="U18" s="103">
        <v>301586</v>
      </c>
      <c r="V18" s="103"/>
      <c r="W18" s="103"/>
      <c r="X18" s="103"/>
      <c r="Y18" s="103"/>
      <c r="Z18" s="104"/>
      <c r="AA18" s="104"/>
      <c r="AB18" s="104"/>
      <c r="AC18" s="104">
        <v>46008</v>
      </c>
      <c r="AD18" s="104"/>
      <c r="AE18" s="104"/>
      <c r="AF18" s="104"/>
      <c r="AG18" s="104"/>
      <c r="AH18" s="104"/>
      <c r="AI18" s="104"/>
      <c r="AJ18" s="104"/>
      <c r="AK18" s="108">
        <f t="shared" si="0"/>
        <v>6894213.0000000009</v>
      </c>
    </row>
    <row r="19" spans="1:41">
      <c r="A19" s="97" t="s">
        <v>2209</v>
      </c>
      <c r="B19" s="97">
        <v>653</v>
      </c>
      <c r="C19" s="97" t="s">
        <v>1764</v>
      </c>
      <c r="D19" s="98">
        <v>44352</v>
      </c>
      <c r="E19" s="99">
        <v>2964341.8278468437</v>
      </c>
      <c r="F19" s="98"/>
      <c r="G19" s="98"/>
      <c r="H19" s="100">
        <v>82544</v>
      </c>
      <c r="I19" s="100"/>
      <c r="J19" s="101">
        <v>3354236.1721531567</v>
      </c>
      <c r="K19" s="100"/>
      <c r="L19" s="100"/>
      <c r="M19" s="100"/>
      <c r="N19" s="100"/>
      <c r="O19" s="100"/>
      <c r="P19" s="102">
        <v>617358</v>
      </c>
      <c r="Q19" s="102"/>
      <c r="R19" s="102"/>
      <c r="S19" s="103">
        <v>809841</v>
      </c>
      <c r="T19" s="103"/>
      <c r="U19" s="103"/>
      <c r="V19" s="103"/>
      <c r="W19" s="103"/>
      <c r="X19" s="103"/>
      <c r="Y19" s="103"/>
      <c r="Z19" s="104"/>
      <c r="AA19" s="104"/>
      <c r="AB19" s="104"/>
      <c r="AC19" s="104"/>
      <c r="AD19" s="104"/>
      <c r="AE19" s="104"/>
      <c r="AF19" s="104"/>
      <c r="AG19" s="104"/>
      <c r="AH19" s="104"/>
      <c r="AI19" s="104"/>
      <c r="AJ19" s="104"/>
      <c r="AK19" s="108">
        <f t="shared" si="0"/>
        <v>7872673</v>
      </c>
    </row>
    <row r="20" spans="1:41">
      <c r="A20" s="97" t="s">
        <v>2213</v>
      </c>
      <c r="B20" s="97">
        <v>227</v>
      </c>
      <c r="C20" s="97" t="s">
        <v>1764</v>
      </c>
      <c r="D20" s="98"/>
      <c r="E20" s="99">
        <v>1114825.5394425064</v>
      </c>
      <c r="F20" s="98"/>
      <c r="G20" s="98"/>
      <c r="H20" s="100"/>
      <c r="I20" s="100"/>
      <c r="J20" s="101">
        <v>1261456.4605574936</v>
      </c>
      <c r="K20" s="100"/>
      <c r="L20" s="100"/>
      <c r="M20" s="100"/>
      <c r="N20" s="100"/>
      <c r="O20" s="100"/>
      <c r="P20" s="102">
        <v>106924</v>
      </c>
      <c r="Q20" s="102"/>
      <c r="R20" s="102"/>
      <c r="S20" s="103"/>
      <c r="T20" s="103">
        <v>99818</v>
      </c>
      <c r="U20" s="103">
        <v>18475</v>
      </c>
      <c r="V20" s="103"/>
      <c r="W20" s="103"/>
      <c r="X20" s="103"/>
      <c r="Y20" s="103"/>
      <c r="Z20" s="104"/>
      <c r="AA20" s="104"/>
      <c r="AB20" s="104"/>
      <c r="AC20" s="104"/>
      <c r="AD20" s="104"/>
      <c r="AE20" s="104"/>
      <c r="AF20" s="104"/>
      <c r="AG20" s="104"/>
      <c r="AH20" s="104"/>
      <c r="AI20" s="104"/>
      <c r="AJ20" s="104"/>
      <c r="AK20" s="108">
        <f t="shared" si="0"/>
        <v>2601499</v>
      </c>
      <c r="AN20" s="42">
        <v>397664</v>
      </c>
    </row>
    <row r="21" spans="1:41">
      <c r="A21" s="97" t="s">
        <v>2217</v>
      </c>
      <c r="B21" s="97">
        <v>525</v>
      </c>
      <c r="C21" s="97" t="s">
        <v>1764</v>
      </c>
      <c r="D21" s="98"/>
      <c r="E21" s="99">
        <v>2675399.8286076263</v>
      </c>
      <c r="F21" s="98"/>
      <c r="G21" s="98"/>
      <c r="H21" s="100"/>
      <c r="I21" s="100">
        <v>350000</v>
      </c>
      <c r="J21" s="101">
        <v>3027290.1713923742</v>
      </c>
      <c r="K21" s="100"/>
      <c r="L21" s="100"/>
      <c r="M21" s="100"/>
      <c r="N21" s="100"/>
      <c r="O21" s="100"/>
      <c r="P21" s="102"/>
      <c r="Q21" s="102"/>
      <c r="R21" s="102"/>
      <c r="S21" s="103"/>
      <c r="T21" s="103">
        <v>1103043</v>
      </c>
      <c r="U21" s="103">
        <v>5988</v>
      </c>
      <c r="V21" s="103">
        <v>1250</v>
      </c>
      <c r="W21" s="103">
        <v>48533</v>
      </c>
      <c r="X21" s="103"/>
      <c r="Y21" s="103"/>
      <c r="Z21" s="104"/>
      <c r="AA21" s="104"/>
      <c r="AB21" s="104">
        <v>515807</v>
      </c>
      <c r="AC21" s="104"/>
      <c r="AD21" s="104"/>
      <c r="AE21" s="104"/>
      <c r="AF21" s="104"/>
      <c r="AG21" s="104"/>
      <c r="AH21" s="104"/>
      <c r="AI21" s="104"/>
      <c r="AJ21" s="104"/>
      <c r="AK21" s="108">
        <f t="shared" si="0"/>
        <v>7727311</v>
      </c>
    </row>
    <row r="22" spans="1:41">
      <c r="A22" s="97" t="s">
        <v>2232</v>
      </c>
      <c r="B22" s="97">
        <v>250</v>
      </c>
      <c r="C22" s="97" t="s">
        <v>1764</v>
      </c>
      <c r="D22" s="98"/>
      <c r="E22" s="99">
        <v>1187963.2089074056</v>
      </c>
      <c r="F22" s="98"/>
      <c r="G22" s="98"/>
      <c r="H22" s="100"/>
      <c r="I22" s="100"/>
      <c r="J22" s="101">
        <v>1344213.7910925946</v>
      </c>
      <c r="K22" s="100"/>
      <c r="L22" s="100"/>
      <c r="M22" s="100"/>
      <c r="N22" s="100"/>
      <c r="O22" s="100"/>
      <c r="P22" s="102"/>
      <c r="Q22" s="102"/>
      <c r="R22" s="102"/>
      <c r="S22" s="103"/>
      <c r="T22" s="103">
        <v>4000</v>
      </c>
      <c r="U22" s="103">
        <v>17517</v>
      </c>
      <c r="V22" s="103"/>
      <c r="W22" s="103"/>
      <c r="X22" s="103"/>
      <c r="Y22" s="103"/>
      <c r="Z22" s="104"/>
      <c r="AA22" s="104"/>
      <c r="AB22" s="104">
        <v>398113</v>
      </c>
      <c r="AC22" s="104"/>
      <c r="AD22" s="104"/>
      <c r="AE22" s="104"/>
      <c r="AF22" s="104"/>
      <c r="AG22" s="104"/>
      <c r="AH22" s="104"/>
      <c r="AI22" s="104"/>
      <c r="AJ22" s="104"/>
      <c r="AK22" s="108">
        <f t="shared" si="0"/>
        <v>2951807</v>
      </c>
    </row>
    <row r="23" spans="1:41">
      <c r="A23" s="97" t="s">
        <v>2233</v>
      </c>
      <c r="B23" s="97">
        <v>428</v>
      </c>
      <c r="C23" s="97" t="s">
        <v>1764</v>
      </c>
      <c r="D23" s="98"/>
      <c r="E23" s="99">
        <v>2013485.9750780538</v>
      </c>
      <c r="F23" s="98"/>
      <c r="G23" s="98"/>
      <c r="H23" s="100"/>
      <c r="I23" s="100"/>
      <c r="J23" s="101">
        <v>2278316.0249219462</v>
      </c>
      <c r="K23" s="100"/>
      <c r="L23" s="100"/>
      <c r="M23" s="100"/>
      <c r="N23" s="100"/>
      <c r="O23" s="100"/>
      <c r="P23" s="102"/>
      <c r="Q23" s="102"/>
      <c r="R23" s="102"/>
      <c r="S23" s="103"/>
      <c r="T23" s="103">
        <v>26200</v>
      </c>
      <c r="U23" s="103">
        <v>40363</v>
      </c>
      <c r="V23" s="103"/>
      <c r="W23" s="103"/>
      <c r="X23" s="103">
        <v>116972</v>
      </c>
      <c r="Y23" s="103"/>
      <c r="Z23" s="104"/>
      <c r="AA23" s="104"/>
      <c r="AB23" s="104">
        <v>510760</v>
      </c>
      <c r="AC23" s="104"/>
      <c r="AD23" s="104"/>
      <c r="AE23" s="104"/>
      <c r="AF23" s="104"/>
      <c r="AG23" s="104"/>
      <c r="AH23" s="104"/>
      <c r="AI23" s="104"/>
      <c r="AJ23" s="104"/>
      <c r="AK23" s="108">
        <f t="shared" si="0"/>
        <v>4986097</v>
      </c>
      <c r="AN23" s="42">
        <v>70895</v>
      </c>
    </row>
    <row r="24" spans="1:41" ht="13">
      <c r="A24" s="97" t="s">
        <v>2235</v>
      </c>
      <c r="B24" s="97">
        <v>84</v>
      </c>
      <c r="C24" s="97" t="s">
        <v>1764</v>
      </c>
      <c r="D24" s="98"/>
      <c r="E24" s="99">
        <v>397359.05294409208</v>
      </c>
      <c r="F24" s="98"/>
      <c r="G24" s="98"/>
      <c r="H24" s="100"/>
      <c r="I24" s="100"/>
      <c r="J24" s="101">
        <v>449622.94705590798</v>
      </c>
      <c r="K24" s="100"/>
      <c r="L24" s="112"/>
      <c r="M24" s="100"/>
      <c r="N24" s="100"/>
      <c r="O24" s="100"/>
      <c r="P24" s="102"/>
      <c r="Q24" s="102"/>
      <c r="R24" s="102"/>
      <c r="S24" s="103"/>
      <c r="T24" s="103">
        <v>295000</v>
      </c>
      <c r="U24" s="103">
        <v>650</v>
      </c>
      <c r="V24" s="103"/>
      <c r="W24" s="103">
        <v>967</v>
      </c>
      <c r="X24" s="103"/>
      <c r="Y24" s="103">
        <v>5038</v>
      </c>
      <c r="Z24" s="104"/>
      <c r="AA24" s="104"/>
      <c r="AB24" s="104"/>
      <c r="AC24" s="104"/>
      <c r="AD24" s="104"/>
      <c r="AE24" s="104">
        <v>605579</v>
      </c>
      <c r="AF24" s="104"/>
      <c r="AG24" s="113"/>
      <c r="AH24" s="114"/>
      <c r="AI24" s="104"/>
      <c r="AJ24" s="104"/>
      <c r="AK24" s="108">
        <f t="shared" si="0"/>
        <v>1754216</v>
      </c>
    </row>
    <row r="25" spans="1:41">
      <c r="A25" s="97" t="s">
        <v>2240</v>
      </c>
      <c r="B25" s="97">
        <v>139</v>
      </c>
      <c r="C25" s="97" t="s">
        <v>1764</v>
      </c>
      <c r="D25" s="98"/>
      <c r="E25" s="99">
        <v>671624.25785674423</v>
      </c>
      <c r="F25" s="98"/>
      <c r="G25" s="98"/>
      <c r="H25" s="100"/>
      <c r="I25" s="100"/>
      <c r="J25" s="101">
        <v>759961.74214325577</v>
      </c>
      <c r="K25" s="100"/>
      <c r="L25" s="100"/>
      <c r="M25" s="100"/>
      <c r="N25" s="100"/>
      <c r="O25" s="100"/>
      <c r="P25" s="102"/>
      <c r="Q25" s="102"/>
      <c r="R25" s="102"/>
      <c r="S25" s="103"/>
      <c r="T25" s="103">
        <v>185000</v>
      </c>
      <c r="U25" s="103">
        <v>17253</v>
      </c>
      <c r="V25" s="103"/>
      <c r="W25" s="103"/>
      <c r="X25" s="103"/>
      <c r="Y25" s="103"/>
      <c r="Z25" s="104"/>
      <c r="AA25" s="104"/>
      <c r="AB25" s="104">
        <v>482069</v>
      </c>
      <c r="AC25" s="104"/>
      <c r="AD25" s="104"/>
      <c r="AE25" s="104"/>
      <c r="AF25" s="104"/>
      <c r="AG25" s="104"/>
      <c r="AH25" s="104"/>
      <c r="AI25" s="104"/>
      <c r="AJ25" s="104"/>
      <c r="AK25" s="108">
        <f t="shared" si="0"/>
        <v>2115908</v>
      </c>
    </row>
    <row r="26" spans="1:41">
      <c r="A26" s="97" t="s">
        <v>1738</v>
      </c>
      <c r="B26" s="97">
        <v>524</v>
      </c>
      <c r="C26" s="97" t="s">
        <v>1764</v>
      </c>
      <c r="D26" s="98"/>
      <c r="E26" s="99">
        <v>2482596.3681418528</v>
      </c>
      <c r="F26" s="98"/>
      <c r="G26" s="98"/>
      <c r="H26" s="100"/>
      <c r="I26" s="100"/>
      <c r="J26" s="101">
        <v>2809127.6318581477</v>
      </c>
      <c r="K26" s="100">
        <v>415011</v>
      </c>
      <c r="L26" s="100"/>
      <c r="M26" s="100"/>
      <c r="N26" s="100"/>
      <c r="O26" s="100"/>
      <c r="P26" s="102">
        <v>279835</v>
      </c>
      <c r="Q26" s="102"/>
      <c r="R26" s="102"/>
      <c r="S26" s="103"/>
      <c r="T26" s="103"/>
      <c r="U26" s="103">
        <v>3961</v>
      </c>
      <c r="V26" s="103"/>
      <c r="W26" s="103"/>
      <c r="X26" s="103"/>
      <c r="Y26" s="103"/>
      <c r="Z26" s="104"/>
      <c r="AA26" s="104"/>
      <c r="AB26" s="104"/>
      <c r="AC26" s="104"/>
      <c r="AD26" s="104"/>
      <c r="AE26" s="104"/>
      <c r="AF26" s="104">
        <v>198575</v>
      </c>
      <c r="AG26" s="104">
        <v>9115</v>
      </c>
      <c r="AH26" s="104"/>
      <c r="AI26" s="104"/>
      <c r="AJ26" s="104"/>
      <c r="AK26" s="108">
        <f t="shared" si="0"/>
        <v>6198221</v>
      </c>
    </row>
    <row r="27" spans="1:41">
      <c r="A27" s="97" t="s">
        <v>2245</v>
      </c>
      <c r="B27">
        <v>211</v>
      </c>
      <c r="C27" s="97" t="s">
        <v>1764</v>
      </c>
      <c r="D27" s="98"/>
      <c r="E27" s="99">
        <v>813823.64776758081</v>
      </c>
      <c r="F27" s="98"/>
      <c r="G27" s="98"/>
      <c r="H27" s="100"/>
      <c r="I27" s="100"/>
      <c r="J27" s="101">
        <v>920864.35223241919</v>
      </c>
      <c r="K27" s="100"/>
      <c r="L27" s="100"/>
      <c r="M27" s="100"/>
      <c r="N27" s="100"/>
      <c r="O27" s="100"/>
      <c r="P27" s="102"/>
      <c r="Q27" s="102"/>
      <c r="R27" s="102"/>
      <c r="S27" s="103"/>
      <c r="T27" s="103">
        <v>596250</v>
      </c>
      <c r="U27" s="103"/>
      <c r="V27" s="103"/>
      <c r="W27" s="103">
        <v>2930</v>
      </c>
      <c r="X27" s="103"/>
      <c r="Y27" s="103"/>
      <c r="Z27" s="104"/>
      <c r="AA27" s="104"/>
      <c r="AB27" s="104">
        <v>290713</v>
      </c>
      <c r="AC27" s="104"/>
      <c r="AD27" s="104"/>
      <c r="AE27" s="104"/>
      <c r="AF27" s="104"/>
      <c r="AG27" s="104"/>
      <c r="AH27" s="104"/>
      <c r="AI27" s="104"/>
      <c r="AJ27" s="104"/>
      <c r="AK27" s="108">
        <f t="shared" si="0"/>
        <v>2624581</v>
      </c>
    </row>
    <row r="28" spans="1:41">
      <c r="A28" s="97" t="s">
        <v>2246</v>
      </c>
      <c r="B28" s="97">
        <v>245</v>
      </c>
      <c r="C28" s="97" t="s">
        <v>1764</v>
      </c>
      <c r="D28" s="98"/>
      <c r="E28" s="99">
        <v>1157784.3907049708</v>
      </c>
      <c r="F28" s="98"/>
      <c r="G28" s="98"/>
      <c r="H28" s="100">
        <v>19246</v>
      </c>
      <c r="I28" s="100"/>
      <c r="J28" s="101">
        <v>1310065.6092950292</v>
      </c>
      <c r="K28" s="100">
        <v>60209</v>
      </c>
      <c r="L28" s="100"/>
      <c r="M28" s="100"/>
      <c r="N28" s="100"/>
      <c r="O28" s="100"/>
      <c r="P28" s="102">
        <v>389928</v>
      </c>
      <c r="Q28" s="102"/>
      <c r="R28" s="102"/>
      <c r="S28" s="103"/>
      <c r="T28" s="103">
        <v>34012</v>
      </c>
      <c r="U28" s="103">
        <v>4891</v>
      </c>
      <c r="V28" s="103"/>
      <c r="W28" s="103">
        <v>9139</v>
      </c>
      <c r="X28" s="103"/>
      <c r="Y28" s="103">
        <v>78604</v>
      </c>
      <c r="Z28" s="104"/>
      <c r="AA28" s="104"/>
      <c r="AB28" s="104"/>
      <c r="AC28" s="104"/>
      <c r="AD28" s="104"/>
      <c r="AE28" s="104"/>
      <c r="AF28" s="104"/>
      <c r="AG28" s="104"/>
      <c r="AH28" s="104"/>
      <c r="AI28" s="104"/>
      <c r="AJ28" s="104"/>
      <c r="AK28" s="108">
        <f t="shared" si="0"/>
        <v>3063879</v>
      </c>
    </row>
    <row r="29" spans="1:41">
      <c r="A29" s="97" t="s">
        <v>2248</v>
      </c>
      <c r="B29" s="97">
        <v>206</v>
      </c>
      <c r="C29" s="97" t="s">
        <v>1764</v>
      </c>
      <c r="D29" s="98"/>
      <c r="E29" s="99">
        <v>970413.18319621379</v>
      </c>
      <c r="F29" s="98"/>
      <c r="G29" s="98"/>
      <c r="H29" s="100">
        <v>211167</v>
      </c>
      <c r="I29" s="100"/>
      <c r="J29" s="101">
        <v>1098049.8168037864</v>
      </c>
      <c r="K29" s="100">
        <v>7908</v>
      </c>
      <c r="L29" s="100">
        <v>250000</v>
      </c>
      <c r="M29" s="100"/>
      <c r="N29" s="100"/>
      <c r="O29" s="100"/>
      <c r="P29" s="102">
        <v>99273</v>
      </c>
      <c r="Q29" s="102"/>
      <c r="R29" s="102"/>
      <c r="S29" s="103"/>
      <c r="T29" s="103"/>
      <c r="U29" s="103"/>
      <c r="V29" s="103"/>
      <c r="W29" s="103">
        <v>17574</v>
      </c>
      <c r="X29" s="103"/>
      <c r="Y29" s="103">
        <v>106761</v>
      </c>
      <c r="Z29" s="104"/>
      <c r="AA29" s="104"/>
      <c r="AB29" s="104"/>
      <c r="AC29" s="104"/>
      <c r="AD29" s="104"/>
      <c r="AE29" s="104">
        <v>29311</v>
      </c>
      <c r="AF29" s="115"/>
      <c r="AG29" s="115"/>
      <c r="AH29" s="104"/>
      <c r="AI29" s="104"/>
      <c r="AJ29" s="104"/>
      <c r="AK29" s="108">
        <f t="shared" si="0"/>
        <v>2790457</v>
      </c>
      <c r="AN29" s="36">
        <v>3570</v>
      </c>
      <c r="AO29" s="53">
        <v>-135463</v>
      </c>
    </row>
    <row r="30" spans="1:41">
      <c r="A30" s="97" t="s">
        <v>2251</v>
      </c>
      <c r="B30" s="97">
        <v>128</v>
      </c>
      <c r="C30" s="97" t="s">
        <v>1764</v>
      </c>
      <c r="D30" s="98"/>
      <c r="E30" s="99">
        <v>613219.21120980743</v>
      </c>
      <c r="F30" s="116"/>
      <c r="G30" s="98">
        <v>136920</v>
      </c>
      <c r="H30" s="100"/>
      <c r="I30" s="100"/>
      <c r="J30" s="101">
        <v>693874.78879019269</v>
      </c>
      <c r="K30" s="100"/>
      <c r="L30" s="117"/>
      <c r="M30" s="118"/>
      <c r="N30" s="100"/>
      <c r="O30" s="100">
        <v>195056</v>
      </c>
      <c r="P30" s="102"/>
      <c r="Q30" s="102">
        <v>39519</v>
      </c>
      <c r="R30" s="102"/>
      <c r="S30" s="103"/>
      <c r="T30" s="103">
        <v>465030</v>
      </c>
      <c r="U30" s="103">
        <v>10993</v>
      </c>
      <c r="V30" s="103"/>
      <c r="W30" s="103"/>
      <c r="X30" s="103"/>
      <c r="Y30" s="103"/>
      <c r="Z30" s="104"/>
      <c r="AA30" s="104"/>
      <c r="AB30" s="104"/>
      <c r="AC30" s="104"/>
      <c r="AD30" s="104"/>
      <c r="AE30" s="104"/>
      <c r="AF30" s="113"/>
      <c r="AG30" s="115"/>
      <c r="AH30" s="113"/>
      <c r="AI30" s="113"/>
      <c r="AJ30" s="104"/>
      <c r="AK30" s="108">
        <f t="shared" si="0"/>
        <v>2154612</v>
      </c>
      <c r="AN30" s="42">
        <v>41683</v>
      </c>
    </row>
    <row r="31" spans="1:41">
      <c r="A31" s="119" t="s">
        <v>2253</v>
      </c>
      <c r="B31" s="119">
        <v>677</v>
      </c>
      <c r="C31" s="119" t="s">
        <v>1764</v>
      </c>
      <c r="D31" s="98"/>
      <c r="E31" s="99">
        <v>3286728.8466087091</v>
      </c>
      <c r="F31" s="98"/>
      <c r="G31" s="98"/>
      <c r="H31" s="100"/>
      <c r="I31" s="100"/>
      <c r="J31" s="101">
        <v>3719026.1533912914</v>
      </c>
      <c r="K31" s="100"/>
      <c r="L31" s="100"/>
      <c r="M31" s="100"/>
      <c r="N31" s="100"/>
      <c r="O31" s="100"/>
      <c r="P31" s="102"/>
      <c r="Q31" s="102"/>
      <c r="R31" s="102"/>
      <c r="S31" s="103"/>
      <c r="T31" s="103">
        <v>66875</v>
      </c>
      <c r="U31" s="103">
        <v>124624</v>
      </c>
      <c r="V31" s="103"/>
      <c r="W31" s="103">
        <v>44994</v>
      </c>
      <c r="X31" s="103"/>
      <c r="Y31" s="103">
        <v>96854</v>
      </c>
      <c r="Z31" s="104"/>
      <c r="AA31" s="104"/>
      <c r="AB31" s="104">
        <v>487524</v>
      </c>
      <c r="AC31" s="104"/>
      <c r="AD31" s="104"/>
      <c r="AE31" s="104"/>
      <c r="AF31" s="104"/>
      <c r="AG31" s="104"/>
      <c r="AH31" s="104"/>
      <c r="AI31" s="104"/>
      <c r="AJ31" s="104"/>
      <c r="AK31" s="108">
        <f t="shared" si="0"/>
        <v>7826626</v>
      </c>
      <c r="AN31" s="42">
        <v>40197</v>
      </c>
    </row>
    <row r="32" spans="1:41">
      <c r="A32" s="97" t="s">
        <v>2254</v>
      </c>
      <c r="B32" s="97">
        <v>250</v>
      </c>
      <c r="C32" s="97" t="s">
        <v>1764</v>
      </c>
      <c r="D32" s="98"/>
      <c r="E32" s="99">
        <v>1194530.7975718216</v>
      </c>
      <c r="F32" s="98"/>
      <c r="G32" s="98"/>
      <c r="H32" s="100">
        <v>19507</v>
      </c>
      <c r="I32" s="100"/>
      <c r="J32" s="101">
        <v>1351645.2024281786</v>
      </c>
      <c r="K32" s="100">
        <v>51066</v>
      </c>
      <c r="L32" s="100"/>
      <c r="M32" s="100"/>
      <c r="N32" s="100"/>
      <c r="O32" s="100"/>
      <c r="P32" s="102">
        <v>116508</v>
      </c>
      <c r="Q32" s="102"/>
      <c r="R32" s="102"/>
      <c r="S32" s="103"/>
      <c r="T32" s="103">
        <v>327860</v>
      </c>
      <c r="U32" s="103">
        <v>23332</v>
      </c>
      <c r="V32" s="103"/>
      <c r="W32" s="103"/>
      <c r="X32" s="103"/>
      <c r="Y32" s="103">
        <v>126056</v>
      </c>
      <c r="Z32" s="104"/>
      <c r="AA32" s="104"/>
      <c r="AB32" s="104"/>
      <c r="AC32" s="104"/>
      <c r="AD32" s="104"/>
      <c r="AE32" s="104"/>
      <c r="AF32" s="104"/>
      <c r="AG32" s="104"/>
      <c r="AH32" s="104"/>
      <c r="AI32" s="104"/>
      <c r="AJ32" s="104"/>
      <c r="AK32" s="108">
        <f t="shared" si="0"/>
        <v>3210505</v>
      </c>
      <c r="AN32" s="42">
        <v>45000</v>
      </c>
    </row>
    <row r="33" spans="1:41">
      <c r="A33" s="97" t="s">
        <v>2257</v>
      </c>
      <c r="B33" s="97">
        <v>248</v>
      </c>
      <c r="C33" s="97" t="s">
        <v>1764</v>
      </c>
      <c r="D33" s="98"/>
      <c r="E33" s="99">
        <v>1261099.9400783316</v>
      </c>
      <c r="F33" s="98"/>
      <c r="G33" s="98"/>
      <c r="H33" s="100"/>
      <c r="I33" s="100"/>
      <c r="J33" s="101">
        <v>1426970.0599216684</v>
      </c>
      <c r="K33" s="100"/>
      <c r="L33" s="100"/>
      <c r="M33" s="100"/>
      <c r="N33" s="100"/>
      <c r="O33" s="100"/>
      <c r="P33" s="102"/>
      <c r="Q33" s="102"/>
      <c r="R33" s="102"/>
      <c r="S33" s="103"/>
      <c r="T33" s="103">
        <v>2546857</v>
      </c>
      <c r="U33" s="103">
        <v>114929</v>
      </c>
      <c r="V33" s="103"/>
      <c r="W33" s="103">
        <v>116224</v>
      </c>
      <c r="X33" s="103"/>
      <c r="Y33" s="103"/>
      <c r="Z33" s="104"/>
      <c r="AA33" s="104"/>
      <c r="AB33" s="104">
        <v>202325</v>
      </c>
      <c r="AC33" s="104"/>
      <c r="AD33" s="104"/>
      <c r="AE33" s="104"/>
      <c r="AF33" s="104"/>
      <c r="AG33" s="104"/>
      <c r="AH33" s="104"/>
      <c r="AI33" s="104"/>
      <c r="AJ33" s="104"/>
      <c r="AK33" s="108">
        <f t="shared" si="0"/>
        <v>5668405</v>
      </c>
    </row>
    <row r="34" spans="1:41">
      <c r="A34" s="97" t="s">
        <v>2258</v>
      </c>
      <c r="B34" s="97">
        <v>136</v>
      </c>
      <c r="C34" s="97" t="s">
        <v>1764</v>
      </c>
      <c r="D34" s="98"/>
      <c r="E34" s="99">
        <v>691442.43400867819</v>
      </c>
      <c r="F34" s="98"/>
      <c r="G34" s="98"/>
      <c r="H34" s="100"/>
      <c r="I34" s="100"/>
      <c r="J34" s="101">
        <v>782386.56599132193</v>
      </c>
      <c r="K34" s="100"/>
      <c r="L34" s="100"/>
      <c r="M34" s="100"/>
      <c r="N34" s="100"/>
      <c r="O34" s="100"/>
      <c r="P34" s="102"/>
      <c r="Q34" s="102"/>
      <c r="R34" s="102"/>
      <c r="S34" s="103"/>
      <c r="T34" s="103">
        <v>221632</v>
      </c>
      <c r="U34" s="103">
        <v>38696</v>
      </c>
      <c r="V34" s="103"/>
      <c r="W34" s="103">
        <v>7242</v>
      </c>
      <c r="X34" s="103"/>
      <c r="Y34" s="103"/>
      <c r="Z34" s="104"/>
      <c r="AA34" s="104"/>
      <c r="AB34" s="104">
        <v>339570</v>
      </c>
      <c r="AC34" s="104"/>
      <c r="AD34" s="104"/>
      <c r="AE34" s="104"/>
      <c r="AF34" s="104"/>
      <c r="AG34" s="104"/>
      <c r="AH34" s="104"/>
      <c r="AI34" s="104"/>
      <c r="AJ34" s="104"/>
      <c r="AK34" s="108">
        <f t="shared" si="0"/>
        <v>2080969</v>
      </c>
    </row>
    <row r="35" spans="1:41">
      <c r="A35" s="97" t="s">
        <v>2259</v>
      </c>
      <c r="B35" s="97">
        <v>154</v>
      </c>
      <c r="C35" s="97" t="s">
        <v>1764</v>
      </c>
      <c r="D35" s="98"/>
      <c r="E35" s="99">
        <v>791578.10510734725</v>
      </c>
      <c r="F35" s="98"/>
      <c r="G35" s="98"/>
      <c r="H35" s="100"/>
      <c r="I35" s="100"/>
      <c r="J35" s="101">
        <v>895692.89489265287</v>
      </c>
      <c r="K35" s="100"/>
      <c r="L35" s="100"/>
      <c r="M35" s="100"/>
      <c r="N35" s="100"/>
      <c r="O35" s="100"/>
      <c r="P35" s="102"/>
      <c r="Q35" s="102"/>
      <c r="R35" s="102"/>
      <c r="S35" s="103"/>
      <c r="T35" s="103">
        <v>220100</v>
      </c>
      <c r="U35" s="103">
        <v>44913</v>
      </c>
      <c r="V35" s="103"/>
      <c r="W35" s="103">
        <v>15088</v>
      </c>
      <c r="X35" s="103"/>
      <c r="Y35" s="103"/>
      <c r="Z35" s="104"/>
      <c r="AA35" s="104"/>
      <c r="AB35" s="104">
        <v>302450</v>
      </c>
      <c r="AC35" s="104"/>
      <c r="AD35" s="104"/>
      <c r="AE35" s="104"/>
      <c r="AF35" s="104"/>
      <c r="AG35" s="104"/>
      <c r="AH35" s="104"/>
      <c r="AI35" s="104"/>
      <c r="AJ35" s="104"/>
      <c r="AK35" s="108">
        <f t="shared" si="0"/>
        <v>2269822</v>
      </c>
    </row>
    <row r="36" spans="1:41">
      <c r="A36" s="97" t="s">
        <v>2260</v>
      </c>
      <c r="B36" s="97">
        <v>288</v>
      </c>
      <c r="C36" s="97" t="s">
        <v>1764</v>
      </c>
      <c r="D36" s="98"/>
      <c r="E36" s="99">
        <v>1482200.9521611708</v>
      </c>
      <c r="F36" s="98"/>
      <c r="G36" s="98"/>
      <c r="H36" s="100">
        <v>267785</v>
      </c>
      <c r="I36" s="100"/>
      <c r="J36" s="101">
        <v>1674749.0478388295</v>
      </c>
      <c r="K36" s="100"/>
      <c r="L36" s="100"/>
      <c r="M36" s="100"/>
      <c r="N36" s="100"/>
      <c r="O36" s="100"/>
      <c r="P36" s="102">
        <v>235903</v>
      </c>
      <c r="Q36" s="102"/>
      <c r="R36" s="102"/>
      <c r="S36" s="103"/>
      <c r="T36" s="103"/>
      <c r="U36" s="103">
        <v>22554</v>
      </c>
      <c r="V36" s="103"/>
      <c r="W36" s="103">
        <v>17689</v>
      </c>
      <c r="X36" s="103"/>
      <c r="Y36" s="103"/>
      <c r="Z36" s="104"/>
      <c r="AA36" s="104"/>
      <c r="AB36" s="104"/>
      <c r="AC36" s="104"/>
      <c r="AD36" s="104"/>
      <c r="AE36" s="104"/>
      <c r="AF36" s="104"/>
      <c r="AG36" s="104"/>
      <c r="AH36" s="104">
        <v>198029</v>
      </c>
      <c r="AI36" s="104"/>
      <c r="AJ36" s="104"/>
      <c r="AK36" s="108">
        <f t="shared" si="0"/>
        <v>3898910</v>
      </c>
    </row>
    <row r="37" spans="1:41">
      <c r="A37" s="97" t="s">
        <v>2263</v>
      </c>
      <c r="B37" s="97">
        <v>278</v>
      </c>
      <c r="C37" s="97" t="s">
        <v>1764</v>
      </c>
      <c r="D37" s="98"/>
      <c r="E37" s="99">
        <v>1284007.4491365575</v>
      </c>
      <c r="F37" s="98"/>
      <c r="G37" s="98"/>
      <c r="H37" s="100"/>
      <c r="I37" s="100"/>
      <c r="J37" s="101">
        <v>1452890.5508634427</v>
      </c>
      <c r="K37" s="100">
        <v>10815</v>
      </c>
      <c r="L37" s="100"/>
      <c r="M37" s="100"/>
      <c r="N37" s="100"/>
      <c r="O37" s="100"/>
      <c r="P37" s="102"/>
      <c r="Q37" s="102"/>
      <c r="R37" s="102"/>
      <c r="S37" s="103"/>
      <c r="T37" s="103"/>
      <c r="U37" s="103">
        <v>14116</v>
      </c>
      <c r="V37" s="103"/>
      <c r="W37" s="103">
        <v>31205</v>
      </c>
      <c r="X37" s="103"/>
      <c r="Y37" s="103"/>
      <c r="Z37" s="104"/>
      <c r="AA37" s="104"/>
      <c r="AB37" s="104"/>
      <c r="AC37" s="104"/>
      <c r="AD37" s="104">
        <v>272913</v>
      </c>
      <c r="AE37" s="104"/>
      <c r="AF37" s="104"/>
      <c r="AG37" s="104"/>
      <c r="AH37" s="104"/>
      <c r="AI37" s="104"/>
      <c r="AJ37" s="104"/>
      <c r="AK37" s="108">
        <f t="shared" si="0"/>
        <v>3065947</v>
      </c>
    </row>
    <row r="38" spans="1:41">
      <c r="A38" s="97" t="s">
        <v>2159</v>
      </c>
      <c r="B38" s="97">
        <v>288</v>
      </c>
      <c r="C38" s="97" t="s">
        <v>1764</v>
      </c>
      <c r="D38" s="98"/>
      <c r="E38" s="99">
        <v>1378210.2874435838</v>
      </c>
      <c r="F38" s="98"/>
      <c r="G38" s="98"/>
      <c r="H38" s="100"/>
      <c r="I38" s="100"/>
      <c r="J38" s="101">
        <v>1559483.7125564162</v>
      </c>
      <c r="K38" s="100"/>
      <c r="L38" s="100"/>
      <c r="M38" s="100"/>
      <c r="N38" s="100"/>
      <c r="O38" s="100"/>
      <c r="P38" s="102"/>
      <c r="Q38" s="102"/>
      <c r="R38" s="102"/>
      <c r="S38" s="103"/>
      <c r="T38" s="103">
        <v>181687</v>
      </c>
      <c r="U38" s="103">
        <v>3792</v>
      </c>
      <c r="V38" s="103"/>
      <c r="W38" s="103">
        <v>68381</v>
      </c>
      <c r="X38" s="103"/>
      <c r="Y38" s="103"/>
      <c r="Z38" s="104"/>
      <c r="AA38" s="104"/>
      <c r="AB38" s="104">
        <v>215179</v>
      </c>
      <c r="AC38" s="104"/>
      <c r="AD38" s="104"/>
      <c r="AE38" s="104"/>
      <c r="AF38" s="104"/>
      <c r="AG38" s="104"/>
      <c r="AH38" s="104"/>
      <c r="AI38" s="104"/>
      <c r="AJ38" s="104"/>
      <c r="AK38" s="108">
        <f t="shared" si="0"/>
        <v>3406733</v>
      </c>
    </row>
    <row r="39" spans="1:41">
      <c r="A39" s="97" t="s">
        <v>2160</v>
      </c>
      <c r="B39" s="97">
        <v>100</v>
      </c>
      <c r="C39" s="97" t="s">
        <v>1764</v>
      </c>
      <c r="D39" s="98"/>
      <c r="E39" s="99">
        <v>478915.56508224964</v>
      </c>
      <c r="F39" s="98">
        <v>139412</v>
      </c>
      <c r="G39" s="98"/>
      <c r="H39" s="100"/>
      <c r="I39" s="100"/>
      <c r="J39" s="101">
        <v>541906.43491775042</v>
      </c>
      <c r="K39" s="100"/>
      <c r="L39" s="100"/>
      <c r="M39" s="100">
        <v>47115</v>
      </c>
      <c r="N39" s="100"/>
      <c r="O39" s="100"/>
      <c r="P39" s="102">
        <v>217414</v>
      </c>
      <c r="Q39" s="102"/>
      <c r="R39" s="102"/>
      <c r="S39" s="103"/>
      <c r="T39" s="103">
        <v>417809</v>
      </c>
      <c r="U39" s="103"/>
      <c r="V39" s="103"/>
      <c r="W39" s="103">
        <v>9728</v>
      </c>
      <c r="X39" s="103"/>
      <c r="Y39" s="103"/>
      <c r="Z39" s="104"/>
      <c r="AA39" s="104"/>
      <c r="AB39" s="104"/>
      <c r="AC39" s="104"/>
      <c r="AD39" s="104"/>
      <c r="AE39" s="104"/>
      <c r="AF39" s="104"/>
      <c r="AG39" s="120"/>
      <c r="AH39" s="104"/>
      <c r="AI39" s="104"/>
      <c r="AJ39" s="104"/>
      <c r="AK39" s="108">
        <f t="shared" si="0"/>
        <v>1852300</v>
      </c>
    </row>
    <row r="40" spans="1:41">
      <c r="A40" s="97" t="s">
        <v>2163</v>
      </c>
      <c r="B40" s="97">
        <v>229</v>
      </c>
      <c r="C40" s="97" t="s">
        <v>1764</v>
      </c>
      <c r="D40" s="98"/>
      <c r="E40" s="99">
        <v>1089674.1003477138</v>
      </c>
      <c r="F40" s="98"/>
      <c r="G40" s="98"/>
      <c r="H40" s="100"/>
      <c r="I40" s="100"/>
      <c r="J40" s="101">
        <v>1232996.8996522864</v>
      </c>
      <c r="K40" s="100"/>
      <c r="L40" s="100"/>
      <c r="M40" s="100"/>
      <c r="N40" s="100"/>
      <c r="O40" s="100"/>
      <c r="P40" s="102"/>
      <c r="Q40" s="102"/>
      <c r="R40" s="102"/>
      <c r="S40" s="103"/>
      <c r="T40" s="103">
        <v>120265</v>
      </c>
      <c r="U40" s="103">
        <v>125619</v>
      </c>
      <c r="V40" s="103"/>
      <c r="W40" s="103"/>
      <c r="X40" s="103"/>
      <c r="Y40" s="103"/>
      <c r="Z40" s="104"/>
      <c r="AA40" s="104"/>
      <c r="AB40" s="104">
        <v>162446</v>
      </c>
      <c r="AC40" s="104"/>
      <c r="AD40" s="104"/>
      <c r="AE40" s="104"/>
      <c r="AF40" s="104"/>
      <c r="AG40" s="104"/>
      <c r="AH40" s="104"/>
      <c r="AI40" s="104"/>
      <c r="AJ40" s="104"/>
      <c r="AK40" s="108">
        <f t="shared" si="0"/>
        <v>2731001</v>
      </c>
    </row>
    <row r="41" spans="1:41">
      <c r="A41" s="97" t="s">
        <v>2164</v>
      </c>
      <c r="B41" s="97">
        <v>262</v>
      </c>
      <c r="C41" s="97" t="s">
        <v>1764</v>
      </c>
      <c r="D41" s="98"/>
      <c r="E41" s="99">
        <v>1248230.7690908615</v>
      </c>
      <c r="F41" s="98"/>
      <c r="G41" s="98"/>
      <c r="H41" s="100"/>
      <c r="I41" s="100"/>
      <c r="J41" s="101">
        <v>1412408.2309091385</v>
      </c>
      <c r="K41" s="100">
        <v>172546</v>
      </c>
      <c r="L41" s="100"/>
      <c r="M41" s="100"/>
      <c r="N41" s="100"/>
      <c r="O41" s="100"/>
      <c r="P41" s="102"/>
      <c r="Q41" s="102"/>
      <c r="R41" s="102"/>
      <c r="S41" s="103"/>
      <c r="T41" s="103">
        <v>304015</v>
      </c>
      <c r="U41" s="103">
        <v>5905</v>
      </c>
      <c r="V41" s="103"/>
      <c r="W41" s="103">
        <v>23743</v>
      </c>
      <c r="X41" s="103"/>
      <c r="Y41" s="103"/>
      <c r="Z41" s="104"/>
      <c r="AA41" s="104"/>
      <c r="AB41" s="104">
        <v>300740</v>
      </c>
      <c r="AC41" s="104"/>
      <c r="AD41" s="104"/>
      <c r="AE41" s="104"/>
      <c r="AF41" s="104"/>
      <c r="AG41" s="104"/>
      <c r="AH41" s="104"/>
      <c r="AI41" s="104"/>
      <c r="AJ41" s="104"/>
      <c r="AK41" s="108">
        <f t="shared" si="0"/>
        <v>3467588</v>
      </c>
      <c r="AN41" s="42">
        <v>64984</v>
      </c>
    </row>
    <row r="42" spans="1:41">
      <c r="A42" s="97" t="s">
        <v>1740</v>
      </c>
      <c r="B42" s="97">
        <v>185</v>
      </c>
      <c r="C42" s="97" t="s">
        <v>1764</v>
      </c>
      <c r="D42" s="98"/>
      <c r="E42" s="99">
        <v>899975.45463878755</v>
      </c>
      <c r="F42" s="98"/>
      <c r="G42" s="98"/>
      <c r="H42" s="100"/>
      <c r="I42" s="100"/>
      <c r="J42" s="101">
        <v>1018347.5453612126</v>
      </c>
      <c r="K42" s="100"/>
      <c r="L42" s="100"/>
      <c r="M42" s="100"/>
      <c r="N42" s="100"/>
      <c r="O42" s="100"/>
      <c r="P42" s="102"/>
      <c r="Q42" s="102"/>
      <c r="R42" s="102"/>
      <c r="S42" s="103"/>
      <c r="T42" s="103">
        <v>334435</v>
      </c>
      <c r="U42" s="103">
        <v>4280</v>
      </c>
      <c r="V42" s="103"/>
      <c r="W42" s="103">
        <v>2617</v>
      </c>
      <c r="X42" s="103"/>
      <c r="Y42" s="103"/>
      <c r="Z42" s="104"/>
      <c r="AA42" s="104"/>
      <c r="AB42" s="104">
        <v>68362</v>
      </c>
      <c r="AC42" s="104"/>
      <c r="AD42" s="104"/>
      <c r="AE42" s="104"/>
      <c r="AF42" s="104"/>
      <c r="AG42" s="104"/>
      <c r="AH42" s="104"/>
      <c r="AI42" s="104"/>
      <c r="AJ42" s="104"/>
      <c r="AK42" s="108">
        <f t="shared" si="0"/>
        <v>2328017</v>
      </c>
    </row>
    <row r="43" spans="1:41">
      <c r="A43" s="97" t="s">
        <v>521</v>
      </c>
      <c r="B43" s="97">
        <v>284</v>
      </c>
      <c r="C43" s="97" t="s">
        <v>1764</v>
      </c>
      <c r="D43" s="98"/>
      <c r="E43" s="99">
        <v>1547481.8042120619</v>
      </c>
      <c r="F43" s="98"/>
      <c r="G43" s="98"/>
      <c r="H43" s="100"/>
      <c r="I43" s="100"/>
      <c r="J43" s="101">
        <v>1751019.1957879383</v>
      </c>
      <c r="K43" s="100"/>
      <c r="L43" s="100"/>
      <c r="M43" s="100"/>
      <c r="N43" s="100"/>
      <c r="O43" s="100"/>
      <c r="P43" s="102">
        <v>187682</v>
      </c>
      <c r="Q43" s="102"/>
      <c r="R43" s="102"/>
      <c r="S43" s="103"/>
      <c r="T43" s="103">
        <v>422776</v>
      </c>
      <c r="U43" s="103">
        <v>26493</v>
      </c>
      <c r="V43" s="103"/>
      <c r="W43" s="103">
        <v>22097</v>
      </c>
      <c r="X43" s="103"/>
      <c r="Y43" s="103">
        <v>87823</v>
      </c>
      <c r="Z43" s="104"/>
      <c r="AA43" s="104"/>
      <c r="AB43" s="104"/>
      <c r="AC43" s="104"/>
      <c r="AD43" s="104"/>
      <c r="AE43" s="104"/>
      <c r="AF43" s="104"/>
      <c r="AG43" s="104"/>
      <c r="AH43" s="104"/>
      <c r="AI43" s="104">
        <v>214076</v>
      </c>
      <c r="AJ43" s="104"/>
      <c r="AK43" s="108">
        <f t="shared" si="0"/>
        <v>4259448</v>
      </c>
      <c r="AO43" s="42">
        <v>-106991</v>
      </c>
    </row>
    <row r="44" spans="1:41">
      <c r="A44" s="97" t="s">
        <v>2165</v>
      </c>
      <c r="B44" s="97">
        <v>169</v>
      </c>
      <c r="C44" s="97" t="s">
        <v>1764</v>
      </c>
      <c r="D44" s="98"/>
      <c r="E44" s="99">
        <v>1308925.7221790454</v>
      </c>
      <c r="F44" s="98"/>
      <c r="G44" s="98"/>
      <c r="H44" s="100"/>
      <c r="I44" s="100"/>
      <c r="J44" s="101">
        <v>1481086.2778209548</v>
      </c>
      <c r="K44" s="100"/>
      <c r="L44" s="100"/>
      <c r="M44" s="100"/>
      <c r="N44" s="100"/>
      <c r="O44" s="100"/>
      <c r="P44" s="102">
        <v>240744</v>
      </c>
      <c r="Q44" s="102"/>
      <c r="R44" s="102"/>
      <c r="S44" s="103"/>
      <c r="T44" s="103"/>
      <c r="U44" s="103">
        <v>11806</v>
      </c>
      <c r="V44" s="103"/>
      <c r="W44" s="103">
        <v>24338</v>
      </c>
      <c r="X44" s="103"/>
      <c r="Y44" s="103"/>
      <c r="Z44" s="104"/>
      <c r="AA44" s="104"/>
      <c r="AB44" s="104"/>
      <c r="AC44" s="104"/>
      <c r="AD44" s="104"/>
      <c r="AE44" s="104"/>
      <c r="AF44" s="104"/>
      <c r="AG44" s="104"/>
      <c r="AH44" s="104">
        <v>166815</v>
      </c>
      <c r="AI44" s="104"/>
      <c r="AJ44" s="104"/>
      <c r="AK44" s="108">
        <f t="shared" si="0"/>
        <v>3233715</v>
      </c>
    </row>
    <row r="45" spans="1:41">
      <c r="A45" s="97" t="s">
        <v>2166</v>
      </c>
      <c r="B45" s="97">
        <v>426</v>
      </c>
      <c r="C45" s="97" t="s">
        <v>1764</v>
      </c>
      <c r="D45" s="98"/>
      <c r="E45" s="99">
        <v>2032954.6367250239</v>
      </c>
      <c r="F45" s="98"/>
      <c r="G45" s="98"/>
      <c r="H45" s="100"/>
      <c r="I45" s="100"/>
      <c r="J45" s="101">
        <v>2300345.3632749766</v>
      </c>
      <c r="K45" s="100">
        <v>859660</v>
      </c>
      <c r="L45" s="100"/>
      <c r="M45" s="100"/>
      <c r="N45" s="100"/>
      <c r="O45" s="100"/>
      <c r="P45" s="102">
        <v>380274</v>
      </c>
      <c r="Q45" s="102"/>
      <c r="R45" s="102"/>
      <c r="S45" s="103"/>
      <c r="T45" s="103">
        <v>87748</v>
      </c>
      <c r="U45" s="103">
        <v>7099</v>
      </c>
      <c r="V45" s="103"/>
      <c r="W45" s="103">
        <v>101475</v>
      </c>
      <c r="X45" s="103"/>
      <c r="Y45" s="103"/>
      <c r="Z45" s="104"/>
      <c r="AA45" s="104"/>
      <c r="AB45" s="104"/>
      <c r="AC45" s="104"/>
      <c r="AD45" s="104"/>
      <c r="AE45" s="104"/>
      <c r="AF45" s="104"/>
      <c r="AG45" s="104"/>
      <c r="AH45" s="104"/>
      <c r="AI45" s="104"/>
      <c r="AJ45" s="104"/>
      <c r="AK45" s="108">
        <f t="shared" si="0"/>
        <v>5769556</v>
      </c>
      <c r="AN45" s="42">
        <v>15186</v>
      </c>
      <c r="AO45" s="42">
        <v>-62791</v>
      </c>
    </row>
    <row r="46" spans="1:41">
      <c r="A46" s="97" t="s">
        <v>1767</v>
      </c>
      <c r="B46" s="97">
        <v>443</v>
      </c>
      <c r="C46" s="97" t="s">
        <v>1764</v>
      </c>
      <c r="D46" s="98"/>
      <c r="E46" s="99">
        <v>2196900.2630089805</v>
      </c>
      <c r="F46" s="98"/>
      <c r="G46" s="98"/>
      <c r="H46" s="100"/>
      <c r="I46" s="100"/>
      <c r="J46" s="101">
        <v>2489476.7369910199</v>
      </c>
      <c r="K46" s="100"/>
      <c r="L46" s="100"/>
      <c r="M46" s="100"/>
      <c r="N46" s="100"/>
      <c r="O46" s="100"/>
      <c r="P46" s="102"/>
      <c r="Q46" s="102"/>
      <c r="R46" s="102"/>
      <c r="S46" s="103"/>
      <c r="T46" s="103">
        <v>113676</v>
      </c>
      <c r="U46" s="103"/>
      <c r="V46" s="103"/>
      <c r="W46" s="103">
        <v>57698</v>
      </c>
      <c r="X46" s="103"/>
      <c r="Y46" s="103"/>
      <c r="Z46" s="104"/>
      <c r="AA46" s="104"/>
      <c r="AB46" s="104">
        <v>282453</v>
      </c>
      <c r="AC46" s="104"/>
      <c r="AD46" s="104"/>
      <c r="AE46" s="104"/>
      <c r="AF46" s="104"/>
      <c r="AG46" s="104"/>
      <c r="AH46" s="104"/>
      <c r="AI46" s="104"/>
      <c r="AJ46" s="104"/>
      <c r="AK46" s="108">
        <f t="shared" si="0"/>
        <v>5140204</v>
      </c>
    </row>
    <row r="47" spans="1:41">
      <c r="A47" s="97" t="s">
        <v>2167</v>
      </c>
      <c r="B47" s="97">
        <v>163</v>
      </c>
      <c r="C47" s="97" t="s">
        <v>1764</v>
      </c>
      <c r="D47" s="98"/>
      <c r="E47" s="99">
        <v>794909.0487117013</v>
      </c>
      <c r="F47" s="98"/>
      <c r="G47" s="98"/>
      <c r="H47" s="100"/>
      <c r="I47" s="100"/>
      <c r="J47" s="101">
        <v>899461.9512882987</v>
      </c>
      <c r="K47" s="100"/>
      <c r="L47" s="100"/>
      <c r="M47" s="100"/>
      <c r="N47" s="100"/>
      <c r="O47" s="100"/>
      <c r="P47" s="102"/>
      <c r="Q47" s="102"/>
      <c r="R47" s="102"/>
      <c r="S47" s="103"/>
      <c r="T47" s="103">
        <v>255000</v>
      </c>
      <c r="U47" s="103"/>
      <c r="V47" s="103"/>
      <c r="W47" s="103">
        <v>3372</v>
      </c>
      <c r="X47" s="103"/>
      <c r="Y47" s="103">
        <v>11995</v>
      </c>
      <c r="Z47" s="104"/>
      <c r="AA47" s="104"/>
      <c r="AB47" s="104">
        <v>440884</v>
      </c>
      <c r="AC47" s="104"/>
      <c r="AD47" s="104"/>
      <c r="AE47" s="104"/>
      <c r="AF47" s="104"/>
      <c r="AG47" s="104"/>
      <c r="AH47" s="104"/>
      <c r="AI47" s="104"/>
      <c r="AJ47" s="104"/>
      <c r="AK47" s="108">
        <f t="shared" si="0"/>
        <v>2405622</v>
      </c>
      <c r="AN47" s="42">
        <v>606605</v>
      </c>
    </row>
    <row r="48" spans="1:41">
      <c r="A48" s="97" t="s">
        <v>2168</v>
      </c>
      <c r="B48" s="97">
        <v>294</v>
      </c>
      <c r="C48" s="97" t="s">
        <v>1764</v>
      </c>
      <c r="D48" s="98"/>
      <c r="E48" s="99">
        <v>1538943.7982042253</v>
      </c>
      <c r="F48" s="98"/>
      <c r="G48" s="98"/>
      <c r="H48" s="100"/>
      <c r="I48" s="100"/>
      <c r="J48" s="101">
        <v>1741358.201795775</v>
      </c>
      <c r="K48" s="100"/>
      <c r="L48" s="100"/>
      <c r="M48" s="100"/>
      <c r="N48" s="100"/>
      <c r="O48" s="100"/>
      <c r="P48" s="102"/>
      <c r="Q48" s="102"/>
      <c r="R48" s="102"/>
      <c r="S48" s="103"/>
      <c r="T48" s="103">
        <v>530107</v>
      </c>
      <c r="U48" s="103">
        <v>18558</v>
      </c>
      <c r="V48" s="103"/>
      <c r="W48" s="103"/>
      <c r="X48" s="103"/>
      <c r="Y48" s="103"/>
      <c r="Z48" s="104"/>
      <c r="AA48" s="104"/>
      <c r="AB48" s="104"/>
      <c r="AC48" s="104"/>
      <c r="AD48" s="104"/>
      <c r="AE48" s="104"/>
      <c r="AF48" s="104"/>
      <c r="AG48" s="120"/>
      <c r="AH48" s="104"/>
      <c r="AI48" s="104">
        <v>321822</v>
      </c>
      <c r="AJ48" s="104"/>
      <c r="AK48" s="108">
        <f t="shared" si="0"/>
        <v>4150789</v>
      </c>
    </row>
    <row r="49" spans="1:41">
      <c r="A49" s="97" t="s">
        <v>2169</v>
      </c>
      <c r="B49" s="97">
        <v>382</v>
      </c>
      <c r="C49" s="97" t="s">
        <v>1764</v>
      </c>
      <c r="D49" s="98"/>
      <c r="E49" s="99">
        <v>1803267.3093253467</v>
      </c>
      <c r="F49" s="98"/>
      <c r="G49" s="98"/>
      <c r="H49" s="100"/>
      <c r="I49" s="100"/>
      <c r="J49" s="101">
        <v>2040447.6906746535</v>
      </c>
      <c r="K49" s="100"/>
      <c r="L49" s="100"/>
      <c r="M49" s="100"/>
      <c r="N49" s="100"/>
      <c r="O49" s="100"/>
      <c r="P49" s="102">
        <v>332895</v>
      </c>
      <c r="Q49" s="102"/>
      <c r="R49" s="102"/>
      <c r="S49" s="103"/>
      <c r="T49" s="103">
        <v>198875</v>
      </c>
      <c r="U49" s="103">
        <v>7210</v>
      </c>
      <c r="V49" s="103"/>
      <c r="W49" s="103">
        <v>31946</v>
      </c>
      <c r="X49" s="103"/>
      <c r="Y49" s="103"/>
      <c r="Z49" s="104"/>
      <c r="AA49" s="104">
        <v>68739</v>
      </c>
      <c r="AB49" s="104"/>
      <c r="AC49" s="104"/>
      <c r="AD49" s="104"/>
      <c r="AE49" s="104"/>
      <c r="AF49" s="104"/>
      <c r="AG49" s="104"/>
      <c r="AH49" s="104"/>
      <c r="AI49" s="104"/>
      <c r="AJ49" s="104"/>
      <c r="AK49" s="108">
        <f t="shared" si="0"/>
        <v>4483380</v>
      </c>
    </row>
    <row r="50" spans="1:41">
      <c r="A50" s="97" t="s">
        <v>2171</v>
      </c>
      <c r="B50" s="97">
        <v>218</v>
      </c>
      <c r="C50" s="97" t="s">
        <v>1764</v>
      </c>
      <c r="D50" s="98"/>
      <c r="E50" s="99">
        <v>1792019.0411763333</v>
      </c>
      <c r="F50" s="98"/>
      <c r="G50" s="98"/>
      <c r="H50" s="100"/>
      <c r="I50" s="100"/>
      <c r="J50" s="101">
        <v>2027719.9588236667</v>
      </c>
      <c r="K50" s="100"/>
      <c r="L50" s="100"/>
      <c r="M50" s="100"/>
      <c r="N50" s="100"/>
      <c r="O50" s="100"/>
      <c r="P50" s="102"/>
      <c r="Q50" s="102"/>
      <c r="R50" s="102"/>
      <c r="S50" s="103"/>
      <c r="T50" s="103">
        <v>702032</v>
      </c>
      <c r="U50" s="103">
        <v>56957</v>
      </c>
      <c r="V50" s="103"/>
      <c r="W50" s="103"/>
      <c r="X50" s="103"/>
      <c r="Y50" s="103"/>
      <c r="Z50" s="104"/>
      <c r="AA50" s="104"/>
      <c r="AB50" s="104">
        <v>390745</v>
      </c>
      <c r="AC50" s="104"/>
      <c r="AD50" s="104"/>
      <c r="AE50" s="104"/>
      <c r="AF50" s="104"/>
      <c r="AG50" s="104"/>
      <c r="AH50" s="104"/>
      <c r="AI50" s="104"/>
      <c r="AJ50" s="104"/>
      <c r="AK50" s="108">
        <f t="shared" si="0"/>
        <v>4969473</v>
      </c>
    </row>
    <row r="51" spans="1:41">
      <c r="A51" s="97" t="s">
        <v>2173</v>
      </c>
      <c r="B51" s="97">
        <v>136</v>
      </c>
      <c r="C51" s="97" t="s">
        <v>1764</v>
      </c>
      <c r="D51" s="98"/>
      <c r="E51" s="99">
        <v>654206.70683487796</v>
      </c>
      <c r="F51" s="98"/>
      <c r="G51" s="98"/>
      <c r="H51" s="100"/>
      <c r="I51" s="100"/>
      <c r="J51" s="101">
        <v>740253.29316512204</v>
      </c>
      <c r="K51" s="100"/>
      <c r="L51" s="100"/>
      <c r="M51" s="100"/>
      <c r="N51" s="100"/>
      <c r="O51" s="100"/>
      <c r="P51" s="102">
        <v>164594</v>
      </c>
      <c r="Q51" s="102"/>
      <c r="R51" s="102"/>
      <c r="S51" s="103"/>
      <c r="T51" s="103">
        <v>200140</v>
      </c>
      <c r="U51" s="103">
        <v>46019</v>
      </c>
      <c r="V51" s="103"/>
      <c r="W51" s="103">
        <v>10813</v>
      </c>
      <c r="X51" s="103"/>
      <c r="Y51" s="103"/>
      <c r="Z51" s="104"/>
      <c r="AA51" s="104"/>
      <c r="AB51" s="104"/>
      <c r="AC51" s="104"/>
      <c r="AD51" s="104"/>
      <c r="AE51" s="104"/>
      <c r="AF51" s="104" t="s">
        <v>368</v>
      </c>
      <c r="AG51" s="104"/>
      <c r="AH51" s="104"/>
      <c r="AI51" s="104">
        <v>39838</v>
      </c>
      <c r="AJ51" s="104"/>
      <c r="AK51" s="108">
        <f t="shared" si="0"/>
        <v>1855864</v>
      </c>
      <c r="AN51" s="42">
        <v>77407</v>
      </c>
    </row>
    <row r="52" spans="1:41">
      <c r="A52" s="97" t="s">
        <v>2175</v>
      </c>
      <c r="B52" s="97">
        <v>283</v>
      </c>
      <c r="C52" s="97" t="s">
        <v>1764</v>
      </c>
      <c r="D52" s="98"/>
      <c r="E52" s="99">
        <v>1343658.5501797148</v>
      </c>
      <c r="F52" s="98"/>
      <c r="G52" s="98"/>
      <c r="H52" s="100"/>
      <c r="I52" s="100"/>
      <c r="J52" s="101">
        <v>1520387.4498202854</v>
      </c>
      <c r="K52" s="100"/>
      <c r="L52" s="100"/>
      <c r="M52" s="100"/>
      <c r="N52" s="100"/>
      <c r="O52" s="100"/>
      <c r="P52" s="102"/>
      <c r="Q52" s="102"/>
      <c r="R52" s="102"/>
      <c r="S52" s="103"/>
      <c r="T52" s="103"/>
      <c r="U52" s="103">
        <v>11025</v>
      </c>
      <c r="V52" s="103"/>
      <c r="W52" s="103">
        <v>11263</v>
      </c>
      <c r="X52" s="103"/>
      <c r="Y52" s="103">
        <v>118434</v>
      </c>
      <c r="Z52" s="104"/>
      <c r="AA52" s="104"/>
      <c r="AB52" s="104">
        <v>374621</v>
      </c>
      <c r="AC52" s="104"/>
      <c r="AD52" s="104"/>
      <c r="AE52" s="104"/>
      <c r="AF52" s="104"/>
      <c r="AG52" s="104"/>
      <c r="AH52" s="104"/>
      <c r="AI52" s="104"/>
      <c r="AJ52" s="104"/>
      <c r="AK52" s="108">
        <f t="shared" si="0"/>
        <v>3379389</v>
      </c>
      <c r="AN52" s="36"/>
      <c r="AO52" s="36">
        <v>-9016</v>
      </c>
    </row>
    <row r="53" spans="1:41">
      <c r="A53" s="97" t="s">
        <v>2176</v>
      </c>
      <c r="B53" s="97">
        <v>131</v>
      </c>
      <c r="C53" s="97" t="s">
        <v>1764</v>
      </c>
      <c r="D53" s="98"/>
      <c r="E53" s="99">
        <v>692850.81326223747</v>
      </c>
      <c r="F53" s="98"/>
      <c r="G53" s="98"/>
      <c r="H53" s="100"/>
      <c r="I53" s="100"/>
      <c r="J53" s="101">
        <v>783980.18673776265</v>
      </c>
      <c r="K53" s="100"/>
      <c r="L53" s="100"/>
      <c r="M53" s="100"/>
      <c r="N53" s="100"/>
      <c r="O53" s="100"/>
      <c r="P53" s="102">
        <v>228010</v>
      </c>
      <c r="Q53" s="102"/>
      <c r="R53" s="102"/>
      <c r="S53" s="103"/>
      <c r="T53" s="103">
        <v>413946</v>
      </c>
      <c r="U53" s="103"/>
      <c r="V53" s="103"/>
      <c r="W53" s="103">
        <v>12581</v>
      </c>
      <c r="X53" s="103"/>
      <c r="Y53" s="103"/>
      <c r="Z53" s="104"/>
      <c r="AA53" s="104"/>
      <c r="AB53" s="104"/>
      <c r="AC53" s="104"/>
      <c r="AD53" s="104"/>
      <c r="AE53" s="104"/>
      <c r="AF53" s="104" t="s">
        <v>369</v>
      </c>
      <c r="AG53" s="104"/>
      <c r="AH53" s="104"/>
      <c r="AI53" s="104">
        <v>404079</v>
      </c>
      <c r="AJ53" s="104"/>
      <c r="AK53" s="108">
        <f t="shared" si="0"/>
        <v>2535447</v>
      </c>
      <c r="AO53" s="42">
        <v>-122043</v>
      </c>
    </row>
    <row r="54" spans="1:41">
      <c r="A54" s="97" t="s">
        <v>2177</v>
      </c>
      <c r="B54" s="97">
        <v>108</v>
      </c>
      <c r="C54" s="97" t="s">
        <v>1764</v>
      </c>
      <c r="D54" s="98"/>
      <c r="E54" s="99">
        <v>497223.08793756098</v>
      </c>
      <c r="F54" s="98"/>
      <c r="G54" s="98"/>
      <c r="H54" s="100"/>
      <c r="I54" s="100"/>
      <c r="J54" s="101">
        <v>562621.91206243914</v>
      </c>
      <c r="K54" s="100"/>
      <c r="L54" s="100"/>
      <c r="M54" s="100"/>
      <c r="N54" s="100"/>
      <c r="O54" s="100"/>
      <c r="P54" s="102"/>
      <c r="Q54" s="102"/>
      <c r="R54" s="102"/>
      <c r="S54" s="103"/>
      <c r="T54" s="103">
        <v>290500</v>
      </c>
      <c r="U54" s="103">
        <v>22196</v>
      </c>
      <c r="V54" s="103"/>
      <c r="W54" s="103"/>
      <c r="X54" s="103"/>
      <c r="Y54" s="103"/>
      <c r="Z54" s="104"/>
      <c r="AA54" s="104"/>
      <c r="AB54" s="104">
        <v>363937</v>
      </c>
      <c r="AC54" s="104"/>
      <c r="AD54" s="104"/>
      <c r="AE54" s="104"/>
      <c r="AF54" s="104"/>
      <c r="AG54" s="104"/>
      <c r="AH54" s="104"/>
      <c r="AI54" s="104"/>
      <c r="AJ54" s="104"/>
      <c r="AK54" s="108">
        <f t="shared" si="0"/>
        <v>1736478</v>
      </c>
    </row>
    <row r="55" spans="1:41">
      <c r="A55" s="97" t="s">
        <v>2183</v>
      </c>
      <c r="B55" s="97">
        <v>173</v>
      </c>
      <c r="C55" s="97" t="s">
        <v>1764</v>
      </c>
      <c r="D55" s="98"/>
      <c r="E55" s="99">
        <v>810528.35933420295</v>
      </c>
      <c r="F55" s="98">
        <v>14076</v>
      </c>
      <c r="G55" s="98"/>
      <c r="H55" s="100"/>
      <c r="I55" s="100"/>
      <c r="J55" s="101">
        <v>917135.64066579717</v>
      </c>
      <c r="K55" s="100"/>
      <c r="L55" s="100"/>
      <c r="M55" s="100">
        <v>200000</v>
      </c>
      <c r="N55" s="100"/>
      <c r="O55" s="100"/>
      <c r="P55" s="102">
        <v>137404</v>
      </c>
      <c r="Q55" s="102"/>
      <c r="R55" s="102"/>
      <c r="S55" s="103"/>
      <c r="T55" s="103">
        <v>989184</v>
      </c>
      <c r="U55" s="103">
        <v>5847</v>
      </c>
      <c r="V55" s="103"/>
      <c r="W55" s="103"/>
      <c r="X55" s="103"/>
      <c r="Y55" s="103"/>
      <c r="Z55" s="104"/>
      <c r="AA55" s="104"/>
      <c r="AB55" s="104"/>
      <c r="AC55" s="104"/>
      <c r="AD55" s="104"/>
      <c r="AE55" s="104"/>
      <c r="AF55" s="104"/>
      <c r="AG55" s="120"/>
      <c r="AH55" s="104"/>
      <c r="AI55" s="104"/>
      <c r="AJ55" s="104"/>
      <c r="AK55" s="108">
        <f t="shared" si="0"/>
        <v>3074175</v>
      </c>
    </row>
    <row r="56" spans="1:41">
      <c r="A56" s="97" t="s">
        <v>2186</v>
      </c>
      <c r="B56" s="97">
        <v>192</v>
      </c>
      <c r="C56" s="97" t="s">
        <v>1764</v>
      </c>
      <c r="D56" s="98"/>
      <c r="E56" s="99">
        <v>1016467.9354227814</v>
      </c>
      <c r="F56" s="98"/>
      <c r="G56" s="98"/>
      <c r="H56" s="100"/>
      <c r="I56" s="100"/>
      <c r="J56" s="101">
        <v>1150162.0645772188</v>
      </c>
      <c r="K56" s="100"/>
      <c r="L56" s="100"/>
      <c r="M56" s="100"/>
      <c r="N56" s="100"/>
      <c r="O56" s="100"/>
      <c r="P56" s="102">
        <v>258026</v>
      </c>
      <c r="Q56" s="102"/>
      <c r="R56" s="102"/>
      <c r="S56" s="103"/>
      <c r="T56" s="103">
        <v>77275</v>
      </c>
      <c r="U56" s="103"/>
      <c r="V56" s="103"/>
      <c r="W56" s="103">
        <v>10066</v>
      </c>
      <c r="X56" s="103"/>
      <c r="Y56" s="103"/>
      <c r="Z56" s="104"/>
      <c r="AA56" s="104"/>
      <c r="AB56" s="104"/>
      <c r="AC56" s="104"/>
      <c r="AD56" s="104"/>
      <c r="AE56" s="104"/>
      <c r="AF56" s="104"/>
      <c r="AG56" s="104"/>
      <c r="AH56" s="104"/>
      <c r="AI56" s="104">
        <v>531238</v>
      </c>
      <c r="AJ56" s="104"/>
      <c r="AK56" s="108">
        <f t="shared" si="0"/>
        <v>3043235</v>
      </c>
    </row>
    <row r="57" spans="1:41">
      <c r="A57" s="97" t="s">
        <v>1739</v>
      </c>
      <c r="B57" s="97">
        <v>16</v>
      </c>
      <c r="C57" s="97" t="s">
        <v>1764</v>
      </c>
      <c r="D57" s="98"/>
      <c r="E57" s="99">
        <v>504201.64936217607</v>
      </c>
      <c r="F57" s="98"/>
      <c r="G57" s="98"/>
      <c r="H57" s="100"/>
      <c r="I57" s="100"/>
      <c r="J57" s="101">
        <v>570518.35063782393</v>
      </c>
      <c r="K57" s="100"/>
      <c r="L57" s="100"/>
      <c r="M57" s="100"/>
      <c r="N57" s="100"/>
      <c r="O57" s="100"/>
      <c r="P57" s="102"/>
      <c r="Q57" s="102"/>
      <c r="R57" s="102"/>
      <c r="S57" s="103"/>
      <c r="T57" s="103">
        <v>120910</v>
      </c>
      <c r="U57" s="103">
        <v>9311</v>
      </c>
      <c r="V57" s="103"/>
      <c r="W57" s="103"/>
      <c r="X57" s="103"/>
      <c r="Y57" s="103"/>
      <c r="Z57" s="104"/>
      <c r="AA57" s="104"/>
      <c r="AB57" s="104"/>
      <c r="AC57" s="104"/>
      <c r="AD57" s="104"/>
      <c r="AE57" s="104"/>
      <c r="AF57" s="104"/>
      <c r="AG57" s="104"/>
      <c r="AH57" s="104"/>
      <c r="AI57" s="104">
        <v>281567</v>
      </c>
      <c r="AJ57" s="104"/>
      <c r="AK57" s="108">
        <f t="shared" si="0"/>
        <v>1486508</v>
      </c>
    </row>
    <row r="58" spans="1:41">
      <c r="A58" s="97" t="s">
        <v>2190</v>
      </c>
      <c r="B58" s="97">
        <v>355</v>
      </c>
      <c r="C58" s="97" t="s">
        <v>1764</v>
      </c>
      <c r="D58" s="98"/>
      <c r="E58" s="99">
        <v>1709551.8503393596</v>
      </c>
      <c r="F58" s="98"/>
      <c r="G58" s="98"/>
      <c r="H58" s="100"/>
      <c r="I58" s="100"/>
      <c r="J58" s="101">
        <v>1927860.1496606409</v>
      </c>
      <c r="K58" s="100"/>
      <c r="L58" s="100"/>
      <c r="M58" s="100"/>
      <c r="N58" s="100"/>
      <c r="O58" s="100"/>
      <c r="P58" s="102"/>
      <c r="Q58" s="102"/>
      <c r="R58" s="102"/>
      <c r="S58" s="103"/>
      <c r="T58" s="103">
        <v>473089</v>
      </c>
      <c r="U58" s="103">
        <v>20128</v>
      </c>
      <c r="V58" s="103">
        <v>31000</v>
      </c>
      <c r="W58" s="103">
        <v>20127</v>
      </c>
      <c r="X58" s="103"/>
      <c r="Y58" s="103"/>
      <c r="Z58" s="104"/>
      <c r="AA58" s="104"/>
      <c r="AB58" s="104">
        <v>536212</v>
      </c>
      <c r="AC58" s="104"/>
      <c r="AD58" s="104"/>
      <c r="AE58" s="104"/>
      <c r="AF58" s="104"/>
      <c r="AG58" s="104"/>
      <c r="AH58" s="104"/>
      <c r="AI58" s="104"/>
      <c r="AJ58" s="104"/>
      <c r="AK58" s="108">
        <f t="shared" si="0"/>
        <v>4717968</v>
      </c>
      <c r="AN58" s="42">
        <v>106934</v>
      </c>
    </row>
    <row r="59" spans="1:41">
      <c r="A59" s="97" t="s">
        <v>2193</v>
      </c>
      <c r="B59" s="97">
        <v>465</v>
      </c>
      <c r="C59" s="97" t="s">
        <v>1764</v>
      </c>
      <c r="D59" s="98"/>
      <c r="E59" s="99">
        <v>2234761.4970092704</v>
      </c>
      <c r="F59" s="98"/>
      <c r="G59" s="98"/>
      <c r="H59" s="100"/>
      <c r="I59" s="100"/>
      <c r="J59" s="101">
        <v>2528695.5029907296</v>
      </c>
      <c r="K59" s="100"/>
      <c r="L59" s="100"/>
      <c r="M59" s="100"/>
      <c r="N59" s="100"/>
      <c r="O59" s="100"/>
      <c r="P59" s="102"/>
      <c r="Q59" s="102"/>
      <c r="R59" s="102"/>
      <c r="S59" s="103"/>
      <c r="T59" s="103">
        <v>233643</v>
      </c>
      <c r="U59" s="103">
        <v>19055</v>
      </c>
      <c r="V59" s="103">
        <v>7075</v>
      </c>
      <c r="W59" s="103"/>
      <c r="X59" s="103"/>
      <c r="Y59" s="103"/>
      <c r="Z59" s="104"/>
      <c r="AA59" s="104"/>
      <c r="AB59" s="104">
        <v>281579</v>
      </c>
      <c r="AC59" s="104"/>
      <c r="AD59" s="104"/>
      <c r="AE59" s="104"/>
      <c r="AF59" s="104"/>
      <c r="AG59" s="104"/>
      <c r="AH59" s="104"/>
      <c r="AI59" s="104"/>
      <c r="AJ59" s="104"/>
      <c r="AK59" s="108">
        <f t="shared" si="0"/>
        <v>5304809</v>
      </c>
    </row>
    <row r="60" spans="1:41">
      <c r="A60" s="97" t="s">
        <v>2194</v>
      </c>
      <c r="B60" s="97">
        <v>182</v>
      </c>
      <c r="C60" s="97" t="s">
        <v>1764</v>
      </c>
      <c r="D60" s="98"/>
      <c r="E60" s="99">
        <v>859294.31199592014</v>
      </c>
      <c r="F60" s="98"/>
      <c r="G60" s="98"/>
      <c r="H60" s="100"/>
      <c r="I60" s="100"/>
      <c r="J60" s="101">
        <v>972315.68800407997</v>
      </c>
      <c r="K60" s="100"/>
      <c r="L60" s="100"/>
      <c r="M60" s="100"/>
      <c r="N60" s="100"/>
      <c r="O60" s="100"/>
      <c r="P60" s="102"/>
      <c r="Q60" s="102"/>
      <c r="R60" s="102"/>
      <c r="S60" s="103"/>
      <c r="T60" s="103"/>
      <c r="U60" s="103">
        <v>17823</v>
      </c>
      <c r="V60" s="103"/>
      <c r="W60" s="103"/>
      <c r="X60" s="103"/>
      <c r="Y60" s="103"/>
      <c r="Z60" s="104"/>
      <c r="AA60" s="104"/>
      <c r="AB60" s="104"/>
      <c r="AC60" s="104"/>
      <c r="AD60" s="104"/>
      <c r="AE60" s="104"/>
      <c r="AF60" s="104"/>
      <c r="AG60" s="104"/>
      <c r="AH60" s="104"/>
      <c r="AI60" s="104">
        <v>9688</v>
      </c>
      <c r="AJ60" s="104"/>
      <c r="AK60" s="108">
        <f t="shared" si="0"/>
        <v>1859121</v>
      </c>
    </row>
    <row r="61" spans="1:41">
      <c r="A61" s="97" t="s">
        <v>2195</v>
      </c>
      <c r="B61" s="97">
        <v>192</v>
      </c>
      <c r="C61" s="97" t="s">
        <v>1764</v>
      </c>
      <c r="D61" s="98"/>
      <c r="E61" s="99">
        <v>942625.60718411603</v>
      </c>
      <c r="F61" s="98"/>
      <c r="G61" s="98"/>
      <c r="H61" s="100"/>
      <c r="I61" s="100"/>
      <c r="J61" s="101">
        <v>1066607.3928158842</v>
      </c>
      <c r="K61" s="100"/>
      <c r="L61" s="100"/>
      <c r="M61" s="100"/>
      <c r="N61" s="100"/>
      <c r="O61" s="100"/>
      <c r="P61" s="102"/>
      <c r="Q61" s="102"/>
      <c r="R61" s="102"/>
      <c r="S61" s="103"/>
      <c r="T61" s="103">
        <v>294174</v>
      </c>
      <c r="U61" s="103">
        <v>29488</v>
      </c>
      <c r="V61" s="103"/>
      <c r="W61" s="103"/>
      <c r="X61" s="103"/>
      <c r="Y61" s="103"/>
      <c r="Z61" s="104"/>
      <c r="AA61" s="104"/>
      <c r="AB61" s="104">
        <v>373297</v>
      </c>
      <c r="AC61" s="104"/>
      <c r="AD61" s="104"/>
      <c r="AE61" s="104"/>
      <c r="AF61" s="104"/>
      <c r="AG61" s="104"/>
      <c r="AH61" s="104"/>
      <c r="AI61" s="104"/>
      <c r="AJ61" s="104"/>
      <c r="AK61" s="108">
        <f t="shared" si="0"/>
        <v>2706192</v>
      </c>
    </row>
    <row r="62" spans="1:41">
      <c r="A62" s="97" t="s">
        <v>2197</v>
      </c>
      <c r="B62" s="97">
        <v>84</v>
      </c>
      <c r="C62" s="97" t="s">
        <v>1764</v>
      </c>
      <c r="D62" s="98"/>
      <c r="E62" s="99">
        <v>439226.66831589059</v>
      </c>
      <c r="F62" s="98"/>
      <c r="G62" s="98"/>
      <c r="H62" s="100"/>
      <c r="I62" s="100"/>
      <c r="J62" s="101">
        <v>496997.33168410946</v>
      </c>
      <c r="K62" s="100"/>
      <c r="L62" s="100"/>
      <c r="M62" s="100"/>
      <c r="N62" s="100"/>
      <c r="O62" s="100"/>
      <c r="P62" s="102"/>
      <c r="Q62" s="102"/>
      <c r="R62" s="102"/>
      <c r="S62" s="103"/>
      <c r="T62" s="103">
        <v>253525</v>
      </c>
      <c r="U62" s="103">
        <v>167</v>
      </c>
      <c r="V62" s="103"/>
      <c r="W62" s="103"/>
      <c r="X62" s="103"/>
      <c r="Y62" s="103"/>
      <c r="Z62" s="104"/>
      <c r="AA62" s="104"/>
      <c r="AB62" s="104">
        <v>372044</v>
      </c>
      <c r="AC62" s="104"/>
      <c r="AD62" s="104"/>
      <c r="AE62" s="104"/>
      <c r="AF62" s="104"/>
      <c r="AG62" s="104"/>
      <c r="AH62" s="104"/>
      <c r="AI62" s="104"/>
      <c r="AJ62" s="104"/>
      <c r="AK62" s="108">
        <f t="shared" si="0"/>
        <v>1561960</v>
      </c>
    </row>
    <row r="63" spans="1:41">
      <c r="A63" s="97" t="s">
        <v>2102</v>
      </c>
      <c r="B63" s="97">
        <v>133</v>
      </c>
      <c r="C63" s="97" t="s">
        <v>1764</v>
      </c>
      <c r="D63" s="98"/>
      <c r="E63" s="99">
        <v>677653.73492761177</v>
      </c>
      <c r="F63" s="98"/>
      <c r="G63" s="98"/>
      <c r="H63" s="100"/>
      <c r="I63" s="100"/>
      <c r="J63" s="101">
        <v>766784.26507238834</v>
      </c>
      <c r="K63" s="100"/>
      <c r="L63" s="100"/>
      <c r="M63" s="100"/>
      <c r="N63" s="100"/>
      <c r="O63" s="100"/>
      <c r="P63" s="102"/>
      <c r="Q63" s="102"/>
      <c r="R63" s="102"/>
      <c r="S63" s="103"/>
      <c r="T63" s="103"/>
      <c r="U63" s="103"/>
      <c r="V63" s="103"/>
      <c r="W63" s="103"/>
      <c r="X63" s="103"/>
      <c r="Y63" s="103"/>
      <c r="Z63" s="104"/>
      <c r="AA63" s="104"/>
      <c r="AB63" s="104"/>
      <c r="AC63" s="104"/>
      <c r="AD63" s="104"/>
      <c r="AE63" s="104"/>
      <c r="AF63" s="104"/>
      <c r="AG63" s="104"/>
      <c r="AH63" s="104"/>
      <c r="AI63" s="104"/>
      <c r="AJ63" s="104">
        <v>162644</v>
      </c>
      <c r="AK63" s="108">
        <f t="shared" si="0"/>
        <v>1607082</v>
      </c>
    </row>
    <row r="64" spans="1:41">
      <c r="A64" s="97" t="s">
        <v>2199</v>
      </c>
      <c r="B64" s="97">
        <v>264</v>
      </c>
      <c r="C64" s="97" t="s">
        <v>1764</v>
      </c>
      <c r="D64" s="98"/>
      <c r="E64" s="99">
        <v>1175167.2248498341</v>
      </c>
      <c r="F64" s="98"/>
      <c r="G64" s="98"/>
      <c r="H64" s="100"/>
      <c r="I64" s="100"/>
      <c r="J64" s="101">
        <v>1329734.7751501661</v>
      </c>
      <c r="K64" s="100"/>
      <c r="L64" s="100"/>
      <c r="M64" s="100"/>
      <c r="N64" s="100"/>
      <c r="O64" s="100"/>
      <c r="P64" s="102"/>
      <c r="Q64" s="102"/>
      <c r="R64" s="102"/>
      <c r="S64" s="103"/>
      <c r="T64" s="103">
        <v>1423179</v>
      </c>
      <c r="U64" s="103">
        <v>91954</v>
      </c>
      <c r="V64" s="103"/>
      <c r="W64" s="103"/>
      <c r="X64" s="103"/>
      <c r="Y64" s="103"/>
      <c r="Z64" s="104"/>
      <c r="AA64" s="104"/>
      <c r="AB64" s="104">
        <v>368279</v>
      </c>
      <c r="AC64" s="104"/>
      <c r="AD64" s="104"/>
      <c r="AE64" s="104"/>
      <c r="AF64" s="104"/>
      <c r="AG64" s="104"/>
      <c r="AH64" s="104"/>
      <c r="AI64" s="104"/>
      <c r="AJ64" s="104"/>
      <c r="AK64" s="108">
        <f t="shared" si="0"/>
        <v>4388314</v>
      </c>
    </row>
    <row r="65" spans="1:41">
      <c r="A65" s="97" t="s">
        <v>2200</v>
      </c>
      <c r="B65" s="97">
        <v>162</v>
      </c>
      <c r="C65" s="97" t="s">
        <v>1764</v>
      </c>
      <c r="D65" s="98"/>
      <c r="E65" s="110">
        <v>783013.82686826494</v>
      </c>
      <c r="F65" s="98"/>
      <c r="G65" s="98"/>
      <c r="H65" s="100">
        <v>152922</v>
      </c>
      <c r="I65" s="100"/>
      <c r="J65" s="111">
        <v>886002.17313173518</v>
      </c>
      <c r="K65" s="100">
        <v>61288</v>
      </c>
      <c r="L65" s="100"/>
      <c r="M65" s="100"/>
      <c r="N65" s="100"/>
      <c r="O65" s="100"/>
      <c r="P65" s="102">
        <v>332698</v>
      </c>
      <c r="Q65" s="102"/>
      <c r="R65" s="102"/>
      <c r="S65" s="103"/>
      <c r="T65" s="103">
        <v>142526</v>
      </c>
      <c r="U65" s="103"/>
      <c r="V65" s="103"/>
      <c r="W65" s="103"/>
      <c r="X65" s="103"/>
      <c r="Y65" s="103"/>
      <c r="Z65" s="104"/>
      <c r="AA65" s="104"/>
      <c r="AB65" s="104"/>
      <c r="AC65" s="104"/>
      <c r="AD65" s="104"/>
      <c r="AE65" s="104"/>
      <c r="AF65" s="104"/>
      <c r="AG65" s="104"/>
      <c r="AH65" s="104"/>
      <c r="AI65" s="104"/>
      <c r="AJ65" s="104"/>
      <c r="AK65" s="108">
        <f t="shared" si="0"/>
        <v>2358450</v>
      </c>
    </row>
    <row r="66" spans="1:41">
      <c r="A66" s="97" t="s">
        <v>2201</v>
      </c>
      <c r="B66" s="97">
        <v>156</v>
      </c>
      <c r="C66" s="97" t="s">
        <v>1764</v>
      </c>
      <c r="D66" s="98"/>
      <c r="E66" s="99">
        <v>719177.93470527127</v>
      </c>
      <c r="F66" s="98"/>
      <c r="G66" s="98"/>
      <c r="H66" s="100"/>
      <c r="I66" s="100"/>
      <c r="J66" s="101">
        <v>813770.06529472885</v>
      </c>
      <c r="K66" s="100"/>
      <c r="L66" s="100"/>
      <c r="M66" s="100"/>
      <c r="N66" s="100"/>
      <c r="O66" s="100"/>
      <c r="P66" s="102">
        <v>235602</v>
      </c>
      <c r="Q66" s="102"/>
      <c r="R66" s="102"/>
      <c r="S66" s="103"/>
      <c r="T66" s="103">
        <v>1319156</v>
      </c>
      <c r="U66" s="103"/>
      <c r="V66" s="103"/>
      <c r="W66" s="103">
        <v>653</v>
      </c>
      <c r="X66" s="103"/>
      <c r="Y66" s="103"/>
      <c r="Z66" s="104"/>
      <c r="AA66" s="104"/>
      <c r="AB66" s="104"/>
      <c r="AC66" s="104"/>
      <c r="AD66" s="104"/>
      <c r="AE66" s="104"/>
      <c r="AF66" s="104"/>
      <c r="AG66" s="104"/>
      <c r="AH66" s="104"/>
      <c r="AI66" s="104">
        <v>173863</v>
      </c>
      <c r="AJ66" s="104"/>
      <c r="AK66" s="108">
        <f t="shared" si="0"/>
        <v>3262222</v>
      </c>
      <c r="AN66" s="42">
        <v>25000</v>
      </c>
    </row>
    <row r="67" spans="1:41">
      <c r="A67" s="97" t="s">
        <v>2202</v>
      </c>
      <c r="B67" s="97">
        <v>200</v>
      </c>
      <c r="C67" s="97" t="s">
        <v>1764</v>
      </c>
      <c r="D67" s="98"/>
      <c r="E67" s="99">
        <v>981709.30433785298</v>
      </c>
      <c r="F67" s="98"/>
      <c r="G67" s="98"/>
      <c r="H67" s="100"/>
      <c r="I67" s="100"/>
      <c r="J67" s="101">
        <v>1110831.6956621471</v>
      </c>
      <c r="K67" s="100"/>
      <c r="L67" s="100"/>
      <c r="M67" s="100"/>
      <c r="N67" s="100"/>
      <c r="O67" s="100"/>
      <c r="P67" s="102">
        <v>106306</v>
      </c>
      <c r="Q67" s="102"/>
      <c r="R67" s="102"/>
      <c r="S67" s="103"/>
      <c r="T67" s="103"/>
      <c r="U67" s="103"/>
      <c r="V67" s="103"/>
      <c r="W67" s="103">
        <v>2201</v>
      </c>
      <c r="X67" s="103"/>
      <c r="Y67" s="103"/>
      <c r="Z67" s="104"/>
      <c r="AA67" s="104"/>
      <c r="AB67" s="104"/>
      <c r="AC67" s="104"/>
      <c r="AD67" s="104"/>
      <c r="AE67" s="104"/>
      <c r="AF67" s="104"/>
      <c r="AG67" s="104"/>
      <c r="AH67" s="104"/>
      <c r="AI67" s="104">
        <v>23032</v>
      </c>
      <c r="AJ67" s="104"/>
      <c r="AK67" s="108">
        <f t="shared" si="0"/>
        <v>2224080</v>
      </c>
    </row>
    <row r="68" spans="1:41">
      <c r="A68" s="97" t="s">
        <v>2205</v>
      </c>
      <c r="B68" s="97">
        <v>360</v>
      </c>
      <c r="C68" s="97" t="s">
        <v>1764</v>
      </c>
      <c r="D68" s="98"/>
      <c r="E68" s="99">
        <v>1657743.0747209808</v>
      </c>
      <c r="F68" s="98"/>
      <c r="G68" s="98"/>
      <c r="H68" s="100"/>
      <c r="I68" s="100"/>
      <c r="J68" s="101">
        <v>1875782.9252790192</v>
      </c>
      <c r="K68" s="100"/>
      <c r="L68" s="100"/>
      <c r="M68" s="100"/>
      <c r="N68" s="100"/>
      <c r="O68" s="100"/>
      <c r="P68" s="102"/>
      <c r="Q68" s="102"/>
      <c r="R68" s="102"/>
      <c r="S68" s="103"/>
      <c r="T68" s="103">
        <v>206013</v>
      </c>
      <c r="U68" s="103">
        <v>86734</v>
      </c>
      <c r="V68" s="103"/>
      <c r="W68" s="103">
        <v>314</v>
      </c>
      <c r="X68" s="103"/>
      <c r="Y68" s="103"/>
      <c r="Z68" s="104"/>
      <c r="AA68" s="104"/>
      <c r="AB68" s="104">
        <v>506798</v>
      </c>
      <c r="AC68" s="104"/>
      <c r="AD68" s="104"/>
      <c r="AE68" s="104"/>
      <c r="AF68" s="104"/>
      <c r="AG68" s="104"/>
      <c r="AH68" s="104"/>
      <c r="AI68" s="104"/>
      <c r="AJ68" s="104"/>
      <c r="AK68" s="108">
        <f t="shared" si="0"/>
        <v>4333385</v>
      </c>
    </row>
    <row r="69" spans="1:41">
      <c r="A69" s="97" t="s">
        <v>2206</v>
      </c>
      <c r="B69" s="97">
        <v>313</v>
      </c>
      <c r="C69" s="97" t="s">
        <v>1764</v>
      </c>
      <c r="D69" s="98"/>
      <c r="E69" s="99">
        <v>1594070.4457092993</v>
      </c>
      <c r="F69" s="98"/>
      <c r="G69" s="98"/>
      <c r="H69" s="100"/>
      <c r="I69" s="100"/>
      <c r="J69" s="101">
        <v>1803735.5542907009</v>
      </c>
      <c r="K69" s="100"/>
      <c r="L69" s="100"/>
      <c r="M69" s="100"/>
      <c r="N69" s="100"/>
      <c r="O69" s="100"/>
      <c r="P69" s="102"/>
      <c r="Q69" s="102"/>
      <c r="R69" s="102"/>
      <c r="S69" s="103"/>
      <c r="T69" s="103">
        <v>268959</v>
      </c>
      <c r="U69" s="103">
        <v>17692</v>
      </c>
      <c r="V69" s="103"/>
      <c r="W69" s="103">
        <v>116479</v>
      </c>
      <c r="X69" s="103"/>
      <c r="Y69" s="103"/>
      <c r="Z69" s="104"/>
      <c r="AA69" s="104"/>
      <c r="AB69" s="104">
        <v>149435</v>
      </c>
      <c r="AC69" s="104"/>
      <c r="AD69" s="104"/>
      <c r="AE69" s="104"/>
      <c r="AF69" s="104"/>
      <c r="AG69" s="104"/>
      <c r="AH69" s="104"/>
      <c r="AI69" s="104"/>
      <c r="AJ69" s="104"/>
      <c r="AK69" s="108">
        <f t="shared" si="0"/>
        <v>3950371</v>
      </c>
    </row>
    <row r="70" spans="1:41">
      <c r="A70" s="97" t="s">
        <v>2097</v>
      </c>
      <c r="B70" s="97">
        <v>116</v>
      </c>
      <c r="C70" s="97" t="s">
        <v>1764</v>
      </c>
      <c r="D70" s="98"/>
      <c r="E70" s="99">
        <v>554876.56111207884</v>
      </c>
      <c r="F70" s="98"/>
      <c r="G70" s="98"/>
      <c r="H70" s="100"/>
      <c r="I70" s="100"/>
      <c r="J70" s="101">
        <v>627858.43888792128</v>
      </c>
      <c r="K70" s="100"/>
      <c r="L70" s="100"/>
      <c r="M70" s="100"/>
      <c r="N70" s="100"/>
      <c r="O70" s="100"/>
      <c r="P70" s="102"/>
      <c r="Q70" s="102"/>
      <c r="R70" s="102"/>
      <c r="S70" s="103"/>
      <c r="T70" s="103">
        <v>560075</v>
      </c>
      <c r="U70" s="103">
        <v>13098</v>
      </c>
      <c r="V70" s="103"/>
      <c r="W70" s="103"/>
      <c r="X70" s="103"/>
      <c r="Y70" s="103"/>
      <c r="Z70" s="104"/>
      <c r="AA70" s="104"/>
      <c r="AB70" s="104">
        <v>472382</v>
      </c>
      <c r="AC70" s="104"/>
      <c r="AD70" s="104"/>
      <c r="AE70" s="104"/>
      <c r="AF70" s="104"/>
      <c r="AG70" s="104"/>
      <c r="AH70" s="104"/>
      <c r="AI70" s="104"/>
      <c r="AJ70" s="104"/>
      <c r="AK70" s="108">
        <f t="shared" ref="AK70:AK96" si="1">SUM(D70:AJ70)</f>
        <v>2228290</v>
      </c>
    </row>
    <row r="71" spans="1:41">
      <c r="A71" s="97" t="s">
        <v>2098</v>
      </c>
      <c r="B71" s="97">
        <v>116</v>
      </c>
      <c r="C71" s="97" t="s">
        <v>1764</v>
      </c>
      <c r="D71" s="98"/>
      <c r="E71" s="99">
        <v>538842.99370047229</v>
      </c>
      <c r="F71" s="98"/>
      <c r="G71" s="98"/>
      <c r="H71" s="100"/>
      <c r="I71" s="100"/>
      <c r="J71" s="101">
        <v>609716.00629952771</v>
      </c>
      <c r="K71" s="100"/>
      <c r="L71" s="100"/>
      <c r="M71" s="100"/>
      <c r="N71" s="100"/>
      <c r="O71" s="100"/>
      <c r="P71" s="102">
        <v>53552</v>
      </c>
      <c r="Q71" s="102"/>
      <c r="R71" s="102"/>
      <c r="S71" s="103"/>
      <c r="T71" s="103"/>
      <c r="U71" s="103"/>
      <c r="V71" s="103"/>
      <c r="W71" s="103">
        <v>2352</v>
      </c>
      <c r="X71" s="103"/>
      <c r="Y71" s="103"/>
      <c r="Z71" s="104"/>
      <c r="AA71" s="104"/>
      <c r="AB71" s="104"/>
      <c r="AC71" s="104"/>
      <c r="AD71" s="104"/>
      <c r="AE71" s="104"/>
      <c r="AF71" s="104"/>
      <c r="AG71" s="104"/>
      <c r="AH71" s="104"/>
      <c r="AI71" s="104">
        <v>59595</v>
      </c>
      <c r="AJ71" s="104"/>
      <c r="AK71" s="108">
        <f t="shared" si="1"/>
        <v>1264058</v>
      </c>
    </row>
    <row r="72" spans="1:41">
      <c r="A72" s="97" t="s">
        <v>2099</v>
      </c>
      <c r="B72" s="97">
        <v>118</v>
      </c>
      <c r="C72" s="97" t="s">
        <v>1764</v>
      </c>
      <c r="D72" s="98"/>
      <c r="E72" s="99">
        <v>560166.66253217694</v>
      </c>
      <c r="F72" s="98"/>
      <c r="G72" s="98"/>
      <c r="H72" s="100">
        <v>125406</v>
      </c>
      <c r="I72" s="100"/>
      <c r="J72" s="101">
        <v>633844.33746782306</v>
      </c>
      <c r="K72" s="100"/>
      <c r="L72" s="100"/>
      <c r="M72" s="100"/>
      <c r="N72" s="100"/>
      <c r="O72" s="100"/>
      <c r="P72" s="102">
        <v>131725</v>
      </c>
      <c r="Q72" s="102"/>
      <c r="R72" s="102"/>
      <c r="S72" s="103"/>
      <c r="T72" s="103">
        <v>2440</v>
      </c>
      <c r="U72" s="103">
        <v>15805</v>
      </c>
      <c r="V72" s="103"/>
      <c r="W72" s="103"/>
      <c r="X72" s="103"/>
      <c r="Y72" s="103"/>
      <c r="Z72" s="104"/>
      <c r="AA72" s="104"/>
      <c r="AB72" s="104"/>
      <c r="AC72" s="104"/>
      <c r="AD72" s="104"/>
      <c r="AE72" s="104"/>
      <c r="AF72" s="104"/>
      <c r="AG72" s="104"/>
      <c r="AH72" s="104"/>
      <c r="AI72" s="104"/>
      <c r="AJ72" s="104"/>
      <c r="AK72" s="108">
        <f t="shared" si="1"/>
        <v>1469387</v>
      </c>
    </row>
    <row r="73" spans="1:41">
      <c r="A73" s="97" t="s">
        <v>2100</v>
      </c>
      <c r="B73" s="97">
        <v>496</v>
      </c>
      <c r="C73" s="97" t="s">
        <v>1764</v>
      </c>
      <c r="D73" s="98"/>
      <c r="E73" s="99">
        <v>2324256.577788563</v>
      </c>
      <c r="F73" s="98"/>
      <c r="G73" s="98"/>
      <c r="H73" s="100">
        <v>39110</v>
      </c>
      <c r="I73" s="100"/>
      <c r="J73" s="101">
        <v>2636811.422211437</v>
      </c>
      <c r="K73" s="100">
        <v>52064</v>
      </c>
      <c r="L73" s="100"/>
      <c r="M73" s="100"/>
      <c r="N73" s="100"/>
      <c r="O73" s="100"/>
      <c r="P73" s="102">
        <v>245300</v>
      </c>
      <c r="Q73" s="102"/>
      <c r="R73" s="102"/>
      <c r="S73" s="103"/>
      <c r="T73" s="103"/>
      <c r="U73" s="103"/>
      <c r="V73" s="103"/>
      <c r="W73" s="103">
        <v>24316</v>
      </c>
      <c r="X73" s="103"/>
      <c r="Y73" s="103">
        <v>165314</v>
      </c>
      <c r="Z73" s="104"/>
      <c r="AA73" s="104"/>
      <c r="AB73" s="104">
        <v>2500</v>
      </c>
      <c r="AC73" s="104"/>
      <c r="AD73" s="104"/>
      <c r="AE73" s="104"/>
      <c r="AF73" s="104"/>
      <c r="AG73" s="104"/>
      <c r="AH73" s="104"/>
      <c r="AI73" s="104"/>
      <c r="AJ73" s="104"/>
      <c r="AK73" s="108">
        <f t="shared" si="1"/>
        <v>5489672</v>
      </c>
    </row>
    <row r="74" spans="1:41">
      <c r="A74" s="97" t="s">
        <v>2101</v>
      </c>
      <c r="B74" s="97">
        <v>213</v>
      </c>
      <c r="C74" s="97" t="s">
        <v>1764</v>
      </c>
      <c r="D74" s="98"/>
      <c r="E74" s="99">
        <v>1009454.6571211631</v>
      </c>
      <c r="F74" s="98"/>
      <c r="G74" s="98"/>
      <c r="H74" s="100"/>
      <c r="I74" s="100">
        <v>227200</v>
      </c>
      <c r="J74" s="101">
        <v>1142226.3428788371</v>
      </c>
      <c r="K74" s="100"/>
      <c r="L74" s="100"/>
      <c r="M74" s="100"/>
      <c r="N74" s="100"/>
      <c r="O74" s="100"/>
      <c r="P74" s="102"/>
      <c r="Q74" s="102"/>
      <c r="R74" s="102"/>
      <c r="S74" s="103"/>
      <c r="T74" s="103">
        <v>32348</v>
      </c>
      <c r="U74" s="103"/>
      <c r="V74" s="103"/>
      <c r="W74" s="103"/>
      <c r="X74" s="103"/>
      <c r="Y74" s="103"/>
      <c r="Z74" s="104"/>
      <c r="AA74" s="104"/>
      <c r="AB74" s="104"/>
      <c r="AC74" s="104"/>
      <c r="AD74" s="104"/>
      <c r="AE74" s="104"/>
      <c r="AF74" s="104"/>
      <c r="AG74" s="104"/>
      <c r="AH74" s="104"/>
      <c r="AI74" s="104"/>
      <c r="AJ74" s="104"/>
      <c r="AK74" s="108">
        <f t="shared" si="1"/>
        <v>2411229</v>
      </c>
      <c r="AO74" s="42">
        <v>-208069</v>
      </c>
    </row>
    <row r="75" spans="1:41">
      <c r="A75" s="97" t="s">
        <v>2198</v>
      </c>
      <c r="B75" s="97">
        <v>511</v>
      </c>
      <c r="C75" s="97" t="s">
        <v>1764</v>
      </c>
      <c r="D75" s="98"/>
      <c r="E75" s="99">
        <v>2550603.9153090599</v>
      </c>
      <c r="F75" s="98"/>
      <c r="G75" s="98"/>
      <c r="H75" s="100"/>
      <c r="I75" s="100"/>
      <c r="J75" s="101">
        <v>2886080.0846909401</v>
      </c>
      <c r="K75" s="100"/>
      <c r="L75" s="100"/>
      <c r="M75" s="100"/>
      <c r="N75" s="100"/>
      <c r="O75" s="100"/>
      <c r="P75" s="102"/>
      <c r="Q75" s="102"/>
      <c r="R75" s="102"/>
      <c r="S75" s="103"/>
      <c r="T75" s="103">
        <v>15010</v>
      </c>
      <c r="U75" s="103">
        <v>4110</v>
      </c>
      <c r="V75" s="103"/>
      <c r="W75" s="103"/>
      <c r="X75" s="103"/>
      <c r="Y75" s="103">
        <v>194345</v>
      </c>
      <c r="Z75" s="104"/>
      <c r="AA75" s="104"/>
      <c r="AB75" s="104"/>
      <c r="AC75" s="104"/>
      <c r="AD75" s="104"/>
      <c r="AE75" s="104"/>
      <c r="AF75" s="104"/>
      <c r="AG75" s="104"/>
      <c r="AH75" s="104"/>
      <c r="AI75" s="104"/>
      <c r="AJ75" s="104">
        <v>212965</v>
      </c>
      <c r="AK75" s="108">
        <f t="shared" si="1"/>
        <v>5863114</v>
      </c>
      <c r="AN75" s="42">
        <v>534000</v>
      </c>
    </row>
    <row r="76" spans="1:41">
      <c r="A76" s="97" t="s">
        <v>213</v>
      </c>
      <c r="B76" s="97">
        <v>404</v>
      </c>
      <c r="C76" s="97" t="s">
        <v>1764</v>
      </c>
      <c r="D76" s="98"/>
      <c r="E76" s="99">
        <v>1984154.9054802766</v>
      </c>
      <c r="F76" s="98"/>
      <c r="G76" s="98"/>
      <c r="H76" s="100"/>
      <c r="I76" s="100"/>
      <c r="J76" s="101">
        <v>2245127.0945197237</v>
      </c>
      <c r="K76" s="100"/>
      <c r="L76" s="100"/>
      <c r="M76" s="100"/>
      <c r="N76" s="100"/>
      <c r="O76" s="100"/>
      <c r="P76" s="102"/>
      <c r="Q76" s="102"/>
      <c r="R76" s="102"/>
      <c r="S76" s="103"/>
      <c r="T76" s="103">
        <v>4773</v>
      </c>
      <c r="U76" s="103">
        <v>14847</v>
      </c>
      <c r="V76" s="103"/>
      <c r="W76" s="103"/>
      <c r="X76" s="103"/>
      <c r="Y76" s="103"/>
      <c r="Z76" s="104"/>
      <c r="AA76" s="104"/>
      <c r="AB76" s="104">
        <v>239950</v>
      </c>
      <c r="AC76" s="104"/>
      <c r="AD76" s="104"/>
      <c r="AE76" s="104"/>
      <c r="AF76" s="104"/>
      <c r="AG76" s="104"/>
      <c r="AH76" s="104"/>
      <c r="AI76" s="104"/>
      <c r="AJ76" s="104"/>
      <c r="AK76" s="108">
        <f t="shared" si="1"/>
        <v>4488852</v>
      </c>
      <c r="AN76" s="42">
        <v>41261</v>
      </c>
    </row>
    <row r="77" spans="1:41">
      <c r="A77" s="97" t="s">
        <v>2226</v>
      </c>
      <c r="B77" s="97">
        <v>248</v>
      </c>
      <c r="C77" s="97" t="s">
        <v>1765</v>
      </c>
      <c r="D77" s="98"/>
      <c r="E77" s="99">
        <v>372538.10541594255</v>
      </c>
      <c r="F77" s="98"/>
      <c r="G77" s="98"/>
      <c r="H77" s="100"/>
      <c r="I77" s="100"/>
      <c r="J77" s="101">
        <v>1808927.8945840576</v>
      </c>
      <c r="K77" s="100">
        <v>105425</v>
      </c>
      <c r="L77" s="100"/>
      <c r="M77" s="100"/>
      <c r="N77" s="100"/>
      <c r="O77" s="100"/>
      <c r="P77" s="102"/>
      <c r="Q77" s="102"/>
      <c r="R77" s="102"/>
      <c r="S77" s="103"/>
      <c r="T77" s="103">
        <v>5200</v>
      </c>
      <c r="U77" s="103">
        <v>13758</v>
      </c>
      <c r="V77" s="103"/>
      <c r="W77" s="103">
        <v>68</v>
      </c>
      <c r="X77" s="103"/>
      <c r="Y77" s="103"/>
      <c r="Z77" s="104"/>
      <c r="AA77" s="104"/>
      <c r="AB77" s="104"/>
      <c r="AC77" s="104">
        <v>174162</v>
      </c>
      <c r="AD77" s="104"/>
      <c r="AE77" s="104"/>
      <c r="AF77" s="104"/>
      <c r="AG77" s="104"/>
      <c r="AH77" s="104"/>
      <c r="AI77" s="104"/>
      <c r="AJ77" s="104"/>
      <c r="AK77" s="108">
        <f t="shared" si="1"/>
        <v>2480079</v>
      </c>
    </row>
    <row r="78" spans="1:41">
      <c r="A78" s="97" t="s">
        <v>2227</v>
      </c>
      <c r="B78" s="97">
        <v>339</v>
      </c>
      <c r="C78" s="97" t="s">
        <v>1765</v>
      </c>
      <c r="D78" s="98"/>
      <c r="E78" s="110">
        <v>546361.16150789603</v>
      </c>
      <c r="F78" s="98"/>
      <c r="G78" s="98"/>
      <c r="H78" s="100"/>
      <c r="I78" s="100"/>
      <c r="J78" s="111">
        <v>2739532.8384921039</v>
      </c>
      <c r="K78" s="100"/>
      <c r="L78" s="100"/>
      <c r="M78" s="100"/>
      <c r="N78" s="100"/>
      <c r="O78" s="100"/>
      <c r="P78" s="102"/>
      <c r="Q78" s="102"/>
      <c r="R78" s="102"/>
      <c r="S78" s="103"/>
      <c r="T78" s="103"/>
      <c r="U78" s="103"/>
      <c r="V78" s="103"/>
      <c r="W78" s="103"/>
      <c r="X78" s="103"/>
      <c r="Y78" s="103"/>
      <c r="Z78" s="104"/>
      <c r="AA78" s="104"/>
      <c r="AB78" s="104"/>
      <c r="AC78" s="104"/>
      <c r="AD78" s="104">
        <v>310958</v>
      </c>
      <c r="AE78" s="104"/>
      <c r="AF78" s="104"/>
      <c r="AG78" s="104"/>
      <c r="AH78" s="104"/>
      <c r="AI78" s="104"/>
      <c r="AJ78" s="104"/>
      <c r="AK78" s="108">
        <f t="shared" si="1"/>
        <v>3596852</v>
      </c>
      <c r="AN78" s="42">
        <v>100000</v>
      </c>
      <c r="AO78" s="42">
        <v>-57032</v>
      </c>
    </row>
    <row r="79" spans="1:41">
      <c r="A79" s="97" t="s">
        <v>2230</v>
      </c>
      <c r="B79" s="97">
        <v>479</v>
      </c>
      <c r="C79" s="97" t="s">
        <v>1765</v>
      </c>
      <c r="D79" s="98">
        <v>19292</v>
      </c>
      <c r="E79" s="99">
        <v>779070.29177439876</v>
      </c>
      <c r="F79" s="98"/>
      <c r="G79" s="98"/>
      <c r="H79" s="100">
        <v>166471</v>
      </c>
      <c r="I79" s="100"/>
      <c r="J79" s="101">
        <v>3666531.7082256009</v>
      </c>
      <c r="K79" s="100"/>
      <c r="L79" s="100"/>
      <c r="M79" s="100"/>
      <c r="N79" s="100"/>
      <c r="O79" s="100"/>
      <c r="P79" s="102">
        <v>620478</v>
      </c>
      <c r="Q79" s="102"/>
      <c r="R79" s="102"/>
      <c r="S79" s="103"/>
      <c r="T79" s="103"/>
      <c r="U79" s="103"/>
      <c r="V79" s="103"/>
      <c r="W79" s="103"/>
      <c r="X79" s="103"/>
      <c r="Y79" s="103"/>
      <c r="Z79" s="104"/>
      <c r="AA79" s="104"/>
      <c r="AB79" s="104"/>
      <c r="AC79" s="104"/>
      <c r="AD79" s="104"/>
      <c r="AE79" s="104"/>
      <c r="AF79" s="104"/>
      <c r="AG79" s="104"/>
      <c r="AH79" s="104"/>
      <c r="AI79" s="104"/>
      <c r="AJ79" s="104"/>
      <c r="AK79" s="108">
        <f t="shared" si="1"/>
        <v>5251843</v>
      </c>
      <c r="AN79" s="42">
        <v>852463</v>
      </c>
    </row>
    <row r="80" spans="1:41">
      <c r="A80" s="97" t="s">
        <v>2238</v>
      </c>
      <c r="B80" s="97">
        <v>518</v>
      </c>
      <c r="C80" s="97" t="s">
        <v>1765</v>
      </c>
      <c r="D80" s="98"/>
      <c r="E80" s="99">
        <v>784501.25211613881</v>
      </c>
      <c r="F80" s="98"/>
      <c r="G80" s="98"/>
      <c r="H80" s="100">
        <v>618210</v>
      </c>
      <c r="I80" s="100"/>
      <c r="J80" s="101">
        <v>4053009.747883861</v>
      </c>
      <c r="K80" s="100">
        <v>34996</v>
      </c>
      <c r="L80" s="100"/>
      <c r="M80" s="100"/>
      <c r="N80" s="100"/>
      <c r="O80" s="100"/>
      <c r="P80" s="102">
        <v>405429</v>
      </c>
      <c r="Q80" s="102"/>
      <c r="R80" s="102"/>
      <c r="S80" s="103">
        <v>504815</v>
      </c>
      <c r="T80" s="103">
        <v>2133</v>
      </c>
      <c r="U80" s="103">
        <v>135661</v>
      </c>
      <c r="V80" s="103"/>
      <c r="W80" s="103"/>
      <c r="X80" s="103"/>
      <c r="Y80" s="103"/>
      <c r="Z80" s="104"/>
      <c r="AA80" s="104"/>
      <c r="AB80" s="104"/>
      <c r="AC80" s="104"/>
      <c r="AD80" s="104"/>
      <c r="AE80" s="104"/>
      <c r="AF80" s="104"/>
      <c r="AG80" s="104"/>
      <c r="AH80" s="104"/>
      <c r="AI80" s="104"/>
      <c r="AJ80" s="104"/>
      <c r="AK80" s="108">
        <f t="shared" si="1"/>
        <v>6538755</v>
      </c>
    </row>
    <row r="81" spans="1:41">
      <c r="A81" s="97" t="s">
        <v>2239</v>
      </c>
      <c r="B81" s="97">
        <v>317</v>
      </c>
      <c r="C81" s="97" t="s">
        <v>1765</v>
      </c>
      <c r="D81" s="98"/>
      <c r="E81" s="99">
        <v>482017.54168966989</v>
      </c>
      <c r="F81" s="98"/>
      <c r="G81" s="98"/>
      <c r="H81" s="100"/>
      <c r="I81" s="100"/>
      <c r="J81" s="101">
        <v>2311494.4583103303</v>
      </c>
      <c r="K81" s="100">
        <v>450108</v>
      </c>
      <c r="L81" s="100"/>
      <c r="M81" s="100"/>
      <c r="N81" s="100"/>
      <c r="O81" s="100"/>
      <c r="P81" s="102"/>
      <c r="Q81" s="102"/>
      <c r="R81" s="102"/>
      <c r="S81" s="103"/>
      <c r="T81" s="103">
        <v>67084</v>
      </c>
      <c r="U81" s="103">
        <v>7572</v>
      </c>
      <c r="V81" s="103"/>
      <c r="W81" s="103"/>
      <c r="X81" s="103"/>
      <c r="Y81" s="103"/>
      <c r="Z81" s="104"/>
      <c r="AA81" s="104"/>
      <c r="AB81" s="104"/>
      <c r="AC81" s="104">
        <v>273172</v>
      </c>
      <c r="AD81" s="104"/>
      <c r="AE81" s="104"/>
      <c r="AF81" s="104"/>
      <c r="AG81" s="104"/>
      <c r="AH81" s="104"/>
      <c r="AI81" s="104"/>
      <c r="AJ81" s="104"/>
      <c r="AK81" s="108">
        <f t="shared" si="1"/>
        <v>3591448</v>
      </c>
      <c r="AO81"/>
    </row>
    <row r="82" spans="1:41">
      <c r="A82" s="97" t="s">
        <v>2252</v>
      </c>
      <c r="B82" s="97">
        <v>640</v>
      </c>
      <c r="C82" s="97" t="s">
        <v>1765</v>
      </c>
      <c r="D82" s="98"/>
      <c r="E82" s="99">
        <v>1056656.4909908553</v>
      </c>
      <c r="F82" s="98"/>
      <c r="G82" s="98"/>
      <c r="H82" s="100">
        <v>350000</v>
      </c>
      <c r="I82" s="100"/>
      <c r="J82" s="101">
        <v>4907937.5090091443</v>
      </c>
      <c r="K82" s="100">
        <v>316280</v>
      </c>
      <c r="L82" s="100"/>
      <c r="M82" s="100"/>
      <c r="N82" s="100"/>
      <c r="O82" s="100"/>
      <c r="P82" s="102">
        <v>728747</v>
      </c>
      <c r="Q82" s="102"/>
      <c r="R82" s="102"/>
      <c r="S82" s="103"/>
      <c r="T82" s="103"/>
      <c r="U82" s="103">
        <v>36357</v>
      </c>
      <c r="V82" s="103"/>
      <c r="W82" s="103">
        <v>90737</v>
      </c>
      <c r="X82" s="103"/>
      <c r="Y82" s="103"/>
      <c r="Z82" s="104"/>
      <c r="AA82" s="104"/>
      <c r="AB82" s="104"/>
      <c r="AC82" s="104"/>
      <c r="AD82" s="104"/>
      <c r="AE82" s="104"/>
      <c r="AF82" s="104"/>
      <c r="AG82" s="104"/>
      <c r="AH82" s="104"/>
      <c r="AI82" s="104"/>
      <c r="AJ82" s="104"/>
      <c r="AK82" s="108">
        <f t="shared" si="1"/>
        <v>7486715</v>
      </c>
      <c r="AN82" s="42">
        <v>17500</v>
      </c>
      <c r="AO82"/>
    </row>
    <row r="83" spans="1:41">
      <c r="A83" s="97" t="s">
        <v>2255</v>
      </c>
      <c r="B83" s="97">
        <v>405</v>
      </c>
      <c r="C83" s="97" t="s">
        <v>1765</v>
      </c>
      <c r="D83" s="98"/>
      <c r="E83" s="99">
        <v>726012.0102830471</v>
      </c>
      <c r="F83" s="98"/>
      <c r="G83" s="98"/>
      <c r="H83" s="100"/>
      <c r="I83" s="100"/>
      <c r="J83" s="101">
        <v>3133539.9897169522</v>
      </c>
      <c r="K83" s="100">
        <v>497134</v>
      </c>
      <c r="L83" s="100"/>
      <c r="M83" s="100"/>
      <c r="N83" s="100"/>
      <c r="O83" s="100"/>
      <c r="P83" s="102">
        <v>247174</v>
      </c>
      <c r="Q83" s="102"/>
      <c r="R83" s="102"/>
      <c r="S83" s="103"/>
      <c r="T83" s="103"/>
      <c r="U83" s="103">
        <v>9750</v>
      </c>
      <c r="V83" s="103"/>
      <c r="W83" s="103"/>
      <c r="X83" s="103"/>
      <c r="Y83" s="103">
        <v>131124</v>
      </c>
      <c r="Z83" s="104"/>
      <c r="AA83" s="104"/>
      <c r="AB83" s="104"/>
      <c r="AC83" s="104">
        <v>6658</v>
      </c>
      <c r="AD83" s="104"/>
      <c r="AE83" s="104"/>
      <c r="AF83" s="104"/>
      <c r="AG83" s="104"/>
      <c r="AH83" s="104"/>
      <c r="AI83" s="104"/>
      <c r="AJ83" s="104"/>
      <c r="AK83" s="108">
        <f t="shared" si="1"/>
        <v>4751391.9999999991</v>
      </c>
      <c r="AO83"/>
    </row>
    <row r="84" spans="1:41">
      <c r="A84" s="97" t="s">
        <v>2256</v>
      </c>
      <c r="B84" s="97">
        <v>104</v>
      </c>
      <c r="C84" s="97" t="s">
        <v>1765</v>
      </c>
      <c r="D84" s="98"/>
      <c r="E84" s="99">
        <v>159817.50190318652</v>
      </c>
      <c r="F84" s="98"/>
      <c r="G84" s="98"/>
      <c r="H84" s="100"/>
      <c r="I84" s="100"/>
      <c r="J84" s="101">
        <v>825673.49809681345</v>
      </c>
      <c r="K84" s="100">
        <v>48646</v>
      </c>
      <c r="L84" s="100"/>
      <c r="M84" s="100"/>
      <c r="N84" s="100"/>
      <c r="O84" s="100"/>
      <c r="P84" s="102"/>
      <c r="Q84" s="102"/>
      <c r="R84" s="102"/>
      <c r="S84" s="103"/>
      <c r="T84" s="103">
        <v>1346</v>
      </c>
      <c r="U84" s="103">
        <v>2142</v>
      </c>
      <c r="V84" s="103"/>
      <c r="W84" s="103">
        <v>7402</v>
      </c>
      <c r="X84" s="103"/>
      <c r="Y84" s="103"/>
      <c r="Z84" s="104"/>
      <c r="AA84" s="104"/>
      <c r="AB84" s="104"/>
      <c r="AC84" s="104">
        <v>334151</v>
      </c>
      <c r="AD84" s="104"/>
      <c r="AE84" s="104"/>
      <c r="AF84" s="104"/>
      <c r="AG84" s="104"/>
      <c r="AH84" s="104"/>
      <c r="AI84" s="104"/>
      <c r="AJ84" s="104"/>
      <c r="AK84" s="108">
        <f t="shared" si="1"/>
        <v>1379178</v>
      </c>
      <c r="AN84" s="42">
        <v>10596</v>
      </c>
      <c r="AO84"/>
    </row>
    <row r="85" spans="1:41">
      <c r="A85" s="97" t="s">
        <v>2158</v>
      </c>
      <c r="B85" s="97">
        <v>292</v>
      </c>
      <c r="C85" s="97" t="s">
        <v>1765</v>
      </c>
      <c r="D85" s="98"/>
      <c r="E85" s="99">
        <v>440496.13573912316</v>
      </c>
      <c r="F85" s="98"/>
      <c r="G85" s="98"/>
      <c r="H85" s="100"/>
      <c r="I85" s="100"/>
      <c r="J85" s="101">
        <v>2170211.864260877</v>
      </c>
      <c r="K85" s="100">
        <v>141520</v>
      </c>
      <c r="L85" s="100"/>
      <c r="M85" s="100"/>
      <c r="N85" s="100"/>
      <c r="O85" s="100"/>
      <c r="P85" s="102">
        <v>179143</v>
      </c>
      <c r="Q85" s="102"/>
      <c r="R85" s="102"/>
      <c r="S85" s="103"/>
      <c r="T85" s="103"/>
      <c r="U85" s="103">
        <v>46040</v>
      </c>
      <c r="V85" s="103"/>
      <c r="W85" s="103"/>
      <c r="X85" s="103"/>
      <c r="Y85" s="103"/>
      <c r="Z85" s="104"/>
      <c r="AA85" s="104"/>
      <c r="AB85" s="104"/>
      <c r="AC85" s="104"/>
      <c r="AD85" s="104"/>
      <c r="AE85" s="104"/>
      <c r="AF85" s="104"/>
      <c r="AG85" s="104"/>
      <c r="AH85" s="104"/>
      <c r="AI85" s="104"/>
      <c r="AJ85" s="104"/>
      <c r="AK85" s="108">
        <f t="shared" si="1"/>
        <v>2977411</v>
      </c>
      <c r="AO85"/>
    </row>
    <row r="86" spans="1:41">
      <c r="A86" s="97" t="s">
        <v>2178</v>
      </c>
      <c r="B86" s="97">
        <v>102</v>
      </c>
      <c r="C86" s="97" t="s">
        <v>1765</v>
      </c>
      <c r="D86" s="98"/>
      <c r="E86" s="99">
        <v>171557.01952716449</v>
      </c>
      <c r="F86" s="98"/>
      <c r="G86" s="98"/>
      <c r="H86" s="100">
        <v>200000</v>
      </c>
      <c r="I86" s="100"/>
      <c r="J86" s="101">
        <v>886323.98047283548</v>
      </c>
      <c r="K86" s="100">
        <v>25556</v>
      </c>
      <c r="L86" s="100"/>
      <c r="M86" s="100"/>
      <c r="N86" s="100"/>
      <c r="O86" s="100"/>
      <c r="P86" s="102">
        <v>209877</v>
      </c>
      <c r="Q86" s="102"/>
      <c r="R86" s="102"/>
      <c r="S86" s="103"/>
      <c r="T86" s="103">
        <v>1300</v>
      </c>
      <c r="U86" s="103">
        <v>4002</v>
      </c>
      <c r="V86" s="103"/>
      <c r="W86" s="103"/>
      <c r="X86" s="103"/>
      <c r="Y86" s="103"/>
      <c r="Z86" s="104"/>
      <c r="AA86" s="104"/>
      <c r="AB86" s="104"/>
      <c r="AC86" s="104"/>
      <c r="AD86" s="104"/>
      <c r="AE86" s="104"/>
      <c r="AF86" s="104"/>
      <c r="AG86" s="104"/>
      <c r="AH86" s="104"/>
      <c r="AI86" s="104"/>
      <c r="AJ86" s="104"/>
      <c r="AK86" s="108">
        <f t="shared" si="1"/>
        <v>1498616</v>
      </c>
      <c r="AO86"/>
    </row>
    <row r="87" spans="1:41">
      <c r="A87" s="97" t="s">
        <v>2179</v>
      </c>
      <c r="B87" s="97">
        <v>553</v>
      </c>
      <c r="C87" s="97" t="s">
        <v>1765</v>
      </c>
      <c r="D87" s="98"/>
      <c r="E87" s="99">
        <v>893077.03567520785</v>
      </c>
      <c r="F87" s="98"/>
      <c r="G87" s="98"/>
      <c r="H87" s="100"/>
      <c r="I87" s="100"/>
      <c r="J87" s="101">
        <v>4314497.9643247928</v>
      </c>
      <c r="K87" s="100">
        <v>374688</v>
      </c>
      <c r="L87" s="100"/>
      <c r="M87" s="100"/>
      <c r="N87" s="100"/>
      <c r="O87" s="100"/>
      <c r="P87" s="102"/>
      <c r="Q87" s="102"/>
      <c r="R87" s="102"/>
      <c r="S87" s="103"/>
      <c r="T87" s="103">
        <v>350</v>
      </c>
      <c r="U87" s="103">
        <v>49325</v>
      </c>
      <c r="V87" s="103"/>
      <c r="W87" s="103"/>
      <c r="X87" s="103"/>
      <c r="Y87" s="103"/>
      <c r="Z87" s="104">
        <v>111420</v>
      </c>
      <c r="AA87" s="104"/>
      <c r="AB87" s="104"/>
      <c r="AC87" s="104"/>
      <c r="AD87" s="104">
        <v>1173001</v>
      </c>
      <c r="AE87" s="104"/>
      <c r="AF87" s="104"/>
      <c r="AG87" s="104"/>
      <c r="AH87" s="104"/>
      <c r="AI87" s="104"/>
      <c r="AJ87" s="104"/>
      <c r="AK87" s="108">
        <f t="shared" si="1"/>
        <v>6916359.0000000009</v>
      </c>
      <c r="AN87" s="42">
        <v>40389</v>
      </c>
      <c r="AO87"/>
    </row>
    <row r="88" spans="1:41">
      <c r="A88" s="97" t="s">
        <v>2187</v>
      </c>
      <c r="B88" s="97">
        <v>244</v>
      </c>
      <c r="C88" s="97" t="s">
        <v>1765</v>
      </c>
      <c r="D88" s="98"/>
      <c r="E88" s="99">
        <v>382995.57250723563</v>
      </c>
      <c r="F88" s="98"/>
      <c r="G88" s="98"/>
      <c r="H88" s="100">
        <v>309379</v>
      </c>
      <c r="I88" s="100"/>
      <c r="J88" s="101">
        <v>1917328.4274927638</v>
      </c>
      <c r="K88" s="100">
        <v>200105</v>
      </c>
      <c r="L88" s="100"/>
      <c r="M88" s="100"/>
      <c r="N88" s="100"/>
      <c r="O88" s="100"/>
      <c r="P88" s="102">
        <v>98329</v>
      </c>
      <c r="Q88" s="102"/>
      <c r="R88" s="102"/>
      <c r="S88" s="103"/>
      <c r="T88" s="103">
        <v>200</v>
      </c>
      <c r="U88" s="103"/>
      <c r="V88" s="103"/>
      <c r="W88" s="103">
        <v>51738</v>
      </c>
      <c r="X88" s="103"/>
      <c r="Y88" s="103"/>
      <c r="Z88" s="104"/>
      <c r="AA88" s="104"/>
      <c r="AB88" s="104"/>
      <c r="AC88" s="104"/>
      <c r="AD88" s="104"/>
      <c r="AE88" s="104"/>
      <c r="AF88" s="104"/>
      <c r="AG88" s="104"/>
      <c r="AH88" s="104"/>
      <c r="AI88" s="104"/>
      <c r="AJ88" s="104"/>
      <c r="AK88" s="108">
        <f t="shared" si="1"/>
        <v>2960074.9999999995</v>
      </c>
      <c r="AO88"/>
    </row>
    <row r="89" spans="1:41">
      <c r="A89" s="97" t="s">
        <v>2188</v>
      </c>
      <c r="B89" s="97">
        <v>269</v>
      </c>
      <c r="C89" s="97" t="s">
        <v>1765</v>
      </c>
      <c r="D89" s="98"/>
      <c r="E89" s="99">
        <v>436749.78227122128</v>
      </c>
      <c r="F89" s="98"/>
      <c r="G89" s="98"/>
      <c r="H89" s="100"/>
      <c r="I89" s="100"/>
      <c r="J89" s="101">
        <v>2106083.2177287787</v>
      </c>
      <c r="K89" s="100">
        <v>194904</v>
      </c>
      <c r="L89" s="100"/>
      <c r="M89" s="100"/>
      <c r="N89" s="100"/>
      <c r="O89" s="100"/>
      <c r="P89" s="102"/>
      <c r="Q89" s="102"/>
      <c r="R89" s="102"/>
      <c r="S89" s="103"/>
      <c r="T89" s="103">
        <v>38679</v>
      </c>
      <c r="U89" s="103">
        <v>44171</v>
      </c>
      <c r="V89" s="103"/>
      <c r="W89" s="103">
        <v>2230</v>
      </c>
      <c r="X89" s="103"/>
      <c r="Y89" s="103">
        <v>75926</v>
      </c>
      <c r="Z89" s="104"/>
      <c r="AA89" s="104"/>
      <c r="AB89" s="104"/>
      <c r="AC89" s="104"/>
      <c r="AD89" s="104">
        <v>201717</v>
      </c>
      <c r="AE89" s="104"/>
      <c r="AF89" s="104"/>
      <c r="AG89" s="104"/>
      <c r="AH89" s="104"/>
      <c r="AI89" s="104"/>
      <c r="AJ89" s="104"/>
      <c r="AK89" s="108">
        <f t="shared" si="1"/>
        <v>3100460</v>
      </c>
      <c r="AO89"/>
    </row>
    <row r="90" spans="1:41">
      <c r="A90" s="97" t="s">
        <v>2231</v>
      </c>
      <c r="B90" s="97">
        <v>146</v>
      </c>
      <c r="C90" s="97" t="s">
        <v>2117</v>
      </c>
      <c r="D90" s="98"/>
      <c r="E90" s="99">
        <v>763500.38161207235</v>
      </c>
      <c r="F90" s="98"/>
      <c r="G90" s="98"/>
      <c r="H90" s="100">
        <v>1985</v>
      </c>
      <c r="I90" s="100"/>
      <c r="J90" s="101">
        <v>555024.61838792765</v>
      </c>
      <c r="K90" s="100">
        <v>131675</v>
      </c>
      <c r="L90" s="100"/>
      <c r="M90" s="100"/>
      <c r="N90" s="100"/>
      <c r="O90" s="100"/>
      <c r="P90" s="102">
        <v>169152</v>
      </c>
      <c r="Q90" s="102"/>
      <c r="R90" s="102"/>
      <c r="S90" s="103"/>
      <c r="T90" s="103"/>
      <c r="U90" s="103">
        <v>40088</v>
      </c>
      <c r="V90" s="103"/>
      <c r="W90" s="103"/>
      <c r="X90" s="103"/>
      <c r="Y90" s="103"/>
      <c r="Z90" s="104"/>
      <c r="AA90" s="104"/>
      <c r="AB90" s="104"/>
      <c r="AC90" s="104">
        <v>157841</v>
      </c>
      <c r="AD90" s="104">
        <v>87500</v>
      </c>
      <c r="AE90" s="104"/>
      <c r="AF90" s="104"/>
      <c r="AG90" s="104"/>
      <c r="AH90" s="104"/>
      <c r="AI90" s="104"/>
      <c r="AJ90" s="104"/>
      <c r="AK90" s="108">
        <f t="shared" si="1"/>
        <v>1906766</v>
      </c>
      <c r="AO90"/>
    </row>
    <row r="91" spans="1:41">
      <c r="A91" s="97" t="s">
        <v>2156</v>
      </c>
      <c r="B91" s="97">
        <v>692</v>
      </c>
      <c r="C91" s="97" t="s">
        <v>2117</v>
      </c>
      <c r="D91" s="98"/>
      <c r="E91" s="99">
        <v>3448538.5474295393</v>
      </c>
      <c r="F91" s="98"/>
      <c r="G91" s="98"/>
      <c r="H91" s="100">
        <v>27283</v>
      </c>
      <c r="I91" s="100"/>
      <c r="J91" s="101">
        <v>3048329.4525704598</v>
      </c>
      <c r="K91" s="100">
        <v>18394</v>
      </c>
      <c r="L91" s="100"/>
      <c r="M91" s="100"/>
      <c r="N91" s="100"/>
      <c r="O91" s="100"/>
      <c r="P91" s="102">
        <v>894921</v>
      </c>
      <c r="Q91" s="102"/>
      <c r="R91" s="102"/>
      <c r="S91" s="103"/>
      <c r="T91" s="103"/>
      <c r="U91" s="103">
        <v>236577</v>
      </c>
      <c r="V91" s="103"/>
      <c r="W91" s="103"/>
      <c r="X91" s="103"/>
      <c r="Y91" s="103"/>
      <c r="Z91" s="104"/>
      <c r="AA91" s="104"/>
      <c r="AB91" s="104"/>
      <c r="AC91" s="104">
        <v>57233</v>
      </c>
      <c r="AD91" s="104"/>
      <c r="AE91" s="104"/>
      <c r="AF91" s="104"/>
      <c r="AG91" s="104"/>
      <c r="AH91" s="104"/>
      <c r="AI91" s="104"/>
      <c r="AJ91" s="104"/>
      <c r="AK91" s="108">
        <f t="shared" si="1"/>
        <v>7731275.9999999991</v>
      </c>
      <c r="AO91"/>
    </row>
    <row r="92" spans="1:41">
      <c r="A92" s="97" t="s">
        <v>2162</v>
      </c>
      <c r="B92" s="97">
        <v>141</v>
      </c>
      <c r="C92" s="97" t="s">
        <v>2117</v>
      </c>
      <c r="D92" s="98"/>
      <c r="E92" s="99">
        <v>811855.10950493009</v>
      </c>
      <c r="F92" s="98"/>
      <c r="G92" s="98"/>
      <c r="H92" s="100">
        <v>5244</v>
      </c>
      <c r="I92" s="100"/>
      <c r="J92" s="101">
        <v>603257.89049506967</v>
      </c>
      <c r="K92" s="100"/>
      <c r="L92" s="100"/>
      <c r="M92" s="100"/>
      <c r="N92" s="100"/>
      <c r="O92" s="100"/>
      <c r="P92" s="102">
        <v>222542</v>
      </c>
      <c r="Q92" s="102"/>
      <c r="R92" s="102"/>
      <c r="S92" s="103"/>
      <c r="T92" s="103">
        <v>176387</v>
      </c>
      <c r="U92" s="103">
        <v>90307</v>
      </c>
      <c r="V92" s="103"/>
      <c r="W92" s="103">
        <v>21946</v>
      </c>
      <c r="X92" s="103"/>
      <c r="Y92" s="103"/>
      <c r="Z92" s="104"/>
      <c r="AA92" s="104"/>
      <c r="AB92" s="104"/>
      <c r="AC92" s="104"/>
      <c r="AD92" s="104"/>
      <c r="AE92" s="104"/>
      <c r="AF92" s="104"/>
      <c r="AG92" s="104"/>
      <c r="AH92" s="104"/>
      <c r="AI92" s="104"/>
      <c r="AJ92" s="104"/>
      <c r="AK92" s="108">
        <f t="shared" si="1"/>
        <v>1931538.9999999998</v>
      </c>
      <c r="AO92"/>
    </row>
    <row r="93" spans="1:41">
      <c r="A93" s="97" t="s">
        <v>83</v>
      </c>
      <c r="B93" s="97">
        <v>144</v>
      </c>
      <c r="C93" s="97" t="s">
        <v>2117</v>
      </c>
      <c r="D93" s="98"/>
      <c r="E93" s="99">
        <v>874622.411023597</v>
      </c>
      <c r="F93" s="98"/>
      <c r="G93" s="98"/>
      <c r="H93" s="100">
        <v>12000</v>
      </c>
      <c r="I93" s="100"/>
      <c r="J93" s="101">
        <v>639834.58897640288</v>
      </c>
      <c r="K93" s="100"/>
      <c r="L93" s="100"/>
      <c r="M93" s="100"/>
      <c r="N93" s="100"/>
      <c r="O93" s="100"/>
      <c r="P93" s="102">
        <v>1245837</v>
      </c>
      <c r="Q93" s="102"/>
      <c r="R93" s="102"/>
      <c r="S93" s="103"/>
      <c r="T93" s="103">
        <v>174387</v>
      </c>
      <c r="U93" s="103">
        <v>93618</v>
      </c>
      <c r="V93" s="103"/>
      <c r="W93" s="103">
        <v>24128</v>
      </c>
      <c r="X93" s="103"/>
      <c r="Y93" s="103"/>
      <c r="Z93" s="104"/>
      <c r="AA93" s="104"/>
      <c r="AB93" s="104"/>
      <c r="AC93" s="104"/>
      <c r="AD93" s="104"/>
      <c r="AE93" s="104"/>
      <c r="AF93" s="104"/>
      <c r="AG93" s="104"/>
      <c r="AH93" s="104"/>
      <c r="AI93" s="104"/>
      <c r="AJ93" s="104"/>
      <c r="AK93" s="108">
        <f t="shared" si="1"/>
        <v>3064427</v>
      </c>
      <c r="AO93"/>
    </row>
    <row r="94" spans="1:41">
      <c r="A94" s="97" t="s">
        <v>2203</v>
      </c>
      <c r="B94" s="97">
        <v>103</v>
      </c>
      <c r="C94" s="97" t="s">
        <v>2117</v>
      </c>
      <c r="D94" s="98"/>
      <c r="E94" s="99">
        <v>609081.53735442343</v>
      </c>
      <c r="F94" s="98"/>
      <c r="G94" s="98"/>
      <c r="H94" s="100">
        <v>77640</v>
      </c>
      <c r="I94" s="100"/>
      <c r="J94" s="101">
        <v>469845.46264557657</v>
      </c>
      <c r="K94" s="100">
        <v>26216</v>
      </c>
      <c r="L94" s="100"/>
      <c r="M94" s="100"/>
      <c r="N94" s="100"/>
      <c r="O94" s="100"/>
      <c r="P94" s="102">
        <v>409080</v>
      </c>
      <c r="Q94" s="102"/>
      <c r="R94" s="102"/>
      <c r="S94" s="103"/>
      <c r="T94" s="103"/>
      <c r="U94" s="103">
        <v>186700</v>
      </c>
      <c r="V94" s="103"/>
      <c r="W94" s="103"/>
      <c r="X94" s="103"/>
      <c r="Y94" s="103"/>
      <c r="Z94" s="104"/>
      <c r="AA94" s="104"/>
      <c r="AB94" s="104"/>
      <c r="AC94" s="104"/>
      <c r="AD94" s="104"/>
      <c r="AE94" s="104"/>
      <c r="AF94" s="104"/>
      <c r="AG94" s="104"/>
      <c r="AH94" s="104"/>
      <c r="AI94" s="104"/>
      <c r="AJ94" s="104"/>
      <c r="AK94" s="108">
        <f t="shared" si="1"/>
        <v>1778563</v>
      </c>
      <c r="AO94"/>
    </row>
    <row r="95" spans="1:41">
      <c r="A95" s="97" t="s">
        <v>2204</v>
      </c>
      <c r="B95" s="97">
        <v>113</v>
      </c>
      <c r="C95" s="97" t="s">
        <v>2117</v>
      </c>
      <c r="D95" s="98"/>
      <c r="E95" s="99">
        <v>613841.16114281595</v>
      </c>
      <c r="F95" s="98"/>
      <c r="G95" s="98"/>
      <c r="H95" s="100">
        <v>108883</v>
      </c>
      <c r="I95" s="100"/>
      <c r="J95" s="101">
        <v>459513.83885718387</v>
      </c>
      <c r="K95" s="100">
        <v>74619</v>
      </c>
      <c r="L95" s="100"/>
      <c r="M95" s="100"/>
      <c r="N95" s="100"/>
      <c r="O95" s="100"/>
      <c r="P95" s="102">
        <v>31334</v>
      </c>
      <c r="Q95" s="102"/>
      <c r="R95" s="102"/>
      <c r="S95" s="103"/>
      <c r="T95" s="103"/>
      <c r="U95" s="103">
        <v>38796</v>
      </c>
      <c r="V95" s="103"/>
      <c r="W95" s="103">
        <v>3032</v>
      </c>
      <c r="X95" s="103"/>
      <c r="Y95" s="103"/>
      <c r="Z95" s="104"/>
      <c r="AA95" s="104"/>
      <c r="AB95" s="104"/>
      <c r="AC95" s="104"/>
      <c r="AD95" s="104"/>
      <c r="AE95" s="104"/>
      <c r="AF95" s="104"/>
      <c r="AG95" s="104"/>
      <c r="AH95" s="104"/>
      <c r="AI95" s="104"/>
      <c r="AJ95" s="104"/>
      <c r="AK95" s="108">
        <f t="shared" si="1"/>
        <v>1330018.9999999998</v>
      </c>
      <c r="AN95" s="42">
        <v>2735094</v>
      </c>
      <c r="AO95"/>
    </row>
    <row r="96" spans="1:41">
      <c r="A96" s="97" t="s">
        <v>2096</v>
      </c>
      <c r="B96" s="97">
        <v>166</v>
      </c>
      <c r="C96" s="97" t="s">
        <v>2117</v>
      </c>
      <c r="D96" s="98"/>
      <c r="E96" s="99">
        <v>895694.64716250612</v>
      </c>
      <c r="F96" s="98"/>
      <c r="G96" s="98"/>
      <c r="H96" s="100">
        <v>3773</v>
      </c>
      <c r="I96" s="100"/>
      <c r="J96" s="101">
        <v>687421.35283749364</v>
      </c>
      <c r="K96" s="100">
        <v>51703</v>
      </c>
      <c r="L96" s="100"/>
      <c r="M96" s="100"/>
      <c r="N96" s="100"/>
      <c r="O96" s="100"/>
      <c r="P96" s="102">
        <v>59939</v>
      </c>
      <c r="Q96" s="102"/>
      <c r="R96" s="102"/>
      <c r="S96" s="103"/>
      <c r="T96" s="103"/>
      <c r="U96" s="103">
        <v>63296</v>
      </c>
      <c r="V96" s="103"/>
      <c r="W96" s="103"/>
      <c r="X96" s="103"/>
      <c r="Y96" s="103"/>
      <c r="Z96" s="104"/>
      <c r="AA96" s="104"/>
      <c r="AB96" s="104"/>
      <c r="AC96" s="104">
        <v>454667</v>
      </c>
      <c r="AD96" s="104"/>
      <c r="AE96" s="104"/>
      <c r="AF96" s="104"/>
      <c r="AG96" s="104"/>
      <c r="AH96" s="104"/>
      <c r="AI96" s="104"/>
      <c r="AJ96" s="104"/>
      <c r="AK96" s="108">
        <f t="shared" si="1"/>
        <v>2216494</v>
      </c>
      <c r="AO96"/>
    </row>
    <row r="97" spans="1:41">
      <c r="A97" s="122" t="s">
        <v>214</v>
      </c>
      <c r="B97" s="122">
        <f>SUM(B4:B96)</f>
        <v>26485</v>
      </c>
      <c r="C97" s="97"/>
      <c r="D97" s="98"/>
      <c r="E97" s="121">
        <f>SUM(E4:E96)</f>
        <v>105757973.91907205</v>
      </c>
      <c r="F97" s="98"/>
      <c r="G97" s="121">
        <f>SUM(D4:G96)</f>
        <v>106125817.91907205</v>
      </c>
      <c r="H97" s="100"/>
      <c r="I97" s="100"/>
      <c r="J97" s="100"/>
      <c r="K97" s="121">
        <f>SUM(J4:K96)</f>
        <v>170550212.08092803</v>
      </c>
      <c r="L97" s="100"/>
      <c r="M97" s="100"/>
      <c r="N97" s="100"/>
      <c r="O97" s="121">
        <f>SUM(H4:O96)</f>
        <v>174983060.08092803</v>
      </c>
      <c r="P97" s="102"/>
      <c r="Q97" s="102"/>
      <c r="R97" s="121">
        <f>SUM(P4:R96)</f>
        <v>16168064</v>
      </c>
      <c r="S97" s="103"/>
      <c r="T97" s="103"/>
      <c r="U97" s="103"/>
      <c r="V97" s="103"/>
      <c r="W97" s="103"/>
      <c r="X97" s="103"/>
      <c r="Y97" s="121">
        <f>SUM(S4:Y96)</f>
        <v>26239303</v>
      </c>
      <c r="Z97" s="104"/>
      <c r="AA97" s="104"/>
      <c r="AB97" s="104"/>
      <c r="AC97" s="104"/>
      <c r="AD97" s="104"/>
      <c r="AE97" s="104"/>
      <c r="AF97" s="104"/>
      <c r="AG97" s="104"/>
      <c r="AH97" s="114"/>
      <c r="AI97" s="114"/>
      <c r="AJ97" s="121">
        <f>SUM(Z4:AJ96)</f>
        <v>18364731</v>
      </c>
      <c r="AK97" s="108">
        <f>SUM(AK4:AK96)</f>
        <v>341880976</v>
      </c>
    </row>
    <row r="98" spans="1:41">
      <c r="A98" s="170"/>
      <c r="B98" s="170"/>
      <c r="C98" s="161"/>
      <c r="D98" s="162"/>
      <c r="E98" s="163"/>
      <c r="F98" s="162"/>
      <c r="G98" s="163">
        <f>G97/B97</f>
        <v>4007.0159682488975</v>
      </c>
      <c r="H98" s="164"/>
      <c r="I98" s="164"/>
      <c r="J98" s="164"/>
      <c r="K98" s="163"/>
      <c r="L98" s="164"/>
      <c r="M98" s="164"/>
      <c r="N98" s="164"/>
      <c r="O98" s="163">
        <f>O97/B97</f>
        <v>6606.8740827233541</v>
      </c>
      <c r="P98" s="165"/>
      <c r="Q98" s="165"/>
      <c r="R98" s="163">
        <f>R97/B97</f>
        <v>610.46116669813102</v>
      </c>
      <c r="S98" s="166"/>
      <c r="T98" s="166"/>
      <c r="U98" s="166"/>
      <c r="V98" s="166"/>
      <c r="W98" s="166"/>
      <c r="X98" s="166"/>
      <c r="Y98" s="163">
        <f>Y97/B97</f>
        <v>990.72316405512549</v>
      </c>
      <c r="Z98" s="167"/>
      <c r="AA98" s="167"/>
      <c r="AB98" s="167"/>
      <c r="AC98" s="167"/>
      <c r="AD98" s="167"/>
      <c r="AE98" s="167"/>
      <c r="AF98" s="167"/>
      <c r="AG98" s="167"/>
      <c r="AH98" s="168"/>
      <c r="AI98" s="168"/>
      <c r="AJ98" s="163">
        <f>AJ97/B97</f>
        <v>693.40120823107418</v>
      </c>
      <c r="AK98" s="171">
        <f>SUM(G98:AJ98)</f>
        <v>12908.475589956583</v>
      </c>
    </row>
    <row r="99" spans="1:41">
      <c r="A99" s="170"/>
      <c r="B99" s="170"/>
      <c r="C99" s="161"/>
      <c r="D99" s="162"/>
      <c r="E99" s="163"/>
      <c r="F99" s="162"/>
      <c r="G99" s="172">
        <f>G97/AK97</f>
        <v>0.31041744165101498</v>
      </c>
      <c r="H99" s="164"/>
      <c r="I99" s="164"/>
      <c r="J99" s="164"/>
      <c r="K99" s="163"/>
      <c r="L99" s="164"/>
      <c r="M99" s="164"/>
      <c r="N99" s="164"/>
      <c r="O99" s="172">
        <f>O97/AK97</f>
        <v>0.51182450140462932</v>
      </c>
      <c r="P99" s="165"/>
      <c r="Q99" s="165"/>
      <c r="R99" s="172">
        <f>R97/AK97</f>
        <v>4.7291499483726761E-2</v>
      </c>
      <c r="S99" s="166"/>
      <c r="T99" s="166"/>
      <c r="U99" s="166"/>
      <c r="V99" s="166"/>
      <c r="W99" s="166"/>
      <c r="X99" s="166"/>
      <c r="Y99" s="172">
        <f>Y97/AK97</f>
        <v>7.6749818919435872E-2</v>
      </c>
      <c r="Z99" s="167"/>
      <c r="AA99" s="167"/>
      <c r="AB99" s="167"/>
      <c r="AC99" s="167"/>
      <c r="AD99" s="167"/>
      <c r="AE99" s="167"/>
      <c r="AF99" s="167"/>
      <c r="AG99" s="167"/>
      <c r="AH99" s="168"/>
      <c r="AI99" s="168"/>
      <c r="AJ99" s="172">
        <f>AJ97/AK97</f>
        <v>5.3716738541193354E-2</v>
      </c>
      <c r="AK99" s="171"/>
    </row>
    <row r="100" spans="1:41">
      <c r="A100" s="170"/>
      <c r="B100" s="170"/>
      <c r="C100" s="161"/>
      <c r="D100" s="162"/>
      <c r="E100" s="163"/>
      <c r="F100" s="162"/>
      <c r="G100" s="163"/>
      <c r="H100" s="164"/>
      <c r="I100" s="164"/>
      <c r="J100" s="164"/>
      <c r="K100" s="163"/>
      <c r="L100" s="164"/>
      <c r="M100" s="164"/>
      <c r="N100" s="164"/>
      <c r="O100" s="163"/>
      <c r="P100" s="165"/>
      <c r="Q100" s="165"/>
      <c r="R100" s="163"/>
      <c r="S100" s="166"/>
      <c r="T100" s="166"/>
      <c r="U100" s="166"/>
      <c r="V100" s="166"/>
      <c r="W100" s="166"/>
      <c r="X100" s="166"/>
      <c r="Y100" s="172"/>
      <c r="Z100" s="167"/>
      <c r="AA100" s="167"/>
      <c r="AB100" s="167"/>
      <c r="AC100" s="167"/>
      <c r="AD100" s="167"/>
      <c r="AE100" s="167"/>
      <c r="AF100" s="167"/>
      <c r="AG100" s="167"/>
      <c r="AH100" s="168"/>
      <c r="AI100" s="168"/>
      <c r="AJ100" s="163"/>
      <c r="AK100" s="171"/>
    </row>
    <row r="101" spans="1:41">
      <c r="A101" s="170"/>
      <c r="B101" s="170"/>
      <c r="C101" s="161"/>
      <c r="D101" s="162"/>
      <c r="E101" s="163"/>
      <c r="F101" s="162"/>
      <c r="G101" s="163"/>
      <c r="H101" s="164"/>
      <c r="I101" s="164"/>
      <c r="J101" s="164"/>
      <c r="K101" s="163"/>
      <c r="L101" s="164"/>
      <c r="M101" s="164"/>
      <c r="N101" s="164"/>
      <c r="O101" s="163"/>
      <c r="P101" s="165"/>
      <c r="Q101" s="165"/>
      <c r="R101" s="163"/>
      <c r="S101" s="166"/>
      <c r="T101" s="166"/>
      <c r="U101" s="166"/>
      <c r="V101" s="166"/>
      <c r="W101" s="166"/>
      <c r="X101" s="166"/>
      <c r="Y101" s="163"/>
      <c r="Z101" s="167"/>
      <c r="AA101" s="167"/>
      <c r="AB101" s="167"/>
      <c r="AC101" s="167"/>
      <c r="AD101" s="167"/>
      <c r="AE101" s="167"/>
      <c r="AF101" s="167"/>
      <c r="AG101" s="167"/>
      <c r="AH101" s="168"/>
      <c r="AI101" s="168"/>
      <c r="AJ101" s="163"/>
      <c r="AK101" s="171"/>
    </row>
    <row r="102" spans="1:41" s="5" customFormat="1">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90"/>
      <c r="AI102" s="90"/>
      <c r="AJ102" s="36"/>
      <c r="AK102" s="36"/>
      <c r="AN102" s="36"/>
      <c r="AO102" s="36"/>
    </row>
    <row r="103" spans="1:41" s="5" customForma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90"/>
      <c r="AI103" s="90"/>
      <c r="AJ103" s="36"/>
      <c r="AK103" s="36"/>
      <c r="AN103" s="36"/>
      <c r="AO103" s="36"/>
    </row>
    <row r="104" spans="1:41" s="5" customFormat="1">
      <c r="A104" s="125" t="s">
        <v>86</v>
      </c>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90"/>
      <c r="AI104" s="90"/>
      <c r="AJ104" s="36"/>
      <c r="AK104" s="36"/>
      <c r="AN104" s="36"/>
      <c r="AO104" s="36"/>
    </row>
    <row r="105" spans="1:41">
      <c r="A105" s="97" t="s">
        <v>2209</v>
      </c>
      <c r="B105" s="97">
        <f>B19</f>
        <v>653</v>
      </c>
      <c r="C105" s="97" t="s">
        <v>1764</v>
      </c>
      <c r="D105" s="98">
        <v>44352</v>
      </c>
      <c r="E105" s="99">
        <v>2964341.8278468437</v>
      </c>
      <c r="F105" s="98"/>
      <c r="G105" s="98"/>
      <c r="H105" s="100">
        <v>82544</v>
      </c>
      <c r="I105" s="100"/>
      <c r="J105" s="101">
        <v>3354236.1721531567</v>
      </c>
      <c r="K105" s="100"/>
      <c r="L105" s="100"/>
      <c r="M105" s="100"/>
      <c r="N105" s="100"/>
      <c r="O105" s="100"/>
      <c r="P105" s="102">
        <v>617358</v>
      </c>
      <c r="Q105" s="102"/>
      <c r="R105" s="102"/>
      <c r="S105" s="103">
        <v>809841</v>
      </c>
      <c r="T105" s="103"/>
      <c r="U105" s="103"/>
      <c r="V105" s="103"/>
      <c r="W105" s="103"/>
      <c r="X105" s="103"/>
      <c r="Y105" s="103"/>
      <c r="Z105" s="104"/>
      <c r="AA105" s="104"/>
      <c r="AB105" s="104"/>
      <c r="AC105" s="104"/>
      <c r="AD105" s="104"/>
      <c r="AE105" s="104"/>
      <c r="AF105" s="104"/>
      <c r="AG105" s="104"/>
      <c r="AH105" s="104"/>
      <c r="AI105" s="104"/>
      <c r="AJ105" s="104"/>
      <c r="AK105" s="108">
        <f t="shared" ref="AK105:AK162" si="2">SUM(D105:AJ105)</f>
        <v>7872673</v>
      </c>
    </row>
    <row r="106" spans="1:41">
      <c r="A106" s="97" t="s">
        <v>2213</v>
      </c>
      <c r="B106" s="97">
        <f t="shared" ref="B106:B162" si="3">B20</f>
        <v>227</v>
      </c>
      <c r="C106" s="97" t="s">
        <v>1764</v>
      </c>
      <c r="D106" s="98"/>
      <c r="E106" s="99">
        <v>1114825.5394425064</v>
      </c>
      <c r="F106" s="98"/>
      <c r="G106" s="98"/>
      <c r="H106" s="100"/>
      <c r="I106" s="100"/>
      <c r="J106" s="101">
        <v>1261456.4605574936</v>
      </c>
      <c r="K106" s="100"/>
      <c r="L106" s="100"/>
      <c r="M106" s="100"/>
      <c r="N106" s="100"/>
      <c r="O106" s="100"/>
      <c r="P106" s="102">
        <v>106924</v>
      </c>
      <c r="Q106" s="102"/>
      <c r="R106" s="102"/>
      <c r="S106" s="103"/>
      <c r="T106" s="103">
        <v>99818</v>
      </c>
      <c r="U106" s="103">
        <v>18475</v>
      </c>
      <c r="V106" s="103"/>
      <c r="W106" s="103"/>
      <c r="X106" s="103"/>
      <c r="Y106" s="103"/>
      <c r="Z106" s="104"/>
      <c r="AA106" s="104"/>
      <c r="AB106" s="104"/>
      <c r="AC106" s="104"/>
      <c r="AD106" s="104"/>
      <c r="AE106" s="104"/>
      <c r="AF106" s="104"/>
      <c r="AG106" s="104"/>
      <c r="AH106" s="104"/>
      <c r="AI106" s="104"/>
      <c r="AJ106" s="104"/>
      <c r="AK106" s="108">
        <f t="shared" si="2"/>
        <v>2601499</v>
      </c>
      <c r="AN106" s="42">
        <v>397664</v>
      </c>
    </row>
    <row r="107" spans="1:41">
      <c r="A107" s="97" t="s">
        <v>2217</v>
      </c>
      <c r="B107" s="97">
        <f t="shared" si="3"/>
        <v>525</v>
      </c>
      <c r="C107" s="97" t="s">
        <v>1764</v>
      </c>
      <c r="D107" s="98"/>
      <c r="E107" s="99">
        <v>2675399.8286076263</v>
      </c>
      <c r="F107" s="98"/>
      <c r="G107" s="98"/>
      <c r="H107" s="100"/>
      <c r="I107" s="100">
        <v>350000</v>
      </c>
      <c r="J107" s="101">
        <v>3027290.1713923742</v>
      </c>
      <c r="K107" s="100"/>
      <c r="L107" s="100"/>
      <c r="M107" s="100"/>
      <c r="N107" s="100"/>
      <c r="O107" s="100"/>
      <c r="P107" s="102"/>
      <c r="Q107" s="102"/>
      <c r="R107" s="102"/>
      <c r="S107" s="103"/>
      <c r="T107" s="103">
        <v>1103043</v>
      </c>
      <c r="U107" s="103">
        <v>5988</v>
      </c>
      <c r="V107" s="103">
        <v>1250</v>
      </c>
      <c r="W107" s="103">
        <v>48533</v>
      </c>
      <c r="X107" s="103"/>
      <c r="Y107" s="103"/>
      <c r="Z107" s="104"/>
      <c r="AA107" s="104"/>
      <c r="AB107" s="104">
        <v>515807</v>
      </c>
      <c r="AC107" s="104"/>
      <c r="AD107" s="104"/>
      <c r="AE107" s="104"/>
      <c r="AF107" s="104"/>
      <c r="AG107" s="104"/>
      <c r="AH107" s="104"/>
      <c r="AI107" s="104"/>
      <c r="AJ107" s="104"/>
      <c r="AK107" s="108">
        <f t="shared" si="2"/>
        <v>7727311</v>
      </c>
    </row>
    <row r="108" spans="1:41">
      <c r="A108" s="97" t="s">
        <v>2232</v>
      </c>
      <c r="B108" s="97">
        <f t="shared" si="3"/>
        <v>250</v>
      </c>
      <c r="C108" s="97" t="s">
        <v>1764</v>
      </c>
      <c r="D108" s="98"/>
      <c r="E108" s="99">
        <v>1187963.2089074056</v>
      </c>
      <c r="F108" s="98"/>
      <c r="G108" s="98"/>
      <c r="H108" s="100"/>
      <c r="I108" s="100"/>
      <c r="J108" s="101">
        <v>1344213.7910925946</v>
      </c>
      <c r="K108" s="100"/>
      <c r="L108" s="100"/>
      <c r="M108" s="100"/>
      <c r="N108" s="100"/>
      <c r="O108" s="100"/>
      <c r="P108" s="102"/>
      <c r="Q108" s="102"/>
      <c r="R108" s="102"/>
      <c r="S108" s="103"/>
      <c r="T108" s="103">
        <v>4000</v>
      </c>
      <c r="U108" s="103">
        <v>17517</v>
      </c>
      <c r="V108" s="103"/>
      <c r="W108" s="103"/>
      <c r="X108" s="103"/>
      <c r="Y108" s="103"/>
      <c r="Z108" s="104"/>
      <c r="AA108" s="104"/>
      <c r="AB108" s="104">
        <v>398113</v>
      </c>
      <c r="AC108" s="104"/>
      <c r="AD108" s="104"/>
      <c r="AE108" s="104"/>
      <c r="AF108" s="104"/>
      <c r="AG108" s="104"/>
      <c r="AH108" s="104"/>
      <c r="AI108" s="104"/>
      <c r="AJ108" s="104"/>
      <c r="AK108" s="108">
        <f t="shared" si="2"/>
        <v>2951807</v>
      </c>
    </row>
    <row r="109" spans="1:41">
      <c r="A109" s="97" t="s">
        <v>2233</v>
      </c>
      <c r="B109" s="97">
        <f t="shared" si="3"/>
        <v>428</v>
      </c>
      <c r="C109" s="97" t="s">
        <v>1764</v>
      </c>
      <c r="D109" s="98"/>
      <c r="E109" s="99">
        <v>2013485.9750780538</v>
      </c>
      <c r="F109" s="98"/>
      <c r="G109" s="98"/>
      <c r="H109" s="100"/>
      <c r="I109" s="100"/>
      <c r="J109" s="101">
        <v>2278316.0249219462</v>
      </c>
      <c r="K109" s="100"/>
      <c r="L109" s="100"/>
      <c r="M109" s="100"/>
      <c r="N109" s="100"/>
      <c r="O109" s="100"/>
      <c r="P109" s="102"/>
      <c r="Q109" s="102"/>
      <c r="R109" s="102"/>
      <c r="S109" s="103"/>
      <c r="T109" s="103">
        <v>26200</v>
      </c>
      <c r="U109" s="103">
        <v>40363</v>
      </c>
      <c r="V109" s="103"/>
      <c r="W109" s="103"/>
      <c r="X109" s="103">
        <v>116972</v>
      </c>
      <c r="Y109" s="103"/>
      <c r="Z109" s="104"/>
      <c r="AA109" s="104"/>
      <c r="AB109" s="104">
        <v>510760</v>
      </c>
      <c r="AC109" s="104"/>
      <c r="AD109" s="104"/>
      <c r="AE109" s="104"/>
      <c r="AF109" s="104"/>
      <c r="AG109" s="104"/>
      <c r="AH109" s="104"/>
      <c r="AI109" s="104"/>
      <c r="AJ109" s="104"/>
      <c r="AK109" s="108">
        <f t="shared" si="2"/>
        <v>4986097</v>
      </c>
      <c r="AN109" s="42">
        <v>70895</v>
      </c>
    </row>
    <row r="110" spans="1:41" ht="13">
      <c r="A110" s="97" t="s">
        <v>2235</v>
      </c>
      <c r="B110" s="97">
        <f t="shared" si="3"/>
        <v>84</v>
      </c>
      <c r="C110" s="97" t="s">
        <v>1764</v>
      </c>
      <c r="D110" s="98"/>
      <c r="E110" s="99">
        <v>397359.05294409208</v>
      </c>
      <c r="F110" s="98"/>
      <c r="G110" s="98"/>
      <c r="H110" s="100"/>
      <c r="I110" s="100"/>
      <c r="J110" s="101">
        <v>449622.94705590798</v>
      </c>
      <c r="K110" s="100"/>
      <c r="L110" s="112"/>
      <c r="M110" s="100"/>
      <c r="N110" s="100"/>
      <c r="O110" s="100"/>
      <c r="P110" s="102"/>
      <c r="Q110" s="102"/>
      <c r="R110" s="102"/>
      <c r="S110" s="103"/>
      <c r="T110" s="103">
        <v>295000</v>
      </c>
      <c r="U110" s="103">
        <v>650</v>
      </c>
      <c r="V110" s="103"/>
      <c r="W110" s="103">
        <v>967</v>
      </c>
      <c r="X110" s="103"/>
      <c r="Y110" s="103">
        <v>5038</v>
      </c>
      <c r="Z110" s="104"/>
      <c r="AA110" s="104"/>
      <c r="AB110" s="104"/>
      <c r="AC110" s="104"/>
      <c r="AD110" s="104"/>
      <c r="AE110" s="104">
        <v>605579</v>
      </c>
      <c r="AF110" s="104"/>
      <c r="AG110" s="113"/>
      <c r="AH110" s="114"/>
      <c r="AI110" s="104"/>
      <c r="AJ110" s="104"/>
      <c r="AK110" s="108">
        <f t="shared" si="2"/>
        <v>1754216</v>
      </c>
    </row>
    <row r="111" spans="1:41">
      <c r="A111" s="97" t="s">
        <v>2240</v>
      </c>
      <c r="B111" s="97">
        <f t="shared" si="3"/>
        <v>139</v>
      </c>
      <c r="C111" s="97" t="s">
        <v>1764</v>
      </c>
      <c r="D111" s="98"/>
      <c r="E111" s="99">
        <v>671624.25785674423</v>
      </c>
      <c r="F111" s="98"/>
      <c r="G111" s="98"/>
      <c r="H111" s="100"/>
      <c r="I111" s="100"/>
      <c r="J111" s="101">
        <v>759961.74214325577</v>
      </c>
      <c r="K111" s="100"/>
      <c r="L111" s="100"/>
      <c r="M111" s="100"/>
      <c r="N111" s="100"/>
      <c r="O111" s="100"/>
      <c r="P111" s="102"/>
      <c r="Q111" s="102"/>
      <c r="R111" s="102"/>
      <c r="S111" s="103"/>
      <c r="T111" s="103">
        <v>185000</v>
      </c>
      <c r="U111" s="103">
        <v>17253</v>
      </c>
      <c r="V111" s="103"/>
      <c r="W111" s="103"/>
      <c r="X111" s="103"/>
      <c r="Y111" s="103"/>
      <c r="Z111" s="104"/>
      <c r="AA111" s="104"/>
      <c r="AB111" s="104">
        <v>482069</v>
      </c>
      <c r="AC111" s="104"/>
      <c r="AD111" s="104"/>
      <c r="AE111" s="104"/>
      <c r="AF111" s="104"/>
      <c r="AG111" s="104"/>
      <c r="AH111" s="104"/>
      <c r="AI111" s="104"/>
      <c r="AJ111" s="104"/>
      <c r="AK111" s="108">
        <f t="shared" si="2"/>
        <v>2115908</v>
      </c>
    </row>
    <row r="112" spans="1:41">
      <c r="A112" s="97" t="s">
        <v>1738</v>
      </c>
      <c r="B112" s="97">
        <f t="shared" si="3"/>
        <v>524</v>
      </c>
      <c r="C112" s="97" t="s">
        <v>1764</v>
      </c>
      <c r="D112" s="98"/>
      <c r="E112" s="99">
        <v>2482596.3681418528</v>
      </c>
      <c r="F112" s="98"/>
      <c r="G112" s="98"/>
      <c r="H112" s="100"/>
      <c r="I112" s="100"/>
      <c r="J112" s="101">
        <v>2809127.6318581477</v>
      </c>
      <c r="K112" s="100">
        <v>415011</v>
      </c>
      <c r="L112" s="100"/>
      <c r="M112" s="100"/>
      <c r="N112" s="100"/>
      <c r="O112" s="100"/>
      <c r="P112" s="102">
        <v>279835</v>
      </c>
      <c r="Q112" s="102"/>
      <c r="R112" s="102"/>
      <c r="S112" s="103"/>
      <c r="T112" s="103"/>
      <c r="U112" s="103">
        <v>3961</v>
      </c>
      <c r="V112" s="103"/>
      <c r="W112" s="103"/>
      <c r="X112" s="103"/>
      <c r="Y112" s="103"/>
      <c r="Z112" s="104"/>
      <c r="AA112" s="104"/>
      <c r="AB112" s="104"/>
      <c r="AC112" s="104"/>
      <c r="AD112" s="104"/>
      <c r="AE112" s="104"/>
      <c r="AF112" s="104">
        <v>198575</v>
      </c>
      <c r="AG112" s="104">
        <v>9115</v>
      </c>
      <c r="AH112" s="104"/>
      <c r="AI112" s="104"/>
      <c r="AJ112" s="104"/>
      <c r="AK112" s="108">
        <f t="shared" si="2"/>
        <v>6198221</v>
      </c>
    </row>
    <row r="113" spans="1:41">
      <c r="A113" s="97" t="s">
        <v>2245</v>
      </c>
      <c r="B113" s="97">
        <f t="shared" si="3"/>
        <v>211</v>
      </c>
      <c r="C113" s="97" t="s">
        <v>1764</v>
      </c>
      <c r="D113" s="98"/>
      <c r="E113" s="99">
        <v>813823.64776758081</v>
      </c>
      <c r="F113" s="98"/>
      <c r="G113" s="98"/>
      <c r="H113" s="100"/>
      <c r="I113" s="100"/>
      <c r="J113" s="101">
        <v>920864.35223241919</v>
      </c>
      <c r="K113" s="100"/>
      <c r="L113" s="100"/>
      <c r="M113" s="100"/>
      <c r="N113" s="100"/>
      <c r="O113" s="100"/>
      <c r="P113" s="102"/>
      <c r="Q113" s="102"/>
      <c r="R113" s="102"/>
      <c r="S113" s="103"/>
      <c r="T113" s="103">
        <v>596250</v>
      </c>
      <c r="U113" s="103"/>
      <c r="V113" s="103"/>
      <c r="W113" s="103">
        <v>2930</v>
      </c>
      <c r="X113" s="103"/>
      <c r="Y113" s="103"/>
      <c r="Z113" s="104"/>
      <c r="AA113" s="104"/>
      <c r="AB113" s="104">
        <v>290713</v>
      </c>
      <c r="AC113" s="104"/>
      <c r="AD113" s="104"/>
      <c r="AE113" s="104"/>
      <c r="AF113" s="104"/>
      <c r="AG113" s="104"/>
      <c r="AH113" s="104"/>
      <c r="AI113" s="104"/>
      <c r="AJ113" s="104"/>
      <c r="AK113" s="108">
        <f t="shared" si="2"/>
        <v>2624581</v>
      </c>
    </row>
    <row r="114" spans="1:41">
      <c r="A114" s="97" t="s">
        <v>2246</v>
      </c>
      <c r="B114" s="97">
        <f t="shared" si="3"/>
        <v>245</v>
      </c>
      <c r="C114" s="97" t="s">
        <v>1764</v>
      </c>
      <c r="D114" s="98"/>
      <c r="E114" s="99">
        <v>1157784.3907049708</v>
      </c>
      <c r="F114" s="98"/>
      <c r="G114" s="98"/>
      <c r="H114" s="100">
        <v>19246</v>
      </c>
      <c r="I114" s="100"/>
      <c r="J114" s="101">
        <v>1310065.6092950292</v>
      </c>
      <c r="K114" s="100">
        <v>60209</v>
      </c>
      <c r="L114" s="100"/>
      <c r="M114" s="100"/>
      <c r="N114" s="100"/>
      <c r="O114" s="100"/>
      <c r="P114" s="102">
        <v>389928</v>
      </c>
      <c r="Q114" s="102"/>
      <c r="R114" s="102"/>
      <c r="S114" s="103"/>
      <c r="T114" s="103">
        <v>34012</v>
      </c>
      <c r="U114" s="103">
        <v>4891</v>
      </c>
      <c r="V114" s="103"/>
      <c r="W114" s="103">
        <v>9139</v>
      </c>
      <c r="X114" s="103"/>
      <c r="Y114" s="103">
        <v>78604</v>
      </c>
      <c r="Z114" s="104"/>
      <c r="AA114" s="104"/>
      <c r="AB114" s="104"/>
      <c r="AC114" s="104"/>
      <c r="AD114" s="104"/>
      <c r="AE114" s="104"/>
      <c r="AF114" s="104"/>
      <c r="AG114" s="104"/>
      <c r="AH114" s="104"/>
      <c r="AI114" s="104"/>
      <c r="AJ114" s="104"/>
      <c r="AK114" s="108">
        <f t="shared" si="2"/>
        <v>3063879</v>
      </c>
    </row>
    <row r="115" spans="1:41">
      <c r="A115" s="97" t="s">
        <v>2248</v>
      </c>
      <c r="B115" s="97">
        <f t="shared" si="3"/>
        <v>206</v>
      </c>
      <c r="C115" s="97" t="s">
        <v>1764</v>
      </c>
      <c r="D115" s="98"/>
      <c r="E115" s="99">
        <v>970413.18319621379</v>
      </c>
      <c r="F115" s="98"/>
      <c r="G115" s="98"/>
      <c r="H115" s="100">
        <v>211167</v>
      </c>
      <c r="I115" s="100"/>
      <c r="J115" s="101">
        <v>1098049.8168037864</v>
      </c>
      <c r="K115" s="100">
        <v>7908</v>
      </c>
      <c r="L115" s="100">
        <v>250000</v>
      </c>
      <c r="M115" s="100"/>
      <c r="N115" s="100"/>
      <c r="O115" s="100"/>
      <c r="P115" s="102">
        <v>99273</v>
      </c>
      <c r="Q115" s="102"/>
      <c r="R115" s="102"/>
      <c r="S115" s="103"/>
      <c r="T115" s="103"/>
      <c r="U115" s="103"/>
      <c r="V115" s="103"/>
      <c r="W115" s="103">
        <v>17574</v>
      </c>
      <c r="X115" s="103"/>
      <c r="Y115" s="103">
        <v>106761</v>
      </c>
      <c r="Z115" s="104"/>
      <c r="AA115" s="104"/>
      <c r="AB115" s="104"/>
      <c r="AC115" s="104"/>
      <c r="AD115" s="104"/>
      <c r="AE115" s="104">
        <v>29311</v>
      </c>
      <c r="AF115" s="115"/>
      <c r="AG115" s="115"/>
      <c r="AH115" s="104"/>
      <c r="AI115" s="104"/>
      <c r="AJ115" s="104"/>
      <c r="AK115" s="108">
        <f t="shared" si="2"/>
        <v>2790457</v>
      </c>
      <c r="AN115" s="36">
        <v>3570</v>
      </c>
      <c r="AO115" s="53">
        <v>-135463</v>
      </c>
    </row>
    <row r="116" spans="1:41">
      <c r="A116" s="97" t="s">
        <v>2251</v>
      </c>
      <c r="B116" s="97">
        <f t="shared" si="3"/>
        <v>128</v>
      </c>
      <c r="C116" s="97" t="s">
        <v>1764</v>
      </c>
      <c r="D116" s="98"/>
      <c r="E116" s="99">
        <v>613219.21120980743</v>
      </c>
      <c r="F116" s="116"/>
      <c r="G116" s="98">
        <v>136920</v>
      </c>
      <c r="H116" s="100"/>
      <c r="I116" s="100"/>
      <c r="J116" s="101">
        <v>693874.78879019269</v>
      </c>
      <c r="K116" s="100"/>
      <c r="L116" s="117"/>
      <c r="M116" s="118"/>
      <c r="N116" s="100"/>
      <c r="O116" s="100">
        <v>195056</v>
      </c>
      <c r="P116" s="102"/>
      <c r="Q116" s="102">
        <v>39519</v>
      </c>
      <c r="R116" s="102"/>
      <c r="S116" s="103"/>
      <c r="T116" s="103">
        <v>465030</v>
      </c>
      <c r="U116" s="103">
        <v>10993</v>
      </c>
      <c r="V116" s="103"/>
      <c r="W116" s="103"/>
      <c r="X116" s="103"/>
      <c r="Y116" s="103"/>
      <c r="Z116" s="104"/>
      <c r="AA116" s="104"/>
      <c r="AB116" s="104"/>
      <c r="AC116" s="104"/>
      <c r="AD116" s="104"/>
      <c r="AE116" s="104"/>
      <c r="AF116" s="113"/>
      <c r="AG116" s="115"/>
      <c r="AH116" s="113"/>
      <c r="AI116" s="113"/>
      <c r="AJ116" s="104"/>
      <c r="AK116" s="108">
        <f t="shared" si="2"/>
        <v>2154612</v>
      </c>
      <c r="AN116" s="42">
        <v>41683</v>
      </c>
    </row>
    <row r="117" spans="1:41">
      <c r="A117" s="119" t="s">
        <v>2253</v>
      </c>
      <c r="B117" s="97">
        <f t="shared" si="3"/>
        <v>677</v>
      </c>
      <c r="C117" s="119" t="s">
        <v>1764</v>
      </c>
      <c r="D117" s="98"/>
      <c r="E117" s="99">
        <v>3286728.8466087091</v>
      </c>
      <c r="F117" s="98"/>
      <c r="G117" s="98"/>
      <c r="H117" s="100"/>
      <c r="I117" s="100"/>
      <c r="J117" s="101">
        <v>3719026.1533912914</v>
      </c>
      <c r="K117" s="100"/>
      <c r="L117" s="100"/>
      <c r="M117" s="100"/>
      <c r="N117" s="100"/>
      <c r="O117" s="100"/>
      <c r="P117" s="102"/>
      <c r="Q117" s="102"/>
      <c r="R117" s="102"/>
      <c r="S117" s="103"/>
      <c r="T117" s="103">
        <v>66875</v>
      </c>
      <c r="U117" s="103">
        <v>124624</v>
      </c>
      <c r="V117" s="103"/>
      <c r="W117" s="103">
        <v>44994</v>
      </c>
      <c r="X117" s="103"/>
      <c r="Y117" s="103">
        <v>96854</v>
      </c>
      <c r="Z117" s="104"/>
      <c r="AA117" s="104"/>
      <c r="AB117" s="104">
        <v>487524</v>
      </c>
      <c r="AC117" s="104"/>
      <c r="AD117" s="104"/>
      <c r="AE117" s="104"/>
      <c r="AF117" s="104"/>
      <c r="AG117" s="104"/>
      <c r="AH117" s="104"/>
      <c r="AI117" s="104"/>
      <c r="AJ117" s="104"/>
      <c r="AK117" s="108">
        <f t="shared" si="2"/>
        <v>7826626</v>
      </c>
      <c r="AN117" s="42">
        <v>40197</v>
      </c>
    </row>
    <row r="118" spans="1:41">
      <c r="A118" s="97" t="s">
        <v>2254</v>
      </c>
      <c r="B118" s="97">
        <f t="shared" si="3"/>
        <v>250</v>
      </c>
      <c r="C118" s="97" t="s">
        <v>1764</v>
      </c>
      <c r="D118" s="98"/>
      <c r="E118" s="99">
        <v>1194530.7975718216</v>
      </c>
      <c r="F118" s="98"/>
      <c r="G118" s="98"/>
      <c r="H118" s="100">
        <v>19507</v>
      </c>
      <c r="I118" s="100"/>
      <c r="J118" s="101">
        <v>1351645.2024281786</v>
      </c>
      <c r="K118" s="100">
        <v>51066</v>
      </c>
      <c r="L118" s="100"/>
      <c r="M118" s="100"/>
      <c r="N118" s="100"/>
      <c r="O118" s="100"/>
      <c r="P118" s="102">
        <v>116508</v>
      </c>
      <c r="Q118" s="102"/>
      <c r="R118" s="102"/>
      <c r="S118" s="103"/>
      <c r="T118" s="103">
        <v>327860</v>
      </c>
      <c r="U118" s="103">
        <v>23332</v>
      </c>
      <c r="V118" s="103"/>
      <c r="W118" s="103"/>
      <c r="X118" s="103"/>
      <c r="Y118" s="103">
        <v>126056</v>
      </c>
      <c r="Z118" s="104"/>
      <c r="AA118" s="104"/>
      <c r="AB118" s="104"/>
      <c r="AC118" s="104"/>
      <c r="AD118" s="104"/>
      <c r="AE118" s="104"/>
      <c r="AF118" s="104"/>
      <c r="AG118" s="104"/>
      <c r="AH118" s="104"/>
      <c r="AI118" s="104"/>
      <c r="AJ118" s="104"/>
      <c r="AK118" s="108">
        <f t="shared" si="2"/>
        <v>3210505</v>
      </c>
      <c r="AN118" s="42">
        <v>45000</v>
      </c>
    </row>
    <row r="119" spans="1:41">
      <c r="A119" s="97" t="s">
        <v>2257</v>
      </c>
      <c r="B119" s="97">
        <f t="shared" si="3"/>
        <v>248</v>
      </c>
      <c r="C119" s="97" t="s">
        <v>1764</v>
      </c>
      <c r="D119" s="98"/>
      <c r="E119" s="99">
        <v>1261099.9400783316</v>
      </c>
      <c r="F119" s="98"/>
      <c r="G119" s="98"/>
      <c r="H119" s="100"/>
      <c r="I119" s="100"/>
      <c r="J119" s="101">
        <v>1426970.0599216684</v>
      </c>
      <c r="K119" s="100"/>
      <c r="L119" s="100"/>
      <c r="M119" s="100"/>
      <c r="N119" s="100"/>
      <c r="O119" s="100"/>
      <c r="P119" s="102"/>
      <c r="Q119" s="102"/>
      <c r="R119" s="102"/>
      <c r="S119" s="103"/>
      <c r="T119" s="103">
        <v>2546857</v>
      </c>
      <c r="U119" s="103">
        <v>114929</v>
      </c>
      <c r="V119" s="103"/>
      <c r="W119" s="103">
        <v>116224</v>
      </c>
      <c r="X119" s="103"/>
      <c r="Y119" s="103"/>
      <c r="Z119" s="104"/>
      <c r="AA119" s="104"/>
      <c r="AB119" s="104">
        <v>202325</v>
      </c>
      <c r="AC119" s="104"/>
      <c r="AD119" s="104"/>
      <c r="AE119" s="104"/>
      <c r="AF119" s="104"/>
      <c r="AG119" s="104"/>
      <c r="AH119" s="104"/>
      <c r="AI119" s="104"/>
      <c r="AJ119" s="104"/>
      <c r="AK119" s="108">
        <f t="shared" si="2"/>
        <v>5668405</v>
      </c>
    </row>
    <row r="120" spans="1:41">
      <c r="A120" s="97" t="s">
        <v>2258</v>
      </c>
      <c r="B120" s="97">
        <f t="shared" si="3"/>
        <v>136</v>
      </c>
      <c r="C120" s="97" t="s">
        <v>1764</v>
      </c>
      <c r="D120" s="98"/>
      <c r="E120" s="99">
        <v>691442.43400867819</v>
      </c>
      <c r="F120" s="98"/>
      <c r="G120" s="98"/>
      <c r="H120" s="100"/>
      <c r="I120" s="100"/>
      <c r="J120" s="101">
        <v>782386.56599132193</v>
      </c>
      <c r="K120" s="100"/>
      <c r="L120" s="100"/>
      <c r="M120" s="100"/>
      <c r="N120" s="100"/>
      <c r="O120" s="100"/>
      <c r="P120" s="102"/>
      <c r="Q120" s="102"/>
      <c r="R120" s="102"/>
      <c r="S120" s="103"/>
      <c r="T120" s="103">
        <v>221632</v>
      </c>
      <c r="U120" s="103">
        <v>38696</v>
      </c>
      <c r="V120" s="103"/>
      <c r="W120" s="103">
        <v>7242</v>
      </c>
      <c r="X120" s="103"/>
      <c r="Y120" s="103"/>
      <c r="Z120" s="104"/>
      <c r="AA120" s="104"/>
      <c r="AB120" s="104">
        <v>339570</v>
      </c>
      <c r="AC120" s="104"/>
      <c r="AD120" s="104"/>
      <c r="AE120" s="104"/>
      <c r="AF120" s="104"/>
      <c r="AG120" s="104"/>
      <c r="AH120" s="104"/>
      <c r="AI120" s="104"/>
      <c r="AJ120" s="104"/>
      <c r="AK120" s="108">
        <f t="shared" si="2"/>
        <v>2080969</v>
      </c>
    </row>
    <row r="121" spans="1:41">
      <c r="A121" s="97" t="s">
        <v>2259</v>
      </c>
      <c r="B121" s="97">
        <f t="shared" si="3"/>
        <v>154</v>
      </c>
      <c r="C121" s="97" t="s">
        <v>1764</v>
      </c>
      <c r="D121" s="98"/>
      <c r="E121" s="99">
        <v>791578.10510734725</v>
      </c>
      <c r="F121" s="98"/>
      <c r="G121" s="98"/>
      <c r="H121" s="100"/>
      <c r="I121" s="100"/>
      <c r="J121" s="101">
        <v>895692.89489265287</v>
      </c>
      <c r="K121" s="100"/>
      <c r="L121" s="100"/>
      <c r="M121" s="100"/>
      <c r="N121" s="100"/>
      <c r="O121" s="100"/>
      <c r="P121" s="102"/>
      <c r="Q121" s="102"/>
      <c r="R121" s="102"/>
      <c r="S121" s="103"/>
      <c r="T121" s="103">
        <v>220100</v>
      </c>
      <c r="U121" s="103">
        <v>44913</v>
      </c>
      <c r="V121" s="103"/>
      <c r="W121" s="103">
        <v>15088</v>
      </c>
      <c r="X121" s="103"/>
      <c r="Y121" s="103"/>
      <c r="Z121" s="104"/>
      <c r="AA121" s="104"/>
      <c r="AB121" s="104">
        <v>302450</v>
      </c>
      <c r="AC121" s="104"/>
      <c r="AD121" s="104"/>
      <c r="AE121" s="104"/>
      <c r="AF121" s="104"/>
      <c r="AG121" s="104"/>
      <c r="AH121" s="104"/>
      <c r="AI121" s="104"/>
      <c r="AJ121" s="104"/>
      <c r="AK121" s="108">
        <f t="shared" si="2"/>
        <v>2269822</v>
      </c>
    </row>
    <row r="122" spans="1:41">
      <c r="A122" s="97" t="s">
        <v>2260</v>
      </c>
      <c r="B122" s="97">
        <f t="shared" si="3"/>
        <v>288</v>
      </c>
      <c r="C122" s="97" t="s">
        <v>1764</v>
      </c>
      <c r="D122" s="98"/>
      <c r="E122" s="99">
        <v>1482200.9521611708</v>
      </c>
      <c r="F122" s="98"/>
      <c r="G122" s="98"/>
      <c r="H122" s="100">
        <v>267785</v>
      </c>
      <c r="I122" s="100"/>
      <c r="J122" s="101">
        <v>1674749.0478388295</v>
      </c>
      <c r="K122" s="100"/>
      <c r="L122" s="100"/>
      <c r="M122" s="100"/>
      <c r="N122" s="100"/>
      <c r="O122" s="100"/>
      <c r="P122" s="102">
        <v>235903</v>
      </c>
      <c r="Q122" s="102"/>
      <c r="R122" s="102"/>
      <c r="S122" s="103"/>
      <c r="T122" s="103"/>
      <c r="U122" s="103">
        <v>22554</v>
      </c>
      <c r="V122" s="103"/>
      <c r="W122" s="103">
        <v>17689</v>
      </c>
      <c r="X122" s="103"/>
      <c r="Y122" s="103"/>
      <c r="Z122" s="104"/>
      <c r="AA122" s="104"/>
      <c r="AB122" s="104"/>
      <c r="AC122" s="104"/>
      <c r="AD122" s="104"/>
      <c r="AE122" s="104"/>
      <c r="AF122" s="104"/>
      <c r="AG122" s="104"/>
      <c r="AH122" s="104">
        <v>198029</v>
      </c>
      <c r="AI122" s="104"/>
      <c r="AJ122" s="104"/>
      <c r="AK122" s="108">
        <f t="shared" si="2"/>
        <v>3898910</v>
      </c>
    </row>
    <row r="123" spans="1:41">
      <c r="A123" s="97" t="s">
        <v>2263</v>
      </c>
      <c r="B123" s="97">
        <f t="shared" si="3"/>
        <v>278</v>
      </c>
      <c r="C123" s="97" t="s">
        <v>1764</v>
      </c>
      <c r="D123" s="98"/>
      <c r="E123" s="99">
        <v>1284007.4491365575</v>
      </c>
      <c r="F123" s="98"/>
      <c r="G123" s="98"/>
      <c r="H123" s="100"/>
      <c r="I123" s="100"/>
      <c r="J123" s="101">
        <v>1452890.5508634427</v>
      </c>
      <c r="K123" s="100">
        <v>10815</v>
      </c>
      <c r="L123" s="100"/>
      <c r="M123" s="100"/>
      <c r="N123" s="100"/>
      <c r="O123" s="100"/>
      <c r="P123" s="102"/>
      <c r="Q123" s="102"/>
      <c r="R123" s="102"/>
      <c r="S123" s="103"/>
      <c r="T123" s="103"/>
      <c r="U123" s="103">
        <v>14116</v>
      </c>
      <c r="V123" s="103"/>
      <c r="W123" s="103">
        <v>31205</v>
      </c>
      <c r="X123" s="103"/>
      <c r="Y123" s="103"/>
      <c r="Z123" s="104"/>
      <c r="AA123" s="104"/>
      <c r="AB123" s="104"/>
      <c r="AC123" s="104"/>
      <c r="AD123" s="104">
        <v>272913</v>
      </c>
      <c r="AE123" s="104"/>
      <c r="AF123" s="104"/>
      <c r="AG123" s="104"/>
      <c r="AH123" s="104"/>
      <c r="AI123" s="104"/>
      <c r="AJ123" s="104"/>
      <c r="AK123" s="108">
        <f t="shared" si="2"/>
        <v>3065947</v>
      </c>
    </row>
    <row r="124" spans="1:41">
      <c r="A124" s="97" t="s">
        <v>2159</v>
      </c>
      <c r="B124" s="97">
        <f t="shared" si="3"/>
        <v>288</v>
      </c>
      <c r="C124" s="97" t="s">
        <v>1764</v>
      </c>
      <c r="D124" s="98"/>
      <c r="E124" s="99">
        <v>1378210.2874435838</v>
      </c>
      <c r="F124" s="98"/>
      <c r="G124" s="98"/>
      <c r="H124" s="100"/>
      <c r="I124" s="100"/>
      <c r="J124" s="101">
        <v>1559483.7125564162</v>
      </c>
      <c r="K124" s="100"/>
      <c r="L124" s="100"/>
      <c r="M124" s="100"/>
      <c r="N124" s="100"/>
      <c r="O124" s="100"/>
      <c r="P124" s="102"/>
      <c r="Q124" s="102"/>
      <c r="R124" s="102"/>
      <c r="S124" s="103"/>
      <c r="T124" s="103">
        <v>181687</v>
      </c>
      <c r="U124" s="103">
        <v>3792</v>
      </c>
      <c r="V124" s="103"/>
      <c r="W124" s="103">
        <v>68381</v>
      </c>
      <c r="X124" s="103"/>
      <c r="Y124" s="103"/>
      <c r="Z124" s="104"/>
      <c r="AA124" s="104"/>
      <c r="AB124" s="104">
        <v>215179</v>
      </c>
      <c r="AC124" s="104"/>
      <c r="AD124" s="104"/>
      <c r="AE124" s="104"/>
      <c r="AF124" s="104"/>
      <c r="AG124" s="104"/>
      <c r="AH124" s="104"/>
      <c r="AI124" s="104"/>
      <c r="AJ124" s="104"/>
      <c r="AK124" s="108">
        <f t="shared" si="2"/>
        <v>3406733</v>
      </c>
    </row>
    <row r="125" spans="1:41">
      <c r="A125" s="97" t="s">
        <v>2160</v>
      </c>
      <c r="B125" s="97">
        <f t="shared" si="3"/>
        <v>100</v>
      </c>
      <c r="C125" s="97" t="s">
        <v>1764</v>
      </c>
      <c r="D125" s="98"/>
      <c r="E125" s="99">
        <v>478915.56508224964</v>
      </c>
      <c r="F125" s="98">
        <v>139412</v>
      </c>
      <c r="G125" s="98"/>
      <c r="H125" s="100"/>
      <c r="I125" s="100"/>
      <c r="J125" s="101">
        <v>541906.43491775042</v>
      </c>
      <c r="K125" s="100"/>
      <c r="L125" s="100"/>
      <c r="M125" s="100">
        <v>47115</v>
      </c>
      <c r="N125" s="100"/>
      <c r="O125" s="100"/>
      <c r="P125" s="102">
        <v>217414</v>
      </c>
      <c r="Q125" s="102"/>
      <c r="R125" s="102"/>
      <c r="S125" s="103"/>
      <c r="T125" s="103">
        <v>417809</v>
      </c>
      <c r="U125" s="103"/>
      <c r="V125" s="103"/>
      <c r="W125" s="103">
        <v>9728</v>
      </c>
      <c r="X125" s="103"/>
      <c r="Y125" s="103"/>
      <c r="Z125" s="104"/>
      <c r="AA125" s="104"/>
      <c r="AB125" s="104"/>
      <c r="AC125" s="104"/>
      <c r="AD125" s="104"/>
      <c r="AE125" s="104"/>
      <c r="AF125" s="104"/>
      <c r="AG125" s="120"/>
      <c r="AH125" s="104"/>
      <c r="AI125" s="104"/>
      <c r="AJ125" s="104"/>
      <c r="AK125" s="108">
        <f t="shared" si="2"/>
        <v>1852300</v>
      </c>
    </row>
    <row r="126" spans="1:41">
      <c r="A126" s="97" t="s">
        <v>2163</v>
      </c>
      <c r="B126" s="97">
        <f t="shared" si="3"/>
        <v>229</v>
      </c>
      <c r="C126" s="97" t="s">
        <v>1764</v>
      </c>
      <c r="D126" s="98"/>
      <c r="E126" s="99">
        <v>1089674.1003477138</v>
      </c>
      <c r="F126" s="98"/>
      <c r="G126" s="98"/>
      <c r="H126" s="100"/>
      <c r="I126" s="100"/>
      <c r="J126" s="101">
        <v>1232996.8996522864</v>
      </c>
      <c r="K126" s="100"/>
      <c r="L126" s="100"/>
      <c r="M126" s="100"/>
      <c r="N126" s="100"/>
      <c r="O126" s="100"/>
      <c r="P126" s="102"/>
      <c r="Q126" s="102"/>
      <c r="R126" s="102"/>
      <c r="S126" s="103"/>
      <c r="T126" s="103">
        <v>120265</v>
      </c>
      <c r="U126" s="103">
        <v>125619</v>
      </c>
      <c r="V126" s="103"/>
      <c r="W126" s="103"/>
      <c r="X126" s="103"/>
      <c r="Y126" s="103"/>
      <c r="Z126" s="104"/>
      <c r="AA126" s="104"/>
      <c r="AB126" s="104">
        <v>162446</v>
      </c>
      <c r="AC126" s="104"/>
      <c r="AD126" s="104"/>
      <c r="AE126" s="104"/>
      <c r="AF126" s="104"/>
      <c r="AG126" s="104"/>
      <c r="AH126" s="104"/>
      <c r="AI126" s="104"/>
      <c r="AJ126" s="104"/>
      <c r="AK126" s="108">
        <f t="shared" si="2"/>
        <v>2731001</v>
      </c>
    </row>
    <row r="127" spans="1:41">
      <c r="A127" s="97" t="s">
        <v>2164</v>
      </c>
      <c r="B127" s="97">
        <f t="shared" si="3"/>
        <v>262</v>
      </c>
      <c r="C127" s="97" t="s">
        <v>1764</v>
      </c>
      <c r="D127" s="98"/>
      <c r="E127" s="99">
        <v>1248230.7690908615</v>
      </c>
      <c r="F127" s="98"/>
      <c r="G127" s="98"/>
      <c r="H127" s="100"/>
      <c r="I127" s="100"/>
      <c r="J127" s="101">
        <v>1412408.2309091385</v>
      </c>
      <c r="K127" s="100">
        <v>172546</v>
      </c>
      <c r="L127" s="100"/>
      <c r="M127" s="100"/>
      <c r="N127" s="100"/>
      <c r="O127" s="100"/>
      <c r="P127" s="102"/>
      <c r="Q127" s="102"/>
      <c r="R127" s="102"/>
      <c r="S127" s="103"/>
      <c r="T127" s="103">
        <v>304015</v>
      </c>
      <c r="U127" s="103">
        <v>5905</v>
      </c>
      <c r="V127" s="103"/>
      <c r="W127" s="103">
        <v>23743</v>
      </c>
      <c r="X127" s="103"/>
      <c r="Y127" s="103"/>
      <c r="Z127" s="104"/>
      <c r="AA127" s="104"/>
      <c r="AB127" s="104">
        <v>300740</v>
      </c>
      <c r="AC127" s="104"/>
      <c r="AD127" s="104"/>
      <c r="AE127" s="104"/>
      <c r="AF127" s="104"/>
      <c r="AG127" s="104"/>
      <c r="AH127" s="104"/>
      <c r="AI127" s="104"/>
      <c r="AJ127" s="104"/>
      <c r="AK127" s="108">
        <f t="shared" si="2"/>
        <v>3467588</v>
      </c>
      <c r="AN127" s="42">
        <v>64984</v>
      </c>
    </row>
    <row r="128" spans="1:41">
      <c r="A128" s="97" t="s">
        <v>1740</v>
      </c>
      <c r="B128" s="97">
        <f t="shared" si="3"/>
        <v>185</v>
      </c>
      <c r="C128" s="97" t="s">
        <v>1764</v>
      </c>
      <c r="D128" s="98"/>
      <c r="E128" s="99">
        <v>899975.45463878755</v>
      </c>
      <c r="F128" s="98"/>
      <c r="G128" s="98"/>
      <c r="H128" s="100"/>
      <c r="I128" s="100"/>
      <c r="J128" s="101">
        <v>1018347.5453612126</v>
      </c>
      <c r="K128" s="100"/>
      <c r="L128" s="100"/>
      <c r="M128" s="100"/>
      <c r="N128" s="100"/>
      <c r="O128" s="100"/>
      <c r="P128" s="102"/>
      <c r="Q128" s="102"/>
      <c r="R128" s="102"/>
      <c r="S128" s="103"/>
      <c r="T128" s="103">
        <v>334435</v>
      </c>
      <c r="U128" s="103">
        <v>4280</v>
      </c>
      <c r="V128" s="103"/>
      <c r="W128" s="103">
        <v>2617</v>
      </c>
      <c r="X128" s="103"/>
      <c r="Y128" s="103"/>
      <c r="Z128" s="104"/>
      <c r="AA128" s="104"/>
      <c r="AB128" s="104">
        <v>68362</v>
      </c>
      <c r="AC128" s="104"/>
      <c r="AD128" s="104"/>
      <c r="AE128" s="104"/>
      <c r="AF128" s="104"/>
      <c r="AG128" s="104"/>
      <c r="AH128" s="104"/>
      <c r="AI128" s="104"/>
      <c r="AJ128" s="104"/>
      <c r="AK128" s="108">
        <f t="shared" si="2"/>
        <v>2328017</v>
      </c>
    </row>
    <row r="129" spans="1:41">
      <c r="A129" s="97" t="s">
        <v>521</v>
      </c>
      <c r="B129" s="97">
        <f t="shared" si="3"/>
        <v>284</v>
      </c>
      <c r="C129" s="97" t="s">
        <v>1764</v>
      </c>
      <c r="D129" s="98"/>
      <c r="E129" s="99">
        <v>1547481.8042120619</v>
      </c>
      <c r="F129" s="98"/>
      <c r="G129" s="98"/>
      <c r="H129" s="100"/>
      <c r="I129" s="100"/>
      <c r="J129" s="101">
        <v>1751019.1957879383</v>
      </c>
      <c r="K129" s="100"/>
      <c r="L129" s="100"/>
      <c r="M129" s="100"/>
      <c r="N129" s="100"/>
      <c r="O129" s="100"/>
      <c r="P129" s="102">
        <v>187682</v>
      </c>
      <c r="Q129" s="102"/>
      <c r="R129" s="102"/>
      <c r="S129" s="103"/>
      <c r="T129" s="103">
        <v>422776</v>
      </c>
      <c r="U129" s="103">
        <v>26493</v>
      </c>
      <c r="V129" s="103"/>
      <c r="W129" s="103">
        <v>22097</v>
      </c>
      <c r="X129" s="103"/>
      <c r="Y129" s="103">
        <v>87823</v>
      </c>
      <c r="Z129" s="104"/>
      <c r="AA129" s="104"/>
      <c r="AB129" s="104"/>
      <c r="AC129" s="104"/>
      <c r="AD129" s="104"/>
      <c r="AE129" s="104"/>
      <c r="AF129" s="104"/>
      <c r="AG129" s="104"/>
      <c r="AH129" s="104"/>
      <c r="AI129" s="104">
        <v>214076</v>
      </c>
      <c r="AJ129" s="104"/>
      <c r="AK129" s="108">
        <f t="shared" si="2"/>
        <v>4259448</v>
      </c>
      <c r="AO129" s="42">
        <v>-106991</v>
      </c>
    </row>
    <row r="130" spans="1:41">
      <c r="A130" s="97" t="s">
        <v>2165</v>
      </c>
      <c r="B130" s="97">
        <f t="shared" si="3"/>
        <v>169</v>
      </c>
      <c r="C130" s="97" t="s">
        <v>1764</v>
      </c>
      <c r="D130" s="98"/>
      <c r="E130" s="99">
        <v>1308925.7221790454</v>
      </c>
      <c r="F130" s="98"/>
      <c r="G130" s="98"/>
      <c r="H130" s="100"/>
      <c r="I130" s="100"/>
      <c r="J130" s="101">
        <v>1481086.2778209548</v>
      </c>
      <c r="K130" s="100"/>
      <c r="L130" s="100"/>
      <c r="M130" s="100"/>
      <c r="N130" s="100"/>
      <c r="O130" s="100"/>
      <c r="P130" s="102">
        <v>240744</v>
      </c>
      <c r="Q130" s="102"/>
      <c r="R130" s="102"/>
      <c r="S130" s="103"/>
      <c r="T130" s="103"/>
      <c r="U130" s="103">
        <v>11806</v>
      </c>
      <c r="V130" s="103"/>
      <c r="W130" s="103">
        <v>24338</v>
      </c>
      <c r="X130" s="103"/>
      <c r="Y130" s="103"/>
      <c r="Z130" s="104"/>
      <c r="AA130" s="104"/>
      <c r="AB130" s="104"/>
      <c r="AC130" s="104"/>
      <c r="AD130" s="104"/>
      <c r="AE130" s="104"/>
      <c r="AF130" s="104"/>
      <c r="AG130" s="104"/>
      <c r="AH130" s="104">
        <v>166815</v>
      </c>
      <c r="AI130" s="104"/>
      <c r="AJ130" s="104"/>
      <c r="AK130" s="108">
        <f t="shared" si="2"/>
        <v>3233715</v>
      </c>
    </row>
    <row r="131" spans="1:41">
      <c r="A131" s="97" t="s">
        <v>2166</v>
      </c>
      <c r="B131" s="97">
        <f t="shared" si="3"/>
        <v>426</v>
      </c>
      <c r="C131" s="97" t="s">
        <v>1764</v>
      </c>
      <c r="D131" s="98"/>
      <c r="E131" s="99">
        <v>2032954.6367250239</v>
      </c>
      <c r="F131" s="98"/>
      <c r="G131" s="98"/>
      <c r="H131" s="100"/>
      <c r="I131" s="100"/>
      <c r="J131" s="101">
        <v>2300345.3632749766</v>
      </c>
      <c r="K131" s="100">
        <v>859660</v>
      </c>
      <c r="L131" s="100"/>
      <c r="M131" s="100"/>
      <c r="N131" s="100"/>
      <c r="O131" s="100"/>
      <c r="P131" s="102">
        <v>380274</v>
      </c>
      <c r="Q131" s="102"/>
      <c r="R131" s="102"/>
      <c r="S131" s="103"/>
      <c r="T131" s="103">
        <v>87748</v>
      </c>
      <c r="U131" s="103">
        <v>7099</v>
      </c>
      <c r="V131" s="103"/>
      <c r="W131" s="103">
        <v>101475</v>
      </c>
      <c r="X131" s="103"/>
      <c r="Y131" s="103"/>
      <c r="Z131" s="104"/>
      <c r="AA131" s="104"/>
      <c r="AB131" s="104"/>
      <c r="AC131" s="104"/>
      <c r="AD131" s="104"/>
      <c r="AE131" s="104"/>
      <c r="AF131" s="104"/>
      <c r="AG131" s="104"/>
      <c r="AH131" s="104"/>
      <c r="AI131" s="104"/>
      <c r="AJ131" s="104"/>
      <c r="AK131" s="108">
        <f t="shared" si="2"/>
        <v>5769556</v>
      </c>
      <c r="AN131" s="42">
        <v>15186</v>
      </c>
      <c r="AO131" s="42">
        <v>-62791</v>
      </c>
    </row>
    <row r="132" spans="1:41">
      <c r="A132" s="97" t="s">
        <v>1767</v>
      </c>
      <c r="B132" s="97">
        <f t="shared" si="3"/>
        <v>443</v>
      </c>
      <c r="C132" s="97" t="s">
        <v>1764</v>
      </c>
      <c r="D132" s="98"/>
      <c r="E132" s="99">
        <v>2196900.2630089805</v>
      </c>
      <c r="F132" s="98"/>
      <c r="G132" s="98"/>
      <c r="H132" s="100"/>
      <c r="I132" s="100"/>
      <c r="J132" s="101">
        <v>2489476.7369910199</v>
      </c>
      <c r="K132" s="100"/>
      <c r="L132" s="100"/>
      <c r="M132" s="100"/>
      <c r="N132" s="100"/>
      <c r="O132" s="100"/>
      <c r="P132" s="102"/>
      <c r="Q132" s="102"/>
      <c r="R132" s="102"/>
      <c r="S132" s="103"/>
      <c r="T132" s="103">
        <v>113676</v>
      </c>
      <c r="U132" s="103"/>
      <c r="V132" s="103"/>
      <c r="W132" s="103">
        <v>57698</v>
      </c>
      <c r="X132" s="103"/>
      <c r="Y132" s="103"/>
      <c r="Z132" s="104"/>
      <c r="AA132" s="104"/>
      <c r="AB132" s="104">
        <v>282453</v>
      </c>
      <c r="AC132" s="104"/>
      <c r="AD132" s="104"/>
      <c r="AE132" s="104"/>
      <c r="AF132" s="104"/>
      <c r="AG132" s="104"/>
      <c r="AH132" s="104"/>
      <c r="AI132" s="104"/>
      <c r="AJ132" s="104"/>
      <c r="AK132" s="108">
        <f t="shared" si="2"/>
        <v>5140204</v>
      </c>
    </row>
    <row r="133" spans="1:41">
      <c r="A133" s="97" t="s">
        <v>2167</v>
      </c>
      <c r="B133" s="97">
        <f t="shared" si="3"/>
        <v>163</v>
      </c>
      <c r="C133" s="97" t="s">
        <v>1764</v>
      </c>
      <c r="D133" s="98"/>
      <c r="E133" s="99">
        <v>794909.0487117013</v>
      </c>
      <c r="F133" s="98"/>
      <c r="G133" s="98"/>
      <c r="H133" s="100"/>
      <c r="I133" s="100"/>
      <c r="J133" s="101">
        <v>899461.9512882987</v>
      </c>
      <c r="K133" s="100"/>
      <c r="L133" s="100"/>
      <c r="M133" s="100"/>
      <c r="N133" s="100"/>
      <c r="O133" s="100"/>
      <c r="P133" s="102"/>
      <c r="Q133" s="102"/>
      <c r="R133" s="102"/>
      <c r="S133" s="103"/>
      <c r="T133" s="103">
        <v>255000</v>
      </c>
      <c r="U133" s="103"/>
      <c r="V133" s="103"/>
      <c r="W133" s="103">
        <v>3372</v>
      </c>
      <c r="X133" s="103"/>
      <c r="Y133" s="103">
        <v>11995</v>
      </c>
      <c r="Z133" s="104"/>
      <c r="AA133" s="104"/>
      <c r="AB133" s="104">
        <v>440884</v>
      </c>
      <c r="AC133" s="104"/>
      <c r="AD133" s="104"/>
      <c r="AE133" s="104"/>
      <c r="AF133" s="104"/>
      <c r="AG133" s="104"/>
      <c r="AH133" s="104"/>
      <c r="AI133" s="104"/>
      <c r="AJ133" s="104"/>
      <c r="AK133" s="108">
        <f t="shared" si="2"/>
        <v>2405622</v>
      </c>
      <c r="AN133" s="42">
        <v>606605</v>
      </c>
    </row>
    <row r="134" spans="1:41">
      <c r="A134" s="97" t="s">
        <v>2168</v>
      </c>
      <c r="B134" s="97">
        <f t="shared" si="3"/>
        <v>294</v>
      </c>
      <c r="C134" s="97" t="s">
        <v>1764</v>
      </c>
      <c r="D134" s="98"/>
      <c r="E134" s="99">
        <v>1538943.7982042253</v>
      </c>
      <c r="F134" s="98"/>
      <c r="G134" s="98"/>
      <c r="H134" s="100"/>
      <c r="I134" s="100"/>
      <c r="J134" s="101">
        <v>1741358.201795775</v>
      </c>
      <c r="K134" s="100"/>
      <c r="L134" s="100"/>
      <c r="M134" s="100"/>
      <c r="N134" s="100"/>
      <c r="O134" s="100"/>
      <c r="P134" s="102"/>
      <c r="Q134" s="102"/>
      <c r="R134" s="102"/>
      <c r="S134" s="103"/>
      <c r="T134" s="103">
        <v>530107</v>
      </c>
      <c r="U134" s="103">
        <v>18558</v>
      </c>
      <c r="V134" s="103"/>
      <c r="W134" s="103"/>
      <c r="X134" s="103"/>
      <c r="Y134" s="103"/>
      <c r="Z134" s="104"/>
      <c r="AA134" s="104"/>
      <c r="AB134" s="104"/>
      <c r="AC134" s="104"/>
      <c r="AD134" s="104"/>
      <c r="AE134" s="104"/>
      <c r="AF134" s="104"/>
      <c r="AG134" s="120"/>
      <c r="AH134" s="104"/>
      <c r="AI134" s="104">
        <v>321822</v>
      </c>
      <c r="AJ134" s="104"/>
      <c r="AK134" s="108">
        <f t="shared" si="2"/>
        <v>4150789</v>
      </c>
    </row>
    <row r="135" spans="1:41">
      <c r="A135" s="97" t="s">
        <v>2169</v>
      </c>
      <c r="B135" s="97">
        <f t="shared" si="3"/>
        <v>382</v>
      </c>
      <c r="C135" s="97" t="s">
        <v>1764</v>
      </c>
      <c r="D135" s="98"/>
      <c r="E135" s="99">
        <v>1803267.3093253467</v>
      </c>
      <c r="F135" s="98"/>
      <c r="G135" s="98"/>
      <c r="H135" s="100"/>
      <c r="I135" s="100"/>
      <c r="J135" s="101">
        <v>2040447.6906746535</v>
      </c>
      <c r="K135" s="100"/>
      <c r="L135" s="100"/>
      <c r="M135" s="100"/>
      <c r="N135" s="100"/>
      <c r="O135" s="100"/>
      <c r="P135" s="102">
        <v>332895</v>
      </c>
      <c r="Q135" s="102"/>
      <c r="R135" s="102"/>
      <c r="S135" s="103"/>
      <c r="T135" s="103">
        <v>198875</v>
      </c>
      <c r="U135" s="103">
        <v>7210</v>
      </c>
      <c r="V135" s="103"/>
      <c r="W135" s="103">
        <v>31946</v>
      </c>
      <c r="X135" s="103"/>
      <c r="Y135" s="103"/>
      <c r="Z135" s="104"/>
      <c r="AA135" s="104">
        <v>68739</v>
      </c>
      <c r="AB135" s="104"/>
      <c r="AC135" s="104"/>
      <c r="AD135" s="104"/>
      <c r="AE135" s="104"/>
      <c r="AF135" s="104"/>
      <c r="AG135" s="104"/>
      <c r="AH135" s="104"/>
      <c r="AI135" s="104"/>
      <c r="AJ135" s="104"/>
      <c r="AK135" s="108">
        <f t="shared" si="2"/>
        <v>4483380</v>
      </c>
    </row>
    <row r="136" spans="1:41">
      <c r="A136" s="97" t="s">
        <v>2171</v>
      </c>
      <c r="B136" s="97">
        <f t="shared" si="3"/>
        <v>218</v>
      </c>
      <c r="C136" s="97" t="s">
        <v>1764</v>
      </c>
      <c r="D136" s="98"/>
      <c r="E136" s="99">
        <v>1792019.0411763333</v>
      </c>
      <c r="F136" s="98"/>
      <c r="G136" s="98"/>
      <c r="H136" s="100"/>
      <c r="I136" s="100"/>
      <c r="J136" s="101">
        <v>2027719.9588236667</v>
      </c>
      <c r="K136" s="100"/>
      <c r="L136" s="100"/>
      <c r="M136" s="100"/>
      <c r="N136" s="100"/>
      <c r="O136" s="100"/>
      <c r="P136" s="102"/>
      <c r="Q136" s="102"/>
      <c r="R136" s="102"/>
      <c r="S136" s="103"/>
      <c r="T136" s="103">
        <v>702032</v>
      </c>
      <c r="U136" s="103">
        <v>56957</v>
      </c>
      <c r="V136" s="103"/>
      <c r="W136" s="103"/>
      <c r="X136" s="103"/>
      <c r="Y136" s="103"/>
      <c r="Z136" s="104"/>
      <c r="AA136" s="104"/>
      <c r="AB136" s="104">
        <v>390745</v>
      </c>
      <c r="AC136" s="104"/>
      <c r="AD136" s="104"/>
      <c r="AE136" s="104"/>
      <c r="AF136" s="104"/>
      <c r="AG136" s="104"/>
      <c r="AH136" s="104"/>
      <c r="AI136" s="104"/>
      <c r="AJ136" s="104"/>
      <c r="AK136" s="108">
        <f t="shared" si="2"/>
        <v>4969473</v>
      </c>
    </row>
    <row r="137" spans="1:41">
      <c r="A137" s="97" t="s">
        <v>2173</v>
      </c>
      <c r="B137" s="97">
        <f t="shared" si="3"/>
        <v>136</v>
      </c>
      <c r="C137" s="97" t="s">
        <v>1764</v>
      </c>
      <c r="D137" s="98"/>
      <c r="E137" s="99">
        <v>654206.70683487796</v>
      </c>
      <c r="F137" s="98"/>
      <c r="G137" s="98"/>
      <c r="H137" s="100"/>
      <c r="I137" s="100"/>
      <c r="J137" s="101">
        <v>740253.29316512204</v>
      </c>
      <c r="K137" s="100"/>
      <c r="L137" s="100"/>
      <c r="M137" s="100"/>
      <c r="N137" s="100"/>
      <c r="O137" s="100"/>
      <c r="P137" s="102">
        <v>164594</v>
      </c>
      <c r="Q137" s="102"/>
      <c r="R137" s="102"/>
      <c r="S137" s="103"/>
      <c r="T137" s="103">
        <v>200140</v>
      </c>
      <c r="U137" s="103">
        <v>46019</v>
      </c>
      <c r="V137" s="103"/>
      <c r="W137" s="103">
        <v>10813</v>
      </c>
      <c r="X137" s="103"/>
      <c r="Y137" s="103"/>
      <c r="Z137" s="104"/>
      <c r="AA137" s="104"/>
      <c r="AB137" s="104"/>
      <c r="AC137" s="104"/>
      <c r="AD137" s="104"/>
      <c r="AE137" s="104"/>
      <c r="AF137" s="104" t="s">
        <v>368</v>
      </c>
      <c r="AG137" s="104"/>
      <c r="AH137" s="104"/>
      <c r="AI137" s="104">
        <v>39838</v>
      </c>
      <c r="AJ137" s="104"/>
      <c r="AK137" s="108">
        <f t="shared" si="2"/>
        <v>1855864</v>
      </c>
      <c r="AN137" s="42">
        <v>77407</v>
      </c>
    </row>
    <row r="138" spans="1:41">
      <c r="A138" s="97" t="s">
        <v>2175</v>
      </c>
      <c r="B138" s="97">
        <f t="shared" si="3"/>
        <v>283</v>
      </c>
      <c r="C138" s="97" t="s">
        <v>1764</v>
      </c>
      <c r="D138" s="98"/>
      <c r="E138" s="99">
        <v>1343658.5501797148</v>
      </c>
      <c r="F138" s="98"/>
      <c r="G138" s="98"/>
      <c r="H138" s="100"/>
      <c r="I138" s="100"/>
      <c r="J138" s="101">
        <v>1520387.4498202854</v>
      </c>
      <c r="K138" s="100"/>
      <c r="L138" s="100"/>
      <c r="M138" s="100"/>
      <c r="N138" s="100"/>
      <c r="O138" s="100"/>
      <c r="P138" s="102"/>
      <c r="Q138" s="102"/>
      <c r="R138" s="102"/>
      <c r="S138" s="103"/>
      <c r="T138" s="103"/>
      <c r="U138" s="103">
        <v>11025</v>
      </c>
      <c r="V138" s="103"/>
      <c r="W138" s="103">
        <v>11263</v>
      </c>
      <c r="X138" s="103"/>
      <c r="Y138" s="103">
        <v>118434</v>
      </c>
      <c r="Z138" s="104"/>
      <c r="AA138" s="104"/>
      <c r="AB138" s="104">
        <v>374621</v>
      </c>
      <c r="AC138" s="104"/>
      <c r="AD138" s="104"/>
      <c r="AE138" s="104"/>
      <c r="AF138" s="104"/>
      <c r="AG138" s="104"/>
      <c r="AH138" s="104"/>
      <c r="AI138" s="104"/>
      <c r="AJ138" s="104"/>
      <c r="AK138" s="108">
        <f t="shared" si="2"/>
        <v>3379389</v>
      </c>
      <c r="AN138" s="36"/>
      <c r="AO138" s="36">
        <v>-9016</v>
      </c>
    </row>
    <row r="139" spans="1:41">
      <c r="A139" s="97" t="s">
        <v>2176</v>
      </c>
      <c r="B139" s="97">
        <f t="shared" si="3"/>
        <v>131</v>
      </c>
      <c r="C139" s="97" t="s">
        <v>1764</v>
      </c>
      <c r="D139" s="98"/>
      <c r="E139" s="99">
        <v>692850.81326223747</v>
      </c>
      <c r="F139" s="98"/>
      <c r="G139" s="98"/>
      <c r="H139" s="100"/>
      <c r="I139" s="100"/>
      <c r="J139" s="101">
        <v>783980.18673776265</v>
      </c>
      <c r="K139" s="100"/>
      <c r="L139" s="100"/>
      <c r="M139" s="100"/>
      <c r="N139" s="100"/>
      <c r="O139" s="100"/>
      <c r="P139" s="102">
        <v>228010</v>
      </c>
      <c r="Q139" s="102"/>
      <c r="R139" s="102"/>
      <c r="S139" s="103"/>
      <c r="T139" s="103">
        <v>413946</v>
      </c>
      <c r="U139" s="103"/>
      <c r="V139" s="103"/>
      <c r="W139" s="103">
        <v>12581</v>
      </c>
      <c r="X139" s="103"/>
      <c r="Y139" s="103"/>
      <c r="Z139" s="104"/>
      <c r="AA139" s="104"/>
      <c r="AB139" s="104"/>
      <c r="AC139" s="104"/>
      <c r="AD139" s="104"/>
      <c r="AE139" s="104"/>
      <c r="AF139" s="104" t="s">
        <v>369</v>
      </c>
      <c r="AG139" s="104"/>
      <c r="AH139" s="104"/>
      <c r="AI139" s="104">
        <v>404079</v>
      </c>
      <c r="AJ139" s="104"/>
      <c r="AK139" s="108">
        <f t="shared" si="2"/>
        <v>2535447</v>
      </c>
      <c r="AO139" s="42">
        <v>-122043</v>
      </c>
    </row>
    <row r="140" spans="1:41">
      <c r="A140" s="97" t="s">
        <v>2177</v>
      </c>
      <c r="B140" s="97">
        <f t="shared" si="3"/>
        <v>108</v>
      </c>
      <c r="C140" s="97" t="s">
        <v>1764</v>
      </c>
      <c r="D140" s="98"/>
      <c r="E140" s="99">
        <v>497223.08793756098</v>
      </c>
      <c r="F140" s="98"/>
      <c r="G140" s="98"/>
      <c r="H140" s="100"/>
      <c r="I140" s="100"/>
      <c r="J140" s="101">
        <v>562621.91206243914</v>
      </c>
      <c r="K140" s="100"/>
      <c r="L140" s="100"/>
      <c r="M140" s="100"/>
      <c r="N140" s="100"/>
      <c r="O140" s="100"/>
      <c r="P140" s="102"/>
      <c r="Q140" s="102"/>
      <c r="R140" s="102"/>
      <c r="S140" s="103"/>
      <c r="T140" s="103">
        <v>290500</v>
      </c>
      <c r="U140" s="103">
        <v>22196</v>
      </c>
      <c r="V140" s="103"/>
      <c r="W140" s="103"/>
      <c r="X140" s="103"/>
      <c r="Y140" s="103"/>
      <c r="Z140" s="104"/>
      <c r="AA140" s="104"/>
      <c r="AB140" s="104">
        <v>363937</v>
      </c>
      <c r="AC140" s="104"/>
      <c r="AD140" s="104"/>
      <c r="AE140" s="104"/>
      <c r="AF140" s="104"/>
      <c r="AG140" s="104"/>
      <c r="AH140" s="104"/>
      <c r="AI140" s="104"/>
      <c r="AJ140" s="104"/>
      <c r="AK140" s="108">
        <f t="shared" si="2"/>
        <v>1736478</v>
      </c>
    </row>
    <row r="141" spans="1:41">
      <c r="A141" s="97" t="s">
        <v>2183</v>
      </c>
      <c r="B141" s="97">
        <f t="shared" si="3"/>
        <v>173</v>
      </c>
      <c r="C141" s="97" t="s">
        <v>1764</v>
      </c>
      <c r="D141" s="98"/>
      <c r="E141" s="99">
        <v>810528.35933420295</v>
      </c>
      <c r="F141" s="98">
        <v>14076</v>
      </c>
      <c r="G141" s="98"/>
      <c r="H141" s="100"/>
      <c r="I141" s="100"/>
      <c r="J141" s="101">
        <v>917135.64066579717</v>
      </c>
      <c r="K141" s="100"/>
      <c r="L141" s="100"/>
      <c r="M141" s="100">
        <v>200000</v>
      </c>
      <c r="N141" s="100"/>
      <c r="O141" s="100"/>
      <c r="P141" s="102">
        <v>137404</v>
      </c>
      <c r="Q141" s="102"/>
      <c r="R141" s="102"/>
      <c r="S141" s="103"/>
      <c r="T141" s="103">
        <v>989184</v>
      </c>
      <c r="U141" s="103">
        <v>5847</v>
      </c>
      <c r="V141" s="103"/>
      <c r="W141" s="103"/>
      <c r="X141" s="103"/>
      <c r="Y141" s="103"/>
      <c r="Z141" s="104"/>
      <c r="AA141" s="104"/>
      <c r="AB141" s="104"/>
      <c r="AC141" s="104"/>
      <c r="AD141" s="104"/>
      <c r="AE141" s="104"/>
      <c r="AF141" s="104"/>
      <c r="AG141" s="120"/>
      <c r="AH141" s="104"/>
      <c r="AI141" s="104"/>
      <c r="AJ141" s="104"/>
      <c r="AK141" s="108">
        <f t="shared" si="2"/>
        <v>3074175</v>
      </c>
    </row>
    <row r="142" spans="1:41">
      <c r="A142" s="97" t="s">
        <v>2186</v>
      </c>
      <c r="B142" s="97">
        <f t="shared" si="3"/>
        <v>192</v>
      </c>
      <c r="C142" s="97" t="s">
        <v>1764</v>
      </c>
      <c r="D142" s="98"/>
      <c r="E142" s="99">
        <v>1016467.9354227814</v>
      </c>
      <c r="F142" s="98"/>
      <c r="G142" s="98"/>
      <c r="H142" s="100"/>
      <c r="I142" s="100"/>
      <c r="J142" s="101">
        <v>1150162.0645772188</v>
      </c>
      <c r="K142" s="100"/>
      <c r="L142" s="100"/>
      <c r="M142" s="100"/>
      <c r="N142" s="100"/>
      <c r="O142" s="100"/>
      <c r="P142" s="102">
        <v>258026</v>
      </c>
      <c r="Q142" s="102"/>
      <c r="R142" s="102"/>
      <c r="S142" s="103"/>
      <c r="T142" s="103">
        <v>77275</v>
      </c>
      <c r="U142" s="103"/>
      <c r="V142" s="103"/>
      <c r="W142" s="103">
        <v>10066</v>
      </c>
      <c r="X142" s="103"/>
      <c r="Y142" s="103"/>
      <c r="Z142" s="104"/>
      <c r="AA142" s="104"/>
      <c r="AB142" s="104"/>
      <c r="AC142" s="104"/>
      <c r="AD142" s="104"/>
      <c r="AE142" s="104"/>
      <c r="AF142" s="104"/>
      <c r="AG142" s="104"/>
      <c r="AH142" s="104"/>
      <c r="AI142" s="104">
        <v>531238</v>
      </c>
      <c r="AJ142" s="104"/>
      <c r="AK142" s="108">
        <f t="shared" si="2"/>
        <v>3043235</v>
      </c>
    </row>
    <row r="143" spans="1:41">
      <c r="A143" s="97" t="s">
        <v>1739</v>
      </c>
      <c r="B143" s="97">
        <f t="shared" si="3"/>
        <v>16</v>
      </c>
      <c r="C143" s="97" t="s">
        <v>1764</v>
      </c>
      <c r="D143" s="98"/>
      <c r="E143" s="99">
        <v>504201.64936217607</v>
      </c>
      <c r="F143" s="98"/>
      <c r="G143" s="98"/>
      <c r="H143" s="100"/>
      <c r="I143" s="100"/>
      <c r="J143" s="101">
        <v>570518.35063782393</v>
      </c>
      <c r="K143" s="100"/>
      <c r="L143" s="100"/>
      <c r="M143" s="100"/>
      <c r="N143" s="100"/>
      <c r="O143" s="100"/>
      <c r="P143" s="102"/>
      <c r="Q143" s="102"/>
      <c r="R143" s="102"/>
      <c r="S143" s="103"/>
      <c r="T143" s="103">
        <v>120910</v>
      </c>
      <c r="U143" s="103">
        <v>9311</v>
      </c>
      <c r="V143" s="103"/>
      <c r="W143" s="103"/>
      <c r="X143" s="103"/>
      <c r="Y143" s="103"/>
      <c r="Z143" s="104"/>
      <c r="AA143" s="104"/>
      <c r="AB143" s="104"/>
      <c r="AC143" s="104"/>
      <c r="AD143" s="104"/>
      <c r="AE143" s="104"/>
      <c r="AF143" s="104"/>
      <c r="AG143" s="104"/>
      <c r="AH143" s="104"/>
      <c r="AI143" s="104">
        <v>281567</v>
      </c>
      <c r="AJ143" s="104"/>
      <c r="AK143" s="108">
        <f t="shared" si="2"/>
        <v>1486508</v>
      </c>
    </row>
    <row r="144" spans="1:41">
      <c r="A144" s="97" t="s">
        <v>2190</v>
      </c>
      <c r="B144" s="97">
        <f t="shared" si="3"/>
        <v>355</v>
      </c>
      <c r="C144" s="97" t="s">
        <v>1764</v>
      </c>
      <c r="D144" s="98"/>
      <c r="E144" s="99">
        <v>1709551.8503393596</v>
      </c>
      <c r="F144" s="98"/>
      <c r="G144" s="98"/>
      <c r="H144" s="100"/>
      <c r="I144" s="100"/>
      <c r="J144" s="101">
        <v>1927860.1496606409</v>
      </c>
      <c r="K144" s="100"/>
      <c r="L144" s="100"/>
      <c r="M144" s="100"/>
      <c r="N144" s="100"/>
      <c r="O144" s="100"/>
      <c r="P144" s="102"/>
      <c r="Q144" s="102"/>
      <c r="R144" s="102"/>
      <c r="S144" s="103"/>
      <c r="T144" s="103">
        <v>473089</v>
      </c>
      <c r="U144" s="103">
        <v>20128</v>
      </c>
      <c r="V144" s="103">
        <v>31000</v>
      </c>
      <c r="W144" s="103">
        <v>20127</v>
      </c>
      <c r="X144" s="103"/>
      <c r="Y144" s="103"/>
      <c r="Z144" s="104"/>
      <c r="AA144" s="104"/>
      <c r="AB144" s="104">
        <v>536212</v>
      </c>
      <c r="AC144" s="104"/>
      <c r="AD144" s="104"/>
      <c r="AE144" s="104"/>
      <c r="AF144" s="104"/>
      <c r="AG144" s="104"/>
      <c r="AH144" s="104"/>
      <c r="AI144" s="104"/>
      <c r="AJ144" s="104"/>
      <c r="AK144" s="108">
        <f t="shared" si="2"/>
        <v>4717968</v>
      </c>
      <c r="AN144" s="42">
        <v>106934</v>
      </c>
    </row>
    <row r="145" spans="1:41">
      <c r="A145" s="97" t="s">
        <v>2193</v>
      </c>
      <c r="B145" s="97">
        <f t="shared" si="3"/>
        <v>465</v>
      </c>
      <c r="C145" s="97" t="s">
        <v>1764</v>
      </c>
      <c r="D145" s="98"/>
      <c r="E145" s="99">
        <v>2234761.4970092704</v>
      </c>
      <c r="F145" s="98"/>
      <c r="G145" s="98"/>
      <c r="H145" s="100"/>
      <c r="I145" s="100"/>
      <c r="J145" s="101">
        <v>2528695.5029907296</v>
      </c>
      <c r="K145" s="100"/>
      <c r="L145" s="100"/>
      <c r="M145" s="100"/>
      <c r="N145" s="100"/>
      <c r="O145" s="100"/>
      <c r="P145" s="102"/>
      <c r="Q145" s="102"/>
      <c r="R145" s="102"/>
      <c r="S145" s="103"/>
      <c r="T145" s="103">
        <v>233643</v>
      </c>
      <c r="U145" s="103">
        <v>19055</v>
      </c>
      <c r="V145" s="103">
        <v>7075</v>
      </c>
      <c r="W145" s="103"/>
      <c r="X145" s="103"/>
      <c r="Y145" s="103"/>
      <c r="Z145" s="104"/>
      <c r="AA145" s="104"/>
      <c r="AB145" s="104">
        <v>281579</v>
      </c>
      <c r="AC145" s="104"/>
      <c r="AD145" s="104"/>
      <c r="AE145" s="104"/>
      <c r="AF145" s="104"/>
      <c r="AG145" s="104"/>
      <c r="AH145" s="104"/>
      <c r="AI145" s="104"/>
      <c r="AJ145" s="104"/>
      <c r="AK145" s="108">
        <f t="shared" si="2"/>
        <v>5304809</v>
      </c>
    </row>
    <row r="146" spans="1:41">
      <c r="A146" s="97" t="s">
        <v>2194</v>
      </c>
      <c r="B146" s="97">
        <f t="shared" si="3"/>
        <v>182</v>
      </c>
      <c r="C146" s="97" t="s">
        <v>1764</v>
      </c>
      <c r="D146" s="98"/>
      <c r="E146" s="99">
        <v>859294.31199592014</v>
      </c>
      <c r="F146" s="98"/>
      <c r="G146" s="98"/>
      <c r="H146" s="100"/>
      <c r="I146" s="100"/>
      <c r="J146" s="101">
        <v>972315.68800407997</v>
      </c>
      <c r="K146" s="100"/>
      <c r="L146" s="100"/>
      <c r="M146" s="100"/>
      <c r="N146" s="100"/>
      <c r="O146" s="100"/>
      <c r="P146" s="102"/>
      <c r="Q146" s="102"/>
      <c r="R146" s="102"/>
      <c r="S146" s="103"/>
      <c r="T146" s="103"/>
      <c r="U146" s="103">
        <v>17823</v>
      </c>
      <c r="V146" s="103"/>
      <c r="W146" s="103"/>
      <c r="X146" s="103"/>
      <c r="Y146" s="103"/>
      <c r="Z146" s="104"/>
      <c r="AA146" s="104"/>
      <c r="AB146" s="104"/>
      <c r="AC146" s="104"/>
      <c r="AD146" s="104"/>
      <c r="AE146" s="104"/>
      <c r="AF146" s="104"/>
      <c r="AG146" s="104"/>
      <c r="AH146" s="104"/>
      <c r="AI146" s="104">
        <v>9688</v>
      </c>
      <c r="AJ146" s="104"/>
      <c r="AK146" s="108">
        <f t="shared" si="2"/>
        <v>1859121</v>
      </c>
    </row>
    <row r="147" spans="1:41">
      <c r="A147" s="97" t="s">
        <v>2195</v>
      </c>
      <c r="B147" s="97">
        <f t="shared" si="3"/>
        <v>192</v>
      </c>
      <c r="C147" s="97" t="s">
        <v>1764</v>
      </c>
      <c r="D147" s="98"/>
      <c r="E147" s="99">
        <v>942625.60718411603</v>
      </c>
      <c r="F147" s="98"/>
      <c r="G147" s="98"/>
      <c r="H147" s="100"/>
      <c r="I147" s="100"/>
      <c r="J147" s="101">
        <v>1066607.3928158842</v>
      </c>
      <c r="K147" s="100"/>
      <c r="L147" s="100"/>
      <c r="M147" s="100"/>
      <c r="N147" s="100"/>
      <c r="O147" s="100"/>
      <c r="P147" s="102"/>
      <c r="Q147" s="102"/>
      <c r="R147" s="102"/>
      <c r="S147" s="103"/>
      <c r="T147" s="103">
        <v>294174</v>
      </c>
      <c r="U147" s="103">
        <v>29488</v>
      </c>
      <c r="V147" s="103"/>
      <c r="W147" s="103"/>
      <c r="X147" s="103"/>
      <c r="Y147" s="103"/>
      <c r="Z147" s="104"/>
      <c r="AA147" s="104"/>
      <c r="AB147" s="104">
        <v>373297</v>
      </c>
      <c r="AC147" s="104"/>
      <c r="AD147" s="104"/>
      <c r="AE147" s="104"/>
      <c r="AF147" s="104"/>
      <c r="AG147" s="104"/>
      <c r="AH147" s="104"/>
      <c r="AI147" s="104"/>
      <c r="AJ147" s="104"/>
      <c r="AK147" s="108">
        <f t="shared" si="2"/>
        <v>2706192</v>
      </c>
    </row>
    <row r="148" spans="1:41">
      <c r="A148" s="97" t="s">
        <v>2197</v>
      </c>
      <c r="B148" s="97">
        <f t="shared" si="3"/>
        <v>84</v>
      </c>
      <c r="C148" s="97" t="s">
        <v>1764</v>
      </c>
      <c r="D148" s="98"/>
      <c r="E148" s="99">
        <v>439226.66831589059</v>
      </c>
      <c r="F148" s="98"/>
      <c r="G148" s="98"/>
      <c r="H148" s="100"/>
      <c r="I148" s="100"/>
      <c r="J148" s="101">
        <v>496997.33168410946</v>
      </c>
      <c r="K148" s="100"/>
      <c r="L148" s="100"/>
      <c r="M148" s="100"/>
      <c r="N148" s="100"/>
      <c r="O148" s="100"/>
      <c r="P148" s="102"/>
      <c r="Q148" s="102"/>
      <c r="R148" s="102"/>
      <c r="S148" s="103"/>
      <c r="T148" s="103">
        <v>253525</v>
      </c>
      <c r="U148" s="103">
        <v>167</v>
      </c>
      <c r="V148" s="103"/>
      <c r="W148" s="103"/>
      <c r="X148" s="103"/>
      <c r="Y148" s="103"/>
      <c r="Z148" s="104"/>
      <c r="AA148" s="104"/>
      <c r="AB148" s="104">
        <v>372044</v>
      </c>
      <c r="AC148" s="104"/>
      <c r="AD148" s="104"/>
      <c r="AE148" s="104"/>
      <c r="AF148" s="104"/>
      <c r="AG148" s="104"/>
      <c r="AH148" s="104"/>
      <c r="AI148" s="104"/>
      <c r="AJ148" s="104"/>
      <c r="AK148" s="108">
        <f t="shared" si="2"/>
        <v>1561960</v>
      </c>
    </row>
    <row r="149" spans="1:41">
      <c r="A149" s="97" t="s">
        <v>2102</v>
      </c>
      <c r="B149" s="97">
        <f t="shared" si="3"/>
        <v>133</v>
      </c>
      <c r="C149" s="97" t="s">
        <v>1764</v>
      </c>
      <c r="D149" s="98"/>
      <c r="E149" s="99">
        <v>677653.73492761177</v>
      </c>
      <c r="F149" s="98"/>
      <c r="G149" s="98"/>
      <c r="H149" s="100"/>
      <c r="I149" s="100"/>
      <c r="J149" s="101">
        <v>766784.26507238834</v>
      </c>
      <c r="K149" s="100"/>
      <c r="L149" s="100"/>
      <c r="M149" s="100"/>
      <c r="N149" s="100"/>
      <c r="O149" s="100"/>
      <c r="P149" s="102"/>
      <c r="Q149" s="102"/>
      <c r="R149" s="102"/>
      <c r="S149" s="103"/>
      <c r="T149" s="103"/>
      <c r="U149" s="103"/>
      <c r="V149" s="103"/>
      <c r="W149" s="103"/>
      <c r="X149" s="103"/>
      <c r="Y149" s="103"/>
      <c r="Z149" s="104"/>
      <c r="AA149" s="104"/>
      <c r="AB149" s="104"/>
      <c r="AC149" s="104"/>
      <c r="AD149" s="104"/>
      <c r="AE149" s="104"/>
      <c r="AF149" s="104"/>
      <c r="AG149" s="104"/>
      <c r="AH149" s="104"/>
      <c r="AI149" s="104"/>
      <c r="AJ149" s="104">
        <v>162644</v>
      </c>
      <c r="AK149" s="108">
        <f t="shared" si="2"/>
        <v>1607082</v>
      </c>
    </row>
    <row r="150" spans="1:41">
      <c r="A150" s="97" t="s">
        <v>2199</v>
      </c>
      <c r="B150" s="97">
        <f t="shared" si="3"/>
        <v>264</v>
      </c>
      <c r="C150" s="97" t="s">
        <v>1764</v>
      </c>
      <c r="D150" s="98"/>
      <c r="E150" s="99">
        <v>1175167.2248498341</v>
      </c>
      <c r="F150" s="98"/>
      <c r="G150" s="98"/>
      <c r="H150" s="100"/>
      <c r="I150" s="100"/>
      <c r="J150" s="101">
        <v>1329734.7751501661</v>
      </c>
      <c r="K150" s="100"/>
      <c r="L150" s="100"/>
      <c r="M150" s="100"/>
      <c r="N150" s="100"/>
      <c r="O150" s="100"/>
      <c r="P150" s="102"/>
      <c r="Q150" s="102"/>
      <c r="R150" s="102"/>
      <c r="S150" s="103"/>
      <c r="T150" s="103">
        <v>1423179</v>
      </c>
      <c r="U150" s="103">
        <v>91954</v>
      </c>
      <c r="V150" s="103"/>
      <c r="W150" s="103"/>
      <c r="X150" s="103"/>
      <c r="Y150" s="103"/>
      <c r="Z150" s="104"/>
      <c r="AA150" s="104"/>
      <c r="AB150" s="104">
        <v>368279</v>
      </c>
      <c r="AC150" s="104"/>
      <c r="AD150" s="104"/>
      <c r="AE150" s="104"/>
      <c r="AF150" s="104"/>
      <c r="AG150" s="104"/>
      <c r="AH150" s="104"/>
      <c r="AI150" s="104"/>
      <c r="AJ150" s="104"/>
      <c r="AK150" s="108">
        <f t="shared" si="2"/>
        <v>4388314</v>
      </c>
    </row>
    <row r="151" spans="1:41">
      <c r="A151" s="97" t="s">
        <v>2200</v>
      </c>
      <c r="B151" s="97">
        <f t="shared" si="3"/>
        <v>162</v>
      </c>
      <c r="C151" s="97" t="s">
        <v>1764</v>
      </c>
      <c r="D151" s="98"/>
      <c r="E151" s="110">
        <v>783013.82686826494</v>
      </c>
      <c r="F151" s="98"/>
      <c r="G151" s="98"/>
      <c r="H151" s="100">
        <v>152922</v>
      </c>
      <c r="I151" s="100"/>
      <c r="J151" s="111">
        <v>886002.17313173518</v>
      </c>
      <c r="K151" s="100">
        <v>61288</v>
      </c>
      <c r="L151" s="100"/>
      <c r="M151" s="100"/>
      <c r="N151" s="100"/>
      <c r="O151" s="100"/>
      <c r="P151" s="102">
        <v>332698</v>
      </c>
      <c r="Q151" s="102"/>
      <c r="R151" s="102"/>
      <c r="S151" s="103"/>
      <c r="T151" s="103">
        <v>142526</v>
      </c>
      <c r="U151" s="103"/>
      <c r="V151" s="103"/>
      <c r="W151" s="103"/>
      <c r="X151" s="103"/>
      <c r="Y151" s="103"/>
      <c r="Z151" s="104"/>
      <c r="AA151" s="104"/>
      <c r="AB151" s="104"/>
      <c r="AC151" s="104"/>
      <c r="AD151" s="104"/>
      <c r="AE151" s="104"/>
      <c r="AF151" s="104"/>
      <c r="AG151" s="104"/>
      <c r="AH151" s="104"/>
      <c r="AI151" s="104"/>
      <c r="AJ151" s="104"/>
      <c r="AK151" s="108">
        <f t="shared" si="2"/>
        <v>2358450</v>
      </c>
    </row>
    <row r="152" spans="1:41">
      <c r="A152" s="97" t="s">
        <v>2201</v>
      </c>
      <c r="B152" s="97">
        <f t="shared" si="3"/>
        <v>156</v>
      </c>
      <c r="C152" s="97" t="s">
        <v>1764</v>
      </c>
      <c r="D152" s="98"/>
      <c r="E152" s="99">
        <v>719177.93470527127</v>
      </c>
      <c r="F152" s="98"/>
      <c r="G152" s="98"/>
      <c r="H152" s="100"/>
      <c r="I152" s="100"/>
      <c r="J152" s="101">
        <v>813770.06529472885</v>
      </c>
      <c r="K152" s="100"/>
      <c r="L152" s="100"/>
      <c r="M152" s="100"/>
      <c r="N152" s="100"/>
      <c r="O152" s="100"/>
      <c r="P152" s="102">
        <v>235602</v>
      </c>
      <c r="Q152" s="102"/>
      <c r="R152" s="102"/>
      <c r="S152" s="103"/>
      <c r="T152" s="103">
        <v>1319156</v>
      </c>
      <c r="U152" s="103"/>
      <c r="V152" s="103"/>
      <c r="W152" s="103">
        <v>653</v>
      </c>
      <c r="X152" s="103"/>
      <c r="Y152" s="103"/>
      <c r="Z152" s="104"/>
      <c r="AA152" s="104"/>
      <c r="AB152" s="104"/>
      <c r="AC152" s="104"/>
      <c r="AD152" s="104"/>
      <c r="AE152" s="104"/>
      <c r="AF152" s="104"/>
      <c r="AG152" s="104"/>
      <c r="AH152" s="104"/>
      <c r="AI152" s="104">
        <v>173863</v>
      </c>
      <c r="AJ152" s="104"/>
      <c r="AK152" s="108">
        <f t="shared" si="2"/>
        <v>3262222</v>
      </c>
      <c r="AN152" s="42">
        <v>25000</v>
      </c>
    </row>
    <row r="153" spans="1:41">
      <c r="A153" s="97" t="s">
        <v>2202</v>
      </c>
      <c r="B153" s="97">
        <f t="shared" si="3"/>
        <v>200</v>
      </c>
      <c r="C153" s="97" t="s">
        <v>1764</v>
      </c>
      <c r="D153" s="98"/>
      <c r="E153" s="99">
        <v>981709.30433785298</v>
      </c>
      <c r="F153" s="98"/>
      <c r="G153" s="98"/>
      <c r="H153" s="100"/>
      <c r="I153" s="100"/>
      <c r="J153" s="101">
        <v>1110831.6956621471</v>
      </c>
      <c r="K153" s="100"/>
      <c r="L153" s="100"/>
      <c r="M153" s="100"/>
      <c r="N153" s="100"/>
      <c r="O153" s="100"/>
      <c r="P153" s="102">
        <v>106306</v>
      </c>
      <c r="Q153" s="102"/>
      <c r="R153" s="102"/>
      <c r="S153" s="103"/>
      <c r="T153" s="103"/>
      <c r="U153" s="103"/>
      <c r="V153" s="103"/>
      <c r="W153" s="103">
        <v>2201</v>
      </c>
      <c r="X153" s="103"/>
      <c r="Y153" s="103"/>
      <c r="Z153" s="104"/>
      <c r="AA153" s="104"/>
      <c r="AB153" s="104"/>
      <c r="AC153" s="104"/>
      <c r="AD153" s="104"/>
      <c r="AE153" s="104"/>
      <c r="AF153" s="104"/>
      <c r="AG153" s="104"/>
      <c r="AH153" s="104"/>
      <c r="AI153" s="104">
        <v>23032</v>
      </c>
      <c r="AJ153" s="104"/>
      <c r="AK153" s="108">
        <f t="shared" si="2"/>
        <v>2224080</v>
      </c>
    </row>
    <row r="154" spans="1:41">
      <c r="A154" s="97" t="s">
        <v>2205</v>
      </c>
      <c r="B154" s="97">
        <f t="shared" si="3"/>
        <v>360</v>
      </c>
      <c r="C154" s="97" t="s">
        <v>1764</v>
      </c>
      <c r="D154" s="98"/>
      <c r="E154" s="99">
        <v>1657743.0747209808</v>
      </c>
      <c r="F154" s="98"/>
      <c r="G154" s="98"/>
      <c r="H154" s="100"/>
      <c r="I154" s="100"/>
      <c r="J154" s="101">
        <v>1875782.9252790192</v>
      </c>
      <c r="K154" s="100"/>
      <c r="L154" s="100"/>
      <c r="M154" s="100"/>
      <c r="N154" s="100"/>
      <c r="O154" s="100"/>
      <c r="P154" s="102"/>
      <c r="Q154" s="102"/>
      <c r="R154" s="102"/>
      <c r="S154" s="103"/>
      <c r="T154" s="103">
        <v>206013</v>
      </c>
      <c r="U154" s="103">
        <v>86734</v>
      </c>
      <c r="V154" s="103"/>
      <c r="W154" s="103">
        <v>314</v>
      </c>
      <c r="X154" s="103"/>
      <c r="Y154" s="103"/>
      <c r="Z154" s="104"/>
      <c r="AA154" s="104"/>
      <c r="AB154" s="104">
        <v>506798</v>
      </c>
      <c r="AC154" s="104"/>
      <c r="AD154" s="104"/>
      <c r="AE154" s="104"/>
      <c r="AF154" s="104"/>
      <c r="AG154" s="104"/>
      <c r="AH154" s="104"/>
      <c r="AI154" s="104"/>
      <c r="AJ154" s="104"/>
      <c r="AK154" s="108">
        <f t="shared" si="2"/>
        <v>4333385</v>
      </c>
    </row>
    <row r="155" spans="1:41">
      <c r="A155" s="97" t="s">
        <v>2206</v>
      </c>
      <c r="B155" s="97">
        <f t="shared" si="3"/>
        <v>313</v>
      </c>
      <c r="C155" s="97" t="s">
        <v>1764</v>
      </c>
      <c r="D155" s="98"/>
      <c r="E155" s="99">
        <v>1594070.4457092993</v>
      </c>
      <c r="F155" s="98"/>
      <c r="G155" s="98"/>
      <c r="H155" s="100"/>
      <c r="I155" s="100"/>
      <c r="J155" s="101">
        <v>1803735.5542907009</v>
      </c>
      <c r="K155" s="100"/>
      <c r="L155" s="100"/>
      <c r="M155" s="100"/>
      <c r="N155" s="100"/>
      <c r="O155" s="100"/>
      <c r="P155" s="102"/>
      <c r="Q155" s="102"/>
      <c r="R155" s="102"/>
      <c r="S155" s="103"/>
      <c r="T155" s="103">
        <v>268959</v>
      </c>
      <c r="U155" s="103">
        <v>17692</v>
      </c>
      <c r="V155" s="103"/>
      <c r="W155" s="103">
        <v>116479</v>
      </c>
      <c r="X155" s="103"/>
      <c r="Y155" s="103"/>
      <c r="Z155" s="104"/>
      <c r="AA155" s="104"/>
      <c r="AB155" s="104">
        <v>149435</v>
      </c>
      <c r="AC155" s="104"/>
      <c r="AD155" s="104"/>
      <c r="AE155" s="104"/>
      <c r="AF155" s="104"/>
      <c r="AG155" s="104"/>
      <c r="AH155" s="104"/>
      <c r="AI155" s="104"/>
      <c r="AJ155" s="104"/>
      <c r="AK155" s="108">
        <f t="shared" si="2"/>
        <v>3950371</v>
      </c>
    </row>
    <row r="156" spans="1:41">
      <c r="A156" s="97" t="s">
        <v>2097</v>
      </c>
      <c r="B156" s="97">
        <f t="shared" si="3"/>
        <v>116</v>
      </c>
      <c r="C156" s="97" t="s">
        <v>1764</v>
      </c>
      <c r="D156" s="98"/>
      <c r="E156" s="99">
        <v>554876.56111207884</v>
      </c>
      <c r="F156" s="98"/>
      <c r="G156" s="98"/>
      <c r="H156" s="100"/>
      <c r="I156" s="100"/>
      <c r="J156" s="101">
        <v>627858.43888792128</v>
      </c>
      <c r="K156" s="100"/>
      <c r="L156" s="100"/>
      <c r="M156" s="100"/>
      <c r="N156" s="100"/>
      <c r="O156" s="100"/>
      <c r="P156" s="102"/>
      <c r="Q156" s="102"/>
      <c r="R156" s="102"/>
      <c r="S156" s="103"/>
      <c r="T156" s="103">
        <v>560075</v>
      </c>
      <c r="U156" s="103">
        <v>13098</v>
      </c>
      <c r="V156" s="103"/>
      <c r="W156" s="103"/>
      <c r="X156" s="103"/>
      <c r="Y156" s="103"/>
      <c r="Z156" s="104"/>
      <c r="AA156" s="104"/>
      <c r="AB156" s="104">
        <v>472382</v>
      </c>
      <c r="AC156" s="104"/>
      <c r="AD156" s="104"/>
      <c r="AE156" s="104"/>
      <c r="AF156" s="104"/>
      <c r="AG156" s="104"/>
      <c r="AH156" s="104"/>
      <c r="AI156" s="104"/>
      <c r="AJ156" s="104"/>
      <c r="AK156" s="108">
        <f t="shared" si="2"/>
        <v>2228290</v>
      </c>
    </row>
    <row r="157" spans="1:41">
      <c r="A157" s="97" t="s">
        <v>2098</v>
      </c>
      <c r="B157" s="97">
        <f t="shared" si="3"/>
        <v>116</v>
      </c>
      <c r="C157" s="97" t="s">
        <v>1764</v>
      </c>
      <c r="D157" s="98"/>
      <c r="E157" s="99">
        <v>538842.99370047229</v>
      </c>
      <c r="F157" s="98"/>
      <c r="G157" s="98"/>
      <c r="H157" s="100"/>
      <c r="I157" s="100"/>
      <c r="J157" s="101">
        <v>609716.00629952771</v>
      </c>
      <c r="K157" s="100"/>
      <c r="L157" s="100"/>
      <c r="M157" s="100"/>
      <c r="N157" s="100"/>
      <c r="O157" s="100"/>
      <c r="P157" s="102">
        <v>53552</v>
      </c>
      <c r="Q157" s="102"/>
      <c r="R157" s="102"/>
      <c r="S157" s="103"/>
      <c r="T157" s="103"/>
      <c r="U157" s="103"/>
      <c r="V157" s="103"/>
      <c r="W157" s="103">
        <v>2352</v>
      </c>
      <c r="X157" s="103"/>
      <c r="Y157" s="103"/>
      <c r="Z157" s="104"/>
      <c r="AA157" s="104"/>
      <c r="AB157" s="104"/>
      <c r="AC157" s="104"/>
      <c r="AD157" s="104"/>
      <c r="AE157" s="104"/>
      <c r="AF157" s="104"/>
      <c r="AG157" s="104"/>
      <c r="AH157" s="104"/>
      <c r="AI157" s="104">
        <v>59595</v>
      </c>
      <c r="AJ157" s="104"/>
      <c r="AK157" s="108">
        <f t="shared" si="2"/>
        <v>1264058</v>
      </c>
    </row>
    <row r="158" spans="1:41">
      <c r="A158" s="97" t="s">
        <v>2099</v>
      </c>
      <c r="B158" s="97">
        <f t="shared" si="3"/>
        <v>118</v>
      </c>
      <c r="C158" s="97" t="s">
        <v>1764</v>
      </c>
      <c r="D158" s="98"/>
      <c r="E158" s="99">
        <v>560166.66253217694</v>
      </c>
      <c r="F158" s="98"/>
      <c r="G158" s="98"/>
      <c r="H158" s="100">
        <v>125406</v>
      </c>
      <c r="I158" s="100"/>
      <c r="J158" s="101">
        <v>633844.33746782306</v>
      </c>
      <c r="K158" s="100"/>
      <c r="L158" s="100"/>
      <c r="M158" s="100"/>
      <c r="N158" s="100"/>
      <c r="O158" s="100"/>
      <c r="P158" s="102">
        <v>131725</v>
      </c>
      <c r="Q158" s="102"/>
      <c r="R158" s="102"/>
      <c r="S158" s="103"/>
      <c r="T158" s="103">
        <v>2440</v>
      </c>
      <c r="U158" s="103">
        <v>15805</v>
      </c>
      <c r="V158" s="103"/>
      <c r="W158" s="103"/>
      <c r="X158" s="103"/>
      <c r="Y158" s="103"/>
      <c r="Z158" s="104"/>
      <c r="AA158" s="104"/>
      <c r="AB158" s="104"/>
      <c r="AC158" s="104"/>
      <c r="AD158" s="104"/>
      <c r="AE158" s="104"/>
      <c r="AF158" s="104"/>
      <c r="AG158" s="104"/>
      <c r="AH158" s="104"/>
      <c r="AI158" s="104"/>
      <c r="AJ158" s="104"/>
      <c r="AK158" s="108">
        <f t="shared" si="2"/>
        <v>1469387</v>
      </c>
    </row>
    <row r="159" spans="1:41">
      <c r="A159" s="97" t="s">
        <v>2100</v>
      </c>
      <c r="B159" s="97">
        <f t="shared" si="3"/>
        <v>496</v>
      </c>
      <c r="C159" s="97" t="s">
        <v>1764</v>
      </c>
      <c r="D159" s="98"/>
      <c r="E159" s="99">
        <v>2324256.577788563</v>
      </c>
      <c r="F159" s="98"/>
      <c r="G159" s="98"/>
      <c r="H159" s="100">
        <v>39110</v>
      </c>
      <c r="I159" s="100"/>
      <c r="J159" s="101">
        <v>2636811.422211437</v>
      </c>
      <c r="K159" s="100">
        <v>52064</v>
      </c>
      <c r="L159" s="100"/>
      <c r="M159" s="100"/>
      <c r="N159" s="100"/>
      <c r="O159" s="100"/>
      <c r="P159" s="102">
        <v>245300</v>
      </c>
      <c r="Q159" s="102"/>
      <c r="R159" s="102"/>
      <c r="S159" s="103"/>
      <c r="T159" s="103"/>
      <c r="U159" s="103"/>
      <c r="V159" s="103"/>
      <c r="W159" s="103">
        <v>24316</v>
      </c>
      <c r="X159" s="103"/>
      <c r="Y159" s="103">
        <v>165314</v>
      </c>
      <c r="Z159" s="104"/>
      <c r="AA159" s="104"/>
      <c r="AB159" s="104">
        <v>2500</v>
      </c>
      <c r="AC159" s="104"/>
      <c r="AD159" s="104"/>
      <c r="AE159" s="104"/>
      <c r="AF159" s="104"/>
      <c r="AG159" s="104"/>
      <c r="AH159" s="104"/>
      <c r="AI159" s="104"/>
      <c r="AJ159" s="104"/>
      <c r="AK159" s="108">
        <f t="shared" si="2"/>
        <v>5489672</v>
      </c>
    </row>
    <row r="160" spans="1:41">
      <c r="A160" s="97" t="s">
        <v>2101</v>
      </c>
      <c r="B160" s="97">
        <f t="shared" si="3"/>
        <v>213</v>
      </c>
      <c r="C160" s="97" t="s">
        <v>1764</v>
      </c>
      <c r="D160" s="98"/>
      <c r="E160" s="99">
        <v>1009454.6571211631</v>
      </c>
      <c r="F160" s="98"/>
      <c r="G160" s="98"/>
      <c r="H160" s="100"/>
      <c r="I160" s="100">
        <v>227200</v>
      </c>
      <c r="J160" s="101">
        <v>1142226.3428788371</v>
      </c>
      <c r="K160" s="100"/>
      <c r="L160" s="100"/>
      <c r="M160" s="100"/>
      <c r="N160" s="100"/>
      <c r="O160" s="100"/>
      <c r="P160" s="102"/>
      <c r="Q160" s="102"/>
      <c r="R160" s="102"/>
      <c r="S160" s="103"/>
      <c r="T160" s="103">
        <v>32348</v>
      </c>
      <c r="U160" s="103"/>
      <c r="V160" s="103"/>
      <c r="W160" s="103"/>
      <c r="X160" s="103"/>
      <c r="Y160" s="103"/>
      <c r="Z160" s="104"/>
      <c r="AA160" s="104"/>
      <c r="AB160" s="104"/>
      <c r="AC160" s="104"/>
      <c r="AD160" s="104"/>
      <c r="AE160" s="104"/>
      <c r="AF160" s="104"/>
      <c r="AG160" s="104"/>
      <c r="AH160" s="104"/>
      <c r="AI160" s="104"/>
      <c r="AJ160" s="104"/>
      <c r="AK160" s="108">
        <f t="shared" si="2"/>
        <v>2411229</v>
      </c>
      <c r="AO160" s="42">
        <v>-208069</v>
      </c>
    </row>
    <row r="161" spans="1:41">
      <c r="A161" s="97" t="s">
        <v>2198</v>
      </c>
      <c r="B161" s="97">
        <f t="shared" si="3"/>
        <v>511</v>
      </c>
      <c r="C161" s="97" t="s">
        <v>1764</v>
      </c>
      <c r="D161" s="98"/>
      <c r="E161" s="99">
        <v>2550603.9153090599</v>
      </c>
      <c r="F161" s="98"/>
      <c r="G161" s="98"/>
      <c r="H161" s="100"/>
      <c r="I161" s="100"/>
      <c r="J161" s="101">
        <v>2886080.0846909401</v>
      </c>
      <c r="K161" s="100"/>
      <c r="L161" s="100"/>
      <c r="M161" s="100"/>
      <c r="N161" s="100"/>
      <c r="O161" s="100"/>
      <c r="P161" s="102"/>
      <c r="Q161" s="102"/>
      <c r="R161" s="102"/>
      <c r="S161" s="103"/>
      <c r="T161" s="103">
        <v>15010</v>
      </c>
      <c r="U161" s="103">
        <v>4110</v>
      </c>
      <c r="V161" s="103"/>
      <c r="W161" s="103"/>
      <c r="X161" s="103"/>
      <c r="Y161" s="103">
        <v>194345</v>
      </c>
      <c r="Z161" s="104"/>
      <c r="AA161" s="104"/>
      <c r="AB161" s="104"/>
      <c r="AC161" s="104"/>
      <c r="AD161" s="104"/>
      <c r="AE161" s="104"/>
      <c r="AF161" s="104"/>
      <c r="AG161" s="104"/>
      <c r="AH161" s="104"/>
      <c r="AI161" s="104"/>
      <c r="AJ161" s="104">
        <v>212965</v>
      </c>
      <c r="AK161" s="108">
        <f t="shared" si="2"/>
        <v>5863114</v>
      </c>
      <c r="AN161" s="42">
        <v>534000</v>
      </c>
    </row>
    <row r="162" spans="1:41">
      <c r="A162" s="97" t="s">
        <v>213</v>
      </c>
      <c r="B162" s="97">
        <f t="shared" si="3"/>
        <v>404</v>
      </c>
      <c r="C162" s="97" t="s">
        <v>1764</v>
      </c>
      <c r="D162" s="98"/>
      <c r="E162" s="99">
        <v>1984154.9054802766</v>
      </c>
      <c r="F162" s="98"/>
      <c r="G162" s="98"/>
      <c r="H162" s="100"/>
      <c r="I162" s="100"/>
      <c r="J162" s="101">
        <v>2245127.0945197237</v>
      </c>
      <c r="K162" s="100"/>
      <c r="L162" s="100"/>
      <c r="M162" s="100"/>
      <c r="N162" s="100"/>
      <c r="O162" s="100"/>
      <c r="P162" s="102"/>
      <c r="Q162" s="102"/>
      <c r="R162" s="102"/>
      <c r="S162" s="103"/>
      <c r="T162" s="103">
        <v>4773</v>
      </c>
      <c r="U162" s="103">
        <v>14847</v>
      </c>
      <c r="V162" s="103"/>
      <c r="W162" s="103"/>
      <c r="X162" s="103"/>
      <c r="Y162" s="103"/>
      <c r="Z162" s="104"/>
      <c r="AA162" s="104"/>
      <c r="AB162" s="104">
        <v>239950</v>
      </c>
      <c r="AC162" s="104"/>
      <c r="AD162" s="104"/>
      <c r="AE162" s="104"/>
      <c r="AF162" s="104"/>
      <c r="AG162" s="104"/>
      <c r="AH162" s="104"/>
      <c r="AI162" s="104"/>
      <c r="AJ162" s="104"/>
      <c r="AK162" s="108">
        <f t="shared" si="2"/>
        <v>4488852</v>
      </c>
      <c r="AN162" s="42">
        <v>41261</v>
      </c>
    </row>
    <row r="163" spans="1:41">
      <c r="A163" s="123" t="s">
        <v>215</v>
      </c>
      <c r="B163" s="123">
        <f>SUM(B105:B162)</f>
        <v>14973</v>
      </c>
      <c r="C163" s="97"/>
      <c r="D163" s="98"/>
      <c r="E163" s="121">
        <f>SUM(E105:E162)</f>
        <v>73980321.672863245</v>
      </c>
      <c r="F163" s="98"/>
      <c r="G163" s="121">
        <f>SUM(D105:G162)</f>
        <v>74315081.672863245</v>
      </c>
      <c r="H163" s="100"/>
      <c r="I163" s="100"/>
      <c r="J163" s="121"/>
      <c r="K163" s="121">
        <f>SUM(J105:K162)</f>
        <v>85402905.32713674</v>
      </c>
      <c r="L163" s="100"/>
      <c r="M163" s="100"/>
      <c r="N163" s="100"/>
      <c r="O163" s="121">
        <f>SUM(H105:O162)</f>
        <v>87589963.32713674</v>
      </c>
      <c r="P163" s="102"/>
      <c r="Q163" s="102"/>
      <c r="R163" s="121">
        <f>SUM(P105:R162)</f>
        <v>5137474</v>
      </c>
      <c r="S163" s="103"/>
      <c r="T163" s="103"/>
      <c r="U163" s="103"/>
      <c r="V163" s="103"/>
      <c r="W163" s="103"/>
      <c r="X163" s="103"/>
      <c r="Y163" s="121">
        <f>SUM(S105:Y162)</f>
        <v>21202747</v>
      </c>
      <c r="Z163" s="104"/>
      <c r="AA163" s="104"/>
      <c r="AB163" s="104"/>
      <c r="AC163" s="104"/>
      <c r="AD163" s="104"/>
      <c r="AE163" s="104"/>
      <c r="AF163" s="104"/>
      <c r="AG163" s="104"/>
      <c r="AH163" s="114"/>
      <c r="AI163" s="114"/>
      <c r="AJ163" s="121">
        <f>SUM(Z105:AJ162)</f>
        <v>13414657</v>
      </c>
      <c r="AK163" s="105">
        <f>SUM(AK105:AK162)</f>
        <v>201659923</v>
      </c>
    </row>
    <row r="164" spans="1:41">
      <c r="A164" s="125"/>
      <c r="B164" s="125"/>
      <c r="C164" s="161"/>
      <c r="D164" s="162"/>
      <c r="E164" s="163"/>
      <c r="F164" s="162"/>
      <c r="G164" s="163">
        <f>G163/B163</f>
        <v>4963.2726689950741</v>
      </c>
      <c r="H164" s="164"/>
      <c r="I164" s="164"/>
      <c r="J164" s="164"/>
      <c r="K164" s="163"/>
      <c r="L164" s="164"/>
      <c r="M164" s="164"/>
      <c r="N164" s="164"/>
      <c r="O164" s="163">
        <f>O163/B163</f>
        <v>5849.8606376235048</v>
      </c>
      <c r="P164" s="165"/>
      <c r="Q164" s="165"/>
      <c r="R164" s="163">
        <f>R163/B163</f>
        <v>343.11587524210245</v>
      </c>
      <c r="S164" s="166"/>
      <c r="T164" s="166"/>
      <c r="U164" s="166"/>
      <c r="V164" s="166"/>
      <c r="W164" s="166"/>
      <c r="X164" s="166"/>
      <c r="Y164" s="163">
        <f>Y163/B163</f>
        <v>1416.0653843585119</v>
      </c>
      <c r="Z164" s="167"/>
      <c r="AA164" s="167"/>
      <c r="AB164" s="167"/>
      <c r="AC164" s="167"/>
      <c r="AD164" s="167"/>
      <c r="AE164" s="167"/>
      <c r="AF164" s="167"/>
      <c r="AG164" s="167"/>
      <c r="AH164" s="168"/>
      <c r="AI164" s="168"/>
      <c r="AJ164" s="163">
        <f>AJ163/B163</f>
        <v>895.92312829760237</v>
      </c>
      <c r="AK164" s="169"/>
    </row>
    <row r="165" spans="1:41">
      <c r="A165" s="125"/>
      <c r="B165" s="125"/>
      <c r="C165" s="161"/>
      <c r="D165" s="162"/>
      <c r="E165" s="163"/>
      <c r="F165" s="162"/>
      <c r="G165" s="172">
        <f>G163/AK163</f>
        <v>0.36851686030279424</v>
      </c>
      <c r="H165" s="164"/>
      <c r="I165" s="164"/>
      <c r="J165" s="164"/>
      <c r="K165" s="163"/>
      <c r="L165" s="164"/>
      <c r="M165" s="164"/>
      <c r="N165" s="164"/>
      <c r="O165" s="172">
        <f>O163/AK163</f>
        <v>0.43434492101406158</v>
      </c>
      <c r="P165" s="165"/>
      <c r="Q165" s="165"/>
      <c r="R165" s="172">
        <f>R163/AK163</f>
        <v>2.5475929592614195E-2</v>
      </c>
      <c r="S165" s="166"/>
      <c r="T165" s="166"/>
      <c r="U165" s="166"/>
      <c r="V165" s="166"/>
      <c r="W165" s="166"/>
      <c r="X165" s="166"/>
      <c r="Y165" s="172">
        <f>Y163/AK163</f>
        <v>0.10514110431352292</v>
      </c>
      <c r="Z165" s="167"/>
      <c r="AA165" s="167"/>
      <c r="AB165" s="167"/>
      <c r="AC165" s="167"/>
      <c r="AD165" s="167"/>
      <c r="AE165" s="167"/>
      <c r="AF165" s="167"/>
      <c r="AG165" s="167"/>
      <c r="AH165" s="168"/>
      <c r="AI165" s="168"/>
      <c r="AJ165" s="172">
        <f>AJ163/AK163</f>
        <v>6.6521184777006984E-2</v>
      </c>
      <c r="AK165" s="169"/>
    </row>
    <row r="166" spans="1:41">
      <c r="A166" s="125"/>
      <c r="B166" s="125"/>
      <c r="C166" s="161"/>
      <c r="D166" s="162"/>
      <c r="E166" s="163"/>
      <c r="F166" s="162"/>
      <c r="G166" s="163"/>
      <c r="H166" s="164"/>
      <c r="I166" s="164"/>
      <c r="J166" s="163"/>
      <c r="K166" s="163"/>
      <c r="L166" s="164"/>
      <c r="M166" s="164"/>
      <c r="N166" s="164"/>
      <c r="O166" s="163"/>
      <c r="P166" s="165"/>
      <c r="Q166" s="165"/>
      <c r="R166" s="163"/>
      <c r="S166" s="166"/>
      <c r="T166" s="166"/>
      <c r="U166" s="166"/>
      <c r="V166" s="166"/>
      <c r="W166" s="166"/>
      <c r="X166" s="166"/>
      <c r="Y166" s="163"/>
      <c r="Z166" s="167"/>
      <c r="AA166" s="167"/>
      <c r="AB166" s="167"/>
      <c r="AC166" s="167"/>
      <c r="AD166" s="167"/>
      <c r="AE166" s="167"/>
      <c r="AF166" s="167"/>
      <c r="AG166" s="167"/>
      <c r="AH166" s="168"/>
      <c r="AI166" s="168"/>
      <c r="AJ166" s="163"/>
      <c r="AK166" s="169"/>
    </row>
    <row r="167" spans="1:41">
      <c r="A167" s="125"/>
      <c r="B167" s="125"/>
      <c r="C167" s="161"/>
      <c r="D167" s="162"/>
      <c r="E167" s="163"/>
      <c r="F167" s="162"/>
      <c r="G167" s="163"/>
      <c r="H167" s="164"/>
      <c r="I167" s="164"/>
      <c r="J167" s="163"/>
      <c r="K167" s="163"/>
      <c r="L167" s="164"/>
      <c r="M167" s="164"/>
      <c r="N167" s="164"/>
      <c r="O167" s="163"/>
      <c r="P167" s="165"/>
      <c r="Q167" s="165"/>
      <c r="R167" s="163"/>
      <c r="S167" s="166"/>
      <c r="T167" s="166"/>
      <c r="U167" s="166"/>
      <c r="V167" s="166"/>
      <c r="W167" s="166"/>
      <c r="X167" s="166"/>
      <c r="Y167" s="163"/>
      <c r="Z167" s="167"/>
      <c r="AA167" s="167"/>
      <c r="AB167" s="167"/>
      <c r="AC167" s="167"/>
      <c r="AD167" s="167"/>
      <c r="AE167" s="167"/>
      <c r="AF167" s="167"/>
      <c r="AG167" s="167"/>
      <c r="AH167" s="168"/>
      <c r="AI167" s="168"/>
      <c r="AJ167" s="163"/>
      <c r="AK167" s="169"/>
    </row>
    <row r="168" spans="1:41" s="5" customFormat="1">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90"/>
      <c r="AI168" s="90"/>
      <c r="AJ168" s="36"/>
      <c r="AK168" s="36"/>
      <c r="AN168" s="36"/>
      <c r="AO168" s="36"/>
    </row>
    <row r="169" spans="1:41" s="5" customFormat="1">
      <c r="A169" s="125" t="s">
        <v>85</v>
      </c>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90"/>
      <c r="AI169" s="90"/>
      <c r="AJ169" s="36"/>
      <c r="AK169" s="36"/>
      <c r="AN169" s="36"/>
      <c r="AO169" s="36"/>
    </row>
    <row r="170" spans="1:41">
      <c r="A170" s="97" t="s">
        <v>2226</v>
      </c>
      <c r="B170" s="97">
        <f>B77</f>
        <v>248</v>
      </c>
      <c r="C170" s="97" t="s">
        <v>1765</v>
      </c>
      <c r="D170" s="98"/>
      <c r="E170" s="99">
        <v>372538.10541594255</v>
      </c>
      <c r="F170" s="98"/>
      <c r="G170" s="98"/>
      <c r="H170" s="100"/>
      <c r="I170" s="100"/>
      <c r="J170" s="101">
        <v>1808927.8945840576</v>
      </c>
      <c r="K170" s="100">
        <v>105425</v>
      </c>
      <c r="L170" s="100"/>
      <c r="M170" s="100"/>
      <c r="N170" s="100"/>
      <c r="O170" s="100"/>
      <c r="P170" s="102"/>
      <c r="Q170" s="102"/>
      <c r="R170" s="102"/>
      <c r="S170" s="103"/>
      <c r="T170" s="103">
        <v>5200</v>
      </c>
      <c r="U170" s="103">
        <v>13758</v>
      </c>
      <c r="V170" s="103"/>
      <c r="W170" s="103">
        <v>68</v>
      </c>
      <c r="X170" s="103"/>
      <c r="Y170" s="103"/>
      <c r="Z170" s="104"/>
      <c r="AA170" s="104"/>
      <c r="AB170" s="104"/>
      <c r="AC170" s="104">
        <v>174162</v>
      </c>
      <c r="AD170" s="104"/>
      <c r="AE170" s="104"/>
      <c r="AF170" s="104"/>
      <c r="AG170" s="104"/>
      <c r="AH170" s="104"/>
      <c r="AI170" s="104"/>
      <c r="AJ170" s="104"/>
      <c r="AK170" s="108">
        <f t="shared" ref="AK170:AK182" si="4">SUM(D170:AJ170)</f>
        <v>2480079</v>
      </c>
    </row>
    <row r="171" spans="1:41">
      <c r="A171" s="97" t="s">
        <v>2227</v>
      </c>
      <c r="B171" s="97">
        <f t="shared" ref="B171:B182" si="5">B78</f>
        <v>339</v>
      </c>
      <c r="C171" s="97" t="s">
        <v>1765</v>
      </c>
      <c r="D171" s="98"/>
      <c r="E171" s="110">
        <v>546361.16150789603</v>
      </c>
      <c r="F171" s="98"/>
      <c r="G171" s="98"/>
      <c r="H171" s="100"/>
      <c r="I171" s="100"/>
      <c r="J171" s="111">
        <v>2739532.8384921039</v>
      </c>
      <c r="K171" s="100"/>
      <c r="L171" s="100"/>
      <c r="M171" s="100"/>
      <c r="N171" s="100"/>
      <c r="O171" s="100"/>
      <c r="P171" s="102"/>
      <c r="Q171" s="102"/>
      <c r="R171" s="102"/>
      <c r="S171" s="103"/>
      <c r="T171" s="103"/>
      <c r="U171" s="103"/>
      <c r="V171" s="103"/>
      <c r="W171" s="103"/>
      <c r="X171" s="103"/>
      <c r="Y171" s="103"/>
      <c r="Z171" s="104"/>
      <c r="AA171" s="104"/>
      <c r="AB171" s="104"/>
      <c r="AC171" s="104"/>
      <c r="AD171" s="104">
        <v>310958</v>
      </c>
      <c r="AE171" s="104"/>
      <c r="AF171" s="104"/>
      <c r="AG171" s="104"/>
      <c r="AH171" s="104"/>
      <c r="AI171" s="104"/>
      <c r="AJ171" s="104"/>
      <c r="AK171" s="108">
        <f t="shared" si="4"/>
        <v>3596852</v>
      </c>
      <c r="AN171" s="42">
        <v>100000</v>
      </c>
      <c r="AO171" s="42">
        <v>-57032</v>
      </c>
    </row>
    <row r="172" spans="1:41">
      <c r="A172" s="97" t="s">
        <v>2230</v>
      </c>
      <c r="B172" s="97">
        <f t="shared" si="5"/>
        <v>479</v>
      </c>
      <c r="C172" s="97" t="s">
        <v>1765</v>
      </c>
      <c r="D172" s="98">
        <v>19292</v>
      </c>
      <c r="E172" s="99">
        <v>779070.29177439876</v>
      </c>
      <c r="F172" s="98"/>
      <c r="G172" s="98"/>
      <c r="H172" s="100">
        <v>166471</v>
      </c>
      <c r="I172" s="100"/>
      <c r="J172" s="101">
        <v>3666531.7082256009</v>
      </c>
      <c r="K172" s="100"/>
      <c r="L172" s="100"/>
      <c r="M172" s="100"/>
      <c r="N172" s="100"/>
      <c r="O172" s="100"/>
      <c r="P172" s="102">
        <v>620478</v>
      </c>
      <c r="Q172" s="102"/>
      <c r="R172" s="102"/>
      <c r="S172" s="103"/>
      <c r="T172" s="103"/>
      <c r="U172" s="103"/>
      <c r="V172" s="103"/>
      <c r="W172" s="103"/>
      <c r="X172" s="103"/>
      <c r="Y172" s="103"/>
      <c r="Z172" s="104"/>
      <c r="AA172" s="104"/>
      <c r="AB172" s="104"/>
      <c r="AC172" s="104"/>
      <c r="AD172" s="104"/>
      <c r="AE172" s="104"/>
      <c r="AF172" s="104"/>
      <c r="AG172" s="104"/>
      <c r="AH172" s="104"/>
      <c r="AI172" s="104"/>
      <c r="AJ172" s="104"/>
      <c r="AK172" s="108">
        <f t="shared" si="4"/>
        <v>5251843</v>
      </c>
      <c r="AN172" s="42">
        <v>852463</v>
      </c>
    </row>
    <row r="173" spans="1:41">
      <c r="A173" s="97" t="s">
        <v>2238</v>
      </c>
      <c r="B173" s="97">
        <f t="shared" si="5"/>
        <v>518</v>
      </c>
      <c r="C173" s="97" t="s">
        <v>1765</v>
      </c>
      <c r="D173" s="98"/>
      <c r="E173" s="99">
        <v>784501.25211613881</v>
      </c>
      <c r="F173" s="98"/>
      <c r="G173" s="98"/>
      <c r="H173" s="100">
        <v>618210</v>
      </c>
      <c r="I173" s="100"/>
      <c r="J173" s="101">
        <v>4053009.747883861</v>
      </c>
      <c r="K173" s="100">
        <v>34996</v>
      </c>
      <c r="L173" s="100"/>
      <c r="M173" s="100"/>
      <c r="N173" s="100"/>
      <c r="O173" s="100"/>
      <c r="P173" s="102">
        <v>405429</v>
      </c>
      <c r="Q173" s="102"/>
      <c r="R173" s="102"/>
      <c r="S173" s="103">
        <v>504815</v>
      </c>
      <c r="T173" s="103">
        <v>2133</v>
      </c>
      <c r="U173" s="103">
        <v>135661</v>
      </c>
      <c r="V173" s="103"/>
      <c r="W173" s="103"/>
      <c r="X173" s="103"/>
      <c r="Y173" s="103"/>
      <c r="Z173" s="104"/>
      <c r="AA173" s="104"/>
      <c r="AB173" s="104"/>
      <c r="AC173" s="104"/>
      <c r="AD173" s="104"/>
      <c r="AE173" s="104"/>
      <c r="AF173" s="104"/>
      <c r="AG173" s="104"/>
      <c r="AH173" s="104"/>
      <c r="AI173" s="104"/>
      <c r="AJ173" s="104"/>
      <c r="AK173" s="108">
        <f t="shared" si="4"/>
        <v>6538755</v>
      </c>
    </row>
    <row r="174" spans="1:41">
      <c r="A174" s="97" t="s">
        <v>2239</v>
      </c>
      <c r="B174" s="97">
        <f t="shared" si="5"/>
        <v>317</v>
      </c>
      <c r="C174" s="97" t="s">
        <v>1765</v>
      </c>
      <c r="D174" s="98"/>
      <c r="E174" s="99">
        <v>482017.54168966989</v>
      </c>
      <c r="F174" s="98"/>
      <c r="G174" s="98"/>
      <c r="H174" s="100"/>
      <c r="I174" s="100"/>
      <c r="J174" s="101">
        <v>2311494.4583103303</v>
      </c>
      <c r="K174" s="100">
        <v>450108</v>
      </c>
      <c r="L174" s="100"/>
      <c r="M174" s="100"/>
      <c r="N174" s="100"/>
      <c r="O174" s="100"/>
      <c r="P174" s="102"/>
      <c r="Q174" s="102"/>
      <c r="R174" s="102"/>
      <c r="S174" s="103"/>
      <c r="T174" s="103">
        <v>67084</v>
      </c>
      <c r="U174" s="103">
        <v>7572</v>
      </c>
      <c r="V174" s="103"/>
      <c r="W174" s="103"/>
      <c r="X174" s="103"/>
      <c r="Y174" s="103"/>
      <c r="Z174" s="104"/>
      <c r="AA174" s="104"/>
      <c r="AB174" s="104"/>
      <c r="AC174" s="104">
        <v>273172</v>
      </c>
      <c r="AD174" s="104"/>
      <c r="AE174" s="104"/>
      <c r="AF174" s="104"/>
      <c r="AG174" s="104"/>
      <c r="AH174" s="104"/>
      <c r="AI174" s="104"/>
      <c r="AJ174" s="104"/>
      <c r="AK174" s="108">
        <f t="shared" si="4"/>
        <v>3591448</v>
      </c>
      <c r="AO174"/>
    </row>
    <row r="175" spans="1:41">
      <c r="A175" s="97" t="s">
        <v>2252</v>
      </c>
      <c r="B175" s="97">
        <f t="shared" si="5"/>
        <v>640</v>
      </c>
      <c r="C175" s="97" t="s">
        <v>1765</v>
      </c>
      <c r="D175" s="98"/>
      <c r="E175" s="99">
        <v>1056656.4909908553</v>
      </c>
      <c r="F175" s="98"/>
      <c r="G175" s="98"/>
      <c r="H175" s="100">
        <v>350000</v>
      </c>
      <c r="I175" s="100"/>
      <c r="J175" s="101">
        <v>4907937.5090091443</v>
      </c>
      <c r="K175" s="100">
        <v>316280</v>
      </c>
      <c r="L175" s="100"/>
      <c r="M175" s="100"/>
      <c r="N175" s="100"/>
      <c r="O175" s="100"/>
      <c r="P175" s="102">
        <v>728747</v>
      </c>
      <c r="Q175" s="102"/>
      <c r="R175" s="102"/>
      <c r="S175" s="103"/>
      <c r="T175" s="103"/>
      <c r="U175" s="103">
        <v>36357</v>
      </c>
      <c r="V175" s="103"/>
      <c r="W175" s="103">
        <v>90737</v>
      </c>
      <c r="X175" s="103"/>
      <c r="Y175" s="103"/>
      <c r="Z175" s="104"/>
      <c r="AA175" s="104"/>
      <c r="AB175" s="104"/>
      <c r="AC175" s="104"/>
      <c r="AD175" s="104"/>
      <c r="AE175" s="104"/>
      <c r="AF175" s="104"/>
      <c r="AG175" s="104"/>
      <c r="AH175" s="104"/>
      <c r="AI175" s="104"/>
      <c r="AJ175" s="104"/>
      <c r="AK175" s="108">
        <f t="shared" si="4"/>
        <v>7486715</v>
      </c>
      <c r="AN175" s="42">
        <v>17500</v>
      </c>
      <c r="AO175"/>
    </row>
    <row r="176" spans="1:41">
      <c r="A176" s="97" t="s">
        <v>2255</v>
      </c>
      <c r="B176" s="97">
        <f t="shared" si="5"/>
        <v>405</v>
      </c>
      <c r="C176" s="97" t="s">
        <v>1765</v>
      </c>
      <c r="D176" s="98"/>
      <c r="E176" s="99">
        <v>726012.0102830471</v>
      </c>
      <c r="F176" s="98"/>
      <c r="G176" s="98"/>
      <c r="H176" s="100"/>
      <c r="I176" s="100"/>
      <c r="J176" s="101">
        <v>3133539.9897169522</v>
      </c>
      <c r="K176" s="100">
        <v>497134</v>
      </c>
      <c r="L176" s="100"/>
      <c r="M176" s="100"/>
      <c r="N176" s="100"/>
      <c r="O176" s="100"/>
      <c r="P176" s="102">
        <v>247174</v>
      </c>
      <c r="Q176" s="102"/>
      <c r="R176" s="102"/>
      <c r="S176" s="103"/>
      <c r="T176" s="103"/>
      <c r="U176" s="103">
        <v>9750</v>
      </c>
      <c r="V176" s="103"/>
      <c r="W176" s="103"/>
      <c r="X176" s="103"/>
      <c r="Y176" s="103">
        <v>131124</v>
      </c>
      <c r="Z176" s="104"/>
      <c r="AA176" s="104"/>
      <c r="AB176" s="104"/>
      <c r="AC176" s="104">
        <v>6658</v>
      </c>
      <c r="AD176" s="104"/>
      <c r="AE176" s="104"/>
      <c r="AF176" s="104"/>
      <c r="AG176" s="104"/>
      <c r="AH176" s="104"/>
      <c r="AI176" s="104"/>
      <c r="AJ176" s="104"/>
      <c r="AK176" s="108">
        <f t="shared" si="4"/>
        <v>4751391.9999999991</v>
      </c>
      <c r="AO176"/>
    </row>
    <row r="177" spans="1:41">
      <c r="A177" s="97" t="s">
        <v>2256</v>
      </c>
      <c r="B177" s="97">
        <f t="shared" si="5"/>
        <v>104</v>
      </c>
      <c r="C177" s="97" t="s">
        <v>1765</v>
      </c>
      <c r="D177" s="98"/>
      <c r="E177" s="99">
        <v>159817.50190318652</v>
      </c>
      <c r="F177" s="98"/>
      <c r="G177" s="98"/>
      <c r="H177" s="100"/>
      <c r="I177" s="100"/>
      <c r="J177" s="101">
        <v>825673.49809681345</v>
      </c>
      <c r="K177" s="100">
        <v>48646</v>
      </c>
      <c r="L177" s="100"/>
      <c r="M177" s="100"/>
      <c r="N177" s="100"/>
      <c r="O177" s="100"/>
      <c r="P177" s="102"/>
      <c r="Q177" s="102"/>
      <c r="R177" s="102"/>
      <c r="S177" s="103"/>
      <c r="T177" s="103">
        <v>1346</v>
      </c>
      <c r="U177" s="103">
        <v>2142</v>
      </c>
      <c r="V177" s="103"/>
      <c r="W177" s="103">
        <v>7402</v>
      </c>
      <c r="X177" s="103"/>
      <c r="Y177" s="103"/>
      <c r="Z177" s="104"/>
      <c r="AA177" s="104"/>
      <c r="AB177" s="104"/>
      <c r="AC177" s="104">
        <v>334151</v>
      </c>
      <c r="AD177" s="104"/>
      <c r="AE177" s="104"/>
      <c r="AF177" s="104"/>
      <c r="AG177" s="104"/>
      <c r="AH177" s="104"/>
      <c r="AI177" s="104"/>
      <c r="AJ177" s="104"/>
      <c r="AK177" s="108">
        <f t="shared" si="4"/>
        <v>1379178</v>
      </c>
      <c r="AN177" s="42">
        <v>10596</v>
      </c>
      <c r="AO177"/>
    </row>
    <row r="178" spans="1:41">
      <c r="A178" s="97" t="s">
        <v>2158</v>
      </c>
      <c r="B178" s="97">
        <f t="shared" si="5"/>
        <v>292</v>
      </c>
      <c r="C178" s="97" t="s">
        <v>1765</v>
      </c>
      <c r="D178" s="98"/>
      <c r="E178" s="99">
        <v>440496.13573912316</v>
      </c>
      <c r="F178" s="98"/>
      <c r="G178" s="98"/>
      <c r="H178" s="100"/>
      <c r="I178" s="100"/>
      <c r="J178" s="101">
        <v>2170211.864260877</v>
      </c>
      <c r="K178" s="100">
        <v>141520</v>
      </c>
      <c r="L178" s="100"/>
      <c r="M178" s="100"/>
      <c r="N178" s="100"/>
      <c r="O178" s="100"/>
      <c r="P178" s="102">
        <v>179143</v>
      </c>
      <c r="Q178" s="102"/>
      <c r="R178" s="102"/>
      <c r="S178" s="103"/>
      <c r="T178" s="103"/>
      <c r="U178" s="103">
        <v>46040</v>
      </c>
      <c r="V178" s="103"/>
      <c r="W178" s="103"/>
      <c r="X178" s="103"/>
      <c r="Y178" s="103"/>
      <c r="Z178" s="104"/>
      <c r="AA178" s="104"/>
      <c r="AB178" s="104"/>
      <c r="AC178" s="104"/>
      <c r="AD178" s="104"/>
      <c r="AE178" s="104"/>
      <c r="AF178" s="104"/>
      <c r="AG178" s="104"/>
      <c r="AH178" s="104"/>
      <c r="AI178" s="104"/>
      <c r="AJ178" s="104"/>
      <c r="AK178" s="108">
        <f t="shared" si="4"/>
        <v>2977411</v>
      </c>
      <c r="AO178"/>
    </row>
    <row r="179" spans="1:41">
      <c r="A179" s="97" t="s">
        <v>2178</v>
      </c>
      <c r="B179" s="97">
        <f t="shared" si="5"/>
        <v>102</v>
      </c>
      <c r="C179" s="97" t="s">
        <v>1765</v>
      </c>
      <c r="D179" s="98"/>
      <c r="E179" s="99">
        <v>171557.01952716449</v>
      </c>
      <c r="F179" s="98"/>
      <c r="G179" s="98"/>
      <c r="H179" s="100">
        <v>200000</v>
      </c>
      <c r="I179" s="100"/>
      <c r="J179" s="101">
        <v>886323.98047283548</v>
      </c>
      <c r="K179" s="100">
        <v>25556</v>
      </c>
      <c r="L179" s="100"/>
      <c r="M179" s="100"/>
      <c r="N179" s="100"/>
      <c r="O179" s="100"/>
      <c r="P179" s="102">
        <v>209877</v>
      </c>
      <c r="Q179" s="102"/>
      <c r="R179" s="102"/>
      <c r="S179" s="103"/>
      <c r="T179" s="103">
        <v>1300</v>
      </c>
      <c r="U179" s="103">
        <v>4002</v>
      </c>
      <c r="V179" s="103"/>
      <c r="W179" s="103"/>
      <c r="X179" s="103"/>
      <c r="Y179" s="103"/>
      <c r="Z179" s="104"/>
      <c r="AA179" s="104"/>
      <c r="AB179" s="104"/>
      <c r="AC179" s="104"/>
      <c r="AD179" s="104"/>
      <c r="AE179" s="104"/>
      <c r="AF179" s="104"/>
      <c r="AG179" s="104"/>
      <c r="AH179" s="104"/>
      <c r="AI179" s="104"/>
      <c r="AJ179" s="104"/>
      <c r="AK179" s="108">
        <f t="shared" si="4"/>
        <v>1498616</v>
      </c>
      <c r="AO179"/>
    </row>
    <row r="180" spans="1:41">
      <c r="A180" s="97" t="s">
        <v>2179</v>
      </c>
      <c r="B180" s="97">
        <f t="shared" si="5"/>
        <v>553</v>
      </c>
      <c r="C180" s="97" t="s">
        <v>1765</v>
      </c>
      <c r="D180" s="98"/>
      <c r="E180" s="99">
        <v>893077.03567520785</v>
      </c>
      <c r="F180" s="98"/>
      <c r="G180" s="98"/>
      <c r="H180" s="100"/>
      <c r="I180" s="100"/>
      <c r="J180" s="101">
        <v>4314497.9643247928</v>
      </c>
      <c r="K180" s="100">
        <v>374688</v>
      </c>
      <c r="L180" s="100"/>
      <c r="M180" s="100"/>
      <c r="N180" s="100"/>
      <c r="O180" s="100"/>
      <c r="P180" s="102"/>
      <c r="Q180" s="102"/>
      <c r="R180" s="102"/>
      <c r="S180" s="103"/>
      <c r="T180" s="103">
        <v>350</v>
      </c>
      <c r="U180" s="103">
        <v>49325</v>
      </c>
      <c r="V180" s="103"/>
      <c r="W180" s="103"/>
      <c r="X180" s="103"/>
      <c r="Y180" s="103"/>
      <c r="Z180" s="104">
        <v>111420</v>
      </c>
      <c r="AA180" s="104"/>
      <c r="AB180" s="104"/>
      <c r="AC180" s="104"/>
      <c r="AD180" s="104">
        <v>1173001</v>
      </c>
      <c r="AE180" s="104"/>
      <c r="AF180" s="104"/>
      <c r="AG180" s="104"/>
      <c r="AH180" s="104"/>
      <c r="AI180" s="104"/>
      <c r="AJ180" s="104"/>
      <c r="AK180" s="108">
        <f t="shared" si="4"/>
        <v>6916359.0000000009</v>
      </c>
      <c r="AN180" s="42">
        <v>40389</v>
      </c>
      <c r="AO180"/>
    </row>
    <row r="181" spans="1:41">
      <c r="A181" s="97" t="s">
        <v>2187</v>
      </c>
      <c r="B181" s="97">
        <f t="shared" si="5"/>
        <v>244</v>
      </c>
      <c r="C181" s="97" t="s">
        <v>1765</v>
      </c>
      <c r="D181" s="98"/>
      <c r="E181" s="99">
        <v>382995.57250723563</v>
      </c>
      <c r="F181" s="98"/>
      <c r="G181" s="98"/>
      <c r="H181" s="100">
        <v>309379</v>
      </c>
      <c r="I181" s="100"/>
      <c r="J181" s="101">
        <v>1917328.4274927638</v>
      </c>
      <c r="K181" s="100">
        <v>200105</v>
      </c>
      <c r="L181" s="100"/>
      <c r="M181" s="100"/>
      <c r="N181" s="100"/>
      <c r="O181" s="100"/>
      <c r="P181" s="102">
        <v>98329</v>
      </c>
      <c r="Q181" s="102"/>
      <c r="R181" s="102"/>
      <c r="S181" s="103"/>
      <c r="T181" s="103">
        <v>200</v>
      </c>
      <c r="U181" s="103"/>
      <c r="V181" s="103"/>
      <c r="W181" s="103">
        <v>51738</v>
      </c>
      <c r="X181" s="103"/>
      <c r="Y181" s="103"/>
      <c r="Z181" s="104"/>
      <c r="AA181" s="104"/>
      <c r="AB181" s="104"/>
      <c r="AC181" s="104"/>
      <c r="AD181" s="104"/>
      <c r="AE181" s="104"/>
      <c r="AF181" s="104"/>
      <c r="AG181" s="104"/>
      <c r="AH181" s="104"/>
      <c r="AI181" s="104"/>
      <c r="AJ181" s="104"/>
      <c r="AK181" s="108">
        <f t="shared" si="4"/>
        <v>2960074.9999999995</v>
      </c>
      <c r="AO181"/>
    </row>
    <row r="182" spans="1:41">
      <c r="A182" s="97" t="s">
        <v>2188</v>
      </c>
      <c r="B182" s="97">
        <f t="shared" si="5"/>
        <v>269</v>
      </c>
      <c r="C182" s="97" t="s">
        <v>1765</v>
      </c>
      <c r="D182" s="98"/>
      <c r="E182" s="99">
        <v>436749.78227122128</v>
      </c>
      <c r="F182" s="98"/>
      <c r="G182" s="98"/>
      <c r="H182" s="100"/>
      <c r="I182" s="100"/>
      <c r="J182" s="101">
        <v>2106083.2177287787</v>
      </c>
      <c r="K182" s="100">
        <v>194904</v>
      </c>
      <c r="L182" s="100"/>
      <c r="M182" s="100"/>
      <c r="N182" s="100"/>
      <c r="O182" s="100"/>
      <c r="P182" s="102"/>
      <c r="Q182" s="102"/>
      <c r="R182" s="102"/>
      <c r="S182" s="103"/>
      <c r="T182" s="103">
        <v>38679</v>
      </c>
      <c r="U182" s="103">
        <v>44171</v>
      </c>
      <c r="V182" s="103"/>
      <c r="W182" s="103">
        <v>2230</v>
      </c>
      <c r="X182" s="103"/>
      <c r="Y182" s="103">
        <v>75926</v>
      </c>
      <c r="Z182" s="104"/>
      <c r="AA182" s="104"/>
      <c r="AB182" s="104"/>
      <c r="AC182" s="104"/>
      <c r="AD182" s="104">
        <v>201717</v>
      </c>
      <c r="AE182" s="104"/>
      <c r="AF182" s="104"/>
      <c r="AG182" s="104"/>
      <c r="AH182" s="104"/>
      <c r="AI182" s="104"/>
      <c r="AJ182" s="104"/>
      <c r="AK182" s="108">
        <f t="shared" si="4"/>
        <v>3100460</v>
      </c>
      <c r="AO182"/>
    </row>
    <row r="183" spans="1:41">
      <c r="A183" s="123" t="s">
        <v>79</v>
      </c>
      <c r="B183" s="123">
        <f>SUM(B170:B182)</f>
        <v>4510</v>
      </c>
      <c r="C183" s="97"/>
      <c r="D183" s="98"/>
      <c r="E183" s="121">
        <f>SUM(E170:E182)</f>
        <v>7231849.9014010867</v>
      </c>
      <c r="F183" s="98"/>
      <c r="G183" s="121">
        <f>SUM(D170:G182)</f>
        <v>7251141.9014010867</v>
      </c>
      <c r="H183" s="100"/>
      <c r="I183" s="100"/>
      <c r="J183" s="121"/>
      <c r="K183" s="121">
        <f>SUM(J170:K182)</f>
        <v>37230455.098598912</v>
      </c>
      <c r="L183" s="100"/>
      <c r="M183" s="100"/>
      <c r="N183" s="100"/>
      <c r="O183" s="121">
        <f>SUM(H170:O182)</f>
        <v>38874515.098598912</v>
      </c>
      <c r="P183" s="102"/>
      <c r="Q183" s="102"/>
      <c r="R183" s="121">
        <f>SUM(P170:R182)</f>
        <v>2489177</v>
      </c>
      <c r="S183" s="103"/>
      <c r="T183" s="103"/>
      <c r="U183" s="103"/>
      <c r="V183" s="103"/>
      <c r="W183" s="103"/>
      <c r="X183" s="103"/>
      <c r="Y183" s="121">
        <f>SUM(S170:Y182)</f>
        <v>1329110</v>
      </c>
      <c r="Z183" s="104"/>
      <c r="AA183" s="104"/>
      <c r="AB183" s="104"/>
      <c r="AC183" s="104"/>
      <c r="AD183" s="104"/>
      <c r="AE183" s="104"/>
      <c r="AF183" s="104"/>
      <c r="AG183" s="104"/>
      <c r="AH183" s="114"/>
      <c r="AI183" s="114"/>
      <c r="AJ183" s="121">
        <f>SUM(Z170:AJ182)</f>
        <v>2585239</v>
      </c>
      <c r="AK183" s="105">
        <f>SUM(AK170:AK182)</f>
        <v>52529183</v>
      </c>
    </row>
    <row r="184" spans="1:41">
      <c r="A184" s="125"/>
      <c r="B184" s="125"/>
      <c r="C184" s="161"/>
      <c r="D184" s="162"/>
      <c r="E184" s="163"/>
      <c r="F184" s="162"/>
      <c r="G184" s="163">
        <f>G183/B183</f>
        <v>1607.7919958760724</v>
      </c>
      <c r="H184" s="164"/>
      <c r="I184" s="164"/>
      <c r="J184" s="164"/>
      <c r="K184" s="163"/>
      <c r="L184" s="164"/>
      <c r="M184" s="164"/>
      <c r="N184" s="164"/>
      <c r="O184" s="163">
        <f>O183/B183</f>
        <v>8619.6264076715997</v>
      </c>
      <c r="P184" s="165"/>
      <c r="Q184" s="165"/>
      <c r="R184" s="163">
        <f>R183/B183</f>
        <v>551.92394678492235</v>
      </c>
      <c r="S184" s="166"/>
      <c r="T184" s="166"/>
      <c r="U184" s="166"/>
      <c r="V184" s="166"/>
      <c r="W184" s="166"/>
      <c r="X184" s="166"/>
      <c r="Y184" s="163">
        <f>Y183/B183</f>
        <v>294.70288248337027</v>
      </c>
      <c r="Z184" s="167"/>
      <c r="AA184" s="167"/>
      <c r="AB184" s="167"/>
      <c r="AC184" s="167"/>
      <c r="AD184" s="167"/>
      <c r="AE184" s="167"/>
      <c r="AF184" s="167"/>
      <c r="AG184" s="167"/>
      <c r="AH184" s="168"/>
      <c r="AI184" s="168"/>
      <c r="AJ184" s="163">
        <f>AJ183/B183</f>
        <v>573.2237250554324</v>
      </c>
      <c r="AK184" s="169"/>
    </row>
    <row r="185" spans="1:41">
      <c r="A185" s="125"/>
      <c r="B185" s="125"/>
      <c r="C185" s="161"/>
      <c r="D185" s="162"/>
      <c r="E185" s="163"/>
      <c r="F185" s="162"/>
      <c r="G185" s="172">
        <f>G183/AK183</f>
        <v>0.13804025662080233</v>
      </c>
      <c r="H185" s="164"/>
      <c r="I185" s="164"/>
      <c r="J185" s="164"/>
      <c r="K185" s="163"/>
      <c r="L185" s="164"/>
      <c r="M185" s="164"/>
      <c r="N185" s="164"/>
      <c r="O185" s="172">
        <f>O183/AK183</f>
        <v>0.74005558202949606</v>
      </c>
      <c r="P185" s="165"/>
      <c r="Q185" s="165"/>
      <c r="R185" s="172">
        <f>R183/AK183</f>
        <v>4.7386554631927168E-2</v>
      </c>
      <c r="S185" s="166"/>
      <c r="T185" s="166"/>
      <c r="U185" s="166"/>
      <c r="V185" s="166"/>
      <c r="W185" s="166"/>
      <c r="X185" s="166"/>
      <c r="Y185" s="172">
        <f>Y183/AK183</f>
        <v>2.5302316238194681E-2</v>
      </c>
      <c r="Z185" s="167"/>
      <c r="AA185" s="167"/>
      <c r="AB185" s="167"/>
      <c r="AC185" s="167"/>
      <c r="AD185" s="167"/>
      <c r="AE185" s="167"/>
      <c r="AF185" s="167"/>
      <c r="AG185" s="167"/>
      <c r="AH185" s="168"/>
      <c r="AI185" s="168"/>
      <c r="AJ185" s="172">
        <f>AJ183/AK183</f>
        <v>4.9215290479579704E-2</v>
      </c>
      <c r="AK185" s="169"/>
    </row>
    <row r="186" spans="1:41">
      <c r="A186" s="125"/>
      <c r="B186" s="125"/>
      <c r="C186" s="161"/>
      <c r="D186" s="162"/>
      <c r="E186" s="163"/>
      <c r="F186" s="162"/>
      <c r="G186" s="163"/>
      <c r="H186" s="164"/>
      <c r="I186" s="164"/>
      <c r="J186" s="163"/>
      <c r="K186" s="163"/>
      <c r="L186" s="164"/>
      <c r="M186" s="164"/>
      <c r="N186" s="164"/>
      <c r="O186" s="163"/>
      <c r="P186" s="165"/>
      <c r="Q186" s="165"/>
      <c r="R186" s="163"/>
      <c r="S186" s="166"/>
      <c r="T186" s="166"/>
      <c r="U186" s="166"/>
      <c r="V186" s="166"/>
      <c r="W186" s="166"/>
      <c r="X186" s="166"/>
      <c r="Y186" s="163"/>
      <c r="Z186" s="167"/>
      <c r="AA186" s="167"/>
      <c r="AB186" s="167"/>
      <c r="AC186" s="167"/>
      <c r="AD186" s="167"/>
      <c r="AE186" s="167"/>
      <c r="AF186" s="167"/>
      <c r="AG186" s="167"/>
      <c r="AH186" s="168"/>
      <c r="AI186" s="168"/>
      <c r="AJ186" s="163"/>
      <c r="AK186" s="169"/>
    </row>
    <row r="187" spans="1:41">
      <c r="A187" s="125"/>
      <c r="B187" s="125"/>
      <c r="C187" s="161"/>
      <c r="D187" s="162"/>
      <c r="E187" s="163"/>
      <c r="F187" s="162"/>
      <c r="G187" s="163"/>
      <c r="H187" s="164"/>
      <c r="I187" s="164"/>
      <c r="J187" s="163"/>
      <c r="K187" s="163"/>
      <c r="L187" s="164"/>
      <c r="M187" s="164"/>
      <c r="N187" s="164"/>
      <c r="O187" s="163"/>
      <c r="P187" s="165"/>
      <c r="Q187" s="165"/>
      <c r="R187" s="163"/>
      <c r="S187" s="166"/>
      <c r="T187" s="166"/>
      <c r="U187" s="166"/>
      <c r="V187" s="166"/>
      <c r="W187" s="166"/>
      <c r="X187" s="166"/>
      <c r="Y187" s="163"/>
      <c r="Z187" s="167"/>
      <c r="AA187" s="167"/>
      <c r="AB187" s="167"/>
      <c r="AC187" s="167"/>
      <c r="AD187" s="167"/>
      <c r="AE187" s="167"/>
      <c r="AF187" s="167"/>
      <c r="AG187" s="167"/>
      <c r="AH187" s="168"/>
      <c r="AI187" s="168"/>
      <c r="AJ187" s="163"/>
      <c r="AK187" s="169"/>
    </row>
    <row r="188" spans="1:41" s="5" customFormat="1">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90"/>
      <c r="AI188" s="90"/>
      <c r="AJ188" s="36"/>
      <c r="AK188" s="36"/>
      <c r="AN188" s="36"/>
      <c r="AO188" s="36"/>
    </row>
    <row r="189" spans="1:41" s="5" customFormat="1">
      <c r="A189" s="125" t="s">
        <v>84</v>
      </c>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90"/>
      <c r="AI189" s="90"/>
      <c r="AJ189" s="36"/>
      <c r="AK189" s="36"/>
      <c r="AN189" s="36"/>
      <c r="AO189" s="36"/>
    </row>
    <row r="190" spans="1:41">
      <c r="A190" s="97" t="s">
        <v>2231</v>
      </c>
      <c r="B190" s="97">
        <f t="shared" ref="B190:B196" si="6">B90</f>
        <v>146</v>
      </c>
      <c r="C190" s="97" t="s">
        <v>2117</v>
      </c>
      <c r="D190" s="98"/>
      <c r="E190" s="99">
        <v>763500.38161207235</v>
      </c>
      <c r="F190" s="98"/>
      <c r="G190" s="98"/>
      <c r="H190" s="100">
        <v>1985</v>
      </c>
      <c r="I190" s="100"/>
      <c r="J190" s="101">
        <v>555024.61838792765</v>
      </c>
      <c r="K190" s="100">
        <v>131675</v>
      </c>
      <c r="L190" s="100"/>
      <c r="M190" s="100"/>
      <c r="N190" s="100"/>
      <c r="O190" s="100"/>
      <c r="P190" s="102">
        <v>169152</v>
      </c>
      <c r="Q190" s="102"/>
      <c r="R190" s="102"/>
      <c r="S190" s="103"/>
      <c r="T190" s="103"/>
      <c r="U190" s="103">
        <v>40088</v>
      </c>
      <c r="V190" s="103"/>
      <c r="W190" s="103"/>
      <c r="X190" s="103"/>
      <c r="Y190" s="103"/>
      <c r="Z190" s="104"/>
      <c r="AA190" s="104"/>
      <c r="AB190" s="104"/>
      <c r="AC190" s="104">
        <v>157841</v>
      </c>
      <c r="AD190" s="104">
        <v>87500</v>
      </c>
      <c r="AE190" s="104"/>
      <c r="AF190" s="104"/>
      <c r="AG190" s="104"/>
      <c r="AH190" s="104"/>
      <c r="AI190" s="104"/>
      <c r="AJ190" s="104"/>
      <c r="AK190" s="108">
        <f t="shared" ref="AK190:AK196" si="7">SUM(D190:AJ190)</f>
        <v>1906766</v>
      </c>
      <c r="AO190"/>
    </row>
    <row r="191" spans="1:41">
      <c r="A191" s="97" t="s">
        <v>2156</v>
      </c>
      <c r="B191" s="97">
        <f t="shared" si="6"/>
        <v>692</v>
      </c>
      <c r="C191" s="97" t="s">
        <v>2117</v>
      </c>
      <c r="D191" s="98"/>
      <c r="E191" s="99">
        <v>3448538.5474295393</v>
      </c>
      <c r="F191" s="98"/>
      <c r="G191" s="98"/>
      <c r="H191" s="100">
        <v>27283</v>
      </c>
      <c r="I191" s="100"/>
      <c r="J191" s="101">
        <v>3048329.4525704598</v>
      </c>
      <c r="K191" s="100">
        <v>18394</v>
      </c>
      <c r="L191" s="100"/>
      <c r="M191" s="100"/>
      <c r="N191" s="100"/>
      <c r="O191" s="100"/>
      <c r="P191" s="102">
        <v>894921</v>
      </c>
      <c r="Q191" s="102"/>
      <c r="R191" s="102"/>
      <c r="S191" s="103"/>
      <c r="T191" s="103"/>
      <c r="U191" s="103">
        <v>236577</v>
      </c>
      <c r="V191" s="103"/>
      <c r="W191" s="103"/>
      <c r="X191" s="103"/>
      <c r="Y191" s="103"/>
      <c r="Z191" s="104"/>
      <c r="AA191" s="104"/>
      <c r="AB191" s="104"/>
      <c r="AC191" s="104">
        <v>57233</v>
      </c>
      <c r="AD191" s="104"/>
      <c r="AE191" s="104"/>
      <c r="AF191" s="104"/>
      <c r="AG191" s="104"/>
      <c r="AH191" s="104"/>
      <c r="AI191" s="104"/>
      <c r="AJ191" s="104"/>
      <c r="AK191" s="108">
        <f t="shared" si="7"/>
        <v>7731275.9999999991</v>
      </c>
      <c r="AO191"/>
    </row>
    <row r="192" spans="1:41">
      <c r="A192" s="97" t="s">
        <v>2162</v>
      </c>
      <c r="B192" s="97">
        <f t="shared" si="6"/>
        <v>141</v>
      </c>
      <c r="C192" s="97" t="s">
        <v>2117</v>
      </c>
      <c r="D192" s="98"/>
      <c r="E192" s="99">
        <v>811855.10950493009</v>
      </c>
      <c r="F192" s="98"/>
      <c r="G192" s="98"/>
      <c r="H192" s="100">
        <v>5244</v>
      </c>
      <c r="I192" s="100"/>
      <c r="J192" s="101">
        <v>603257.89049506967</v>
      </c>
      <c r="K192" s="100"/>
      <c r="L192" s="100"/>
      <c r="M192" s="100"/>
      <c r="N192" s="100"/>
      <c r="O192" s="100"/>
      <c r="P192" s="102">
        <v>222542</v>
      </c>
      <c r="Q192" s="102"/>
      <c r="R192" s="102"/>
      <c r="S192" s="103"/>
      <c r="T192" s="103">
        <v>176387</v>
      </c>
      <c r="U192" s="103">
        <v>90307</v>
      </c>
      <c r="V192" s="103"/>
      <c r="W192" s="103">
        <v>21946</v>
      </c>
      <c r="X192" s="103"/>
      <c r="Y192" s="103"/>
      <c r="Z192" s="104"/>
      <c r="AA192" s="104"/>
      <c r="AB192" s="104"/>
      <c r="AC192" s="104"/>
      <c r="AD192" s="104"/>
      <c r="AE192" s="104"/>
      <c r="AF192" s="104"/>
      <c r="AG192" s="104"/>
      <c r="AH192" s="104"/>
      <c r="AI192" s="104"/>
      <c r="AJ192" s="104"/>
      <c r="AK192" s="108">
        <f t="shared" si="7"/>
        <v>1931538.9999999998</v>
      </c>
      <c r="AO192"/>
    </row>
    <row r="193" spans="1:41">
      <c r="A193" s="97" t="s">
        <v>83</v>
      </c>
      <c r="B193" s="97">
        <f t="shared" si="6"/>
        <v>144</v>
      </c>
      <c r="C193" s="97" t="s">
        <v>2117</v>
      </c>
      <c r="D193" s="98"/>
      <c r="E193" s="99">
        <v>874622.411023597</v>
      </c>
      <c r="F193" s="98"/>
      <c r="G193" s="98"/>
      <c r="H193" s="100">
        <v>12000</v>
      </c>
      <c r="I193" s="100"/>
      <c r="J193" s="101">
        <v>639834.58897640288</v>
      </c>
      <c r="K193" s="100"/>
      <c r="L193" s="100"/>
      <c r="M193" s="100"/>
      <c r="N193" s="100"/>
      <c r="O193" s="100"/>
      <c r="P193" s="102">
        <v>1245837</v>
      </c>
      <c r="Q193" s="102"/>
      <c r="R193" s="102"/>
      <c r="S193" s="103"/>
      <c r="T193" s="103">
        <v>174387</v>
      </c>
      <c r="U193" s="103">
        <v>93618</v>
      </c>
      <c r="V193" s="103"/>
      <c r="W193" s="103">
        <v>24128</v>
      </c>
      <c r="X193" s="103"/>
      <c r="Y193" s="103"/>
      <c r="Z193" s="104"/>
      <c r="AA193" s="104"/>
      <c r="AB193" s="104"/>
      <c r="AC193" s="104"/>
      <c r="AD193" s="104"/>
      <c r="AE193" s="104"/>
      <c r="AF193" s="104"/>
      <c r="AG193" s="104"/>
      <c r="AH193" s="104"/>
      <c r="AI193" s="104"/>
      <c r="AJ193" s="104"/>
      <c r="AK193" s="108">
        <f t="shared" si="7"/>
        <v>3064427</v>
      </c>
      <c r="AO193"/>
    </row>
    <row r="194" spans="1:41">
      <c r="A194" s="97" t="s">
        <v>2203</v>
      </c>
      <c r="B194" s="97">
        <f t="shared" si="6"/>
        <v>103</v>
      </c>
      <c r="C194" s="97" t="s">
        <v>2117</v>
      </c>
      <c r="D194" s="98"/>
      <c r="E194" s="99">
        <v>609081.53735442343</v>
      </c>
      <c r="F194" s="98"/>
      <c r="G194" s="98"/>
      <c r="H194" s="100">
        <v>77640</v>
      </c>
      <c r="I194" s="100"/>
      <c r="J194" s="101">
        <v>469845.46264557657</v>
      </c>
      <c r="K194" s="100">
        <v>26216</v>
      </c>
      <c r="L194" s="100"/>
      <c r="M194" s="100"/>
      <c r="N194" s="100"/>
      <c r="O194" s="100"/>
      <c r="P194" s="102">
        <v>409080</v>
      </c>
      <c r="Q194" s="102"/>
      <c r="R194" s="102"/>
      <c r="S194" s="103"/>
      <c r="T194" s="103"/>
      <c r="U194" s="103">
        <v>186700</v>
      </c>
      <c r="V194" s="103"/>
      <c r="W194" s="103"/>
      <c r="X194" s="103"/>
      <c r="Y194" s="103"/>
      <c r="Z194" s="104"/>
      <c r="AA194" s="104"/>
      <c r="AB194" s="104"/>
      <c r="AC194" s="104"/>
      <c r="AD194" s="104"/>
      <c r="AE194" s="104"/>
      <c r="AF194" s="104"/>
      <c r="AG194" s="104"/>
      <c r="AH194" s="104"/>
      <c r="AI194" s="104"/>
      <c r="AJ194" s="104"/>
      <c r="AK194" s="108">
        <f t="shared" si="7"/>
        <v>1778563</v>
      </c>
      <c r="AO194"/>
    </row>
    <row r="195" spans="1:41">
      <c r="A195" s="97" t="s">
        <v>2204</v>
      </c>
      <c r="B195" s="97">
        <f t="shared" si="6"/>
        <v>113</v>
      </c>
      <c r="C195" s="97" t="s">
        <v>2117</v>
      </c>
      <c r="D195" s="98"/>
      <c r="E195" s="99">
        <v>613841.16114281595</v>
      </c>
      <c r="F195" s="98"/>
      <c r="G195" s="98"/>
      <c r="H195" s="100">
        <v>108883</v>
      </c>
      <c r="I195" s="100"/>
      <c r="J195" s="101">
        <v>459513.83885718387</v>
      </c>
      <c r="K195" s="100">
        <v>74619</v>
      </c>
      <c r="L195" s="100"/>
      <c r="M195" s="100"/>
      <c r="N195" s="100"/>
      <c r="O195" s="100"/>
      <c r="P195" s="102">
        <v>31334</v>
      </c>
      <c r="Q195" s="102"/>
      <c r="R195" s="102"/>
      <c r="S195" s="103"/>
      <c r="T195" s="103"/>
      <c r="U195" s="103">
        <v>38796</v>
      </c>
      <c r="V195" s="103"/>
      <c r="W195" s="103">
        <v>3032</v>
      </c>
      <c r="X195" s="103"/>
      <c r="Y195" s="103"/>
      <c r="Z195" s="104"/>
      <c r="AA195" s="104"/>
      <c r="AB195" s="104"/>
      <c r="AC195" s="104"/>
      <c r="AD195" s="104"/>
      <c r="AE195" s="104"/>
      <c r="AF195" s="104"/>
      <c r="AG195" s="104"/>
      <c r="AH195" s="104"/>
      <c r="AI195" s="104"/>
      <c r="AJ195" s="104"/>
      <c r="AK195" s="121">
        <f t="shared" si="7"/>
        <v>1330018.9999999998</v>
      </c>
      <c r="AN195" s="42">
        <v>2735094</v>
      </c>
      <c r="AO195"/>
    </row>
    <row r="196" spans="1:41">
      <c r="A196" s="97" t="s">
        <v>2096</v>
      </c>
      <c r="B196" s="97">
        <f t="shared" si="6"/>
        <v>166</v>
      </c>
      <c r="C196" s="97" t="s">
        <v>2117</v>
      </c>
      <c r="D196" s="98"/>
      <c r="E196" s="99">
        <v>895694.64716250612</v>
      </c>
      <c r="F196" s="98"/>
      <c r="G196" s="98"/>
      <c r="H196" s="100">
        <v>3773</v>
      </c>
      <c r="I196" s="100"/>
      <c r="J196" s="101">
        <v>687421.35283749364</v>
      </c>
      <c r="K196" s="100">
        <v>51703</v>
      </c>
      <c r="L196" s="100"/>
      <c r="M196" s="100"/>
      <c r="N196" s="100"/>
      <c r="O196" s="100"/>
      <c r="P196" s="102">
        <v>59939</v>
      </c>
      <c r="Q196" s="102"/>
      <c r="R196" s="102"/>
      <c r="S196" s="103"/>
      <c r="T196" s="103"/>
      <c r="U196" s="103">
        <v>63296</v>
      </c>
      <c r="V196" s="103"/>
      <c r="W196" s="103"/>
      <c r="X196" s="103"/>
      <c r="Y196" s="103"/>
      <c r="Z196" s="104"/>
      <c r="AA196" s="104"/>
      <c r="AB196" s="104"/>
      <c r="AC196" s="104">
        <v>454667</v>
      </c>
      <c r="AD196" s="104"/>
      <c r="AE196" s="104"/>
      <c r="AF196" s="104"/>
      <c r="AG196" s="104"/>
      <c r="AH196" s="104"/>
      <c r="AI196" s="104"/>
      <c r="AJ196" s="104"/>
      <c r="AK196" s="108">
        <f t="shared" si="7"/>
        <v>2216494</v>
      </c>
      <c r="AO196"/>
    </row>
    <row r="197" spans="1:41">
      <c r="A197" s="123" t="s">
        <v>80</v>
      </c>
      <c r="B197" s="123">
        <f>SUM(B190:B196)</f>
        <v>1505</v>
      </c>
      <c r="C197" s="97"/>
      <c r="D197" s="98"/>
      <c r="E197" s="121">
        <f>SUM(E190:E196)</f>
        <v>8017133.7952298848</v>
      </c>
      <c r="F197" s="98"/>
      <c r="G197" s="121">
        <f>SUM(D190:G196)</f>
        <v>8017133.7952298848</v>
      </c>
      <c r="H197" s="100"/>
      <c r="I197" s="100"/>
      <c r="J197" s="121"/>
      <c r="K197" s="121">
        <f>SUM(J190:K196)</f>
        <v>6765834.2047701143</v>
      </c>
      <c r="L197" s="100"/>
      <c r="M197" s="100"/>
      <c r="N197" s="100"/>
      <c r="O197" s="121">
        <f>SUM(H190:O196)</f>
        <v>7002642.2047701143</v>
      </c>
      <c r="P197" s="102"/>
      <c r="Q197" s="102"/>
      <c r="R197" s="121">
        <f>SUM(P190:R196)</f>
        <v>3032805</v>
      </c>
      <c r="S197" s="103"/>
      <c r="T197" s="103"/>
      <c r="U197" s="103"/>
      <c r="V197" s="103"/>
      <c r="W197" s="103"/>
      <c r="X197" s="103"/>
      <c r="Y197" s="121">
        <f>SUM(S190:Y196)</f>
        <v>1149262</v>
      </c>
      <c r="Z197" s="104"/>
      <c r="AA197" s="104"/>
      <c r="AB197" s="104"/>
      <c r="AC197" s="104"/>
      <c r="AD197" s="104"/>
      <c r="AE197" s="104"/>
      <c r="AF197" s="104"/>
      <c r="AG197" s="104"/>
      <c r="AH197" s="114"/>
      <c r="AI197" s="114"/>
      <c r="AJ197" s="121">
        <f>SUM(Z190:AJ196)</f>
        <v>757241</v>
      </c>
      <c r="AK197" s="105">
        <f>SUM(AK190:AK196)</f>
        <v>19959084</v>
      </c>
    </row>
    <row r="198" spans="1:41" s="5" customFormat="1">
      <c r="D198" s="36"/>
      <c r="E198" s="163"/>
      <c r="F198" s="162"/>
      <c r="G198" s="163">
        <f>G197/B197</f>
        <v>5326.9991994882957</v>
      </c>
      <c r="H198" s="164"/>
      <c r="I198" s="164"/>
      <c r="J198" s="164"/>
      <c r="K198" s="163"/>
      <c r="L198" s="164"/>
      <c r="M198" s="164"/>
      <c r="N198" s="164"/>
      <c r="O198" s="163">
        <f>O197/B197</f>
        <v>4652.9184084851258</v>
      </c>
      <c r="P198" s="165"/>
      <c r="Q198" s="165"/>
      <c r="R198" s="163">
        <f>R197/B197</f>
        <v>2015.1528239202657</v>
      </c>
      <c r="S198" s="166"/>
      <c r="T198" s="166"/>
      <c r="U198" s="166"/>
      <c r="V198" s="166"/>
      <c r="W198" s="166"/>
      <c r="X198" s="166"/>
      <c r="Y198" s="163">
        <f>Y197/B197</f>
        <v>763.62923588039871</v>
      </c>
      <c r="Z198" s="167"/>
      <c r="AA198" s="167"/>
      <c r="AB198" s="167"/>
      <c r="AC198" s="167"/>
      <c r="AD198" s="167"/>
      <c r="AE198" s="167"/>
      <c r="AF198" s="167"/>
      <c r="AG198" s="167"/>
      <c r="AH198" s="168"/>
      <c r="AI198" s="168"/>
      <c r="AJ198" s="163">
        <f>AJ197/B197</f>
        <v>503.15016611295681</v>
      </c>
      <c r="AK198" s="36"/>
      <c r="AN198" s="36"/>
      <c r="AO198" s="36"/>
    </row>
    <row r="199" spans="1:41" s="5" customFormat="1">
      <c r="D199" s="36"/>
      <c r="E199" s="36"/>
      <c r="F199" s="36"/>
      <c r="G199" s="172">
        <f>G197/AK197</f>
        <v>0.40167844352125004</v>
      </c>
      <c r="H199" s="164"/>
      <c r="I199" s="164"/>
      <c r="J199" s="164"/>
      <c r="K199" s="163"/>
      <c r="L199" s="164"/>
      <c r="M199" s="164"/>
      <c r="N199" s="164"/>
      <c r="O199" s="172">
        <f>O197/AK197</f>
        <v>0.35084987892080188</v>
      </c>
      <c r="P199" s="165"/>
      <c r="Q199" s="165"/>
      <c r="R199" s="172">
        <f>R197/AK197</f>
        <v>0.1519511115840787</v>
      </c>
      <c r="S199" s="166"/>
      <c r="T199" s="166"/>
      <c r="U199" s="166"/>
      <c r="V199" s="166"/>
      <c r="W199" s="166"/>
      <c r="X199" s="166"/>
      <c r="Y199" s="172">
        <f>Y197/AK197</f>
        <v>5.7580899003180711E-2</v>
      </c>
      <c r="Z199" s="167"/>
      <c r="AA199" s="167"/>
      <c r="AB199" s="167"/>
      <c r="AC199" s="167"/>
      <c r="AD199" s="167"/>
      <c r="AE199" s="167"/>
      <c r="AF199" s="167"/>
      <c r="AG199" s="167"/>
      <c r="AH199" s="168"/>
      <c r="AI199" s="168"/>
      <c r="AJ199" s="172">
        <f>AJ197/AK197</f>
        <v>3.7939666970688637E-2</v>
      </c>
      <c r="AK199" s="36"/>
      <c r="AN199" s="36"/>
      <c r="AO199" s="36"/>
    </row>
    <row r="200" spans="1:41" s="5" customFormat="1">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90"/>
      <c r="AI200" s="90"/>
      <c r="AJ200" s="36"/>
      <c r="AK200" s="36"/>
      <c r="AN200" s="36"/>
      <c r="AO200" s="36"/>
    </row>
    <row r="201" spans="1:41" s="5" customFormat="1">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90"/>
      <c r="AI201" s="90"/>
      <c r="AJ201" s="36"/>
      <c r="AK201" s="36"/>
      <c r="AN201" s="36"/>
      <c r="AO201" s="36"/>
    </row>
    <row r="202" spans="1:41" s="5" customFormat="1">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90"/>
      <c r="AI202" s="90"/>
      <c r="AJ202" s="36"/>
      <c r="AK202" s="36"/>
      <c r="AN202" s="36"/>
      <c r="AO202" s="36"/>
    </row>
    <row r="203" spans="1:41" s="5" customFormat="1">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90"/>
      <c r="AI203" s="90"/>
      <c r="AJ203" s="36"/>
      <c r="AK203" s="36"/>
      <c r="AN203" s="36"/>
      <c r="AO203" s="36"/>
    </row>
    <row r="204" spans="1:41" s="5" customFormat="1">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90"/>
      <c r="AI204" s="90"/>
      <c r="AJ204" s="36"/>
      <c r="AK204" s="36"/>
      <c r="AN204" s="36"/>
      <c r="AO204" s="36"/>
    </row>
    <row r="205" spans="1:41" s="5" customFormat="1">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90"/>
      <c r="AI205" s="90"/>
      <c r="AJ205" s="36"/>
      <c r="AK205" s="36"/>
      <c r="AN205" s="36"/>
      <c r="AO205" s="36"/>
    </row>
    <row r="206" spans="1:41" s="5" customFormat="1">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90"/>
      <c r="AI206" s="90"/>
      <c r="AJ206" s="36"/>
      <c r="AK206" s="36"/>
      <c r="AN206" s="36"/>
      <c r="AO206" s="36"/>
    </row>
    <row r="207" spans="1:41" s="5" customFormat="1">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90"/>
      <c r="AI207" s="90"/>
      <c r="AJ207" s="36"/>
      <c r="AK207" s="36"/>
      <c r="AN207" s="36"/>
      <c r="AO207" s="36"/>
    </row>
    <row r="208" spans="1:41" s="5" customFormat="1">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90"/>
      <c r="AI208" s="90"/>
      <c r="AJ208" s="36"/>
      <c r="AK208" s="36"/>
      <c r="AN208" s="36"/>
      <c r="AO208" s="36"/>
    </row>
    <row r="209" spans="4:41" s="5" customFormat="1">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90"/>
      <c r="AI209" s="90"/>
      <c r="AJ209" s="36"/>
      <c r="AK209" s="36"/>
      <c r="AN209" s="36"/>
      <c r="AO209" s="36"/>
    </row>
    <row r="210" spans="4:41" s="5" customFormat="1">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90"/>
      <c r="AI210" s="90"/>
      <c r="AJ210" s="36"/>
      <c r="AK210" s="36"/>
      <c r="AN210" s="36"/>
      <c r="AO210" s="36"/>
    </row>
    <row r="211" spans="4:41" s="5" customFormat="1">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90"/>
      <c r="AI211" s="90"/>
      <c r="AJ211" s="36"/>
      <c r="AK211" s="36"/>
      <c r="AN211" s="36"/>
      <c r="AO211" s="36"/>
    </row>
    <row r="212" spans="4:41" s="5" customFormat="1">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90"/>
      <c r="AI212" s="90"/>
      <c r="AJ212" s="36"/>
      <c r="AK212" s="36"/>
      <c r="AN212" s="36"/>
      <c r="AO212" s="36"/>
    </row>
    <row r="213" spans="4:41" s="5" customFormat="1">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90"/>
      <c r="AI213" s="90"/>
      <c r="AJ213" s="36"/>
      <c r="AK213" s="36"/>
      <c r="AN213" s="36"/>
      <c r="AO213" s="36"/>
    </row>
    <row r="214" spans="4:41" s="5" customFormat="1">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90"/>
      <c r="AI214" s="90"/>
      <c r="AJ214" s="36"/>
      <c r="AK214" s="36"/>
      <c r="AN214" s="36"/>
      <c r="AO214" s="36"/>
    </row>
    <row r="215" spans="4:41" s="5" customFormat="1">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90"/>
      <c r="AI215" s="90"/>
      <c r="AJ215" s="36"/>
      <c r="AK215" s="36"/>
      <c r="AN215" s="36"/>
      <c r="AO215" s="36"/>
    </row>
    <row r="216" spans="4:41" s="5" customFormat="1">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90"/>
      <c r="AI216" s="90"/>
      <c r="AJ216" s="36"/>
      <c r="AK216" s="36"/>
      <c r="AN216" s="36"/>
      <c r="AO216" s="36"/>
    </row>
    <row r="217" spans="4:41" s="5" customFormat="1">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90"/>
      <c r="AI217" s="90"/>
      <c r="AJ217" s="36"/>
      <c r="AK217" s="36"/>
      <c r="AN217" s="36"/>
      <c r="AO217" s="36"/>
    </row>
    <row r="218" spans="4:41" s="5" customFormat="1">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90"/>
      <c r="AI218" s="90"/>
      <c r="AJ218" s="36"/>
      <c r="AK218" s="36"/>
      <c r="AN218" s="36"/>
      <c r="AO218" s="36"/>
    </row>
    <row r="219" spans="4:41" s="5" customFormat="1">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90"/>
      <c r="AI219" s="90"/>
      <c r="AJ219" s="36"/>
      <c r="AK219" s="36"/>
      <c r="AN219" s="36"/>
      <c r="AO219" s="36"/>
    </row>
    <row r="220" spans="4:41" s="5" customFormat="1">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90"/>
      <c r="AI220" s="90"/>
      <c r="AJ220" s="36"/>
      <c r="AK220" s="36"/>
      <c r="AN220" s="36"/>
      <c r="AO220" s="36"/>
    </row>
    <row r="221" spans="4:41" s="5" customFormat="1">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90"/>
      <c r="AI221" s="90"/>
      <c r="AJ221" s="36"/>
      <c r="AK221" s="36"/>
      <c r="AN221" s="36"/>
      <c r="AO221" s="36"/>
    </row>
    <row r="222" spans="4:41" s="5" customFormat="1">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90"/>
      <c r="AI222" s="90"/>
      <c r="AJ222" s="36"/>
      <c r="AK222" s="36"/>
      <c r="AN222" s="36"/>
      <c r="AO222" s="36"/>
    </row>
    <row r="223" spans="4:41" s="5" customFormat="1">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90"/>
      <c r="AI223" s="90"/>
      <c r="AJ223" s="36"/>
      <c r="AK223" s="36"/>
      <c r="AN223" s="36"/>
      <c r="AO223" s="36"/>
    </row>
    <row r="224" spans="4:41" s="5" customFormat="1">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90"/>
      <c r="AI224" s="90"/>
      <c r="AJ224" s="36"/>
      <c r="AK224" s="36"/>
      <c r="AN224" s="36"/>
      <c r="AO224" s="36"/>
    </row>
    <row r="225" spans="4:41" s="5" customFormat="1">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90"/>
      <c r="AI225" s="90"/>
      <c r="AJ225" s="36"/>
      <c r="AK225" s="36"/>
      <c r="AN225" s="36"/>
      <c r="AO225" s="36"/>
    </row>
    <row r="226" spans="4:41" s="5" customFormat="1">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90"/>
      <c r="AI226" s="90"/>
      <c r="AJ226" s="36"/>
      <c r="AK226" s="36"/>
      <c r="AN226" s="36"/>
      <c r="AO226" s="36"/>
    </row>
    <row r="227" spans="4:41" s="5" customFormat="1">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90"/>
      <c r="AI227" s="90"/>
      <c r="AJ227" s="36"/>
      <c r="AK227" s="36"/>
      <c r="AN227" s="36"/>
      <c r="AO227" s="36"/>
    </row>
    <row r="228" spans="4:41" s="5" customFormat="1">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90"/>
      <c r="AI228" s="90"/>
      <c r="AJ228" s="36"/>
      <c r="AK228" s="36"/>
      <c r="AN228" s="36"/>
      <c r="AO228" s="36"/>
    </row>
    <row r="229" spans="4:41" s="5" customFormat="1">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90"/>
      <c r="AI229" s="90"/>
      <c r="AJ229" s="36"/>
      <c r="AK229" s="36"/>
      <c r="AN229" s="36"/>
      <c r="AO229" s="36"/>
    </row>
    <row r="230" spans="4:41" s="5" customFormat="1">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90"/>
      <c r="AI230" s="90"/>
      <c r="AJ230" s="36"/>
      <c r="AK230" s="36"/>
      <c r="AN230" s="36"/>
      <c r="AO230" s="36"/>
    </row>
    <row r="231" spans="4:41" s="5" customFormat="1">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90"/>
      <c r="AI231" s="90"/>
      <c r="AJ231" s="36"/>
      <c r="AK231" s="36"/>
      <c r="AN231" s="36"/>
      <c r="AO231" s="36"/>
    </row>
    <row r="232" spans="4:41" s="5" customFormat="1">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90"/>
      <c r="AI232" s="90"/>
      <c r="AJ232" s="36"/>
      <c r="AK232" s="36"/>
      <c r="AN232" s="36"/>
      <c r="AO232" s="36"/>
    </row>
    <row r="233" spans="4:41" s="5" customFormat="1">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90"/>
      <c r="AI233" s="90"/>
      <c r="AJ233" s="36"/>
      <c r="AK233" s="36"/>
      <c r="AN233" s="36"/>
      <c r="AO233" s="36"/>
    </row>
    <row r="234" spans="4:41" s="5" customFormat="1">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90"/>
      <c r="AI234" s="90"/>
      <c r="AJ234" s="36"/>
      <c r="AK234" s="36"/>
      <c r="AN234" s="36"/>
      <c r="AO234" s="36"/>
    </row>
    <row r="235" spans="4:41" s="5" customFormat="1">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90"/>
      <c r="AI235" s="90"/>
      <c r="AJ235" s="36"/>
      <c r="AK235" s="36"/>
      <c r="AN235" s="36"/>
      <c r="AO235" s="36"/>
    </row>
    <row r="236" spans="4:41" s="5" customFormat="1">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90"/>
      <c r="AI236" s="90"/>
      <c r="AJ236" s="36"/>
      <c r="AK236" s="36"/>
      <c r="AN236" s="36"/>
      <c r="AO236" s="36"/>
    </row>
    <row r="237" spans="4:41" s="5" customFormat="1">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90"/>
      <c r="AI237" s="90"/>
      <c r="AJ237" s="36"/>
      <c r="AK237" s="36"/>
      <c r="AN237" s="36"/>
      <c r="AO237" s="36"/>
    </row>
    <row r="238" spans="4:41" s="5" customFormat="1">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90"/>
      <c r="AI238" s="90"/>
      <c r="AJ238" s="36"/>
      <c r="AK238" s="36"/>
      <c r="AN238" s="36"/>
      <c r="AO238" s="36"/>
    </row>
    <row r="239" spans="4:41" s="5" customFormat="1">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90"/>
      <c r="AI239" s="90"/>
      <c r="AJ239" s="36"/>
      <c r="AK239" s="36"/>
      <c r="AN239" s="36"/>
      <c r="AO239" s="36"/>
    </row>
    <row r="240" spans="4:41" s="5" customFormat="1">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90"/>
      <c r="AI240" s="90"/>
      <c r="AJ240" s="36"/>
      <c r="AK240" s="36"/>
      <c r="AN240" s="36"/>
      <c r="AO240" s="36"/>
    </row>
    <row r="241" spans="4:41" s="5" customFormat="1">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90"/>
      <c r="AI241" s="90"/>
      <c r="AJ241" s="36"/>
      <c r="AK241" s="36"/>
      <c r="AN241" s="36"/>
      <c r="AO241" s="36"/>
    </row>
    <row r="242" spans="4:41" s="5" customFormat="1">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90"/>
      <c r="AI242" s="90"/>
      <c r="AJ242" s="36"/>
      <c r="AK242" s="36"/>
      <c r="AN242" s="36"/>
      <c r="AO242" s="36"/>
    </row>
    <row r="243" spans="4:41" s="5" customFormat="1">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90"/>
      <c r="AI243" s="90"/>
      <c r="AJ243" s="36"/>
      <c r="AK243" s="36"/>
      <c r="AN243" s="36"/>
      <c r="AO243" s="36"/>
    </row>
    <row r="244" spans="4:41" s="5" customFormat="1">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90"/>
      <c r="AI244" s="90"/>
      <c r="AJ244" s="36"/>
      <c r="AK244" s="36"/>
      <c r="AN244" s="36"/>
      <c r="AO244" s="36"/>
    </row>
    <row r="245" spans="4:41" s="5" customFormat="1">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90"/>
      <c r="AI245" s="90"/>
      <c r="AJ245" s="36"/>
      <c r="AK245" s="36"/>
      <c r="AN245" s="36"/>
      <c r="AO245" s="36"/>
    </row>
    <row r="246" spans="4:41" s="5" customFormat="1">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90"/>
      <c r="AI246" s="90"/>
      <c r="AJ246" s="36"/>
      <c r="AK246" s="36"/>
      <c r="AN246" s="36"/>
      <c r="AO246" s="36"/>
    </row>
    <row r="247" spans="4:41" s="5" customFormat="1">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90"/>
      <c r="AI247" s="90"/>
      <c r="AJ247" s="36"/>
      <c r="AK247" s="36"/>
      <c r="AN247" s="36"/>
      <c r="AO247" s="36"/>
    </row>
    <row r="248" spans="4:41" s="5" customFormat="1">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90"/>
      <c r="AI248" s="90"/>
      <c r="AJ248" s="36"/>
      <c r="AK248" s="36"/>
      <c r="AN248" s="36"/>
      <c r="AO248" s="36"/>
    </row>
    <row r="249" spans="4:41" s="5" customFormat="1">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90"/>
      <c r="AI249" s="90"/>
      <c r="AJ249" s="36"/>
      <c r="AK249" s="36"/>
      <c r="AN249" s="36"/>
      <c r="AO249" s="36"/>
    </row>
    <row r="250" spans="4:41" s="5" customFormat="1">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90"/>
      <c r="AI250" s="90"/>
      <c r="AJ250" s="36"/>
      <c r="AK250" s="36"/>
      <c r="AN250" s="36"/>
      <c r="AO250" s="36"/>
    </row>
    <row r="251" spans="4:41" s="5" customFormat="1">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90"/>
      <c r="AI251" s="90"/>
      <c r="AJ251" s="36"/>
      <c r="AK251" s="36"/>
      <c r="AN251" s="36"/>
      <c r="AO251" s="36"/>
    </row>
    <row r="252" spans="4:41" s="5" customFormat="1">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90"/>
      <c r="AI252" s="90"/>
      <c r="AJ252" s="36"/>
      <c r="AK252" s="36"/>
      <c r="AN252" s="36"/>
      <c r="AO252" s="36"/>
    </row>
    <row r="253" spans="4:41" s="5" customFormat="1">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90"/>
      <c r="AI253" s="90"/>
      <c r="AJ253" s="36"/>
      <c r="AK253" s="36"/>
      <c r="AN253" s="36"/>
      <c r="AO253" s="36"/>
    </row>
    <row r="254" spans="4:41" s="5" customFormat="1">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90"/>
      <c r="AI254" s="90"/>
      <c r="AJ254" s="36"/>
      <c r="AK254" s="36"/>
      <c r="AN254" s="36"/>
      <c r="AO254" s="36"/>
    </row>
    <row r="255" spans="4:41" s="5" customFormat="1">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90"/>
      <c r="AI255" s="90"/>
      <c r="AJ255" s="36"/>
      <c r="AK255" s="36"/>
      <c r="AN255" s="36"/>
      <c r="AO255" s="36"/>
    </row>
    <row r="256" spans="4:41" s="5" customFormat="1">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90"/>
      <c r="AI256" s="90"/>
      <c r="AJ256" s="36"/>
      <c r="AK256" s="36"/>
      <c r="AN256" s="36"/>
      <c r="AO256" s="36"/>
    </row>
    <row r="257" spans="4:41" s="5" customFormat="1">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90"/>
      <c r="AI257" s="90"/>
      <c r="AJ257" s="36"/>
      <c r="AK257" s="36"/>
      <c r="AN257" s="36"/>
      <c r="AO257" s="36"/>
    </row>
    <row r="258" spans="4:41" s="5" customFormat="1">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90"/>
      <c r="AI258" s="90"/>
      <c r="AJ258" s="36"/>
      <c r="AK258" s="36"/>
      <c r="AN258" s="36"/>
      <c r="AO258" s="36"/>
    </row>
    <row r="259" spans="4:41" s="5" customFormat="1">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90"/>
      <c r="AI259" s="90"/>
      <c r="AJ259" s="36"/>
      <c r="AK259" s="36"/>
      <c r="AN259" s="36"/>
      <c r="AO259" s="36"/>
    </row>
    <row r="260" spans="4:41" s="5" customFormat="1">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90"/>
      <c r="AI260" s="90"/>
      <c r="AJ260" s="36"/>
      <c r="AK260" s="36"/>
      <c r="AN260" s="36"/>
      <c r="AO260" s="36"/>
    </row>
    <row r="261" spans="4:41" s="5" customFormat="1">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90"/>
      <c r="AI261" s="90"/>
      <c r="AJ261" s="36"/>
      <c r="AK261" s="36"/>
      <c r="AN261" s="36"/>
      <c r="AO261" s="36"/>
    </row>
    <row r="262" spans="4:41" s="5" customFormat="1">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90"/>
      <c r="AI262" s="90"/>
      <c r="AJ262" s="36"/>
      <c r="AK262" s="36"/>
      <c r="AN262" s="36"/>
      <c r="AO262" s="36"/>
    </row>
    <row r="263" spans="4:41" s="5" customFormat="1">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90"/>
      <c r="AI263" s="90"/>
      <c r="AJ263" s="36"/>
      <c r="AK263" s="36"/>
      <c r="AN263" s="36"/>
      <c r="AO263" s="36"/>
    </row>
    <row r="264" spans="4:41" s="5" customFormat="1">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90"/>
      <c r="AI264" s="90"/>
      <c r="AJ264" s="36"/>
      <c r="AK264" s="36"/>
      <c r="AN264" s="36"/>
      <c r="AO264" s="36"/>
    </row>
    <row r="265" spans="4:41" s="5" customFormat="1">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90"/>
      <c r="AI265" s="90"/>
      <c r="AJ265" s="36"/>
      <c r="AK265" s="36"/>
      <c r="AN265" s="36"/>
      <c r="AO265" s="36"/>
    </row>
    <row r="266" spans="4:41" s="5" customFormat="1">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90"/>
      <c r="AI266" s="90"/>
      <c r="AJ266" s="36"/>
      <c r="AK266" s="36"/>
      <c r="AN266" s="36"/>
      <c r="AO266" s="36"/>
    </row>
    <row r="267" spans="4:41" s="5" customFormat="1">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90"/>
      <c r="AI267" s="90"/>
      <c r="AJ267" s="36"/>
      <c r="AK267" s="36"/>
      <c r="AN267" s="36"/>
      <c r="AO267" s="36"/>
    </row>
    <row r="268" spans="4:41" s="5" customFormat="1">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90"/>
      <c r="AI268" s="90"/>
      <c r="AJ268" s="36"/>
      <c r="AK268" s="36"/>
      <c r="AN268" s="36"/>
      <c r="AO268" s="36"/>
    </row>
    <row r="269" spans="4:41" s="5" customFormat="1">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90"/>
      <c r="AI269" s="90"/>
      <c r="AJ269" s="36"/>
      <c r="AK269" s="36"/>
      <c r="AN269" s="36"/>
      <c r="AO269" s="36"/>
    </row>
    <row r="270" spans="4:41" s="5" customFormat="1">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90"/>
      <c r="AI270" s="90"/>
      <c r="AJ270" s="36"/>
      <c r="AK270" s="36"/>
      <c r="AN270" s="36"/>
      <c r="AO270" s="36"/>
    </row>
    <row r="271" spans="4:41" s="5" customFormat="1">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90"/>
      <c r="AI271" s="90"/>
      <c r="AJ271" s="36"/>
      <c r="AK271" s="36"/>
      <c r="AN271" s="36"/>
      <c r="AO271" s="36"/>
    </row>
    <row r="272" spans="4:41" s="5" customFormat="1">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90"/>
      <c r="AI272" s="90"/>
      <c r="AJ272" s="36"/>
      <c r="AK272" s="36"/>
      <c r="AN272" s="36"/>
      <c r="AO272" s="36"/>
    </row>
    <row r="273" spans="4:41" s="5" customFormat="1">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90"/>
      <c r="AI273" s="90"/>
      <c r="AJ273" s="36"/>
      <c r="AK273" s="36"/>
      <c r="AN273" s="36"/>
      <c r="AO273" s="36"/>
    </row>
    <row r="274" spans="4:41" s="5" customFormat="1">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90"/>
      <c r="AI274" s="90"/>
      <c r="AJ274" s="36"/>
      <c r="AK274" s="36"/>
      <c r="AN274" s="36"/>
      <c r="AO274" s="36"/>
    </row>
    <row r="275" spans="4:41" s="5" customFormat="1">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90"/>
      <c r="AI275" s="90"/>
      <c r="AJ275" s="36"/>
      <c r="AK275" s="36"/>
      <c r="AN275" s="36"/>
      <c r="AO275" s="36"/>
    </row>
    <row r="276" spans="4:41" s="5" customFormat="1">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90"/>
      <c r="AI276" s="90"/>
      <c r="AJ276" s="36"/>
      <c r="AK276" s="36"/>
      <c r="AN276" s="36"/>
      <c r="AO276" s="36"/>
    </row>
    <row r="277" spans="4:41" s="5" customFormat="1">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90"/>
      <c r="AI277" s="90"/>
      <c r="AJ277" s="36"/>
      <c r="AK277" s="36"/>
      <c r="AN277" s="36"/>
      <c r="AO277" s="36"/>
    </row>
    <row r="278" spans="4:41" s="5" customFormat="1">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90"/>
      <c r="AI278" s="90"/>
      <c r="AJ278" s="36"/>
      <c r="AK278" s="36"/>
      <c r="AN278" s="36"/>
      <c r="AO278" s="36"/>
    </row>
    <row r="279" spans="4:41" s="5" customFormat="1">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90"/>
      <c r="AI279" s="90"/>
      <c r="AJ279" s="36"/>
      <c r="AK279" s="36"/>
      <c r="AN279" s="36"/>
      <c r="AO279" s="36"/>
    </row>
    <row r="280" spans="4:41" s="5" customFormat="1">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90"/>
      <c r="AI280" s="90"/>
      <c r="AJ280" s="36"/>
      <c r="AK280" s="36"/>
      <c r="AN280" s="36"/>
      <c r="AO280" s="36"/>
    </row>
    <row r="281" spans="4:41" s="5" customFormat="1">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90"/>
      <c r="AI281" s="90"/>
      <c r="AJ281" s="36"/>
      <c r="AK281" s="36"/>
      <c r="AN281" s="36"/>
      <c r="AO281" s="36"/>
    </row>
    <row r="282" spans="4:41" s="5" customFormat="1">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90"/>
      <c r="AI282" s="90"/>
      <c r="AJ282" s="36"/>
      <c r="AK282" s="36"/>
      <c r="AN282" s="36"/>
      <c r="AO282" s="36"/>
    </row>
    <row r="283" spans="4:41" s="5" customFormat="1">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90"/>
      <c r="AI283" s="90"/>
      <c r="AJ283" s="36"/>
      <c r="AK283" s="36"/>
      <c r="AN283" s="36"/>
      <c r="AO283" s="36"/>
    </row>
    <row r="284" spans="4:41" s="5" customFormat="1">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90"/>
      <c r="AI284" s="90"/>
      <c r="AJ284" s="36"/>
      <c r="AK284" s="36"/>
      <c r="AN284" s="36"/>
      <c r="AO284" s="36"/>
    </row>
    <row r="285" spans="4:41" s="5" customFormat="1">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90"/>
      <c r="AI285" s="90"/>
      <c r="AJ285" s="36"/>
      <c r="AK285" s="36"/>
      <c r="AN285" s="36"/>
      <c r="AO285" s="36"/>
    </row>
    <row r="286" spans="4:41" s="5" customFormat="1">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90"/>
      <c r="AI286" s="90"/>
      <c r="AJ286" s="36"/>
      <c r="AK286" s="36"/>
      <c r="AN286" s="36"/>
      <c r="AO286" s="36"/>
    </row>
    <row r="287" spans="4:41" s="5" customFormat="1">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90"/>
      <c r="AI287" s="90"/>
      <c r="AJ287" s="36"/>
      <c r="AK287" s="36"/>
      <c r="AN287" s="36"/>
      <c r="AO287" s="36"/>
    </row>
    <row r="288" spans="4:41" s="5" customFormat="1">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90"/>
      <c r="AI288" s="90"/>
      <c r="AJ288" s="36"/>
      <c r="AK288" s="36"/>
      <c r="AN288" s="36"/>
      <c r="AO288" s="36"/>
    </row>
    <row r="289" spans="4:41" s="5" customFormat="1">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90"/>
      <c r="AI289" s="90"/>
      <c r="AJ289" s="36"/>
      <c r="AK289" s="36"/>
      <c r="AN289" s="36"/>
      <c r="AO289" s="36"/>
    </row>
    <row r="290" spans="4:41" s="5" customFormat="1">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90"/>
      <c r="AI290" s="90"/>
      <c r="AJ290" s="36"/>
      <c r="AK290" s="36"/>
      <c r="AN290" s="36"/>
      <c r="AO290" s="36"/>
    </row>
    <row r="291" spans="4:41" s="5" customFormat="1">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90"/>
      <c r="AI291" s="90"/>
      <c r="AJ291" s="36"/>
      <c r="AK291" s="36"/>
      <c r="AN291" s="36"/>
      <c r="AO291" s="36"/>
    </row>
    <row r="292" spans="4:41" s="5" customFormat="1">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90"/>
      <c r="AI292" s="90"/>
      <c r="AJ292" s="36"/>
      <c r="AK292" s="36"/>
      <c r="AN292" s="36"/>
      <c r="AO292" s="36"/>
    </row>
    <row r="293" spans="4:41" s="5" customFormat="1">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90"/>
      <c r="AI293" s="90"/>
      <c r="AJ293" s="36"/>
      <c r="AK293" s="36"/>
      <c r="AN293" s="36"/>
      <c r="AO293" s="36"/>
    </row>
    <row r="294" spans="4:41" s="5" customFormat="1">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90"/>
      <c r="AI294" s="90"/>
      <c r="AJ294" s="36"/>
      <c r="AK294" s="36"/>
      <c r="AN294" s="36"/>
      <c r="AO294" s="36"/>
    </row>
    <row r="295" spans="4:41" s="5" customFormat="1">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90"/>
      <c r="AI295" s="90"/>
      <c r="AJ295" s="36"/>
      <c r="AK295" s="36"/>
      <c r="AN295" s="36"/>
      <c r="AO295" s="36"/>
    </row>
    <row r="296" spans="4:41" s="5" customFormat="1">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90"/>
      <c r="AI296" s="90"/>
      <c r="AJ296" s="36"/>
      <c r="AK296" s="36"/>
      <c r="AN296" s="36"/>
      <c r="AO296" s="36"/>
    </row>
    <row r="297" spans="4:41" s="5" customFormat="1">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90"/>
      <c r="AI297" s="90"/>
      <c r="AJ297" s="36"/>
      <c r="AK297" s="36"/>
      <c r="AN297" s="36"/>
      <c r="AO297" s="36"/>
    </row>
    <row r="298" spans="4:41" s="5" customFormat="1">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90"/>
      <c r="AI298" s="90"/>
      <c r="AJ298" s="36"/>
      <c r="AK298" s="36"/>
      <c r="AN298" s="36"/>
      <c r="AO298" s="36"/>
    </row>
    <row r="299" spans="4:41" s="5" customFormat="1">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90"/>
      <c r="AI299" s="90"/>
      <c r="AJ299" s="36"/>
      <c r="AK299" s="36"/>
      <c r="AN299" s="36"/>
      <c r="AO299" s="36"/>
    </row>
    <row r="300" spans="4:41" s="5" customFormat="1">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90"/>
      <c r="AI300" s="90"/>
      <c r="AJ300" s="36"/>
      <c r="AK300" s="36"/>
      <c r="AN300" s="36"/>
      <c r="AO300" s="36"/>
    </row>
    <row r="301" spans="4:41" s="5" customFormat="1">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90"/>
      <c r="AI301" s="90"/>
      <c r="AJ301" s="36"/>
      <c r="AK301" s="36"/>
      <c r="AN301" s="36"/>
      <c r="AO301" s="36"/>
    </row>
    <row r="302" spans="4:41" s="5" customFormat="1">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90"/>
      <c r="AI302" s="90"/>
      <c r="AJ302" s="36"/>
      <c r="AK302" s="36"/>
      <c r="AN302" s="36"/>
      <c r="AO302" s="36"/>
    </row>
    <row r="303" spans="4:41" s="5" customFormat="1">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90"/>
      <c r="AI303" s="90"/>
      <c r="AJ303" s="36"/>
      <c r="AK303" s="36"/>
      <c r="AN303" s="36"/>
      <c r="AO303" s="36"/>
    </row>
    <row r="304" spans="4:41" s="5" customFormat="1">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90"/>
      <c r="AI304" s="90"/>
      <c r="AJ304" s="36"/>
      <c r="AK304" s="36"/>
      <c r="AN304" s="36"/>
      <c r="AO304" s="36"/>
    </row>
    <row r="305" spans="4:41" s="5" customFormat="1">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90"/>
      <c r="AI305" s="90"/>
      <c r="AJ305" s="36"/>
      <c r="AK305" s="36"/>
      <c r="AN305" s="36"/>
      <c r="AO305" s="36"/>
    </row>
    <row r="306" spans="4:41" s="5" customFormat="1">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90"/>
      <c r="AI306" s="90"/>
      <c r="AJ306" s="36"/>
      <c r="AK306" s="36"/>
      <c r="AN306" s="36"/>
      <c r="AO306" s="36"/>
    </row>
    <row r="307" spans="4:41" s="5" customFormat="1">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90"/>
      <c r="AI307" s="90"/>
      <c r="AJ307" s="36"/>
      <c r="AK307" s="36"/>
      <c r="AN307" s="36"/>
      <c r="AO307" s="36"/>
    </row>
    <row r="308" spans="4:41" s="5" customFormat="1">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90"/>
      <c r="AI308" s="90"/>
      <c r="AJ308" s="36"/>
      <c r="AK308" s="36"/>
      <c r="AN308" s="36"/>
      <c r="AO308" s="36"/>
    </row>
    <row r="309" spans="4:41" s="5" customFormat="1">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90"/>
      <c r="AI309" s="90"/>
      <c r="AJ309" s="36"/>
      <c r="AK309" s="36"/>
      <c r="AN309" s="36"/>
      <c r="AO309" s="36"/>
    </row>
    <row r="310" spans="4:41" s="5" customFormat="1">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90"/>
      <c r="AI310" s="90"/>
      <c r="AJ310" s="36"/>
      <c r="AK310" s="36"/>
      <c r="AN310" s="36"/>
      <c r="AO310" s="36"/>
    </row>
    <row r="311" spans="4:41" s="5" customFormat="1">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90"/>
      <c r="AI311" s="90"/>
      <c r="AJ311" s="36"/>
      <c r="AK311" s="36"/>
      <c r="AN311" s="36"/>
      <c r="AO311" s="36"/>
    </row>
    <row r="312" spans="4:41" s="5" customFormat="1">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90"/>
      <c r="AI312" s="90"/>
      <c r="AJ312" s="36"/>
      <c r="AK312" s="36"/>
      <c r="AN312" s="36"/>
      <c r="AO312" s="36"/>
    </row>
    <row r="313" spans="4:41" s="5" customFormat="1">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90"/>
      <c r="AI313" s="90"/>
      <c r="AJ313" s="36"/>
      <c r="AK313" s="36"/>
      <c r="AN313" s="36"/>
      <c r="AO313" s="36"/>
    </row>
    <row r="314" spans="4:41" s="5" customFormat="1">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90"/>
      <c r="AI314" s="90"/>
      <c r="AJ314" s="36"/>
      <c r="AK314" s="36"/>
      <c r="AN314" s="36"/>
      <c r="AO314" s="36"/>
    </row>
    <row r="315" spans="4:41" s="5" customFormat="1">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90"/>
      <c r="AI315" s="90"/>
      <c r="AJ315" s="36"/>
      <c r="AK315" s="36"/>
      <c r="AN315" s="36"/>
      <c r="AO315" s="36"/>
    </row>
    <row r="316" spans="4:41" s="5" customFormat="1">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90"/>
      <c r="AI316" s="90"/>
      <c r="AJ316" s="36"/>
      <c r="AK316" s="36"/>
      <c r="AN316" s="36"/>
      <c r="AO316" s="36"/>
    </row>
    <row r="317" spans="4:41" s="5" customFormat="1">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90"/>
      <c r="AI317" s="90"/>
      <c r="AJ317" s="36"/>
      <c r="AK317" s="36"/>
      <c r="AN317" s="36"/>
      <c r="AO317" s="36"/>
    </row>
    <row r="318" spans="4:41" s="5" customFormat="1">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90"/>
      <c r="AI318" s="90"/>
      <c r="AJ318" s="36"/>
      <c r="AK318" s="36"/>
      <c r="AN318" s="36"/>
      <c r="AO318" s="36"/>
    </row>
    <row r="319" spans="4:41" s="5" customFormat="1">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90"/>
      <c r="AI319" s="90"/>
      <c r="AJ319" s="36"/>
      <c r="AK319" s="36"/>
      <c r="AN319" s="36"/>
      <c r="AO319" s="36"/>
    </row>
    <row r="320" spans="4:41" s="5" customFormat="1">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90"/>
      <c r="AI320" s="90"/>
      <c r="AJ320" s="36"/>
      <c r="AK320" s="36"/>
      <c r="AN320" s="36"/>
      <c r="AO320" s="36"/>
    </row>
    <row r="321" spans="4:41" s="5" customFormat="1">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90"/>
      <c r="AI321" s="90"/>
      <c r="AJ321" s="36"/>
      <c r="AK321" s="36"/>
      <c r="AN321" s="36"/>
      <c r="AO321" s="36"/>
    </row>
    <row r="322" spans="4:41" s="5" customFormat="1">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90"/>
      <c r="AI322" s="90"/>
      <c r="AJ322" s="36"/>
      <c r="AK322" s="36"/>
      <c r="AN322" s="36"/>
      <c r="AO322" s="36"/>
    </row>
    <row r="323" spans="4:41" s="5" customFormat="1">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90"/>
      <c r="AI323" s="90"/>
      <c r="AJ323" s="36"/>
      <c r="AK323" s="36"/>
      <c r="AN323" s="36"/>
      <c r="AO323" s="36"/>
    </row>
    <row r="324" spans="4:41" s="5" customFormat="1">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90"/>
      <c r="AI324" s="90"/>
      <c r="AJ324" s="36"/>
      <c r="AK324" s="36"/>
      <c r="AN324" s="36"/>
      <c r="AO324" s="36"/>
    </row>
    <row r="325" spans="4:41" s="5" customFormat="1">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90"/>
      <c r="AI325" s="90"/>
      <c r="AJ325" s="36"/>
      <c r="AK325" s="36"/>
      <c r="AN325" s="36"/>
      <c r="AO325" s="36"/>
    </row>
    <row r="326" spans="4:41" s="5" customFormat="1">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90"/>
      <c r="AI326" s="90"/>
      <c r="AJ326" s="36"/>
      <c r="AK326" s="36"/>
      <c r="AN326" s="36"/>
      <c r="AO326" s="36"/>
    </row>
    <row r="327" spans="4:41" s="5" customFormat="1">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90"/>
      <c r="AI327" s="90"/>
      <c r="AJ327" s="36"/>
      <c r="AK327" s="36"/>
      <c r="AN327" s="36"/>
      <c r="AO327" s="36"/>
    </row>
    <row r="328" spans="4:41" s="5" customFormat="1">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90"/>
      <c r="AI328" s="90"/>
      <c r="AJ328" s="36"/>
      <c r="AK328" s="36"/>
      <c r="AN328" s="36"/>
      <c r="AO328" s="36"/>
    </row>
    <row r="329" spans="4:41" s="5" customFormat="1">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90"/>
      <c r="AI329" s="90"/>
      <c r="AJ329" s="36"/>
      <c r="AK329" s="36"/>
      <c r="AN329" s="36"/>
      <c r="AO329" s="36"/>
    </row>
    <row r="330" spans="4:41" s="5" customFormat="1">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90"/>
      <c r="AI330" s="90"/>
      <c r="AJ330" s="36"/>
      <c r="AK330" s="36"/>
      <c r="AN330" s="36"/>
      <c r="AO330" s="36"/>
    </row>
    <row r="331" spans="4:41" s="5" customFormat="1">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90"/>
      <c r="AI331" s="90"/>
      <c r="AJ331" s="36"/>
      <c r="AK331" s="36"/>
      <c r="AN331" s="36"/>
      <c r="AO331" s="36"/>
    </row>
    <row r="332" spans="4:41" s="5" customFormat="1">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90"/>
      <c r="AI332" s="90"/>
      <c r="AJ332" s="36"/>
      <c r="AK332" s="36"/>
      <c r="AN332" s="36"/>
      <c r="AO332" s="36"/>
    </row>
    <row r="333" spans="4:41" s="5" customFormat="1">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90"/>
      <c r="AI333" s="90"/>
      <c r="AJ333" s="36"/>
      <c r="AK333" s="36"/>
      <c r="AN333" s="36"/>
      <c r="AO333" s="36"/>
    </row>
    <row r="334" spans="4:41" s="5" customFormat="1">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90"/>
      <c r="AI334" s="90"/>
      <c r="AJ334" s="36"/>
      <c r="AK334" s="36"/>
      <c r="AN334" s="36"/>
      <c r="AO334" s="36"/>
    </row>
    <row r="335" spans="4:41" s="5" customFormat="1">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90"/>
      <c r="AI335" s="90"/>
      <c r="AJ335" s="36"/>
      <c r="AK335" s="36"/>
      <c r="AN335" s="36"/>
      <c r="AO335" s="36"/>
    </row>
    <row r="336" spans="4:41" s="5" customFormat="1">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90"/>
      <c r="AI336" s="90"/>
      <c r="AJ336" s="36"/>
      <c r="AK336" s="36"/>
      <c r="AN336" s="36"/>
      <c r="AO336" s="36"/>
    </row>
    <row r="337" spans="4:41" s="5" customFormat="1">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90"/>
      <c r="AI337" s="90"/>
      <c r="AJ337" s="36"/>
      <c r="AK337" s="36"/>
      <c r="AN337" s="36"/>
      <c r="AO337" s="36"/>
    </row>
    <row r="338" spans="4:41" s="5" customFormat="1">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90"/>
      <c r="AI338" s="90"/>
      <c r="AJ338" s="36"/>
      <c r="AK338" s="36"/>
      <c r="AN338" s="36"/>
      <c r="AO338" s="36"/>
    </row>
    <row r="339" spans="4:41" s="5" customFormat="1">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90"/>
      <c r="AI339" s="90"/>
      <c r="AJ339" s="36"/>
      <c r="AK339" s="36"/>
      <c r="AN339" s="36"/>
      <c r="AO339" s="36"/>
    </row>
    <row r="340" spans="4:41" s="5" customFormat="1">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90"/>
      <c r="AI340" s="90"/>
      <c r="AJ340" s="36"/>
      <c r="AK340" s="36"/>
      <c r="AN340" s="36"/>
      <c r="AO340" s="36"/>
    </row>
    <row r="341" spans="4:41" s="5" customFormat="1">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90"/>
      <c r="AI341" s="90"/>
      <c r="AJ341" s="36"/>
      <c r="AK341" s="36"/>
      <c r="AN341" s="36"/>
      <c r="AO341" s="36"/>
    </row>
    <row r="342" spans="4:41" s="5" customFormat="1">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90"/>
      <c r="AI342" s="90"/>
      <c r="AJ342" s="36"/>
      <c r="AK342" s="36"/>
      <c r="AN342" s="36"/>
      <c r="AO342" s="36"/>
    </row>
    <row r="343" spans="4:41" s="5" customFormat="1">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90"/>
      <c r="AI343" s="90"/>
      <c r="AJ343" s="36"/>
      <c r="AK343" s="36"/>
      <c r="AN343" s="36"/>
      <c r="AO343" s="36"/>
    </row>
    <row r="344" spans="4:41" s="5" customFormat="1">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90"/>
      <c r="AI344" s="90"/>
      <c r="AJ344" s="36"/>
      <c r="AK344" s="36"/>
      <c r="AN344" s="36"/>
      <c r="AO344" s="36"/>
    </row>
    <row r="345" spans="4:41" s="5" customFormat="1">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90"/>
      <c r="AI345" s="90"/>
      <c r="AJ345" s="36"/>
      <c r="AK345" s="36"/>
      <c r="AN345" s="36"/>
      <c r="AO345" s="36"/>
    </row>
    <row r="346" spans="4:41" s="5" customFormat="1">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90"/>
      <c r="AI346" s="90"/>
      <c r="AJ346" s="36"/>
      <c r="AK346" s="36"/>
      <c r="AN346" s="36"/>
      <c r="AO346" s="36"/>
    </row>
    <row r="347" spans="4:41" s="5" customFormat="1">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90"/>
      <c r="AI347" s="90"/>
      <c r="AJ347" s="36"/>
      <c r="AK347" s="36"/>
      <c r="AN347" s="36"/>
      <c r="AO347" s="36"/>
    </row>
    <row r="348" spans="4:41" s="5" customFormat="1">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90"/>
      <c r="AI348" s="90"/>
      <c r="AJ348" s="36"/>
      <c r="AK348" s="36"/>
      <c r="AN348" s="36"/>
      <c r="AO348" s="36"/>
    </row>
    <row r="349" spans="4:41" s="5" customFormat="1">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90"/>
      <c r="AI349" s="90"/>
      <c r="AJ349" s="36"/>
      <c r="AK349" s="36"/>
      <c r="AN349" s="36"/>
      <c r="AO349" s="36"/>
    </row>
    <row r="350" spans="4:41" s="5" customFormat="1">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90"/>
      <c r="AI350" s="90"/>
      <c r="AJ350" s="36"/>
      <c r="AK350" s="36"/>
      <c r="AN350" s="36"/>
      <c r="AO350" s="36"/>
    </row>
    <row r="351" spans="4:41" s="5" customFormat="1">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90"/>
      <c r="AI351" s="90"/>
      <c r="AJ351" s="36"/>
      <c r="AK351" s="36"/>
      <c r="AN351" s="36"/>
      <c r="AO351" s="36"/>
    </row>
    <row r="352" spans="4:41" s="5" customFormat="1">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90"/>
      <c r="AI352" s="90"/>
      <c r="AJ352" s="36"/>
      <c r="AK352" s="36"/>
      <c r="AN352" s="36"/>
      <c r="AO352" s="36"/>
    </row>
    <row r="353" spans="4:41" s="5" customFormat="1">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90"/>
      <c r="AI353" s="90"/>
      <c r="AJ353" s="36"/>
      <c r="AK353" s="36"/>
      <c r="AN353" s="36"/>
      <c r="AO353" s="36"/>
    </row>
    <row r="354" spans="4:41" s="5" customFormat="1">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90"/>
      <c r="AI354" s="90"/>
      <c r="AJ354" s="36"/>
      <c r="AK354" s="36"/>
      <c r="AN354" s="36"/>
      <c r="AO354" s="36"/>
    </row>
    <row r="355" spans="4:41" s="5" customFormat="1">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90"/>
      <c r="AI355" s="90"/>
      <c r="AJ355" s="36"/>
      <c r="AK355" s="36"/>
      <c r="AN355" s="36"/>
      <c r="AO355" s="36"/>
    </row>
    <row r="356" spans="4:41" s="5" customFormat="1">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90"/>
      <c r="AI356" s="90"/>
      <c r="AJ356" s="36"/>
      <c r="AK356" s="36"/>
      <c r="AN356" s="36"/>
      <c r="AO356" s="36"/>
    </row>
    <row r="357" spans="4:41" s="5" customFormat="1">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90"/>
      <c r="AI357" s="90"/>
      <c r="AJ357" s="36"/>
      <c r="AK357" s="36"/>
      <c r="AN357" s="36"/>
      <c r="AO357" s="36"/>
    </row>
    <row r="358" spans="4:41" s="5" customFormat="1">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90"/>
      <c r="AI358" s="90"/>
      <c r="AJ358" s="36"/>
      <c r="AK358" s="36"/>
      <c r="AN358" s="36"/>
      <c r="AO358" s="36"/>
    </row>
    <row r="359" spans="4:41" s="5" customFormat="1">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90"/>
      <c r="AI359" s="90"/>
      <c r="AJ359" s="36"/>
      <c r="AK359" s="36"/>
      <c r="AN359" s="36"/>
      <c r="AO359" s="36"/>
    </row>
    <row r="360" spans="4:41" s="5" customFormat="1">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90"/>
      <c r="AI360" s="90"/>
      <c r="AJ360" s="36"/>
      <c r="AK360" s="36"/>
      <c r="AN360" s="36"/>
      <c r="AO360" s="36"/>
    </row>
    <row r="361" spans="4:41" s="5" customFormat="1">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90"/>
      <c r="AI361" s="90"/>
      <c r="AJ361" s="36"/>
      <c r="AK361" s="36"/>
      <c r="AN361" s="36"/>
      <c r="AO361" s="36"/>
    </row>
    <row r="362" spans="4:41" s="5" customFormat="1">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90"/>
      <c r="AI362" s="90"/>
      <c r="AJ362" s="36"/>
      <c r="AK362" s="36"/>
      <c r="AN362" s="36"/>
      <c r="AO362" s="36"/>
    </row>
    <row r="363" spans="4:41" s="5" customFormat="1">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90"/>
      <c r="AI363" s="90"/>
      <c r="AJ363" s="36"/>
      <c r="AK363" s="36"/>
      <c r="AN363" s="36"/>
      <c r="AO363" s="36"/>
    </row>
    <row r="364" spans="4:41" s="5" customFormat="1">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90"/>
      <c r="AI364" s="90"/>
      <c r="AJ364" s="36"/>
      <c r="AK364" s="36"/>
      <c r="AN364" s="36"/>
      <c r="AO364" s="36"/>
    </row>
    <row r="365" spans="4:41" s="5" customFormat="1">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90"/>
      <c r="AI365" s="90"/>
      <c r="AJ365" s="36"/>
      <c r="AK365" s="36"/>
      <c r="AN365" s="36"/>
      <c r="AO365" s="36"/>
    </row>
    <row r="366" spans="4:41" s="5" customFormat="1">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90"/>
      <c r="AI366" s="90"/>
      <c r="AJ366" s="36"/>
      <c r="AK366" s="36"/>
      <c r="AN366" s="36"/>
      <c r="AO366" s="36"/>
    </row>
    <row r="367" spans="4:41" s="5" customFormat="1">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90"/>
      <c r="AI367" s="90"/>
      <c r="AJ367" s="36"/>
      <c r="AK367" s="36"/>
      <c r="AN367" s="36"/>
      <c r="AO367" s="36"/>
    </row>
    <row r="368" spans="4:41" s="5" customFormat="1">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90"/>
      <c r="AI368" s="90"/>
      <c r="AJ368" s="36"/>
      <c r="AK368" s="36"/>
      <c r="AN368" s="36"/>
      <c r="AO368" s="36"/>
    </row>
    <row r="369" spans="4:41" s="5" customFormat="1">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90"/>
      <c r="AI369" s="90"/>
      <c r="AJ369" s="36"/>
      <c r="AK369" s="36"/>
      <c r="AN369" s="36"/>
      <c r="AO369" s="36"/>
    </row>
    <row r="370" spans="4:41" s="5" customFormat="1">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90"/>
      <c r="AI370" s="90"/>
      <c r="AJ370" s="36"/>
      <c r="AK370" s="36"/>
      <c r="AN370" s="36"/>
      <c r="AO370" s="36"/>
    </row>
    <row r="371" spans="4:41" s="5" customFormat="1">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90"/>
      <c r="AI371" s="90"/>
      <c r="AJ371" s="36"/>
      <c r="AK371" s="36"/>
      <c r="AN371" s="36"/>
      <c r="AO371" s="36"/>
    </row>
    <row r="372" spans="4:41" s="5" customFormat="1">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90"/>
      <c r="AI372" s="90"/>
      <c r="AJ372" s="36"/>
      <c r="AK372" s="36"/>
      <c r="AN372" s="36"/>
      <c r="AO372" s="36"/>
    </row>
    <row r="373" spans="4:41" s="5" customFormat="1">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90"/>
      <c r="AI373" s="90"/>
      <c r="AJ373" s="36"/>
      <c r="AK373" s="36"/>
      <c r="AN373" s="36"/>
      <c r="AO373" s="36"/>
    </row>
    <row r="374" spans="4:41" s="5" customFormat="1">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90"/>
      <c r="AI374" s="90"/>
      <c r="AJ374" s="36"/>
      <c r="AK374" s="36"/>
      <c r="AN374" s="36"/>
      <c r="AO374" s="36"/>
    </row>
    <row r="375" spans="4:41" s="5" customFormat="1">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90"/>
      <c r="AI375" s="90"/>
      <c r="AJ375" s="36"/>
      <c r="AK375" s="36"/>
      <c r="AN375" s="36"/>
      <c r="AO375" s="36"/>
    </row>
    <row r="376" spans="4:41" s="5" customFormat="1">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90"/>
      <c r="AI376" s="90"/>
      <c r="AJ376" s="36"/>
      <c r="AK376" s="36"/>
      <c r="AN376" s="36"/>
      <c r="AO376" s="36"/>
    </row>
    <row r="377" spans="4:41" s="5" customFormat="1">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90"/>
      <c r="AI377" s="90"/>
      <c r="AJ377" s="36"/>
      <c r="AK377" s="36"/>
      <c r="AN377" s="36"/>
      <c r="AO377" s="36"/>
    </row>
    <row r="378" spans="4:41" s="5" customFormat="1">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90"/>
      <c r="AI378" s="90"/>
      <c r="AJ378" s="36"/>
      <c r="AK378" s="36"/>
      <c r="AN378" s="36"/>
      <c r="AO378" s="36"/>
    </row>
    <row r="379" spans="4:41" s="5" customFormat="1">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90"/>
      <c r="AI379" s="90"/>
      <c r="AJ379" s="36"/>
      <c r="AK379" s="36"/>
      <c r="AN379" s="36"/>
      <c r="AO379" s="36"/>
    </row>
    <row r="380" spans="4:41" s="5" customFormat="1">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90"/>
      <c r="AI380" s="90"/>
      <c r="AJ380" s="36"/>
      <c r="AK380" s="36"/>
      <c r="AN380" s="36"/>
      <c r="AO380" s="36"/>
    </row>
    <row r="381" spans="4:41" s="5" customFormat="1">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90"/>
      <c r="AI381" s="90"/>
      <c r="AJ381" s="36"/>
      <c r="AK381" s="36"/>
      <c r="AN381" s="36"/>
      <c r="AO381" s="36"/>
    </row>
    <row r="382" spans="4:41" s="5" customFormat="1">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90"/>
      <c r="AI382" s="90"/>
      <c r="AJ382" s="36"/>
      <c r="AK382" s="36"/>
      <c r="AN382" s="36"/>
      <c r="AO382" s="36"/>
    </row>
    <row r="383" spans="4:41" s="5" customFormat="1">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90"/>
      <c r="AI383" s="90"/>
      <c r="AJ383" s="36"/>
      <c r="AK383" s="36"/>
      <c r="AN383" s="36"/>
      <c r="AO383" s="36"/>
    </row>
    <row r="384" spans="4:41" s="5" customFormat="1">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90"/>
      <c r="AI384" s="90"/>
      <c r="AJ384" s="36"/>
      <c r="AK384" s="36"/>
      <c r="AN384" s="36"/>
      <c r="AO384" s="36"/>
    </row>
    <row r="385" spans="4:41" s="5" customFormat="1">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90"/>
      <c r="AI385" s="90"/>
      <c r="AJ385" s="36"/>
      <c r="AK385" s="36"/>
      <c r="AN385" s="36"/>
      <c r="AO385" s="36"/>
    </row>
    <row r="386" spans="4:41" s="5" customFormat="1">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90"/>
      <c r="AI386" s="90"/>
      <c r="AJ386" s="36"/>
      <c r="AK386" s="36"/>
      <c r="AN386" s="36"/>
      <c r="AO386" s="36"/>
    </row>
    <row r="387" spans="4:41" s="5" customFormat="1">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90"/>
      <c r="AI387" s="90"/>
      <c r="AJ387" s="36"/>
      <c r="AK387" s="36"/>
      <c r="AN387" s="36"/>
      <c r="AO387" s="36"/>
    </row>
    <row r="388" spans="4:41" s="5" customFormat="1">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90"/>
      <c r="AI388" s="90"/>
      <c r="AJ388" s="36"/>
      <c r="AK388" s="36"/>
      <c r="AN388" s="36"/>
      <c r="AO388" s="36"/>
    </row>
    <row r="389" spans="4:41" s="5" customFormat="1">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90"/>
      <c r="AI389" s="90"/>
      <c r="AJ389" s="36"/>
      <c r="AK389" s="36"/>
      <c r="AN389" s="36"/>
      <c r="AO389" s="36"/>
    </row>
    <row r="390" spans="4:41" s="5" customFormat="1">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90"/>
      <c r="AI390" s="90"/>
      <c r="AJ390" s="36"/>
      <c r="AK390" s="36"/>
      <c r="AN390" s="36"/>
      <c r="AO390" s="36"/>
    </row>
    <row r="391" spans="4:41" s="5" customFormat="1">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90"/>
      <c r="AI391" s="90"/>
      <c r="AJ391" s="36"/>
      <c r="AK391" s="36"/>
      <c r="AN391" s="36"/>
      <c r="AO391" s="36"/>
    </row>
    <row r="392" spans="4:41" s="5" customFormat="1">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90"/>
      <c r="AI392" s="90"/>
      <c r="AJ392" s="36"/>
      <c r="AK392" s="36"/>
      <c r="AN392" s="36"/>
      <c r="AO392" s="36"/>
    </row>
    <row r="393" spans="4:41" s="5" customFormat="1">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90"/>
      <c r="AI393" s="90"/>
      <c r="AJ393" s="36"/>
      <c r="AK393" s="36"/>
      <c r="AN393" s="36"/>
      <c r="AO393" s="36"/>
    </row>
    <row r="394" spans="4:41" s="5" customFormat="1">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90"/>
      <c r="AI394" s="90"/>
      <c r="AJ394" s="36"/>
      <c r="AK394" s="36"/>
      <c r="AN394" s="36"/>
      <c r="AO394" s="36"/>
    </row>
    <row r="395" spans="4:41" s="5" customFormat="1">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90"/>
      <c r="AI395" s="90"/>
      <c r="AJ395" s="36"/>
      <c r="AK395" s="36"/>
      <c r="AN395" s="36"/>
      <c r="AO395" s="36"/>
    </row>
    <row r="396" spans="4:41" s="5" customFormat="1">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90"/>
      <c r="AI396" s="90"/>
      <c r="AJ396" s="36"/>
      <c r="AK396" s="36"/>
      <c r="AN396" s="36"/>
      <c r="AO396" s="36"/>
    </row>
    <row r="397" spans="4:41" s="5" customFormat="1">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90"/>
      <c r="AI397" s="90"/>
      <c r="AJ397" s="36"/>
      <c r="AK397" s="36"/>
      <c r="AN397" s="36"/>
      <c r="AO397" s="36"/>
    </row>
    <row r="398" spans="4:41" s="5" customFormat="1">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90"/>
      <c r="AI398" s="90"/>
      <c r="AJ398" s="36"/>
      <c r="AK398" s="36"/>
      <c r="AN398" s="36"/>
      <c r="AO398" s="36"/>
    </row>
    <row r="399" spans="4:41" s="5" customFormat="1">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90"/>
      <c r="AI399" s="90"/>
      <c r="AJ399" s="36"/>
      <c r="AK399" s="36"/>
      <c r="AN399" s="36"/>
      <c r="AO399" s="36"/>
    </row>
    <row r="400" spans="4:41" s="5" customFormat="1">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90"/>
      <c r="AI400" s="90"/>
      <c r="AJ400" s="36"/>
      <c r="AK400" s="36"/>
      <c r="AN400" s="36"/>
      <c r="AO400" s="36"/>
    </row>
    <row r="401" spans="4:41" s="5" customFormat="1">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90"/>
      <c r="AI401" s="90"/>
      <c r="AJ401" s="36"/>
      <c r="AK401" s="36"/>
      <c r="AN401" s="36"/>
      <c r="AO401" s="36"/>
    </row>
    <row r="402" spans="4:41" s="5" customFormat="1">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90"/>
      <c r="AI402" s="90"/>
      <c r="AJ402" s="36"/>
      <c r="AK402" s="36"/>
      <c r="AN402" s="36"/>
      <c r="AO402" s="36"/>
    </row>
    <row r="403" spans="4:41" s="5" customFormat="1">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90"/>
      <c r="AI403" s="90"/>
      <c r="AJ403" s="36"/>
      <c r="AK403" s="36"/>
      <c r="AN403" s="36"/>
      <c r="AO403" s="36"/>
    </row>
    <row r="404" spans="4:41" s="5" customFormat="1">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90"/>
      <c r="AI404" s="90"/>
      <c r="AJ404" s="36"/>
      <c r="AK404" s="36"/>
      <c r="AN404" s="36"/>
      <c r="AO404" s="36"/>
    </row>
    <row r="405" spans="4:41" s="5" customFormat="1">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90"/>
      <c r="AI405" s="90"/>
      <c r="AJ405" s="36"/>
      <c r="AK405" s="36"/>
      <c r="AN405" s="36"/>
      <c r="AO405" s="36"/>
    </row>
    <row r="406" spans="4:41" s="5" customFormat="1">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90"/>
      <c r="AI406" s="90"/>
      <c r="AJ406" s="36"/>
      <c r="AK406" s="36"/>
      <c r="AN406" s="36"/>
      <c r="AO406" s="36"/>
    </row>
    <row r="407" spans="4:41" s="5" customFormat="1">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90"/>
      <c r="AI407" s="90"/>
      <c r="AJ407" s="36"/>
      <c r="AK407" s="36"/>
      <c r="AN407" s="36"/>
      <c r="AO407" s="36"/>
    </row>
    <row r="408" spans="4:41" s="5" customFormat="1">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90"/>
      <c r="AI408" s="90"/>
      <c r="AJ408" s="36"/>
      <c r="AK408" s="36"/>
      <c r="AN408" s="36"/>
      <c r="AO408" s="36"/>
    </row>
    <row r="409" spans="4:41" s="5" customFormat="1">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90"/>
      <c r="AI409" s="90"/>
      <c r="AJ409" s="36"/>
      <c r="AK409" s="36"/>
      <c r="AN409" s="36"/>
      <c r="AO409" s="36"/>
    </row>
    <row r="410" spans="4:41" s="5" customFormat="1">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90"/>
      <c r="AI410" s="90"/>
      <c r="AJ410" s="36"/>
      <c r="AK410" s="36"/>
      <c r="AN410" s="36"/>
      <c r="AO410" s="36"/>
    </row>
    <row r="411" spans="4:41" s="5" customFormat="1">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90"/>
      <c r="AI411" s="90"/>
      <c r="AJ411" s="36"/>
      <c r="AK411" s="36"/>
      <c r="AN411" s="36"/>
      <c r="AO411" s="36"/>
    </row>
    <row r="412" spans="4:41" s="5" customFormat="1">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90"/>
      <c r="AI412" s="90"/>
      <c r="AJ412" s="36"/>
      <c r="AK412" s="36"/>
      <c r="AN412" s="36"/>
      <c r="AO412" s="36"/>
    </row>
    <row r="413" spans="4:41" s="5" customFormat="1">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90"/>
      <c r="AI413" s="90"/>
      <c r="AJ413" s="36"/>
      <c r="AK413" s="36"/>
      <c r="AN413" s="36"/>
      <c r="AO413" s="36"/>
    </row>
    <row r="414" spans="4:41" s="5" customFormat="1">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90"/>
      <c r="AI414" s="90"/>
      <c r="AJ414" s="36"/>
      <c r="AK414" s="36"/>
      <c r="AN414" s="36"/>
      <c r="AO414" s="36"/>
    </row>
    <row r="415" spans="4:41" s="5" customFormat="1">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90"/>
      <c r="AI415" s="90"/>
      <c r="AJ415" s="36"/>
      <c r="AK415" s="36"/>
      <c r="AN415" s="36"/>
      <c r="AO415" s="36"/>
    </row>
    <row r="416" spans="4:41" s="5" customFormat="1">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90"/>
      <c r="AI416" s="90"/>
      <c r="AJ416" s="36"/>
      <c r="AK416" s="36"/>
      <c r="AN416" s="36"/>
      <c r="AO416" s="36"/>
    </row>
    <row r="417" spans="4:41" s="5" customFormat="1">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90"/>
      <c r="AI417" s="90"/>
      <c r="AJ417" s="36"/>
      <c r="AK417" s="36"/>
      <c r="AN417" s="36"/>
      <c r="AO417" s="36"/>
    </row>
    <row r="418" spans="4:41" s="5" customFormat="1">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90"/>
      <c r="AI418" s="90"/>
      <c r="AJ418" s="36"/>
      <c r="AK418" s="36"/>
      <c r="AN418" s="36"/>
      <c r="AO418" s="36"/>
    </row>
    <row r="419" spans="4:41" s="5" customFormat="1">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90"/>
      <c r="AI419" s="90"/>
      <c r="AJ419" s="36"/>
      <c r="AK419" s="36"/>
      <c r="AN419" s="36"/>
      <c r="AO419" s="36"/>
    </row>
    <row r="420" spans="4:41" s="5" customFormat="1">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90"/>
      <c r="AI420" s="90"/>
      <c r="AJ420" s="36"/>
      <c r="AK420" s="36"/>
      <c r="AN420" s="36"/>
      <c r="AO420" s="36"/>
    </row>
    <row r="421" spans="4:41" s="5" customFormat="1">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90"/>
      <c r="AI421" s="90"/>
      <c r="AJ421" s="36"/>
      <c r="AK421" s="36"/>
      <c r="AN421" s="36"/>
      <c r="AO421" s="36"/>
    </row>
    <row r="422" spans="4:41" s="5" customFormat="1">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90"/>
      <c r="AI422" s="90"/>
      <c r="AJ422" s="36"/>
      <c r="AK422" s="36"/>
      <c r="AN422" s="36"/>
      <c r="AO422" s="36"/>
    </row>
    <row r="423" spans="4:41" s="5" customFormat="1">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90"/>
      <c r="AI423" s="90"/>
      <c r="AJ423" s="36"/>
      <c r="AK423" s="36"/>
      <c r="AN423" s="36"/>
      <c r="AO423" s="36"/>
    </row>
    <row r="424" spans="4:41" s="5" customFormat="1">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90"/>
      <c r="AI424" s="90"/>
      <c r="AJ424" s="36"/>
      <c r="AK424" s="36"/>
      <c r="AN424" s="36"/>
      <c r="AO424" s="36"/>
    </row>
    <row r="425" spans="4:41" s="5" customFormat="1">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90"/>
      <c r="AI425" s="90"/>
      <c r="AJ425" s="36"/>
      <c r="AK425" s="36"/>
      <c r="AN425" s="36"/>
      <c r="AO425" s="36"/>
    </row>
    <row r="426" spans="4:41" s="5" customFormat="1">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90"/>
      <c r="AI426" s="90"/>
      <c r="AJ426" s="36"/>
      <c r="AK426" s="36"/>
      <c r="AN426" s="36"/>
      <c r="AO426" s="36"/>
    </row>
    <row r="427" spans="4:41" s="5" customFormat="1">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90"/>
      <c r="AI427" s="90"/>
      <c r="AJ427" s="36"/>
      <c r="AK427" s="36"/>
      <c r="AN427" s="36"/>
      <c r="AO427" s="36"/>
    </row>
    <row r="428" spans="4:41" s="5" customFormat="1">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90"/>
      <c r="AI428" s="90"/>
      <c r="AJ428" s="36"/>
      <c r="AK428" s="36"/>
      <c r="AN428" s="36"/>
      <c r="AO428" s="36"/>
    </row>
    <row r="429" spans="4:41" s="5" customFormat="1">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90"/>
      <c r="AI429" s="90"/>
      <c r="AJ429" s="36"/>
      <c r="AK429" s="36"/>
      <c r="AN429" s="36"/>
      <c r="AO429" s="36"/>
    </row>
    <row r="430" spans="4:41" s="5" customFormat="1">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90"/>
      <c r="AI430" s="90"/>
      <c r="AJ430" s="36"/>
      <c r="AK430" s="36"/>
      <c r="AN430" s="36"/>
      <c r="AO430" s="36"/>
    </row>
    <row r="431" spans="4:41" s="5" customFormat="1">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90"/>
      <c r="AI431" s="90"/>
      <c r="AJ431" s="36"/>
      <c r="AK431" s="36"/>
      <c r="AN431" s="36"/>
      <c r="AO431" s="36"/>
    </row>
    <row r="432" spans="4:41" s="5" customFormat="1">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90"/>
      <c r="AI432" s="90"/>
      <c r="AJ432" s="36"/>
      <c r="AK432" s="36"/>
      <c r="AN432" s="36"/>
      <c r="AO432" s="36"/>
    </row>
    <row r="433" spans="4:41" s="5" customFormat="1">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90"/>
      <c r="AI433" s="90"/>
      <c r="AJ433" s="36"/>
      <c r="AK433" s="36"/>
      <c r="AN433" s="36"/>
      <c r="AO433" s="36"/>
    </row>
    <row r="434" spans="4:41" s="5" customFormat="1">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90"/>
      <c r="AI434" s="90"/>
      <c r="AJ434" s="36"/>
      <c r="AK434" s="36"/>
      <c r="AN434" s="36"/>
      <c r="AO434" s="36"/>
    </row>
    <row r="435" spans="4:41" s="5" customFormat="1">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90"/>
      <c r="AI435" s="90"/>
      <c r="AJ435" s="36"/>
      <c r="AK435" s="36"/>
      <c r="AN435" s="36"/>
      <c r="AO435" s="36"/>
    </row>
    <row r="436" spans="4:41" s="5" customFormat="1">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90"/>
      <c r="AI436" s="90"/>
      <c r="AJ436" s="36"/>
      <c r="AK436" s="36"/>
      <c r="AN436" s="36"/>
      <c r="AO436" s="36"/>
    </row>
    <row r="437" spans="4:41" s="5" customFormat="1">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90"/>
      <c r="AI437" s="90"/>
      <c r="AJ437" s="36"/>
      <c r="AK437" s="36"/>
      <c r="AN437" s="36"/>
      <c r="AO437" s="36"/>
    </row>
    <row r="438" spans="4:41" s="5" customFormat="1">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90"/>
      <c r="AI438" s="90"/>
      <c r="AJ438" s="36"/>
      <c r="AK438" s="36"/>
      <c r="AN438" s="36"/>
      <c r="AO438" s="36"/>
    </row>
    <row r="439" spans="4:41" s="5" customFormat="1">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90"/>
      <c r="AI439" s="90"/>
      <c r="AJ439" s="36"/>
      <c r="AK439" s="36"/>
      <c r="AN439" s="36"/>
      <c r="AO439" s="36"/>
    </row>
    <row r="440" spans="4:41" s="5" customFormat="1">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90"/>
      <c r="AI440" s="90"/>
      <c r="AJ440" s="36"/>
      <c r="AK440" s="36"/>
      <c r="AN440" s="36"/>
      <c r="AO440" s="36"/>
    </row>
    <row r="441" spans="4:41" s="5" customFormat="1">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90"/>
      <c r="AI441" s="90"/>
      <c r="AJ441" s="36"/>
      <c r="AK441" s="36"/>
      <c r="AN441" s="36"/>
      <c r="AO441" s="36"/>
    </row>
    <row r="442" spans="4:41" s="5" customFormat="1">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90"/>
      <c r="AI442" s="90"/>
      <c r="AJ442" s="36"/>
      <c r="AK442" s="36"/>
      <c r="AN442" s="36"/>
      <c r="AO442" s="36"/>
    </row>
    <row r="443" spans="4:41" s="5" customFormat="1">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90"/>
      <c r="AI443" s="90"/>
      <c r="AJ443" s="36"/>
      <c r="AK443" s="36"/>
      <c r="AN443" s="36"/>
      <c r="AO443" s="36"/>
    </row>
    <row r="444" spans="4:41" s="5" customFormat="1">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90"/>
      <c r="AI444" s="90"/>
      <c r="AJ444" s="36"/>
      <c r="AK444" s="36"/>
      <c r="AN444" s="36"/>
      <c r="AO444" s="36"/>
    </row>
    <row r="445" spans="4:41" s="5" customFormat="1">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90"/>
      <c r="AI445" s="90"/>
      <c r="AJ445" s="36"/>
      <c r="AK445" s="36"/>
      <c r="AN445" s="36"/>
      <c r="AO445" s="36"/>
    </row>
    <row r="446" spans="4:41" s="5" customFormat="1">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90"/>
      <c r="AI446" s="90"/>
      <c r="AJ446" s="36"/>
      <c r="AK446" s="36"/>
      <c r="AN446" s="36"/>
      <c r="AO446" s="36"/>
    </row>
    <row r="447" spans="4:41" s="5" customFormat="1">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90"/>
      <c r="AI447" s="90"/>
      <c r="AJ447" s="36"/>
      <c r="AK447" s="36"/>
      <c r="AN447" s="36"/>
      <c r="AO447" s="36"/>
    </row>
    <row r="448" spans="4:41" s="5" customFormat="1">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90"/>
      <c r="AI448" s="90"/>
      <c r="AJ448" s="36"/>
      <c r="AK448" s="36"/>
      <c r="AN448" s="36"/>
      <c r="AO448" s="36"/>
    </row>
    <row r="449" spans="4:41" s="5" customFormat="1">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90"/>
      <c r="AI449" s="90"/>
      <c r="AJ449" s="36"/>
      <c r="AK449" s="36"/>
      <c r="AN449" s="36"/>
      <c r="AO449" s="36"/>
    </row>
    <row r="450" spans="4:41" s="5" customFormat="1">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90"/>
      <c r="AI450" s="90"/>
      <c r="AJ450" s="36"/>
      <c r="AK450" s="36"/>
      <c r="AN450" s="36"/>
      <c r="AO450" s="36"/>
    </row>
    <row r="451" spans="4:41" s="5" customFormat="1">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90"/>
      <c r="AI451" s="90"/>
      <c r="AJ451" s="36"/>
      <c r="AK451" s="36"/>
      <c r="AN451" s="36"/>
      <c r="AO451" s="36"/>
    </row>
    <row r="452" spans="4:41" s="5" customFormat="1">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90"/>
      <c r="AI452" s="90"/>
      <c r="AJ452" s="36"/>
      <c r="AK452" s="36"/>
      <c r="AN452" s="36"/>
      <c r="AO452" s="36"/>
    </row>
    <row r="453" spans="4:41" s="5" customFormat="1">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90"/>
      <c r="AI453" s="90"/>
      <c r="AJ453" s="36"/>
      <c r="AK453" s="36"/>
      <c r="AN453" s="36"/>
      <c r="AO453" s="36"/>
    </row>
    <row r="454" spans="4:41" s="5" customFormat="1">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90"/>
      <c r="AI454" s="90"/>
      <c r="AJ454" s="36"/>
      <c r="AK454" s="36"/>
      <c r="AN454" s="36"/>
      <c r="AO454" s="36"/>
    </row>
    <row r="455" spans="4:41" s="5" customFormat="1">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90"/>
      <c r="AI455" s="90"/>
      <c r="AJ455" s="36"/>
      <c r="AK455" s="36"/>
      <c r="AN455" s="36"/>
      <c r="AO455" s="36"/>
    </row>
    <row r="456" spans="4:41" s="5" customFormat="1">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90"/>
      <c r="AI456" s="90"/>
      <c r="AJ456" s="36"/>
      <c r="AK456" s="36"/>
      <c r="AN456" s="36"/>
      <c r="AO456" s="36"/>
    </row>
    <row r="457" spans="4:41" s="5" customFormat="1">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90"/>
      <c r="AI457" s="90"/>
      <c r="AJ457" s="36"/>
      <c r="AK457" s="36"/>
      <c r="AN457" s="36"/>
      <c r="AO457" s="36"/>
    </row>
    <row r="458" spans="4:41" s="5" customFormat="1">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90"/>
      <c r="AI458" s="90"/>
      <c r="AJ458" s="36"/>
      <c r="AK458" s="36"/>
      <c r="AN458" s="36"/>
      <c r="AO458" s="36"/>
    </row>
    <row r="459" spans="4:41" s="5" customFormat="1">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90"/>
      <c r="AI459" s="90"/>
      <c r="AJ459" s="36"/>
      <c r="AK459" s="36"/>
      <c r="AN459" s="36"/>
      <c r="AO459" s="36"/>
    </row>
    <row r="460" spans="4:41" s="5" customFormat="1">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90"/>
      <c r="AI460" s="90"/>
      <c r="AJ460" s="36"/>
      <c r="AK460" s="36"/>
      <c r="AN460" s="36"/>
      <c r="AO460" s="36"/>
    </row>
    <row r="461" spans="4:41" s="5" customFormat="1">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90"/>
      <c r="AI461" s="90"/>
      <c r="AJ461" s="36"/>
      <c r="AK461" s="36"/>
      <c r="AN461" s="36"/>
      <c r="AO461" s="36"/>
    </row>
    <row r="462" spans="4:41" s="5" customFormat="1">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90"/>
      <c r="AI462" s="90"/>
      <c r="AJ462" s="36"/>
      <c r="AK462" s="36"/>
      <c r="AN462" s="36"/>
      <c r="AO462" s="36"/>
    </row>
    <row r="463" spans="4:41" s="5" customFormat="1">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90"/>
      <c r="AI463" s="90"/>
      <c r="AJ463" s="36"/>
      <c r="AK463" s="36"/>
      <c r="AN463" s="36"/>
      <c r="AO463" s="36"/>
    </row>
    <row r="464" spans="4:41" s="5" customFormat="1">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90"/>
      <c r="AI464" s="90"/>
      <c r="AJ464" s="36"/>
      <c r="AK464" s="36"/>
      <c r="AN464" s="36"/>
      <c r="AO464" s="36"/>
    </row>
    <row r="465" spans="4:41" s="5" customFormat="1">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90"/>
      <c r="AI465" s="90"/>
      <c r="AJ465" s="36"/>
      <c r="AK465" s="36"/>
      <c r="AN465" s="36"/>
      <c r="AO465" s="36"/>
    </row>
    <row r="466" spans="4:41" s="5" customFormat="1">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90"/>
      <c r="AI466" s="90"/>
      <c r="AJ466" s="36"/>
      <c r="AK466" s="36"/>
      <c r="AN466" s="36"/>
      <c r="AO466" s="36"/>
    </row>
    <row r="467" spans="4:41" s="5" customFormat="1">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90"/>
      <c r="AI467" s="90"/>
      <c r="AJ467" s="36"/>
      <c r="AK467" s="36"/>
      <c r="AN467" s="36"/>
      <c r="AO467" s="36"/>
    </row>
    <row r="468" spans="4:41" s="5" customFormat="1">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90"/>
      <c r="AI468" s="90"/>
      <c r="AJ468" s="36"/>
      <c r="AK468" s="36"/>
      <c r="AN468" s="36"/>
      <c r="AO468" s="36"/>
    </row>
    <row r="469" spans="4:41" s="5" customFormat="1">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90"/>
      <c r="AI469" s="90"/>
      <c r="AJ469" s="36"/>
      <c r="AK469" s="36"/>
      <c r="AN469" s="36"/>
      <c r="AO469" s="36"/>
    </row>
    <row r="470" spans="4:41" s="5" customFormat="1">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90"/>
      <c r="AI470" s="90"/>
      <c r="AJ470" s="36"/>
      <c r="AK470" s="36"/>
      <c r="AN470" s="36"/>
      <c r="AO470" s="36"/>
    </row>
    <row r="471" spans="4:41" s="5" customFormat="1">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90"/>
      <c r="AI471" s="90"/>
      <c r="AJ471" s="36"/>
      <c r="AK471" s="36"/>
      <c r="AN471" s="36"/>
      <c r="AO471" s="36"/>
    </row>
    <row r="472" spans="4:41" s="5" customFormat="1">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90"/>
      <c r="AI472" s="90"/>
      <c r="AJ472" s="36"/>
      <c r="AK472" s="36"/>
      <c r="AN472" s="36"/>
      <c r="AO472" s="36"/>
    </row>
    <row r="473" spans="4:41" s="5" customFormat="1">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90"/>
      <c r="AI473" s="90"/>
      <c r="AJ473" s="36"/>
      <c r="AK473" s="36"/>
      <c r="AN473" s="36"/>
      <c r="AO473" s="36"/>
    </row>
    <row r="474" spans="4:41" s="5" customFormat="1">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90"/>
      <c r="AI474" s="90"/>
      <c r="AJ474" s="36"/>
      <c r="AK474" s="36"/>
      <c r="AN474" s="36"/>
      <c r="AO474" s="36"/>
    </row>
    <row r="475" spans="4:41" s="5" customFormat="1">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90"/>
      <c r="AI475" s="90"/>
      <c r="AJ475" s="36"/>
      <c r="AK475" s="36"/>
      <c r="AN475" s="36"/>
      <c r="AO475" s="36"/>
    </row>
    <row r="476" spans="4:41" s="5" customFormat="1">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90"/>
      <c r="AI476" s="90"/>
      <c r="AJ476" s="36"/>
      <c r="AK476" s="36"/>
      <c r="AN476" s="36"/>
      <c r="AO476" s="36"/>
    </row>
    <row r="477" spans="4:41" s="5" customFormat="1">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90"/>
      <c r="AI477" s="90"/>
      <c r="AJ477" s="36"/>
      <c r="AK477" s="36"/>
      <c r="AN477" s="36"/>
      <c r="AO477" s="36"/>
    </row>
    <row r="478" spans="4:41" s="5" customFormat="1">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90"/>
      <c r="AI478" s="90"/>
      <c r="AJ478" s="36"/>
      <c r="AK478" s="36"/>
      <c r="AN478" s="36"/>
      <c r="AO478" s="36"/>
    </row>
    <row r="479" spans="4:41" s="5" customFormat="1">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90"/>
      <c r="AI479" s="90"/>
      <c r="AJ479" s="36"/>
      <c r="AK479" s="36"/>
      <c r="AN479" s="36"/>
      <c r="AO479" s="36"/>
    </row>
    <row r="480" spans="4:41" s="5" customFormat="1">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90"/>
      <c r="AI480" s="90"/>
      <c r="AJ480" s="36"/>
      <c r="AK480" s="36"/>
      <c r="AN480" s="36"/>
      <c r="AO480" s="36"/>
    </row>
    <row r="481" spans="4:41" s="5" customFormat="1">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90"/>
      <c r="AI481" s="90"/>
      <c r="AJ481" s="36"/>
      <c r="AK481" s="36"/>
      <c r="AN481" s="36"/>
      <c r="AO481" s="36"/>
    </row>
    <row r="482" spans="4:41" s="5" customFormat="1">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90"/>
      <c r="AI482" s="90"/>
      <c r="AJ482" s="36"/>
      <c r="AK482" s="36"/>
      <c r="AN482" s="36"/>
      <c r="AO482" s="36"/>
    </row>
    <row r="483" spans="4:41" s="5" customFormat="1">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90"/>
      <c r="AI483" s="90"/>
      <c r="AJ483" s="36"/>
      <c r="AK483" s="36"/>
      <c r="AN483" s="36"/>
      <c r="AO483" s="36"/>
    </row>
    <row r="484" spans="4:41" s="5" customFormat="1">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90"/>
      <c r="AI484" s="90"/>
      <c r="AJ484" s="36"/>
      <c r="AK484" s="36"/>
      <c r="AN484" s="36"/>
      <c r="AO484" s="36"/>
    </row>
    <row r="485" spans="4:41" s="5" customFormat="1">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90"/>
      <c r="AI485" s="90"/>
      <c r="AJ485" s="36"/>
      <c r="AK485" s="36"/>
      <c r="AN485" s="36"/>
      <c r="AO485" s="36"/>
    </row>
    <row r="486" spans="4:41" s="5" customFormat="1">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90"/>
      <c r="AI486" s="90"/>
      <c r="AJ486" s="36"/>
      <c r="AK486" s="36"/>
      <c r="AN486" s="36"/>
      <c r="AO486" s="36"/>
    </row>
    <row r="487" spans="4:41" s="5" customFormat="1">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90"/>
      <c r="AI487" s="90"/>
      <c r="AJ487" s="36"/>
      <c r="AK487" s="36"/>
      <c r="AN487" s="36"/>
      <c r="AO487" s="36"/>
    </row>
    <row r="488" spans="4:41" s="5" customFormat="1">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90"/>
      <c r="AI488" s="90"/>
      <c r="AJ488" s="36"/>
      <c r="AK488" s="36"/>
      <c r="AN488" s="36"/>
      <c r="AO488" s="36"/>
    </row>
    <row r="489" spans="4:41" s="5" customFormat="1">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90"/>
      <c r="AI489" s="90"/>
      <c r="AJ489" s="36"/>
      <c r="AK489" s="36"/>
      <c r="AN489" s="36"/>
      <c r="AO489" s="36"/>
    </row>
    <row r="490" spans="4:41" s="5" customFormat="1">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90"/>
      <c r="AI490" s="90"/>
      <c r="AJ490" s="36"/>
      <c r="AK490" s="36"/>
      <c r="AN490" s="36"/>
      <c r="AO490" s="36"/>
    </row>
    <row r="491" spans="4:41" s="5" customFormat="1">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90"/>
      <c r="AI491" s="90"/>
      <c r="AJ491" s="36"/>
      <c r="AK491" s="36"/>
      <c r="AN491" s="36"/>
      <c r="AO491" s="36"/>
    </row>
    <row r="492" spans="4:41" s="5" customFormat="1">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90"/>
      <c r="AI492" s="90"/>
      <c r="AJ492" s="36"/>
      <c r="AK492" s="36"/>
      <c r="AN492" s="36"/>
      <c r="AO492" s="36"/>
    </row>
    <row r="493" spans="4:41" s="5" customFormat="1">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90"/>
      <c r="AI493" s="90"/>
      <c r="AJ493" s="36"/>
      <c r="AK493" s="36"/>
      <c r="AN493" s="36"/>
      <c r="AO493" s="36"/>
    </row>
    <row r="494" spans="4:41" s="5" customFormat="1">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90"/>
      <c r="AI494" s="90"/>
      <c r="AJ494" s="36"/>
      <c r="AK494" s="36"/>
      <c r="AN494" s="36"/>
      <c r="AO494" s="36"/>
    </row>
    <row r="495" spans="4:41" s="5" customFormat="1">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90"/>
      <c r="AI495" s="90"/>
      <c r="AJ495" s="36"/>
      <c r="AK495" s="36"/>
      <c r="AN495" s="36"/>
      <c r="AO495" s="36"/>
    </row>
    <row r="496" spans="4:41" s="5" customFormat="1">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90"/>
      <c r="AI496" s="90"/>
      <c r="AJ496" s="36"/>
      <c r="AK496" s="36"/>
      <c r="AN496" s="36"/>
      <c r="AO496" s="36"/>
    </row>
    <row r="497" spans="4:41" s="5" customFormat="1">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90"/>
      <c r="AI497" s="90"/>
      <c r="AJ497" s="36"/>
      <c r="AK497" s="36"/>
      <c r="AN497" s="36"/>
      <c r="AO497" s="36"/>
    </row>
    <row r="498" spans="4:41" s="5" customFormat="1">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90"/>
      <c r="AI498" s="90"/>
      <c r="AJ498" s="36"/>
      <c r="AK498" s="36"/>
      <c r="AN498" s="36"/>
      <c r="AO498" s="36"/>
    </row>
    <row r="499" spans="4:41" s="5" customFormat="1">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90"/>
      <c r="AI499" s="90"/>
      <c r="AJ499" s="36"/>
      <c r="AK499" s="36"/>
      <c r="AN499" s="36"/>
      <c r="AO499" s="36"/>
    </row>
    <row r="500" spans="4:41" s="5" customFormat="1">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90"/>
      <c r="AI500" s="90"/>
      <c r="AJ500" s="36"/>
      <c r="AK500" s="36"/>
      <c r="AN500" s="36"/>
      <c r="AO500" s="36"/>
    </row>
    <row r="501" spans="4:41" s="5" customFormat="1">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90"/>
      <c r="AI501" s="90"/>
      <c r="AJ501" s="36"/>
      <c r="AK501" s="36"/>
      <c r="AN501" s="36"/>
      <c r="AO501" s="36"/>
    </row>
    <row r="502" spans="4:41" s="5" customFormat="1">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90"/>
      <c r="AI502" s="90"/>
      <c r="AJ502" s="36"/>
      <c r="AK502" s="36"/>
      <c r="AN502" s="36"/>
      <c r="AO502" s="36"/>
    </row>
    <row r="503" spans="4:41" s="5" customFormat="1">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90"/>
      <c r="AI503" s="90"/>
      <c r="AJ503" s="36"/>
      <c r="AK503" s="36"/>
      <c r="AN503" s="36"/>
      <c r="AO503" s="36"/>
    </row>
    <row r="504" spans="4:41" s="5" customFormat="1">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90"/>
      <c r="AI504" s="90"/>
      <c r="AJ504" s="36"/>
      <c r="AK504" s="36"/>
      <c r="AN504" s="36"/>
      <c r="AO504" s="36"/>
    </row>
    <row r="505" spans="4:41" s="5" customFormat="1">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90"/>
      <c r="AI505" s="90"/>
      <c r="AJ505" s="36"/>
      <c r="AK505" s="36"/>
      <c r="AN505" s="36"/>
      <c r="AO505" s="36"/>
    </row>
    <row r="506" spans="4:41" s="5" customFormat="1">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90"/>
      <c r="AI506" s="90"/>
      <c r="AJ506" s="36"/>
      <c r="AK506" s="36"/>
      <c r="AN506" s="36"/>
      <c r="AO506" s="36"/>
    </row>
    <row r="507" spans="4:41" s="5" customFormat="1">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90"/>
      <c r="AI507" s="90"/>
      <c r="AJ507" s="36"/>
      <c r="AK507" s="36"/>
      <c r="AN507" s="36"/>
      <c r="AO507" s="36"/>
    </row>
    <row r="508" spans="4:41" s="5" customFormat="1">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90"/>
      <c r="AI508" s="90"/>
      <c r="AJ508" s="36"/>
      <c r="AK508" s="36"/>
      <c r="AN508" s="36"/>
      <c r="AO508" s="36"/>
    </row>
    <row r="509" spans="4:41" s="5" customFormat="1">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90"/>
      <c r="AI509" s="90"/>
      <c r="AJ509" s="36"/>
      <c r="AK509" s="36"/>
      <c r="AN509" s="36"/>
      <c r="AO509" s="36"/>
    </row>
    <row r="510" spans="4:41" s="5" customFormat="1">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90"/>
      <c r="AI510" s="90"/>
      <c r="AJ510" s="36"/>
      <c r="AK510" s="36"/>
      <c r="AN510" s="36"/>
      <c r="AO510" s="36"/>
    </row>
    <row r="511" spans="4:41" s="5" customFormat="1">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90"/>
      <c r="AI511" s="90"/>
      <c r="AJ511" s="36"/>
      <c r="AK511" s="36"/>
      <c r="AN511" s="36"/>
      <c r="AO511" s="36"/>
    </row>
    <row r="512" spans="4:41" s="5" customFormat="1">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90"/>
      <c r="AI512" s="90"/>
      <c r="AJ512" s="36"/>
      <c r="AK512" s="36"/>
      <c r="AN512" s="36"/>
      <c r="AO512" s="36"/>
    </row>
    <row r="513" spans="4:41" s="5" customFormat="1">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90"/>
      <c r="AI513" s="90"/>
      <c r="AJ513" s="36"/>
      <c r="AK513" s="36"/>
      <c r="AN513" s="36"/>
      <c r="AO513" s="36"/>
    </row>
    <row r="514" spans="4:41" s="5" customFormat="1">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90"/>
      <c r="AI514" s="90"/>
      <c r="AJ514" s="36"/>
      <c r="AK514" s="36"/>
      <c r="AN514" s="36"/>
      <c r="AO514" s="36"/>
    </row>
    <row r="515" spans="4:41" s="5" customFormat="1">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90"/>
      <c r="AI515" s="90"/>
      <c r="AJ515" s="36"/>
      <c r="AK515" s="36"/>
      <c r="AN515" s="36"/>
      <c r="AO515" s="36"/>
    </row>
    <row r="516" spans="4:41" s="5" customFormat="1">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90"/>
      <c r="AI516" s="90"/>
      <c r="AJ516" s="36"/>
      <c r="AK516" s="36"/>
      <c r="AN516" s="36"/>
      <c r="AO516" s="36"/>
    </row>
    <row r="517" spans="4:41" s="5" customFormat="1">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90"/>
      <c r="AI517" s="90"/>
      <c r="AJ517" s="36"/>
      <c r="AK517" s="36"/>
      <c r="AN517" s="36"/>
      <c r="AO517" s="36"/>
    </row>
    <row r="518" spans="4:41" s="5" customFormat="1">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90"/>
      <c r="AI518" s="90"/>
      <c r="AJ518" s="36"/>
      <c r="AK518" s="36"/>
      <c r="AN518" s="36"/>
      <c r="AO518" s="36"/>
    </row>
    <row r="519" spans="4:41" s="5" customFormat="1">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90"/>
      <c r="AI519" s="90"/>
      <c r="AJ519" s="36"/>
      <c r="AK519" s="36"/>
      <c r="AN519" s="36"/>
      <c r="AO519" s="36"/>
    </row>
    <row r="520" spans="4:41" s="5" customFormat="1">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90"/>
      <c r="AI520" s="90"/>
      <c r="AJ520" s="36"/>
      <c r="AK520" s="36"/>
      <c r="AN520" s="36"/>
      <c r="AO520" s="36"/>
    </row>
    <row r="521" spans="4:41" s="5" customFormat="1">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90"/>
      <c r="AI521" s="90"/>
      <c r="AJ521" s="36"/>
      <c r="AK521" s="36"/>
      <c r="AN521" s="36"/>
      <c r="AO521" s="36"/>
    </row>
    <row r="522" spans="4:41" s="5" customFormat="1">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90"/>
      <c r="AI522" s="90"/>
      <c r="AJ522" s="36"/>
      <c r="AK522" s="36"/>
      <c r="AN522" s="36"/>
      <c r="AO522" s="36"/>
    </row>
    <row r="523" spans="4:41" s="5" customFormat="1">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90"/>
      <c r="AI523" s="90"/>
      <c r="AJ523" s="36"/>
      <c r="AK523" s="36"/>
      <c r="AN523" s="36"/>
      <c r="AO523" s="36"/>
    </row>
    <row r="524" spans="4:41" s="5" customFormat="1">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90"/>
      <c r="AI524" s="90"/>
      <c r="AJ524" s="36"/>
      <c r="AK524" s="36"/>
      <c r="AN524" s="36"/>
      <c r="AO524" s="36"/>
    </row>
    <row r="525" spans="4:41" s="5" customFormat="1">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90"/>
      <c r="AI525" s="90"/>
      <c r="AJ525" s="36"/>
      <c r="AK525" s="36"/>
      <c r="AN525" s="36"/>
      <c r="AO525" s="36"/>
    </row>
    <row r="526" spans="4:41" s="5" customFormat="1">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90"/>
      <c r="AI526" s="90"/>
      <c r="AJ526" s="36"/>
      <c r="AK526" s="36"/>
      <c r="AN526" s="36"/>
      <c r="AO526" s="36"/>
    </row>
    <row r="527" spans="4:41" s="5" customFormat="1">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90"/>
      <c r="AI527" s="90"/>
      <c r="AJ527" s="36"/>
      <c r="AK527" s="36"/>
      <c r="AN527" s="36"/>
      <c r="AO527" s="36"/>
    </row>
    <row r="528" spans="4:41" s="5" customFormat="1">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90"/>
      <c r="AI528" s="90"/>
      <c r="AJ528" s="36"/>
      <c r="AK528" s="36"/>
      <c r="AN528" s="36"/>
      <c r="AO528" s="36"/>
    </row>
    <row r="529" spans="4:41" s="5" customFormat="1">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90"/>
      <c r="AI529" s="90"/>
      <c r="AJ529" s="36"/>
      <c r="AK529" s="36"/>
      <c r="AN529" s="36"/>
      <c r="AO529" s="36"/>
    </row>
    <row r="530" spans="4:41" s="5" customFormat="1">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90"/>
      <c r="AI530" s="90"/>
      <c r="AJ530" s="36"/>
      <c r="AK530" s="36"/>
      <c r="AN530" s="36"/>
      <c r="AO530" s="36"/>
    </row>
    <row r="531" spans="4:41" s="5" customFormat="1">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90"/>
      <c r="AI531" s="90"/>
      <c r="AJ531" s="36"/>
      <c r="AK531" s="36"/>
      <c r="AN531" s="36"/>
      <c r="AO531" s="36"/>
    </row>
    <row r="532" spans="4:41" s="5" customFormat="1">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90"/>
      <c r="AI532" s="90"/>
      <c r="AJ532" s="36"/>
      <c r="AK532" s="36"/>
      <c r="AN532" s="36"/>
      <c r="AO532" s="36"/>
    </row>
    <row r="533" spans="4:41" s="5" customFormat="1">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90"/>
      <c r="AI533" s="90"/>
      <c r="AJ533" s="36"/>
      <c r="AK533" s="36"/>
      <c r="AN533" s="36"/>
      <c r="AO533" s="36"/>
    </row>
    <row r="534" spans="4:41" s="5" customFormat="1">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90"/>
      <c r="AI534" s="90"/>
      <c r="AJ534" s="36"/>
      <c r="AK534" s="36"/>
      <c r="AN534" s="36"/>
      <c r="AO534" s="36"/>
    </row>
    <row r="535" spans="4:41" s="5" customFormat="1">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90"/>
      <c r="AI535" s="90"/>
      <c r="AJ535" s="36"/>
      <c r="AK535" s="36"/>
      <c r="AN535" s="36"/>
      <c r="AO535" s="36"/>
    </row>
    <row r="536" spans="4:41" s="5" customFormat="1">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90"/>
      <c r="AI536" s="90"/>
      <c r="AJ536" s="36"/>
      <c r="AK536" s="36"/>
      <c r="AN536" s="36"/>
      <c r="AO536" s="36"/>
    </row>
    <row r="537" spans="4:41" s="5" customFormat="1">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90"/>
      <c r="AI537" s="90"/>
      <c r="AJ537" s="36"/>
      <c r="AK537" s="36"/>
      <c r="AN537" s="36"/>
      <c r="AO537" s="36"/>
    </row>
    <row r="538" spans="4:41" s="5" customFormat="1">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90"/>
      <c r="AI538" s="90"/>
      <c r="AJ538" s="36"/>
      <c r="AK538" s="36"/>
      <c r="AN538" s="36"/>
      <c r="AO538" s="36"/>
    </row>
    <row r="539" spans="4:41" s="5" customFormat="1">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90"/>
      <c r="AI539" s="90"/>
      <c r="AJ539" s="36"/>
      <c r="AK539" s="36"/>
      <c r="AN539" s="36"/>
      <c r="AO539" s="36"/>
    </row>
    <row r="540" spans="4:41" s="5" customFormat="1">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90"/>
      <c r="AI540" s="90"/>
      <c r="AJ540" s="36"/>
      <c r="AK540" s="36"/>
      <c r="AN540" s="36"/>
      <c r="AO540" s="36"/>
    </row>
    <row r="541" spans="4:41" s="5" customFormat="1">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90"/>
      <c r="AI541" s="90"/>
      <c r="AJ541" s="36"/>
      <c r="AK541" s="36"/>
      <c r="AN541" s="36"/>
      <c r="AO541" s="36"/>
    </row>
    <row r="542" spans="4:41" s="5" customFormat="1">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90"/>
      <c r="AI542" s="90"/>
      <c r="AJ542" s="36"/>
      <c r="AK542" s="36"/>
      <c r="AN542" s="36"/>
      <c r="AO542" s="36"/>
    </row>
    <row r="543" spans="4:41" s="5" customFormat="1">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90"/>
      <c r="AI543" s="90"/>
      <c r="AJ543" s="36"/>
      <c r="AK543" s="36"/>
      <c r="AN543" s="36"/>
      <c r="AO543" s="36"/>
    </row>
    <row r="544" spans="4:41" s="5" customFormat="1">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90"/>
      <c r="AI544" s="90"/>
      <c r="AJ544" s="36"/>
      <c r="AK544" s="36"/>
      <c r="AN544" s="36"/>
      <c r="AO544" s="36"/>
    </row>
    <row r="545" spans="4:41" s="5" customFormat="1">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90"/>
      <c r="AI545" s="90"/>
      <c r="AJ545" s="36"/>
      <c r="AK545" s="36"/>
      <c r="AN545" s="36"/>
      <c r="AO545" s="36"/>
    </row>
    <row r="546" spans="4:41" s="5" customFormat="1">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90"/>
      <c r="AI546" s="90"/>
      <c r="AJ546" s="36"/>
      <c r="AK546" s="36"/>
      <c r="AN546" s="36"/>
      <c r="AO546" s="36"/>
    </row>
    <row r="547" spans="4:41" s="5" customFormat="1">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90"/>
      <c r="AI547" s="90"/>
      <c r="AJ547" s="36"/>
      <c r="AK547" s="36"/>
      <c r="AN547" s="36"/>
      <c r="AO547" s="36"/>
    </row>
    <row r="548" spans="4:41" s="5" customFormat="1">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90"/>
      <c r="AI548" s="90"/>
      <c r="AJ548" s="36"/>
      <c r="AK548" s="36"/>
      <c r="AN548" s="36"/>
      <c r="AO548" s="36"/>
    </row>
    <row r="549" spans="4:41" s="5" customFormat="1">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90"/>
      <c r="AI549" s="90"/>
      <c r="AJ549" s="36"/>
      <c r="AK549" s="36"/>
      <c r="AN549" s="36"/>
      <c r="AO549" s="36"/>
    </row>
    <row r="550" spans="4:41" s="5" customFormat="1">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90"/>
      <c r="AI550" s="90"/>
      <c r="AJ550" s="36"/>
      <c r="AK550" s="36"/>
      <c r="AN550" s="36"/>
      <c r="AO550" s="36"/>
    </row>
    <row r="551" spans="4:41" s="5" customFormat="1">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90"/>
      <c r="AI551" s="90"/>
      <c r="AJ551" s="36"/>
      <c r="AK551" s="36"/>
      <c r="AN551" s="36"/>
      <c r="AO551" s="36"/>
    </row>
    <row r="552" spans="4:41" s="5" customFormat="1">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90"/>
      <c r="AI552" s="90"/>
      <c r="AJ552" s="36"/>
      <c r="AK552" s="36"/>
      <c r="AN552" s="36"/>
      <c r="AO552" s="36"/>
    </row>
    <row r="553" spans="4:41" s="5" customFormat="1">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90"/>
      <c r="AI553" s="90"/>
      <c r="AJ553" s="36"/>
      <c r="AK553" s="36"/>
      <c r="AN553" s="36"/>
      <c r="AO553" s="36"/>
    </row>
    <row r="554" spans="4:41" s="5" customFormat="1">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90"/>
      <c r="AI554" s="90"/>
      <c r="AJ554" s="36"/>
      <c r="AK554" s="36"/>
      <c r="AN554" s="36"/>
      <c r="AO554" s="36"/>
    </row>
    <row r="555" spans="4:41" s="5" customFormat="1">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90"/>
      <c r="AI555" s="90"/>
      <c r="AJ555" s="36"/>
      <c r="AK555" s="36"/>
      <c r="AN555" s="36"/>
      <c r="AO555" s="36"/>
    </row>
    <row r="556" spans="4:41" s="5" customFormat="1">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90"/>
      <c r="AI556" s="90"/>
      <c r="AJ556" s="36"/>
      <c r="AK556" s="36"/>
      <c r="AN556" s="36"/>
      <c r="AO556" s="36"/>
    </row>
    <row r="557" spans="4:41" s="5" customFormat="1">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90"/>
      <c r="AI557" s="90"/>
      <c r="AJ557" s="36"/>
      <c r="AK557" s="36"/>
      <c r="AN557" s="36"/>
      <c r="AO557" s="36"/>
    </row>
    <row r="558" spans="4:41" s="5" customFormat="1">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90"/>
      <c r="AI558" s="90"/>
      <c r="AJ558" s="36"/>
      <c r="AK558" s="36"/>
      <c r="AN558" s="36"/>
      <c r="AO558" s="36"/>
    </row>
    <row r="559" spans="4:41" s="5" customFormat="1">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90"/>
      <c r="AI559" s="90"/>
      <c r="AJ559" s="36"/>
      <c r="AK559" s="36"/>
      <c r="AN559" s="36"/>
      <c r="AO559" s="36"/>
    </row>
    <row r="560" spans="4:41" s="5" customFormat="1">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90"/>
      <c r="AI560" s="90"/>
      <c r="AJ560" s="36"/>
      <c r="AK560" s="36"/>
      <c r="AN560" s="36"/>
      <c r="AO560" s="36"/>
    </row>
    <row r="561" spans="4:41" s="5" customFormat="1">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90"/>
      <c r="AI561" s="90"/>
      <c r="AJ561" s="36"/>
      <c r="AK561" s="36"/>
      <c r="AN561" s="36"/>
      <c r="AO561" s="36"/>
    </row>
    <row r="562" spans="4:41" s="5" customFormat="1">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90"/>
      <c r="AI562" s="90"/>
      <c r="AJ562" s="36"/>
      <c r="AK562" s="36"/>
      <c r="AN562" s="36"/>
      <c r="AO562" s="36"/>
    </row>
    <row r="563" spans="4:41" s="5" customFormat="1">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90"/>
      <c r="AI563" s="90"/>
      <c r="AJ563" s="36"/>
      <c r="AK563" s="36"/>
      <c r="AN563" s="36"/>
      <c r="AO563" s="36"/>
    </row>
    <row r="564" spans="4:41" s="5" customFormat="1">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90"/>
      <c r="AI564" s="90"/>
      <c r="AJ564" s="36"/>
      <c r="AK564" s="36"/>
      <c r="AN564" s="36"/>
      <c r="AO564" s="36"/>
    </row>
    <row r="565" spans="4:41" s="5" customFormat="1">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90"/>
      <c r="AI565" s="90"/>
      <c r="AJ565" s="36"/>
      <c r="AK565" s="36"/>
      <c r="AN565" s="36"/>
      <c r="AO565" s="36"/>
    </row>
    <row r="566" spans="4:41" s="5" customFormat="1">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90"/>
      <c r="AI566" s="90"/>
      <c r="AJ566" s="36"/>
      <c r="AK566" s="36"/>
      <c r="AN566" s="36"/>
      <c r="AO566" s="36"/>
    </row>
    <row r="567" spans="4:41" s="5" customFormat="1">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90"/>
      <c r="AI567" s="90"/>
      <c r="AJ567" s="36"/>
      <c r="AK567" s="36"/>
      <c r="AN567" s="36"/>
      <c r="AO567" s="36"/>
    </row>
    <row r="568" spans="4:41" s="5" customFormat="1">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90"/>
      <c r="AI568" s="90"/>
      <c r="AJ568" s="36"/>
      <c r="AK568" s="36"/>
      <c r="AN568" s="36"/>
      <c r="AO568" s="36"/>
    </row>
    <row r="569" spans="4:41" s="5" customFormat="1">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90"/>
      <c r="AI569" s="90"/>
      <c r="AJ569" s="36"/>
      <c r="AK569" s="36"/>
      <c r="AN569" s="36"/>
      <c r="AO569" s="36"/>
    </row>
    <row r="570" spans="4:41" s="5" customFormat="1">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90"/>
      <c r="AI570" s="90"/>
      <c r="AJ570" s="36"/>
      <c r="AK570" s="36"/>
      <c r="AN570" s="36"/>
      <c r="AO570" s="36"/>
    </row>
    <row r="571" spans="4:41" s="5" customFormat="1">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90"/>
      <c r="AI571" s="90"/>
      <c r="AJ571" s="36"/>
      <c r="AK571" s="36"/>
      <c r="AN571" s="36"/>
      <c r="AO571" s="36"/>
    </row>
    <row r="572" spans="4:41" s="5" customFormat="1">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90"/>
      <c r="AI572" s="90"/>
      <c r="AJ572" s="36"/>
      <c r="AK572" s="36"/>
      <c r="AN572" s="36"/>
      <c r="AO572" s="36"/>
    </row>
    <row r="573" spans="4:41" s="5" customFormat="1">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90"/>
      <c r="AI573" s="90"/>
      <c r="AJ573" s="36"/>
      <c r="AK573" s="36"/>
      <c r="AN573" s="36"/>
      <c r="AO573" s="36"/>
    </row>
    <row r="574" spans="4:41" s="5" customFormat="1">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90"/>
      <c r="AI574" s="90"/>
      <c r="AJ574" s="36"/>
      <c r="AK574" s="36"/>
      <c r="AN574" s="36"/>
      <c r="AO574" s="36"/>
    </row>
    <row r="575" spans="4:41" s="5" customFormat="1">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90"/>
      <c r="AI575" s="90"/>
      <c r="AJ575" s="36"/>
      <c r="AK575" s="36"/>
      <c r="AN575" s="36"/>
      <c r="AO575" s="36"/>
    </row>
    <row r="576" spans="4:41" s="5" customFormat="1">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90"/>
      <c r="AI576" s="90"/>
      <c r="AJ576" s="36"/>
      <c r="AK576" s="36"/>
      <c r="AN576" s="36"/>
      <c r="AO576" s="36"/>
    </row>
    <row r="577" spans="4:41" s="5" customFormat="1">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90"/>
      <c r="AI577" s="90"/>
      <c r="AJ577" s="36"/>
      <c r="AK577" s="36"/>
      <c r="AN577" s="36"/>
      <c r="AO577" s="36"/>
    </row>
    <row r="578" spans="4:41" s="5" customFormat="1">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90"/>
      <c r="AI578" s="90"/>
      <c r="AJ578" s="36"/>
      <c r="AK578" s="36"/>
      <c r="AN578" s="36"/>
      <c r="AO578" s="36"/>
    </row>
    <row r="579" spans="4:41" s="5" customFormat="1">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90"/>
      <c r="AI579" s="90"/>
      <c r="AJ579" s="36"/>
      <c r="AK579" s="36"/>
      <c r="AN579" s="36"/>
      <c r="AO579" s="36"/>
    </row>
    <row r="580" spans="4:41" s="5" customFormat="1">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90"/>
      <c r="AI580" s="90"/>
      <c r="AJ580" s="36"/>
      <c r="AK580" s="36"/>
      <c r="AN580" s="36"/>
      <c r="AO580" s="36"/>
    </row>
    <row r="581" spans="4:41" s="5" customFormat="1">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90"/>
      <c r="AI581" s="90"/>
      <c r="AJ581" s="36"/>
      <c r="AK581" s="36"/>
      <c r="AN581" s="36"/>
      <c r="AO581" s="36"/>
    </row>
    <row r="582" spans="4:41" s="5" customFormat="1">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90"/>
      <c r="AI582" s="90"/>
      <c r="AJ582" s="36"/>
      <c r="AK582" s="36"/>
      <c r="AN582" s="36"/>
      <c r="AO582" s="36"/>
    </row>
    <row r="583" spans="4:41" s="5" customFormat="1">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90"/>
      <c r="AI583" s="90"/>
      <c r="AJ583" s="36"/>
      <c r="AK583" s="36"/>
      <c r="AN583" s="36"/>
      <c r="AO583" s="36"/>
    </row>
    <row r="584" spans="4:41" s="5" customFormat="1">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90"/>
      <c r="AI584" s="90"/>
      <c r="AJ584" s="36"/>
      <c r="AK584" s="36"/>
      <c r="AN584" s="36"/>
      <c r="AO584" s="36"/>
    </row>
    <row r="585" spans="4:41" s="5" customFormat="1">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90"/>
      <c r="AI585" s="90"/>
      <c r="AJ585" s="36"/>
      <c r="AK585" s="36"/>
      <c r="AN585" s="36"/>
      <c r="AO585" s="36"/>
    </row>
    <row r="586" spans="4:41" s="5" customFormat="1">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90"/>
      <c r="AI586" s="90"/>
      <c r="AJ586" s="36"/>
      <c r="AK586" s="36"/>
      <c r="AN586" s="36"/>
      <c r="AO586" s="36"/>
    </row>
    <row r="587" spans="4:41" s="5" customFormat="1">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90"/>
      <c r="AI587" s="90"/>
      <c r="AJ587" s="36"/>
      <c r="AK587" s="36"/>
      <c r="AN587" s="36"/>
      <c r="AO587" s="36"/>
    </row>
    <row r="588" spans="4:41" s="5" customFormat="1">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90"/>
      <c r="AI588" s="90"/>
      <c r="AJ588" s="36"/>
      <c r="AK588" s="36"/>
      <c r="AN588" s="36"/>
      <c r="AO588" s="36"/>
    </row>
    <row r="589" spans="4:41" s="5" customFormat="1">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90"/>
      <c r="AI589" s="90"/>
      <c r="AJ589" s="36"/>
      <c r="AK589" s="36"/>
      <c r="AN589" s="36"/>
      <c r="AO589" s="36"/>
    </row>
    <row r="590" spans="4:41" s="5" customFormat="1">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90"/>
      <c r="AI590" s="90"/>
      <c r="AJ590" s="36"/>
      <c r="AK590" s="36"/>
      <c r="AN590" s="36"/>
      <c r="AO590" s="36"/>
    </row>
    <row r="591" spans="4:41" s="5" customFormat="1">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90"/>
      <c r="AI591" s="90"/>
      <c r="AJ591" s="36"/>
      <c r="AK591" s="36"/>
      <c r="AN591" s="36"/>
      <c r="AO591" s="36"/>
    </row>
    <row r="592" spans="4:41" s="5" customFormat="1">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90"/>
      <c r="AI592" s="90"/>
      <c r="AJ592" s="36"/>
      <c r="AK592" s="36"/>
      <c r="AN592" s="36"/>
      <c r="AO592" s="36"/>
    </row>
    <row r="593" spans="4:41" s="5" customFormat="1">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90"/>
      <c r="AI593" s="90"/>
      <c r="AJ593" s="36"/>
      <c r="AK593" s="36"/>
      <c r="AN593" s="36"/>
      <c r="AO593" s="36"/>
    </row>
    <row r="594" spans="4:41" s="5" customFormat="1">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90"/>
      <c r="AI594" s="90"/>
      <c r="AJ594" s="36"/>
      <c r="AK594" s="36"/>
      <c r="AN594" s="36"/>
      <c r="AO594" s="36"/>
    </row>
    <row r="595" spans="4:41" s="5" customFormat="1">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90"/>
      <c r="AI595" s="90"/>
      <c r="AJ595" s="36"/>
      <c r="AK595" s="36"/>
      <c r="AN595" s="36"/>
      <c r="AO595" s="36"/>
    </row>
    <row r="596" spans="4:41" s="5" customFormat="1">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90"/>
      <c r="AI596" s="90"/>
      <c r="AJ596" s="36"/>
      <c r="AK596" s="36"/>
      <c r="AN596" s="36"/>
      <c r="AO596" s="36"/>
    </row>
    <row r="597" spans="4:41" s="5" customFormat="1">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90"/>
      <c r="AI597" s="90"/>
      <c r="AJ597" s="36"/>
      <c r="AK597" s="36"/>
      <c r="AN597" s="36"/>
      <c r="AO597" s="36"/>
    </row>
    <row r="598" spans="4:41" s="5" customFormat="1">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90"/>
      <c r="AI598" s="90"/>
      <c r="AJ598" s="36"/>
      <c r="AK598" s="36"/>
      <c r="AN598" s="36"/>
      <c r="AO598" s="36"/>
    </row>
    <row r="599" spans="4:41" s="5" customFormat="1">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90"/>
      <c r="AI599" s="90"/>
      <c r="AJ599" s="36"/>
      <c r="AK599" s="36"/>
      <c r="AN599" s="36"/>
      <c r="AO599" s="36"/>
    </row>
    <row r="600" spans="4:41" s="5" customFormat="1">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90"/>
      <c r="AI600" s="90"/>
      <c r="AJ600" s="36"/>
      <c r="AK600" s="36"/>
      <c r="AN600" s="36"/>
      <c r="AO600" s="36"/>
    </row>
    <row r="601" spans="4:41" s="5" customFormat="1">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90"/>
      <c r="AI601" s="90"/>
      <c r="AJ601" s="36"/>
      <c r="AK601" s="36"/>
      <c r="AN601" s="36"/>
      <c r="AO601" s="36"/>
    </row>
    <row r="602" spans="4:41" s="5" customFormat="1">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90"/>
      <c r="AI602" s="90"/>
      <c r="AJ602" s="36"/>
      <c r="AK602" s="36"/>
      <c r="AN602" s="36"/>
      <c r="AO602" s="36"/>
    </row>
    <row r="603" spans="4:41" s="5" customFormat="1">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90"/>
      <c r="AI603" s="90"/>
      <c r="AJ603" s="36"/>
      <c r="AK603" s="36"/>
      <c r="AN603" s="36"/>
      <c r="AO603" s="36"/>
    </row>
    <row r="604" spans="4:41" s="5" customFormat="1">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90"/>
      <c r="AI604" s="90"/>
      <c r="AJ604" s="36"/>
      <c r="AK604" s="36"/>
      <c r="AN604" s="36"/>
      <c r="AO604" s="36"/>
    </row>
    <row r="605" spans="4:41" s="5" customFormat="1">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90"/>
      <c r="AI605" s="90"/>
      <c r="AJ605" s="36"/>
      <c r="AK605" s="36"/>
      <c r="AN605" s="36"/>
      <c r="AO605" s="36"/>
    </row>
    <row r="606" spans="4:41" s="5" customFormat="1">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90"/>
      <c r="AI606" s="90"/>
      <c r="AJ606" s="36"/>
      <c r="AK606" s="36"/>
      <c r="AN606" s="36"/>
      <c r="AO606" s="36"/>
    </row>
    <row r="607" spans="4:41" s="5" customFormat="1">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90"/>
      <c r="AI607" s="90"/>
      <c r="AJ607" s="36"/>
      <c r="AK607" s="36"/>
      <c r="AN607" s="36"/>
      <c r="AO607" s="36"/>
    </row>
    <row r="608" spans="4:41" s="5" customFormat="1">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90"/>
      <c r="AI608" s="90"/>
      <c r="AJ608" s="36"/>
      <c r="AK608" s="36"/>
      <c r="AN608" s="36"/>
      <c r="AO608" s="36"/>
    </row>
    <row r="609" spans="4:41" s="5" customFormat="1">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90"/>
      <c r="AI609" s="90"/>
      <c r="AJ609" s="36"/>
      <c r="AK609" s="36"/>
      <c r="AN609" s="36"/>
      <c r="AO609" s="36"/>
    </row>
    <row r="610" spans="4:41" s="5" customFormat="1">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90"/>
      <c r="AI610" s="90"/>
      <c r="AJ610" s="36"/>
      <c r="AK610" s="36"/>
      <c r="AN610" s="36"/>
      <c r="AO610" s="36"/>
    </row>
    <row r="611" spans="4:41" s="5" customFormat="1">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90"/>
      <c r="AI611" s="90"/>
      <c r="AJ611" s="36"/>
      <c r="AK611" s="36"/>
      <c r="AN611" s="36"/>
      <c r="AO611" s="36"/>
    </row>
    <row r="612" spans="4:41" s="5" customFormat="1">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90"/>
      <c r="AI612" s="90"/>
      <c r="AJ612" s="36"/>
      <c r="AK612" s="36"/>
      <c r="AN612" s="36"/>
      <c r="AO612" s="36"/>
    </row>
    <row r="613" spans="4:41" s="5" customFormat="1">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90"/>
      <c r="AI613" s="90"/>
      <c r="AJ613" s="36"/>
      <c r="AK613" s="36"/>
      <c r="AN613" s="36"/>
      <c r="AO613" s="36"/>
    </row>
    <row r="614" spans="4:41" s="5" customFormat="1">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90"/>
      <c r="AI614" s="90"/>
      <c r="AJ614" s="36"/>
      <c r="AK614" s="36"/>
      <c r="AN614" s="36"/>
      <c r="AO614" s="36"/>
    </row>
    <row r="615" spans="4:41" s="5" customFormat="1">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90"/>
      <c r="AI615" s="90"/>
      <c r="AJ615" s="36"/>
      <c r="AK615" s="36"/>
      <c r="AN615" s="36"/>
      <c r="AO615" s="36"/>
    </row>
    <row r="616" spans="4:41" s="5" customFormat="1">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90"/>
      <c r="AI616" s="90"/>
      <c r="AJ616" s="36"/>
      <c r="AK616" s="36"/>
      <c r="AN616" s="36"/>
      <c r="AO616" s="36"/>
    </row>
    <row r="617" spans="4:41" s="5" customFormat="1">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90"/>
      <c r="AI617" s="90"/>
      <c r="AJ617" s="36"/>
      <c r="AK617" s="36"/>
      <c r="AN617" s="36"/>
      <c r="AO617" s="36"/>
    </row>
    <row r="618" spans="4:41" s="5" customFormat="1">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90"/>
      <c r="AI618" s="90"/>
      <c r="AJ618" s="36"/>
      <c r="AK618" s="36"/>
      <c r="AN618" s="36"/>
      <c r="AO618" s="36"/>
    </row>
    <row r="619" spans="4:41" s="5" customFormat="1">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90"/>
      <c r="AI619" s="90"/>
      <c r="AJ619" s="36"/>
      <c r="AK619" s="36"/>
      <c r="AN619" s="36"/>
      <c r="AO619" s="36"/>
    </row>
    <row r="620" spans="4:41" s="5" customFormat="1">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90"/>
      <c r="AI620" s="90"/>
      <c r="AJ620" s="36"/>
      <c r="AK620" s="36"/>
      <c r="AN620" s="36"/>
      <c r="AO620" s="36"/>
    </row>
    <row r="621" spans="4:41" s="5" customFormat="1">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90"/>
      <c r="AI621" s="90"/>
      <c r="AJ621" s="36"/>
      <c r="AK621" s="36"/>
      <c r="AN621" s="36"/>
      <c r="AO621" s="36"/>
    </row>
    <row r="622" spans="4:41" s="5" customFormat="1">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90"/>
      <c r="AI622" s="90"/>
      <c r="AJ622" s="36"/>
      <c r="AK622" s="36"/>
      <c r="AN622" s="36"/>
      <c r="AO622" s="36"/>
    </row>
    <row r="623" spans="4:41" s="5" customFormat="1">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90"/>
      <c r="AI623" s="90"/>
      <c r="AJ623" s="36"/>
      <c r="AK623" s="36"/>
      <c r="AN623" s="36"/>
      <c r="AO623" s="36"/>
    </row>
    <row r="624" spans="4:41" s="5" customFormat="1">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90"/>
      <c r="AI624" s="90"/>
      <c r="AJ624" s="36"/>
      <c r="AK624" s="36"/>
      <c r="AN624" s="36"/>
      <c r="AO624" s="36"/>
    </row>
    <row r="625" spans="4:41" s="5" customFormat="1">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90"/>
      <c r="AI625" s="90"/>
      <c r="AJ625" s="36"/>
      <c r="AK625" s="36"/>
      <c r="AN625" s="36"/>
      <c r="AO625" s="36"/>
    </row>
    <row r="626" spans="4:41" s="5" customFormat="1">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90"/>
      <c r="AI626" s="90"/>
      <c r="AJ626" s="36"/>
      <c r="AK626" s="36"/>
      <c r="AN626" s="36"/>
      <c r="AO626" s="36"/>
    </row>
    <row r="627" spans="4:41" s="5" customFormat="1">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90"/>
      <c r="AI627" s="90"/>
      <c r="AJ627" s="36"/>
      <c r="AK627" s="36"/>
      <c r="AN627" s="36"/>
      <c r="AO627" s="36"/>
    </row>
    <row r="628" spans="4:41" s="5" customFormat="1">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90"/>
      <c r="AI628" s="90"/>
      <c r="AJ628" s="36"/>
      <c r="AK628" s="36"/>
      <c r="AN628" s="36"/>
      <c r="AO628" s="36"/>
    </row>
    <row r="629" spans="4:41" s="5" customFormat="1">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90"/>
      <c r="AI629" s="90"/>
      <c r="AJ629" s="36"/>
      <c r="AK629" s="36"/>
      <c r="AN629" s="36"/>
      <c r="AO629" s="36"/>
    </row>
    <row r="630" spans="4:41" s="5" customFormat="1">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90"/>
      <c r="AI630" s="90"/>
      <c r="AJ630" s="36"/>
      <c r="AK630" s="36"/>
      <c r="AN630" s="36"/>
      <c r="AO630" s="36"/>
    </row>
    <row r="631" spans="4:41" s="5" customFormat="1">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90"/>
      <c r="AI631" s="90"/>
      <c r="AJ631" s="36"/>
      <c r="AK631" s="36"/>
      <c r="AN631" s="36"/>
      <c r="AO631" s="36"/>
    </row>
    <row r="632" spans="4:41" s="5" customFormat="1">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90"/>
      <c r="AI632" s="90"/>
      <c r="AJ632" s="36"/>
      <c r="AK632" s="36"/>
      <c r="AN632" s="36"/>
      <c r="AO632" s="36"/>
    </row>
    <row r="633" spans="4:41" s="5" customFormat="1">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90"/>
      <c r="AI633" s="90"/>
      <c r="AJ633" s="36"/>
      <c r="AK633" s="36"/>
      <c r="AN633" s="36"/>
      <c r="AO633" s="36"/>
    </row>
    <row r="634" spans="4:41" s="5" customFormat="1">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90"/>
      <c r="AI634" s="90"/>
      <c r="AJ634" s="36"/>
      <c r="AK634" s="36"/>
      <c r="AN634" s="36"/>
      <c r="AO634" s="36"/>
    </row>
    <row r="635" spans="4:41" s="5" customFormat="1">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90"/>
      <c r="AI635" s="90"/>
      <c r="AJ635" s="36"/>
      <c r="AK635" s="36"/>
      <c r="AN635" s="36"/>
      <c r="AO635" s="36"/>
    </row>
    <row r="636" spans="4:41" s="5" customFormat="1">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90"/>
      <c r="AI636" s="90"/>
      <c r="AJ636" s="36"/>
      <c r="AK636" s="36"/>
      <c r="AN636" s="36"/>
      <c r="AO636" s="36"/>
    </row>
    <row r="637" spans="4:41" s="5" customFormat="1">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90"/>
      <c r="AI637" s="90"/>
      <c r="AJ637" s="36"/>
      <c r="AK637" s="36"/>
      <c r="AN637" s="36"/>
      <c r="AO637" s="36"/>
    </row>
    <row r="638" spans="4:41" s="5" customFormat="1">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90"/>
      <c r="AI638" s="90"/>
      <c r="AJ638" s="36"/>
      <c r="AK638" s="36"/>
      <c r="AN638" s="36"/>
      <c r="AO638" s="36"/>
    </row>
    <row r="639" spans="4:41" s="5" customFormat="1">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90"/>
      <c r="AI639" s="90"/>
      <c r="AJ639" s="36"/>
      <c r="AK639" s="36"/>
      <c r="AN639" s="36"/>
      <c r="AO639" s="36"/>
    </row>
    <row r="640" spans="4:41" s="5" customFormat="1">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90"/>
      <c r="AI640" s="90"/>
      <c r="AJ640" s="36"/>
      <c r="AK640" s="36"/>
      <c r="AN640" s="36"/>
      <c r="AO640" s="36"/>
    </row>
    <row r="641" spans="4:41" s="5" customFormat="1">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90"/>
      <c r="AI641" s="90"/>
      <c r="AJ641" s="36"/>
      <c r="AK641" s="36"/>
      <c r="AN641" s="36"/>
      <c r="AO641" s="36"/>
    </row>
    <row r="642" spans="4:41" s="5" customFormat="1">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90"/>
      <c r="AI642" s="90"/>
      <c r="AJ642" s="36"/>
      <c r="AK642" s="36"/>
      <c r="AN642" s="36"/>
      <c r="AO642" s="36"/>
    </row>
    <row r="643" spans="4:41" s="5" customFormat="1">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90"/>
      <c r="AI643" s="90"/>
      <c r="AJ643" s="36"/>
      <c r="AK643" s="36"/>
      <c r="AN643" s="36"/>
      <c r="AO643" s="36"/>
    </row>
    <row r="644" spans="4:41" s="5" customFormat="1">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90"/>
      <c r="AI644" s="90"/>
      <c r="AJ644" s="36"/>
      <c r="AK644" s="36"/>
      <c r="AN644" s="36"/>
      <c r="AO644" s="36"/>
    </row>
    <row r="645" spans="4:41" s="5" customFormat="1">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90"/>
      <c r="AI645" s="90"/>
      <c r="AJ645" s="36"/>
      <c r="AK645" s="36"/>
      <c r="AN645" s="36"/>
      <c r="AO645" s="36"/>
    </row>
    <row r="646" spans="4:41" s="5" customFormat="1">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90"/>
      <c r="AI646" s="90"/>
      <c r="AJ646" s="36"/>
      <c r="AK646" s="36"/>
      <c r="AN646" s="36"/>
      <c r="AO646" s="36"/>
    </row>
    <row r="647" spans="4:41" s="5" customFormat="1">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90"/>
      <c r="AI647" s="90"/>
      <c r="AJ647" s="36"/>
      <c r="AK647" s="36"/>
      <c r="AN647" s="36"/>
      <c r="AO647" s="36"/>
    </row>
    <row r="648" spans="4:41" s="5" customFormat="1">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90"/>
      <c r="AI648" s="90"/>
      <c r="AJ648" s="36"/>
      <c r="AK648" s="36"/>
      <c r="AN648" s="36"/>
      <c r="AO648" s="36"/>
    </row>
    <row r="649" spans="4:41" s="5" customFormat="1">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90"/>
      <c r="AI649" s="90"/>
      <c r="AJ649" s="36"/>
      <c r="AK649" s="36"/>
      <c r="AN649" s="36"/>
      <c r="AO649" s="36"/>
    </row>
    <row r="650" spans="4:41" s="5" customFormat="1">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90"/>
      <c r="AI650" s="90"/>
      <c r="AJ650" s="36"/>
      <c r="AK650" s="36"/>
      <c r="AN650" s="36"/>
      <c r="AO650" s="36"/>
    </row>
    <row r="651" spans="4:41" s="5" customFormat="1">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90"/>
      <c r="AI651" s="90"/>
      <c r="AJ651" s="36"/>
      <c r="AK651" s="36"/>
      <c r="AN651" s="36"/>
      <c r="AO651" s="36"/>
    </row>
    <row r="652" spans="4:41" s="5" customFormat="1">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90"/>
      <c r="AI652" s="90"/>
      <c r="AJ652" s="36"/>
      <c r="AK652" s="36"/>
      <c r="AN652" s="36"/>
      <c r="AO652" s="36"/>
    </row>
    <row r="653" spans="4:41" s="5" customFormat="1">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90"/>
      <c r="AI653" s="90"/>
      <c r="AJ653" s="36"/>
      <c r="AK653" s="36"/>
      <c r="AN653" s="36"/>
      <c r="AO653" s="36"/>
    </row>
    <row r="654" spans="4:41" s="5" customFormat="1">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90"/>
      <c r="AI654" s="90"/>
      <c r="AJ654" s="36"/>
      <c r="AK654" s="36"/>
      <c r="AN654" s="36"/>
      <c r="AO654" s="36"/>
    </row>
    <row r="655" spans="4:41" s="5" customFormat="1">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90"/>
      <c r="AI655" s="90"/>
      <c r="AJ655" s="36"/>
      <c r="AK655" s="36"/>
      <c r="AN655" s="36"/>
      <c r="AO655" s="36"/>
    </row>
    <row r="656" spans="4:41" s="5" customFormat="1">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90"/>
      <c r="AI656" s="90"/>
      <c r="AJ656" s="36"/>
      <c r="AK656" s="36"/>
      <c r="AN656" s="36"/>
      <c r="AO656" s="36"/>
    </row>
    <row r="657" spans="4:41" s="5" customFormat="1">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90"/>
      <c r="AI657" s="90"/>
      <c r="AJ657" s="36"/>
      <c r="AK657" s="36"/>
      <c r="AN657" s="36"/>
      <c r="AO657" s="36"/>
    </row>
    <row r="658" spans="4:41" s="5" customFormat="1">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90"/>
      <c r="AI658" s="90"/>
      <c r="AJ658" s="36"/>
      <c r="AK658" s="36"/>
      <c r="AN658" s="36"/>
      <c r="AO658" s="36"/>
    </row>
    <row r="659" spans="4:41" s="5" customFormat="1">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90"/>
      <c r="AI659" s="90"/>
      <c r="AJ659" s="36"/>
      <c r="AK659" s="36"/>
      <c r="AN659" s="36"/>
      <c r="AO659" s="36"/>
    </row>
    <row r="660" spans="4:41" s="5" customFormat="1">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90"/>
      <c r="AI660" s="90"/>
      <c r="AJ660" s="36"/>
      <c r="AK660" s="36"/>
      <c r="AN660" s="36"/>
      <c r="AO660" s="36"/>
    </row>
    <row r="661" spans="4:41" s="5" customFormat="1">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90"/>
      <c r="AI661" s="90"/>
      <c r="AJ661" s="36"/>
      <c r="AK661" s="36"/>
      <c r="AN661" s="36"/>
      <c r="AO661" s="36"/>
    </row>
    <row r="662" spans="4:41" s="5" customFormat="1">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90"/>
      <c r="AI662" s="90"/>
      <c r="AJ662" s="36"/>
      <c r="AK662" s="36"/>
      <c r="AN662" s="36"/>
      <c r="AO662" s="36"/>
    </row>
    <row r="663" spans="4:41" s="5" customFormat="1">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90"/>
      <c r="AI663" s="90"/>
      <c r="AJ663" s="36"/>
      <c r="AK663" s="36"/>
      <c r="AN663" s="36"/>
      <c r="AO663" s="36"/>
    </row>
    <row r="664" spans="4:41" s="5" customFormat="1">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90"/>
      <c r="AI664" s="90"/>
      <c r="AJ664" s="36"/>
      <c r="AK664" s="36"/>
      <c r="AN664" s="36"/>
      <c r="AO664" s="36"/>
    </row>
    <row r="665" spans="4:41" s="5" customFormat="1">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90"/>
      <c r="AI665" s="90"/>
      <c r="AJ665" s="36"/>
      <c r="AK665" s="36"/>
      <c r="AN665" s="36"/>
      <c r="AO665" s="36"/>
    </row>
    <row r="666" spans="4:41" s="5" customFormat="1">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90"/>
      <c r="AI666" s="90"/>
      <c r="AJ666" s="36"/>
      <c r="AK666" s="36"/>
      <c r="AN666" s="36"/>
      <c r="AO666" s="36"/>
    </row>
    <row r="667" spans="4:41" s="5" customFormat="1">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90"/>
      <c r="AI667" s="90"/>
      <c r="AJ667" s="36"/>
      <c r="AK667" s="36"/>
      <c r="AN667" s="36"/>
      <c r="AO667" s="36"/>
    </row>
    <row r="668" spans="4:41" s="5" customFormat="1">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90"/>
      <c r="AI668" s="90"/>
      <c r="AJ668" s="36"/>
      <c r="AK668" s="36"/>
      <c r="AN668" s="36"/>
      <c r="AO668" s="36"/>
    </row>
    <row r="669" spans="4:41" s="5" customFormat="1">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90"/>
      <c r="AI669" s="90"/>
      <c r="AJ669" s="36"/>
      <c r="AK669" s="36"/>
      <c r="AN669" s="36"/>
      <c r="AO669" s="36"/>
    </row>
    <row r="670" spans="4:41" s="5" customFormat="1">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90"/>
      <c r="AI670" s="90"/>
      <c r="AJ670" s="36"/>
      <c r="AK670" s="36"/>
      <c r="AN670" s="36"/>
      <c r="AO670" s="36"/>
    </row>
    <row r="671" spans="4:41" s="5" customFormat="1">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90"/>
      <c r="AI671" s="90"/>
      <c r="AJ671" s="36"/>
      <c r="AK671" s="36"/>
      <c r="AN671" s="36"/>
      <c r="AO671" s="36"/>
    </row>
    <row r="672" spans="4:41" s="5" customFormat="1">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90"/>
      <c r="AI672" s="90"/>
      <c r="AJ672" s="36"/>
      <c r="AK672" s="36"/>
      <c r="AN672" s="36"/>
      <c r="AO672" s="36"/>
    </row>
    <row r="673" spans="4:41" s="5" customFormat="1">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90"/>
      <c r="AI673" s="90"/>
      <c r="AJ673" s="36"/>
      <c r="AK673" s="36"/>
      <c r="AN673" s="36"/>
      <c r="AO673" s="36"/>
    </row>
    <row r="674" spans="4:41" s="5" customFormat="1">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90"/>
      <c r="AI674" s="90"/>
      <c r="AJ674" s="36"/>
      <c r="AK674" s="36"/>
      <c r="AN674" s="36"/>
      <c r="AO674" s="36"/>
    </row>
    <row r="675" spans="4:41" s="5" customFormat="1">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90"/>
      <c r="AI675" s="90"/>
      <c r="AJ675" s="36"/>
      <c r="AK675" s="36"/>
      <c r="AN675" s="36"/>
      <c r="AO675" s="36"/>
    </row>
    <row r="676" spans="4:41" s="5" customFormat="1">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90"/>
      <c r="AI676" s="90"/>
      <c r="AJ676" s="36"/>
      <c r="AK676" s="36"/>
      <c r="AN676" s="36"/>
      <c r="AO676" s="36"/>
    </row>
    <row r="677" spans="4:41" s="5" customFormat="1">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90"/>
      <c r="AI677" s="90"/>
      <c r="AJ677" s="36"/>
      <c r="AK677" s="36"/>
      <c r="AN677" s="36"/>
      <c r="AO677" s="36"/>
    </row>
    <row r="678" spans="4:41" s="5" customFormat="1">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90"/>
      <c r="AI678" s="90"/>
      <c r="AJ678" s="36"/>
      <c r="AK678" s="36"/>
      <c r="AN678" s="36"/>
      <c r="AO678" s="36"/>
    </row>
    <row r="679" spans="4:41" s="5" customFormat="1">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90"/>
      <c r="AI679" s="90"/>
      <c r="AJ679" s="36"/>
      <c r="AK679" s="36"/>
      <c r="AN679" s="36"/>
      <c r="AO679" s="36"/>
    </row>
    <row r="680" spans="4:41" s="5" customFormat="1">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90"/>
      <c r="AI680" s="90"/>
      <c r="AJ680" s="36"/>
      <c r="AK680" s="36"/>
      <c r="AN680" s="36"/>
      <c r="AO680" s="36"/>
    </row>
    <row r="681" spans="4:41" s="5" customFormat="1">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90"/>
      <c r="AI681" s="90"/>
      <c r="AJ681" s="36"/>
      <c r="AK681" s="36"/>
      <c r="AN681" s="36"/>
      <c r="AO681" s="36"/>
    </row>
    <row r="682" spans="4:41" s="5" customFormat="1">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90"/>
      <c r="AI682" s="90"/>
      <c r="AJ682" s="36"/>
      <c r="AK682" s="36"/>
      <c r="AN682" s="36"/>
      <c r="AO682" s="36"/>
    </row>
    <row r="683" spans="4:41" s="5" customFormat="1">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90"/>
      <c r="AI683" s="90"/>
      <c r="AJ683" s="36"/>
      <c r="AK683" s="36"/>
      <c r="AN683" s="36"/>
      <c r="AO683" s="36"/>
    </row>
    <row r="684" spans="4:41" s="5" customFormat="1">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90"/>
      <c r="AI684" s="90"/>
      <c r="AJ684" s="36"/>
      <c r="AK684" s="36"/>
      <c r="AN684" s="36"/>
      <c r="AO684" s="36"/>
    </row>
    <row r="685" spans="4:41" s="5" customFormat="1">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90"/>
      <c r="AI685" s="90"/>
      <c r="AJ685" s="36"/>
      <c r="AK685" s="36"/>
      <c r="AN685" s="36"/>
      <c r="AO685" s="36"/>
    </row>
    <row r="686" spans="4:41" s="5" customFormat="1">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90"/>
      <c r="AI686" s="90"/>
      <c r="AJ686" s="36"/>
      <c r="AK686" s="36"/>
      <c r="AN686" s="36"/>
      <c r="AO686" s="36"/>
    </row>
    <row r="687" spans="4:41" s="5" customFormat="1">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90"/>
      <c r="AI687" s="90"/>
      <c r="AJ687" s="36"/>
      <c r="AK687" s="36"/>
      <c r="AN687" s="36"/>
      <c r="AO687" s="36"/>
    </row>
    <row r="688" spans="4:41" s="5" customFormat="1">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90"/>
      <c r="AI688" s="90"/>
      <c r="AJ688" s="36"/>
      <c r="AK688" s="36"/>
      <c r="AN688" s="36"/>
      <c r="AO688" s="36"/>
    </row>
    <row r="689" spans="4:41" s="5" customFormat="1">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90"/>
      <c r="AI689" s="90"/>
      <c r="AJ689" s="36"/>
      <c r="AK689" s="36"/>
      <c r="AN689" s="36"/>
      <c r="AO689" s="36"/>
    </row>
    <row r="690" spans="4:41" s="5" customFormat="1">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90"/>
      <c r="AI690" s="90"/>
      <c r="AJ690" s="36"/>
      <c r="AK690" s="36"/>
      <c r="AN690" s="36"/>
      <c r="AO690" s="36"/>
    </row>
    <row r="691" spans="4:41" s="5" customFormat="1">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90"/>
      <c r="AI691" s="90"/>
      <c r="AJ691" s="36"/>
      <c r="AK691" s="36"/>
      <c r="AN691" s="36"/>
      <c r="AO691" s="36"/>
    </row>
    <row r="692" spans="4:41" s="5" customFormat="1">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90"/>
      <c r="AI692" s="90"/>
      <c r="AJ692" s="36"/>
      <c r="AK692" s="36"/>
      <c r="AN692" s="36"/>
      <c r="AO692" s="36"/>
    </row>
    <row r="693" spans="4:41" s="5" customFormat="1">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90"/>
      <c r="AI693" s="90"/>
      <c r="AJ693" s="36"/>
      <c r="AK693" s="36"/>
      <c r="AN693" s="36"/>
      <c r="AO693" s="36"/>
    </row>
    <row r="694" spans="4:41" s="5" customFormat="1">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90"/>
      <c r="AI694" s="90"/>
      <c r="AJ694" s="36"/>
      <c r="AK694" s="36"/>
      <c r="AN694" s="36"/>
      <c r="AO694" s="36"/>
    </row>
    <row r="695" spans="4:41" s="5" customFormat="1">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90"/>
      <c r="AI695" s="90"/>
      <c r="AJ695" s="36"/>
      <c r="AK695" s="36"/>
      <c r="AN695" s="36"/>
      <c r="AO695" s="36"/>
    </row>
    <row r="696" spans="4:41" s="5" customFormat="1">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90"/>
      <c r="AI696" s="90"/>
      <c r="AJ696" s="36"/>
      <c r="AK696" s="36"/>
      <c r="AN696" s="36"/>
      <c r="AO696" s="36"/>
    </row>
    <row r="697" spans="4:41" s="5" customFormat="1">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90"/>
      <c r="AI697" s="90"/>
      <c r="AJ697" s="36"/>
      <c r="AK697" s="36"/>
      <c r="AN697" s="36"/>
      <c r="AO697" s="36"/>
    </row>
    <row r="698" spans="4:41" s="5" customFormat="1">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90"/>
      <c r="AI698" s="90"/>
      <c r="AJ698" s="36"/>
      <c r="AK698" s="36"/>
      <c r="AN698" s="36"/>
      <c r="AO698" s="36"/>
    </row>
    <row r="699" spans="4:41" s="5" customFormat="1">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90"/>
      <c r="AI699" s="90"/>
      <c r="AJ699" s="36"/>
      <c r="AK699" s="36"/>
      <c r="AN699" s="36"/>
      <c r="AO699" s="36"/>
    </row>
    <row r="700" spans="4:41" s="5" customFormat="1">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90"/>
      <c r="AI700" s="90"/>
      <c r="AJ700" s="36"/>
      <c r="AK700" s="36"/>
      <c r="AN700" s="36"/>
      <c r="AO700" s="36"/>
    </row>
    <row r="701" spans="4:41" s="5" customFormat="1">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90"/>
      <c r="AI701" s="90"/>
      <c r="AJ701" s="36"/>
      <c r="AK701" s="36"/>
      <c r="AN701" s="36"/>
      <c r="AO701" s="36"/>
    </row>
    <row r="702" spans="4:41" s="5" customFormat="1">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90"/>
      <c r="AI702" s="90"/>
      <c r="AJ702" s="36"/>
      <c r="AK702" s="36"/>
      <c r="AN702" s="36"/>
      <c r="AO702" s="36"/>
    </row>
    <row r="703" spans="4:41" s="5" customFormat="1">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90"/>
      <c r="AI703" s="90"/>
      <c r="AJ703" s="36"/>
      <c r="AK703" s="36"/>
      <c r="AN703" s="36"/>
      <c r="AO703" s="36"/>
    </row>
    <row r="704" spans="4:41" s="5" customFormat="1">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90"/>
      <c r="AI704" s="90"/>
      <c r="AJ704" s="36"/>
      <c r="AK704" s="36"/>
      <c r="AN704" s="36"/>
      <c r="AO704" s="36"/>
    </row>
    <row r="705" spans="4:41" s="5" customFormat="1">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90"/>
      <c r="AI705" s="90"/>
      <c r="AJ705" s="36"/>
      <c r="AK705" s="36"/>
      <c r="AN705" s="36"/>
      <c r="AO705" s="36"/>
    </row>
    <row r="706" spans="4:41" s="5" customFormat="1">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90"/>
      <c r="AI706" s="90"/>
      <c r="AJ706" s="36"/>
      <c r="AK706" s="36"/>
      <c r="AN706" s="36"/>
      <c r="AO706" s="36"/>
    </row>
    <row r="707" spans="4:41" s="5" customFormat="1">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90"/>
      <c r="AI707" s="90"/>
      <c r="AJ707" s="36"/>
      <c r="AK707" s="36"/>
      <c r="AN707" s="36"/>
      <c r="AO707" s="36"/>
    </row>
    <row r="708" spans="4:41" s="5" customFormat="1">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90"/>
      <c r="AI708" s="90"/>
      <c r="AJ708" s="36"/>
      <c r="AK708" s="36"/>
      <c r="AN708" s="36"/>
      <c r="AO708" s="36"/>
    </row>
    <row r="709" spans="4:41" s="5" customFormat="1">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90"/>
      <c r="AI709" s="90"/>
      <c r="AJ709" s="36"/>
      <c r="AK709" s="36"/>
      <c r="AN709" s="36"/>
      <c r="AO709" s="36"/>
    </row>
    <row r="710" spans="4:41" s="5" customFormat="1">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90"/>
      <c r="AI710" s="90"/>
      <c r="AJ710" s="36"/>
      <c r="AK710" s="36"/>
      <c r="AN710" s="36"/>
      <c r="AO710" s="36"/>
    </row>
    <row r="711" spans="4:41" s="5" customFormat="1">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90"/>
      <c r="AI711" s="90"/>
      <c r="AJ711" s="36"/>
      <c r="AK711" s="36"/>
      <c r="AN711" s="36"/>
      <c r="AO711" s="36"/>
    </row>
    <row r="712" spans="4:41" s="5" customFormat="1">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90"/>
      <c r="AI712" s="90"/>
      <c r="AJ712" s="36"/>
      <c r="AK712" s="36"/>
      <c r="AN712" s="36"/>
      <c r="AO712" s="36"/>
    </row>
    <row r="713" spans="4:41" s="5" customFormat="1">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90"/>
      <c r="AI713" s="90"/>
      <c r="AJ713" s="36"/>
      <c r="AK713" s="36"/>
      <c r="AN713" s="36"/>
      <c r="AO713" s="36"/>
    </row>
    <row r="714" spans="4:41" s="5" customFormat="1">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90"/>
      <c r="AI714" s="90"/>
      <c r="AJ714" s="36"/>
      <c r="AK714" s="36"/>
      <c r="AN714" s="36"/>
      <c r="AO714" s="36"/>
    </row>
    <row r="715" spans="4:41" s="5" customFormat="1">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90"/>
      <c r="AI715" s="90"/>
      <c r="AJ715" s="36"/>
      <c r="AK715" s="36"/>
      <c r="AN715" s="36"/>
      <c r="AO715" s="36"/>
    </row>
    <row r="716" spans="4:41" s="5" customFormat="1">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90"/>
      <c r="AI716" s="90"/>
      <c r="AJ716" s="36"/>
      <c r="AK716" s="36"/>
      <c r="AN716" s="36"/>
      <c r="AO716" s="36"/>
    </row>
    <row r="717" spans="4:41" s="5" customFormat="1">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90"/>
      <c r="AI717" s="90"/>
      <c r="AJ717" s="36"/>
      <c r="AK717" s="36"/>
      <c r="AN717" s="36"/>
      <c r="AO717" s="36"/>
    </row>
    <row r="718" spans="4:41" s="5" customFormat="1">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90"/>
      <c r="AI718" s="90"/>
      <c r="AJ718" s="36"/>
      <c r="AK718" s="36"/>
      <c r="AN718" s="36"/>
      <c r="AO718" s="36"/>
    </row>
    <row r="719" spans="4:41" s="5" customFormat="1">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90"/>
      <c r="AI719" s="90"/>
      <c r="AJ719" s="36"/>
      <c r="AK719" s="36"/>
      <c r="AN719" s="36"/>
      <c r="AO719" s="36"/>
    </row>
    <row r="720" spans="4:41" s="5" customFormat="1">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90"/>
      <c r="AI720" s="90"/>
      <c r="AJ720" s="36"/>
      <c r="AK720" s="36"/>
      <c r="AN720" s="36"/>
      <c r="AO720" s="36"/>
    </row>
    <row r="721" spans="4:41" s="5" customFormat="1">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90"/>
      <c r="AI721" s="90"/>
      <c r="AJ721" s="36"/>
      <c r="AK721" s="36"/>
      <c r="AN721" s="36"/>
      <c r="AO721" s="36"/>
    </row>
    <row r="722" spans="4:41" s="5" customFormat="1">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90"/>
      <c r="AI722" s="90"/>
      <c r="AJ722" s="36"/>
      <c r="AK722" s="36"/>
      <c r="AN722" s="36"/>
      <c r="AO722" s="36"/>
    </row>
    <row r="723" spans="4:41" s="5" customFormat="1">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90"/>
      <c r="AI723" s="90"/>
      <c r="AJ723" s="36"/>
      <c r="AK723" s="36"/>
      <c r="AN723" s="36"/>
      <c r="AO723" s="36"/>
    </row>
    <row r="724" spans="4:41" s="5" customFormat="1">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90"/>
      <c r="AI724" s="90"/>
      <c r="AJ724" s="36"/>
      <c r="AK724" s="36"/>
      <c r="AN724" s="36"/>
      <c r="AO724" s="36"/>
    </row>
    <row r="725" spans="4:41" s="5" customFormat="1">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90"/>
      <c r="AI725" s="90"/>
      <c r="AJ725" s="36"/>
      <c r="AK725" s="36"/>
      <c r="AN725" s="36"/>
      <c r="AO725" s="36"/>
    </row>
    <row r="726" spans="4:41" s="5" customFormat="1">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90"/>
      <c r="AI726" s="90"/>
      <c r="AJ726" s="36"/>
      <c r="AK726" s="36"/>
      <c r="AN726" s="36"/>
      <c r="AO726" s="36"/>
    </row>
    <row r="727" spans="4:41" s="5" customFormat="1">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90"/>
      <c r="AI727" s="90"/>
      <c r="AJ727" s="36"/>
      <c r="AK727" s="36"/>
      <c r="AN727" s="36"/>
      <c r="AO727" s="36"/>
    </row>
    <row r="728" spans="4:41" s="5" customFormat="1">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90"/>
      <c r="AI728" s="90"/>
      <c r="AJ728" s="36"/>
      <c r="AK728" s="36"/>
      <c r="AN728" s="36"/>
      <c r="AO728" s="36"/>
    </row>
    <row r="729" spans="4:41" s="5" customFormat="1">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90"/>
      <c r="AI729" s="90"/>
      <c r="AJ729" s="36"/>
      <c r="AK729" s="36"/>
      <c r="AN729" s="36"/>
      <c r="AO729" s="36"/>
    </row>
    <row r="730" spans="4:41" s="5" customFormat="1">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90"/>
      <c r="AI730" s="90"/>
      <c r="AJ730" s="36"/>
      <c r="AK730" s="36"/>
      <c r="AN730" s="36"/>
      <c r="AO730" s="36"/>
    </row>
    <row r="731" spans="4:41" s="5" customFormat="1">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90"/>
      <c r="AI731" s="90"/>
      <c r="AJ731" s="36"/>
      <c r="AK731" s="36"/>
      <c r="AN731" s="36"/>
      <c r="AO731" s="36"/>
    </row>
    <row r="732" spans="4:41" s="5" customFormat="1">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90"/>
      <c r="AI732" s="90"/>
      <c r="AJ732" s="36"/>
      <c r="AK732" s="36"/>
      <c r="AN732" s="36"/>
      <c r="AO732" s="36"/>
    </row>
    <row r="733" spans="4:41" s="5" customFormat="1">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90"/>
      <c r="AI733" s="90"/>
      <c r="AJ733" s="36"/>
      <c r="AK733" s="36"/>
      <c r="AN733" s="36"/>
      <c r="AO733" s="36"/>
    </row>
    <row r="734" spans="4:41" s="5" customFormat="1">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90"/>
      <c r="AI734" s="90"/>
      <c r="AJ734" s="36"/>
      <c r="AK734" s="36"/>
      <c r="AN734" s="36"/>
      <c r="AO734" s="36"/>
    </row>
    <row r="735" spans="4:41" s="5" customFormat="1">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90"/>
      <c r="AI735" s="90"/>
      <c r="AJ735" s="36"/>
      <c r="AK735" s="36"/>
      <c r="AN735" s="36"/>
      <c r="AO735" s="36"/>
    </row>
    <row r="736" spans="4:41" s="5" customFormat="1">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90"/>
      <c r="AI736" s="90"/>
      <c r="AJ736" s="36"/>
      <c r="AK736" s="36"/>
      <c r="AN736" s="36"/>
      <c r="AO736" s="36"/>
    </row>
    <row r="737" spans="4:41" s="5" customFormat="1">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90"/>
      <c r="AI737" s="90"/>
      <c r="AJ737" s="36"/>
      <c r="AK737" s="36"/>
      <c r="AN737" s="36"/>
      <c r="AO737" s="36"/>
    </row>
    <row r="738" spans="4:41" s="5" customFormat="1">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90"/>
      <c r="AI738" s="90"/>
      <c r="AJ738" s="36"/>
      <c r="AK738" s="36"/>
      <c r="AN738" s="36"/>
      <c r="AO738" s="36"/>
    </row>
    <row r="739" spans="4:41" s="5" customFormat="1">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90"/>
      <c r="AI739" s="90"/>
      <c r="AJ739" s="36"/>
      <c r="AK739" s="36"/>
      <c r="AN739" s="36"/>
      <c r="AO739" s="36"/>
    </row>
    <row r="740" spans="4:41" s="5" customFormat="1">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90"/>
      <c r="AI740" s="90"/>
      <c r="AJ740" s="36"/>
      <c r="AK740" s="36"/>
      <c r="AN740" s="36"/>
      <c r="AO740" s="36"/>
    </row>
    <row r="741" spans="4:41" s="5" customFormat="1">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90"/>
      <c r="AI741" s="90"/>
      <c r="AJ741" s="36"/>
      <c r="AK741" s="36"/>
      <c r="AN741" s="36"/>
      <c r="AO741" s="36"/>
    </row>
    <row r="742" spans="4:41" s="5" customFormat="1">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90"/>
      <c r="AI742" s="90"/>
      <c r="AJ742" s="36"/>
      <c r="AK742" s="36"/>
      <c r="AN742" s="36"/>
      <c r="AO742" s="36"/>
    </row>
    <row r="743" spans="4:41" s="5" customFormat="1">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90"/>
      <c r="AI743" s="90"/>
      <c r="AJ743" s="36"/>
      <c r="AK743" s="36"/>
      <c r="AN743" s="36"/>
      <c r="AO743" s="36"/>
    </row>
    <row r="744" spans="4:41" s="5" customFormat="1">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90"/>
      <c r="AI744" s="90"/>
      <c r="AJ744" s="36"/>
      <c r="AK744" s="36"/>
      <c r="AN744" s="36"/>
      <c r="AO744" s="36"/>
    </row>
    <row r="745" spans="4:41" s="5" customFormat="1">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90"/>
      <c r="AI745" s="90"/>
      <c r="AJ745" s="36"/>
      <c r="AK745" s="36"/>
      <c r="AN745" s="36"/>
      <c r="AO745" s="36"/>
    </row>
    <row r="746" spans="4:41" s="5" customFormat="1">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90"/>
      <c r="AI746" s="90"/>
      <c r="AJ746" s="36"/>
      <c r="AK746" s="36"/>
      <c r="AN746" s="36"/>
      <c r="AO746" s="36"/>
    </row>
    <row r="747" spans="4:41" s="5" customFormat="1">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90"/>
      <c r="AI747" s="90"/>
      <c r="AJ747" s="36"/>
      <c r="AK747" s="36"/>
      <c r="AN747" s="36"/>
      <c r="AO747" s="36"/>
    </row>
    <row r="748" spans="4:41" s="5" customFormat="1">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90"/>
      <c r="AI748" s="90"/>
      <c r="AJ748" s="36"/>
      <c r="AK748" s="36"/>
      <c r="AN748" s="36"/>
      <c r="AO748" s="36"/>
    </row>
    <row r="749" spans="4:41" s="5" customFormat="1">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90"/>
      <c r="AI749" s="90"/>
      <c r="AJ749" s="36"/>
      <c r="AK749" s="36"/>
      <c r="AN749" s="36"/>
      <c r="AO749" s="36"/>
    </row>
    <row r="750" spans="4:41" s="5" customFormat="1">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90"/>
      <c r="AI750" s="90"/>
      <c r="AJ750" s="36"/>
      <c r="AK750" s="36"/>
      <c r="AN750" s="36"/>
      <c r="AO750" s="36"/>
    </row>
    <row r="751" spans="4:41" s="5" customFormat="1">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90"/>
      <c r="AI751" s="90"/>
      <c r="AJ751" s="36"/>
      <c r="AK751" s="36"/>
      <c r="AN751" s="36"/>
      <c r="AO751" s="36"/>
    </row>
    <row r="752" spans="4:41" s="5" customFormat="1">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90"/>
      <c r="AI752" s="90"/>
      <c r="AJ752" s="36"/>
      <c r="AK752" s="36"/>
      <c r="AN752" s="36"/>
      <c r="AO752" s="36"/>
    </row>
    <row r="753" spans="4:41" s="5" customFormat="1">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90"/>
      <c r="AI753" s="90"/>
      <c r="AJ753" s="36"/>
      <c r="AK753" s="36"/>
      <c r="AN753" s="36"/>
      <c r="AO753" s="36"/>
    </row>
    <row r="754" spans="4:41" s="5" customFormat="1">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90"/>
      <c r="AI754" s="90"/>
      <c r="AJ754" s="36"/>
      <c r="AK754" s="36"/>
      <c r="AN754" s="36"/>
      <c r="AO754" s="36"/>
    </row>
    <row r="755" spans="4:41" s="5" customFormat="1">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90"/>
      <c r="AI755" s="90"/>
      <c r="AJ755" s="36"/>
      <c r="AK755" s="36"/>
      <c r="AN755" s="36"/>
      <c r="AO755" s="36"/>
    </row>
    <row r="756" spans="4:41" s="5" customFormat="1">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90"/>
      <c r="AI756" s="90"/>
      <c r="AJ756" s="36"/>
      <c r="AK756" s="36"/>
      <c r="AN756" s="36"/>
      <c r="AO756" s="36"/>
    </row>
    <row r="757" spans="4:41" s="5" customFormat="1">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90"/>
      <c r="AI757" s="90"/>
      <c r="AJ757" s="36"/>
      <c r="AK757" s="36"/>
      <c r="AN757" s="36"/>
      <c r="AO757" s="36"/>
    </row>
    <row r="758" spans="4:41" s="5" customFormat="1">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90"/>
      <c r="AI758" s="90"/>
      <c r="AJ758" s="36"/>
      <c r="AK758" s="36"/>
      <c r="AN758" s="36"/>
      <c r="AO758" s="36"/>
    </row>
    <row r="759" spans="4:41" s="5" customFormat="1">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90"/>
      <c r="AI759" s="90"/>
      <c r="AJ759" s="36"/>
      <c r="AK759" s="36"/>
      <c r="AN759" s="36"/>
      <c r="AO759" s="36"/>
    </row>
    <row r="760" spans="4:41" s="5" customFormat="1">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90"/>
      <c r="AI760" s="90"/>
      <c r="AJ760" s="36"/>
      <c r="AK760" s="36"/>
      <c r="AN760" s="36"/>
      <c r="AO760" s="36"/>
    </row>
    <row r="761" spans="4:41" s="5" customFormat="1">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90"/>
      <c r="AI761" s="90"/>
      <c r="AJ761" s="36"/>
      <c r="AK761" s="36"/>
      <c r="AN761" s="36"/>
      <c r="AO761" s="36"/>
    </row>
    <row r="762" spans="4:41" s="5" customFormat="1">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90"/>
      <c r="AI762" s="90"/>
      <c r="AJ762" s="36"/>
      <c r="AK762" s="36"/>
      <c r="AN762" s="36"/>
      <c r="AO762" s="36"/>
    </row>
    <row r="763" spans="4:41" s="5" customFormat="1">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90"/>
      <c r="AI763" s="90"/>
      <c r="AJ763" s="36"/>
      <c r="AK763" s="36"/>
      <c r="AN763" s="36"/>
      <c r="AO763" s="36"/>
    </row>
    <row r="764" spans="4:41" s="5" customFormat="1">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90"/>
      <c r="AI764" s="90"/>
      <c r="AJ764" s="36"/>
      <c r="AK764" s="36"/>
      <c r="AN764" s="36"/>
      <c r="AO764" s="36"/>
    </row>
    <row r="765" spans="4:41" s="5" customFormat="1">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90"/>
      <c r="AI765" s="90"/>
      <c r="AJ765" s="36"/>
      <c r="AK765" s="36"/>
      <c r="AN765" s="36"/>
      <c r="AO765" s="36"/>
    </row>
    <row r="766" spans="4:41" s="5" customFormat="1">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90"/>
      <c r="AI766" s="90"/>
      <c r="AJ766" s="36"/>
      <c r="AK766" s="36"/>
      <c r="AN766" s="36"/>
      <c r="AO766" s="36"/>
    </row>
    <row r="767" spans="4:41" s="5" customFormat="1">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90"/>
      <c r="AI767" s="90"/>
      <c r="AJ767" s="36"/>
      <c r="AK767" s="36"/>
      <c r="AN767" s="36"/>
      <c r="AO767" s="36"/>
    </row>
    <row r="768" spans="4:41" s="5" customFormat="1">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90"/>
      <c r="AI768" s="90"/>
      <c r="AJ768" s="36"/>
      <c r="AK768" s="36"/>
      <c r="AN768" s="36"/>
      <c r="AO768" s="36"/>
    </row>
    <row r="769" spans="4:41" s="5" customFormat="1">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90"/>
      <c r="AI769" s="90"/>
      <c r="AJ769" s="36"/>
      <c r="AK769" s="36"/>
      <c r="AN769" s="36"/>
      <c r="AO769" s="36"/>
    </row>
    <row r="770" spans="4:41" s="5" customFormat="1">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90"/>
      <c r="AI770" s="90"/>
      <c r="AJ770" s="36"/>
      <c r="AK770" s="36"/>
      <c r="AN770" s="36"/>
      <c r="AO770" s="36"/>
    </row>
    <row r="771" spans="4:41" s="5" customFormat="1">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90"/>
      <c r="AI771" s="90"/>
      <c r="AJ771" s="36"/>
      <c r="AK771" s="36"/>
      <c r="AN771" s="36"/>
      <c r="AO771" s="36"/>
    </row>
    <row r="772" spans="4:41" s="5" customFormat="1">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90"/>
      <c r="AI772" s="90"/>
      <c r="AJ772" s="36"/>
      <c r="AK772" s="36"/>
      <c r="AN772" s="36"/>
      <c r="AO772" s="36"/>
    </row>
    <row r="773" spans="4:41" s="5" customFormat="1">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90"/>
      <c r="AI773" s="90"/>
      <c r="AJ773" s="36"/>
      <c r="AK773" s="36"/>
      <c r="AN773" s="36"/>
      <c r="AO773" s="36"/>
    </row>
    <row r="774" spans="4:41" s="5" customFormat="1">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90"/>
      <c r="AI774" s="90"/>
      <c r="AJ774" s="36"/>
      <c r="AK774" s="36"/>
      <c r="AN774" s="36"/>
      <c r="AO774" s="36"/>
    </row>
    <row r="775" spans="4:41" s="5" customFormat="1">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90"/>
      <c r="AI775" s="90"/>
      <c r="AJ775" s="36"/>
      <c r="AK775" s="36"/>
      <c r="AN775" s="36"/>
      <c r="AO775" s="36"/>
    </row>
    <row r="776" spans="4:41" s="5" customFormat="1">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90"/>
      <c r="AI776" s="90"/>
      <c r="AJ776" s="36"/>
      <c r="AK776" s="36"/>
      <c r="AN776" s="36"/>
      <c r="AO776" s="36"/>
    </row>
    <row r="777" spans="4:41" s="5" customFormat="1">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90"/>
      <c r="AI777" s="90"/>
      <c r="AJ777" s="36"/>
      <c r="AK777" s="36"/>
      <c r="AN777" s="36"/>
      <c r="AO777" s="36"/>
    </row>
    <row r="778" spans="4:41" s="5" customFormat="1">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90"/>
      <c r="AI778" s="90"/>
      <c r="AJ778" s="36"/>
      <c r="AK778" s="36"/>
      <c r="AN778" s="36"/>
      <c r="AO778" s="36"/>
    </row>
    <row r="779" spans="4:41" s="5" customFormat="1">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90"/>
      <c r="AI779" s="90"/>
      <c r="AJ779" s="36"/>
      <c r="AK779" s="36"/>
      <c r="AN779" s="36"/>
      <c r="AO779" s="36"/>
    </row>
    <row r="780" spans="4:41" s="5" customFormat="1">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90"/>
      <c r="AI780" s="90"/>
      <c r="AJ780" s="36"/>
      <c r="AK780" s="36"/>
      <c r="AN780" s="36"/>
      <c r="AO780" s="36"/>
    </row>
    <row r="781" spans="4:41" s="5" customFormat="1">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90"/>
      <c r="AI781" s="90"/>
      <c r="AJ781" s="36"/>
      <c r="AK781" s="36"/>
      <c r="AN781" s="36"/>
      <c r="AO781" s="36"/>
    </row>
    <row r="782" spans="4:41" s="5" customFormat="1">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90"/>
      <c r="AI782" s="90"/>
      <c r="AJ782" s="36"/>
      <c r="AK782" s="36"/>
      <c r="AN782" s="36"/>
      <c r="AO782" s="36"/>
    </row>
    <row r="783" spans="4:41" s="5" customFormat="1">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90"/>
      <c r="AI783" s="90"/>
      <c r="AJ783" s="36"/>
      <c r="AK783" s="36"/>
      <c r="AN783" s="36"/>
      <c r="AO783" s="36"/>
    </row>
    <row r="784" spans="4:41" s="5" customFormat="1">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90"/>
      <c r="AI784" s="90"/>
      <c r="AJ784" s="36"/>
      <c r="AK784" s="36"/>
      <c r="AN784" s="36"/>
      <c r="AO784" s="36"/>
    </row>
    <row r="785" spans="4:41" s="5" customFormat="1">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90"/>
      <c r="AI785" s="90"/>
      <c r="AJ785" s="36"/>
      <c r="AK785" s="36"/>
      <c r="AN785" s="36"/>
      <c r="AO785" s="36"/>
    </row>
    <row r="786" spans="4:41" s="5" customFormat="1">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90"/>
      <c r="AI786" s="90"/>
      <c r="AJ786" s="36"/>
      <c r="AK786" s="36"/>
      <c r="AN786" s="36"/>
      <c r="AO786" s="36"/>
    </row>
    <row r="787" spans="4:41" s="5" customFormat="1">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90"/>
      <c r="AI787" s="90"/>
      <c r="AJ787" s="36"/>
      <c r="AK787" s="36"/>
      <c r="AN787" s="36"/>
      <c r="AO787" s="36"/>
    </row>
    <row r="788" spans="4:41" s="5" customFormat="1">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90"/>
      <c r="AI788" s="90"/>
      <c r="AJ788" s="36"/>
      <c r="AK788" s="36"/>
      <c r="AN788" s="36"/>
      <c r="AO788" s="36"/>
    </row>
    <row r="789" spans="4:41" s="5" customFormat="1">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90"/>
      <c r="AI789" s="90"/>
      <c r="AJ789" s="36"/>
      <c r="AK789" s="36"/>
      <c r="AN789" s="36"/>
      <c r="AO789" s="36"/>
    </row>
    <row r="790" spans="4:41" s="5" customFormat="1">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90"/>
      <c r="AI790" s="90"/>
      <c r="AJ790" s="36"/>
      <c r="AK790" s="36"/>
      <c r="AN790" s="36"/>
      <c r="AO790" s="36"/>
    </row>
    <row r="791" spans="4:41" s="5" customFormat="1">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90"/>
      <c r="AI791" s="90"/>
      <c r="AJ791" s="36"/>
      <c r="AK791" s="36"/>
      <c r="AN791" s="36"/>
      <c r="AO791" s="36"/>
    </row>
    <row r="792" spans="4:41" s="5" customFormat="1">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90"/>
      <c r="AI792" s="90"/>
      <c r="AJ792" s="36"/>
      <c r="AK792" s="36"/>
      <c r="AN792" s="36"/>
      <c r="AO792" s="36"/>
    </row>
    <row r="793" spans="4:41" s="5" customFormat="1">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90"/>
      <c r="AI793" s="90"/>
      <c r="AJ793" s="36"/>
      <c r="AK793" s="36"/>
      <c r="AN793" s="36"/>
      <c r="AO793" s="36"/>
    </row>
    <row r="794" spans="4:41" s="5" customFormat="1">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90"/>
      <c r="AI794" s="90"/>
      <c r="AJ794" s="36"/>
      <c r="AK794" s="36"/>
      <c r="AN794" s="36"/>
      <c r="AO794" s="36"/>
    </row>
    <row r="795" spans="4:41" s="5" customFormat="1">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90"/>
      <c r="AI795" s="90"/>
      <c r="AJ795" s="36"/>
      <c r="AK795" s="36"/>
      <c r="AN795" s="36"/>
      <c r="AO795" s="36"/>
    </row>
    <row r="796" spans="4:41" s="5" customFormat="1">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90"/>
      <c r="AI796" s="90"/>
      <c r="AJ796" s="36"/>
      <c r="AK796" s="36"/>
      <c r="AN796" s="36"/>
      <c r="AO796" s="36"/>
    </row>
    <row r="797" spans="4:41" s="5" customFormat="1">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90"/>
      <c r="AI797" s="90"/>
      <c r="AJ797" s="36"/>
      <c r="AK797" s="36"/>
      <c r="AN797" s="36"/>
      <c r="AO797" s="36"/>
    </row>
    <row r="798" spans="4:41" s="5" customFormat="1">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90"/>
      <c r="AI798" s="90"/>
      <c r="AJ798" s="36"/>
      <c r="AK798" s="36"/>
      <c r="AN798" s="36"/>
      <c r="AO798" s="36"/>
    </row>
    <row r="799" spans="4:41" s="5" customFormat="1">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90"/>
      <c r="AI799" s="90"/>
      <c r="AJ799" s="36"/>
      <c r="AK799" s="36"/>
      <c r="AN799" s="36"/>
      <c r="AO799" s="36"/>
    </row>
    <row r="800" spans="4:41" s="5" customFormat="1">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90"/>
      <c r="AI800" s="90"/>
      <c r="AJ800" s="36"/>
      <c r="AK800" s="36"/>
      <c r="AN800" s="36"/>
      <c r="AO800" s="36"/>
    </row>
    <row r="801" spans="4:41" s="5" customFormat="1">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90"/>
      <c r="AI801" s="90"/>
      <c r="AJ801" s="36"/>
      <c r="AK801" s="36"/>
      <c r="AN801" s="36"/>
      <c r="AO801" s="36"/>
    </row>
    <row r="802" spans="4:41" s="5" customFormat="1">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90"/>
      <c r="AI802" s="90"/>
      <c r="AJ802" s="36"/>
      <c r="AK802" s="36"/>
      <c r="AN802" s="36"/>
      <c r="AO802" s="36"/>
    </row>
    <row r="803" spans="4:41" s="5" customFormat="1">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90"/>
      <c r="AI803" s="90"/>
      <c r="AJ803" s="36"/>
      <c r="AK803" s="36"/>
      <c r="AN803" s="36"/>
      <c r="AO803" s="36"/>
    </row>
    <row r="804" spans="4:41" s="5" customFormat="1">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90"/>
      <c r="AI804" s="90"/>
      <c r="AJ804" s="36"/>
      <c r="AK804" s="36"/>
      <c r="AN804" s="36"/>
      <c r="AO804" s="36"/>
    </row>
    <row r="805" spans="4:41" s="5" customFormat="1">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90"/>
      <c r="AI805" s="90"/>
      <c r="AJ805" s="36"/>
      <c r="AK805" s="36"/>
      <c r="AN805" s="36"/>
      <c r="AO805" s="36"/>
    </row>
    <row r="806" spans="4:41" s="5" customFormat="1">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90"/>
      <c r="AI806" s="90"/>
      <c r="AJ806" s="36"/>
      <c r="AK806" s="36"/>
      <c r="AN806" s="36"/>
      <c r="AO806" s="36"/>
    </row>
    <row r="807" spans="4:41" s="5" customFormat="1">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90"/>
      <c r="AI807" s="90"/>
      <c r="AJ807" s="36"/>
      <c r="AK807" s="36"/>
      <c r="AN807" s="36"/>
      <c r="AO807" s="36"/>
    </row>
    <row r="808" spans="4:41" s="5" customFormat="1">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90"/>
      <c r="AI808" s="90"/>
      <c r="AJ808" s="36"/>
      <c r="AK808" s="36"/>
      <c r="AN808" s="36"/>
      <c r="AO808" s="36"/>
    </row>
    <row r="809" spans="4:41" s="5" customFormat="1">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90"/>
      <c r="AI809" s="90"/>
      <c r="AJ809" s="36"/>
      <c r="AK809" s="36"/>
      <c r="AN809" s="36"/>
      <c r="AO809" s="36"/>
    </row>
    <row r="810" spans="4:41" s="5" customFormat="1">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90"/>
      <c r="AI810" s="90"/>
      <c r="AJ810" s="36"/>
      <c r="AK810" s="36"/>
      <c r="AN810" s="36"/>
      <c r="AO810" s="36"/>
    </row>
    <row r="811" spans="4:41" s="5" customFormat="1">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90"/>
      <c r="AI811" s="90"/>
      <c r="AJ811" s="36"/>
      <c r="AK811" s="36"/>
      <c r="AN811" s="36"/>
      <c r="AO811" s="36"/>
    </row>
    <row r="812" spans="4:41" s="5" customFormat="1">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90"/>
      <c r="AI812" s="90"/>
      <c r="AJ812" s="36"/>
      <c r="AK812" s="36"/>
      <c r="AN812" s="36"/>
      <c r="AO812" s="36"/>
    </row>
    <row r="813" spans="4:41" s="5" customFormat="1">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90"/>
      <c r="AI813" s="90"/>
      <c r="AJ813" s="36"/>
      <c r="AK813" s="36"/>
      <c r="AN813" s="36"/>
      <c r="AO813" s="36"/>
    </row>
    <row r="814" spans="4:41" s="5" customFormat="1">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90"/>
      <c r="AI814" s="90"/>
      <c r="AJ814" s="36"/>
      <c r="AK814" s="36"/>
      <c r="AN814" s="36"/>
      <c r="AO814" s="36"/>
    </row>
    <row r="815" spans="4:41" s="5" customFormat="1">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90"/>
      <c r="AI815" s="90"/>
      <c r="AJ815" s="36"/>
      <c r="AK815" s="36"/>
      <c r="AN815" s="36"/>
      <c r="AO815" s="36"/>
    </row>
    <row r="816" spans="4:41" s="5" customFormat="1">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90"/>
      <c r="AI816" s="90"/>
      <c r="AJ816" s="36"/>
      <c r="AK816" s="36"/>
      <c r="AN816" s="36"/>
      <c r="AO816" s="36"/>
    </row>
    <row r="817" spans="4:41" s="5" customFormat="1">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90"/>
      <c r="AI817" s="90"/>
      <c r="AJ817" s="36"/>
      <c r="AK817" s="36"/>
      <c r="AN817" s="36"/>
      <c r="AO817" s="36"/>
    </row>
    <row r="818" spans="4:41" s="5" customFormat="1">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90"/>
      <c r="AI818" s="90"/>
      <c r="AJ818" s="36"/>
      <c r="AK818" s="36"/>
      <c r="AN818" s="36"/>
      <c r="AO818" s="36"/>
    </row>
    <row r="819" spans="4:41" s="5" customFormat="1">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90"/>
      <c r="AI819" s="90"/>
      <c r="AJ819" s="36"/>
      <c r="AK819" s="36"/>
      <c r="AN819" s="36"/>
      <c r="AO819" s="36"/>
    </row>
    <row r="820" spans="4:41" s="5" customFormat="1">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90"/>
      <c r="AI820" s="90"/>
      <c r="AJ820" s="36"/>
      <c r="AK820" s="36"/>
      <c r="AN820" s="36"/>
      <c r="AO820" s="36"/>
    </row>
    <row r="821" spans="4:41" s="5" customFormat="1">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90"/>
      <c r="AI821" s="90"/>
      <c r="AJ821" s="36"/>
      <c r="AK821" s="36"/>
      <c r="AN821" s="36"/>
      <c r="AO821" s="36"/>
    </row>
    <row r="822" spans="4:41" s="5" customFormat="1">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90"/>
      <c r="AI822" s="90"/>
      <c r="AJ822" s="36"/>
      <c r="AK822" s="36"/>
      <c r="AN822" s="36"/>
      <c r="AO822" s="36"/>
    </row>
    <row r="823" spans="4:41" s="5" customFormat="1">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90"/>
      <c r="AI823" s="90"/>
      <c r="AJ823" s="36"/>
      <c r="AK823" s="36"/>
      <c r="AN823" s="36"/>
      <c r="AO823" s="36"/>
    </row>
    <row r="824" spans="4:41" s="5" customFormat="1">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90"/>
      <c r="AI824" s="90"/>
      <c r="AJ824" s="36"/>
      <c r="AK824" s="36"/>
      <c r="AN824" s="36"/>
      <c r="AO824" s="36"/>
    </row>
    <row r="825" spans="4:41" s="5" customFormat="1">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90"/>
      <c r="AI825" s="90"/>
      <c r="AJ825" s="36"/>
      <c r="AK825" s="36"/>
      <c r="AN825" s="36"/>
      <c r="AO825" s="36"/>
    </row>
    <row r="826" spans="4:41" s="5" customFormat="1">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90"/>
      <c r="AI826" s="90"/>
      <c r="AJ826" s="36"/>
      <c r="AK826" s="36"/>
      <c r="AN826" s="36"/>
      <c r="AO826" s="36"/>
    </row>
    <row r="827" spans="4:41" s="5" customFormat="1">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90"/>
      <c r="AI827" s="90"/>
      <c r="AJ827" s="36"/>
      <c r="AK827" s="36"/>
      <c r="AN827" s="36"/>
      <c r="AO827" s="36"/>
    </row>
    <row r="828" spans="4:41" s="5" customFormat="1">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90"/>
      <c r="AI828" s="90"/>
      <c r="AJ828" s="36"/>
      <c r="AK828" s="36"/>
      <c r="AN828" s="36"/>
      <c r="AO828" s="36"/>
    </row>
    <row r="829" spans="4:41" s="5" customFormat="1">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90"/>
      <c r="AI829" s="90"/>
      <c r="AJ829" s="36"/>
      <c r="AK829" s="36"/>
      <c r="AN829" s="36"/>
      <c r="AO829" s="36"/>
    </row>
    <row r="830" spans="4:41" s="5" customFormat="1">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90"/>
      <c r="AI830" s="90"/>
      <c r="AJ830" s="36"/>
      <c r="AK830" s="36"/>
      <c r="AN830" s="36"/>
      <c r="AO830" s="36"/>
    </row>
    <row r="831" spans="4:41" s="5" customFormat="1">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90"/>
      <c r="AI831" s="90"/>
      <c r="AJ831" s="36"/>
      <c r="AK831" s="36"/>
      <c r="AN831" s="36"/>
      <c r="AO831" s="36"/>
    </row>
    <row r="832" spans="4:41" s="5" customFormat="1">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90"/>
      <c r="AI832" s="90"/>
      <c r="AJ832" s="36"/>
      <c r="AK832" s="36"/>
      <c r="AN832" s="36"/>
      <c r="AO832" s="36"/>
    </row>
    <row r="833" spans="4:41" s="5" customFormat="1">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90"/>
      <c r="AI833" s="90"/>
      <c r="AJ833" s="36"/>
      <c r="AK833" s="36"/>
      <c r="AN833" s="36"/>
      <c r="AO833" s="36"/>
    </row>
    <row r="834" spans="4:41" s="5" customFormat="1">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90"/>
      <c r="AI834" s="90"/>
      <c r="AJ834" s="36"/>
      <c r="AK834" s="36"/>
      <c r="AN834" s="36"/>
      <c r="AO834" s="36"/>
    </row>
    <row r="835" spans="4:41" s="5" customFormat="1">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90"/>
      <c r="AI835" s="90"/>
      <c r="AJ835" s="36"/>
      <c r="AK835" s="36"/>
      <c r="AN835" s="36"/>
      <c r="AO835" s="36"/>
    </row>
    <row r="836" spans="4:41" s="5" customFormat="1">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90"/>
      <c r="AI836" s="90"/>
      <c r="AJ836" s="36"/>
      <c r="AK836" s="36"/>
      <c r="AN836" s="36"/>
      <c r="AO836" s="36"/>
    </row>
    <row r="837" spans="4:41" s="5" customFormat="1">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90"/>
      <c r="AI837" s="90"/>
      <c r="AJ837" s="36"/>
      <c r="AK837" s="36"/>
      <c r="AN837" s="36"/>
      <c r="AO837" s="36"/>
    </row>
    <row r="838" spans="4:41" s="5" customFormat="1">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90"/>
      <c r="AI838" s="90"/>
      <c r="AJ838" s="36"/>
      <c r="AK838" s="36"/>
      <c r="AN838" s="36"/>
      <c r="AO838" s="36"/>
    </row>
    <row r="839" spans="4:41" s="5" customFormat="1">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90"/>
      <c r="AI839" s="90"/>
      <c r="AJ839" s="36"/>
      <c r="AK839" s="36"/>
      <c r="AN839" s="36"/>
      <c r="AO839" s="36"/>
    </row>
    <row r="840" spans="4:41" s="5" customFormat="1">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90"/>
      <c r="AI840" s="90"/>
      <c r="AJ840" s="36"/>
      <c r="AK840" s="36"/>
      <c r="AN840" s="36"/>
      <c r="AO840" s="36"/>
    </row>
    <row r="841" spans="4:41" s="5" customFormat="1">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90"/>
      <c r="AI841" s="90"/>
      <c r="AJ841" s="36"/>
      <c r="AK841" s="36"/>
      <c r="AN841" s="36"/>
      <c r="AO841" s="36"/>
    </row>
    <row r="842" spans="4:41" s="5" customFormat="1">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90"/>
      <c r="AI842" s="90"/>
      <c r="AJ842" s="36"/>
      <c r="AK842" s="36"/>
      <c r="AN842" s="36"/>
      <c r="AO842" s="36"/>
    </row>
    <row r="843" spans="4:41" s="5" customFormat="1">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90"/>
      <c r="AI843" s="90"/>
      <c r="AJ843" s="36"/>
      <c r="AK843" s="36"/>
      <c r="AN843" s="36"/>
      <c r="AO843" s="36"/>
    </row>
    <row r="844" spans="4:41" s="5" customFormat="1">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90"/>
      <c r="AI844" s="90"/>
      <c r="AJ844" s="36"/>
      <c r="AK844" s="36"/>
      <c r="AN844" s="36"/>
      <c r="AO844" s="36"/>
    </row>
    <row r="845" spans="4:41" s="5" customFormat="1">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90"/>
      <c r="AI845" s="90"/>
      <c r="AJ845" s="36"/>
      <c r="AK845" s="36"/>
      <c r="AN845" s="36"/>
      <c r="AO845" s="36"/>
    </row>
    <row r="846" spans="4:41" s="5" customFormat="1">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90"/>
      <c r="AI846" s="90"/>
      <c r="AJ846" s="36"/>
      <c r="AK846" s="36"/>
      <c r="AN846" s="36"/>
      <c r="AO846" s="36"/>
    </row>
    <row r="847" spans="4:41" s="5" customFormat="1">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90"/>
      <c r="AI847" s="90"/>
      <c r="AJ847" s="36"/>
      <c r="AK847" s="36"/>
      <c r="AN847" s="36"/>
      <c r="AO847" s="36"/>
    </row>
    <row r="848" spans="4:41" s="5" customFormat="1">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90"/>
      <c r="AI848" s="90"/>
      <c r="AJ848" s="36"/>
      <c r="AK848" s="36"/>
      <c r="AN848" s="36"/>
      <c r="AO848" s="36"/>
    </row>
    <row r="849" spans="4:41" s="5" customFormat="1">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90"/>
      <c r="AI849" s="90"/>
      <c r="AJ849" s="36"/>
      <c r="AK849" s="36"/>
      <c r="AN849" s="36"/>
      <c r="AO849" s="36"/>
    </row>
    <row r="850" spans="4:41" s="5" customFormat="1">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90"/>
      <c r="AI850" s="90"/>
      <c r="AJ850" s="36"/>
      <c r="AK850" s="36"/>
      <c r="AN850" s="36"/>
      <c r="AO850" s="36"/>
    </row>
    <row r="851" spans="4:41" s="5" customFormat="1">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90"/>
      <c r="AI851" s="90"/>
      <c r="AJ851" s="36"/>
      <c r="AK851" s="36"/>
      <c r="AN851" s="36"/>
      <c r="AO851" s="36"/>
    </row>
    <row r="852" spans="4:41" s="5" customFormat="1">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90"/>
      <c r="AI852" s="90"/>
      <c r="AJ852" s="36"/>
      <c r="AK852" s="36"/>
      <c r="AN852" s="36"/>
      <c r="AO852" s="36"/>
    </row>
    <row r="853" spans="4:41" s="5" customFormat="1">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90"/>
      <c r="AI853" s="90"/>
      <c r="AJ853" s="36"/>
      <c r="AK853" s="36"/>
      <c r="AN853" s="36"/>
      <c r="AO853" s="36"/>
    </row>
    <row r="854" spans="4:41" s="5" customFormat="1">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90"/>
      <c r="AI854" s="90"/>
      <c r="AJ854" s="36"/>
      <c r="AK854" s="36"/>
      <c r="AN854" s="36"/>
      <c r="AO854" s="36"/>
    </row>
    <row r="855" spans="4:41" s="5" customFormat="1">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90"/>
      <c r="AI855" s="90"/>
      <c r="AJ855" s="36"/>
      <c r="AK855" s="36"/>
      <c r="AN855" s="36"/>
      <c r="AO855" s="36"/>
    </row>
    <row r="856" spans="4:41" s="5" customFormat="1">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90"/>
      <c r="AI856" s="90"/>
      <c r="AJ856" s="36"/>
      <c r="AK856" s="36"/>
      <c r="AN856" s="36"/>
      <c r="AO856" s="36"/>
    </row>
    <row r="857" spans="4:41" s="5" customFormat="1">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90"/>
      <c r="AI857" s="90"/>
      <c r="AJ857" s="36"/>
      <c r="AK857" s="36"/>
      <c r="AN857" s="36"/>
      <c r="AO857" s="36"/>
    </row>
    <row r="858" spans="4:41" s="5" customFormat="1">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90"/>
      <c r="AI858" s="90"/>
      <c r="AJ858" s="36"/>
      <c r="AK858" s="36"/>
      <c r="AN858" s="36"/>
      <c r="AO858" s="36"/>
    </row>
    <row r="859" spans="4:41" s="5" customFormat="1">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90"/>
      <c r="AI859" s="90"/>
      <c r="AJ859" s="36"/>
      <c r="AK859" s="36"/>
      <c r="AN859" s="36"/>
      <c r="AO859" s="36"/>
    </row>
    <row r="860" spans="4:41" s="5" customFormat="1">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90"/>
      <c r="AI860" s="90"/>
      <c r="AJ860" s="36"/>
      <c r="AK860" s="36"/>
      <c r="AN860" s="36"/>
      <c r="AO860" s="36"/>
    </row>
    <row r="861" spans="4:41" s="5" customFormat="1">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90"/>
      <c r="AI861" s="90"/>
      <c r="AJ861" s="36"/>
      <c r="AK861" s="36"/>
      <c r="AN861" s="36"/>
      <c r="AO861" s="36"/>
    </row>
    <row r="862" spans="4:41" s="5" customFormat="1">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90"/>
      <c r="AI862" s="90"/>
      <c r="AJ862" s="36"/>
      <c r="AK862" s="36"/>
      <c r="AN862" s="36"/>
      <c r="AO862" s="36"/>
    </row>
    <row r="863" spans="4:41" s="5" customFormat="1">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90"/>
      <c r="AI863" s="90"/>
      <c r="AJ863" s="36"/>
      <c r="AK863" s="36"/>
      <c r="AN863" s="36"/>
      <c r="AO863" s="36"/>
    </row>
    <row r="864" spans="4:41" s="5" customFormat="1">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90"/>
      <c r="AI864" s="90"/>
      <c r="AJ864" s="36"/>
      <c r="AK864" s="36"/>
      <c r="AN864" s="36"/>
      <c r="AO864" s="36"/>
    </row>
    <row r="865" spans="4:41" s="5" customFormat="1">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90"/>
      <c r="AI865" s="90"/>
      <c r="AJ865" s="36"/>
      <c r="AK865" s="36"/>
      <c r="AN865" s="36"/>
      <c r="AO865" s="36"/>
    </row>
    <row r="866" spans="4:41" s="5" customFormat="1">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90"/>
      <c r="AI866" s="90"/>
      <c r="AJ866" s="36"/>
      <c r="AK866" s="36"/>
      <c r="AN866" s="36"/>
      <c r="AO866" s="36"/>
    </row>
    <row r="867" spans="4:41" s="5" customFormat="1">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90"/>
      <c r="AI867" s="90"/>
      <c r="AJ867" s="36"/>
      <c r="AK867" s="36"/>
      <c r="AN867" s="36"/>
      <c r="AO867" s="36"/>
    </row>
    <row r="868" spans="4:41" s="5" customFormat="1">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90"/>
      <c r="AI868" s="90"/>
      <c r="AJ868" s="36"/>
      <c r="AK868" s="36"/>
      <c r="AN868" s="36"/>
      <c r="AO868" s="36"/>
    </row>
    <row r="869" spans="4:41" s="5" customFormat="1">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90"/>
      <c r="AI869" s="90"/>
      <c r="AJ869" s="36"/>
      <c r="AK869" s="36"/>
      <c r="AN869" s="36"/>
      <c r="AO869" s="36"/>
    </row>
    <row r="870" spans="4:41" s="5" customFormat="1">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90"/>
      <c r="AI870" s="90"/>
      <c r="AJ870" s="36"/>
      <c r="AK870" s="36"/>
      <c r="AN870" s="36"/>
      <c r="AO870" s="36"/>
    </row>
    <row r="871" spans="4:41" s="5" customFormat="1">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90"/>
      <c r="AI871" s="90"/>
      <c r="AJ871" s="36"/>
      <c r="AK871" s="36"/>
      <c r="AN871" s="36"/>
      <c r="AO871" s="36"/>
    </row>
    <row r="872" spans="4:41" s="5" customFormat="1">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90"/>
      <c r="AI872" s="90"/>
      <c r="AJ872" s="36"/>
      <c r="AK872" s="36"/>
      <c r="AN872" s="36"/>
      <c r="AO872" s="36"/>
    </row>
    <row r="873" spans="4:41" s="5" customFormat="1">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90"/>
      <c r="AI873" s="90"/>
      <c r="AJ873" s="36"/>
      <c r="AK873" s="36"/>
      <c r="AN873" s="36"/>
      <c r="AO873" s="36"/>
    </row>
    <row r="874" spans="4:41" s="5" customFormat="1">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90"/>
      <c r="AI874" s="90"/>
      <c r="AJ874" s="36"/>
      <c r="AK874" s="36"/>
      <c r="AN874" s="36"/>
      <c r="AO874" s="36"/>
    </row>
    <row r="875" spans="4:41" s="5" customFormat="1">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90"/>
      <c r="AI875" s="90"/>
      <c r="AJ875" s="36"/>
      <c r="AK875" s="36"/>
      <c r="AN875" s="36"/>
      <c r="AO875" s="36"/>
    </row>
    <row r="876" spans="4:41" s="5" customFormat="1">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90"/>
      <c r="AI876" s="90"/>
      <c r="AJ876" s="36"/>
      <c r="AK876" s="36"/>
      <c r="AN876" s="36"/>
      <c r="AO876" s="36"/>
    </row>
    <row r="877" spans="4:41" s="5" customFormat="1">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90"/>
      <c r="AI877" s="90"/>
      <c r="AJ877" s="36"/>
      <c r="AK877" s="36"/>
      <c r="AN877" s="36"/>
      <c r="AO877" s="36"/>
    </row>
    <row r="878" spans="4:41" s="5" customFormat="1">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90"/>
      <c r="AI878" s="90"/>
      <c r="AJ878" s="36"/>
      <c r="AK878" s="36"/>
      <c r="AN878" s="36"/>
      <c r="AO878" s="36"/>
    </row>
    <row r="879" spans="4:41" s="5" customFormat="1">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90"/>
      <c r="AI879" s="90"/>
      <c r="AJ879" s="36"/>
      <c r="AK879" s="36"/>
      <c r="AN879" s="36"/>
      <c r="AO879" s="36"/>
    </row>
    <row r="880" spans="4:41" s="5" customFormat="1">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90"/>
      <c r="AI880" s="90"/>
      <c r="AJ880" s="36"/>
      <c r="AK880" s="36"/>
      <c r="AN880" s="36"/>
      <c r="AO880" s="36"/>
    </row>
    <row r="881" spans="4:41" s="5" customFormat="1">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90"/>
      <c r="AI881" s="90"/>
      <c r="AJ881" s="36"/>
      <c r="AK881" s="36"/>
      <c r="AN881" s="36"/>
      <c r="AO881" s="36"/>
    </row>
    <row r="882" spans="4:41" s="5" customFormat="1">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90"/>
      <c r="AI882" s="90"/>
      <c r="AJ882" s="36"/>
      <c r="AK882" s="36"/>
      <c r="AN882" s="36"/>
      <c r="AO882" s="36"/>
    </row>
    <row r="883" spans="4:41" s="5" customFormat="1">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90"/>
      <c r="AI883" s="90"/>
      <c r="AJ883" s="36"/>
      <c r="AK883" s="36"/>
      <c r="AN883" s="36"/>
      <c r="AO883" s="36"/>
    </row>
    <row r="884" spans="4:41" s="5" customFormat="1">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90"/>
      <c r="AI884" s="90"/>
      <c r="AJ884" s="36"/>
      <c r="AK884" s="36"/>
      <c r="AN884" s="36"/>
      <c r="AO884" s="36"/>
    </row>
    <row r="885" spans="4:41" s="5" customFormat="1">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90"/>
      <c r="AI885" s="90"/>
      <c r="AJ885" s="36"/>
      <c r="AK885" s="36"/>
      <c r="AN885" s="36"/>
      <c r="AO885" s="36"/>
    </row>
    <row r="886" spans="4:41" s="5" customFormat="1">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90"/>
      <c r="AI886" s="90"/>
      <c r="AJ886" s="36"/>
      <c r="AK886" s="36"/>
      <c r="AN886" s="36"/>
      <c r="AO886" s="36"/>
    </row>
    <row r="887" spans="4:41" s="5" customFormat="1">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90"/>
      <c r="AI887" s="90"/>
      <c r="AJ887" s="36"/>
      <c r="AK887" s="36"/>
      <c r="AN887" s="36"/>
      <c r="AO887" s="36"/>
    </row>
    <row r="888" spans="4:41" s="5" customFormat="1">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90"/>
      <c r="AI888" s="90"/>
      <c r="AJ888" s="36"/>
      <c r="AK888" s="36"/>
      <c r="AN888" s="36"/>
      <c r="AO888" s="36"/>
    </row>
    <row r="889" spans="4:41" s="5" customFormat="1">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90"/>
      <c r="AI889" s="90"/>
      <c r="AJ889" s="36"/>
      <c r="AK889" s="36"/>
      <c r="AN889" s="36"/>
      <c r="AO889" s="36"/>
    </row>
    <row r="890" spans="4:41" s="5" customFormat="1">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90"/>
      <c r="AI890" s="90"/>
      <c r="AJ890" s="36"/>
      <c r="AK890" s="36"/>
      <c r="AN890" s="36"/>
      <c r="AO890" s="36"/>
    </row>
    <row r="891" spans="4:41" s="5" customFormat="1">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90"/>
      <c r="AI891" s="90"/>
      <c r="AJ891" s="36"/>
      <c r="AK891" s="36"/>
      <c r="AN891" s="36"/>
      <c r="AO891" s="36"/>
    </row>
    <row r="892" spans="4:41" s="5" customFormat="1">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90"/>
      <c r="AI892" s="90"/>
      <c r="AJ892" s="36"/>
      <c r="AK892" s="36"/>
      <c r="AN892" s="36"/>
      <c r="AO892" s="36"/>
    </row>
    <row r="893" spans="4:41" s="5" customFormat="1">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90"/>
      <c r="AI893" s="90"/>
      <c r="AJ893" s="36"/>
      <c r="AK893" s="36"/>
      <c r="AN893" s="36"/>
      <c r="AO893" s="36"/>
    </row>
    <row r="894" spans="4:41" s="5" customFormat="1">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90"/>
      <c r="AI894" s="90"/>
      <c r="AJ894" s="36"/>
      <c r="AK894" s="36"/>
      <c r="AN894" s="36"/>
      <c r="AO894" s="36"/>
    </row>
    <row r="895" spans="4:41" s="5" customFormat="1">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90"/>
      <c r="AI895" s="90"/>
      <c r="AJ895" s="36"/>
      <c r="AK895" s="36"/>
      <c r="AN895" s="36"/>
      <c r="AO895" s="36"/>
    </row>
    <row r="896" spans="4:41" s="5" customFormat="1">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90"/>
      <c r="AI896" s="90"/>
      <c r="AJ896" s="36"/>
      <c r="AK896" s="36"/>
      <c r="AN896" s="36"/>
      <c r="AO896" s="36"/>
    </row>
    <row r="897" spans="4:41" s="5" customFormat="1">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90"/>
      <c r="AI897" s="90"/>
      <c r="AJ897" s="36"/>
      <c r="AK897" s="36"/>
      <c r="AN897" s="36"/>
      <c r="AO897" s="36"/>
    </row>
    <row r="898" spans="4:41" s="5" customFormat="1">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90"/>
      <c r="AI898" s="90"/>
      <c r="AJ898" s="36"/>
      <c r="AK898" s="36"/>
      <c r="AN898" s="36"/>
      <c r="AO898" s="36"/>
    </row>
    <row r="899" spans="4:41" s="5" customFormat="1">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90"/>
      <c r="AI899" s="90"/>
      <c r="AJ899" s="36"/>
      <c r="AK899" s="36"/>
      <c r="AN899" s="36"/>
      <c r="AO899" s="36"/>
    </row>
    <row r="900" spans="4:41" s="5" customFormat="1">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90"/>
      <c r="AI900" s="90"/>
      <c r="AJ900" s="36"/>
      <c r="AK900" s="36"/>
      <c r="AN900" s="36"/>
      <c r="AO900" s="36"/>
    </row>
    <row r="901" spans="4:41" s="5" customFormat="1">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90"/>
      <c r="AI901" s="90"/>
      <c r="AJ901" s="36"/>
      <c r="AK901" s="36"/>
      <c r="AN901" s="36"/>
      <c r="AO901" s="36"/>
    </row>
    <row r="902" spans="4:41" s="5" customFormat="1">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90"/>
      <c r="AI902" s="90"/>
      <c r="AJ902" s="36"/>
      <c r="AK902" s="36"/>
      <c r="AN902" s="36"/>
      <c r="AO902" s="36"/>
    </row>
    <row r="903" spans="4:41" s="5" customFormat="1">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90"/>
      <c r="AI903" s="90"/>
      <c r="AJ903" s="36"/>
      <c r="AK903" s="36"/>
      <c r="AN903" s="36"/>
      <c r="AO903" s="36"/>
    </row>
    <row r="904" spans="4:41" s="5" customFormat="1">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90"/>
      <c r="AI904" s="90"/>
      <c r="AJ904" s="36"/>
      <c r="AK904" s="36"/>
      <c r="AN904" s="36"/>
      <c r="AO904" s="36"/>
    </row>
    <row r="905" spans="4:41" s="5" customFormat="1">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90"/>
      <c r="AI905" s="90"/>
      <c r="AJ905" s="36"/>
      <c r="AK905" s="36"/>
      <c r="AN905" s="36"/>
      <c r="AO905" s="36"/>
    </row>
    <row r="906" spans="4:41" s="5" customFormat="1">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90"/>
      <c r="AI906" s="90"/>
      <c r="AJ906" s="36"/>
      <c r="AK906" s="36"/>
      <c r="AN906" s="36"/>
      <c r="AO906" s="36"/>
    </row>
    <row r="907" spans="4:41" s="5" customFormat="1">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90"/>
      <c r="AI907" s="90"/>
      <c r="AJ907" s="36"/>
      <c r="AK907" s="36"/>
      <c r="AN907" s="36"/>
      <c r="AO907" s="36"/>
    </row>
    <row r="908" spans="4:41" s="5" customFormat="1">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90"/>
      <c r="AI908" s="90"/>
      <c r="AJ908" s="36"/>
      <c r="AK908" s="36"/>
      <c r="AN908" s="36"/>
      <c r="AO908" s="36"/>
    </row>
    <row r="909" spans="4:41" s="5" customFormat="1">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90"/>
      <c r="AI909" s="90"/>
      <c r="AJ909" s="36"/>
      <c r="AK909" s="36"/>
      <c r="AN909" s="36"/>
      <c r="AO909" s="36"/>
    </row>
    <row r="910" spans="4:41" s="5" customFormat="1">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90"/>
      <c r="AI910" s="90"/>
      <c r="AJ910" s="36"/>
      <c r="AK910" s="36"/>
      <c r="AN910" s="36"/>
      <c r="AO910" s="36"/>
    </row>
    <row r="911" spans="4:41" s="5" customFormat="1">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90"/>
      <c r="AI911" s="90"/>
      <c r="AJ911" s="36"/>
      <c r="AK911" s="36"/>
      <c r="AN911" s="36"/>
      <c r="AO911" s="36"/>
    </row>
    <row r="912" spans="4:41" s="5" customFormat="1">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90"/>
      <c r="AI912" s="90"/>
      <c r="AJ912" s="36"/>
      <c r="AK912" s="36"/>
      <c r="AN912" s="36"/>
      <c r="AO912" s="36"/>
    </row>
    <row r="913" spans="4:41" s="5" customFormat="1">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90"/>
      <c r="AI913" s="90"/>
      <c r="AJ913" s="36"/>
      <c r="AK913" s="36"/>
      <c r="AN913" s="36"/>
      <c r="AO913" s="36"/>
    </row>
    <row r="914" spans="4:41" s="5" customFormat="1">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90"/>
      <c r="AI914" s="90"/>
      <c r="AJ914" s="36"/>
      <c r="AK914" s="36"/>
      <c r="AN914" s="36"/>
      <c r="AO914" s="36"/>
    </row>
    <row r="915" spans="4:41" s="5" customFormat="1">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90"/>
      <c r="AI915" s="90"/>
      <c r="AJ915" s="36"/>
      <c r="AK915" s="36"/>
      <c r="AN915" s="36"/>
      <c r="AO915" s="36"/>
    </row>
    <row r="916" spans="4:41" s="5" customFormat="1">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90"/>
      <c r="AI916" s="90"/>
      <c r="AJ916" s="36"/>
      <c r="AK916" s="36"/>
      <c r="AN916" s="36"/>
      <c r="AO916" s="36"/>
    </row>
    <row r="917" spans="4:41" s="5" customFormat="1">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90"/>
      <c r="AI917" s="90"/>
      <c r="AJ917" s="36"/>
      <c r="AK917" s="36"/>
      <c r="AN917" s="36"/>
      <c r="AO917" s="36"/>
    </row>
    <row r="918" spans="4:41" s="5" customFormat="1">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90"/>
      <c r="AI918" s="90"/>
      <c r="AJ918" s="36"/>
      <c r="AK918" s="36"/>
      <c r="AN918" s="36"/>
      <c r="AO918" s="36"/>
    </row>
    <row r="919" spans="4:41" s="5" customFormat="1">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90"/>
      <c r="AI919" s="90"/>
      <c r="AJ919" s="36"/>
      <c r="AK919" s="36"/>
      <c r="AN919" s="36"/>
      <c r="AO919" s="36"/>
    </row>
    <row r="920" spans="4:41" s="5" customFormat="1">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90"/>
      <c r="AI920" s="90"/>
      <c r="AJ920" s="36"/>
      <c r="AK920" s="36"/>
      <c r="AN920" s="36"/>
      <c r="AO920" s="36"/>
    </row>
    <row r="921" spans="4:41" s="5" customFormat="1">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90"/>
      <c r="AI921" s="90"/>
      <c r="AJ921" s="36"/>
      <c r="AK921" s="36"/>
      <c r="AN921" s="36"/>
      <c r="AO921" s="36"/>
    </row>
    <row r="922" spans="4:41" s="5" customFormat="1">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90"/>
      <c r="AI922" s="90"/>
      <c r="AJ922" s="36"/>
      <c r="AK922" s="36"/>
      <c r="AN922" s="36"/>
      <c r="AO922" s="36"/>
    </row>
    <row r="923" spans="4:41" s="5" customFormat="1">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90"/>
      <c r="AI923" s="90"/>
      <c r="AJ923" s="36"/>
      <c r="AK923" s="36"/>
      <c r="AN923" s="36"/>
      <c r="AO923" s="36"/>
    </row>
    <row r="924" spans="4:41" s="5" customFormat="1">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90"/>
      <c r="AI924" s="90"/>
      <c r="AJ924" s="36"/>
      <c r="AK924" s="36"/>
      <c r="AN924" s="36"/>
      <c r="AO924" s="36"/>
    </row>
    <row r="925" spans="4:41" s="5" customFormat="1">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90"/>
      <c r="AI925" s="90"/>
      <c r="AJ925" s="36"/>
      <c r="AK925" s="36"/>
      <c r="AN925" s="36"/>
      <c r="AO925" s="36"/>
    </row>
    <row r="926" spans="4:41" s="5" customFormat="1">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90"/>
      <c r="AI926" s="90"/>
      <c r="AJ926" s="36"/>
      <c r="AK926" s="36"/>
      <c r="AN926" s="36"/>
      <c r="AO926" s="36"/>
    </row>
    <row r="927" spans="4:41" s="5" customFormat="1">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90"/>
      <c r="AI927" s="90"/>
      <c r="AJ927" s="36"/>
      <c r="AK927" s="36"/>
      <c r="AN927" s="36"/>
      <c r="AO927" s="36"/>
    </row>
    <row r="928" spans="4:41" s="5" customFormat="1">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90"/>
      <c r="AI928" s="90"/>
      <c r="AJ928" s="36"/>
      <c r="AK928" s="36"/>
      <c r="AN928" s="36"/>
      <c r="AO928" s="36"/>
    </row>
    <row r="929" spans="4:41" s="5" customFormat="1">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90"/>
      <c r="AI929" s="90"/>
      <c r="AJ929" s="36"/>
      <c r="AK929" s="36"/>
      <c r="AN929" s="36"/>
      <c r="AO929" s="36"/>
    </row>
    <row r="930" spans="4:41" s="5" customFormat="1">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90"/>
      <c r="AI930" s="90"/>
      <c r="AJ930" s="36"/>
      <c r="AK930" s="36"/>
      <c r="AN930" s="36"/>
      <c r="AO930" s="36"/>
    </row>
    <row r="931" spans="4:41" s="5" customFormat="1">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90"/>
      <c r="AI931" s="90"/>
      <c r="AJ931" s="36"/>
      <c r="AK931" s="36"/>
      <c r="AN931" s="36"/>
      <c r="AO931" s="36"/>
    </row>
    <row r="932" spans="4:41" s="5" customFormat="1">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90"/>
      <c r="AI932" s="90"/>
      <c r="AJ932" s="36"/>
      <c r="AK932" s="36"/>
      <c r="AN932" s="36"/>
      <c r="AO932" s="36"/>
    </row>
    <row r="933" spans="4:41" s="5" customFormat="1">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90"/>
      <c r="AI933" s="90"/>
      <c r="AJ933" s="36"/>
      <c r="AK933" s="36"/>
      <c r="AN933" s="36"/>
      <c r="AO933" s="36"/>
    </row>
    <row r="934" spans="4:41" s="5" customFormat="1">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90"/>
      <c r="AI934" s="90"/>
      <c r="AJ934" s="36"/>
      <c r="AK934" s="36"/>
      <c r="AN934" s="36"/>
      <c r="AO934" s="36"/>
    </row>
    <row r="935" spans="4:41" s="5" customFormat="1">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90"/>
      <c r="AI935" s="90"/>
      <c r="AJ935" s="36"/>
      <c r="AK935" s="36"/>
      <c r="AN935" s="36"/>
      <c r="AO935" s="36"/>
    </row>
    <row r="936" spans="4:41" s="5" customFormat="1">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90"/>
      <c r="AI936" s="90"/>
      <c r="AJ936" s="36"/>
      <c r="AK936" s="36"/>
      <c r="AN936" s="36"/>
      <c r="AO936" s="36"/>
    </row>
    <row r="937" spans="4:41" s="5" customFormat="1">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90"/>
      <c r="AI937" s="90"/>
      <c r="AJ937" s="36"/>
      <c r="AK937" s="36"/>
      <c r="AN937" s="36"/>
      <c r="AO937" s="36"/>
    </row>
    <row r="938" spans="4:41" s="5" customFormat="1">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90"/>
      <c r="AI938" s="90"/>
      <c r="AJ938" s="36"/>
      <c r="AK938" s="36"/>
      <c r="AN938" s="36"/>
      <c r="AO938" s="36"/>
    </row>
    <row r="939" spans="4:41" s="5" customFormat="1">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90"/>
      <c r="AI939" s="90"/>
      <c r="AJ939" s="36"/>
      <c r="AK939" s="36"/>
      <c r="AN939" s="36"/>
      <c r="AO939" s="36"/>
    </row>
    <row r="940" spans="4:41" s="5" customFormat="1">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90"/>
      <c r="AI940" s="90"/>
      <c r="AJ940" s="36"/>
      <c r="AK940" s="36"/>
      <c r="AN940" s="36"/>
      <c r="AO940" s="36"/>
    </row>
    <row r="941" spans="4:41" s="5" customFormat="1">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90"/>
      <c r="AI941" s="90"/>
      <c r="AJ941" s="36"/>
      <c r="AK941" s="36"/>
      <c r="AN941" s="36"/>
      <c r="AO941" s="36"/>
    </row>
    <row r="942" spans="4:41" s="5" customFormat="1">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90"/>
      <c r="AI942" s="90"/>
      <c r="AJ942" s="36"/>
      <c r="AK942" s="36"/>
      <c r="AN942" s="36"/>
      <c r="AO942" s="36"/>
    </row>
    <row r="943" spans="4:41" s="5" customFormat="1">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90"/>
      <c r="AI943" s="90"/>
      <c r="AJ943" s="36"/>
      <c r="AK943" s="36"/>
      <c r="AN943" s="36"/>
      <c r="AO943" s="36"/>
    </row>
    <row r="944" spans="4:41" s="5" customFormat="1">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90"/>
      <c r="AI944" s="90"/>
      <c r="AJ944" s="36"/>
      <c r="AK944" s="36"/>
      <c r="AN944" s="36"/>
      <c r="AO944" s="36"/>
    </row>
    <row r="945" spans="4:41" s="5" customFormat="1">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90"/>
      <c r="AI945" s="90"/>
      <c r="AJ945" s="36"/>
      <c r="AK945" s="36"/>
      <c r="AN945" s="36"/>
      <c r="AO945" s="36"/>
    </row>
    <row r="946" spans="4:41" s="5" customFormat="1">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90"/>
      <c r="AI946" s="90"/>
      <c r="AJ946" s="36"/>
      <c r="AK946" s="36"/>
      <c r="AN946" s="36"/>
      <c r="AO946" s="36"/>
    </row>
    <row r="947" spans="4:41" s="5" customFormat="1">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90"/>
      <c r="AI947" s="90"/>
      <c r="AJ947" s="36"/>
      <c r="AK947" s="36"/>
      <c r="AN947" s="36"/>
      <c r="AO947" s="36"/>
    </row>
    <row r="948" spans="4:41" s="5" customFormat="1">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90"/>
      <c r="AI948" s="90"/>
      <c r="AJ948" s="36"/>
      <c r="AK948" s="36"/>
      <c r="AN948" s="36"/>
      <c r="AO948" s="36"/>
    </row>
    <row r="949" spans="4:41" s="5" customFormat="1">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90"/>
      <c r="AI949" s="90"/>
      <c r="AJ949" s="36"/>
      <c r="AK949" s="36"/>
      <c r="AN949" s="36"/>
      <c r="AO949" s="36"/>
    </row>
    <row r="950" spans="4:41" s="5" customFormat="1">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90"/>
      <c r="AI950" s="90"/>
      <c r="AJ950" s="36"/>
      <c r="AK950" s="36"/>
      <c r="AN950" s="36"/>
      <c r="AO950" s="36"/>
    </row>
    <row r="951" spans="4:41" s="5" customFormat="1">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90"/>
      <c r="AI951" s="90"/>
      <c r="AJ951" s="36"/>
      <c r="AK951" s="36"/>
      <c r="AN951" s="36"/>
      <c r="AO951" s="36"/>
    </row>
    <row r="952" spans="4:41" s="5" customFormat="1">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90"/>
      <c r="AI952" s="90"/>
      <c r="AJ952" s="36"/>
      <c r="AK952" s="36"/>
      <c r="AN952" s="36"/>
      <c r="AO952" s="36"/>
    </row>
    <row r="953" spans="4:41" s="5" customFormat="1">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90"/>
      <c r="AI953" s="90"/>
      <c r="AJ953" s="36"/>
      <c r="AK953" s="36"/>
      <c r="AN953" s="36"/>
      <c r="AO953" s="36"/>
    </row>
    <row r="954" spans="4:41" s="5" customFormat="1">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90"/>
      <c r="AI954" s="90"/>
      <c r="AJ954" s="36"/>
      <c r="AK954" s="36"/>
      <c r="AN954" s="36"/>
      <c r="AO954" s="36"/>
    </row>
    <row r="955" spans="4:41" s="5" customFormat="1">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90"/>
      <c r="AI955" s="90"/>
      <c r="AJ955" s="36"/>
      <c r="AK955" s="36"/>
      <c r="AN955" s="36"/>
      <c r="AO955" s="36"/>
    </row>
    <row r="956" spans="4:41" s="5" customFormat="1">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90"/>
      <c r="AI956" s="90"/>
      <c r="AJ956" s="36"/>
      <c r="AK956" s="36"/>
      <c r="AN956" s="36"/>
      <c r="AO956" s="36"/>
    </row>
    <row r="957" spans="4:41" s="5" customFormat="1">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90"/>
      <c r="AI957" s="90"/>
      <c r="AJ957" s="36"/>
      <c r="AK957" s="36"/>
      <c r="AN957" s="36"/>
      <c r="AO957" s="36"/>
    </row>
    <row r="958" spans="4:41" s="5" customFormat="1">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90"/>
      <c r="AI958" s="90"/>
      <c r="AJ958" s="36"/>
      <c r="AK958" s="36"/>
      <c r="AN958" s="36"/>
      <c r="AO958" s="36"/>
    </row>
    <row r="959" spans="4:41" s="5" customFormat="1">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90"/>
      <c r="AI959" s="90"/>
      <c r="AJ959" s="36"/>
      <c r="AK959" s="36"/>
      <c r="AN959" s="36"/>
      <c r="AO959" s="36"/>
    </row>
    <row r="960" spans="4:41" s="5" customFormat="1">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90"/>
      <c r="AI960" s="90"/>
      <c r="AJ960" s="36"/>
      <c r="AK960" s="36"/>
      <c r="AN960" s="36"/>
      <c r="AO960" s="36"/>
    </row>
    <row r="961" spans="4:41" s="5" customFormat="1">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90"/>
      <c r="AI961" s="90"/>
      <c r="AJ961" s="36"/>
      <c r="AK961" s="36"/>
      <c r="AN961" s="36"/>
      <c r="AO961" s="36"/>
    </row>
    <row r="962" spans="4:41" s="5" customFormat="1">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90"/>
      <c r="AI962" s="90"/>
      <c r="AJ962" s="36"/>
      <c r="AK962" s="36"/>
      <c r="AN962" s="36"/>
      <c r="AO962" s="36"/>
    </row>
    <row r="963" spans="4:41" s="5" customFormat="1">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90"/>
      <c r="AI963" s="90"/>
      <c r="AJ963" s="36"/>
      <c r="AK963" s="36"/>
      <c r="AN963" s="36"/>
      <c r="AO963" s="36"/>
    </row>
    <row r="964" spans="4:41" s="5" customFormat="1">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90"/>
      <c r="AI964" s="90"/>
      <c r="AJ964" s="36"/>
      <c r="AK964" s="36"/>
      <c r="AN964" s="36"/>
      <c r="AO964" s="36"/>
    </row>
    <row r="965" spans="4:41" s="5" customFormat="1">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90"/>
      <c r="AI965" s="90"/>
      <c r="AJ965" s="36"/>
      <c r="AK965" s="36"/>
      <c r="AN965" s="36"/>
      <c r="AO965" s="36"/>
    </row>
    <row r="966" spans="4:41" s="5" customFormat="1">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90"/>
      <c r="AI966" s="90"/>
      <c r="AJ966" s="36"/>
      <c r="AK966" s="36"/>
      <c r="AN966" s="36"/>
      <c r="AO966" s="36"/>
    </row>
    <row r="967" spans="4:41" s="5" customFormat="1">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90"/>
      <c r="AI967" s="90"/>
      <c r="AJ967" s="36"/>
      <c r="AK967" s="36"/>
      <c r="AN967" s="36"/>
      <c r="AO967" s="36"/>
    </row>
    <row r="968" spans="4:41" s="5" customFormat="1">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90"/>
      <c r="AI968" s="90"/>
      <c r="AJ968" s="36"/>
      <c r="AK968" s="36"/>
      <c r="AN968" s="36"/>
      <c r="AO968" s="36"/>
    </row>
    <row r="969" spans="4:41" s="5" customFormat="1">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90"/>
      <c r="AI969" s="90"/>
      <c r="AJ969" s="36"/>
      <c r="AK969" s="36"/>
      <c r="AN969" s="36"/>
      <c r="AO969" s="36"/>
    </row>
    <row r="970" spans="4:41" s="5" customFormat="1">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90"/>
      <c r="AI970" s="90"/>
      <c r="AJ970" s="36"/>
      <c r="AK970" s="36"/>
      <c r="AN970" s="36"/>
      <c r="AO970" s="36"/>
    </row>
    <row r="971" spans="4:41" s="5" customFormat="1">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90"/>
      <c r="AI971" s="90"/>
      <c r="AJ971" s="36"/>
      <c r="AK971" s="36"/>
      <c r="AN971" s="36"/>
      <c r="AO971" s="36"/>
    </row>
    <row r="972" spans="4:41" s="5" customFormat="1">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90"/>
      <c r="AI972" s="90"/>
      <c r="AJ972" s="36"/>
      <c r="AK972" s="36"/>
      <c r="AN972" s="36"/>
      <c r="AO972" s="36"/>
    </row>
    <row r="973" spans="4:41" s="5" customFormat="1">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90"/>
      <c r="AI973" s="90"/>
      <c r="AJ973" s="36"/>
      <c r="AK973" s="36"/>
      <c r="AN973" s="36"/>
      <c r="AO973" s="36"/>
    </row>
    <row r="974" spans="4:41" s="5" customFormat="1">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90"/>
      <c r="AI974" s="90"/>
      <c r="AJ974" s="36"/>
      <c r="AK974" s="36"/>
      <c r="AN974" s="36"/>
      <c r="AO974" s="36"/>
    </row>
    <row r="975" spans="4:41" s="5" customFormat="1">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90"/>
      <c r="AI975" s="90"/>
      <c r="AJ975" s="36"/>
      <c r="AK975" s="36"/>
      <c r="AN975" s="36"/>
      <c r="AO975" s="36"/>
    </row>
    <row r="976" spans="4:41" s="5" customFormat="1">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90"/>
      <c r="AI976" s="90"/>
      <c r="AJ976" s="36"/>
      <c r="AK976" s="36"/>
      <c r="AN976" s="36"/>
      <c r="AO976" s="36"/>
    </row>
    <row r="977" spans="4:41" s="5" customFormat="1">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90"/>
      <c r="AI977" s="90"/>
      <c r="AJ977" s="36"/>
      <c r="AK977" s="36"/>
      <c r="AN977" s="36"/>
      <c r="AO977" s="36"/>
    </row>
    <row r="978" spans="4:41" s="5" customFormat="1">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90"/>
      <c r="AI978" s="90"/>
      <c r="AJ978" s="36"/>
      <c r="AK978" s="36"/>
      <c r="AN978" s="36"/>
      <c r="AO978" s="36"/>
    </row>
    <row r="979" spans="4:41" s="5" customFormat="1">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90"/>
      <c r="AI979" s="90"/>
      <c r="AJ979" s="36"/>
      <c r="AK979" s="36"/>
      <c r="AN979" s="36"/>
      <c r="AO979" s="36"/>
    </row>
    <row r="980" spans="4:41" s="5" customFormat="1">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90"/>
      <c r="AI980" s="90"/>
      <c r="AJ980" s="36"/>
      <c r="AK980" s="36"/>
      <c r="AN980" s="36"/>
      <c r="AO980" s="36"/>
    </row>
    <row r="981" spans="4:41" s="5" customFormat="1">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90"/>
      <c r="AI981" s="90"/>
      <c r="AJ981" s="36"/>
      <c r="AK981" s="36"/>
      <c r="AN981" s="36"/>
      <c r="AO981" s="36"/>
    </row>
    <row r="982" spans="4:41" s="5" customFormat="1">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90"/>
      <c r="AI982" s="90"/>
      <c r="AJ982" s="36"/>
      <c r="AK982" s="36"/>
      <c r="AN982" s="36"/>
      <c r="AO982" s="36"/>
    </row>
    <row r="983" spans="4:41" s="5" customFormat="1">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90"/>
      <c r="AI983" s="90"/>
      <c r="AJ983" s="36"/>
      <c r="AK983" s="36"/>
      <c r="AN983" s="36"/>
      <c r="AO983" s="36"/>
    </row>
    <row r="984" spans="4:41" s="5" customFormat="1">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90"/>
      <c r="AI984" s="90"/>
      <c r="AJ984" s="36"/>
      <c r="AK984" s="36"/>
      <c r="AN984" s="36"/>
      <c r="AO984" s="36"/>
    </row>
    <row r="985" spans="4:41" s="5" customFormat="1">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90"/>
      <c r="AI985" s="90"/>
      <c r="AJ985" s="36"/>
      <c r="AK985" s="36"/>
      <c r="AN985" s="36"/>
      <c r="AO985" s="36"/>
    </row>
    <row r="986" spans="4:41" s="5" customFormat="1">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90"/>
      <c r="AI986" s="90"/>
      <c r="AJ986" s="36"/>
      <c r="AK986" s="36"/>
      <c r="AN986" s="36"/>
      <c r="AO986" s="36"/>
    </row>
    <row r="987" spans="4:41" s="5" customFormat="1">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90"/>
      <c r="AI987" s="90"/>
      <c r="AJ987" s="36"/>
      <c r="AK987" s="36"/>
      <c r="AN987" s="36"/>
      <c r="AO987" s="36"/>
    </row>
    <row r="988" spans="4:41" s="5" customFormat="1">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90"/>
      <c r="AI988" s="90"/>
      <c r="AJ988" s="36"/>
      <c r="AK988" s="36"/>
      <c r="AN988" s="36"/>
      <c r="AO988" s="36"/>
    </row>
    <row r="989" spans="4:41" s="5" customFormat="1">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90"/>
      <c r="AI989" s="90"/>
      <c r="AJ989" s="36"/>
      <c r="AK989" s="36"/>
      <c r="AN989" s="36"/>
      <c r="AO989" s="36"/>
    </row>
    <row r="990" spans="4:41" s="5" customFormat="1">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90"/>
      <c r="AI990" s="90"/>
      <c r="AJ990" s="36"/>
      <c r="AK990" s="36"/>
      <c r="AN990" s="36"/>
      <c r="AO990" s="36"/>
    </row>
    <row r="991" spans="4:41" s="5" customFormat="1">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90"/>
      <c r="AI991" s="90"/>
      <c r="AJ991" s="36"/>
      <c r="AK991" s="36"/>
      <c r="AN991" s="36"/>
      <c r="AO991" s="36"/>
    </row>
    <row r="992" spans="4:41" s="5" customFormat="1">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90"/>
      <c r="AI992" s="90"/>
      <c r="AJ992" s="36"/>
      <c r="AK992" s="36"/>
      <c r="AN992" s="36"/>
      <c r="AO992" s="36"/>
    </row>
    <row r="993" spans="4:41" s="5" customFormat="1">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90"/>
      <c r="AI993" s="90"/>
      <c r="AJ993" s="36"/>
      <c r="AK993" s="36"/>
      <c r="AN993" s="36"/>
      <c r="AO993" s="36"/>
    </row>
    <row r="994" spans="4:41" s="5" customFormat="1">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90"/>
      <c r="AI994" s="90"/>
      <c r="AJ994" s="36"/>
      <c r="AK994" s="36"/>
      <c r="AN994" s="36"/>
      <c r="AO994" s="36"/>
    </row>
    <row r="995" spans="4:41" s="5" customFormat="1">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90"/>
      <c r="AI995" s="90"/>
      <c r="AJ995" s="36"/>
      <c r="AK995" s="36"/>
      <c r="AN995" s="36"/>
      <c r="AO995" s="36"/>
    </row>
    <row r="996" spans="4:41" s="5" customFormat="1">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90"/>
      <c r="AI996" s="90"/>
      <c r="AJ996" s="36"/>
      <c r="AK996" s="36"/>
      <c r="AN996" s="36"/>
      <c r="AO996" s="36"/>
    </row>
    <row r="997" spans="4:41" s="5" customFormat="1">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90"/>
      <c r="AI997" s="90"/>
      <c r="AJ997" s="36"/>
      <c r="AK997" s="36"/>
      <c r="AN997" s="36"/>
      <c r="AO997" s="36"/>
    </row>
    <row r="998" spans="4:41" s="5" customFormat="1">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90"/>
      <c r="AI998" s="90"/>
      <c r="AJ998" s="36"/>
      <c r="AK998" s="36"/>
      <c r="AN998" s="36"/>
      <c r="AO998" s="36"/>
    </row>
    <row r="999" spans="4:41" s="5" customFormat="1">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90"/>
      <c r="AI999" s="90"/>
      <c r="AJ999" s="36"/>
      <c r="AK999" s="36"/>
      <c r="AN999" s="36"/>
      <c r="AO999" s="36"/>
    </row>
    <row r="1000" spans="4:41" s="5" customFormat="1">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c r="AH1000" s="90"/>
      <c r="AI1000" s="90"/>
      <c r="AJ1000" s="36"/>
      <c r="AK1000" s="36"/>
      <c r="AN1000" s="36"/>
      <c r="AO1000" s="36"/>
    </row>
    <row r="1001" spans="4:41" s="5" customFormat="1">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c r="AH1001" s="90"/>
      <c r="AI1001" s="90"/>
      <c r="AJ1001" s="36"/>
      <c r="AK1001" s="36"/>
      <c r="AN1001" s="36"/>
      <c r="AO1001" s="36"/>
    </row>
    <row r="1002" spans="4:41" s="5" customFormat="1">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36"/>
      <c r="AH1002" s="90"/>
      <c r="AI1002" s="90"/>
      <c r="AJ1002" s="36"/>
      <c r="AK1002" s="36"/>
      <c r="AN1002" s="36"/>
      <c r="AO1002" s="36"/>
    </row>
    <row r="1003" spans="4:41" s="5" customFormat="1">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c r="AH1003" s="90"/>
      <c r="AI1003" s="90"/>
      <c r="AJ1003" s="36"/>
      <c r="AK1003" s="36"/>
      <c r="AN1003" s="36"/>
      <c r="AO1003" s="36"/>
    </row>
    <row r="1004" spans="4:41" s="5" customFormat="1">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c r="AF1004" s="36"/>
      <c r="AG1004" s="36"/>
      <c r="AH1004" s="90"/>
      <c r="AI1004" s="90"/>
      <c r="AJ1004" s="36"/>
      <c r="AK1004" s="36"/>
      <c r="AN1004" s="36"/>
      <c r="AO1004" s="36"/>
    </row>
    <row r="1005" spans="4:41" s="5" customFormat="1">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c r="AF1005" s="36"/>
      <c r="AG1005" s="36"/>
      <c r="AH1005" s="90"/>
      <c r="AI1005" s="90"/>
      <c r="AJ1005" s="36"/>
      <c r="AK1005" s="36"/>
      <c r="AN1005" s="36"/>
      <c r="AO1005" s="36"/>
    </row>
    <row r="1006" spans="4:41" s="5" customFormat="1">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c r="AF1006" s="36"/>
      <c r="AG1006" s="36"/>
      <c r="AH1006" s="90"/>
      <c r="AI1006" s="90"/>
      <c r="AJ1006" s="36"/>
      <c r="AK1006" s="36"/>
      <c r="AN1006" s="36"/>
      <c r="AO1006" s="36"/>
    </row>
    <row r="1007" spans="4:41" s="5" customFormat="1">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c r="AA1007" s="36"/>
      <c r="AB1007" s="36"/>
      <c r="AC1007" s="36"/>
      <c r="AD1007" s="36"/>
      <c r="AE1007" s="36"/>
      <c r="AF1007" s="36"/>
      <c r="AG1007" s="36"/>
      <c r="AH1007" s="90"/>
      <c r="AI1007" s="90"/>
      <c r="AJ1007" s="36"/>
      <c r="AK1007" s="36"/>
      <c r="AN1007" s="36"/>
      <c r="AO1007" s="36"/>
    </row>
    <row r="1008" spans="4:41" s="5" customFormat="1">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c r="AA1008" s="36"/>
      <c r="AB1008" s="36"/>
      <c r="AC1008" s="36"/>
      <c r="AD1008" s="36"/>
      <c r="AE1008" s="36"/>
      <c r="AF1008" s="36"/>
      <c r="AG1008" s="36"/>
      <c r="AH1008" s="90"/>
      <c r="AI1008" s="90"/>
      <c r="AJ1008" s="36"/>
      <c r="AK1008" s="36"/>
      <c r="AN1008" s="36"/>
      <c r="AO1008" s="36"/>
    </row>
    <row r="1009" spans="4:41" s="5" customFormat="1">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c r="AA1009" s="36"/>
      <c r="AB1009" s="36"/>
      <c r="AC1009" s="36"/>
      <c r="AD1009" s="36"/>
      <c r="AE1009" s="36"/>
      <c r="AF1009" s="36"/>
      <c r="AG1009" s="36"/>
      <c r="AH1009" s="90"/>
      <c r="AI1009" s="90"/>
      <c r="AJ1009" s="36"/>
      <c r="AK1009" s="36"/>
      <c r="AN1009" s="36"/>
      <c r="AO1009" s="36"/>
    </row>
    <row r="1010" spans="4:41" s="5" customFormat="1">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c r="AA1010" s="36"/>
      <c r="AB1010" s="36"/>
      <c r="AC1010" s="36"/>
      <c r="AD1010" s="36"/>
      <c r="AE1010" s="36"/>
      <c r="AF1010" s="36"/>
      <c r="AG1010" s="36"/>
      <c r="AH1010" s="90"/>
      <c r="AI1010" s="90"/>
      <c r="AJ1010" s="36"/>
      <c r="AK1010" s="36"/>
      <c r="AN1010" s="36"/>
      <c r="AO1010" s="36"/>
    </row>
    <row r="1011" spans="4:41" s="5" customFormat="1">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c r="AA1011" s="36"/>
      <c r="AB1011" s="36"/>
      <c r="AC1011" s="36"/>
      <c r="AD1011" s="36"/>
      <c r="AE1011" s="36"/>
      <c r="AF1011" s="36"/>
      <c r="AG1011" s="36"/>
      <c r="AH1011" s="90"/>
      <c r="AI1011" s="90"/>
      <c r="AJ1011" s="36"/>
      <c r="AK1011" s="36"/>
      <c r="AN1011" s="36"/>
      <c r="AO1011" s="36"/>
    </row>
    <row r="1012" spans="4:41" s="5" customFormat="1">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c r="AA1012" s="36"/>
      <c r="AB1012" s="36"/>
      <c r="AC1012" s="36"/>
      <c r="AD1012" s="36"/>
      <c r="AE1012" s="36"/>
      <c r="AF1012" s="36"/>
      <c r="AG1012" s="36"/>
      <c r="AH1012" s="90"/>
      <c r="AI1012" s="90"/>
      <c r="AJ1012" s="36"/>
      <c r="AK1012" s="36"/>
      <c r="AN1012" s="36"/>
      <c r="AO1012" s="36"/>
    </row>
    <row r="1013" spans="4:41" s="5" customFormat="1">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c r="AA1013" s="36"/>
      <c r="AB1013" s="36"/>
      <c r="AC1013" s="36"/>
      <c r="AD1013" s="36"/>
      <c r="AE1013" s="36"/>
      <c r="AF1013" s="36"/>
      <c r="AG1013" s="36"/>
      <c r="AH1013" s="90"/>
      <c r="AI1013" s="90"/>
      <c r="AJ1013" s="36"/>
      <c r="AK1013" s="36"/>
      <c r="AN1013" s="36"/>
      <c r="AO1013" s="36"/>
    </row>
    <row r="1014" spans="4:41" s="5" customFormat="1">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c r="AA1014" s="36"/>
      <c r="AB1014" s="36"/>
      <c r="AC1014" s="36"/>
      <c r="AD1014" s="36"/>
      <c r="AE1014" s="36"/>
      <c r="AF1014" s="36"/>
      <c r="AG1014" s="36"/>
      <c r="AH1014" s="90"/>
      <c r="AI1014" s="90"/>
      <c r="AJ1014" s="36"/>
      <c r="AK1014" s="36"/>
      <c r="AN1014" s="36"/>
      <c r="AO1014" s="36"/>
    </row>
    <row r="1015" spans="4:41" s="5" customFormat="1">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c r="AA1015" s="36"/>
      <c r="AB1015" s="36"/>
      <c r="AC1015" s="36"/>
      <c r="AD1015" s="36"/>
      <c r="AE1015" s="36"/>
      <c r="AF1015" s="36"/>
      <c r="AG1015" s="36"/>
      <c r="AH1015" s="90"/>
      <c r="AI1015" s="90"/>
      <c r="AJ1015" s="36"/>
      <c r="AK1015" s="36"/>
      <c r="AN1015" s="36"/>
      <c r="AO1015" s="36"/>
    </row>
    <row r="1016" spans="4:41" s="5" customFormat="1">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c r="AA1016" s="36"/>
      <c r="AB1016" s="36"/>
      <c r="AC1016" s="36"/>
      <c r="AD1016" s="36"/>
      <c r="AE1016" s="36"/>
      <c r="AF1016" s="36"/>
      <c r="AG1016" s="36"/>
      <c r="AH1016" s="90"/>
      <c r="AI1016" s="90"/>
      <c r="AJ1016" s="36"/>
      <c r="AK1016" s="36"/>
      <c r="AN1016" s="36"/>
      <c r="AO1016" s="36"/>
    </row>
    <row r="1017" spans="4:41" s="5" customFormat="1">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c r="AA1017" s="36"/>
      <c r="AB1017" s="36"/>
      <c r="AC1017" s="36"/>
      <c r="AD1017" s="36"/>
      <c r="AE1017" s="36"/>
      <c r="AF1017" s="36"/>
      <c r="AG1017" s="36"/>
      <c r="AH1017" s="90"/>
      <c r="AI1017" s="90"/>
      <c r="AJ1017" s="36"/>
      <c r="AK1017" s="36"/>
      <c r="AN1017" s="36"/>
      <c r="AO1017" s="36"/>
    </row>
    <row r="1018" spans="4:41" s="5" customFormat="1">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c r="AA1018" s="36"/>
      <c r="AB1018" s="36"/>
      <c r="AC1018" s="36"/>
      <c r="AD1018" s="36"/>
      <c r="AE1018" s="36"/>
      <c r="AF1018" s="36"/>
      <c r="AG1018" s="36"/>
      <c r="AH1018" s="90"/>
      <c r="AI1018" s="90"/>
      <c r="AJ1018" s="36"/>
      <c r="AK1018" s="36"/>
      <c r="AN1018" s="36"/>
      <c r="AO1018" s="36"/>
    </row>
    <row r="1019" spans="4:41" s="5" customFormat="1">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c r="AA1019" s="36"/>
      <c r="AB1019" s="36"/>
      <c r="AC1019" s="36"/>
      <c r="AD1019" s="36"/>
      <c r="AE1019" s="36"/>
      <c r="AF1019" s="36"/>
      <c r="AG1019" s="36"/>
      <c r="AH1019" s="90"/>
      <c r="AI1019" s="90"/>
      <c r="AJ1019" s="36"/>
      <c r="AK1019" s="36"/>
      <c r="AN1019" s="36"/>
      <c r="AO1019" s="36"/>
    </row>
    <row r="1020" spans="4:41" s="5" customFormat="1">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c r="AA1020" s="36"/>
      <c r="AB1020" s="36"/>
      <c r="AC1020" s="36"/>
      <c r="AD1020" s="36"/>
      <c r="AE1020" s="36"/>
      <c r="AF1020" s="36"/>
      <c r="AG1020" s="36"/>
      <c r="AH1020" s="90"/>
      <c r="AI1020" s="90"/>
      <c r="AJ1020" s="36"/>
      <c r="AK1020" s="36"/>
      <c r="AN1020" s="36"/>
      <c r="AO1020" s="36"/>
    </row>
    <row r="1021" spans="4:41" s="5" customFormat="1">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c r="AA1021" s="36"/>
      <c r="AB1021" s="36"/>
      <c r="AC1021" s="36"/>
      <c r="AD1021" s="36"/>
      <c r="AE1021" s="36"/>
      <c r="AF1021" s="36"/>
      <c r="AG1021" s="36"/>
      <c r="AH1021" s="90"/>
      <c r="AI1021" s="90"/>
      <c r="AJ1021" s="36"/>
      <c r="AK1021" s="36"/>
      <c r="AN1021" s="36"/>
      <c r="AO1021" s="36"/>
    </row>
    <row r="1022" spans="4:41" s="5" customFormat="1">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c r="AA1022" s="36"/>
      <c r="AB1022" s="36"/>
      <c r="AC1022" s="36"/>
      <c r="AD1022" s="36"/>
      <c r="AE1022" s="36"/>
      <c r="AF1022" s="36"/>
      <c r="AG1022" s="36"/>
      <c r="AH1022" s="90"/>
      <c r="AI1022" s="90"/>
      <c r="AJ1022" s="36"/>
      <c r="AK1022" s="36"/>
      <c r="AN1022" s="36"/>
      <c r="AO1022" s="36"/>
    </row>
    <row r="1023" spans="4:41" s="5" customFormat="1">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c r="AA1023" s="36"/>
      <c r="AB1023" s="36"/>
      <c r="AC1023" s="36"/>
      <c r="AD1023" s="36"/>
      <c r="AE1023" s="36"/>
      <c r="AF1023" s="36"/>
      <c r="AG1023" s="36"/>
      <c r="AH1023" s="90"/>
      <c r="AI1023" s="90"/>
      <c r="AJ1023" s="36"/>
      <c r="AK1023" s="36"/>
      <c r="AN1023" s="36"/>
      <c r="AO1023" s="36"/>
    </row>
    <row r="1024" spans="4:41" s="5" customFormat="1">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c r="AA1024" s="36"/>
      <c r="AB1024" s="36"/>
      <c r="AC1024" s="36"/>
      <c r="AD1024" s="36"/>
      <c r="AE1024" s="36"/>
      <c r="AF1024" s="36"/>
      <c r="AG1024" s="36"/>
      <c r="AH1024" s="90"/>
      <c r="AI1024" s="90"/>
      <c r="AJ1024" s="36"/>
      <c r="AK1024" s="36"/>
      <c r="AN1024" s="36"/>
      <c r="AO1024" s="36"/>
    </row>
    <row r="1025" spans="4:41" s="5" customFormat="1">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c r="AA1025" s="36"/>
      <c r="AB1025" s="36"/>
      <c r="AC1025" s="36"/>
      <c r="AD1025" s="36"/>
      <c r="AE1025" s="36"/>
      <c r="AF1025" s="36"/>
      <c r="AG1025" s="36"/>
      <c r="AH1025" s="90"/>
      <c r="AI1025" s="90"/>
      <c r="AJ1025" s="36"/>
      <c r="AK1025" s="36"/>
      <c r="AN1025" s="36"/>
      <c r="AO1025" s="36"/>
    </row>
    <row r="1026" spans="4:41" s="5" customFormat="1">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c r="AA1026" s="36"/>
      <c r="AB1026" s="36"/>
      <c r="AC1026" s="36"/>
      <c r="AD1026" s="36"/>
      <c r="AE1026" s="36"/>
      <c r="AF1026" s="36"/>
      <c r="AG1026" s="36"/>
      <c r="AH1026" s="90"/>
      <c r="AI1026" s="90"/>
      <c r="AJ1026" s="36"/>
      <c r="AK1026" s="36"/>
      <c r="AN1026" s="36"/>
      <c r="AO1026" s="36"/>
    </row>
    <row r="1027" spans="4:41" s="5" customFormat="1">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c r="AA1027" s="36"/>
      <c r="AB1027" s="36"/>
      <c r="AC1027" s="36"/>
      <c r="AD1027" s="36"/>
      <c r="AE1027" s="36"/>
      <c r="AF1027" s="36"/>
      <c r="AG1027" s="36"/>
      <c r="AH1027" s="90"/>
      <c r="AI1027" s="90"/>
      <c r="AJ1027" s="36"/>
      <c r="AK1027" s="36"/>
      <c r="AN1027" s="36"/>
      <c r="AO1027" s="36"/>
    </row>
    <row r="1028" spans="4:41" s="5" customFormat="1">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c r="AA1028" s="36"/>
      <c r="AB1028" s="36"/>
      <c r="AC1028" s="36"/>
      <c r="AD1028" s="36"/>
      <c r="AE1028" s="36"/>
      <c r="AF1028" s="36"/>
      <c r="AG1028" s="36"/>
      <c r="AH1028" s="90"/>
      <c r="AI1028" s="90"/>
      <c r="AJ1028" s="36"/>
      <c r="AK1028" s="36"/>
      <c r="AN1028" s="36"/>
      <c r="AO1028" s="36"/>
    </row>
    <row r="1029" spans="4:41" s="5" customFormat="1">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c r="AA1029" s="36"/>
      <c r="AB1029" s="36"/>
      <c r="AC1029" s="36"/>
      <c r="AD1029" s="36"/>
      <c r="AE1029" s="36"/>
      <c r="AF1029" s="36"/>
      <c r="AG1029" s="36"/>
      <c r="AH1029" s="90"/>
      <c r="AI1029" s="90"/>
      <c r="AJ1029" s="36"/>
      <c r="AK1029" s="36"/>
      <c r="AN1029" s="36"/>
      <c r="AO1029" s="36"/>
    </row>
    <row r="1030" spans="4:41" s="5" customFormat="1">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c r="AA1030" s="36"/>
      <c r="AB1030" s="36"/>
      <c r="AC1030" s="36"/>
      <c r="AD1030" s="36"/>
      <c r="AE1030" s="36"/>
      <c r="AF1030" s="36"/>
      <c r="AG1030" s="36"/>
      <c r="AH1030" s="90"/>
      <c r="AI1030" s="90"/>
      <c r="AJ1030" s="36"/>
      <c r="AK1030" s="36"/>
      <c r="AN1030" s="36"/>
      <c r="AO1030" s="36"/>
    </row>
    <row r="1031" spans="4:41" s="5" customFormat="1">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c r="AA1031" s="36"/>
      <c r="AB1031" s="36"/>
      <c r="AC1031" s="36"/>
      <c r="AD1031" s="36"/>
      <c r="AE1031" s="36"/>
      <c r="AF1031" s="36"/>
      <c r="AG1031" s="36"/>
      <c r="AH1031" s="90"/>
      <c r="AI1031" s="90"/>
      <c r="AJ1031" s="36"/>
      <c r="AK1031" s="36"/>
      <c r="AN1031" s="36"/>
      <c r="AO1031" s="36"/>
    </row>
    <row r="1032" spans="4:41" s="5" customFormat="1">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c r="AA1032" s="36"/>
      <c r="AB1032" s="36"/>
      <c r="AC1032" s="36"/>
      <c r="AD1032" s="36"/>
      <c r="AE1032" s="36"/>
      <c r="AF1032" s="36"/>
      <c r="AG1032" s="36"/>
      <c r="AH1032" s="90"/>
      <c r="AI1032" s="90"/>
      <c r="AJ1032" s="36"/>
      <c r="AK1032" s="36"/>
      <c r="AN1032" s="36"/>
      <c r="AO1032" s="36"/>
    </row>
    <row r="1033" spans="4:41" s="5" customFormat="1">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c r="AA1033" s="36"/>
      <c r="AB1033" s="36"/>
      <c r="AC1033" s="36"/>
      <c r="AD1033" s="36"/>
      <c r="AE1033" s="36"/>
      <c r="AF1033" s="36"/>
      <c r="AG1033" s="36"/>
      <c r="AH1033" s="90"/>
      <c r="AI1033" s="90"/>
      <c r="AJ1033" s="36"/>
      <c r="AK1033" s="36"/>
      <c r="AN1033" s="36"/>
      <c r="AO1033" s="36"/>
    </row>
    <row r="1034" spans="4:41" s="5" customFormat="1">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c r="AA1034" s="36"/>
      <c r="AB1034" s="36"/>
      <c r="AC1034" s="36"/>
      <c r="AD1034" s="36"/>
      <c r="AE1034" s="36"/>
      <c r="AF1034" s="36"/>
      <c r="AG1034" s="36"/>
      <c r="AH1034" s="90"/>
      <c r="AI1034" s="90"/>
      <c r="AJ1034" s="36"/>
      <c r="AK1034" s="36"/>
      <c r="AN1034" s="36"/>
      <c r="AO1034" s="36"/>
    </row>
    <row r="1035" spans="4:41" s="5" customFormat="1">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c r="AA1035" s="36"/>
      <c r="AB1035" s="36"/>
      <c r="AC1035" s="36"/>
      <c r="AD1035" s="36"/>
      <c r="AE1035" s="36"/>
      <c r="AF1035" s="36"/>
      <c r="AG1035" s="36"/>
      <c r="AH1035" s="90"/>
      <c r="AI1035" s="90"/>
      <c r="AJ1035" s="36"/>
      <c r="AK1035" s="36"/>
      <c r="AN1035" s="36"/>
      <c r="AO1035" s="36"/>
    </row>
    <row r="1036" spans="4:41" s="5" customFormat="1">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c r="AA1036" s="36"/>
      <c r="AB1036" s="36"/>
      <c r="AC1036" s="36"/>
      <c r="AD1036" s="36"/>
      <c r="AE1036" s="36"/>
      <c r="AF1036" s="36"/>
      <c r="AG1036" s="36"/>
      <c r="AH1036" s="90"/>
      <c r="AI1036" s="90"/>
      <c r="AJ1036" s="36"/>
      <c r="AK1036" s="36"/>
      <c r="AN1036" s="36"/>
      <c r="AO1036" s="36"/>
    </row>
    <row r="1037" spans="4:41" s="5" customFormat="1">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c r="AA1037" s="36"/>
      <c r="AB1037" s="36"/>
      <c r="AC1037" s="36"/>
      <c r="AD1037" s="36"/>
      <c r="AE1037" s="36"/>
      <c r="AF1037" s="36"/>
      <c r="AG1037" s="36"/>
      <c r="AH1037" s="90"/>
      <c r="AI1037" s="90"/>
      <c r="AJ1037" s="36"/>
      <c r="AK1037" s="36"/>
      <c r="AN1037" s="36"/>
      <c r="AO1037" s="36"/>
    </row>
    <row r="1038" spans="4:41" s="5" customFormat="1">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c r="AA1038" s="36"/>
      <c r="AB1038" s="36"/>
      <c r="AC1038" s="36"/>
      <c r="AD1038" s="36"/>
      <c r="AE1038" s="36"/>
      <c r="AF1038" s="36"/>
      <c r="AG1038" s="36"/>
      <c r="AH1038" s="90"/>
      <c r="AI1038" s="90"/>
      <c r="AJ1038" s="36"/>
      <c r="AK1038" s="36"/>
      <c r="AN1038" s="36"/>
      <c r="AO1038" s="36"/>
    </row>
    <row r="1039" spans="4:41" s="5" customFormat="1">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c r="AA1039" s="36"/>
      <c r="AB1039" s="36"/>
      <c r="AC1039" s="36"/>
      <c r="AD1039" s="36"/>
      <c r="AE1039" s="36"/>
      <c r="AF1039" s="36"/>
      <c r="AG1039" s="36"/>
      <c r="AH1039" s="90"/>
      <c r="AI1039" s="90"/>
      <c r="AJ1039" s="36"/>
      <c r="AK1039" s="36"/>
      <c r="AN1039" s="36"/>
      <c r="AO1039" s="36"/>
    </row>
    <row r="1040" spans="4:41" s="5" customFormat="1">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c r="Z1040" s="36"/>
      <c r="AA1040" s="36"/>
      <c r="AB1040" s="36"/>
      <c r="AC1040" s="36"/>
      <c r="AD1040" s="36"/>
      <c r="AE1040" s="36"/>
      <c r="AF1040" s="36"/>
      <c r="AG1040" s="36"/>
      <c r="AH1040" s="90"/>
      <c r="AI1040" s="90"/>
      <c r="AJ1040" s="36"/>
      <c r="AK1040" s="36"/>
      <c r="AN1040" s="36"/>
      <c r="AO1040" s="36"/>
    </row>
    <row r="1041" spans="4:41" s="5" customFormat="1">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c r="Z1041" s="36"/>
      <c r="AA1041" s="36"/>
      <c r="AB1041" s="36"/>
      <c r="AC1041" s="36"/>
      <c r="AD1041" s="36"/>
      <c r="AE1041" s="36"/>
      <c r="AF1041" s="36"/>
      <c r="AG1041" s="36"/>
      <c r="AH1041" s="90"/>
      <c r="AI1041" s="90"/>
      <c r="AJ1041" s="36"/>
      <c r="AK1041" s="36"/>
      <c r="AN1041" s="36"/>
      <c r="AO1041" s="36"/>
    </row>
    <row r="1042" spans="4:41" s="5" customFormat="1">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c r="Z1042" s="36"/>
      <c r="AA1042" s="36"/>
      <c r="AB1042" s="36"/>
      <c r="AC1042" s="36"/>
      <c r="AD1042" s="36"/>
      <c r="AE1042" s="36"/>
      <c r="AF1042" s="36"/>
      <c r="AG1042" s="36"/>
      <c r="AH1042" s="90"/>
      <c r="AI1042" s="90"/>
      <c r="AJ1042" s="36"/>
      <c r="AK1042" s="36"/>
      <c r="AN1042" s="36"/>
      <c r="AO1042" s="36"/>
    </row>
    <row r="1043" spans="4:41" s="5" customFormat="1">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c r="Z1043" s="36"/>
      <c r="AA1043" s="36"/>
      <c r="AB1043" s="36"/>
      <c r="AC1043" s="36"/>
      <c r="AD1043" s="36"/>
      <c r="AE1043" s="36"/>
      <c r="AF1043" s="36"/>
      <c r="AG1043" s="36"/>
      <c r="AH1043" s="90"/>
      <c r="AI1043" s="90"/>
      <c r="AJ1043" s="36"/>
      <c r="AK1043" s="36"/>
      <c r="AN1043" s="36"/>
      <c r="AO1043" s="36"/>
    </row>
    <row r="1044" spans="4:41" s="5" customFormat="1">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c r="Z1044" s="36"/>
      <c r="AA1044" s="36"/>
      <c r="AB1044" s="36"/>
      <c r="AC1044" s="36"/>
      <c r="AD1044" s="36"/>
      <c r="AE1044" s="36"/>
      <c r="AF1044" s="36"/>
      <c r="AG1044" s="36"/>
      <c r="AH1044" s="90"/>
      <c r="AI1044" s="90"/>
      <c r="AJ1044" s="36"/>
      <c r="AK1044" s="36"/>
      <c r="AN1044" s="36"/>
      <c r="AO1044" s="36"/>
    </row>
    <row r="1045" spans="4:41" s="5" customFormat="1">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c r="Z1045" s="36"/>
      <c r="AA1045" s="36"/>
      <c r="AB1045" s="36"/>
      <c r="AC1045" s="36"/>
      <c r="AD1045" s="36"/>
      <c r="AE1045" s="36"/>
      <c r="AF1045" s="36"/>
      <c r="AG1045" s="36"/>
      <c r="AH1045" s="90"/>
      <c r="AI1045" s="90"/>
      <c r="AJ1045" s="36"/>
      <c r="AK1045" s="36"/>
      <c r="AN1045" s="36"/>
      <c r="AO1045" s="36"/>
    </row>
    <row r="1046" spans="4:41" s="5" customFormat="1">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c r="Z1046" s="36"/>
      <c r="AA1046" s="36"/>
      <c r="AB1046" s="36"/>
      <c r="AC1046" s="36"/>
      <c r="AD1046" s="36"/>
      <c r="AE1046" s="36"/>
      <c r="AF1046" s="36"/>
      <c r="AG1046" s="36"/>
      <c r="AH1046" s="90"/>
      <c r="AI1046" s="90"/>
      <c r="AJ1046" s="36"/>
      <c r="AK1046" s="36"/>
      <c r="AN1046" s="36"/>
      <c r="AO1046" s="36"/>
    </row>
    <row r="1047" spans="4:41" s="5" customFormat="1">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c r="Z1047" s="36"/>
      <c r="AA1047" s="36"/>
      <c r="AB1047" s="36"/>
      <c r="AC1047" s="36"/>
      <c r="AD1047" s="36"/>
      <c r="AE1047" s="36"/>
      <c r="AF1047" s="36"/>
      <c r="AG1047" s="36"/>
      <c r="AH1047" s="90"/>
      <c r="AI1047" s="90"/>
      <c r="AJ1047" s="36"/>
      <c r="AK1047" s="36"/>
      <c r="AN1047" s="36"/>
      <c r="AO1047" s="36"/>
    </row>
    <row r="1048" spans="4:41" s="5" customFormat="1">
      <c r="D1048" s="36"/>
      <c r="E1048" s="36"/>
      <c r="F1048" s="36"/>
      <c r="G1048" s="36"/>
      <c r="H1048" s="36"/>
      <c r="I1048" s="36"/>
      <c r="J1048" s="36"/>
      <c r="K1048" s="36"/>
      <c r="L1048" s="36"/>
      <c r="M1048" s="36"/>
      <c r="N1048" s="36"/>
      <c r="O1048" s="36"/>
      <c r="P1048" s="36"/>
      <c r="Q1048" s="36"/>
      <c r="R1048" s="36"/>
      <c r="S1048" s="36"/>
      <c r="T1048" s="36"/>
      <c r="U1048" s="36"/>
      <c r="V1048" s="36"/>
      <c r="W1048" s="36"/>
      <c r="X1048" s="36"/>
      <c r="Y1048" s="36"/>
      <c r="Z1048" s="36"/>
      <c r="AA1048" s="36"/>
      <c r="AB1048" s="36"/>
      <c r="AC1048" s="36"/>
      <c r="AD1048" s="36"/>
      <c r="AE1048" s="36"/>
      <c r="AF1048" s="36"/>
      <c r="AG1048" s="36"/>
      <c r="AH1048" s="90"/>
      <c r="AI1048" s="90"/>
      <c r="AJ1048" s="36"/>
      <c r="AK1048" s="36"/>
      <c r="AN1048" s="36"/>
      <c r="AO1048" s="36"/>
    </row>
    <row r="1049" spans="4:41" s="5" customFormat="1">
      <c r="D1049" s="36"/>
      <c r="E1049" s="36"/>
      <c r="F1049" s="36"/>
      <c r="G1049" s="36"/>
      <c r="H1049" s="36"/>
      <c r="I1049" s="36"/>
      <c r="J1049" s="36"/>
      <c r="K1049" s="36"/>
      <c r="L1049" s="36"/>
      <c r="M1049" s="36"/>
      <c r="N1049" s="36"/>
      <c r="O1049" s="36"/>
      <c r="P1049" s="36"/>
      <c r="Q1049" s="36"/>
      <c r="R1049" s="36"/>
      <c r="S1049" s="36"/>
      <c r="T1049" s="36"/>
      <c r="U1049" s="36"/>
      <c r="V1049" s="36"/>
      <c r="W1049" s="36"/>
      <c r="X1049" s="36"/>
      <c r="Y1049" s="36"/>
      <c r="Z1049" s="36"/>
      <c r="AA1049" s="36"/>
      <c r="AB1049" s="36"/>
      <c r="AC1049" s="36"/>
      <c r="AD1049" s="36"/>
      <c r="AE1049" s="36"/>
      <c r="AF1049" s="36"/>
      <c r="AG1049" s="36"/>
      <c r="AH1049" s="90"/>
      <c r="AI1049" s="90"/>
      <c r="AJ1049" s="36"/>
      <c r="AK1049" s="36"/>
      <c r="AN1049" s="36"/>
      <c r="AO1049" s="36"/>
    </row>
    <row r="1050" spans="4:41" s="5" customFormat="1">
      <c r="D1050" s="36"/>
      <c r="E1050" s="36"/>
      <c r="F1050" s="36"/>
      <c r="G1050" s="36"/>
      <c r="H1050" s="36"/>
      <c r="I1050" s="36"/>
      <c r="J1050" s="36"/>
      <c r="K1050" s="36"/>
      <c r="L1050" s="36"/>
      <c r="M1050" s="36"/>
      <c r="N1050" s="36"/>
      <c r="O1050" s="36"/>
      <c r="P1050" s="36"/>
      <c r="Q1050" s="36"/>
      <c r="R1050" s="36"/>
      <c r="S1050" s="36"/>
      <c r="T1050" s="36"/>
      <c r="U1050" s="36"/>
      <c r="V1050" s="36"/>
      <c r="W1050" s="36"/>
      <c r="X1050" s="36"/>
      <c r="Y1050" s="36"/>
      <c r="Z1050" s="36"/>
      <c r="AA1050" s="36"/>
      <c r="AB1050" s="36"/>
      <c r="AC1050" s="36"/>
      <c r="AD1050" s="36"/>
      <c r="AE1050" s="36"/>
      <c r="AF1050" s="36"/>
      <c r="AG1050" s="36"/>
      <c r="AH1050" s="90"/>
      <c r="AI1050" s="90"/>
      <c r="AJ1050" s="36"/>
      <c r="AK1050" s="36"/>
      <c r="AN1050" s="36"/>
      <c r="AO1050" s="36"/>
    </row>
    <row r="1051" spans="4:41" s="5" customFormat="1">
      <c r="D1051" s="36"/>
      <c r="E1051" s="36"/>
      <c r="F1051" s="36"/>
      <c r="G1051" s="36"/>
      <c r="H1051" s="36"/>
      <c r="I1051" s="36"/>
      <c r="J1051" s="36"/>
      <c r="K1051" s="36"/>
      <c r="L1051" s="36"/>
      <c r="M1051" s="36"/>
      <c r="N1051" s="36"/>
      <c r="O1051" s="36"/>
      <c r="P1051" s="36"/>
      <c r="Q1051" s="36"/>
      <c r="R1051" s="36"/>
      <c r="S1051" s="36"/>
      <c r="T1051" s="36"/>
      <c r="U1051" s="36"/>
      <c r="V1051" s="36"/>
      <c r="W1051" s="36"/>
      <c r="X1051" s="36"/>
      <c r="Y1051" s="36"/>
      <c r="Z1051" s="36"/>
      <c r="AA1051" s="36"/>
      <c r="AB1051" s="36"/>
      <c r="AC1051" s="36"/>
      <c r="AD1051" s="36"/>
      <c r="AE1051" s="36"/>
      <c r="AF1051" s="36"/>
      <c r="AG1051" s="36"/>
      <c r="AH1051" s="90"/>
      <c r="AI1051" s="90"/>
      <c r="AJ1051" s="36"/>
      <c r="AK1051" s="36"/>
      <c r="AN1051" s="36"/>
      <c r="AO1051" s="36"/>
    </row>
    <row r="1052" spans="4:41" s="5" customFormat="1">
      <c r="D1052" s="36"/>
      <c r="E1052" s="36"/>
      <c r="F1052" s="36"/>
      <c r="G1052" s="36"/>
      <c r="H1052" s="36"/>
      <c r="I1052" s="36"/>
      <c r="J1052" s="36"/>
      <c r="K1052" s="36"/>
      <c r="L1052" s="36"/>
      <c r="M1052" s="36"/>
      <c r="N1052" s="36"/>
      <c r="O1052" s="36"/>
      <c r="P1052" s="36"/>
      <c r="Q1052" s="36"/>
      <c r="R1052" s="36"/>
      <c r="S1052" s="36"/>
      <c r="T1052" s="36"/>
      <c r="U1052" s="36"/>
      <c r="V1052" s="36"/>
      <c r="W1052" s="36"/>
      <c r="X1052" s="36"/>
      <c r="Y1052" s="36"/>
      <c r="Z1052" s="36"/>
      <c r="AA1052" s="36"/>
      <c r="AB1052" s="36"/>
      <c r="AC1052" s="36"/>
      <c r="AD1052" s="36"/>
      <c r="AE1052" s="36"/>
      <c r="AF1052" s="36"/>
      <c r="AG1052" s="36"/>
      <c r="AH1052" s="90"/>
      <c r="AI1052" s="90"/>
      <c r="AJ1052" s="36"/>
      <c r="AK1052" s="36"/>
      <c r="AN1052" s="36"/>
      <c r="AO1052" s="36"/>
    </row>
    <row r="1053" spans="4:41" s="5" customFormat="1">
      <c r="D1053" s="36"/>
      <c r="E1053" s="36"/>
      <c r="F1053" s="36"/>
      <c r="G1053" s="36"/>
      <c r="H1053" s="36"/>
      <c r="I1053" s="36"/>
      <c r="J1053" s="36"/>
      <c r="K1053" s="36"/>
      <c r="L1053" s="36"/>
      <c r="M1053" s="36"/>
      <c r="N1053" s="36"/>
      <c r="O1053" s="36"/>
      <c r="P1053" s="36"/>
      <c r="Q1053" s="36"/>
      <c r="R1053" s="36"/>
      <c r="S1053" s="36"/>
      <c r="T1053" s="36"/>
      <c r="U1053" s="36"/>
      <c r="V1053" s="36"/>
      <c r="W1053" s="36"/>
      <c r="X1053" s="36"/>
      <c r="Y1053" s="36"/>
      <c r="Z1053" s="36"/>
      <c r="AA1053" s="36"/>
      <c r="AB1053" s="36"/>
      <c r="AC1053" s="36"/>
      <c r="AD1053" s="36"/>
      <c r="AE1053" s="36"/>
      <c r="AF1053" s="36"/>
      <c r="AG1053" s="36"/>
      <c r="AH1053" s="90"/>
      <c r="AI1053" s="90"/>
      <c r="AJ1053" s="36"/>
      <c r="AK1053" s="36"/>
      <c r="AN1053" s="36"/>
      <c r="AO1053" s="36"/>
    </row>
    <row r="1054" spans="4:41" s="5" customFormat="1">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c r="Z1054" s="36"/>
      <c r="AA1054" s="36"/>
      <c r="AB1054" s="36"/>
      <c r="AC1054" s="36"/>
      <c r="AD1054" s="36"/>
      <c r="AE1054" s="36"/>
      <c r="AF1054" s="36"/>
      <c r="AG1054" s="36"/>
      <c r="AH1054" s="90"/>
      <c r="AI1054" s="90"/>
      <c r="AJ1054" s="36"/>
      <c r="AK1054" s="36"/>
      <c r="AN1054" s="36"/>
      <c r="AO1054" s="36"/>
    </row>
    <row r="1055" spans="4:41" s="5" customFormat="1">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c r="Z1055" s="36"/>
      <c r="AA1055" s="36"/>
      <c r="AB1055" s="36"/>
      <c r="AC1055" s="36"/>
      <c r="AD1055" s="36"/>
      <c r="AE1055" s="36"/>
      <c r="AF1055" s="36"/>
      <c r="AG1055" s="36"/>
      <c r="AH1055" s="90"/>
      <c r="AI1055" s="90"/>
      <c r="AJ1055" s="36"/>
      <c r="AK1055" s="36"/>
      <c r="AN1055" s="36"/>
      <c r="AO1055" s="36"/>
    </row>
    <row r="1056" spans="4:41" s="5" customFormat="1">
      <c r="D1056" s="36"/>
      <c r="E1056" s="36"/>
      <c r="F1056" s="36"/>
      <c r="G1056" s="36"/>
      <c r="H1056" s="36"/>
      <c r="I1056" s="36"/>
      <c r="J1056" s="36"/>
      <c r="K1056" s="36"/>
      <c r="L1056" s="36"/>
      <c r="M1056" s="36"/>
      <c r="N1056" s="36"/>
      <c r="O1056" s="36"/>
      <c r="P1056" s="36"/>
      <c r="Q1056" s="36"/>
      <c r="R1056" s="36"/>
      <c r="S1056" s="36"/>
      <c r="T1056" s="36"/>
      <c r="U1056" s="36"/>
      <c r="V1056" s="36"/>
      <c r="W1056" s="36"/>
      <c r="X1056" s="36"/>
      <c r="Y1056" s="36"/>
      <c r="Z1056" s="36"/>
      <c r="AA1056" s="36"/>
      <c r="AB1056" s="36"/>
      <c r="AC1056" s="36"/>
      <c r="AD1056" s="36"/>
      <c r="AE1056" s="36"/>
      <c r="AF1056" s="36"/>
      <c r="AG1056" s="36"/>
      <c r="AH1056" s="90"/>
      <c r="AI1056" s="90"/>
      <c r="AJ1056" s="36"/>
      <c r="AK1056" s="36"/>
      <c r="AN1056" s="36"/>
      <c r="AO1056" s="36"/>
    </row>
    <row r="1057" spans="4:41" s="5" customFormat="1">
      <c r="D1057" s="36"/>
      <c r="E1057" s="36"/>
      <c r="F1057" s="36"/>
      <c r="G1057" s="36"/>
      <c r="H1057" s="36"/>
      <c r="I1057" s="36"/>
      <c r="J1057" s="36"/>
      <c r="K1057" s="36"/>
      <c r="L1057" s="36"/>
      <c r="M1057" s="36"/>
      <c r="N1057" s="36"/>
      <c r="O1057" s="36"/>
      <c r="P1057" s="36"/>
      <c r="Q1057" s="36"/>
      <c r="R1057" s="36"/>
      <c r="S1057" s="36"/>
      <c r="T1057" s="36"/>
      <c r="U1057" s="36"/>
      <c r="V1057" s="36"/>
      <c r="W1057" s="36"/>
      <c r="X1057" s="36"/>
      <c r="Y1057" s="36"/>
      <c r="Z1057" s="36"/>
      <c r="AA1057" s="36"/>
      <c r="AB1057" s="36"/>
      <c r="AC1057" s="36"/>
      <c r="AD1057" s="36"/>
      <c r="AE1057" s="36"/>
      <c r="AF1057" s="36"/>
      <c r="AG1057" s="36"/>
      <c r="AH1057" s="90"/>
      <c r="AI1057" s="90"/>
      <c r="AJ1057" s="36"/>
      <c r="AK1057" s="36"/>
      <c r="AN1057" s="36"/>
      <c r="AO1057" s="36"/>
    </row>
    <row r="1058" spans="4:41" s="5" customFormat="1">
      <c r="D1058" s="36"/>
      <c r="E1058" s="36"/>
      <c r="F1058" s="36"/>
      <c r="G1058" s="36"/>
      <c r="H1058" s="36"/>
      <c r="I1058" s="36"/>
      <c r="J1058" s="36"/>
      <c r="K1058" s="36"/>
      <c r="L1058" s="36"/>
      <c r="M1058" s="36"/>
      <c r="N1058" s="36"/>
      <c r="O1058" s="36"/>
      <c r="P1058" s="36"/>
      <c r="Q1058" s="36"/>
      <c r="R1058" s="36"/>
      <c r="S1058" s="36"/>
      <c r="T1058" s="36"/>
      <c r="U1058" s="36"/>
      <c r="V1058" s="36"/>
      <c r="W1058" s="36"/>
      <c r="X1058" s="36"/>
      <c r="Y1058" s="36"/>
      <c r="Z1058" s="36"/>
      <c r="AA1058" s="36"/>
      <c r="AB1058" s="36"/>
      <c r="AC1058" s="36"/>
      <c r="AD1058" s="36"/>
      <c r="AE1058" s="36"/>
      <c r="AF1058" s="36"/>
      <c r="AG1058" s="36"/>
      <c r="AH1058" s="90"/>
      <c r="AI1058" s="90"/>
      <c r="AJ1058" s="36"/>
      <c r="AK1058" s="36"/>
      <c r="AN1058" s="36"/>
      <c r="AO1058" s="36"/>
    </row>
    <row r="1059" spans="4:41" s="5" customFormat="1">
      <c r="D1059" s="36"/>
      <c r="E1059" s="36"/>
      <c r="F1059" s="36"/>
      <c r="G1059" s="36"/>
      <c r="H1059" s="36"/>
      <c r="I1059" s="36"/>
      <c r="J1059" s="36"/>
      <c r="K1059" s="36"/>
      <c r="L1059" s="36"/>
      <c r="M1059" s="36"/>
      <c r="N1059" s="36"/>
      <c r="O1059" s="36"/>
      <c r="P1059" s="36"/>
      <c r="Q1059" s="36"/>
      <c r="R1059" s="36"/>
      <c r="S1059" s="36"/>
      <c r="T1059" s="36"/>
      <c r="U1059" s="36"/>
      <c r="V1059" s="36"/>
      <c r="W1059" s="36"/>
      <c r="X1059" s="36"/>
      <c r="Y1059" s="36"/>
      <c r="Z1059" s="36"/>
      <c r="AA1059" s="36"/>
      <c r="AB1059" s="36"/>
      <c r="AC1059" s="36"/>
      <c r="AD1059" s="36"/>
      <c r="AE1059" s="36"/>
      <c r="AF1059" s="36"/>
      <c r="AG1059" s="36"/>
      <c r="AH1059" s="90"/>
      <c r="AI1059" s="90"/>
      <c r="AJ1059" s="36"/>
      <c r="AK1059" s="36"/>
      <c r="AN1059" s="36"/>
      <c r="AO1059" s="36"/>
    </row>
    <row r="1060" spans="4:41" s="5" customFormat="1">
      <c r="D1060" s="36"/>
      <c r="E1060" s="36"/>
      <c r="F1060" s="36"/>
      <c r="G1060" s="36"/>
      <c r="H1060" s="36"/>
      <c r="I1060" s="36"/>
      <c r="J1060" s="36"/>
      <c r="K1060" s="36"/>
      <c r="L1060" s="36"/>
      <c r="M1060" s="36"/>
      <c r="N1060" s="36"/>
      <c r="O1060" s="36"/>
      <c r="P1060" s="36"/>
      <c r="Q1060" s="36"/>
      <c r="R1060" s="36"/>
      <c r="S1060" s="36"/>
      <c r="T1060" s="36"/>
      <c r="U1060" s="36"/>
      <c r="V1060" s="36"/>
      <c r="W1060" s="36"/>
      <c r="X1060" s="36"/>
      <c r="Y1060" s="36"/>
      <c r="Z1060" s="36"/>
      <c r="AA1060" s="36"/>
      <c r="AB1060" s="36"/>
      <c r="AC1060" s="36"/>
      <c r="AD1060" s="36"/>
      <c r="AE1060" s="36"/>
      <c r="AF1060" s="36"/>
      <c r="AG1060" s="36"/>
      <c r="AH1060" s="90"/>
      <c r="AI1060" s="90"/>
      <c r="AJ1060" s="36"/>
      <c r="AK1060" s="36"/>
      <c r="AN1060" s="36"/>
      <c r="AO1060" s="36"/>
    </row>
    <row r="1061" spans="4:41" s="5" customFormat="1">
      <c r="D1061" s="36"/>
      <c r="E1061" s="36"/>
      <c r="F1061" s="36"/>
      <c r="G1061" s="36"/>
      <c r="H1061" s="36"/>
      <c r="I1061" s="36"/>
      <c r="J1061" s="36"/>
      <c r="K1061" s="36"/>
      <c r="L1061" s="36"/>
      <c r="M1061" s="36"/>
      <c r="N1061" s="36"/>
      <c r="O1061" s="36"/>
      <c r="P1061" s="36"/>
      <c r="Q1061" s="36"/>
      <c r="R1061" s="36"/>
      <c r="S1061" s="36"/>
      <c r="T1061" s="36"/>
      <c r="U1061" s="36"/>
      <c r="V1061" s="36"/>
      <c r="W1061" s="36"/>
      <c r="X1061" s="36"/>
      <c r="Y1061" s="36"/>
      <c r="Z1061" s="36"/>
      <c r="AA1061" s="36"/>
      <c r="AB1061" s="36"/>
      <c r="AC1061" s="36"/>
      <c r="AD1061" s="36"/>
      <c r="AE1061" s="36"/>
      <c r="AF1061" s="36"/>
      <c r="AG1061" s="36"/>
      <c r="AH1061" s="90"/>
      <c r="AI1061" s="90"/>
      <c r="AJ1061" s="36"/>
      <c r="AK1061" s="36"/>
      <c r="AN1061" s="36"/>
      <c r="AO1061" s="36"/>
    </row>
    <row r="1062" spans="4:41" s="5" customFormat="1">
      <c r="D1062" s="36"/>
      <c r="E1062" s="36"/>
      <c r="F1062" s="36"/>
      <c r="G1062" s="36"/>
      <c r="H1062" s="36"/>
      <c r="I1062" s="36"/>
      <c r="J1062" s="36"/>
      <c r="K1062" s="36"/>
      <c r="L1062" s="36"/>
      <c r="M1062" s="36"/>
      <c r="N1062" s="36"/>
      <c r="O1062" s="36"/>
      <c r="P1062" s="36"/>
      <c r="Q1062" s="36"/>
      <c r="R1062" s="36"/>
      <c r="S1062" s="36"/>
      <c r="T1062" s="36"/>
      <c r="U1062" s="36"/>
      <c r="V1062" s="36"/>
      <c r="W1062" s="36"/>
      <c r="X1062" s="36"/>
      <c r="Y1062" s="36"/>
      <c r="Z1062" s="36"/>
      <c r="AA1062" s="36"/>
      <c r="AB1062" s="36"/>
      <c r="AC1062" s="36"/>
      <c r="AD1062" s="36"/>
      <c r="AE1062" s="36"/>
      <c r="AF1062" s="36"/>
      <c r="AG1062" s="36"/>
      <c r="AH1062" s="90"/>
      <c r="AI1062" s="90"/>
      <c r="AJ1062" s="36"/>
      <c r="AK1062" s="36"/>
      <c r="AN1062" s="36"/>
      <c r="AO1062" s="36"/>
    </row>
    <row r="1063" spans="4:41" s="5" customFormat="1">
      <c r="D1063" s="36"/>
      <c r="E1063" s="36"/>
      <c r="F1063" s="36"/>
      <c r="G1063" s="36"/>
      <c r="H1063" s="36"/>
      <c r="I1063" s="36"/>
      <c r="J1063" s="36"/>
      <c r="K1063" s="36"/>
      <c r="L1063" s="36"/>
      <c r="M1063" s="36"/>
      <c r="N1063" s="36"/>
      <c r="O1063" s="36"/>
      <c r="P1063" s="36"/>
      <c r="Q1063" s="36"/>
      <c r="R1063" s="36"/>
      <c r="S1063" s="36"/>
      <c r="T1063" s="36"/>
      <c r="U1063" s="36"/>
      <c r="V1063" s="36"/>
      <c r="W1063" s="36"/>
      <c r="X1063" s="36"/>
      <c r="Y1063" s="36"/>
      <c r="Z1063" s="36"/>
      <c r="AA1063" s="36"/>
      <c r="AB1063" s="36"/>
      <c r="AC1063" s="36"/>
      <c r="AD1063" s="36"/>
      <c r="AE1063" s="36"/>
      <c r="AF1063" s="36"/>
      <c r="AG1063" s="36"/>
      <c r="AH1063" s="90"/>
      <c r="AI1063" s="90"/>
      <c r="AJ1063" s="36"/>
      <c r="AK1063" s="36"/>
      <c r="AN1063" s="36"/>
      <c r="AO1063" s="36"/>
    </row>
    <row r="1064" spans="4:41" s="5" customFormat="1">
      <c r="D1064" s="36"/>
      <c r="E1064" s="36"/>
      <c r="F1064" s="36"/>
      <c r="G1064" s="36"/>
      <c r="H1064" s="36"/>
      <c r="I1064" s="36"/>
      <c r="J1064" s="36"/>
      <c r="K1064" s="36"/>
      <c r="L1064" s="36"/>
      <c r="M1064" s="36"/>
      <c r="N1064" s="36"/>
      <c r="O1064" s="36"/>
      <c r="P1064" s="36"/>
      <c r="Q1064" s="36"/>
      <c r="R1064" s="36"/>
      <c r="S1064" s="36"/>
      <c r="T1064" s="36"/>
      <c r="U1064" s="36"/>
      <c r="V1064" s="36"/>
      <c r="W1064" s="36"/>
      <c r="X1064" s="36"/>
      <c r="Y1064" s="36"/>
      <c r="Z1064" s="36"/>
      <c r="AA1064" s="36"/>
      <c r="AB1064" s="36"/>
      <c r="AC1064" s="36"/>
      <c r="AD1064" s="36"/>
      <c r="AE1064" s="36"/>
      <c r="AF1064" s="36"/>
      <c r="AG1064" s="36"/>
      <c r="AH1064" s="90"/>
      <c r="AI1064" s="90"/>
      <c r="AJ1064" s="36"/>
      <c r="AK1064" s="36"/>
      <c r="AN1064" s="36"/>
      <c r="AO1064" s="36"/>
    </row>
    <row r="1065" spans="4:41" s="5" customFormat="1">
      <c r="D1065" s="36"/>
      <c r="E1065" s="36"/>
      <c r="F1065" s="36"/>
      <c r="G1065" s="36"/>
      <c r="H1065" s="36"/>
      <c r="I1065" s="36"/>
      <c r="J1065" s="36"/>
      <c r="K1065" s="36"/>
      <c r="L1065" s="36"/>
      <c r="M1065" s="36"/>
      <c r="N1065" s="36"/>
      <c r="O1065" s="36"/>
      <c r="P1065" s="36"/>
      <c r="Q1065" s="36"/>
      <c r="R1065" s="36"/>
      <c r="S1065" s="36"/>
      <c r="T1065" s="36"/>
      <c r="U1065" s="36"/>
      <c r="V1065" s="36"/>
      <c r="W1065" s="36"/>
      <c r="X1065" s="36"/>
      <c r="Y1065" s="36"/>
      <c r="Z1065" s="36"/>
      <c r="AA1065" s="36"/>
      <c r="AB1065" s="36"/>
      <c r="AC1065" s="36"/>
      <c r="AD1065" s="36"/>
      <c r="AE1065" s="36"/>
      <c r="AF1065" s="36"/>
      <c r="AG1065" s="36"/>
      <c r="AH1065" s="90"/>
      <c r="AI1065" s="90"/>
      <c r="AJ1065" s="36"/>
      <c r="AK1065" s="36"/>
      <c r="AN1065" s="36"/>
      <c r="AO1065" s="36"/>
    </row>
    <row r="1066" spans="4:41" s="5" customFormat="1">
      <c r="D1066" s="36"/>
      <c r="E1066" s="36"/>
      <c r="F1066" s="36"/>
      <c r="G1066" s="36"/>
      <c r="H1066" s="36"/>
      <c r="I1066" s="36"/>
      <c r="J1066" s="36"/>
      <c r="K1066" s="36"/>
      <c r="L1066" s="36"/>
      <c r="M1066" s="36"/>
      <c r="N1066" s="36"/>
      <c r="O1066" s="36"/>
      <c r="P1066" s="36"/>
      <c r="Q1066" s="36"/>
      <c r="R1066" s="36"/>
      <c r="S1066" s="36"/>
      <c r="T1066" s="36"/>
      <c r="U1066" s="36"/>
      <c r="V1066" s="36"/>
      <c r="W1066" s="36"/>
      <c r="X1066" s="36"/>
      <c r="Y1066" s="36"/>
      <c r="Z1066" s="36"/>
      <c r="AA1066" s="36"/>
      <c r="AB1066" s="36"/>
      <c r="AC1066" s="36"/>
      <c r="AD1066" s="36"/>
      <c r="AE1066" s="36"/>
      <c r="AF1066" s="36"/>
      <c r="AG1066" s="36"/>
      <c r="AH1066" s="90"/>
      <c r="AI1066" s="90"/>
      <c r="AJ1066" s="36"/>
      <c r="AK1066" s="36"/>
      <c r="AN1066" s="36"/>
      <c r="AO1066" s="36"/>
    </row>
    <row r="1067" spans="4:41" s="5" customFormat="1">
      <c r="D1067" s="36"/>
      <c r="E1067" s="36"/>
      <c r="F1067" s="36"/>
      <c r="G1067" s="36"/>
      <c r="H1067" s="36"/>
      <c r="I1067" s="36"/>
      <c r="J1067" s="36"/>
      <c r="K1067" s="36"/>
      <c r="L1067" s="36"/>
      <c r="M1067" s="36"/>
      <c r="N1067" s="36"/>
      <c r="O1067" s="36"/>
      <c r="P1067" s="36"/>
      <c r="Q1067" s="36"/>
      <c r="R1067" s="36"/>
      <c r="S1067" s="36"/>
      <c r="T1067" s="36"/>
      <c r="U1067" s="36"/>
      <c r="V1067" s="36"/>
      <c r="W1067" s="36"/>
      <c r="X1067" s="36"/>
      <c r="Y1067" s="36"/>
      <c r="Z1067" s="36"/>
      <c r="AA1067" s="36"/>
      <c r="AB1067" s="36"/>
      <c r="AC1067" s="36"/>
      <c r="AD1067" s="36"/>
      <c r="AE1067" s="36"/>
      <c r="AF1067" s="36"/>
      <c r="AG1067" s="36"/>
      <c r="AH1067" s="90"/>
      <c r="AI1067" s="90"/>
      <c r="AJ1067" s="36"/>
      <c r="AK1067" s="36"/>
      <c r="AN1067" s="36"/>
      <c r="AO1067" s="36"/>
    </row>
    <row r="1068" spans="4:41" s="5" customFormat="1">
      <c r="D1068" s="36"/>
      <c r="E1068" s="36"/>
      <c r="F1068" s="36"/>
      <c r="G1068" s="36"/>
      <c r="H1068" s="36"/>
      <c r="I1068" s="36"/>
      <c r="J1068" s="36"/>
      <c r="K1068" s="36"/>
      <c r="L1068" s="36"/>
      <c r="M1068" s="36"/>
      <c r="N1068" s="36"/>
      <c r="O1068" s="36"/>
      <c r="P1068" s="36"/>
      <c r="Q1068" s="36"/>
      <c r="R1068" s="36"/>
      <c r="S1068" s="36"/>
      <c r="T1068" s="36"/>
      <c r="U1068" s="36"/>
      <c r="V1068" s="36"/>
      <c r="W1068" s="36"/>
      <c r="X1068" s="36"/>
      <c r="Y1068" s="36"/>
      <c r="Z1068" s="36"/>
      <c r="AA1068" s="36"/>
      <c r="AB1068" s="36"/>
      <c r="AC1068" s="36"/>
      <c r="AD1068" s="36"/>
      <c r="AE1068" s="36"/>
      <c r="AF1068" s="36"/>
      <c r="AG1068" s="36"/>
      <c r="AH1068" s="90"/>
      <c r="AI1068" s="90"/>
      <c r="AJ1068" s="36"/>
      <c r="AK1068" s="36"/>
      <c r="AN1068" s="36"/>
      <c r="AO1068" s="36"/>
    </row>
    <row r="1069" spans="4:41" s="5" customFormat="1">
      <c r="D1069" s="36"/>
      <c r="E1069" s="36"/>
      <c r="F1069" s="36"/>
      <c r="G1069" s="36"/>
      <c r="H1069" s="36"/>
      <c r="I1069" s="36"/>
      <c r="J1069" s="36"/>
      <c r="K1069" s="36"/>
      <c r="L1069" s="36"/>
      <c r="M1069" s="36"/>
      <c r="N1069" s="36"/>
      <c r="O1069" s="36"/>
      <c r="P1069" s="36"/>
      <c r="Q1069" s="36"/>
      <c r="R1069" s="36"/>
      <c r="S1069" s="36"/>
      <c r="T1069" s="36"/>
      <c r="U1069" s="36"/>
      <c r="V1069" s="36"/>
      <c r="W1069" s="36"/>
      <c r="X1069" s="36"/>
      <c r="Y1069" s="36"/>
      <c r="Z1069" s="36"/>
      <c r="AA1069" s="36"/>
      <c r="AB1069" s="36"/>
      <c r="AC1069" s="36"/>
      <c r="AD1069" s="36"/>
      <c r="AE1069" s="36"/>
      <c r="AF1069" s="36"/>
      <c r="AG1069" s="36"/>
      <c r="AH1069" s="90"/>
      <c r="AI1069" s="90"/>
      <c r="AJ1069" s="36"/>
      <c r="AK1069" s="36"/>
      <c r="AN1069" s="36"/>
      <c r="AO1069" s="36"/>
    </row>
    <row r="1070" spans="4:41" s="5" customFormat="1">
      <c r="D1070" s="36"/>
      <c r="E1070" s="36"/>
      <c r="F1070" s="36"/>
      <c r="G1070" s="36"/>
      <c r="H1070" s="36"/>
      <c r="I1070" s="36"/>
      <c r="J1070" s="36"/>
      <c r="K1070" s="36"/>
      <c r="L1070" s="36"/>
      <c r="M1070" s="36"/>
      <c r="N1070" s="36"/>
      <c r="O1070" s="36"/>
      <c r="P1070" s="36"/>
      <c r="Q1070" s="36"/>
      <c r="R1070" s="36"/>
      <c r="S1070" s="36"/>
      <c r="T1070" s="36"/>
      <c r="U1070" s="36"/>
      <c r="V1070" s="36"/>
      <c r="W1070" s="36"/>
      <c r="X1070" s="36"/>
      <c r="Y1070" s="36"/>
      <c r="Z1070" s="36"/>
      <c r="AA1070" s="36"/>
      <c r="AB1070" s="36"/>
      <c r="AC1070" s="36"/>
      <c r="AD1070" s="36"/>
      <c r="AE1070" s="36"/>
      <c r="AF1070" s="36"/>
      <c r="AG1070" s="36"/>
      <c r="AH1070" s="90"/>
      <c r="AI1070" s="90"/>
      <c r="AJ1070" s="36"/>
      <c r="AK1070" s="36"/>
      <c r="AN1070" s="36"/>
      <c r="AO1070" s="36"/>
    </row>
    <row r="1071" spans="4:41" s="5" customFormat="1">
      <c r="D1071" s="36"/>
      <c r="E1071" s="36"/>
      <c r="F1071" s="36"/>
      <c r="G1071" s="36"/>
      <c r="H1071" s="36"/>
      <c r="I1071" s="36"/>
      <c r="J1071" s="36"/>
      <c r="K1071" s="36"/>
      <c r="L1071" s="36"/>
      <c r="M1071" s="36"/>
      <c r="N1071" s="36"/>
      <c r="O1071" s="36"/>
      <c r="P1071" s="36"/>
      <c r="Q1071" s="36"/>
      <c r="R1071" s="36"/>
      <c r="S1071" s="36"/>
      <c r="T1071" s="36"/>
      <c r="U1071" s="36"/>
      <c r="V1071" s="36"/>
      <c r="W1071" s="36"/>
      <c r="X1071" s="36"/>
      <c r="Y1071" s="36"/>
      <c r="Z1071" s="36"/>
      <c r="AA1071" s="36"/>
      <c r="AB1071" s="36"/>
      <c r="AC1071" s="36"/>
      <c r="AD1071" s="36"/>
      <c r="AE1071" s="36"/>
      <c r="AF1071" s="36"/>
      <c r="AG1071" s="36"/>
      <c r="AH1071" s="90"/>
      <c r="AI1071" s="90"/>
      <c r="AJ1071" s="36"/>
      <c r="AK1071" s="36"/>
      <c r="AN1071" s="36"/>
      <c r="AO1071" s="36"/>
    </row>
    <row r="1072" spans="4:41" s="5" customFormat="1">
      <c r="D1072" s="36"/>
      <c r="E1072" s="36"/>
      <c r="F1072" s="36"/>
      <c r="G1072" s="36"/>
      <c r="H1072" s="36"/>
      <c r="I1072" s="36"/>
      <c r="J1072" s="36"/>
      <c r="K1072" s="36"/>
      <c r="L1072" s="36"/>
      <c r="M1072" s="36"/>
      <c r="N1072" s="36"/>
      <c r="O1072" s="36"/>
      <c r="P1072" s="36"/>
      <c r="Q1072" s="36"/>
      <c r="R1072" s="36"/>
      <c r="S1072" s="36"/>
      <c r="T1072" s="36"/>
      <c r="U1072" s="36"/>
      <c r="V1072" s="36"/>
      <c r="W1072" s="36"/>
      <c r="X1072" s="36"/>
      <c r="Y1072" s="36"/>
      <c r="Z1072" s="36"/>
      <c r="AA1072" s="36"/>
      <c r="AB1072" s="36"/>
      <c r="AC1072" s="36"/>
      <c r="AD1072" s="36"/>
      <c r="AE1072" s="36"/>
      <c r="AF1072" s="36"/>
      <c r="AG1072" s="36"/>
      <c r="AH1072" s="90"/>
      <c r="AI1072" s="90"/>
      <c r="AJ1072" s="36"/>
      <c r="AK1072" s="36"/>
      <c r="AN1072" s="36"/>
      <c r="AO1072" s="36"/>
    </row>
    <row r="1073" spans="4:41" s="5" customFormat="1">
      <c r="D1073" s="36"/>
      <c r="E1073" s="36"/>
      <c r="F1073" s="36"/>
      <c r="G1073" s="36"/>
      <c r="H1073" s="36"/>
      <c r="I1073" s="36"/>
      <c r="J1073" s="36"/>
      <c r="K1073" s="36"/>
      <c r="L1073" s="36"/>
      <c r="M1073" s="36"/>
      <c r="N1073" s="36"/>
      <c r="O1073" s="36"/>
      <c r="P1073" s="36"/>
      <c r="Q1073" s="36"/>
      <c r="R1073" s="36"/>
      <c r="S1073" s="36"/>
      <c r="T1073" s="36"/>
      <c r="U1073" s="36"/>
      <c r="V1073" s="36"/>
      <c r="W1073" s="36"/>
      <c r="X1073" s="36"/>
      <c r="Y1073" s="36"/>
      <c r="Z1073" s="36"/>
      <c r="AA1073" s="36"/>
      <c r="AB1073" s="36"/>
      <c r="AC1073" s="36"/>
      <c r="AD1073" s="36"/>
      <c r="AE1073" s="36"/>
      <c r="AF1073" s="36"/>
      <c r="AG1073" s="36"/>
      <c r="AH1073" s="90"/>
      <c r="AI1073" s="90"/>
      <c r="AJ1073" s="36"/>
      <c r="AK1073" s="36"/>
      <c r="AN1073" s="36"/>
      <c r="AO1073" s="36"/>
    </row>
    <row r="1074" spans="4:41" s="5" customFormat="1">
      <c r="D1074" s="36"/>
      <c r="E1074" s="36"/>
      <c r="F1074" s="36"/>
      <c r="G1074" s="36"/>
      <c r="H1074" s="36"/>
      <c r="I1074" s="36"/>
      <c r="J1074" s="36"/>
      <c r="K1074" s="36"/>
      <c r="L1074" s="36"/>
      <c r="M1074" s="36"/>
      <c r="N1074" s="36"/>
      <c r="O1074" s="36"/>
      <c r="P1074" s="36"/>
      <c r="Q1074" s="36"/>
      <c r="R1074" s="36"/>
      <c r="S1074" s="36"/>
      <c r="T1074" s="36"/>
      <c r="U1074" s="36"/>
      <c r="V1074" s="36"/>
      <c r="W1074" s="36"/>
      <c r="X1074" s="36"/>
      <c r="Y1074" s="36"/>
      <c r="Z1074" s="36"/>
      <c r="AA1074" s="36"/>
      <c r="AB1074" s="36"/>
      <c r="AC1074" s="36"/>
      <c r="AD1074" s="36"/>
      <c r="AE1074" s="36"/>
      <c r="AF1074" s="36"/>
      <c r="AG1074" s="36"/>
      <c r="AH1074" s="90"/>
      <c r="AI1074" s="90"/>
      <c r="AJ1074" s="36"/>
      <c r="AK1074" s="36"/>
      <c r="AN1074" s="36"/>
      <c r="AO1074" s="36"/>
    </row>
    <row r="1075" spans="4:41" s="5" customFormat="1">
      <c r="D1075" s="36"/>
      <c r="E1075" s="36"/>
      <c r="F1075" s="36"/>
      <c r="G1075" s="36"/>
      <c r="H1075" s="36"/>
      <c r="I1075" s="36"/>
      <c r="J1075" s="36"/>
      <c r="K1075" s="36"/>
      <c r="L1075" s="36"/>
      <c r="M1075" s="36"/>
      <c r="N1075" s="36"/>
      <c r="O1075" s="36"/>
      <c r="P1075" s="36"/>
      <c r="Q1075" s="36"/>
      <c r="R1075" s="36"/>
      <c r="S1075" s="36"/>
      <c r="T1075" s="36"/>
      <c r="U1075" s="36"/>
      <c r="V1075" s="36"/>
      <c r="W1075" s="36"/>
      <c r="X1075" s="36"/>
      <c r="Y1075" s="36"/>
      <c r="Z1075" s="36"/>
      <c r="AA1075" s="36"/>
      <c r="AB1075" s="36"/>
      <c r="AC1075" s="36"/>
      <c r="AD1075" s="36"/>
      <c r="AE1075" s="36"/>
      <c r="AF1075" s="36"/>
      <c r="AG1075" s="36"/>
      <c r="AH1075" s="90"/>
      <c r="AI1075" s="90"/>
      <c r="AJ1075" s="36"/>
      <c r="AK1075" s="36"/>
      <c r="AN1075" s="36"/>
      <c r="AO1075" s="36"/>
    </row>
    <row r="1076" spans="4:41" s="5" customFormat="1">
      <c r="D1076" s="36"/>
      <c r="E1076" s="36"/>
      <c r="F1076" s="36"/>
      <c r="G1076" s="36"/>
      <c r="H1076" s="36"/>
      <c r="I1076" s="36"/>
      <c r="J1076" s="36"/>
      <c r="K1076" s="36"/>
      <c r="L1076" s="36"/>
      <c r="M1076" s="36"/>
      <c r="N1076" s="36"/>
      <c r="O1076" s="36"/>
      <c r="P1076" s="36"/>
      <c r="Q1076" s="36"/>
      <c r="R1076" s="36"/>
      <c r="S1076" s="36"/>
      <c r="T1076" s="36"/>
      <c r="U1076" s="36"/>
      <c r="V1076" s="36"/>
      <c r="W1076" s="36"/>
      <c r="X1076" s="36"/>
      <c r="Y1076" s="36"/>
      <c r="Z1076" s="36"/>
      <c r="AA1076" s="36"/>
      <c r="AB1076" s="36"/>
      <c r="AC1076" s="36"/>
      <c r="AD1076" s="36"/>
      <c r="AE1076" s="36"/>
      <c r="AF1076" s="36"/>
      <c r="AG1076" s="36"/>
      <c r="AH1076" s="90"/>
      <c r="AI1076" s="90"/>
      <c r="AJ1076" s="36"/>
      <c r="AK1076" s="36"/>
      <c r="AN1076" s="36"/>
      <c r="AO1076" s="36"/>
    </row>
    <row r="1077" spans="4:41" s="5" customFormat="1">
      <c r="D1077" s="36"/>
      <c r="E1077" s="36"/>
      <c r="F1077" s="36"/>
      <c r="G1077" s="36"/>
      <c r="H1077" s="36"/>
      <c r="I1077" s="36"/>
      <c r="J1077" s="36"/>
      <c r="K1077" s="36"/>
      <c r="L1077" s="36"/>
      <c r="M1077" s="36"/>
      <c r="N1077" s="36"/>
      <c r="O1077" s="36"/>
      <c r="P1077" s="36"/>
      <c r="Q1077" s="36"/>
      <c r="R1077" s="36"/>
      <c r="S1077" s="36"/>
      <c r="T1077" s="36"/>
      <c r="U1077" s="36"/>
      <c r="V1077" s="36"/>
      <c r="W1077" s="36"/>
      <c r="X1077" s="36"/>
      <c r="Y1077" s="36"/>
      <c r="Z1077" s="36"/>
      <c r="AA1077" s="36"/>
      <c r="AB1077" s="36"/>
      <c r="AC1077" s="36"/>
      <c r="AD1077" s="36"/>
      <c r="AE1077" s="36"/>
      <c r="AF1077" s="36"/>
      <c r="AG1077" s="36"/>
      <c r="AH1077" s="90"/>
      <c r="AI1077" s="90"/>
      <c r="AJ1077" s="36"/>
      <c r="AK1077" s="36"/>
      <c r="AN1077" s="36"/>
      <c r="AO1077" s="36"/>
    </row>
    <row r="1078" spans="4:41" s="5" customFormat="1">
      <c r="D1078" s="36"/>
      <c r="E1078" s="36"/>
      <c r="F1078" s="36"/>
      <c r="G1078" s="36"/>
      <c r="H1078" s="36"/>
      <c r="I1078" s="36"/>
      <c r="J1078" s="36"/>
      <c r="K1078" s="36"/>
      <c r="L1078" s="36"/>
      <c r="M1078" s="36"/>
      <c r="N1078" s="36"/>
      <c r="O1078" s="36"/>
      <c r="P1078" s="36"/>
      <c r="Q1078" s="36"/>
      <c r="R1078" s="36"/>
      <c r="S1078" s="36"/>
      <c r="T1078" s="36"/>
      <c r="U1078" s="36"/>
      <c r="V1078" s="36"/>
      <c r="W1078" s="36"/>
      <c r="X1078" s="36"/>
      <c r="Y1078" s="36"/>
      <c r="Z1078" s="36"/>
      <c r="AA1078" s="36"/>
      <c r="AB1078" s="36"/>
      <c r="AC1078" s="36"/>
      <c r="AD1078" s="36"/>
      <c r="AE1078" s="36"/>
      <c r="AF1078" s="36"/>
      <c r="AG1078" s="36"/>
      <c r="AH1078" s="90"/>
      <c r="AI1078" s="90"/>
      <c r="AJ1078" s="36"/>
      <c r="AK1078" s="36"/>
      <c r="AN1078" s="36"/>
      <c r="AO1078" s="36"/>
    </row>
    <row r="1079" spans="4:41" s="5" customFormat="1">
      <c r="D1079" s="36"/>
      <c r="E1079" s="36"/>
      <c r="F1079" s="36"/>
      <c r="G1079" s="36"/>
      <c r="H1079" s="36"/>
      <c r="I1079" s="36"/>
      <c r="J1079" s="36"/>
      <c r="K1079" s="36"/>
      <c r="L1079" s="36"/>
      <c r="M1079" s="36"/>
      <c r="N1079" s="36"/>
      <c r="O1079" s="36"/>
      <c r="P1079" s="36"/>
      <c r="Q1079" s="36"/>
      <c r="R1079" s="36"/>
      <c r="S1079" s="36"/>
      <c r="T1079" s="36"/>
      <c r="U1079" s="36"/>
      <c r="V1079" s="36"/>
      <c r="W1079" s="36"/>
      <c r="X1079" s="36"/>
      <c r="Y1079" s="36"/>
      <c r="Z1079" s="36"/>
      <c r="AA1079" s="36"/>
      <c r="AB1079" s="36"/>
      <c r="AC1079" s="36"/>
      <c r="AD1079" s="36"/>
      <c r="AE1079" s="36"/>
      <c r="AF1079" s="36"/>
      <c r="AG1079" s="36"/>
      <c r="AH1079" s="90"/>
      <c r="AI1079" s="90"/>
      <c r="AJ1079" s="36"/>
      <c r="AK1079" s="36"/>
      <c r="AN1079" s="36"/>
      <c r="AO1079" s="36"/>
    </row>
    <row r="1080" spans="4:41" s="5" customFormat="1">
      <c r="D1080" s="36"/>
      <c r="E1080" s="36"/>
      <c r="F1080" s="36"/>
      <c r="G1080" s="36"/>
      <c r="H1080" s="36"/>
      <c r="I1080" s="36"/>
      <c r="J1080" s="36"/>
      <c r="K1080" s="36"/>
      <c r="L1080" s="36"/>
      <c r="M1080" s="36"/>
      <c r="N1080" s="36"/>
      <c r="O1080" s="36"/>
      <c r="P1080" s="36"/>
      <c r="Q1080" s="36"/>
      <c r="R1080" s="36"/>
      <c r="S1080" s="36"/>
      <c r="T1080" s="36"/>
      <c r="U1080" s="36"/>
      <c r="V1080" s="36"/>
      <c r="W1080" s="36"/>
      <c r="X1080" s="36"/>
      <c r="Y1080" s="36"/>
      <c r="Z1080" s="36"/>
      <c r="AA1080" s="36"/>
      <c r="AB1080" s="36"/>
      <c r="AC1080" s="36"/>
      <c r="AD1080" s="36"/>
      <c r="AE1080" s="36"/>
      <c r="AF1080" s="36"/>
      <c r="AG1080" s="36"/>
      <c r="AH1080" s="90"/>
      <c r="AI1080" s="90"/>
      <c r="AJ1080" s="36"/>
      <c r="AK1080" s="36"/>
      <c r="AN1080" s="36"/>
      <c r="AO1080" s="36"/>
    </row>
    <row r="1081" spans="4:41" s="5" customFormat="1">
      <c r="D1081" s="36"/>
      <c r="E1081" s="36"/>
      <c r="F1081" s="36"/>
      <c r="G1081" s="36"/>
      <c r="H1081" s="36"/>
      <c r="I1081" s="36"/>
      <c r="J1081" s="36"/>
      <c r="K1081" s="36"/>
      <c r="L1081" s="36"/>
      <c r="M1081" s="36"/>
      <c r="N1081" s="36"/>
      <c r="O1081" s="36"/>
      <c r="P1081" s="36"/>
      <c r="Q1081" s="36"/>
      <c r="R1081" s="36"/>
      <c r="S1081" s="36"/>
      <c r="T1081" s="36"/>
      <c r="U1081" s="36"/>
      <c r="V1081" s="36"/>
      <c r="W1081" s="36"/>
      <c r="X1081" s="36"/>
      <c r="Y1081" s="36"/>
      <c r="Z1081" s="36"/>
      <c r="AA1081" s="36"/>
      <c r="AB1081" s="36"/>
      <c r="AC1081" s="36"/>
      <c r="AD1081" s="36"/>
      <c r="AE1081" s="36"/>
      <c r="AF1081" s="36"/>
      <c r="AG1081" s="36"/>
      <c r="AH1081" s="90"/>
      <c r="AI1081" s="90"/>
      <c r="AJ1081" s="36"/>
      <c r="AK1081" s="36"/>
      <c r="AN1081" s="36"/>
      <c r="AO1081" s="36"/>
    </row>
    <row r="1082" spans="4:41" s="5" customFormat="1">
      <c r="D1082" s="36"/>
      <c r="E1082" s="36"/>
      <c r="F1082" s="36"/>
      <c r="G1082" s="36"/>
      <c r="H1082" s="36"/>
      <c r="I1082" s="36"/>
      <c r="J1082" s="36"/>
      <c r="K1082" s="36"/>
      <c r="L1082" s="36"/>
      <c r="M1082" s="36"/>
      <c r="N1082" s="36"/>
      <c r="O1082" s="36"/>
      <c r="P1082" s="36"/>
      <c r="Q1082" s="36"/>
      <c r="R1082" s="36"/>
      <c r="S1082" s="36"/>
      <c r="T1082" s="36"/>
      <c r="U1082" s="36"/>
      <c r="V1082" s="36"/>
      <c r="W1082" s="36"/>
      <c r="X1082" s="36"/>
      <c r="Y1082" s="36"/>
      <c r="Z1082" s="36"/>
      <c r="AA1082" s="36"/>
      <c r="AB1082" s="36"/>
      <c r="AC1082" s="36"/>
      <c r="AD1082" s="36"/>
      <c r="AE1082" s="36"/>
      <c r="AF1082" s="36"/>
      <c r="AG1082" s="36"/>
      <c r="AH1082" s="90"/>
      <c r="AI1082" s="90"/>
      <c r="AJ1082" s="36"/>
      <c r="AK1082" s="36"/>
      <c r="AN1082" s="36"/>
      <c r="AO1082" s="36"/>
    </row>
    <row r="1083" spans="4:41" s="5" customFormat="1">
      <c r="D1083" s="36"/>
      <c r="E1083" s="36"/>
      <c r="F1083" s="36"/>
      <c r="G1083" s="36"/>
      <c r="H1083" s="36"/>
      <c r="I1083" s="36"/>
      <c r="J1083" s="36"/>
      <c r="K1083" s="36"/>
      <c r="L1083" s="36"/>
      <c r="M1083" s="36"/>
      <c r="N1083" s="36"/>
      <c r="O1083" s="36"/>
      <c r="P1083" s="36"/>
      <c r="Q1083" s="36"/>
      <c r="R1083" s="36"/>
      <c r="S1083" s="36"/>
      <c r="T1083" s="36"/>
      <c r="U1083" s="36"/>
      <c r="V1083" s="36"/>
      <c r="W1083" s="36"/>
      <c r="X1083" s="36"/>
      <c r="Y1083" s="36"/>
      <c r="Z1083" s="36"/>
      <c r="AA1083" s="36"/>
      <c r="AB1083" s="36"/>
      <c r="AC1083" s="36"/>
      <c r="AD1083" s="36"/>
      <c r="AE1083" s="36"/>
      <c r="AF1083" s="36"/>
      <c r="AG1083" s="36"/>
      <c r="AH1083" s="90"/>
      <c r="AI1083" s="90"/>
      <c r="AJ1083" s="36"/>
      <c r="AK1083" s="36"/>
      <c r="AN1083" s="36"/>
      <c r="AO1083" s="36"/>
    </row>
    <row r="1084" spans="4:41" s="5" customFormat="1">
      <c r="D1084" s="36"/>
      <c r="E1084" s="36"/>
      <c r="F1084" s="36"/>
      <c r="G1084" s="36"/>
      <c r="H1084" s="36"/>
      <c r="I1084" s="36"/>
      <c r="J1084" s="36"/>
      <c r="K1084" s="36"/>
      <c r="L1084" s="36"/>
      <c r="M1084" s="36"/>
      <c r="N1084" s="36"/>
      <c r="O1084" s="36"/>
      <c r="P1084" s="36"/>
      <c r="Q1084" s="36"/>
      <c r="R1084" s="36"/>
      <c r="S1084" s="36"/>
      <c r="T1084" s="36"/>
      <c r="U1084" s="36"/>
      <c r="V1084" s="36"/>
      <c r="W1084" s="36"/>
      <c r="X1084" s="36"/>
      <c r="Y1084" s="36"/>
      <c r="Z1084" s="36"/>
      <c r="AA1084" s="36"/>
      <c r="AB1084" s="36"/>
      <c r="AC1084" s="36"/>
      <c r="AD1084" s="36"/>
      <c r="AE1084" s="36"/>
      <c r="AF1084" s="36"/>
      <c r="AG1084" s="36"/>
      <c r="AH1084" s="90"/>
      <c r="AI1084" s="90"/>
      <c r="AJ1084" s="36"/>
      <c r="AK1084" s="36"/>
      <c r="AN1084" s="36"/>
      <c r="AO1084" s="36"/>
    </row>
    <row r="1085" spans="4:41" s="5" customFormat="1">
      <c r="D1085" s="36"/>
      <c r="E1085" s="36"/>
      <c r="F1085" s="36"/>
      <c r="G1085" s="36"/>
      <c r="H1085" s="36"/>
      <c r="I1085" s="36"/>
      <c r="J1085" s="36"/>
      <c r="K1085" s="36"/>
      <c r="L1085" s="36"/>
      <c r="M1085" s="36"/>
      <c r="N1085" s="36"/>
      <c r="O1085" s="36"/>
      <c r="P1085" s="36"/>
      <c r="Q1085" s="36"/>
      <c r="R1085" s="36"/>
      <c r="S1085" s="36"/>
      <c r="T1085" s="36"/>
      <c r="U1085" s="36"/>
      <c r="V1085" s="36"/>
      <c r="W1085" s="36"/>
      <c r="X1085" s="36"/>
      <c r="Y1085" s="36"/>
      <c r="Z1085" s="36"/>
      <c r="AA1085" s="36"/>
      <c r="AB1085" s="36"/>
      <c r="AC1085" s="36"/>
      <c r="AD1085" s="36"/>
      <c r="AE1085" s="36"/>
      <c r="AF1085" s="36"/>
      <c r="AG1085" s="36"/>
      <c r="AH1085" s="90"/>
      <c r="AI1085" s="90"/>
      <c r="AJ1085" s="36"/>
      <c r="AK1085" s="36"/>
      <c r="AN1085" s="36"/>
      <c r="AO1085" s="36"/>
    </row>
    <row r="1086" spans="4:41" s="5" customFormat="1">
      <c r="D1086" s="36"/>
      <c r="E1086" s="36"/>
      <c r="F1086" s="36"/>
      <c r="G1086" s="36"/>
      <c r="H1086" s="36"/>
      <c r="I1086" s="36"/>
      <c r="J1086" s="36"/>
      <c r="K1086" s="36"/>
      <c r="L1086" s="36"/>
      <c r="M1086" s="36"/>
      <c r="N1086" s="36"/>
      <c r="O1086" s="36"/>
      <c r="P1086" s="36"/>
      <c r="Q1086" s="36"/>
      <c r="R1086" s="36"/>
      <c r="S1086" s="36"/>
      <c r="T1086" s="36"/>
      <c r="U1086" s="36"/>
      <c r="V1086" s="36"/>
      <c r="W1086" s="36"/>
      <c r="X1086" s="36"/>
      <c r="Y1086" s="36"/>
      <c r="Z1086" s="36"/>
      <c r="AA1086" s="36"/>
      <c r="AB1086" s="36"/>
      <c r="AC1086" s="36"/>
      <c r="AD1086" s="36"/>
      <c r="AE1086" s="36"/>
      <c r="AF1086" s="36"/>
      <c r="AG1086" s="36"/>
      <c r="AH1086" s="90"/>
      <c r="AI1086" s="90"/>
      <c r="AJ1086" s="36"/>
      <c r="AK1086" s="36"/>
      <c r="AN1086" s="36"/>
      <c r="AO1086" s="36"/>
    </row>
    <row r="1087" spans="4:41" s="5" customFormat="1">
      <c r="D1087" s="36"/>
      <c r="E1087" s="36"/>
      <c r="F1087" s="36"/>
      <c r="G1087" s="36"/>
      <c r="H1087" s="36"/>
      <c r="I1087" s="36"/>
      <c r="J1087" s="36"/>
      <c r="K1087" s="36"/>
      <c r="L1087" s="36"/>
      <c r="M1087" s="36"/>
      <c r="N1087" s="36"/>
      <c r="O1087" s="36"/>
      <c r="P1087" s="36"/>
      <c r="Q1087" s="36"/>
      <c r="R1087" s="36"/>
      <c r="S1087" s="36"/>
      <c r="T1087" s="36"/>
      <c r="U1087" s="36"/>
      <c r="V1087" s="36"/>
      <c r="W1087" s="36"/>
      <c r="X1087" s="36"/>
      <c r="Y1087" s="36"/>
      <c r="Z1087" s="36"/>
      <c r="AA1087" s="36"/>
      <c r="AB1087" s="36"/>
      <c r="AC1087" s="36"/>
      <c r="AD1087" s="36"/>
      <c r="AE1087" s="36"/>
      <c r="AF1087" s="36"/>
      <c r="AG1087" s="36"/>
      <c r="AH1087" s="90"/>
      <c r="AI1087" s="90"/>
      <c r="AJ1087" s="36"/>
      <c r="AK1087" s="36"/>
      <c r="AN1087" s="36"/>
      <c r="AO1087" s="36"/>
    </row>
    <row r="1088" spans="4:41" s="5" customFormat="1">
      <c r="D1088" s="36"/>
      <c r="E1088" s="36"/>
      <c r="F1088" s="36"/>
      <c r="G1088" s="36"/>
      <c r="H1088" s="36"/>
      <c r="I1088" s="36"/>
      <c r="J1088" s="36"/>
      <c r="K1088" s="36"/>
      <c r="L1088" s="36"/>
      <c r="M1088" s="36"/>
      <c r="N1088" s="36"/>
      <c r="O1088" s="36"/>
      <c r="P1088" s="36"/>
      <c r="Q1088" s="36"/>
      <c r="R1088" s="36"/>
      <c r="S1088" s="36"/>
      <c r="T1088" s="36"/>
      <c r="U1088" s="36"/>
      <c r="V1088" s="36"/>
      <c r="W1088" s="36"/>
      <c r="X1088" s="36"/>
      <c r="Y1088" s="36"/>
      <c r="Z1088" s="36"/>
      <c r="AA1088" s="36"/>
      <c r="AB1088" s="36"/>
      <c r="AC1088" s="36"/>
      <c r="AD1088" s="36"/>
      <c r="AE1088" s="36"/>
      <c r="AF1088" s="36"/>
      <c r="AG1088" s="36"/>
      <c r="AH1088" s="90"/>
      <c r="AI1088" s="90"/>
      <c r="AJ1088" s="36"/>
      <c r="AK1088" s="36"/>
      <c r="AN1088" s="36"/>
      <c r="AO1088" s="36"/>
    </row>
    <row r="1089" spans="4:41" s="5" customFormat="1">
      <c r="D1089" s="36"/>
      <c r="E1089" s="36"/>
      <c r="F1089" s="36"/>
      <c r="G1089" s="36"/>
      <c r="H1089" s="36"/>
      <c r="I1089" s="36"/>
      <c r="J1089" s="36"/>
      <c r="K1089" s="36"/>
      <c r="L1089" s="36"/>
      <c r="M1089" s="36"/>
      <c r="N1089" s="36"/>
      <c r="O1089" s="36"/>
      <c r="P1089" s="36"/>
      <c r="Q1089" s="36"/>
      <c r="R1089" s="36"/>
      <c r="S1089" s="36"/>
      <c r="T1089" s="36"/>
      <c r="U1089" s="36"/>
      <c r="V1089" s="36"/>
      <c r="W1089" s="36"/>
      <c r="X1089" s="36"/>
      <c r="Y1089" s="36"/>
      <c r="Z1089" s="36"/>
      <c r="AA1089" s="36"/>
      <c r="AB1089" s="36"/>
      <c r="AC1089" s="36"/>
      <c r="AD1089" s="36"/>
      <c r="AE1089" s="36"/>
      <c r="AF1089" s="36"/>
      <c r="AG1089" s="36"/>
      <c r="AH1089" s="90"/>
      <c r="AI1089" s="90"/>
      <c r="AJ1089" s="36"/>
      <c r="AK1089" s="36"/>
      <c r="AN1089" s="36"/>
      <c r="AO1089" s="36"/>
    </row>
    <row r="1090" spans="4:41" s="5" customFormat="1">
      <c r="D1090" s="36"/>
      <c r="E1090" s="36"/>
      <c r="F1090" s="36"/>
      <c r="G1090" s="36"/>
      <c r="H1090" s="36"/>
      <c r="I1090" s="36"/>
      <c r="J1090" s="36"/>
      <c r="K1090" s="36"/>
      <c r="L1090" s="36"/>
      <c r="M1090" s="36"/>
      <c r="N1090" s="36"/>
      <c r="O1090" s="36"/>
      <c r="P1090" s="36"/>
      <c r="Q1090" s="36"/>
      <c r="R1090" s="36"/>
      <c r="S1090" s="36"/>
      <c r="T1090" s="36"/>
      <c r="U1090" s="36"/>
      <c r="V1090" s="36"/>
      <c r="W1090" s="36"/>
      <c r="X1090" s="36"/>
      <c r="Y1090" s="36"/>
      <c r="Z1090" s="36"/>
      <c r="AA1090" s="36"/>
      <c r="AB1090" s="36"/>
      <c r="AC1090" s="36"/>
      <c r="AD1090" s="36"/>
      <c r="AE1090" s="36"/>
      <c r="AF1090" s="36"/>
      <c r="AG1090" s="36"/>
      <c r="AH1090" s="90"/>
      <c r="AI1090" s="90"/>
      <c r="AJ1090" s="36"/>
      <c r="AK1090" s="36"/>
      <c r="AN1090" s="36"/>
      <c r="AO1090" s="36"/>
    </row>
    <row r="1091" spans="4:41" s="5" customFormat="1">
      <c r="D1091" s="36"/>
      <c r="E1091" s="36"/>
      <c r="F1091" s="36"/>
      <c r="G1091" s="36"/>
      <c r="H1091" s="36"/>
      <c r="I1091" s="36"/>
      <c r="J1091" s="36"/>
      <c r="K1091" s="36"/>
      <c r="L1091" s="36"/>
      <c r="M1091" s="36"/>
      <c r="N1091" s="36"/>
      <c r="O1091" s="36"/>
      <c r="P1091" s="36"/>
      <c r="Q1091" s="36"/>
      <c r="R1091" s="36"/>
      <c r="S1091" s="36"/>
      <c r="T1091" s="36"/>
      <c r="U1091" s="36"/>
      <c r="V1091" s="36"/>
      <c r="W1091" s="36"/>
      <c r="X1091" s="36"/>
      <c r="Y1091" s="36"/>
      <c r="Z1091" s="36"/>
      <c r="AA1091" s="36"/>
      <c r="AB1091" s="36"/>
      <c r="AC1091" s="36"/>
      <c r="AD1091" s="36"/>
      <c r="AE1091" s="36"/>
      <c r="AF1091" s="36"/>
      <c r="AG1091" s="36"/>
      <c r="AH1091" s="90"/>
      <c r="AI1091" s="90"/>
      <c r="AJ1091" s="36"/>
      <c r="AK1091" s="36"/>
      <c r="AN1091" s="36"/>
      <c r="AO1091" s="36"/>
    </row>
    <row r="1092" spans="4:41" s="5" customFormat="1">
      <c r="D1092" s="36"/>
      <c r="E1092" s="36"/>
      <c r="F1092" s="36"/>
      <c r="G1092" s="36"/>
      <c r="H1092" s="36"/>
      <c r="I1092" s="36"/>
      <c r="J1092" s="36"/>
      <c r="K1092" s="36"/>
      <c r="L1092" s="36"/>
      <c r="M1092" s="36"/>
      <c r="N1092" s="36"/>
      <c r="O1092" s="36"/>
      <c r="P1092" s="36"/>
      <c r="Q1092" s="36"/>
      <c r="R1092" s="36"/>
      <c r="S1092" s="36"/>
      <c r="T1092" s="36"/>
      <c r="U1092" s="36"/>
      <c r="V1092" s="36"/>
      <c r="W1092" s="36"/>
      <c r="X1092" s="36"/>
      <c r="Y1092" s="36"/>
      <c r="Z1092" s="36"/>
      <c r="AA1092" s="36"/>
      <c r="AB1092" s="36"/>
      <c r="AC1092" s="36"/>
      <c r="AD1092" s="36"/>
      <c r="AE1092" s="36"/>
      <c r="AF1092" s="36"/>
      <c r="AG1092" s="36"/>
      <c r="AH1092" s="90"/>
      <c r="AI1092" s="90"/>
      <c r="AJ1092" s="36"/>
      <c r="AK1092" s="36"/>
      <c r="AN1092" s="36"/>
      <c r="AO1092" s="36"/>
    </row>
    <row r="1093" spans="4:41" s="5" customFormat="1">
      <c r="D1093" s="36"/>
      <c r="E1093" s="36"/>
      <c r="F1093" s="36"/>
      <c r="G1093" s="36"/>
      <c r="H1093" s="36"/>
      <c r="I1093" s="36"/>
      <c r="J1093" s="36"/>
      <c r="K1093" s="36"/>
      <c r="L1093" s="36"/>
      <c r="M1093" s="36"/>
      <c r="N1093" s="36"/>
      <c r="O1093" s="36"/>
      <c r="P1093" s="36"/>
      <c r="Q1093" s="36"/>
      <c r="R1093" s="36"/>
      <c r="S1093" s="36"/>
      <c r="T1093" s="36"/>
      <c r="U1093" s="36"/>
      <c r="V1093" s="36"/>
      <c r="W1093" s="36"/>
      <c r="X1093" s="36"/>
      <c r="Y1093" s="36"/>
      <c r="Z1093" s="36"/>
      <c r="AA1093" s="36"/>
      <c r="AB1093" s="36"/>
      <c r="AC1093" s="36"/>
      <c r="AD1093" s="36"/>
      <c r="AE1093" s="36"/>
      <c r="AF1093" s="36"/>
      <c r="AG1093" s="36"/>
      <c r="AH1093" s="90"/>
      <c r="AI1093" s="90"/>
      <c r="AJ1093" s="36"/>
      <c r="AK1093" s="36"/>
      <c r="AN1093" s="36"/>
      <c r="AO1093" s="36"/>
    </row>
    <row r="1094" spans="4:41" s="5" customFormat="1">
      <c r="D1094" s="36"/>
      <c r="E1094" s="36"/>
      <c r="F1094" s="36"/>
      <c r="G1094" s="36"/>
      <c r="H1094" s="36"/>
      <c r="I1094" s="36"/>
      <c r="J1094" s="36"/>
      <c r="K1094" s="36"/>
      <c r="L1094" s="36"/>
      <c r="M1094" s="36"/>
      <c r="N1094" s="36"/>
      <c r="O1094" s="36"/>
      <c r="P1094" s="36"/>
      <c r="Q1094" s="36"/>
      <c r="R1094" s="36"/>
      <c r="S1094" s="36"/>
      <c r="T1094" s="36"/>
      <c r="U1094" s="36"/>
      <c r="V1094" s="36"/>
      <c r="W1094" s="36"/>
      <c r="X1094" s="36"/>
      <c r="Y1094" s="36"/>
      <c r="Z1094" s="36"/>
      <c r="AA1094" s="36"/>
      <c r="AB1094" s="36"/>
      <c r="AC1094" s="36"/>
      <c r="AD1094" s="36"/>
      <c r="AE1094" s="36"/>
      <c r="AF1094" s="36"/>
      <c r="AG1094" s="36"/>
      <c r="AH1094" s="90"/>
      <c r="AI1094" s="90"/>
      <c r="AJ1094" s="36"/>
      <c r="AK1094" s="36"/>
      <c r="AN1094" s="36"/>
      <c r="AO1094" s="36"/>
    </row>
    <row r="1095" spans="4:41" s="5" customFormat="1">
      <c r="D1095" s="36"/>
      <c r="E1095" s="36"/>
      <c r="F1095" s="36"/>
      <c r="G1095" s="36"/>
      <c r="H1095" s="36"/>
      <c r="I1095" s="36"/>
      <c r="J1095" s="36"/>
      <c r="K1095" s="36"/>
      <c r="L1095" s="36"/>
      <c r="M1095" s="36"/>
      <c r="N1095" s="36"/>
      <c r="O1095" s="36"/>
      <c r="P1095" s="36"/>
      <c r="Q1095" s="36"/>
      <c r="R1095" s="36"/>
      <c r="S1095" s="36"/>
      <c r="T1095" s="36"/>
      <c r="U1095" s="36"/>
      <c r="V1095" s="36"/>
      <c r="W1095" s="36"/>
      <c r="X1095" s="36"/>
      <c r="Y1095" s="36"/>
      <c r="Z1095" s="36"/>
      <c r="AA1095" s="36"/>
      <c r="AB1095" s="36"/>
      <c r="AC1095" s="36"/>
      <c r="AD1095" s="36"/>
      <c r="AE1095" s="36"/>
      <c r="AF1095" s="36"/>
      <c r="AG1095" s="36"/>
      <c r="AH1095" s="90"/>
      <c r="AI1095" s="90"/>
      <c r="AJ1095" s="36"/>
      <c r="AK1095" s="36"/>
      <c r="AN1095" s="36"/>
      <c r="AO1095" s="36"/>
    </row>
    <row r="1096" spans="4:41" s="5" customFormat="1">
      <c r="D1096" s="36"/>
      <c r="E1096" s="36"/>
      <c r="F1096" s="36"/>
      <c r="G1096" s="36"/>
      <c r="H1096" s="36"/>
      <c r="I1096" s="36"/>
      <c r="J1096" s="36"/>
      <c r="K1096" s="36"/>
      <c r="L1096" s="36"/>
      <c r="M1096" s="36"/>
      <c r="N1096" s="36"/>
      <c r="O1096" s="36"/>
      <c r="P1096" s="36"/>
      <c r="Q1096" s="36"/>
      <c r="R1096" s="36"/>
      <c r="S1096" s="36"/>
      <c r="T1096" s="36"/>
      <c r="U1096" s="36"/>
      <c r="V1096" s="36"/>
      <c r="W1096" s="36"/>
      <c r="X1096" s="36"/>
      <c r="Y1096" s="36"/>
      <c r="Z1096" s="36"/>
      <c r="AA1096" s="36"/>
      <c r="AB1096" s="36"/>
      <c r="AC1096" s="36"/>
      <c r="AD1096" s="36"/>
      <c r="AE1096" s="36"/>
      <c r="AF1096" s="36"/>
      <c r="AG1096" s="36"/>
      <c r="AH1096" s="90"/>
      <c r="AI1096" s="90"/>
      <c r="AJ1096" s="36"/>
      <c r="AK1096" s="36"/>
      <c r="AN1096" s="36"/>
      <c r="AO1096" s="36"/>
    </row>
    <row r="1097" spans="4:41" s="5" customFormat="1">
      <c r="D1097" s="36"/>
      <c r="E1097" s="36"/>
      <c r="F1097" s="36"/>
      <c r="G1097" s="36"/>
      <c r="H1097" s="36"/>
      <c r="I1097" s="36"/>
      <c r="J1097" s="36"/>
      <c r="K1097" s="36"/>
      <c r="L1097" s="36"/>
      <c r="M1097" s="36"/>
      <c r="N1097" s="36"/>
      <c r="O1097" s="36"/>
      <c r="P1097" s="36"/>
      <c r="Q1097" s="36"/>
      <c r="R1097" s="36"/>
      <c r="S1097" s="36"/>
      <c r="T1097" s="36"/>
      <c r="U1097" s="36"/>
      <c r="V1097" s="36"/>
      <c r="W1097" s="36"/>
      <c r="X1097" s="36"/>
      <c r="Y1097" s="36"/>
      <c r="Z1097" s="36"/>
      <c r="AA1097" s="36"/>
      <c r="AB1097" s="36"/>
      <c r="AC1097" s="36"/>
      <c r="AD1097" s="36"/>
      <c r="AE1097" s="36"/>
      <c r="AF1097" s="36"/>
      <c r="AG1097" s="36"/>
      <c r="AH1097" s="90"/>
      <c r="AI1097" s="90"/>
      <c r="AJ1097" s="36"/>
      <c r="AK1097" s="36"/>
      <c r="AN1097" s="36"/>
      <c r="AO1097" s="36"/>
    </row>
    <row r="1098" spans="4:41" s="5" customFormat="1">
      <c r="D1098" s="36"/>
      <c r="E1098" s="36"/>
      <c r="F1098" s="36"/>
      <c r="G1098" s="36"/>
      <c r="H1098" s="36"/>
      <c r="I1098" s="36"/>
      <c r="J1098" s="36"/>
      <c r="K1098" s="36"/>
      <c r="L1098" s="36"/>
      <c r="M1098" s="36"/>
      <c r="N1098" s="36"/>
      <c r="O1098" s="36"/>
      <c r="P1098" s="36"/>
      <c r="Q1098" s="36"/>
      <c r="R1098" s="36"/>
      <c r="S1098" s="36"/>
      <c r="T1098" s="36"/>
      <c r="U1098" s="36"/>
      <c r="V1098" s="36"/>
      <c r="W1098" s="36"/>
      <c r="X1098" s="36"/>
      <c r="Y1098" s="36"/>
      <c r="Z1098" s="36"/>
      <c r="AA1098" s="36"/>
      <c r="AB1098" s="36"/>
      <c r="AC1098" s="36"/>
      <c r="AD1098" s="36"/>
      <c r="AE1098" s="36"/>
      <c r="AF1098" s="36"/>
      <c r="AG1098" s="36"/>
      <c r="AH1098" s="90"/>
      <c r="AI1098" s="90"/>
      <c r="AJ1098" s="36"/>
      <c r="AK1098" s="36"/>
      <c r="AN1098" s="36"/>
      <c r="AO1098" s="36"/>
    </row>
    <row r="1099" spans="4:41" s="5" customFormat="1">
      <c r="D1099" s="36"/>
      <c r="E1099" s="36"/>
      <c r="F1099" s="36"/>
      <c r="G1099" s="36"/>
      <c r="H1099" s="36"/>
      <c r="I1099" s="36"/>
      <c r="J1099" s="36"/>
      <c r="K1099" s="36"/>
      <c r="L1099" s="36"/>
      <c r="M1099" s="36"/>
      <c r="N1099" s="36"/>
      <c r="O1099" s="36"/>
      <c r="P1099" s="36"/>
      <c r="Q1099" s="36"/>
      <c r="R1099" s="36"/>
      <c r="S1099" s="36"/>
      <c r="T1099" s="36"/>
      <c r="U1099" s="36"/>
      <c r="V1099" s="36"/>
      <c r="W1099" s="36"/>
      <c r="X1099" s="36"/>
      <c r="Y1099" s="36"/>
      <c r="Z1099" s="36"/>
      <c r="AA1099" s="36"/>
      <c r="AB1099" s="36"/>
      <c r="AC1099" s="36"/>
      <c r="AD1099" s="36"/>
      <c r="AE1099" s="36"/>
      <c r="AF1099" s="36"/>
      <c r="AG1099" s="36"/>
      <c r="AH1099" s="90"/>
      <c r="AI1099" s="90"/>
      <c r="AJ1099" s="36"/>
      <c r="AK1099" s="36"/>
      <c r="AN1099" s="36"/>
      <c r="AO1099" s="36"/>
    </row>
    <row r="1100" spans="4:41" s="5" customFormat="1">
      <c r="D1100" s="36"/>
      <c r="E1100" s="36"/>
      <c r="F1100" s="36"/>
      <c r="G1100" s="36"/>
      <c r="H1100" s="36"/>
      <c r="I1100" s="36"/>
      <c r="J1100" s="36"/>
      <c r="K1100" s="36"/>
      <c r="L1100" s="36"/>
      <c r="M1100" s="36"/>
      <c r="N1100" s="36"/>
      <c r="O1100" s="36"/>
      <c r="P1100" s="36"/>
      <c r="Q1100" s="36"/>
      <c r="R1100" s="36"/>
      <c r="S1100" s="36"/>
      <c r="T1100" s="36"/>
      <c r="U1100" s="36"/>
      <c r="V1100" s="36"/>
      <c r="W1100" s="36"/>
      <c r="X1100" s="36"/>
      <c r="Y1100" s="36"/>
      <c r="Z1100" s="36"/>
      <c r="AA1100" s="36"/>
      <c r="AB1100" s="36"/>
      <c r="AC1100" s="36"/>
      <c r="AD1100" s="36"/>
      <c r="AE1100" s="36"/>
      <c r="AF1100" s="36"/>
      <c r="AG1100" s="36"/>
      <c r="AH1100" s="90"/>
      <c r="AI1100" s="90"/>
      <c r="AJ1100" s="36"/>
      <c r="AK1100" s="36"/>
      <c r="AN1100" s="36"/>
      <c r="AO1100" s="36"/>
    </row>
    <row r="1101" spans="4:41" s="5" customFormat="1">
      <c r="D1101" s="36"/>
      <c r="E1101" s="36"/>
      <c r="F1101" s="36"/>
      <c r="G1101" s="36"/>
      <c r="H1101" s="36"/>
      <c r="I1101" s="36"/>
      <c r="J1101" s="36"/>
      <c r="K1101" s="36"/>
      <c r="L1101" s="36"/>
      <c r="M1101" s="36"/>
      <c r="N1101" s="36"/>
      <c r="O1101" s="36"/>
      <c r="P1101" s="36"/>
      <c r="Q1101" s="36"/>
      <c r="R1101" s="36"/>
      <c r="S1101" s="36"/>
      <c r="T1101" s="36"/>
      <c r="U1101" s="36"/>
      <c r="V1101" s="36"/>
      <c r="W1101" s="36"/>
      <c r="X1101" s="36"/>
      <c r="Y1101" s="36"/>
      <c r="Z1101" s="36"/>
      <c r="AA1101" s="36"/>
      <c r="AB1101" s="36"/>
      <c r="AC1101" s="36"/>
      <c r="AD1101" s="36"/>
      <c r="AE1101" s="36"/>
      <c r="AF1101" s="36"/>
      <c r="AG1101" s="36"/>
      <c r="AH1101" s="90"/>
      <c r="AI1101" s="90"/>
      <c r="AJ1101" s="36"/>
      <c r="AK1101" s="36"/>
      <c r="AN1101" s="36"/>
      <c r="AO1101" s="36"/>
    </row>
    <row r="1102" spans="4:41" s="5" customFormat="1">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c r="Z1102" s="36"/>
      <c r="AA1102" s="36"/>
      <c r="AB1102" s="36"/>
      <c r="AC1102" s="36"/>
      <c r="AD1102" s="36"/>
      <c r="AE1102" s="36"/>
      <c r="AF1102" s="36"/>
      <c r="AG1102" s="36"/>
      <c r="AH1102" s="90"/>
      <c r="AI1102" s="90"/>
      <c r="AJ1102" s="36"/>
      <c r="AK1102" s="36"/>
      <c r="AN1102" s="36"/>
      <c r="AO1102" s="36"/>
    </row>
    <row r="1103" spans="4:41" s="5" customFormat="1">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c r="Z1103" s="36"/>
      <c r="AA1103" s="36"/>
      <c r="AB1103" s="36"/>
      <c r="AC1103" s="36"/>
      <c r="AD1103" s="36"/>
      <c r="AE1103" s="36"/>
      <c r="AF1103" s="36"/>
      <c r="AG1103" s="36"/>
      <c r="AH1103" s="90"/>
      <c r="AI1103" s="90"/>
      <c r="AJ1103" s="36"/>
      <c r="AK1103" s="36"/>
      <c r="AN1103" s="36"/>
      <c r="AO1103" s="36"/>
    </row>
    <row r="1104" spans="4:41" s="5" customFormat="1">
      <c r="D1104" s="36"/>
      <c r="E1104" s="36"/>
      <c r="F1104" s="36"/>
      <c r="G1104" s="36"/>
      <c r="H1104" s="36"/>
      <c r="I1104" s="36"/>
      <c r="J1104" s="36"/>
      <c r="K1104" s="36"/>
      <c r="L1104" s="36"/>
      <c r="M1104" s="36"/>
      <c r="N1104" s="36"/>
      <c r="O1104" s="36"/>
      <c r="P1104" s="36"/>
      <c r="Q1104" s="36"/>
      <c r="R1104" s="36"/>
      <c r="S1104" s="36"/>
      <c r="T1104" s="36"/>
      <c r="U1104" s="36"/>
      <c r="V1104" s="36"/>
      <c r="W1104" s="36"/>
      <c r="X1104" s="36"/>
      <c r="Y1104" s="36"/>
      <c r="Z1104" s="36"/>
      <c r="AA1104" s="36"/>
      <c r="AB1104" s="36"/>
      <c r="AC1104" s="36"/>
      <c r="AD1104" s="36"/>
      <c r="AE1104" s="36"/>
      <c r="AF1104" s="36"/>
      <c r="AG1104" s="36"/>
      <c r="AH1104" s="90"/>
      <c r="AI1104" s="90"/>
      <c r="AJ1104" s="36"/>
      <c r="AK1104" s="36"/>
      <c r="AN1104" s="36"/>
      <c r="AO1104" s="36"/>
    </row>
    <row r="1105" spans="4:41" s="5" customFormat="1">
      <c r="D1105" s="36"/>
      <c r="E1105" s="36"/>
      <c r="F1105" s="36"/>
      <c r="G1105" s="36"/>
      <c r="H1105" s="36"/>
      <c r="I1105" s="36"/>
      <c r="J1105" s="36"/>
      <c r="K1105" s="36"/>
      <c r="L1105" s="36"/>
      <c r="M1105" s="36"/>
      <c r="N1105" s="36"/>
      <c r="O1105" s="36"/>
      <c r="P1105" s="36"/>
      <c r="Q1105" s="36"/>
      <c r="R1105" s="36"/>
      <c r="S1105" s="36"/>
      <c r="T1105" s="36"/>
      <c r="U1105" s="36"/>
      <c r="V1105" s="36"/>
      <c r="W1105" s="36"/>
      <c r="X1105" s="36"/>
      <c r="Y1105" s="36"/>
      <c r="Z1105" s="36"/>
      <c r="AA1105" s="36"/>
      <c r="AB1105" s="36"/>
      <c r="AC1105" s="36"/>
      <c r="AD1105" s="36"/>
      <c r="AE1105" s="36"/>
      <c r="AF1105" s="36"/>
      <c r="AG1105" s="36"/>
      <c r="AH1105" s="90"/>
      <c r="AI1105" s="90"/>
      <c r="AJ1105" s="36"/>
      <c r="AK1105" s="36"/>
      <c r="AN1105" s="36"/>
      <c r="AO1105" s="36"/>
    </row>
    <row r="1106" spans="4:41" s="5" customFormat="1">
      <c r="D1106" s="36"/>
      <c r="E1106" s="36"/>
      <c r="F1106" s="36"/>
      <c r="G1106" s="36"/>
      <c r="H1106" s="36"/>
      <c r="I1106" s="36"/>
      <c r="J1106" s="36"/>
      <c r="K1106" s="36"/>
      <c r="L1106" s="36"/>
      <c r="M1106" s="36"/>
      <c r="N1106" s="36"/>
      <c r="O1106" s="36"/>
      <c r="P1106" s="36"/>
      <c r="Q1106" s="36"/>
      <c r="R1106" s="36"/>
      <c r="S1106" s="36"/>
      <c r="T1106" s="36"/>
      <c r="U1106" s="36"/>
      <c r="V1106" s="36"/>
      <c r="W1106" s="36"/>
      <c r="X1106" s="36"/>
      <c r="Y1106" s="36"/>
      <c r="Z1106" s="36"/>
      <c r="AA1106" s="36"/>
      <c r="AB1106" s="36"/>
      <c r="AC1106" s="36"/>
      <c r="AD1106" s="36"/>
      <c r="AE1106" s="36"/>
      <c r="AF1106" s="36"/>
      <c r="AG1106" s="36"/>
      <c r="AH1106" s="90"/>
      <c r="AI1106" s="90"/>
      <c r="AJ1106" s="36"/>
      <c r="AK1106" s="36"/>
      <c r="AN1106" s="36"/>
      <c r="AO1106" s="36"/>
    </row>
    <row r="1107" spans="4:41" s="5" customFormat="1">
      <c r="D1107" s="36"/>
      <c r="E1107" s="36"/>
      <c r="F1107" s="36"/>
      <c r="G1107" s="36"/>
      <c r="H1107" s="36"/>
      <c r="I1107" s="36"/>
      <c r="J1107" s="36"/>
      <c r="K1107" s="36"/>
      <c r="L1107" s="36"/>
      <c r="M1107" s="36"/>
      <c r="N1107" s="36"/>
      <c r="O1107" s="36"/>
      <c r="P1107" s="36"/>
      <c r="Q1107" s="36"/>
      <c r="R1107" s="36"/>
      <c r="S1107" s="36"/>
      <c r="T1107" s="36"/>
      <c r="U1107" s="36"/>
      <c r="V1107" s="36"/>
      <c r="W1107" s="36"/>
      <c r="X1107" s="36"/>
      <c r="Y1107" s="36"/>
      <c r="Z1107" s="36"/>
      <c r="AA1107" s="36"/>
      <c r="AB1107" s="36"/>
      <c r="AC1107" s="36"/>
      <c r="AD1107" s="36"/>
      <c r="AE1107" s="36"/>
      <c r="AF1107" s="36"/>
      <c r="AG1107" s="36"/>
      <c r="AH1107" s="90"/>
      <c r="AI1107" s="90"/>
      <c r="AJ1107" s="36"/>
      <c r="AK1107" s="36"/>
      <c r="AN1107" s="36"/>
      <c r="AO1107" s="36"/>
    </row>
    <row r="1108" spans="4:41" s="5" customFormat="1">
      <c r="D1108" s="36"/>
      <c r="E1108" s="36"/>
      <c r="F1108" s="36"/>
      <c r="G1108" s="36"/>
      <c r="H1108" s="36"/>
      <c r="I1108" s="36"/>
      <c r="J1108" s="36"/>
      <c r="K1108" s="36"/>
      <c r="L1108" s="36"/>
      <c r="M1108" s="36"/>
      <c r="N1108" s="36"/>
      <c r="O1108" s="36"/>
      <c r="P1108" s="36"/>
      <c r="Q1108" s="36"/>
      <c r="R1108" s="36"/>
      <c r="S1108" s="36"/>
      <c r="T1108" s="36"/>
      <c r="U1108" s="36"/>
      <c r="V1108" s="36"/>
      <c r="W1108" s="36"/>
      <c r="X1108" s="36"/>
      <c r="Y1108" s="36"/>
      <c r="Z1108" s="36"/>
      <c r="AA1108" s="36"/>
      <c r="AB1108" s="36"/>
      <c r="AC1108" s="36"/>
      <c r="AD1108" s="36"/>
      <c r="AE1108" s="36"/>
      <c r="AF1108" s="36"/>
      <c r="AG1108" s="36"/>
      <c r="AH1108" s="90"/>
      <c r="AI1108" s="90"/>
      <c r="AJ1108" s="36"/>
      <c r="AK1108" s="36"/>
      <c r="AN1108" s="36"/>
      <c r="AO1108" s="36"/>
    </row>
    <row r="1109" spans="4:41" s="5" customFormat="1">
      <c r="D1109" s="36"/>
      <c r="E1109" s="36"/>
      <c r="F1109" s="36"/>
      <c r="G1109" s="36"/>
      <c r="H1109" s="36"/>
      <c r="I1109" s="36"/>
      <c r="J1109" s="36"/>
      <c r="K1109" s="36"/>
      <c r="L1109" s="36"/>
      <c r="M1109" s="36"/>
      <c r="N1109" s="36"/>
      <c r="O1109" s="36"/>
      <c r="P1109" s="36"/>
      <c r="Q1109" s="36"/>
      <c r="R1109" s="36"/>
      <c r="S1109" s="36"/>
      <c r="T1109" s="36"/>
      <c r="U1109" s="36"/>
      <c r="V1109" s="36"/>
      <c r="W1109" s="36"/>
      <c r="X1109" s="36"/>
      <c r="Y1109" s="36"/>
      <c r="Z1109" s="36"/>
      <c r="AA1109" s="36"/>
      <c r="AB1109" s="36"/>
      <c r="AC1109" s="36"/>
      <c r="AD1109" s="36"/>
      <c r="AE1109" s="36"/>
      <c r="AF1109" s="36"/>
      <c r="AG1109" s="36"/>
      <c r="AH1109" s="90"/>
      <c r="AI1109" s="90"/>
      <c r="AJ1109" s="36"/>
      <c r="AK1109" s="36"/>
      <c r="AN1109" s="36"/>
      <c r="AO1109" s="36"/>
    </row>
    <row r="1110" spans="4:41" s="5" customFormat="1">
      <c r="D1110" s="36"/>
      <c r="E1110" s="36"/>
      <c r="F1110" s="36"/>
      <c r="G1110" s="36"/>
      <c r="H1110" s="36"/>
      <c r="I1110" s="36"/>
      <c r="J1110" s="36"/>
      <c r="K1110" s="36"/>
      <c r="L1110" s="36"/>
      <c r="M1110" s="36"/>
      <c r="N1110" s="36"/>
      <c r="O1110" s="36"/>
      <c r="P1110" s="36"/>
      <c r="Q1110" s="36"/>
      <c r="R1110" s="36"/>
      <c r="S1110" s="36"/>
      <c r="T1110" s="36"/>
      <c r="U1110" s="36"/>
      <c r="V1110" s="36"/>
      <c r="W1110" s="36"/>
      <c r="X1110" s="36"/>
      <c r="Y1110" s="36"/>
      <c r="Z1110" s="36"/>
      <c r="AA1110" s="36"/>
      <c r="AB1110" s="36"/>
      <c r="AC1110" s="36"/>
      <c r="AD1110" s="36"/>
      <c r="AE1110" s="36"/>
      <c r="AF1110" s="36"/>
      <c r="AG1110" s="36"/>
      <c r="AH1110" s="90"/>
      <c r="AI1110" s="90"/>
      <c r="AJ1110" s="36"/>
      <c r="AK1110" s="36"/>
      <c r="AN1110" s="36"/>
      <c r="AO1110" s="36"/>
    </row>
    <row r="1111" spans="4:41" s="5" customFormat="1">
      <c r="D1111" s="36"/>
      <c r="E1111" s="36"/>
      <c r="F1111" s="36"/>
      <c r="G1111" s="36"/>
      <c r="H1111" s="36"/>
      <c r="I1111" s="36"/>
      <c r="J1111" s="36"/>
      <c r="K1111" s="36"/>
      <c r="L1111" s="36"/>
      <c r="M1111" s="36"/>
      <c r="N1111" s="36"/>
      <c r="O1111" s="36"/>
      <c r="P1111" s="36"/>
      <c r="Q1111" s="36"/>
      <c r="R1111" s="36"/>
      <c r="S1111" s="36"/>
      <c r="T1111" s="36"/>
      <c r="U1111" s="36"/>
      <c r="V1111" s="36"/>
      <c r="W1111" s="36"/>
      <c r="X1111" s="36"/>
      <c r="Y1111" s="36"/>
      <c r="Z1111" s="36"/>
      <c r="AA1111" s="36"/>
      <c r="AB1111" s="36"/>
      <c r="AC1111" s="36"/>
      <c r="AD1111" s="36"/>
      <c r="AE1111" s="36"/>
      <c r="AF1111" s="36"/>
      <c r="AG1111" s="36"/>
      <c r="AH1111" s="90"/>
      <c r="AI1111" s="90"/>
      <c r="AJ1111" s="36"/>
      <c r="AK1111" s="36"/>
      <c r="AN1111" s="36"/>
      <c r="AO1111" s="36"/>
    </row>
    <row r="1112" spans="4:41" s="5" customFormat="1">
      <c r="D1112" s="36"/>
      <c r="E1112" s="36"/>
      <c r="F1112" s="36"/>
      <c r="G1112" s="36"/>
      <c r="H1112" s="36"/>
      <c r="I1112" s="36"/>
      <c r="J1112" s="36"/>
      <c r="K1112" s="36"/>
      <c r="L1112" s="36"/>
      <c r="M1112" s="36"/>
      <c r="N1112" s="36"/>
      <c r="O1112" s="36"/>
      <c r="P1112" s="36"/>
      <c r="Q1112" s="36"/>
      <c r="R1112" s="36"/>
      <c r="S1112" s="36"/>
      <c r="T1112" s="36"/>
      <c r="U1112" s="36"/>
      <c r="V1112" s="36"/>
      <c r="W1112" s="36"/>
      <c r="X1112" s="36"/>
      <c r="Y1112" s="36"/>
      <c r="Z1112" s="36"/>
      <c r="AA1112" s="36"/>
      <c r="AB1112" s="36"/>
      <c r="AC1112" s="36"/>
      <c r="AD1112" s="36"/>
      <c r="AE1112" s="36"/>
      <c r="AF1112" s="36"/>
      <c r="AG1112" s="36"/>
      <c r="AH1112" s="90"/>
      <c r="AI1112" s="90"/>
      <c r="AJ1112" s="36"/>
      <c r="AK1112" s="36"/>
      <c r="AN1112" s="36"/>
      <c r="AO1112" s="36"/>
    </row>
    <row r="1113" spans="4:41" s="5" customFormat="1">
      <c r="D1113" s="36"/>
      <c r="E1113" s="36"/>
      <c r="F1113" s="36"/>
      <c r="G1113" s="36"/>
      <c r="H1113" s="36"/>
      <c r="I1113" s="36"/>
      <c r="J1113" s="36"/>
      <c r="K1113" s="36"/>
      <c r="L1113" s="36"/>
      <c r="M1113" s="36"/>
      <c r="N1113" s="36"/>
      <c r="O1113" s="36"/>
      <c r="P1113" s="36"/>
      <c r="Q1113" s="36"/>
      <c r="R1113" s="36"/>
      <c r="S1113" s="36"/>
      <c r="T1113" s="36"/>
      <c r="U1113" s="36"/>
      <c r="V1113" s="36"/>
      <c r="W1113" s="36"/>
      <c r="X1113" s="36"/>
      <c r="Y1113" s="36"/>
      <c r="Z1113" s="36"/>
      <c r="AA1113" s="36"/>
      <c r="AB1113" s="36"/>
      <c r="AC1113" s="36"/>
      <c r="AD1113" s="36"/>
      <c r="AE1113" s="36"/>
      <c r="AF1113" s="36"/>
      <c r="AG1113" s="36"/>
      <c r="AH1113" s="90"/>
      <c r="AI1113" s="90"/>
      <c r="AJ1113" s="36"/>
      <c r="AK1113" s="36"/>
      <c r="AN1113" s="36"/>
      <c r="AO1113" s="36"/>
    </row>
    <row r="1114" spans="4:41" s="5" customFormat="1">
      <c r="D1114" s="36"/>
      <c r="E1114" s="36"/>
      <c r="F1114" s="36"/>
      <c r="G1114" s="36"/>
      <c r="H1114" s="36"/>
      <c r="I1114" s="36"/>
      <c r="J1114" s="36"/>
      <c r="K1114" s="36"/>
      <c r="L1114" s="36"/>
      <c r="M1114" s="36"/>
      <c r="N1114" s="36"/>
      <c r="O1114" s="36"/>
      <c r="P1114" s="36"/>
      <c r="Q1114" s="36"/>
      <c r="R1114" s="36"/>
      <c r="S1114" s="36"/>
      <c r="T1114" s="36"/>
      <c r="U1114" s="36"/>
      <c r="V1114" s="36"/>
      <c r="W1114" s="36"/>
      <c r="X1114" s="36"/>
      <c r="Y1114" s="36"/>
      <c r="Z1114" s="36"/>
      <c r="AA1114" s="36"/>
      <c r="AB1114" s="36"/>
      <c r="AC1114" s="36"/>
      <c r="AD1114" s="36"/>
      <c r="AE1114" s="36"/>
      <c r="AF1114" s="36"/>
      <c r="AG1114" s="36"/>
      <c r="AH1114" s="90"/>
      <c r="AI1114" s="90"/>
      <c r="AJ1114" s="36"/>
      <c r="AK1114" s="36"/>
      <c r="AN1114" s="36"/>
      <c r="AO1114" s="36"/>
    </row>
    <row r="1115" spans="4:41" s="5" customFormat="1">
      <c r="D1115" s="36"/>
      <c r="E1115" s="36"/>
      <c r="F1115" s="36"/>
      <c r="G1115" s="36"/>
      <c r="H1115" s="36"/>
      <c r="I1115" s="36"/>
      <c r="J1115" s="36"/>
      <c r="K1115" s="36"/>
      <c r="L1115" s="36"/>
      <c r="M1115" s="36"/>
      <c r="N1115" s="36"/>
      <c r="O1115" s="36"/>
      <c r="P1115" s="36"/>
      <c r="Q1115" s="36"/>
      <c r="R1115" s="36"/>
      <c r="S1115" s="36"/>
      <c r="T1115" s="36"/>
      <c r="U1115" s="36"/>
      <c r="V1115" s="36"/>
      <c r="W1115" s="36"/>
      <c r="X1115" s="36"/>
      <c r="Y1115" s="36"/>
      <c r="Z1115" s="36"/>
      <c r="AA1115" s="36"/>
      <c r="AB1115" s="36"/>
      <c r="AC1115" s="36"/>
      <c r="AD1115" s="36"/>
      <c r="AE1115" s="36"/>
      <c r="AF1115" s="36"/>
      <c r="AG1115" s="36"/>
      <c r="AH1115" s="90"/>
      <c r="AI1115" s="90"/>
      <c r="AJ1115" s="36"/>
      <c r="AK1115" s="36"/>
      <c r="AN1115" s="36"/>
      <c r="AO1115" s="36"/>
    </row>
    <row r="1116" spans="4:41" s="5" customFormat="1">
      <c r="D1116" s="36"/>
      <c r="E1116" s="36"/>
      <c r="F1116" s="36"/>
      <c r="G1116" s="36"/>
      <c r="H1116" s="36"/>
      <c r="I1116" s="36"/>
      <c r="J1116" s="36"/>
      <c r="K1116" s="36"/>
      <c r="L1116" s="36"/>
      <c r="M1116" s="36"/>
      <c r="N1116" s="36"/>
      <c r="O1116" s="36"/>
      <c r="P1116" s="36"/>
      <c r="Q1116" s="36"/>
      <c r="R1116" s="36"/>
      <c r="S1116" s="36"/>
      <c r="T1116" s="36"/>
      <c r="U1116" s="36"/>
      <c r="V1116" s="36"/>
      <c r="W1116" s="36"/>
      <c r="X1116" s="36"/>
      <c r="Y1116" s="36"/>
      <c r="Z1116" s="36"/>
      <c r="AA1116" s="36"/>
      <c r="AB1116" s="36"/>
      <c r="AC1116" s="36"/>
      <c r="AD1116" s="36"/>
      <c r="AE1116" s="36"/>
      <c r="AF1116" s="36"/>
      <c r="AG1116" s="36"/>
      <c r="AH1116" s="90"/>
      <c r="AI1116" s="90"/>
      <c r="AJ1116" s="36"/>
      <c r="AK1116" s="36"/>
      <c r="AN1116" s="36"/>
      <c r="AO1116" s="36"/>
    </row>
    <row r="1117" spans="4:41" s="5" customFormat="1">
      <c r="D1117" s="36"/>
      <c r="E1117" s="36"/>
      <c r="F1117" s="36"/>
      <c r="G1117" s="36"/>
      <c r="H1117" s="36"/>
      <c r="I1117" s="36"/>
      <c r="J1117" s="36"/>
      <c r="K1117" s="36"/>
      <c r="L1117" s="36"/>
      <c r="M1117" s="36"/>
      <c r="N1117" s="36"/>
      <c r="O1117" s="36"/>
      <c r="P1117" s="36"/>
      <c r="Q1117" s="36"/>
      <c r="R1117" s="36"/>
      <c r="S1117" s="36"/>
      <c r="T1117" s="36"/>
      <c r="U1117" s="36"/>
      <c r="V1117" s="36"/>
      <c r="W1117" s="36"/>
      <c r="X1117" s="36"/>
      <c r="Y1117" s="36"/>
      <c r="Z1117" s="36"/>
      <c r="AA1117" s="36"/>
      <c r="AB1117" s="36"/>
      <c r="AC1117" s="36"/>
      <c r="AD1117" s="36"/>
      <c r="AE1117" s="36"/>
      <c r="AF1117" s="36"/>
      <c r="AG1117" s="36"/>
      <c r="AH1117" s="90"/>
      <c r="AI1117" s="90"/>
      <c r="AJ1117" s="36"/>
      <c r="AK1117" s="36"/>
      <c r="AN1117" s="36"/>
      <c r="AO1117" s="36"/>
    </row>
    <row r="1118" spans="4:41" s="5" customFormat="1">
      <c r="D1118" s="36"/>
      <c r="E1118" s="36"/>
      <c r="F1118" s="36"/>
      <c r="G1118" s="36"/>
      <c r="H1118" s="36"/>
      <c r="I1118" s="36"/>
      <c r="J1118" s="36"/>
      <c r="K1118" s="36"/>
      <c r="L1118" s="36"/>
      <c r="M1118" s="36"/>
      <c r="N1118" s="36"/>
      <c r="O1118" s="36"/>
      <c r="P1118" s="36"/>
      <c r="Q1118" s="36"/>
      <c r="R1118" s="36"/>
      <c r="S1118" s="36"/>
      <c r="T1118" s="36"/>
      <c r="U1118" s="36"/>
      <c r="V1118" s="36"/>
      <c r="W1118" s="36"/>
      <c r="X1118" s="36"/>
      <c r="Y1118" s="36"/>
      <c r="Z1118" s="36"/>
      <c r="AA1118" s="36"/>
      <c r="AB1118" s="36"/>
      <c r="AC1118" s="36"/>
      <c r="AD1118" s="36"/>
      <c r="AE1118" s="36"/>
      <c r="AF1118" s="36"/>
      <c r="AG1118" s="36"/>
      <c r="AH1118" s="90"/>
      <c r="AI1118" s="90"/>
      <c r="AJ1118" s="36"/>
      <c r="AK1118" s="36"/>
      <c r="AN1118" s="36"/>
      <c r="AO1118" s="36"/>
    </row>
    <row r="1119" spans="4:41" s="5" customFormat="1">
      <c r="D1119" s="36"/>
      <c r="E1119" s="36"/>
      <c r="F1119" s="36"/>
      <c r="G1119" s="36"/>
      <c r="H1119" s="36"/>
      <c r="I1119" s="36"/>
      <c r="J1119" s="36"/>
      <c r="K1119" s="36"/>
      <c r="L1119" s="36"/>
      <c r="M1119" s="36"/>
      <c r="N1119" s="36"/>
      <c r="O1119" s="36"/>
      <c r="P1119" s="36"/>
      <c r="Q1119" s="36"/>
      <c r="R1119" s="36"/>
      <c r="S1119" s="36"/>
      <c r="T1119" s="36"/>
      <c r="U1119" s="36"/>
      <c r="V1119" s="36"/>
      <c r="W1119" s="36"/>
      <c r="X1119" s="36"/>
      <c r="Y1119" s="36"/>
      <c r="Z1119" s="36"/>
      <c r="AA1119" s="36"/>
      <c r="AB1119" s="36"/>
      <c r="AC1119" s="36"/>
      <c r="AD1119" s="36"/>
      <c r="AE1119" s="36"/>
      <c r="AF1119" s="36"/>
      <c r="AG1119" s="36"/>
      <c r="AH1119" s="90"/>
      <c r="AI1119" s="90"/>
      <c r="AJ1119" s="36"/>
      <c r="AK1119" s="36"/>
      <c r="AN1119" s="36"/>
      <c r="AO1119" s="36"/>
    </row>
    <row r="1120" spans="4:41" s="5" customFormat="1">
      <c r="D1120" s="36"/>
      <c r="E1120" s="36"/>
      <c r="F1120" s="36"/>
      <c r="G1120" s="36"/>
      <c r="H1120" s="36"/>
      <c r="I1120" s="36"/>
      <c r="J1120" s="36"/>
      <c r="K1120" s="36"/>
      <c r="L1120" s="36"/>
      <c r="M1120" s="36"/>
      <c r="N1120" s="36"/>
      <c r="O1120" s="36"/>
      <c r="P1120" s="36"/>
      <c r="Q1120" s="36"/>
      <c r="R1120" s="36"/>
      <c r="S1120" s="36"/>
      <c r="T1120" s="36"/>
      <c r="U1120" s="36"/>
      <c r="V1120" s="36"/>
      <c r="W1120" s="36"/>
      <c r="X1120" s="36"/>
      <c r="Y1120" s="36"/>
      <c r="Z1120" s="36"/>
      <c r="AA1120" s="36"/>
      <c r="AB1120" s="36"/>
      <c r="AC1120" s="36"/>
      <c r="AD1120" s="36"/>
      <c r="AE1120" s="36"/>
      <c r="AF1120" s="36"/>
      <c r="AG1120" s="36"/>
      <c r="AH1120" s="90"/>
      <c r="AI1120" s="90"/>
      <c r="AJ1120" s="36"/>
      <c r="AK1120" s="36"/>
      <c r="AN1120" s="36"/>
      <c r="AO1120" s="36"/>
    </row>
    <row r="1121" spans="4:41" s="5" customFormat="1">
      <c r="D1121" s="36"/>
      <c r="E1121" s="36"/>
      <c r="F1121" s="36"/>
      <c r="G1121" s="36"/>
      <c r="H1121" s="36"/>
      <c r="I1121" s="36"/>
      <c r="J1121" s="36"/>
      <c r="K1121" s="36"/>
      <c r="L1121" s="36"/>
      <c r="M1121" s="36"/>
      <c r="N1121" s="36"/>
      <c r="O1121" s="36"/>
      <c r="P1121" s="36"/>
      <c r="Q1121" s="36"/>
      <c r="R1121" s="36"/>
      <c r="S1121" s="36"/>
      <c r="T1121" s="36"/>
      <c r="U1121" s="36"/>
      <c r="V1121" s="36"/>
      <c r="W1121" s="36"/>
      <c r="X1121" s="36"/>
      <c r="Y1121" s="36"/>
      <c r="Z1121" s="36"/>
      <c r="AA1121" s="36"/>
      <c r="AB1121" s="36"/>
      <c r="AC1121" s="36"/>
      <c r="AD1121" s="36"/>
      <c r="AE1121" s="36"/>
      <c r="AF1121" s="36"/>
      <c r="AG1121" s="36"/>
      <c r="AH1121" s="90"/>
      <c r="AI1121" s="90"/>
      <c r="AJ1121" s="36"/>
      <c r="AK1121" s="36"/>
      <c r="AN1121" s="36"/>
      <c r="AO1121" s="36"/>
    </row>
    <row r="1122" spans="4:41" s="5" customFormat="1">
      <c r="D1122" s="36"/>
      <c r="E1122" s="36"/>
      <c r="F1122" s="36"/>
      <c r="G1122" s="36"/>
      <c r="H1122" s="36"/>
      <c r="I1122" s="36"/>
      <c r="J1122" s="36"/>
      <c r="K1122" s="36"/>
      <c r="L1122" s="36"/>
      <c r="M1122" s="36"/>
      <c r="N1122" s="36"/>
      <c r="O1122" s="36"/>
      <c r="P1122" s="36"/>
      <c r="Q1122" s="36"/>
      <c r="R1122" s="36"/>
      <c r="S1122" s="36"/>
      <c r="T1122" s="36"/>
      <c r="U1122" s="36"/>
      <c r="V1122" s="36"/>
      <c r="W1122" s="36"/>
      <c r="X1122" s="36"/>
      <c r="Y1122" s="36"/>
      <c r="Z1122" s="36"/>
      <c r="AA1122" s="36"/>
      <c r="AB1122" s="36"/>
      <c r="AC1122" s="36"/>
      <c r="AD1122" s="36"/>
      <c r="AE1122" s="36"/>
      <c r="AF1122" s="36"/>
      <c r="AG1122" s="36"/>
      <c r="AH1122" s="90"/>
      <c r="AI1122" s="90"/>
      <c r="AJ1122" s="36"/>
      <c r="AK1122" s="36"/>
      <c r="AN1122" s="36"/>
      <c r="AO1122" s="36"/>
    </row>
    <row r="1123" spans="4:41" s="5" customFormat="1">
      <c r="D1123" s="36"/>
      <c r="E1123" s="36"/>
      <c r="F1123" s="36"/>
      <c r="G1123" s="36"/>
      <c r="H1123" s="36"/>
      <c r="I1123" s="36"/>
      <c r="J1123" s="36"/>
      <c r="K1123" s="36"/>
      <c r="L1123" s="36"/>
      <c r="M1123" s="36"/>
      <c r="N1123" s="36"/>
      <c r="O1123" s="36"/>
      <c r="P1123" s="36"/>
      <c r="Q1123" s="36"/>
      <c r="R1123" s="36"/>
      <c r="S1123" s="36"/>
      <c r="T1123" s="36"/>
      <c r="U1123" s="36"/>
      <c r="V1123" s="36"/>
      <c r="W1123" s="36"/>
      <c r="X1123" s="36"/>
      <c r="Y1123" s="36"/>
      <c r="Z1123" s="36"/>
      <c r="AA1123" s="36"/>
      <c r="AB1123" s="36"/>
      <c r="AC1123" s="36"/>
      <c r="AD1123" s="36"/>
      <c r="AE1123" s="36"/>
      <c r="AF1123" s="36"/>
      <c r="AG1123" s="36"/>
      <c r="AH1123" s="90"/>
      <c r="AI1123" s="90"/>
      <c r="AJ1123" s="36"/>
      <c r="AK1123" s="36"/>
      <c r="AN1123" s="36"/>
      <c r="AO1123" s="36"/>
    </row>
    <row r="1124" spans="4:41" s="5" customFormat="1">
      <c r="D1124" s="36"/>
      <c r="E1124" s="36"/>
      <c r="F1124" s="36"/>
      <c r="G1124" s="36"/>
      <c r="H1124" s="36"/>
      <c r="I1124" s="36"/>
      <c r="J1124" s="36"/>
      <c r="K1124" s="36"/>
      <c r="L1124" s="36"/>
      <c r="M1124" s="36"/>
      <c r="N1124" s="36"/>
      <c r="O1124" s="36"/>
      <c r="P1124" s="36"/>
      <c r="Q1124" s="36"/>
      <c r="R1124" s="36"/>
      <c r="S1124" s="36"/>
      <c r="T1124" s="36"/>
      <c r="U1124" s="36"/>
      <c r="V1124" s="36"/>
      <c r="W1124" s="36"/>
      <c r="X1124" s="36"/>
      <c r="Y1124" s="36"/>
      <c r="Z1124" s="36"/>
      <c r="AA1124" s="36"/>
      <c r="AB1124" s="36"/>
      <c r="AC1124" s="36"/>
      <c r="AD1124" s="36"/>
      <c r="AE1124" s="36"/>
      <c r="AF1124" s="36"/>
      <c r="AG1124" s="36"/>
      <c r="AH1124" s="90"/>
      <c r="AI1124" s="90"/>
      <c r="AJ1124" s="36"/>
      <c r="AK1124" s="36"/>
      <c r="AN1124" s="36"/>
      <c r="AO1124" s="36"/>
    </row>
    <row r="1125" spans="4:41" s="5" customFormat="1">
      <c r="D1125" s="36"/>
      <c r="E1125" s="36"/>
      <c r="F1125" s="36"/>
      <c r="G1125" s="36"/>
      <c r="H1125" s="36"/>
      <c r="I1125" s="36"/>
      <c r="J1125" s="36"/>
      <c r="K1125" s="36"/>
      <c r="L1125" s="36"/>
      <c r="M1125" s="36"/>
      <c r="N1125" s="36"/>
      <c r="O1125" s="36"/>
      <c r="P1125" s="36"/>
      <c r="Q1125" s="36"/>
      <c r="R1125" s="36"/>
      <c r="S1125" s="36"/>
      <c r="T1125" s="36"/>
      <c r="U1125" s="36"/>
      <c r="V1125" s="36"/>
      <c r="W1125" s="36"/>
      <c r="X1125" s="36"/>
      <c r="Y1125" s="36"/>
      <c r="Z1125" s="36"/>
      <c r="AA1125" s="36"/>
      <c r="AB1125" s="36"/>
      <c r="AC1125" s="36"/>
      <c r="AD1125" s="36"/>
      <c r="AE1125" s="36"/>
      <c r="AF1125" s="36"/>
      <c r="AG1125" s="36"/>
      <c r="AH1125" s="90"/>
      <c r="AI1125" s="90"/>
      <c r="AJ1125" s="36"/>
      <c r="AK1125" s="36"/>
      <c r="AN1125" s="36"/>
      <c r="AO1125" s="36"/>
    </row>
    <row r="1126" spans="4:41" s="5" customFormat="1">
      <c r="D1126" s="36"/>
      <c r="E1126" s="36"/>
      <c r="F1126" s="36"/>
      <c r="G1126" s="36"/>
      <c r="H1126" s="36"/>
      <c r="I1126" s="36"/>
      <c r="J1126" s="36"/>
      <c r="K1126" s="36"/>
      <c r="L1126" s="36"/>
      <c r="M1126" s="36"/>
      <c r="N1126" s="36"/>
      <c r="O1126" s="36"/>
      <c r="P1126" s="36"/>
      <c r="Q1126" s="36"/>
      <c r="R1126" s="36"/>
      <c r="S1126" s="36"/>
      <c r="T1126" s="36"/>
      <c r="U1126" s="36"/>
      <c r="V1126" s="36"/>
      <c r="W1126" s="36"/>
      <c r="X1126" s="36"/>
      <c r="Y1126" s="36"/>
      <c r="Z1126" s="36"/>
      <c r="AA1126" s="36"/>
      <c r="AB1126" s="36"/>
      <c r="AC1126" s="36"/>
      <c r="AD1126" s="36"/>
      <c r="AE1126" s="36"/>
      <c r="AF1126" s="36"/>
      <c r="AG1126" s="36"/>
      <c r="AH1126" s="90"/>
      <c r="AI1126" s="90"/>
      <c r="AJ1126" s="36"/>
      <c r="AK1126" s="36"/>
      <c r="AN1126" s="36"/>
      <c r="AO1126" s="36"/>
    </row>
    <row r="1127" spans="4:41" s="5" customFormat="1">
      <c r="D1127" s="36"/>
      <c r="E1127" s="36"/>
      <c r="F1127" s="36"/>
      <c r="G1127" s="36"/>
      <c r="H1127" s="36"/>
      <c r="I1127" s="36"/>
      <c r="J1127" s="36"/>
      <c r="K1127" s="36"/>
      <c r="L1127" s="36"/>
      <c r="M1127" s="36"/>
      <c r="N1127" s="36"/>
      <c r="O1127" s="36"/>
      <c r="P1127" s="36"/>
      <c r="Q1127" s="36"/>
      <c r="R1127" s="36"/>
      <c r="S1127" s="36"/>
      <c r="T1127" s="36"/>
      <c r="U1127" s="36"/>
      <c r="V1127" s="36"/>
      <c r="W1127" s="36"/>
      <c r="X1127" s="36"/>
      <c r="Y1127" s="36"/>
      <c r="Z1127" s="36"/>
      <c r="AA1127" s="36"/>
      <c r="AB1127" s="36"/>
      <c r="AC1127" s="36"/>
      <c r="AD1127" s="36"/>
      <c r="AE1127" s="36"/>
      <c r="AF1127" s="36"/>
      <c r="AG1127" s="36"/>
      <c r="AH1127" s="90"/>
      <c r="AI1127" s="90"/>
      <c r="AJ1127" s="36"/>
      <c r="AK1127" s="36"/>
      <c r="AN1127" s="36"/>
      <c r="AO1127" s="36"/>
    </row>
    <row r="1128" spans="4:41" s="5" customFormat="1">
      <c r="D1128" s="36"/>
      <c r="E1128" s="36"/>
      <c r="F1128" s="36"/>
      <c r="G1128" s="36"/>
      <c r="H1128" s="36"/>
      <c r="I1128" s="36"/>
      <c r="J1128" s="36"/>
      <c r="K1128" s="36"/>
      <c r="L1128" s="36"/>
      <c r="M1128" s="36"/>
      <c r="N1128" s="36"/>
      <c r="O1128" s="36"/>
      <c r="P1128" s="36"/>
      <c r="Q1128" s="36"/>
      <c r="R1128" s="36"/>
      <c r="S1128" s="36"/>
      <c r="T1128" s="36"/>
      <c r="U1128" s="36"/>
      <c r="V1128" s="36"/>
      <c r="W1128" s="36"/>
      <c r="X1128" s="36"/>
      <c r="Y1128" s="36"/>
      <c r="Z1128" s="36"/>
      <c r="AA1128" s="36"/>
      <c r="AB1128" s="36"/>
      <c r="AC1128" s="36"/>
      <c r="AD1128" s="36"/>
      <c r="AE1128" s="36"/>
      <c r="AF1128" s="36"/>
      <c r="AG1128" s="36"/>
      <c r="AH1128" s="90"/>
      <c r="AI1128" s="90"/>
      <c r="AJ1128" s="36"/>
      <c r="AK1128" s="36"/>
      <c r="AN1128" s="36"/>
      <c r="AO1128" s="36"/>
    </row>
    <row r="1129" spans="4:41" s="5" customFormat="1">
      <c r="D1129" s="36"/>
      <c r="E1129" s="36"/>
      <c r="F1129" s="36"/>
      <c r="G1129" s="36"/>
      <c r="H1129" s="36"/>
      <c r="I1129" s="36"/>
      <c r="J1129" s="36"/>
      <c r="K1129" s="36"/>
      <c r="L1129" s="36"/>
      <c r="M1129" s="36"/>
      <c r="N1129" s="36"/>
      <c r="O1129" s="36"/>
      <c r="P1129" s="36"/>
      <c r="Q1129" s="36"/>
      <c r="R1129" s="36"/>
      <c r="S1129" s="36"/>
      <c r="T1129" s="36"/>
      <c r="U1129" s="36"/>
      <c r="V1129" s="36"/>
      <c r="W1129" s="36"/>
      <c r="X1129" s="36"/>
      <c r="Y1129" s="36"/>
      <c r="Z1129" s="36"/>
      <c r="AA1129" s="36"/>
      <c r="AB1129" s="36"/>
      <c r="AC1129" s="36"/>
      <c r="AD1129" s="36"/>
      <c r="AE1129" s="36"/>
      <c r="AF1129" s="36"/>
      <c r="AG1129" s="36"/>
      <c r="AH1129" s="90"/>
      <c r="AI1129" s="90"/>
      <c r="AJ1129" s="36"/>
      <c r="AK1129" s="36"/>
      <c r="AN1129" s="36"/>
      <c r="AO1129" s="36"/>
    </row>
    <row r="1130" spans="4:41" s="5" customFormat="1">
      <c r="D1130" s="36"/>
      <c r="E1130" s="36"/>
      <c r="F1130" s="36"/>
      <c r="G1130" s="36"/>
      <c r="H1130" s="36"/>
      <c r="I1130" s="36"/>
      <c r="J1130" s="36"/>
      <c r="K1130" s="36"/>
      <c r="L1130" s="36"/>
      <c r="M1130" s="36"/>
      <c r="N1130" s="36"/>
      <c r="O1130" s="36"/>
      <c r="P1130" s="36"/>
      <c r="Q1130" s="36"/>
      <c r="R1130" s="36"/>
      <c r="S1130" s="36"/>
      <c r="T1130" s="36"/>
      <c r="U1130" s="36"/>
      <c r="V1130" s="36"/>
      <c r="W1130" s="36"/>
      <c r="X1130" s="36"/>
      <c r="Y1130" s="36"/>
      <c r="Z1130" s="36"/>
      <c r="AA1130" s="36"/>
      <c r="AB1130" s="36"/>
      <c r="AC1130" s="36"/>
      <c r="AD1130" s="36"/>
      <c r="AE1130" s="36"/>
      <c r="AF1130" s="36"/>
      <c r="AG1130" s="36"/>
      <c r="AH1130" s="90"/>
      <c r="AI1130" s="90"/>
      <c r="AJ1130" s="36"/>
      <c r="AK1130" s="36"/>
      <c r="AN1130" s="36"/>
      <c r="AO1130" s="36"/>
    </row>
    <row r="1131" spans="4:41" s="5" customFormat="1">
      <c r="D1131" s="36"/>
      <c r="E1131" s="36"/>
      <c r="F1131" s="36"/>
      <c r="G1131" s="36"/>
      <c r="H1131" s="36"/>
      <c r="I1131" s="36"/>
      <c r="J1131" s="36"/>
      <c r="K1131" s="36"/>
      <c r="L1131" s="36"/>
      <c r="M1131" s="36"/>
      <c r="N1131" s="36"/>
      <c r="O1131" s="36"/>
      <c r="P1131" s="36"/>
      <c r="Q1131" s="36"/>
      <c r="R1131" s="36"/>
      <c r="S1131" s="36"/>
      <c r="T1131" s="36"/>
      <c r="U1131" s="36"/>
      <c r="V1131" s="36"/>
      <c r="W1131" s="36"/>
      <c r="X1131" s="36"/>
      <c r="Y1131" s="36"/>
      <c r="Z1131" s="36"/>
      <c r="AA1131" s="36"/>
      <c r="AB1131" s="36"/>
      <c r="AC1131" s="36"/>
      <c r="AD1131" s="36"/>
      <c r="AE1131" s="36"/>
      <c r="AF1131" s="36"/>
      <c r="AG1131" s="36"/>
      <c r="AH1131" s="90"/>
      <c r="AI1131" s="90"/>
      <c r="AJ1131" s="36"/>
      <c r="AK1131" s="36"/>
      <c r="AN1131" s="36"/>
      <c r="AO1131" s="36"/>
    </row>
    <row r="1132" spans="4:41" s="5" customFormat="1">
      <c r="D1132" s="36"/>
      <c r="E1132" s="36"/>
      <c r="F1132" s="36"/>
      <c r="G1132" s="36"/>
      <c r="H1132" s="36"/>
      <c r="I1132" s="36"/>
      <c r="J1132" s="36"/>
      <c r="K1132" s="36"/>
      <c r="L1132" s="36"/>
      <c r="M1132" s="36"/>
      <c r="N1132" s="36"/>
      <c r="O1132" s="36"/>
      <c r="P1132" s="36"/>
      <c r="Q1132" s="36"/>
      <c r="R1132" s="36"/>
      <c r="S1132" s="36"/>
      <c r="T1132" s="36"/>
      <c r="U1132" s="36"/>
      <c r="V1132" s="36"/>
      <c r="W1132" s="36"/>
      <c r="X1132" s="36"/>
      <c r="Y1132" s="36"/>
      <c r="Z1132" s="36"/>
      <c r="AA1132" s="36"/>
      <c r="AB1132" s="36"/>
      <c r="AC1132" s="36"/>
      <c r="AD1132" s="36"/>
      <c r="AE1132" s="36"/>
      <c r="AF1132" s="36"/>
      <c r="AG1132" s="36"/>
      <c r="AH1132" s="90"/>
      <c r="AI1132" s="90"/>
      <c r="AJ1132" s="36"/>
      <c r="AK1132" s="36"/>
      <c r="AN1132" s="36"/>
      <c r="AO1132" s="36"/>
    </row>
    <row r="1133" spans="4:41" s="5" customFormat="1">
      <c r="D1133" s="36"/>
      <c r="E1133" s="36"/>
      <c r="F1133" s="36"/>
      <c r="G1133" s="36"/>
      <c r="H1133" s="36"/>
      <c r="I1133" s="36"/>
      <c r="J1133" s="36"/>
      <c r="K1133" s="36"/>
      <c r="L1133" s="36"/>
      <c r="M1133" s="36"/>
      <c r="N1133" s="36"/>
      <c r="O1133" s="36"/>
      <c r="P1133" s="36"/>
      <c r="Q1133" s="36"/>
      <c r="R1133" s="36"/>
      <c r="S1133" s="36"/>
      <c r="T1133" s="36"/>
      <c r="U1133" s="36"/>
      <c r="V1133" s="36"/>
      <c r="W1133" s="36"/>
      <c r="X1133" s="36"/>
      <c r="Y1133" s="36"/>
      <c r="Z1133" s="36"/>
      <c r="AA1133" s="36"/>
      <c r="AB1133" s="36"/>
      <c r="AC1133" s="36"/>
      <c r="AD1133" s="36"/>
      <c r="AE1133" s="36"/>
      <c r="AF1133" s="36"/>
      <c r="AG1133" s="36"/>
      <c r="AH1133" s="90"/>
      <c r="AI1133" s="90"/>
      <c r="AJ1133" s="36"/>
      <c r="AK1133" s="36"/>
      <c r="AN1133" s="36"/>
      <c r="AO1133" s="36"/>
    </row>
    <row r="1134" spans="4:41" s="5" customFormat="1">
      <c r="D1134" s="36"/>
      <c r="E1134" s="36"/>
      <c r="F1134" s="36"/>
      <c r="G1134" s="36"/>
      <c r="H1134" s="36"/>
      <c r="I1134" s="36"/>
      <c r="J1134" s="36"/>
      <c r="K1134" s="36"/>
      <c r="L1134" s="36"/>
      <c r="M1134" s="36"/>
      <c r="N1134" s="36"/>
      <c r="O1134" s="36"/>
      <c r="P1134" s="36"/>
      <c r="Q1134" s="36"/>
      <c r="R1134" s="36"/>
      <c r="S1134" s="36"/>
      <c r="T1134" s="36"/>
      <c r="U1134" s="36"/>
      <c r="V1134" s="36"/>
      <c r="W1134" s="36"/>
      <c r="X1134" s="36"/>
      <c r="Y1134" s="36"/>
      <c r="Z1134" s="36"/>
      <c r="AA1134" s="36"/>
      <c r="AB1134" s="36"/>
      <c r="AC1134" s="36"/>
      <c r="AD1134" s="36"/>
      <c r="AE1134" s="36"/>
      <c r="AF1134" s="36"/>
      <c r="AG1134" s="36"/>
      <c r="AH1134" s="90"/>
      <c r="AI1134" s="90"/>
      <c r="AJ1134" s="36"/>
      <c r="AK1134" s="36"/>
      <c r="AN1134" s="36"/>
      <c r="AO1134" s="36"/>
    </row>
    <row r="1135" spans="4:41" s="5" customFormat="1">
      <c r="D1135" s="36"/>
      <c r="E1135" s="36"/>
      <c r="F1135" s="36"/>
      <c r="G1135" s="36"/>
      <c r="H1135" s="36"/>
      <c r="I1135" s="36"/>
      <c r="J1135" s="36"/>
      <c r="K1135" s="36"/>
      <c r="L1135" s="36"/>
      <c r="M1135" s="36"/>
      <c r="N1135" s="36"/>
      <c r="O1135" s="36"/>
      <c r="P1135" s="36"/>
      <c r="Q1135" s="36"/>
      <c r="R1135" s="36"/>
      <c r="S1135" s="36"/>
      <c r="T1135" s="36"/>
      <c r="U1135" s="36"/>
      <c r="V1135" s="36"/>
      <c r="W1135" s="36"/>
      <c r="X1135" s="36"/>
      <c r="Y1135" s="36"/>
      <c r="Z1135" s="36"/>
      <c r="AA1135" s="36"/>
      <c r="AB1135" s="36"/>
      <c r="AC1135" s="36"/>
      <c r="AD1135" s="36"/>
      <c r="AE1135" s="36"/>
      <c r="AF1135" s="36"/>
      <c r="AG1135" s="36"/>
      <c r="AH1135" s="90"/>
      <c r="AI1135" s="90"/>
      <c r="AJ1135" s="36"/>
      <c r="AK1135" s="36"/>
      <c r="AN1135" s="36"/>
      <c r="AO1135" s="36"/>
    </row>
    <row r="1136" spans="4:41" s="5" customFormat="1">
      <c r="D1136" s="36"/>
      <c r="E1136" s="36"/>
      <c r="F1136" s="36"/>
      <c r="G1136" s="36"/>
      <c r="H1136" s="36"/>
      <c r="I1136" s="36"/>
      <c r="J1136" s="36"/>
      <c r="K1136" s="36"/>
      <c r="L1136" s="36"/>
      <c r="M1136" s="36"/>
      <c r="N1136" s="36"/>
      <c r="O1136" s="36"/>
      <c r="P1136" s="36"/>
      <c r="Q1136" s="36"/>
      <c r="R1136" s="36"/>
      <c r="S1136" s="36"/>
      <c r="T1136" s="36"/>
      <c r="U1136" s="36"/>
      <c r="V1136" s="36"/>
      <c r="W1136" s="36"/>
      <c r="X1136" s="36"/>
      <c r="Y1136" s="36"/>
      <c r="Z1136" s="36"/>
      <c r="AA1136" s="36"/>
      <c r="AB1136" s="36"/>
      <c r="AC1136" s="36"/>
      <c r="AD1136" s="36"/>
      <c r="AE1136" s="36"/>
      <c r="AF1136" s="36"/>
      <c r="AG1136" s="36"/>
      <c r="AH1136" s="90"/>
      <c r="AI1136" s="90"/>
      <c r="AJ1136" s="36"/>
      <c r="AK1136" s="36"/>
      <c r="AN1136" s="36"/>
      <c r="AO1136" s="36"/>
    </row>
    <row r="1137" spans="4:41" s="5" customFormat="1">
      <c r="D1137" s="36"/>
      <c r="E1137" s="36"/>
      <c r="F1137" s="36"/>
      <c r="G1137" s="36"/>
      <c r="H1137" s="36"/>
      <c r="I1137" s="36"/>
      <c r="J1137" s="36"/>
      <c r="K1137" s="36"/>
      <c r="L1137" s="36"/>
      <c r="M1137" s="36"/>
      <c r="N1137" s="36"/>
      <c r="O1137" s="36"/>
      <c r="P1137" s="36"/>
      <c r="Q1137" s="36"/>
      <c r="R1137" s="36"/>
      <c r="S1137" s="36"/>
      <c r="T1137" s="36"/>
      <c r="U1137" s="36"/>
      <c r="V1137" s="36"/>
      <c r="W1137" s="36"/>
      <c r="X1137" s="36"/>
      <c r="Y1137" s="36"/>
      <c r="Z1137" s="36"/>
      <c r="AA1137" s="36"/>
      <c r="AB1137" s="36"/>
      <c r="AC1137" s="36"/>
      <c r="AD1137" s="36"/>
      <c r="AE1137" s="36"/>
      <c r="AF1137" s="36"/>
      <c r="AG1137" s="36"/>
      <c r="AH1137" s="90"/>
      <c r="AI1137" s="90"/>
      <c r="AJ1137" s="36"/>
      <c r="AK1137" s="36"/>
      <c r="AN1137" s="36"/>
      <c r="AO1137" s="36"/>
    </row>
    <row r="1138" spans="4:41" s="5" customFormat="1">
      <c r="D1138" s="36"/>
      <c r="E1138" s="36"/>
      <c r="F1138" s="36"/>
      <c r="G1138" s="36"/>
      <c r="H1138" s="36"/>
      <c r="I1138" s="36"/>
      <c r="J1138" s="36"/>
      <c r="K1138" s="36"/>
      <c r="L1138" s="36"/>
      <c r="M1138" s="36"/>
      <c r="N1138" s="36"/>
      <c r="O1138" s="36"/>
      <c r="P1138" s="36"/>
      <c r="Q1138" s="36"/>
      <c r="R1138" s="36"/>
      <c r="S1138" s="36"/>
      <c r="T1138" s="36"/>
      <c r="U1138" s="36"/>
      <c r="V1138" s="36"/>
      <c r="W1138" s="36"/>
      <c r="X1138" s="36"/>
      <c r="Y1138" s="36"/>
      <c r="Z1138" s="36"/>
      <c r="AA1138" s="36"/>
      <c r="AB1138" s="36"/>
      <c r="AC1138" s="36"/>
      <c r="AD1138" s="36"/>
      <c r="AE1138" s="36"/>
      <c r="AF1138" s="36"/>
      <c r="AG1138" s="36"/>
      <c r="AH1138" s="90"/>
      <c r="AI1138" s="90"/>
      <c r="AJ1138" s="36"/>
      <c r="AK1138" s="36"/>
      <c r="AN1138" s="36"/>
      <c r="AO1138" s="36"/>
    </row>
    <row r="1139" spans="4:41" s="5" customFormat="1">
      <c r="D1139" s="36"/>
      <c r="E1139" s="36"/>
      <c r="F1139" s="36"/>
      <c r="G1139" s="36"/>
      <c r="H1139" s="36"/>
      <c r="I1139" s="36"/>
      <c r="J1139" s="36"/>
      <c r="K1139" s="36"/>
      <c r="L1139" s="36"/>
      <c r="M1139" s="36"/>
      <c r="N1139" s="36"/>
      <c r="O1139" s="36"/>
      <c r="P1139" s="36"/>
      <c r="Q1139" s="36"/>
      <c r="R1139" s="36"/>
      <c r="S1139" s="36"/>
      <c r="T1139" s="36"/>
      <c r="U1139" s="36"/>
      <c r="V1139" s="36"/>
      <c r="W1139" s="36"/>
      <c r="X1139" s="36"/>
      <c r="Y1139" s="36"/>
      <c r="Z1139" s="36"/>
      <c r="AA1139" s="36"/>
      <c r="AB1139" s="36"/>
      <c r="AC1139" s="36"/>
      <c r="AD1139" s="36"/>
      <c r="AE1139" s="36"/>
      <c r="AF1139" s="36"/>
      <c r="AG1139" s="36"/>
      <c r="AH1139" s="90"/>
      <c r="AI1139" s="90"/>
      <c r="AJ1139" s="36"/>
      <c r="AK1139" s="36"/>
      <c r="AN1139" s="36"/>
      <c r="AO1139" s="36"/>
    </row>
    <row r="1140" spans="4:41" s="5" customFormat="1">
      <c r="D1140" s="36"/>
      <c r="E1140" s="36"/>
      <c r="F1140" s="36"/>
      <c r="G1140" s="36"/>
      <c r="H1140" s="36"/>
      <c r="I1140" s="36"/>
      <c r="J1140" s="36"/>
      <c r="K1140" s="36"/>
      <c r="L1140" s="36"/>
      <c r="M1140" s="36"/>
      <c r="N1140" s="36"/>
      <c r="O1140" s="36"/>
      <c r="P1140" s="36"/>
      <c r="Q1140" s="36"/>
      <c r="R1140" s="36"/>
      <c r="S1140" s="36"/>
      <c r="T1140" s="36"/>
      <c r="U1140" s="36"/>
      <c r="V1140" s="36"/>
      <c r="W1140" s="36"/>
      <c r="X1140" s="36"/>
      <c r="Y1140" s="36"/>
      <c r="Z1140" s="36"/>
      <c r="AA1140" s="36"/>
      <c r="AB1140" s="36"/>
      <c r="AC1140" s="36"/>
      <c r="AD1140" s="36"/>
      <c r="AE1140" s="36"/>
      <c r="AF1140" s="36"/>
      <c r="AG1140" s="36"/>
      <c r="AH1140" s="90"/>
      <c r="AI1140" s="90"/>
      <c r="AJ1140" s="36"/>
      <c r="AK1140" s="36"/>
      <c r="AN1140" s="36"/>
      <c r="AO1140" s="36"/>
    </row>
    <row r="1141" spans="4:41" s="5" customFormat="1">
      <c r="D1141" s="36"/>
      <c r="E1141" s="36"/>
      <c r="F1141" s="36"/>
      <c r="G1141" s="36"/>
      <c r="H1141" s="36"/>
      <c r="I1141" s="36"/>
      <c r="J1141" s="36"/>
      <c r="K1141" s="36"/>
      <c r="L1141" s="36"/>
      <c r="M1141" s="36"/>
      <c r="N1141" s="36"/>
      <c r="O1141" s="36"/>
      <c r="P1141" s="36"/>
      <c r="Q1141" s="36"/>
      <c r="R1141" s="36"/>
      <c r="S1141" s="36"/>
      <c r="T1141" s="36"/>
      <c r="U1141" s="36"/>
      <c r="V1141" s="36"/>
      <c r="W1141" s="36"/>
      <c r="X1141" s="36"/>
      <c r="Y1141" s="36"/>
      <c r="Z1141" s="36"/>
      <c r="AA1141" s="36"/>
      <c r="AB1141" s="36"/>
      <c r="AC1141" s="36"/>
      <c r="AD1141" s="36"/>
      <c r="AE1141" s="36"/>
      <c r="AF1141" s="36"/>
      <c r="AG1141" s="36"/>
      <c r="AH1141" s="90"/>
      <c r="AI1141" s="90"/>
      <c r="AJ1141" s="36"/>
      <c r="AK1141" s="36"/>
      <c r="AN1141" s="36"/>
      <c r="AO1141" s="36"/>
    </row>
    <row r="1142" spans="4:41" s="5" customFormat="1">
      <c r="D1142" s="36"/>
      <c r="E1142" s="36"/>
      <c r="F1142" s="36"/>
      <c r="G1142" s="36"/>
      <c r="H1142" s="36"/>
      <c r="I1142" s="36"/>
      <c r="J1142" s="36"/>
      <c r="K1142" s="36"/>
      <c r="L1142" s="36"/>
      <c r="M1142" s="36"/>
      <c r="N1142" s="36"/>
      <c r="O1142" s="36"/>
      <c r="P1142" s="36"/>
      <c r="Q1142" s="36"/>
      <c r="R1142" s="36"/>
      <c r="S1142" s="36"/>
      <c r="T1142" s="36"/>
      <c r="U1142" s="36"/>
      <c r="V1142" s="36"/>
      <c r="W1142" s="36"/>
      <c r="X1142" s="36"/>
      <c r="Y1142" s="36"/>
      <c r="Z1142" s="36"/>
      <c r="AA1142" s="36"/>
      <c r="AB1142" s="36"/>
      <c r="AC1142" s="36"/>
      <c r="AD1142" s="36"/>
      <c r="AE1142" s="36"/>
      <c r="AF1142" s="36"/>
      <c r="AG1142" s="36"/>
      <c r="AH1142" s="90"/>
      <c r="AI1142" s="90"/>
      <c r="AJ1142" s="36"/>
      <c r="AK1142" s="36"/>
      <c r="AN1142" s="36"/>
      <c r="AO1142" s="36"/>
    </row>
    <row r="1143" spans="4:41" s="5" customFormat="1">
      <c r="D1143" s="36"/>
      <c r="E1143" s="36"/>
      <c r="F1143" s="36"/>
      <c r="G1143" s="36"/>
      <c r="H1143" s="36"/>
      <c r="I1143" s="36"/>
      <c r="J1143" s="36"/>
      <c r="K1143" s="36"/>
      <c r="L1143" s="36"/>
      <c r="M1143" s="36"/>
      <c r="N1143" s="36"/>
      <c r="O1143" s="36"/>
      <c r="P1143" s="36"/>
      <c r="Q1143" s="36"/>
      <c r="R1143" s="36"/>
      <c r="S1143" s="36"/>
      <c r="T1143" s="36"/>
      <c r="U1143" s="36"/>
      <c r="V1143" s="36"/>
      <c r="W1143" s="36"/>
      <c r="X1143" s="36"/>
      <c r="Y1143" s="36"/>
      <c r="Z1143" s="36"/>
      <c r="AA1143" s="36"/>
      <c r="AB1143" s="36"/>
      <c r="AC1143" s="36"/>
      <c r="AD1143" s="36"/>
      <c r="AE1143" s="36"/>
      <c r="AF1143" s="36"/>
      <c r="AG1143" s="36"/>
      <c r="AH1143" s="90"/>
      <c r="AI1143" s="90"/>
      <c r="AJ1143" s="36"/>
      <c r="AK1143" s="36"/>
      <c r="AN1143" s="36"/>
      <c r="AO1143" s="36"/>
    </row>
    <row r="1144" spans="4:41" s="5" customFormat="1">
      <c r="D1144" s="36"/>
      <c r="E1144" s="36"/>
      <c r="F1144" s="36"/>
      <c r="G1144" s="36"/>
      <c r="H1144" s="36"/>
      <c r="I1144" s="36"/>
      <c r="J1144" s="36"/>
      <c r="K1144" s="36"/>
      <c r="L1144" s="36"/>
      <c r="M1144" s="36"/>
      <c r="N1144" s="36"/>
      <c r="O1144" s="36"/>
      <c r="P1144" s="36"/>
      <c r="Q1144" s="36"/>
      <c r="R1144" s="36"/>
      <c r="S1144" s="36"/>
      <c r="T1144" s="36"/>
      <c r="U1144" s="36"/>
      <c r="V1144" s="36"/>
      <c r="W1144" s="36"/>
      <c r="X1144" s="36"/>
      <c r="Y1144" s="36"/>
      <c r="Z1144" s="36"/>
      <c r="AA1144" s="36"/>
      <c r="AB1144" s="36"/>
      <c r="AC1144" s="36"/>
      <c r="AD1144" s="36"/>
      <c r="AE1144" s="36"/>
      <c r="AF1144" s="36"/>
      <c r="AG1144" s="36"/>
      <c r="AH1144" s="90"/>
      <c r="AI1144" s="90"/>
      <c r="AJ1144" s="36"/>
      <c r="AK1144" s="36"/>
      <c r="AN1144" s="36"/>
      <c r="AO1144" s="36"/>
    </row>
    <row r="1145" spans="4:41" s="5" customFormat="1">
      <c r="D1145" s="36"/>
      <c r="E1145" s="36"/>
      <c r="F1145" s="36"/>
      <c r="G1145" s="36"/>
      <c r="H1145" s="36"/>
      <c r="I1145" s="36"/>
      <c r="J1145" s="36"/>
      <c r="K1145" s="36"/>
      <c r="L1145" s="36"/>
      <c r="M1145" s="36"/>
      <c r="N1145" s="36"/>
      <c r="O1145" s="36"/>
      <c r="P1145" s="36"/>
      <c r="Q1145" s="36"/>
      <c r="R1145" s="36"/>
      <c r="S1145" s="36"/>
      <c r="T1145" s="36"/>
      <c r="U1145" s="36"/>
      <c r="V1145" s="36"/>
      <c r="W1145" s="36"/>
      <c r="X1145" s="36"/>
      <c r="Y1145" s="36"/>
      <c r="Z1145" s="36"/>
      <c r="AA1145" s="36"/>
      <c r="AB1145" s="36"/>
      <c r="AC1145" s="36"/>
      <c r="AD1145" s="36"/>
      <c r="AE1145" s="36"/>
      <c r="AF1145" s="36"/>
      <c r="AG1145" s="36"/>
      <c r="AH1145" s="90"/>
      <c r="AI1145" s="90"/>
      <c r="AJ1145" s="36"/>
      <c r="AK1145" s="36"/>
      <c r="AN1145" s="36"/>
      <c r="AO1145" s="36"/>
    </row>
    <row r="1146" spans="4:41" s="5" customFormat="1">
      <c r="D1146" s="36"/>
      <c r="E1146" s="36"/>
      <c r="F1146" s="36"/>
      <c r="G1146" s="36"/>
      <c r="H1146" s="36"/>
      <c r="I1146" s="36"/>
      <c r="J1146" s="36"/>
      <c r="K1146" s="36"/>
      <c r="L1146" s="36"/>
      <c r="M1146" s="36"/>
      <c r="N1146" s="36"/>
      <c r="O1146" s="36"/>
      <c r="P1146" s="36"/>
      <c r="Q1146" s="36"/>
      <c r="R1146" s="36"/>
      <c r="S1146" s="36"/>
      <c r="T1146" s="36"/>
      <c r="U1146" s="36"/>
      <c r="V1146" s="36"/>
      <c r="W1146" s="36"/>
      <c r="X1146" s="36"/>
      <c r="Y1146" s="36"/>
      <c r="Z1146" s="36"/>
      <c r="AA1146" s="36"/>
      <c r="AB1146" s="36"/>
      <c r="AC1146" s="36"/>
      <c r="AD1146" s="36"/>
      <c r="AE1146" s="36"/>
      <c r="AF1146" s="36"/>
      <c r="AG1146" s="36"/>
      <c r="AH1146" s="90"/>
      <c r="AI1146" s="90"/>
      <c r="AJ1146" s="36"/>
      <c r="AK1146" s="36"/>
      <c r="AN1146" s="36"/>
      <c r="AO1146" s="36"/>
    </row>
    <row r="1147" spans="4:41" s="5" customFormat="1">
      <c r="D1147" s="36"/>
      <c r="E1147" s="36"/>
      <c r="F1147" s="36"/>
      <c r="G1147" s="36"/>
      <c r="H1147" s="36"/>
      <c r="I1147" s="36"/>
      <c r="J1147" s="36"/>
      <c r="K1147" s="36"/>
      <c r="L1147" s="36"/>
      <c r="M1147" s="36"/>
      <c r="N1147" s="36"/>
      <c r="O1147" s="36"/>
      <c r="P1147" s="36"/>
      <c r="Q1147" s="36"/>
      <c r="R1147" s="36"/>
      <c r="S1147" s="36"/>
      <c r="T1147" s="36"/>
      <c r="U1147" s="36"/>
      <c r="V1147" s="36"/>
      <c r="W1147" s="36"/>
      <c r="X1147" s="36"/>
      <c r="Y1147" s="36"/>
      <c r="Z1147" s="36"/>
      <c r="AA1147" s="36"/>
      <c r="AB1147" s="36"/>
      <c r="AC1147" s="36"/>
      <c r="AD1147" s="36"/>
      <c r="AE1147" s="36"/>
      <c r="AF1147" s="36"/>
      <c r="AG1147" s="36"/>
      <c r="AH1147" s="90"/>
      <c r="AI1147" s="90"/>
      <c r="AJ1147" s="36"/>
      <c r="AK1147" s="36"/>
      <c r="AN1147" s="36"/>
      <c r="AO1147" s="36"/>
    </row>
    <row r="1148" spans="4:41" s="5" customFormat="1">
      <c r="D1148" s="36"/>
      <c r="E1148" s="36"/>
      <c r="F1148" s="36"/>
      <c r="G1148" s="36"/>
      <c r="H1148" s="36"/>
      <c r="I1148" s="36"/>
      <c r="J1148" s="36"/>
      <c r="K1148" s="36"/>
      <c r="L1148" s="36"/>
      <c r="M1148" s="36"/>
      <c r="N1148" s="36"/>
      <c r="O1148" s="36"/>
      <c r="P1148" s="36"/>
      <c r="Q1148" s="36"/>
      <c r="R1148" s="36"/>
      <c r="S1148" s="36"/>
      <c r="T1148" s="36"/>
      <c r="U1148" s="36"/>
      <c r="V1148" s="36"/>
      <c r="W1148" s="36"/>
      <c r="X1148" s="36"/>
      <c r="Y1148" s="36"/>
      <c r="Z1148" s="36"/>
      <c r="AA1148" s="36"/>
      <c r="AB1148" s="36"/>
      <c r="AC1148" s="36"/>
      <c r="AD1148" s="36"/>
      <c r="AE1148" s="36"/>
      <c r="AF1148" s="36"/>
      <c r="AG1148" s="36"/>
      <c r="AH1148" s="90"/>
      <c r="AI1148" s="90"/>
      <c r="AJ1148" s="36"/>
      <c r="AK1148" s="36"/>
      <c r="AN1148" s="36"/>
      <c r="AO1148" s="36"/>
    </row>
    <row r="1149" spans="4:41" s="5" customFormat="1">
      <c r="D1149" s="36"/>
      <c r="E1149" s="36"/>
      <c r="F1149" s="36"/>
      <c r="G1149" s="36"/>
      <c r="H1149" s="36"/>
      <c r="I1149" s="36"/>
      <c r="J1149" s="36"/>
      <c r="K1149" s="36"/>
      <c r="L1149" s="36"/>
      <c r="M1149" s="36"/>
      <c r="N1149" s="36"/>
      <c r="O1149" s="36"/>
      <c r="P1149" s="36"/>
      <c r="Q1149" s="36"/>
      <c r="R1149" s="36"/>
      <c r="S1149" s="36"/>
      <c r="T1149" s="36"/>
      <c r="U1149" s="36"/>
      <c r="V1149" s="36"/>
      <c r="W1149" s="36"/>
      <c r="X1149" s="36"/>
      <c r="Y1149" s="36"/>
      <c r="Z1149" s="36"/>
      <c r="AA1149" s="36"/>
      <c r="AB1149" s="36"/>
      <c r="AC1149" s="36"/>
      <c r="AD1149" s="36"/>
      <c r="AE1149" s="36"/>
      <c r="AF1149" s="36"/>
      <c r="AG1149" s="36"/>
      <c r="AH1149" s="90"/>
      <c r="AI1149" s="90"/>
      <c r="AJ1149" s="36"/>
      <c r="AK1149" s="36"/>
      <c r="AN1149" s="36"/>
      <c r="AO1149" s="36"/>
    </row>
    <row r="1150" spans="4:41" s="5" customFormat="1">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c r="Z1150" s="36"/>
      <c r="AA1150" s="36"/>
      <c r="AB1150" s="36"/>
      <c r="AC1150" s="36"/>
      <c r="AD1150" s="36"/>
      <c r="AE1150" s="36"/>
      <c r="AF1150" s="36"/>
      <c r="AG1150" s="36"/>
      <c r="AH1150" s="90"/>
      <c r="AI1150" s="90"/>
      <c r="AJ1150" s="36"/>
      <c r="AK1150" s="36"/>
      <c r="AN1150" s="36"/>
      <c r="AO1150" s="36"/>
    </row>
    <row r="1151" spans="4:41" s="5" customFormat="1">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c r="Z1151" s="36"/>
      <c r="AA1151" s="36"/>
      <c r="AB1151" s="36"/>
      <c r="AC1151" s="36"/>
      <c r="AD1151" s="36"/>
      <c r="AE1151" s="36"/>
      <c r="AF1151" s="36"/>
      <c r="AG1151" s="36"/>
      <c r="AH1151" s="90"/>
      <c r="AI1151" s="90"/>
      <c r="AJ1151" s="36"/>
      <c r="AK1151" s="36"/>
      <c r="AN1151" s="36"/>
      <c r="AO1151" s="36"/>
    </row>
    <row r="1152" spans="4:41" s="5" customFormat="1">
      <c r="D1152" s="36"/>
      <c r="E1152" s="36"/>
      <c r="F1152" s="36"/>
      <c r="G1152" s="36"/>
      <c r="H1152" s="36"/>
      <c r="I1152" s="36"/>
      <c r="J1152" s="36"/>
      <c r="K1152" s="36"/>
      <c r="L1152" s="36"/>
      <c r="M1152" s="36"/>
      <c r="N1152" s="36"/>
      <c r="O1152" s="36"/>
      <c r="P1152" s="36"/>
      <c r="Q1152" s="36"/>
      <c r="R1152" s="36"/>
      <c r="S1152" s="36"/>
      <c r="T1152" s="36"/>
      <c r="U1152" s="36"/>
      <c r="V1152" s="36"/>
      <c r="W1152" s="36"/>
      <c r="X1152" s="36"/>
      <c r="Y1152" s="36"/>
      <c r="Z1152" s="36"/>
      <c r="AA1152" s="36"/>
      <c r="AB1152" s="36"/>
      <c r="AC1152" s="36"/>
      <c r="AD1152" s="36"/>
      <c r="AE1152" s="36"/>
      <c r="AF1152" s="36"/>
      <c r="AG1152" s="36"/>
      <c r="AH1152" s="90"/>
      <c r="AI1152" s="90"/>
      <c r="AJ1152" s="36"/>
      <c r="AK1152" s="36"/>
      <c r="AN1152" s="36"/>
      <c r="AO1152" s="36"/>
    </row>
    <row r="1153" spans="4:41" s="5" customFormat="1">
      <c r="D1153" s="36"/>
      <c r="E1153" s="36"/>
      <c r="F1153" s="36"/>
      <c r="G1153" s="36"/>
      <c r="H1153" s="36"/>
      <c r="I1153" s="36"/>
      <c r="J1153" s="36"/>
      <c r="K1153" s="36"/>
      <c r="L1153" s="36"/>
      <c r="M1153" s="36"/>
      <c r="N1153" s="36"/>
      <c r="O1153" s="36"/>
      <c r="P1153" s="36"/>
      <c r="Q1153" s="36"/>
      <c r="R1153" s="36"/>
      <c r="S1153" s="36"/>
      <c r="T1153" s="36"/>
      <c r="U1153" s="36"/>
      <c r="V1153" s="36"/>
      <c r="W1153" s="36"/>
      <c r="X1153" s="36"/>
      <c r="Y1153" s="36"/>
      <c r="Z1153" s="36"/>
      <c r="AA1153" s="36"/>
      <c r="AB1153" s="36"/>
      <c r="AC1153" s="36"/>
      <c r="AD1153" s="36"/>
      <c r="AE1153" s="36"/>
      <c r="AF1153" s="36"/>
      <c r="AG1153" s="36"/>
      <c r="AH1153" s="90"/>
      <c r="AI1153" s="90"/>
      <c r="AJ1153" s="36"/>
      <c r="AK1153" s="36"/>
      <c r="AN1153" s="36"/>
      <c r="AO1153" s="36"/>
    </row>
    <row r="1154" spans="4:41" s="5" customFormat="1">
      <c r="D1154" s="36"/>
      <c r="E1154" s="36"/>
      <c r="F1154" s="36"/>
      <c r="G1154" s="36"/>
      <c r="H1154" s="36"/>
      <c r="I1154" s="36"/>
      <c r="J1154" s="36"/>
      <c r="K1154" s="36"/>
      <c r="L1154" s="36"/>
      <c r="M1154" s="36"/>
      <c r="N1154" s="36"/>
      <c r="O1154" s="36"/>
      <c r="P1154" s="36"/>
      <c r="Q1154" s="36"/>
      <c r="R1154" s="36"/>
      <c r="S1154" s="36"/>
      <c r="T1154" s="36"/>
      <c r="U1154" s="36"/>
      <c r="V1154" s="36"/>
      <c r="W1154" s="36"/>
      <c r="X1154" s="36"/>
      <c r="Y1154" s="36"/>
      <c r="Z1154" s="36"/>
      <c r="AA1154" s="36"/>
      <c r="AB1154" s="36"/>
      <c r="AC1154" s="36"/>
      <c r="AD1154" s="36"/>
      <c r="AE1154" s="36"/>
      <c r="AF1154" s="36"/>
      <c r="AG1154" s="36"/>
      <c r="AH1154" s="90"/>
      <c r="AI1154" s="90"/>
      <c r="AJ1154" s="36"/>
      <c r="AK1154" s="36"/>
      <c r="AN1154" s="36"/>
      <c r="AO1154" s="36"/>
    </row>
    <row r="1155" spans="4:41" s="5" customFormat="1">
      <c r="D1155" s="36"/>
      <c r="E1155" s="36"/>
      <c r="F1155" s="36"/>
      <c r="G1155" s="36"/>
      <c r="H1155" s="36"/>
      <c r="I1155" s="36"/>
      <c r="J1155" s="36"/>
      <c r="K1155" s="36"/>
      <c r="L1155" s="36"/>
      <c r="M1155" s="36"/>
      <c r="N1155" s="36"/>
      <c r="O1155" s="36"/>
      <c r="P1155" s="36"/>
      <c r="Q1155" s="36"/>
      <c r="R1155" s="36"/>
      <c r="S1155" s="36"/>
      <c r="T1155" s="36"/>
      <c r="U1155" s="36"/>
      <c r="V1155" s="36"/>
      <c r="W1155" s="36"/>
      <c r="X1155" s="36"/>
      <c r="Y1155" s="36"/>
      <c r="Z1155" s="36"/>
      <c r="AA1155" s="36"/>
      <c r="AB1155" s="36"/>
      <c r="AC1155" s="36"/>
      <c r="AD1155" s="36"/>
      <c r="AE1155" s="36"/>
      <c r="AF1155" s="36"/>
      <c r="AG1155" s="36"/>
      <c r="AH1155" s="90"/>
      <c r="AI1155" s="90"/>
      <c r="AJ1155" s="36"/>
      <c r="AK1155" s="36"/>
      <c r="AN1155" s="36"/>
      <c r="AO1155" s="36"/>
    </row>
    <row r="1156" spans="4:41" s="5" customFormat="1">
      <c r="D1156" s="36"/>
      <c r="E1156" s="36"/>
      <c r="F1156" s="36"/>
      <c r="G1156" s="36"/>
      <c r="H1156" s="36"/>
      <c r="I1156" s="36"/>
      <c r="J1156" s="36"/>
      <c r="K1156" s="36"/>
      <c r="L1156" s="36"/>
      <c r="M1156" s="36"/>
      <c r="N1156" s="36"/>
      <c r="O1156" s="36"/>
      <c r="P1156" s="36"/>
      <c r="Q1156" s="36"/>
      <c r="R1156" s="36"/>
      <c r="S1156" s="36"/>
      <c r="T1156" s="36"/>
      <c r="U1156" s="36"/>
      <c r="V1156" s="36"/>
      <c r="W1156" s="36"/>
      <c r="X1156" s="36"/>
      <c r="Y1156" s="36"/>
      <c r="Z1156" s="36"/>
      <c r="AA1156" s="36"/>
      <c r="AB1156" s="36"/>
      <c r="AC1156" s="36"/>
      <c r="AD1156" s="36"/>
      <c r="AE1156" s="36"/>
      <c r="AF1156" s="36"/>
      <c r="AG1156" s="36"/>
      <c r="AH1156" s="90"/>
      <c r="AI1156" s="90"/>
      <c r="AJ1156" s="36"/>
      <c r="AK1156" s="36"/>
      <c r="AN1156" s="36"/>
      <c r="AO1156" s="36"/>
    </row>
    <row r="1157" spans="4:41" s="5" customFormat="1">
      <c r="D1157" s="36"/>
      <c r="E1157" s="36"/>
      <c r="F1157" s="36"/>
      <c r="G1157" s="36"/>
      <c r="H1157" s="36"/>
      <c r="I1157" s="36"/>
      <c r="J1157" s="36"/>
      <c r="K1157" s="36"/>
      <c r="L1157" s="36"/>
      <c r="M1157" s="36"/>
      <c r="N1157" s="36"/>
      <c r="O1157" s="36"/>
      <c r="P1157" s="36"/>
      <c r="Q1157" s="36"/>
      <c r="R1157" s="36"/>
      <c r="S1157" s="36"/>
      <c r="T1157" s="36"/>
      <c r="U1157" s="36"/>
      <c r="V1157" s="36"/>
      <c r="W1157" s="36"/>
      <c r="X1157" s="36"/>
      <c r="Y1157" s="36"/>
      <c r="Z1157" s="36"/>
      <c r="AA1157" s="36"/>
      <c r="AB1157" s="36"/>
      <c r="AC1157" s="36"/>
      <c r="AD1157" s="36"/>
      <c r="AE1157" s="36"/>
      <c r="AF1157" s="36"/>
      <c r="AG1157" s="36"/>
      <c r="AH1157" s="90"/>
      <c r="AI1157" s="90"/>
      <c r="AJ1157" s="36"/>
      <c r="AK1157" s="36"/>
      <c r="AN1157" s="36"/>
      <c r="AO1157" s="36"/>
    </row>
    <row r="1158" spans="4:41" s="5" customFormat="1">
      <c r="D1158" s="36"/>
      <c r="E1158" s="36"/>
      <c r="F1158" s="36"/>
      <c r="G1158" s="36"/>
      <c r="H1158" s="36"/>
      <c r="I1158" s="36"/>
      <c r="J1158" s="36"/>
      <c r="K1158" s="36"/>
      <c r="L1158" s="36"/>
      <c r="M1158" s="36"/>
      <c r="N1158" s="36"/>
      <c r="O1158" s="36"/>
      <c r="P1158" s="36"/>
      <c r="Q1158" s="36"/>
      <c r="R1158" s="36"/>
      <c r="S1158" s="36"/>
      <c r="T1158" s="36"/>
      <c r="U1158" s="36"/>
      <c r="V1158" s="36"/>
      <c r="W1158" s="36"/>
      <c r="X1158" s="36"/>
      <c r="Y1158" s="36"/>
      <c r="Z1158" s="36"/>
      <c r="AA1158" s="36"/>
      <c r="AB1158" s="36"/>
      <c r="AC1158" s="36"/>
      <c r="AD1158" s="36"/>
      <c r="AE1158" s="36"/>
      <c r="AF1158" s="36"/>
      <c r="AG1158" s="36"/>
      <c r="AH1158" s="90"/>
      <c r="AI1158" s="90"/>
      <c r="AJ1158" s="36"/>
      <c r="AK1158" s="36"/>
      <c r="AN1158" s="36"/>
      <c r="AO1158" s="36"/>
    </row>
    <row r="1159" spans="4:41" s="5" customFormat="1">
      <c r="D1159" s="36"/>
      <c r="E1159" s="36"/>
      <c r="F1159" s="36"/>
      <c r="G1159" s="36"/>
      <c r="H1159" s="36"/>
      <c r="I1159" s="36"/>
      <c r="J1159" s="36"/>
      <c r="K1159" s="36"/>
      <c r="L1159" s="36"/>
      <c r="M1159" s="36"/>
      <c r="N1159" s="36"/>
      <c r="O1159" s="36"/>
      <c r="P1159" s="36"/>
      <c r="Q1159" s="36"/>
      <c r="R1159" s="36"/>
      <c r="S1159" s="36"/>
      <c r="T1159" s="36"/>
      <c r="U1159" s="36"/>
      <c r="V1159" s="36"/>
      <c r="W1159" s="36"/>
      <c r="X1159" s="36"/>
      <c r="Y1159" s="36"/>
      <c r="Z1159" s="36"/>
      <c r="AA1159" s="36"/>
      <c r="AB1159" s="36"/>
      <c r="AC1159" s="36"/>
      <c r="AD1159" s="36"/>
      <c r="AE1159" s="36"/>
      <c r="AF1159" s="36"/>
      <c r="AG1159" s="36"/>
      <c r="AH1159" s="90"/>
      <c r="AI1159" s="90"/>
      <c r="AJ1159" s="36"/>
      <c r="AK1159" s="36"/>
      <c r="AN1159" s="36"/>
      <c r="AO1159" s="36"/>
    </row>
    <row r="1160" spans="4:41" s="5" customFormat="1">
      <c r="D1160" s="36"/>
      <c r="E1160" s="36"/>
      <c r="F1160" s="36"/>
      <c r="G1160" s="36"/>
      <c r="H1160" s="36"/>
      <c r="I1160" s="36"/>
      <c r="J1160" s="36"/>
      <c r="K1160" s="36"/>
      <c r="L1160" s="36"/>
      <c r="M1160" s="36"/>
      <c r="N1160" s="36"/>
      <c r="O1160" s="36"/>
      <c r="P1160" s="36"/>
      <c r="Q1160" s="36"/>
      <c r="R1160" s="36"/>
      <c r="S1160" s="36"/>
      <c r="T1160" s="36"/>
      <c r="U1160" s="36"/>
      <c r="V1160" s="36"/>
      <c r="W1160" s="36"/>
      <c r="X1160" s="36"/>
      <c r="Y1160" s="36"/>
      <c r="Z1160" s="36"/>
      <c r="AA1160" s="36"/>
      <c r="AB1160" s="36"/>
      <c r="AC1160" s="36"/>
      <c r="AD1160" s="36"/>
      <c r="AE1160" s="36"/>
      <c r="AF1160" s="36"/>
      <c r="AG1160" s="36"/>
      <c r="AH1160" s="90"/>
      <c r="AI1160" s="90"/>
      <c r="AJ1160" s="36"/>
      <c r="AK1160" s="36"/>
      <c r="AN1160" s="36"/>
      <c r="AO1160" s="36"/>
    </row>
    <row r="1161" spans="4:41" s="5" customFormat="1">
      <c r="D1161" s="36"/>
      <c r="E1161" s="36"/>
      <c r="F1161" s="36"/>
      <c r="G1161" s="36"/>
      <c r="H1161" s="36"/>
      <c r="I1161" s="36"/>
      <c r="J1161" s="36"/>
      <c r="K1161" s="36"/>
      <c r="L1161" s="36"/>
      <c r="M1161" s="36"/>
      <c r="N1161" s="36"/>
      <c r="O1161" s="36"/>
      <c r="P1161" s="36"/>
      <c r="Q1161" s="36"/>
      <c r="R1161" s="36"/>
      <c r="S1161" s="36"/>
      <c r="T1161" s="36"/>
      <c r="U1161" s="36"/>
      <c r="V1161" s="36"/>
      <c r="W1161" s="36"/>
      <c r="X1161" s="36"/>
      <c r="Y1161" s="36"/>
      <c r="Z1161" s="36"/>
      <c r="AA1161" s="36"/>
      <c r="AB1161" s="36"/>
      <c r="AC1161" s="36"/>
      <c r="AD1161" s="36"/>
      <c r="AE1161" s="36"/>
      <c r="AF1161" s="36"/>
      <c r="AG1161" s="36"/>
      <c r="AH1161" s="90"/>
      <c r="AI1161" s="90"/>
      <c r="AJ1161" s="36"/>
      <c r="AK1161" s="36"/>
      <c r="AN1161" s="36"/>
      <c r="AO1161" s="36"/>
    </row>
    <row r="1162" spans="4:41" s="5" customFormat="1">
      <c r="D1162" s="36"/>
      <c r="E1162" s="36"/>
      <c r="F1162" s="36"/>
      <c r="G1162" s="36"/>
      <c r="H1162" s="36"/>
      <c r="I1162" s="36"/>
      <c r="J1162" s="36"/>
      <c r="K1162" s="36"/>
      <c r="L1162" s="36"/>
      <c r="M1162" s="36"/>
      <c r="N1162" s="36"/>
      <c r="O1162" s="36"/>
      <c r="P1162" s="36"/>
      <c r="Q1162" s="36"/>
      <c r="R1162" s="36"/>
      <c r="S1162" s="36"/>
      <c r="T1162" s="36"/>
      <c r="U1162" s="36"/>
      <c r="V1162" s="36"/>
      <c r="W1162" s="36"/>
      <c r="X1162" s="36"/>
      <c r="Y1162" s="36"/>
      <c r="Z1162" s="36"/>
      <c r="AA1162" s="36"/>
      <c r="AB1162" s="36"/>
      <c r="AC1162" s="36"/>
      <c r="AD1162" s="36"/>
      <c r="AE1162" s="36"/>
      <c r="AF1162" s="36"/>
      <c r="AG1162" s="36"/>
      <c r="AH1162" s="90"/>
      <c r="AI1162" s="90"/>
      <c r="AJ1162" s="36"/>
      <c r="AK1162" s="36"/>
      <c r="AN1162" s="36"/>
      <c r="AO1162" s="36"/>
    </row>
    <row r="1163" spans="4:41" s="5" customFormat="1">
      <c r="D1163" s="36"/>
      <c r="E1163" s="36"/>
      <c r="F1163" s="36"/>
      <c r="G1163" s="36"/>
      <c r="H1163" s="36"/>
      <c r="I1163" s="36"/>
      <c r="J1163" s="36"/>
      <c r="K1163" s="36"/>
      <c r="L1163" s="36"/>
      <c r="M1163" s="36"/>
      <c r="N1163" s="36"/>
      <c r="O1163" s="36"/>
      <c r="P1163" s="36"/>
      <c r="Q1163" s="36"/>
      <c r="R1163" s="36"/>
      <c r="S1163" s="36"/>
      <c r="T1163" s="36"/>
      <c r="U1163" s="36"/>
      <c r="V1163" s="36"/>
      <c r="W1163" s="36"/>
      <c r="X1163" s="36"/>
      <c r="Y1163" s="36"/>
      <c r="Z1163" s="36"/>
      <c r="AA1163" s="36"/>
      <c r="AB1163" s="36"/>
      <c r="AC1163" s="36"/>
      <c r="AD1163" s="36"/>
      <c r="AE1163" s="36"/>
      <c r="AF1163" s="36"/>
      <c r="AG1163" s="36"/>
      <c r="AH1163" s="90"/>
      <c r="AI1163" s="90"/>
      <c r="AJ1163" s="36"/>
      <c r="AK1163" s="36"/>
      <c r="AN1163" s="36"/>
      <c r="AO1163" s="36"/>
    </row>
    <row r="1164" spans="4:41" s="5" customFormat="1">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c r="Z1164" s="36"/>
      <c r="AA1164" s="36"/>
      <c r="AB1164" s="36"/>
      <c r="AC1164" s="36"/>
      <c r="AD1164" s="36"/>
      <c r="AE1164" s="36"/>
      <c r="AF1164" s="36"/>
      <c r="AG1164" s="36"/>
      <c r="AH1164" s="90"/>
      <c r="AI1164" s="90"/>
      <c r="AJ1164" s="36"/>
      <c r="AK1164" s="36"/>
      <c r="AN1164" s="36"/>
      <c r="AO1164" s="36"/>
    </row>
    <row r="1165" spans="4:41" s="5" customFormat="1">
      <c r="D1165" s="36"/>
      <c r="E1165" s="36"/>
      <c r="F1165" s="36"/>
      <c r="G1165" s="36"/>
      <c r="H1165" s="36"/>
      <c r="I1165" s="36"/>
      <c r="J1165" s="36"/>
      <c r="K1165" s="36"/>
      <c r="L1165" s="36"/>
      <c r="M1165" s="36"/>
      <c r="N1165" s="36"/>
      <c r="O1165" s="36"/>
      <c r="P1165" s="36"/>
      <c r="Q1165" s="36"/>
      <c r="R1165" s="36"/>
      <c r="S1165" s="36"/>
      <c r="T1165" s="36"/>
      <c r="U1165" s="36"/>
      <c r="V1165" s="36"/>
      <c r="W1165" s="36"/>
      <c r="X1165" s="36"/>
      <c r="Y1165" s="36"/>
      <c r="Z1165" s="36"/>
      <c r="AA1165" s="36"/>
      <c r="AB1165" s="36"/>
      <c r="AC1165" s="36"/>
      <c r="AD1165" s="36"/>
      <c r="AE1165" s="36"/>
      <c r="AF1165" s="36"/>
      <c r="AG1165" s="36"/>
      <c r="AH1165" s="90"/>
      <c r="AI1165" s="90"/>
      <c r="AJ1165" s="36"/>
      <c r="AK1165" s="36"/>
      <c r="AN1165" s="36"/>
      <c r="AO1165" s="36"/>
    </row>
    <row r="1166" spans="4:41" s="5" customFormat="1">
      <c r="D1166" s="36"/>
      <c r="E1166" s="36"/>
      <c r="F1166" s="36"/>
      <c r="G1166" s="36"/>
      <c r="H1166" s="36"/>
      <c r="I1166" s="36"/>
      <c r="J1166" s="36"/>
      <c r="K1166" s="36"/>
      <c r="L1166" s="36"/>
      <c r="M1166" s="36"/>
      <c r="N1166" s="36"/>
      <c r="O1166" s="36"/>
      <c r="P1166" s="36"/>
      <c r="Q1166" s="36"/>
      <c r="R1166" s="36"/>
      <c r="S1166" s="36"/>
      <c r="T1166" s="36"/>
      <c r="U1166" s="36"/>
      <c r="V1166" s="36"/>
      <c r="W1166" s="36"/>
      <c r="X1166" s="36"/>
      <c r="Y1166" s="36"/>
      <c r="Z1166" s="36"/>
      <c r="AA1166" s="36"/>
      <c r="AB1166" s="36"/>
      <c r="AC1166" s="36"/>
      <c r="AD1166" s="36"/>
      <c r="AE1166" s="36"/>
      <c r="AF1166" s="36"/>
      <c r="AG1166" s="36"/>
      <c r="AH1166" s="90"/>
      <c r="AI1166" s="90"/>
      <c r="AJ1166" s="36"/>
      <c r="AK1166" s="36"/>
      <c r="AN1166" s="36"/>
      <c r="AO1166" s="36"/>
    </row>
    <row r="1167" spans="4:41" s="5" customFormat="1">
      <c r="D1167" s="36"/>
      <c r="E1167" s="36"/>
      <c r="F1167" s="36"/>
      <c r="G1167" s="36"/>
      <c r="H1167" s="36"/>
      <c r="I1167" s="36"/>
      <c r="J1167" s="36"/>
      <c r="K1167" s="36"/>
      <c r="L1167" s="36"/>
      <c r="M1167" s="36"/>
      <c r="N1167" s="36"/>
      <c r="O1167" s="36"/>
      <c r="P1167" s="36"/>
      <c r="Q1167" s="36"/>
      <c r="R1167" s="36"/>
      <c r="S1167" s="36"/>
      <c r="T1167" s="36"/>
      <c r="U1167" s="36"/>
      <c r="V1167" s="36"/>
      <c r="W1167" s="36"/>
      <c r="X1167" s="36"/>
      <c r="Y1167" s="36"/>
      <c r="Z1167" s="36"/>
      <c r="AA1167" s="36"/>
      <c r="AB1167" s="36"/>
      <c r="AC1167" s="36"/>
      <c r="AD1167" s="36"/>
      <c r="AE1167" s="36"/>
      <c r="AF1167" s="36"/>
      <c r="AG1167" s="36"/>
      <c r="AH1167" s="90"/>
      <c r="AI1167" s="90"/>
      <c r="AJ1167" s="36"/>
      <c r="AK1167" s="36"/>
      <c r="AN1167" s="36"/>
      <c r="AO1167" s="36"/>
    </row>
    <row r="1168" spans="4:41" s="5" customFormat="1">
      <c r="D1168" s="36"/>
      <c r="E1168" s="36"/>
      <c r="F1168" s="36"/>
      <c r="G1168" s="36"/>
      <c r="H1168" s="36"/>
      <c r="I1168" s="36"/>
      <c r="J1168" s="36"/>
      <c r="K1168" s="36"/>
      <c r="L1168" s="36"/>
      <c r="M1168" s="36"/>
      <c r="N1168" s="36"/>
      <c r="O1168" s="36"/>
      <c r="P1168" s="36"/>
      <c r="Q1168" s="36"/>
      <c r="R1168" s="36"/>
      <c r="S1168" s="36"/>
      <c r="T1168" s="36"/>
      <c r="U1168" s="36"/>
      <c r="V1168" s="36"/>
      <c r="W1168" s="36"/>
      <c r="X1168" s="36"/>
      <c r="Y1168" s="36"/>
      <c r="Z1168" s="36"/>
      <c r="AA1168" s="36"/>
      <c r="AB1168" s="36"/>
      <c r="AC1168" s="36"/>
      <c r="AD1168" s="36"/>
      <c r="AE1168" s="36"/>
      <c r="AF1168" s="36"/>
      <c r="AG1168" s="36"/>
      <c r="AH1168" s="90"/>
      <c r="AI1168" s="90"/>
      <c r="AJ1168" s="36"/>
      <c r="AK1168" s="36"/>
      <c r="AN1168" s="36"/>
      <c r="AO1168" s="36"/>
    </row>
    <row r="1169" spans="4:41" s="5" customFormat="1">
      <c r="D1169" s="36"/>
      <c r="E1169" s="36"/>
      <c r="F1169" s="36"/>
      <c r="G1169" s="36"/>
      <c r="H1169" s="36"/>
      <c r="I1169" s="36"/>
      <c r="J1169" s="36"/>
      <c r="K1169" s="36"/>
      <c r="L1169" s="36"/>
      <c r="M1169" s="36"/>
      <c r="N1169" s="36"/>
      <c r="O1169" s="36"/>
      <c r="P1169" s="36"/>
      <c r="Q1169" s="36"/>
      <c r="R1169" s="36"/>
      <c r="S1169" s="36"/>
      <c r="T1169" s="36"/>
      <c r="U1169" s="36"/>
      <c r="V1169" s="36"/>
      <c r="W1169" s="36"/>
      <c r="X1169" s="36"/>
      <c r="Y1169" s="36"/>
      <c r="Z1169" s="36"/>
      <c r="AA1169" s="36"/>
      <c r="AB1169" s="36"/>
      <c r="AC1169" s="36"/>
      <c r="AD1169" s="36"/>
      <c r="AE1169" s="36"/>
      <c r="AF1169" s="36"/>
      <c r="AG1169" s="36"/>
      <c r="AH1169" s="90"/>
      <c r="AI1169" s="90"/>
      <c r="AJ1169" s="36"/>
      <c r="AK1169" s="36"/>
      <c r="AN1169" s="36"/>
      <c r="AO1169" s="36"/>
    </row>
    <row r="1170" spans="4:41" s="5" customFormat="1">
      <c r="D1170" s="36"/>
      <c r="E1170" s="36"/>
      <c r="F1170" s="36"/>
      <c r="G1170" s="36"/>
      <c r="H1170" s="36"/>
      <c r="I1170" s="36"/>
      <c r="J1170" s="36"/>
      <c r="K1170" s="36"/>
      <c r="L1170" s="36"/>
      <c r="M1170" s="36"/>
      <c r="N1170" s="36"/>
      <c r="O1170" s="36"/>
      <c r="P1170" s="36"/>
      <c r="Q1170" s="36"/>
      <c r="R1170" s="36"/>
      <c r="S1170" s="36"/>
      <c r="T1170" s="36"/>
      <c r="U1170" s="36"/>
      <c r="V1170" s="36"/>
      <c r="W1170" s="36"/>
      <c r="X1170" s="36"/>
      <c r="Y1170" s="36"/>
      <c r="Z1170" s="36"/>
      <c r="AA1170" s="36"/>
      <c r="AB1170" s="36"/>
      <c r="AC1170" s="36"/>
      <c r="AD1170" s="36"/>
      <c r="AE1170" s="36"/>
      <c r="AF1170" s="36"/>
      <c r="AG1170" s="36"/>
      <c r="AH1170" s="90"/>
      <c r="AI1170" s="90"/>
      <c r="AJ1170" s="36"/>
      <c r="AK1170" s="36"/>
      <c r="AN1170" s="36"/>
      <c r="AO1170" s="36"/>
    </row>
    <row r="1171" spans="4:41" s="5" customFormat="1">
      <c r="D1171" s="36"/>
      <c r="E1171" s="36"/>
      <c r="F1171" s="36"/>
      <c r="G1171" s="36"/>
      <c r="H1171" s="36"/>
      <c r="I1171" s="36"/>
      <c r="J1171" s="36"/>
      <c r="K1171" s="36"/>
      <c r="L1171" s="36"/>
      <c r="M1171" s="36"/>
      <c r="N1171" s="36"/>
      <c r="O1171" s="36"/>
      <c r="P1171" s="36"/>
      <c r="Q1171" s="36"/>
      <c r="R1171" s="36"/>
      <c r="S1171" s="36"/>
      <c r="T1171" s="36"/>
      <c r="U1171" s="36"/>
      <c r="V1171" s="36"/>
      <c r="W1171" s="36"/>
      <c r="X1171" s="36"/>
      <c r="Y1171" s="36"/>
      <c r="Z1171" s="36"/>
      <c r="AA1171" s="36"/>
      <c r="AB1171" s="36"/>
      <c r="AC1171" s="36"/>
      <c r="AD1171" s="36"/>
      <c r="AE1171" s="36"/>
      <c r="AF1171" s="36"/>
      <c r="AG1171" s="36"/>
      <c r="AH1171" s="90"/>
      <c r="AI1171" s="90"/>
      <c r="AJ1171" s="36"/>
      <c r="AK1171" s="36"/>
      <c r="AN1171" s="36"/>
      <c r="AO1171" s="36"/>
    </row>
    <row r="1172" spans="4:41" s="5" customFormat="1">
      <c r="D1172" s="36"/>
      <c r="E1172" s="36"/>
      <c r="F1172" s="36"/>
      <c r="G1172" s="36"/>
      <c r="H1172" s="36"/>
      <c r="I1172" s="36"/>
      <c r="J1172" s="36"/>
      <c r="K1172" s="36"/>
      <c r="L1172" s="36"/>
      <c r="M1172" s="36"/>
      <c r="N1172" s="36"/>
      <c r="O1172" s="36"/>
      <c r="P1172" s="36"/>
      <c r="Q1172" s="36"/>
      <c r="R1172" s="36"/>
      <c r="S1172" s="36"/>
      <c r="T1172" s="36"/>
      <c r="U1172" s="36"/>
      <c r="V1172" s="36"/>
      <c r="W1172" s="36"/>
      <c r="X1172" s="36"/>
      <c r="Y1172" s="36"/>
      <c r="Z1172" s="36"/>
      <c r="AA1172" s="36"/>
      <c r="AB1172" s="36"/>
      <c r="AC1172" s="36"/>
      <c r="AD1172" s="36"/>
      <c r="AE1172" s="36"/>
      <c r="AF1172" s="36"/>
      <c r="AG1172" s="36"/>
      <c r="AH1172" s="90"/>
      <c r="AI1172" s="90"/>
      <c r="AJ1172" s="36"/>
      <c r="AK1172" s="36"/>
      <c r="AN1172" s="36"/>
      <c r="AO1172" s="36"/>
    </row>
    <row r="1173" spans="4:41" s="5" customFormat="1">
      <c r="D1173" s="36"/>
      <c r="E1173" s="36"/>
      <c r="F1173" s="36"/>
      <c r="G1173" s="36"/>
      <c r="H1173" s="36"/>
      <c r="I1173" s="36"/>
      <c r="J1173" s="36"/>
      <c r="K1173" s="36"/>
      <c r="L1173" s="36"/>
      <c r="M1173" s="36"/>
      <c r="N1173" s="36"/>
      <c r="O1173" s="36"/>
      <c r="P1173" s="36"/>
      <c r="Q1173" s="36"/>
      <c r="R1173" s="36"/>
      <c r="S1173" s="36"/>
      <c r="T1173" s="36"/>
      <c r="U1173" s="36"/>
      <c r="V1173" s="36"/>
      <c r="W1173" s="36"/>
      <c r="X1173" s="36"/>
      <c r="Y1173" s="36"/>
      <c r="Z1173" s="36"/>
      <c r="AA1173" s="36"/>
      <c r="AB1173" s="36"/>
      <c r="AC1173" s="36"/>
      <c r="AD1173" s="36"/>
      <c r="AE1173" s="36"/>
      <c r="AF1173" s="36"/>
      <c r="AG1173" s="36"/>
      <c r="AH1173" s="90"/>
      <c r="AI1173" s="90"/>
      <c r="AJ1173" s="36"/>
      <c r="AK1173" s="36"/>
      <c r="AN1173" s="36"/>
      <c r="AO1173" s="36"/>
    </row>
    <row r="1174" spans="4:41" s="5" customFormat="1">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c r="AA1174" s="36"/>
      <c r="AB1174" s="36"/>
      <c r="AC1174" s="36"/>
      <c r="AD1174" s="36"/>
      <c r="AE1174" s="36"/>
      <c r="AF1174" s="36"/>
      <c r="AG1174" s="36"/>
      <c r="AH1174" s="90"/>
      <c r="AI1174" s="90"/>
      <c r="AJ1174" s="36"/>
      <c r="AK1174" s="36"/>
      <c r="AN1174" s="36"/>
      <c r="AO1174" s="36"/>
    </row>
    <row r="1175" spans="4:41" s="5" customFormat="1">
      <c r="D1175" s="36"/>
      <c r="E1175" s="36"/>
      <c r="F1175" s="36"/>
      <c r="G1175" s="36"/>
      <c r="H1175" s="36"/>
      <c r="I1175" s="36"/>
      <c r="J1175" s="36"/>
      <c r="K1175" s="36"/>
      <c r="L1175" s="36"/>
      <c r="M1175" s="36"/>
      <c r="N1175" s="36"/>
      <c r="O1175" s="36"/>
      <c r="P1175" s="36"/>
      <c r="Q1175" s="36"/>
      <c r="R1175" s="36"/>
      <c r="S1175" s="36"/>
      <c r="T1175" s="36"/>
      <c r="U1175" s="36"/>
      <c r="V1175" s="36"/>
      <c r="W1175" s="36"/>
      <c r="X1175" s="36"/>
      <c r="Y1175" s="36"/>
      <c r="Z1175" s="36"/>
      <c r="AA1175" s="36"/>
      <c r="AB1175" s="36"/>
      <c r="AC1175" s="36"/>
      <c r="AD1175" s="36"/>
      <c r="AE1175" s="36"/>
      <c r="AF1175" s="36"/>
      <c r="AG1175" s="36"/>
      <c r="AH1175" s="90"/>
      <c r="AI1175" s="90"/>
      <c r="AJ1175" s="36"/>
      <c r="AK1175" s="36"/>
      <c r="AN1175" s="36"/>
      <c r="AO1175" s="36"/>
    </row>
    <row r="1176" spans="4:41" s="5" customFormat="1">
      <c r="D1176" s="36"/>
      <c r="E1176" s="36"/>
      <c r="F1176" s="36"/>
      <c r="G1176" s="36"/>
      <c r="H1176" s="36"/>
      <c r="I1176" s="36"/>
      <c r="J1176" s="36"/>
      <c r="K1176" s="36"/>
      <c r="L1176" s="36"/>
      <c r="M1176" s="36"/>
      <c r="N1176" s="36"/>
      <c r="O1176" s="36"/>
      <c r="P1176" s="36"/>
      <c r="Q1176" s="36"/>
      <c r="R1176" s="36"/>
      <c r="S1176" s="36"/>
      <c r="T1176" s="36"/>
      <c r="U1176" s="36"/>
      <c r="V1176" s="36"/>
      <c r="W1176" s="36"/>
      <c r="X1176" s="36"/>
      <c r="Y1176" s="36"/>
      <c r="Z1176" s="36"/>
      <c r="AA1176" s="36"/>
      <c r="AB1176" s="36"/>
      <c r="AC1176" s="36"/>
      <c r="AD1176" s="36"/>
      <c r="AE1176" s="36"/>
      <c r="AF1176" s="36"/>
      <c r="AG1176" s="36"/>
      <c r="AH1176" s="90"/>
      <c r="AI1176" s="90"/>
      <c r="AJ1176" s="36"/>
      <c r="AK1176" s="36"/>
      <c r="AN1176" s="36"/>
      <c r="AO1176" s="36"/>
    </row>
    <row r="1177" spans="4:41" s="5" customFormat="1">
      <c r="D1177" s="36"/>
      <c r="E1177" s="36"/>
      <c r="F1177" s="36"/>
      <c r="G1177" s="36"/>
      <c r="H1177" s="36"/>
      <c r="I1177" s="36"/>
      <c r="J1177" s="36"/>
      <c r="K1177" s="36"/>
      <c r="L1177" s="36"/>
      <c r="M1177" s="36"/>
      <c r="N1177" s="36"/>
      <c r="O1177" s="36"/>
      <c r="P1177" s="36"/>
      <c r="Q1177" s="36"/>
      <c r="R1177" s="36"/>
      <c r="S1177" s="36"/>
      <c r="T1177" s="36"/>
      <c r="U1177" s="36"/>
      <c r="V1177" s="36"/>
      <c r="W1177" s="36"/>
      <c r="X1177" s="36"/>
      <c r="Y1177" s="36"/>
      <c r="Z1177" s="36"/>
      <c r="AA1177" s="36"/>
      <c r="AB1177" s="36"/>
      <c r="AC1177" s="36"/>
      <c r="AD1177" s="36"/>
      <c r="AE1177" s="36"/>
      <c r="AF1177" s="36"/>
      <c r="AG1177" s="36"/>
      <c r="AH1177" s="90"/>
      <c r="AI1177" s="90"/>
      <c r="AJ1177" s="36"/>
      <c r="AK1177" s="36"/>
      <c r="AN1177" s="36"/>
      <c r="AO1177" s="36"/>
    </row>
    <row r="1178" spans="4:41" s="5" customFormat="1">
      <c r="D1178" s="36"/>
      <c r="E1178" s="36"/>
      <c r="F1178" s="36"/>
      <c r="G1178" s="36"/>
      <c r="H1178" s="36"/>
      <c r="I1178" s="36"/>
      <c r="J1178" s="36"/>
      <c r="K1178" s="36"/>
      <c r="L1178" s="36"/>
      <c r="M1178" s="36"/>
      <c r="N1178" s="36"/>
      <c r="O1178" s="36"/>
      <c r="P1178" s="36"/>
      <c r="Q1178" s="36"/>
      <c r="R1178" s="36"/>
      <c r="S1178" s="36"/>
      <c r="T1178" s="36"/>
      <c r="U1178" s="36"/>
      <c r="V1178" s="36"/>
      <c r="W1178" s="36"/>
      <c r="X1178" s="36"/>
      <c r="Y1178" s="36"/>
      <c r="Z1178" s="36"/>
      <c r="AA1178" s="36"/>
      <c r="AB1178" s="36"/>
      <c r="AC1178" s="36"/>
      <c r="AD1178" s="36"/>
      <c r="AE1178" s="36"/>
      <c r="AF1178" s="36"/>
      <c r="AG1178" s="36"/>
      <c r="AH1178" s="90"/>
      <c r="AI1178" s="90"/>
      <c r="AJ1178" s="36"/>
      <c r="AK1178" s="36"/>
      <c r="AN1178" s="36"/>
      <c r="AO1178" s="36"/>
    </row>
    <row r="1179" spans="4:41" s="5" customFormat="1">
      <c r="D1179" s="36"/>
      <c r="E1179" s="36"/>
      <c r="F1179" s="36"/>
      <c r="G1179" s="36"/>
      <c r="H1179" s="36"/>
      <c r="I1179" s="36"/>
      <c r="J1179" s="36"/>
      <c r="K1179" s="36"/>
      <c r="L1179" s="36"/>
      <c r="M1179" s="36"/>
      <c r="N1179" s="36"/>
      <c r="O1179" s="36"/>
      <c r="P1179" s="36"/>
      <c r="Q1179" s="36"/>
      <c r="R1179" s="36"/>
      <c r="S1179" s="36"/>
      <c r="T1179" s="36"/>
      <c r="U1179" s="36"/>
      <c r="V1179" s="36"/>
      <c r="W1179" s="36"/>
      <c r="X1179" s="36"/>
      <c r="Y1179" s="36"/>
      <c r="Z1179" s="36"/>
      <c r="AA1179" s="36"/>
      <c r="AB1179" s="36"/>
      <c r="AC1179" s="36"/>
      <c r="AD1179" s="36"/>
      <c r="AE1179" s="36"/>
      <c r="AF1179" s="36"/>
      <c r="AG1179" s="36"/>
      <c r="AH1179" s="90"/>
      <c r="AI1179" s="90"/>
      <c r="AJ1179" s="36"/>
      <c r="AK1179" s="36"/>
      <c r="AN1179" s="36"/>
      <c r="AO1179" s="36"/>
    </row>
    <row r="1180" spans="4:41" s="5" customFormat="1">
      <c r="D1180" s="36"/>
      <c r="E1180" s="36"/>
      <c r="F1180" s="36"/>
      <c r="G1180" s="36"/>
      <c r="H1180" s="36"/>
      <c r="I1180" s="36"/>
      <c r="J1180" s="36"/>
      <c r="K1180" s="36"/>
      <c r="L1180" s="36"/>
      <c r="M1180" s="36"/>
      <c r="N1180" s="36"/>
      <c r="O1180" s="36"/>
      <c r="P1180" s="36"/>
      <c r="Q1180" s="36"/>
      <c r="R1180" s="36"/>
      <c r="S1180" s="36"/>
      <c r="T1180" s="36"/>
      <c r="U1180" s="36"/>
      <c r="V1180" s="36"/>
      <c r="W1180" s="36"/>
      <c r="X1180" s="36"/>
      <c r="Y1180" s="36"/>
      <c r="Z1180" s="36"/>
      <c r="AA1180" s="36"/>
      <c r="AB1180" s="36"/>
      <c r="AC1180" s="36"/>
      <c r="AD1180" s="36"/>
      <c r="AE1180" s="36"/>
      <c r="AF1180" s="36"/>
      <c r="AG1180" s="36"/>
      <c r="AH1180" s="90"/>
      <c r="AI1180" s="90"/>
      <c r="AJ1180" s="36"/>
      <c r="AK1180" s="36"/>
      <c r="AN1180" s="36"/>
      <c r="AO1180" s="36"/>
    </row>
    <row r="1181" spans="4:41" s="5" customFormat="1">
      <c r="D1181" s="36"/>
      <c r="E1181" s="36"/>
      <c r="F1181" s="36"/>
      <c r="G1181" s="36"/>
      <c r="H1181" s="36"/>
      <c r="I1181" s="36"/>
      <c r="J1181" s="36"/>
      <c r="K1181" s="36"/>
      <c r="L1181" s="36"/>
      <c r="M1181" s="36"/>
      <c r="N1181" s="36"/>
      <c r="O1181" s="36"/>
      <c r="P1181" s="36"/>
      <c r="Q1181" s="36"/>
      <c r="R1181" s="36"/>
      <c r="S1181" s="36"/>
      <c r="T1181" s="36"/>
      <c r="U1181" s="36"/>
      <c r="V1181" s="36"/>
      <c r="W1181" s="36"/>
      <c r="X1181" s="36"/>
      <c r="Y1181" s="36"/>
      <c r="Z1181" s="36"/>
      <c r="AA1181" s="36"/>
      <c r="AB1181" s="36"/>
      <c r="AC1181" s="36"/>
      <c r="AD1181" s="36"/>
      <c r="AE1181" s="36"/>
      <c r="AF1181" s="36"/>
      <c r="AG1181" s="36"/>
      <c r="AH1181" s="90"/>
      <c r="AI1181" s="90"/>
      <c r="AJ1181" s="36"/>
      <c r="AK1181" s="36"/>
      <c r="AN1181" s="36"/>
      <c r="AO1181" s="36"/>
    </row>
    <row r="1182" spans="4:41" s="5" customFormat="1">
      <c r="D1182" s="36"/>
      <c r="E1182" s="36"/>
      <c r="F1182" s="36"/>
      <c r="G1182" s="36"/>
      <c r="H1182" s="36"/>
      <c r="I1182" s="36"/>
      <c r="J1182" s="36"/>
      <c r="K1182" s="36"/>
      <c r="L1182" s="36"/>
      <c r="M1182" s="36"/>
      <c r="N1182" s="36"/>
      <c r="O1182" s="36"/>
      <c r="P1182" s="36"/>
      <c r="Q1182" s="36"/>
      <c r="R1182" s="36"/>
      <c r="S1182" s="36"/>
      <c r="T1182" s="36"/>
      <c r="U1182" s="36"/>
      <c r="V1182" s="36"/>
      <c r="W1182" s="36"/>
      <c r="X1182" s="36"/>
      <c r="Y1182" s="36"/>
      <c r="Z1182" s="36"/>
      <c r="AA1182" s="36"/>
      <c r="AB1182" s="36"/>
      <c r="AC1182" s="36"/>
      <c r="AD1182" s="36"/>
      <c r="AE1182" s="36"/>
      <c r="AF1182" s="36"/>
      <c r="AG1182" s="36"/>
      <c r="AH1182" s="90"/>
      <c r="AI1182" s="90"/>
      <c r="AJ1182" s="36"/>
      <c r="AK1182" s="36"/>
      <c r="AN1182" s="36"/>
      <c r="AO1182" s="36"/>
    </row>
    <row r="1183" spans="4:41" s="5" customFormat="1">
      <c r="D1183" s="36"/>
      <c r="E1183" s="36"/>
      <c r="F1183" s="36"/>
      <c r="G1183" s="36"/>
      <c r="H1183" s="36"/>
      <c r="I1183" s="36"/>
      <c r="J1183" s="36"/>
      <c r="K1183" s="36"/>
      <c r="L1183" s="36"/>
      <c r="M1183" s="36"/>
      <c r="N1183" s="36"/>
      <c r="O1183" s="36"/>
      <c r="P1183" s="36"/>
      <c r="Q1183" s="36"/>
      <c r="R1183" s="36"/>
      <c r="S1183" s="36"/>
      <c r="T1183" s="36"/>
      <c r="U1183" s="36"/>
      <c r="V1183" s="36"/>
      <c r="W1183" s="36"/>
      <c r="X1183" s="36"/>
      <c r="Y1183" s="36"/>
      <c r="Z1183" s="36"/>
      <c r="AA1183" s="36"/>
      <c r="AB1183" s="36"/>
      <c r="AC1183" s="36"/>
      <c r="AD1183" s="36"/>
      <c r="AE1183" s="36"/>
      <c r="AF1183" s="36"/>
      <c r="AG1183" s="36"/>
      <c r="AH1183" s="90"/>
      <c r="AI1183" s="90"/>
      <c r="AJ1183" s="36"/>
      <c r="AK1183" s="36"/>
      <c r="AN1183" s="36"/>
      <c r="AO1183" s="36"/>
    </row>
    <row r="1184" spans="4:41" s="5" customFormat="1">
      <c r="D1184" s="36"/>
      <c r="E1184" s="36"/>
      <c r="F1184" s="36"/>
      <c r="G1184" s="36"/>
      <c r="H1184" s="36"/>
      <c r="I1184" s="36"/>
      <c r="J1184" s="36"/>
      <c r="K1184" s="36"/>
      <c r="L1184" s="36"/>
      <c r="M1184" s="36"/>
      <c r="N1184" s="36"/>
      <c r="O1184" s="36"/>
      <c r="P1184" s="36"/>
      <c r="Q1184" s="36"/>
      <c r="R1184" s="36"/>
      <c r="S1184" s="36"/>
      <c r="T1184" s="36"/>
      <c r="U1184" s="36"/>
      <c r="V1184" s="36"/>
      <c r="W1184" s="36"/>
      <c r="X1184" s="36"/>
      <c r="Y1184" s="36"/>
      <c r="Z1184" s="36"/>
      <c r="AA1184" s="36"/>
      <c r="AB1184" s="36"/>
      <c r="AC1184" s="36"/>
      <c r="AD1184" s="36"/>
      <c r="AE1184" s="36"/>
      <c r="AF1184" s="36"/>
      <c r="AG1184" s="36"/>
      <c r="AH1184" s="90"/>
      <c r="AI1184" s="90"/>
      <c r="AJ1184" s="36"/>
      <c r="AK1184" s="36"/>
      <c r="AN1184" s="36"/>
      <c r="AO1184" s="36"/>
    </row>
    <row r="1185" spans="4:41" s="5" customFormat="1">
      <c r="D1185" s="36"/>
      <c r="E1185" s="36"/>
      <c r="F1185" s="36"/>
      <c r="G1185" s="36"/>
      <c r="H1185" s="36"/>
      <c r="I1185" s="36"/>
      <c r="J1185" s="36"/>
      <c r="K1185" s="36"/>
      <c r="L1185" s="36"/>
      <c r="M1185" s="36"/>
      <c r="N1185" s="36"/>
      <c r="O1185" s="36"/>
      <c r="P1185" s="36"/>
      <c r="Q1185" s="36"/>
      <c r="R1185" s="36"/>
      <c r="S1185" s="36"/>
      <c r="T1185" s="36"/>
      <c r="U1185" s="36"/>
      <c r="V1185" s="36"/>
      <c r="W1185" s="36"/>
      <c r="X1185" s="36"/>
      <c r="Y1185" s="36"/>
      <c r="Z1185" s="36"/>
      <c r="AA1185" s="36"/>
      <c r="AB1185" s="36"/>
      <c r="AC1185" s="36"/>
      <c r="AD1185" s="36"/>
      <c r="AE1185" s="36"/>
      <c r="AF1185" s="36"/>
      <c r="AG1185" s="36"/>
      <c r="AH1185" s="90"/>
      <c r="AI1185" s="90"/>
      <c r="AJ1185" s="36"/>
      <c r="AK1185" s="36"/>
      <c r="AN1185" s="36"/>
      <c r="AO1185" s="36"/>
    </row>
    <row r="1186" spans="4:41" s="5" customFormat="1">
      <c r="D1186" s="36"/>
      <c r="E1186" s="36"/>
      <c r="F1186" s="36"/>
      <c r="G1186" s="36"/>
      <c r="H1186" s="36"/>
      <c r="I1186" s="36"/>
      <c r="J1186" s="36"/>
      <c r="K1186" s="36"/>
      <c r="L1186" s="36"/>
      <c r="M1186" s="36"/>
      <c r="N1186" s="36"/>
      <c r="O1186" s="36"/>
      <c r="P1186" s="36"/>
      <c r="Q1186" s="36"/>
      <c r="R1186" s="36"/>
      <c r="S1186" s="36"/>
      <c r="T1186" s="36"/>
      <c r="U1186" s="36"/>
      <c r="V1186" s="36"/>
      <c r="W1186" s="36"/>
      <c r="X1186" s="36"/>
      <c r="Y1186" s="36"/>
      <c r="Z1186" s="36"/>
      <c r="AA1186" s="36"/>
      <c r="AB1186" s="36"/>
      <c r="AC1186" s="36"/>
      <c r="AD1186" s="36"/>
      <c r="AE1186" s="36"/>
      <c r="AF1186" s="36"/>
      <c r="AG1186" s="36"/>
      <c r="AH1186" s="90"/>
      <c r="AI1186" s="90"/>
      <c r="AJ1186" s="36"/>
      <c r="AK1186" s="36"/>
      <c r="AN1186" s="36"/>
      <c r="AO1186" s="36"/>
    </row>
    <row r="1187" spans="4:41" s="5" customFormat="1">
      <c r="D1187" s="36"/>
      <c r="E1187" s="36"/>
      <c r="F1187" s="36"/>
      <c r="G1187" s="36"/>
      <c r="H1187" s="36"/>
      <c r="I1187" s="36"/>
      <c r="J1187" s="36"/>
      <c r="K1187" s="36"/>
      <c r="L1187" s="36"/>
      <c r="M1187" s="36"/>
      <c r="N1187" s="36"/>
      <c r="O1187" s="36"/>
      <c r="P1187" s="36"/>
      <c r="Q1187" s="36"/>
      <c r="R1187" s="36"/>
      <c r="S1187" s="36"/>
      <c r="T1187" s="36"/>
      <c r="U1187" s="36"/>
      <c r="V1187" s="36"/>
      <c r="W1187" s="36"/>
      <c r="X1187" s="36"/>
      <c r="Y1187" s="36"/>
      <c r="Z1187" s="36"/>
      <c r="AA1187" s="36"/>
      <c r="AB1187" s="36"/>
      <c r="AC1187" s="36"/>
      <c r="AD1187" s="36"/>
      <c r="AE1187" s="36"/>
      <c r="AF1187" s="36"/>
      <c r="AG1187" s="36"/>
      <c r="AH1187" s="90"/>
      <c r="AI1187" s="90"/>
      <c r="AJ1187" s="36"/>
      <c r="AK1187" s="36"/>
      <c r="AN1187" s="36"/>
      <c r="AO1187" s="36"/>
    </row>
    <row r="1188" spans="4:41" s="5" customFormat="1">
      <c r="D1188" s="36"/>
      <c r="E1188" s="36"/>
      <c r="F1188" s="36"/>
      <c r="G1188" s="36"/>
      <c r="H1188" s="36"/>
      <c r="I1188" s="36"/>
      <c r="J1188" s="36"/>
      <c r="K1188" s="36"/>
      <c r="L1188" s="36"/>
      <c r="M1188" s="36"/>
      <c r="N1188" s="36"/>
      <c r="O1188" s="36"/>
      <c r="P1188" s="36"/>
      <c r="Q1188" s="36"/>
      <c r="R1188" s="36"/>
      <c r="S1188" s="36"/>
      <c r="T1188" s="36"/>
      <c r="U1188" s="36"/>
      <c r="V1188" s="36"/>
      <c r="W1188" s="36"/>
      <c r="X1188" s="36"/>
      <c r="Y1188" s="36"/>
      <c r="Z1188" s="36"/>
      <c r="AA1188" s="36"/>
      <c r="AB1188" s="36"/>
      <c r="AC1188" s="36"/>
      <c r="AD1188" s="36"/>
      <c r="AE1188" s="36"/>
      <c r="AF1188" s="36"/>
      <c r="AG1188" s="36"/>
      <c r="AH1188" s="90"/>
      <c r="AI1188" s="90"/>
      <c r="AJ1188" s="36"/>
      <c r="AK1188" s="36"/>
      <c r="AN1188" s="36"/>
      <c r="AO1188" s="36"/>
    </row>
    <row r="1189" spans="4:41" s="5" customFormat="1">
      <c r="D1189" s="36"/>
      <c r="E1189" s="36"/>
      <c r="F1189" s="36"/>
      <c r="G1189" s="36"/>
      <c r="H1189" s="36"/>
      <c r="I1189" s="36"/>
      <c r="J1189" s="36"/>
      <c r="K1189" s="36"/>
      <c r="L1189" s="36"/>
      <c r="M1189" s="36"/>
      <c r="N1189" s="36"/>
      <c r="O1189" s="36"/>
      <c r="P1189" s="36"/>
      <c r="Q1189" s="36"/>
      <c r="R1189" s="36"/>
      <c r="S1189" s="36"/>
      <c r="T1189" s="36"/>
      <c r="U1189" s="36"/>
      <c r="V1189" s="36"/>
      <c r="W1189" s="36"/>
      <c r="X1189" s="36"/>
      <c r="Y1189" s="36"/>
      <c r="Z1189" s="36"/>
      <c r="AA1189" s="36"/>
      <c r="AB1189" s="36"/>
      <c r="AC1189" s="36"/>
      <c r="AD1189" s="36"/>
      <c r="AE1189" s="36"/>
      <c r="AF1189" s="36"/>
      <c r="AG1189" s="36"/>
      <c r="AH1189" s="90"/>
      <c r="AI1189" s="90"/>
      <c r="AJ1189" s="36"/>
      <c r="AK1189" s="36"/>
      <c r="AN1189" s="36"/>
      <c r="AO1189" s="36"/>
    </row>
    <row r="1190" spans="4:41" s="5" customFormat="1">
      <c r="D1190" s="36"/>
      <c r="E1190" s="36"/>
      <c r="F1190" s="36"/>
      <c r="G1190" s="36"/>
      <c r="H1190" s="36"/>
      <c r="I1190" s="36"/>
      <c r="J1190" s="36"/>
      <c r="K1190" s="36"/>
      <c r="L1190" s="36"/>
      <c r="M1190" s="36"/>
      <c r="N1190" s="36"/>
      <c r="O1190" s="36"/>
      <c r="P1190" s="36"/>
      <c r="Q1190" s="36"/>
      <c r="R1190" s="36"/>
      <c r="S1190" s="36"/>
      <c r="T1190" s="36"/>
      <c r="U1190" s="36"/>
      <c r="V1190" s="36"/>
      <c r="W1190" s="36"/>
      <c r="X1190" s="36"/>
      <c r="Y1190" s="36"/>
      <c r="Z1190" s="36"/>
      <c r="AA1190" s="36"/>
      <c r="AB1190" s="36"/>
      <c r="AC1190" s="36"/>
      <c r="AD1190" s="36"/>
      <c r="AE1190" s="36"/>
      <c r="AF1190" s="36"/>
      <c r="AG1190" s="36"/>
      <c r="AH1190" s="90"/>
      <c r="AI1190" s="90"/>
      <c r="AJ1190" s="36"/>
      <c r="AK1190" s="36"/>
      <c r="AN1190" s="36"/>
      <c r="AO1190" s="36"/>
    </row>
    <row r="1191" spans="4:41" s="5" customFormat="1">
      <c r="D1191" s="36"/>
      <c r="E1191" s="36"/>
      <c r="F1191" s="36"/>
      <c r="G1191" s="36"/>
      <c r="H1191" s="36"/>
      <c r="I1191" s="36"/>
      <c r="J1191" s="36"/>
      <c r="K1191" s="36"/>
      <c r="L1191" s="36"/>
      <c r="M1191" s="36"/>
      <c r="N1191" s="36"/>
      <c r="O1191" s="36"/>
      <c r="P1191" s="36"/>
      <c r="Q1191" s="36"/>
      <c r="R1191" s="36"/>
      <c r="S1191" s="36"/>
      <c r="T1191" s="36"/>
      <c r="U1191" s="36"/>
      <c r="V1191" s="36"/>
      <c r="W1191" s="36"/>
      <c r="X1191" s="36"/>
      <c r="Y1191" s="36"/>
      <c r="Z1191" s="36"/>
      <c r="AA1191" s="36"/>
      <c r="AB1191" s="36"/>
      <c r="AC1191" s="36"/>
      <c r="AD1191" s="36"/>
      <c r="AE1191" s="36"/>
      <c r="AF1191" s="36"/>
      <c r="AG1191" s="36"/>
      <c r="AH1191" s="90"/>
      <c r="AI1191" s="90"/>
      <c r="AJ1191" s="36"/>
      <c r="AK1191" s="36"/>
      <c r="AN1191" s="36"/>
      <c r="AO1191" s="36"/>
    </row>
    <row r="1192" spans="4:41" s="5" customFormat="1">
      <c r="D1192" s="36"/>
      <c r="E1192" s="36"/>
      <c r="F1192" s="36"/>
      <c r="G1192" s="36"/>
      <c r="H1192" s="36"/>
      <c r="I1192" s="36"/>
      <c r="J1192" s="36"/>
      <c r="K1192" s="36"/>
      <c r="L1192" s="36"/>
      <c r="M1192" s="36"/>
      <c r="N1192" s="36"/>
      <c r="O1192" s="36"/>
      <c r="P1192" s="36"/>
      <c r="Q1192" s="36"/>
      <c r="R1192" s="36"/>
      <c r="S1192" s="36"/>
      <c r="T1192" s="36"/>
      <c r="U1192" s="36"/>
      <c r="V1192" s="36"/>
      <c r="W1192" s="36"/>
      <c r="X1192" s="36"/>
      <c r="Y1192" s="36"/>
      <c r="Z1192" s="36"/>
      <c r="AA1192" s="36"/>
      <c r="AB1192" s="36"/>
      <c r="AC1192" s="36"/>
      <c r="AD1192" s="36"/>
      <c r="AE1192" s="36"/>
      <c r="AF1192" s="36"/>
      <c r="AG1192" s="36"/>
      <c r="AH1192" s="90"/>
      <c r="AI1192" s="90"/>
      <c r="AJ1192" s="36"/>
      <c r="AK1192" s="36"/>
      <c r="AN1192" s="36"/>
      <c r="AO1192" s="36"/>
    </row>
    <row r="1193" spans="4:41" s="5" customFormat="1">
      <c r="D1193" s="36"/>
      <c r="E1193" s="36"/>
      <c r="F1193" s="36"/>
      <c r="G1193" s="36"/>
      <c r="H1193" s="36"/>
      <c r="I1193" s="36"/>
      <c r="J1193" s="36"/>
      <c r="K1193" s="36"/>
      <c r="L1193" s="36"/>
      <c r="M1193" s="36"/>
      <c r="N1193" s="36"/>
      <c r="O1193" s="36"/>
      <c r="P1193" s="36"/>
      <c r="Q1193" s="36"/>
      <c r="R1193" s="36"/>
      <c r="S1193" s="36"/>
      <c r="T1193" s="36"/>
      <c r="U1193" s="36"/>
      <c r="V1193" s="36"/>
      <c r="W1193" s="36"/>
      <c r="X1193" s="36"/>
      <c r="Y1193" s="36"/>
      <c r="Z1193" s="36"/>
      <c r="AA1193" s="36"/>
      <c r="AB1193" s="36"/>
      <c r="AC1193" s="36"/>
      <c r="AD1193" s="36"/>
      <c r="AE1193" s="36"/>
      <c r="AF1193" s="36"/>
      <c r="AG1193" s="36"/>
      <c r="AH1193" s="90"/>
      <c r="AI1193" s="90"/>
      <c r="AJ1193" s="36"/>
      <c r="AK1193" s="36"/>
      <c r="AN1193" s="36"/>
      <c r="AO1193" s="36"/>
    </row>
    <row r="1194" spans="4:41" s="5" customFormat="1">
      <c r="D1194" s="36"/>
      <c r="E1194" s="36"/>
      <c r="F1194" s="36"/>
      <c r="G1194" s="36"/>
      <c r="H1194" s="36"/>
      <c r="I1194" s="36"/>
      <c r="J1194" s="36"/>
      <c r="K1194" s="36"/>
      <c r="L1194" s="36"/>
      <c r="M1194" s="36"/>
      <c r="N1194" s="36"/>
      <c r="O1194" s="36"/>
      <c r="P1194" s="36"/>
      <c r="Q1194" s="36"/>
      <c r="R1194" s="36"/>
      <c r="S1194" s="36"/>
      <c r="T1194" s="36"/>
      <c r="U1194" s="36"/>
      <c r="V1194" s="36"/>
      <c r="W1194" s="36"/>
      <c r="X1194" s="36"/>
      <c r="Y1194" s="36"/>
      <c r="Z1194" s="36"/>
      <c r="AA1194" s="36"/>
      <c r="AB1194" s="36"/>
      <c r="AC1194" s="36"/>
      <c r="AD1194" s="36"/>
      <c r="AE1194" s="36"/>
      <c r="AF1194" s="36"/>
      <c r="AG1194" s="36"/>
      <c r="AH1194" s="90"/>
      <c r="AI1194" s="90"/>
      <c r="AJ1194" s="36"/>
      <c r="AK1194" s="36"/>
      <c r="AN1194" s="36"/>
      <c r="AO1194" s="36"/>
    </row>
    <row r="1195" spans="4:41" s="5" customFormat="1">
      <c r="D1195" s="36"/>
      <c r="E1195" s="36"/>
      <c r="F1195" s="36"/>
      <c r="G1195" s="36"/>
      <c r="H1195" s="36"/>
      <c r="I1195" s="36"/>
      <c r="J1195" s="36"/>
      <c r="K1195" s="36"/>
      <c r="L1195" s="36"/>
      <c r="M1195" s="36"/>
      <c r="N1195" s="36"/>
      <c r="O1195" s="36"/>
      <c r="P1195" s="36"/>
      <c r="Q1195" s="36"/>
      <c r="R1195" s="36"/>
      <c r="S1195" s="36"/>
      <c r="T1195" s="36"/>
      <c r="U1195" s="36"/>
      <c r="V1195" s="36"/>
      <c r="W1195" s="36"/>
      <c r="X1195" s="36"/>
      <c r="Y1195" s="36"/>
      <c r="Z1195" s="36"/>
      <c r="AA1195" s="36"/>
      <c r="AB1195" s="36"/>
      <c r="AC1195" s="36"/>
      <c r="AD1195" s="36"/>
      <c r="AE1195" s="36"/>
      <c r="AF1195" s="36"/>
      <c r="AG1195" s="36"/>
      <c r="AH1195" s="90"/>
      <c r="AI1195" s="90"/>
      <c r="AJ1195" s="36"/>
      <c r="AK1195" s="36"/>
      <c r="AN1195" s="36"/>
      <c r="AO1195" s="36"/>
    </row>
    <row r="1196" spans="4:41" s="5" customFormat="1">
      <c r="D1196" s="36"/>
      <c r="E1196" s="36"/>
      <c r="F1196" s="36"/>
      <c r="G1196" s="36"/>
      <c r="H1196" s="36"/>
      <c r="I1196" s="36"/>
      <c r="J1196" s="36"/>
      <c r="K1196" s="36"/>
      <c r="L1196" s="36"/>
      <c r="M1196" s="36"/>
      <c r="N1196" s="36"/>
      <c r="O1196" s="36"/>
      <c r="P1196" s="36"/>
      <c r="Q1196" s="36"/>
      <c r="R1196" s="36"/>
      <c r="S1196" s="36"/>
      <c r="T1196" s="36"/>
      <c r="U1196" s="36"/>
      <c r="V1196" s="36"/>
      <c r="W1196" s="36"/>
      <c r="X1196" s="36"/>
      <c r="Y1196" s="36"/>
      <c r="Z1196" s="36"/>
      <c r="AA1196" s="36"/>
      <c r="AB1196" s="36"/>
      <c r="AC1196" s="36"/>
      <c r="AD1196" s="36"/>
      <c r="AE1196" s="36"/>
      <c r="AF1196" s="36"/>
      <c r="AG1196" s="36"/>
      <c r="AH1196" s="90"/>
      <c r="AI1196" s="90"/>
      <c r="AJ1196" s="36"/>
      <c r="AK1196" s="36"/>
      <c r="AN1196" s="36"/>
      <c r="AO1196" s="36"/>
    </row>
    <row r="1197" spans="4:41" s="5" customFormat="1">
      <c r="D1197" s="36"/>
      <c r="E1197" s="36"/>
      <c r="F1197" s="36"/>
      <c r="G1197" s="36"/>
      <c r="H1197" s="36"/>
      <c r="I1197" s="36"/>
      <c r="J1197" s="36"/>
      <c r="K1197" s="36"/>
      <c r="L1197" s="36"/>
      <c r="M1197" s="36"/>
      <c r="N1197" s="36"/>
      <c r="O1197" s="36"/>
      <c r="P1197" s="36"/>
      <c r="Q1197" s="36"/>
      <c r="R1197" s="36"/>
      <c r="S1197" s="36"/>
      <c r="T1197" s="36"/>
      <c r="U1197" s="36"/>
      <c r="V1197" s="36"/>
      <c r="W1197" s="36"/>
      <c r="X1197" s="36"/>
      <c r="Y1197" s="36"/>
      <c r="Z1197" s="36"/>
      <c r="AA1197" s="36"/>
      <c r="AB1197" s="36"/>
      <c r="AC1197" s="36"/>
      <c r="AD1197" s="36"/>
      <c r="AE1197" s="36"/>
      <c r="AF1197" s="36"/>
      <c r="AG1197" s="36"/>
      <c r="AH1197" s="90"/>
      <c r="AI1197" s="90"/>
      <c r="AJ1197" s="36"/>
      <c r="AK1197" s="36"/>
      <c r="AN1197" s="36"/>
      <c r="AO1197" s="36"/>
    </row>
    <row r="1198" spans="4:41" s="5" customFormat="1">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c r="Z1198" s="36"/>
      <c r="AA1198" s="36"/>
      <c r="AB1198" s="36"/>
      <c r="AC1198" s="36"/>
      <c r="AD1198" s="36"/>
      <c r="AE1198" s="36"/>
      <c r="AF1198" s="36"/>
      <c r="AG1198" s="36"/>
      <c r="AH1198" s="90"/>
      <c r="AI1198" s="90"/>
      <c r="AJ1198" s="36"/>
      <c r="AK1198" s="36"/>
      <c r="AN1198" s="36"/>
      <c r="AO1198" s="36"/>
    </row>
    <row r="1199" spans="4:41" s="5" customFormat="1">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c r="Z1199" s="36"/>
      <c r="AA1199" s="36"/>
      <c r="AB1199" s="36"/>
      <c r="AC1199" s="36"/>
      <c r="AD1199" s="36"/>
      <c r="AE1199" s="36"/>
      <c r="AF1199" s="36"/>
      <c r="AG1199" s="36"/>
      <c r="AH1199" s="90"/>
      <c r="AI1199" s="90"/>
      <c r="AJ1199" s="36"/>
      <c r="AK1199" s="36"/>
      <c r="AN1199" s="36"/>
      <c r="AO1199" s="36"/>
    </row>
    <row r="1200" spans="4:41" s="5" customFormat="1">
      <c r="D1200" s="36"/>
      <c r="E1200" s="36"/>
      <c r="F1200" s="36"/>
      <c r="G1200" s="36"/>
      <c r="H1200" s="36"/>
      <c r="I1200" s="36"/>
      <c r="J1200" s="36"/>
      <c r="K1200" s="36"/>
      <c r="L1200" s="36"/>
      <c r="M1200" s="36"/>
      <c r="N1200" s="36"/>
      <c r="O1200" s="36"/>
      <c r="P1200" s="36"/>
      <c r="Q1200" s="36"/>
      <c r="R1200" s="36"/>
      <c r="S1200" s="36"/>
      <c r="T1200" s="36"/>
      <c r="U1200" s="36"/>
      <c r="V1200" s="36"/>
      <c r="W1200" s="36"/>
      <c r="X1200" s="36"/>
      <c r="Y1200" s="36"/>
      <c r="Z1200" s="36"/>
      <c r="AA1200" s="36"/>
      <c r="AB1200" s="36"/>
      <c r="AC1200" s="36"/>
      <c r="AD1200" s="36"/>
      <c r="AE1200" s="36"/>
      <c r="AF1200" s="36"/>
      <c r="AG1200" s="36"/>
      <c r="AH1200" s="90"/>
      <c r="AI1200" s="90"/>
      <c r="AJ1200" s="36"/>
      <c r="AK1200" s="36"/>
      <c r="AN1200" s="36"/>
      <c r="AO1200" s="36"/>
    </row>
    <row r="1201" spans="4:41" s="5" customFormat="1">
      <c r="D1201" s="36"/>
      <c r="E1201" s="36"/>
      <c r="F1201" s="36"/>
      <c r="G1201" s="36"/>
      <c r="H1201" s="36"/>
      <c r="I1201" s="36"/>
      <c r="J1201" s="36"/>
      <c r="K1201" s="36"/>
      <c r="L1201" s="36"/>
      <c r="M1201" s="36"/>
      <c r="N1201" s="36"/>
      <c r="O1201" s="36"/>
      <c r="P1201" s="36"/>
      <c r="Q1201" s="36"/>
      <c r="R1201" s="36"/>
      <c r="S1201" s="36"/>
      <c r="T1201" s="36"/>
      <c r="U1201" s="36"/>
      <c r="V1201" s="36"/>
      <c r="W1201" s="36"/>
      <c r="X1201" s="36"/>
      <c r="Y1201" s="36"/>
      <c r="Z1201" s="36"/>
      <c r="AA1201" s="36"/>
      <c r="AB1201" s="36"/>
      <c r="AC1201" s="36"/>
      <c r="AD1201" s="36"/>
      <c r="AE1201" s="36"/>
      <c r="AF1201" s="36"/>
      <c r="AG1201" s="36"/>
      <c r="AH1201" s="90"/>
      <c r="AI1201" s="90"/>
      <c r="AJ1201" s="36"/>
      <c r="AK1201" s="36"/>
      <c r="AN1201" s="36"/>
      <c r="AO1201" s="36"/>
    </row>
    <row r="1202" spans="4:41" s="5" customFormat="1">
      <c r="D1202" s="36"/>
      <c r="E1202" s="36"/>
      <c r="F1202" s="36"/>
      <c r="G1202" s="36"/>
      <c r="H1202" s="36"/>
      <c r="I1202" s="36"/>
      <c r="J1202" s="36"/>
      <c r="K1202" s="36"/>
      <c r="L1202" s="36"/>
      <c r="M1202" s="36"/>
      <c r="N1202" s="36"/>
      <c r="O1202" s="36"/>
      <c r="P1202" s="36"/>
      <c r="Q1202" s="36"/>
      <c r="R1202" s="36"/>
      <c r="S1202" s="36"/>
      <c r="T1202" s="36"/>
      <c r="U1202" s="36"/>
      <c r="V1202" s="36"/>
      <c r="W1202" s="36"/>
      <c r="X1202" s="36"/>
      <c r="Y1202" s="36"/>
      <c r="Z1202" s="36"/>
      <c r="AA1202" s="36"/>
      <c r="AB1202" s="36"/>
      <c r="AC1202" s="36"/>
      <c r="AD1202" s="36"/>
      <c r="AE1202" s="36"/>
      <c r="AF1202" s="36"/>
      <c r="AG1202" s="36"/>
      <c r="AH1202" s="90"/>
      <c r="AI1202" s="90"/>
      <c r="AJ1202" s="36"/>
      <c r="AK1202" s="36"/>
      <c r="AN1202" s="36"/>
      <c r="AO1202" s="36"/>
    </row>
    <row r="1203" spans="4:41" s="5" customFormat="1">
      <c r="D1203" s="36"/>
      <c r="E1203" s="36"/>
      <c r="F1203" s="36"/>
      <c r="G1203" s="36"/>
      <c r="H1203" s="36"/>
      <c r="I1203" s="36"/>
      <c r="J1203" s="36"/>
      <c r="K1203" s="36"/>
      <c r="L1203" s="36"/>
      <c r="M1203" s="36"/>
      <c r="N1203" s="36"/>
      <c r="O1203" s="36"/>
      <c r="P1203" s="36"/>
      <c r="Q1203" s="36"/>
      <c r="R1203" s="36"/>
      <c r="S1203" s="36"/>
      <c r="T1203" s="36"/>
      <c r="U1203" s="36"/>
      <c r="V1203" s="36"/>
      <c r="W1203" s="36"/>
      <c r="X1203" s="36"/>
      <c r="Y1203" s="36"/>
      <c r="Z1203" s="36"/>
      <c r="AA1203" s="36"/>
      <c r="AB1203" s="36"/>
      <c r="AC1203" s="36"/>
      <c r="AD1203" s="36"/>
      <c r="AE1203" s="36"/>
      <c r="AF1203" s="36"/>
      <c r="AG1203" s="36"/>
      <c r="AH1203" s="90"/>
      <c r="AI1203" s="90"/>
      <c r="AJ1203" s="36"/>
      <c r="AK1203" s="36"/>
      <c r="AN1203" s="36"/>
      <c r="AO1203" s="36"/>
    </row>
    <row r="1204" spans="4:41" s="5" customFormat="1">
      <c r="D1204" s="36"/>
      <c r="E1204" s="36"/>
      <c r="F1204" s="36"/>
      <c r="G1204" s="36"/>
      <c r="H1204" s="36"/>
      <c r="I1204" s="36"/>
      <c r="J1204" s="36"/>
      <c r="K1204" s="36"/>
      <c r="L1204" s="36"/>
      <c r="M1204" s="36"/>
      <c r="N1204" s="36"/>
      <c r="O1204" s="36"/>
      <c r="P1204" s="36"/>
      <c r="Q1204" s="36"/>
      <c r="R1204" s="36"/>
      <c r="S1204" s="36"/>
      <c r="T1204" s="36"/>
      <c r="U1204" s="36"/>
      <c r="V1204" s="36"/>
      <c r="W1204" s="36"/>
      <c r="X1204" s="36"/>
      <c r="Y1204" s="36"/>
      <c r="Z1204" s="36"/>
      <c r="AA1204" s="36"/>
      <c r="AB1204" s="36"/>
      <c r="AC1204" s="36"/>
      <c r="AD1204" s="36"/>
      <c r="AE1204" s="36"/>
      <c r="AF1204" s="36"/>
      <c r="AG1204" s="36"/>
      <c r="AH1204" s="90"/>
      <c r="AI1204" s="90"/>
      <c r="AJ1204" s="36"/>
      <c r="AK1204" s="36"/>
      <c r="AN1204" s="36"/>
      <c r="AO1204" s="36"/>
    </row>
    <row r="1205" spans="4:41" s="5" customFormat="1">
      <c r="D1205" s="36"/>
      <c r="E1205" s="36"/>
      <c r="F1205" s="36"/>
      <c r="G1205" s="36"/>
      <c r="H1205" s="36"/>
      <c r="I1205" s="36"/>
      <c r="J1205" s="36"/>
      <c r="K1205" s="36"/>
      <c r="L1205" s="36"/>
      <c r="M1205" s="36"/>
      <c r="N1205" s="36"/>
      <c r="O1205" s="36"/>
      <c r="P1205" s="36"/>
      <c r="Q1205" s="36"/>
      <c r="R1205" s="36"/>
      <c r="S1205" s="36"/>
      <c r="T1205" s="36"/>
      <c r="U1205" s="36"/>
      <c r="V1205" s="36"/>
      <c r="W1205" s="36"/>
      <c r="X1205" s="36"/>
      <c r="Y1205" s="36"/>
      <c r="Z1205" s="36"/>
      <c r="AA1205" s="36"/>
      <c r="AB1205" s="36"/>
      <c r="AC1205" s="36"/>
      <c r="AD1205" s="36"/>
      <c r="AE1205" s="36"/>
      <c r="AF1205" s="36"/>
      <c r="AG1205" s="36"/>
      <c r="AH1205" s="90"/>
      <c r="AI1205" s="90"/>
      <c r="AJ1205" s="36"/>
      <c r="AK1205" s="36"/>
      <c r="AN1205" s="36"/>
      <c r="AO1205" s="36"/>
    </row>
    <row r="1206" spans="4:41" s="5" customFormat="1">
      <c r="D1206" s="36"/>
      <c r="E1206" s="36"/>
      <c r="F1206" s="36"/>
      <c r="G1206" s="36"/>
      <c r="H1206" s="36"/>
      <c r="I1206" s="36"/>
      <c r="J1206" s="36"/>
      <c r="K1206" s="36"/>
      <c r="L1206" s="36"/>
      <c r="M1206" s="36"/>
      <c r="N1206" s="36"/>
      <c r="O1206" s="36"/>
      <c r="P1206" s="36"/>
      <c r="Q1206" s="36"/>
      <c r="R1206" s="36"/>
      <c r="S1206" s="36"/>
      <c r="T1206" s="36"/>
      <c r="U1206" s="36"/>
      <c r="V1206" s="36"/>
      <c r="W1206" s="36"/>
      <c r="X1206" s="36"/>
      <c r="Y1206" s="36"/>
      <c r="Z1206" s="36"/>
      <c r="AA1206" s="36"/>
      <c r="AB1206" s="36"/>
      <c r="AC1206" s="36"/>
      <c r="AD1206" s="36"/>
      <c r="AE1206" s="36"/>
      <c r="AF1206" s="36"/>
      <c r="AG1206" s="36"/>
      <c r="AH1206" s="90"/>
      <c r="AI1206" s="90"/>
      <c r="AJ1206" s="36"/>
      <c r="AK1206" s="36"/>
      <c r="AN1206" s="36"/>
      <c r="AO1206" s="36"/>
    </row>
  </sheetData>
  <phoneticPr fontId="29" type="noConversion"/>
  <pageMargins left="0.7" right="0.7" top="0.75" bottom="0.75" header="0.3" footer="0.3"/>
  <legacyDrawing r:id="rId1"/>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V518"/>
  <sheetViews>
    <sheetView workbookViewId="0">
      <selection activeCell="D58" sqref="D58:D482"/>
    </sheetView>
  </sheetViews>
  <sheetFormatPr baseColWidth="10" defaultColWidth="8.83203125" defaultRowHeight="12"/>
  <cols>
    <col min="1" max="1" width="8.83203125" customWidth="1"/>
    <col min="2" max="2" width="28.33203125" customWidth="1"/>
    <col min="3" max="3" width="8.33203125" style="62" customWidth="1"/>
    <col min="4" max="4" width="8.6640625" customWidth="1"/>
    <col min="5" max="5" width="8.83203125" style="42"/>
    <col min="6" max="6" width="15" style="37" customWidth="1"/>
    <col min="7" max="7" width="8.6640625" customWidth="1"/>
    <col min="8" max="8" width="16.5" customWidth="1"/>
    <col min="9" max="9" width="7.6640625" customWidth="1"/>
    <col min="10" max="10" width="13.83203125" style="37" customWidth="1"/>
    <col min="11" max="11" width="16.33203125" customWidth="1"/>
    <col min="12" max="13" width="5" hidden="1" customWidth="1"/>
    <col min="14" max="14" width="8.83203125" style="33"/>
    <col min="15" max="15" width="10.1640625" style="7" bestFit="1" customWidth="1"/>
    <col min="16" max="16" width="8.83203125" style="7"/>
    <col min="17" max="17" width="10.5" style="7" customWidth="1"/>
    <col min="18" max="18" width="8.83203125" style="7"/>
  </cols>
  <sheetData>
    <row r="1" spans="1:18">
      <c r="A1" s="3" t="s">
        <v>2103</v>
      </c>
      <c r="B1" s="5"/>
      <c r="C1" s="61"/>
      <c r="D1" s="5"/>
      <c r="E1" s="36"/>
      <c r="F1" s="57"/>
      <c r="G1" s="5"/>
      <c r="H1" s="5"/>
      <c r="I1" s="5"/>
      <c r="J1" s="57"/>
      <c r="K1" s="5"/>
      <c r="L1" s="5"/>
      <c r="M1" s="5"/>
      <c r="N1" s="46"/>
      <c r="O1" s="6"/>
      <c r="P1" s="6"/>
    </row>
    <row r="2" spans="1:18" ht="13" thickBot="1">
      <c r="A2" s="3" t="s">
        <v>1771</v>
      </c>
      <c r="B2" s="3"/>
      <c r="D2" s="3"/>
      <c r="E2" s="37"/>
      <c r="G2" s="3"/>
      <c r="H2" s="3"/>
      <c r="I2" s="3"/>
      <c r="K2" s="3"/>
      <c r="L2" s="3"/>
      <c r="M2" s="3"/>
      <c r="N2" s="47"/>
      <c r="O2" s="8"/>
      <c r="P2" s="8"/>
      <c r="Q2" s="8"/>
    </row>
    <row r="3" spans="1:18" ht="66">
      <c r="A3" s="9"/>
      <c r="B3" s="10" t="s">
        <v>1769</v>
      </c>
      <c r="C3" s="63" t="s">
        <v>1768</v>
      </c>
      <c r="D3" s="11" t="s">
        <v>2104</v>
      </c>
      <c r="E3" s="38" t="s">
        <v>2105</v>
      </c>
      <c r="F3" s="38" t="s">
        <v>2106</v>
      </c>
      <c r="G3" s="11" t="s">
        <v>1770</v>
      </c>
      <c r="H3" s="11" t="s">
        <v>2107</v>
      </c>
      <c r="I3" s="11" t="s">
        <v>2108</v>
      </c>
      <c r="J3" s="38" t="s">
        <v>2109</v>
      </c>
      <c r="K3" s="11" t="s">
        <v>2110</v>
      </c>
      <c r="L3" s="11" t="s">
        <v>2111</v>
      </c>
      <c r="M3" s="11" t="s">
        <v>2112</v>
      </c>
      <c r="N3" s="48" t="s">
        <v>2113</v>
      </c>
      <c r="O3" s="12" t="s">
        <v>2114</v>
      </c>
      <c r="P3" s="12" t="s">
        <v>2115</v>
      </c>
      <c r="Q3" s="13" t="s">
        <v>2116</v>
      </c>
      <c r="R3" s="14"/>
    </row>
    <row r="4" spans="1:18">
      <c r="A4" s="15" t="s">
        <v>2231</v>
      </c>
      <c r="B4" s="16"/>
      <c r="C4" s="64"/>
      <c r="D4" s="18"/>
      <c r="E4" s="39"/>
      <c r="F4" s="39"/>
      <c r="G4" s="17"/>
      <c r="H4" s="17"/>
      <c r="I4" s="17"/>
      <c r="J4" s="39"/>
      <c r="K4" s="17"/>
      <c r="L4" s="17"/>
      <c r="M4" s="17"/>
      <c r="N4" s="49"/>
      <c r="O4" s="19"/>
      <c r="P4" s="19"/>
      <c r="Q4" s="20"/>
      <c r="R4" s="14"/>
    </row>
    <row r="5" spans="1:18">
      <c r="A5" s="21"/>
      <c r="B5" s="22" t="s">
        <v>2117</v>
      </c>
      <c r="C5" s="60" t="s">
        <v>2130</v>
      </c>
      <c r="D5" s="23">
        <v>146</v>
      </c>
      <c r="E5" s="40">
        <v>10176</v>
      </c>
      <c r="F5" s="58">
        <v>172866321</v>
      </c>
      <c r="G5" s="25">
        <f>H5/F5</f>
        <v>0.42094356829633689</v>
      </c>
      <c r="H5" s="26">
        <f>F5-J5</f>
        <v>72766966</v>
      </c>
      <c r="I5" s="25">
        <f>J5/F5</f>
        <v>0.57905643170366305</v>
      </c>
      <c r="J5" s="58">
        <v>100099355</v>
      </c>
      <c r="K5" s="27">
        <f>SUM(H5+J5)</f>
        <v>172866321</v>
      </c>
      <c r="L5" s="28">
        <f>H5/K5</f>
        <v>0.42094356829633689</v>
      </c>
      <c r="M5" s="27">
        <f>J5/K5</f>
        <v>0.57905643170366305</v>
      </c>
      <c r="N5" s="25">
        <f>D5/$D$6</f>
        <v>1</v>
      </c>
      <c r="O5" s="24">
        <v>1318525</v>
      </c>
      <c r="P5" s="26">
        <f>O5*N5*M5</f>
        <v>763500.38161207235</v>
      </c>
      <c r="Q5" s="29">
        <f>O5*N5*L5</f>
        <v>555024.61838792765</v>
      </c>
      <c r="R5" s="14"/>
    </row>
    <row r="6" spans="1:18">
      <c r="A6" s="260" t="s">
        <v>2118</v>
      </c>
      <c r="B6" s="261"/>
      <c r="C6" s="262"/>
      <c r="D6" s="17">
        <f>SUM(D5)</f>
        <v>146</v>
      </c>
      <c r="E6" s="39"/>
      <c r="F6" s="39"/>
      <c r="G6" s="17"/>
      <c r="H6" s="17"/>
      <c r="I6" s="17"/>
      <c r="J6" s="39"/>
      <c r="K6" s="17"/>
      <c r="L6" s="17"/>
      <c r="M6" s="17"/>
      <c r="N6" s="49"/>
      <c r="O6" s="19"/>
      <c r="P6" s="19">
        <f>SUM(P5)</f>
        <v>763500.38161207235</v>
      </c>
      <c r="Q6" s="20">
        <f>SUM(Q5)</f>
        <v>555024.61838792765</v>
      </c>
      <c r="R6" s="14"/>
    </row>
    <row r="7" spans="1:18">
      <c r="A7" s="15" t="s">
        <v>2119</v>
      </c>
      <c r="B7" s="16"/>
      <c r="C7" s="64"/>
      <c r="D7" s="17"/>
      <c r="E7" s="39"/>
      <c r="F7" s="55"/>
      <c r="G7" s="17"/>
      <c r="H7" s="17"/>
      <c r="I7" s="17"/>
      <c r="J7" s="55"/>
      <c r="K7" s="17"/>
      <c r="L7" s="17"/>
      <c r="M7" s="17"/>
      <c r="N7" s="49"/>
      <c r="O7" s="19"/>
      <c r="P7" s="19"/>
      <c r="Q7" s="20"/>
      <c r="R7" s="14"/>
    </row>
    <row r="8" spans="1:18">
      <c r="A8" s="21"/>
      <c r="B8" s="21" t="s">
        <v>2117</v>
      </c>
      <c r="C8" s="60" t="s">
        <v>2130</v>
      </c>
      <c r="D8" s="40">
        <v>95</v>
      </c>
      <c r="E8" s="40">
        <v>10176</v>
      </c>
      <c r="F8" s="58">
        <v>172866321</v>
      </c>
      <c r="G8" s="25">
        <f t="shared" ref="G8:G13" si="0">H8/F8</f>
        <v>0.42094356829633689</v>
      </c>
      <c r="H8" s="26">
        <f t="shared" ref="H8:H13" si="1">F8-J8</f>
        <v>72766966</v>
      </c>
      <c r="I8" s="25">
        <f t="shared" ref="I8:I13" si="2">J8/F8</f>
        <v>0.57905643170366305</v>
      </c>
      <c r="J8" s="58">
        <v>100099355</v>
      </c>
      <c r="K8" s="27">
        <f t="shared" ref="K8:K13" si="3">SUM(H8+J8)</f>
        <v>172866321</v>
      </c>
      <c r="L8" s="28">
        <f t="shared" ref="L8:L13" si="4">H8/K8</f>
        <v>0.42094356829633689</v>
      </c>
      <c r="M8" s="27">
        <f t="shared" ref="M8:M13" si="5">J8/K8</f>
        <v>0.57905643170366305</v>
      </c>
      <c r="N8" s="25">
        <f t="shared" ref="N8:N13" si="6">D8/$D$14</f>
        <v>0.92233009708737868</v>
      </c>
      <c r="O8" s="24">
        <v>1078927</v>
      </c>
      <c r="P8" s="26">
        <f t="shared" ref="P8:P13" si="7">O8*N8*M8</f>
        <v>576234.59976145753</v>
      </c>
      <c r="Q8" s="29">
        <f t="shared" ref="Q8:Q13" si="8">O8*N8*L8</f>
        <v>418892.24489873671</v>
      </c>
      <c r="R8" s="14"/>
    </row>
    <row r="9" spans="1:18">
      <c r="A9" s="21"/>
      <c r="B9" s="21" t="s">
        <v>2120</v>
      </c>
      <c r="C9" s="60" t="s">
        <v>1772</v>
      </c>
      <c r="D9" s="40">
        <v>1</v>
      </c>
      <c r="E9" s="40">
        <v>10973</v>
      </c>
      <c r="F9" s="41">
        <v>39310578</v>
      </c>
      <c r="G9" s="25">
        <f t="shared" si="0"/>
        <v>0.47995763379515816</v>
      </c>
      <c r="H9" s="27">
        <f t="shared" si="1"/>
        <v>18867412</v>
      </c>
      <c r="I9" s="25">
        <f t="shared" si="2"/>
        <v>0.5200423662048419</v>
      </c>
      <c r="J9" s="41">
        <v>20443166</v>
      </c>
      <c r="K9" s="27">
        <f t="shared" si="3"/>
        <v>39310578</v>
      </c>
      <c r="L9" s="28">
        <f t="shared" si="4"/>
        <v>0.47995763379515816</v>
      </c>
      <c r="M9" s="27">
        <f t="shared" si="5"/>
        <v>0.5200423662048419</v>
      </c>
      <c r="N9" s="25">
        <f t="shared" si="6"/>
        <v>9.7087378640776691E-3</v>
      </c>
      <c r="O9" s="24">
        <v>1078927</v>
      </c>
      <c r="P9" s="26">
        <f t="shared" si="7"/>
        <v>5447.4538839057413</v>
      </c>
      <c r="Q9" s="29">
        <f t="shared" si="8"/>
        <v>5027.5655335699857</v>
      </c>
      <c r="R9" s="14"/>
    </row>
    <row r="10" spans="1:18">
      <c r="A10" s="21"/>
      <c r="B10" s="21" t="s">
        <v>2121</v>
      </c>
      <c r="C10" s="60" t="s">
        <v>2145</v>
      </c>
      <c r="D10" s="40">
        <v>1</v>
      </c>
      <c r="E10" s="40">
        <v>8036</v>
      </c>
      <c r="F10" s="56">
        <v>18681136</v>
      </c>
      <c r="G10" s="25">
        <f t="shared" si="0"/>
        <v>0.69404531929963997</v>
      </c>
      <c r="H10" s="30">
        <f t="shared" si="1"/>
        <v>12965555</v>
      </c>
      <c r="I10" s="25">
        <f t="shared" si="2"/>
        <v>0.30595468070035997</v>
      </c>
      <c r="J10" s="56">
        <v>5715581</v>
      </c>
      <c r="K10" s="27">
        <f t="shared" si="3"/>
        <v>18681136</v>
      </c>
      <c r="L10" s="28">
        <f t="shared" si="4"/>
        <v>0.69404531929963997</v>
      </c>
      <c r="M10" s="27">
        <f t="shared" si="5"/>
        <v>0.30595468070035997</v>
      </c>
      <c r="N10" s="25">
        <f t="shared" si="6"/>
        <v>9.7087378640776691E-3</v>
      </c>
      <c r="O10" s="24">
        <v>1078927</v>
      </c>
      <c r="P10" s="26">
        <f t="shared" si="7"/>
        <v>3204.881221203857</v>
      </c>
      <c r="Q10" s="29">
        <f t="shared" si="8"/>
        <v>7270.1381962718697</v>
      </c>
      <c r="R10" s="14"/>
    </row>
    <row r="11" spans="1:18">
      <c r="A11" s="21"/>
      <c r="B11" s="21" t="s">
        <v>2122</v>
      </c>
      <c r="C11" s="65">
        <v>490301</v>
      </c>
      <c r="D11" s="40">
        <v>1</v>
      </c>
      <c r="E11" s="40">
        <v>10374</v>
      </c>
      <c r="F11" s="56">
        <v>75113751</v>
      </c>
      <c r="G11" s="25">
        <f t="shared" si="0"/>
        <v>0.45169729308286044</v>
      </c>
      <c r="H11" s="30">
        <f t="shared" si="1"/>
        <v>33928678</v>
      </c>
      <c r="I11" s="25">
        <f t="shared" si="2"/>
        <v>0.54830270691713956</v>
      </c>
      <c r="J11" s="56">
        <v>41185073</v>
      </c>
      <c r="K11" s="27">
        <f t="shared" si="3"/>
        <v>75113751</v>
      </c>
      <c r="L11" s="28">
        <f t="shared" si="4"/>
        <v>0.45169729308286044</v>
      </c>
      <c r="M11" s="27">
        <f t="shared" si="5"/>
        <v>0.54830270691713956</v>
      </c>
      <c r="N11" s="25">
        <f t="shared" si="6"/>
        <v>9.7087378640776691E-3</v>
      </c>
      <c r="O11" s="24">
        <v>1078927</v>
      </c>
      <c r="P11" s="26">
        <f t="shared" si="7"/>
        <v>5743.4815016115399</v>
      </c>
      <c r="Q11" s="29">
        <f t="shared" si="8"/>
        <v>4731.5379158641872</v>
      </c>
      <c r="R11" s="14"/>
    </row>
    <row r="12" spans="1:18">
      <c r="A12" s="21"/>
      <c r="B12" s="21" t="s">
        <v>2123</v>
      </c>
      <c r="C12" s="60">
        <v>490601</v>
      </c>
      <c r="D12" s="40">
        <v>1</v>
      </c>
      <c r="E12" s="40">
        <v>8243</v>
      </c>
      <c r="F12" s="41">
        <v>31403986</v>
      </c>
      <c r="G12" s="25">
        <f t="shared" si="0"/>
        <v>0.66721619351123129</v>
      </c>
      <c r="H12" s="27">
        <f t="shared" si="1"/>
        <v>20953248</v>
      </c>
      <c r="I12" s="25">
        <f t="shared" si="2"/>
        <v>0.33278380648876865</v>
      </c>
      <c r="J12" s="41">
        <v>10450738</v>
      </c>
      <c r="K12" s="27">
        <f t="shared" si="3"/>
        <v>31403986</v>
      </c>
      <c r="L12" s="28">
        <f t="shared" si="4"/>
        <v>0.66721619351123129</v>
      </c>
      <c r="M12" s="27">
        <f t="shared" si="5"/>
        <v>0.33278380648876865</v>
      </c>
      <c r="N12" s="25">
        <f t="shared" si="6"/>
        <v>9.7087378640776691E-3</v>
      </c>
      <c r="O12" s="24">
        <v>1078927</v>
      </c>
      <c r="P12" s="26">
        <f t="shared" si="7"/>
        <v>3485.9168347913364</v>
      </c>
      <c r="Q12" s="29">
        <f t="shared" si="8"/>
        <v>6989.1025826843897</v>
      </c>
      <c r="R12" s="14"/>
    </row>
    <row r="13" spans="1:18">
      <c r="A13" s="21"/>
      <c r="B13" s="21" t="s">
        <v>2124</v>
      </c>
      <c r="C13" s="60">
        <v>491700</v>
      </c>
      <c r="D13" s="40">
        <v>4</v>
      </c>
      <c r="E13" s="40">
        <v>10954</v>
      </c>
      <c r="F13" s="58">
        <v>81553767</v>
      </c>
      <c r="G13" s="25">
        <f t="shared" si="0"/>
        <v>0.64283588518970558</v>
      </c>
      <c r="H13" s="26">
        <f t="shared" si="1"/>
        <v>52425688</v>
      </c>
      <c r="I13" s="25">
        <f t="shared" si="2"/>
        <v>0.35716411481029442</v>
      </c>
      <c r="J13" s="58">
        <v>29128079</v>
      </c>
      <c r="K13" s="27">
        <f t="shared" si="3"/>
        <v>81553767</v>
      </c>
      <c r="L13" s="28">
        <f t="shared" si="4"/>
        <v>0.64283588518970558</v>
      </c>
      <c r="M13" s="27">
        <f t="shared" si="5"/>
        <v>0.35716411481029442</v>
      </c>
      <c r="N13" s="25">
        <f t="shared" si="6"/>
        <v>3.8834951456310676E-2</v>
      </c>
      <c r="O13" s="24">
        <v>1078927</v>
      </c>
      <c r="P13" s="26">
        <f t="shared" si="7"/>
        <v>14965.204151453456</v>
      </c>
      <c r="Q13" s="29">
        <f t="shared" si="8"/>
        <v>26934.873518449451</v>
      </c>
      <c r="R13" s="14"/>
    </row>
    <row r="14" spans="1:18">
      <c r="A14" s="260" t="s">
        <v>2125</v>
      </c>
      <c r="B14" s="261"/>
      <c r="C14" s="262"/>
      <c r="D14" s="17">
        <f>SUM(D8:D13)</f>
        <v>103</v>
      </c>
      <c r="E14" s="39"/>
      <c r="F14" s="39"/>
      <c r="G14" s="17"/>
      <c r="H14" s="17"/>
      <c r="I14" s="17"/>
      <c r="J14" s="39"/>
      <c r="K14" s="17"/>
      <c r="L14" s="17"/>
      <c r="M14" s="17"/>
      <c r="N14" s="49"/>
      <c r="O14" s="19"/>
      <c r="P14" s="19">
        <f>SUM(P8:P13)</f>
        <v>609081.53735442343</v>
      </c>
      <c r="Q14" s="19">
        <f>SUM(Q8:Q13)</f>
        <v>469845.46264557657</v>
      </c>
      <c r="R14" s="14"/>
    </row>
    <row r="15" spans="1:18">
      <c r="A15" s="15" t="s">
        <v>2126</v>
      </c>
      <c r="B15" s="16"/>
      <c r="C15" s="66"/>
      <c r="D15" s="17"/>
      <c r="E15" s="39"/>
      <c r="F15" s="55"/>
      <c r="G15" s="17"/>
      <c r="H15" s="17"/>
      <c r="I15" s="17"/>
      <c r="J15" s="55"/>
      <c r="K15" s="17"/>
      <c r="L15" s="17"/>
      <c r="M15" s="17"/>
      <c r="N15" s="49"/>
      <c r="O15" s="19"/>
      <c r="P15" s="19"/>
      <c r="Q15" s="20"/>
      <c r="R15" s="14"/>
    </row>
    <row r="16" spans="1:18">
      <c r="A16" s="21"/>
      <c r="B16" s="21" t="s">
        <v>2117</v>
      </c>
      <c r="C16" s="60" t="s">
        <v>2130</v>
      </c>
      <c r="D16" s="40">
        <v>109</v>
      </c>
      <c r="E16" s="40">
        <v>10176</v>
      </c>
      <c r="F16" s="58">
        <v>172866321</v>
      </c>
      <c r="G16" s="25">
        <f>H16/F16</f>
        <v>0.42094356829633689</v>
      </c>
      <c r="H16" s="26">
        <f>F16-J16</f>
        <v>72766966</v>
      </c>
      <c r="I16" s="25">
        <f>J16/F16</f>
        <v>0.57905643170366305</v>
      </c>
      <c r="J16" s="58">
        <v>100099355</v>
      </c>
      <c r="K16" s="27">
        <f>SUM(H16+J16)</f>
        <v>172866321</v>
      </c>
      <c r="L16" s="28">
        <f>H16/K16</f>
        <v>0.42094356829633689</v>
      </c>
      <c r="M16" s="27">
        <f>J16/K16</f>
        <v>0.57905643170366305</v>
      </c>
      <c r="N16" s="25">
        <f>D16/$D$20</f>
        <v>0.96460176991150437</v>
      </c>
      <c r="O16" s="24">
        <v>1073355</v>
      </c>
      <c r="P16" s="26">
        <f>O16*N16*M16</f>
        <v>599531.94399460254</v>
      </c>
      <c r="Q16" s="29">
        <f>O16*N16*L16</f>
        <v>435828.18874876015</v>
      </c>
      <c r="R16" s="14"/>
    </row>
    <row r="17" spans="1:18">
      <c r="A17" s="21"/>
      <c r="B17" s="21" t="s">
        <v>2121</v>
      </c>
      <c r="C17" s="60" t="s">
        <v>2145</v>
      </c>
      <c r="D17" s="40">
        <v>1</v>
      </c>
      <c r="E17" s="40">
        <v>8036</v>
      </c>
      <c r="F17" s="56">
        <v>18681136</v>
      </c>
      <c r="G17" s="25">
        <f>H17/F17</f>
        <v>0.69404531929963997</v>
      </c>
      <c r="H17" s="27">
        <f>F17-J17</f>
        <v>12965555</v>
      </c>
      <c r="I17" s="25">
        <f>J17/F17</f>
        <v>0.30595468070035997</v>
      </c>
      <c r="J17" s="56">
        <v>5715581</v>
      </c>
      <c r="K17" s="27">
        <f>SUM(H17+J17)</f>
        <v>18681136</v>
      </c>
      <c r="L17" s="28">
        <f>H17/K17</f>
        <v>0.69404531929963997</v>
      </c>
      <c r="M17" s="27">
        <f>J17/K17</f>
        <v>0.30595468070035997</v>
      </c>
      <c r="N17" s="25">
        <f>D17/$D$20</f>
        <v>8.8495575221238937E-3</v>
      </c>
      <c r="O17" s="24">
        <v>1073355</v>
      </c>
      <c r="P17" s="26">
        <f>O17*N17*M17</f>
        <v>2906.1768699392469</v>
      </c>
      <c r="Q17" s="29">
        <f>O17*N17*L17</f>
        <v>6592.5399442200451</v>
      </c>
      <c r="R17" s="14"/>
    </row>
    <row r="18" spans="1:18">
      <c r="A18" s="21"/>
      <c r="B18" s="21" t="s">
        <v>2124</v>
      </c>
      <c r="C18" s="60">
        <v>491700</v>
      </c>
      <c r="D18" s="40">
        <v>2</v>
      </c>
      <c r="E18" s="40">
        <v>10954</v>
      </c>
      <c r="F18" s="58">
        <v>81553767</v>
      </c>
      <c r="G18" s="25">
        <f>H18/F18</f>
        <v>0.64283588518970558</v>
      </c>
      <c r="H18" s="26">
        <f>F18-J18</f>
        <v>52425688</v>
      </c>
      <c r="I18" s="25">
        <f>J18/F18</f>
        <v>0.35716411481029442</v>
      </c>
      <c r="J18" s="58">
        <v>29128079</v>
      </c>
      <c r="K18" s="27">
        <f>SUM(H18+J18)</f>
        <v>81553767</v>
      </c>
      <c r="L18" s="28">
        <f>H18/K18</f>
        <v>0.64283588518970558</v>
      </c>
      <c r="M18" s="27">
        <f>J18/K18</f>
        <v>0.35716411481029442</v>
      </c>
      <c r="N18" s="25">
        <f>D18/$D$20</f>
        <v>1.7699115044247787E-2</v>
      </c>
      <c r="O18" s="24">
        <v>1073355</v>
      </c>
      <c r="P18" s="26">
        <f>O18*N18*M18</f>
        <v>6785.2015655257264</v>
      </c>
      <c r="Q18" s="29">
        <f>O18*N18*L18</f>
        <v>12212.232062792857</v>
      </c>
      <c r="R18" s="14"/>
    </row>
    <row r="19" spans="1:18">
      <c r="A19" s="21"/>
      <c r="B19" s="21" t="s">
        <v>2127</v>
      </c>
      <c r="C19" s="65">
        <v>530202</v>
      </c>
      <c r="D19" s="40">
        <v>1</v>
      </c>
      <c r="E19" s="40">
        <v>9361</v>
      </c>
      <c r="F19" s="41">
        <v>41910477</v>
      </c>
      <c r="G19" s="25">
        <f>H19/F19</f>
        <v>0.51384604856680582</v>
      </c>
      <c r="H19" s="27">
        <f>F19-J19</f>
        <v>21535533</v>
      </c>
      <c r="I19" s="25">
        <f>J19/F19</f>
        <v>0.48615395143319412</v>
      </c>
      <c r="J19" s="41">
        <v>20374944</v>
      </c>
      <c r="K19" s="27">
        <f>SUM(H19+J19)</f>
        <v>41910477</v>
      </c>
      <c r="L19" s="28">
        <f>H19/K19</f>
        <v>0.51384604856680582</v>
      </c>
      <c r="M19" s="27">
        <f>J19/K19</f>
        <v>0.48615395143319412</v>
      </c>
      <c r="N19" s="25">
        <f>D19/$D$20</f>
        <v>8.8495575221238937E-3</v>
      </c>
      <c r="O19" s="24">
        <v>1073355</v>
      </c>
      <c r="P19" s="26">
        <f>O19*N19*M19</f>
        <v>4617.8387127484611</v>
      </c>
      <c r="Q19" s="29">
        <f>O19*N19*L19</f>
        <v>4880.8781014108308</v>
      </c>
      <c r="R19" s="14"/>
    </row>
    <row r="20" spans="1:18">
      <c r="A20" s="260" t="s">
        <v>2128</v>
      </c>
      <c r="B20" s="261"/>
      <c r="C20" s="262"/>
      <c r="D20" s="17">
        <f>SUM(D16:D19)</f>
        <v>113</v>
      </c>
      <c r="E20" s="39"/>
      <c r="F20" s="39"/>
      <c r="G20" s="17"/>
      <c r="H20" s="17"/>
      <c r="I20" s="17"/>
      <c r="J20" s="39"/>
      <c r="K20" s="17"/>
      <c r="L20" s="17"/>
      <c r="M20" s="17"/>
      <c r="N20" s="49"/>
      <c r="O20" s="19"/>
      <c r="P20" s="19">
        <f>SUM(P16:P19)</f>
        <v>613841.16114281595</v>
      </c>
      <c r="Q20" s="20">
        <f>SUM(Q16:Q19)</f>
        <v>459513.83885718387</v>
      </c>
      <c r="R20" s="14"/>
    </row>
    <row r="21" spans="1:18">
      <c r="A21" s="15" t="s">
        <v>2129</v>
      </c>
      <c r="B21" s="16"/>
      <c r="C21" s="66"/>
      <c r="D21" s="17"/>
      <c r="E21" s="39"/>
      <c r="F21" s="55"/>
      <c r="G21" s="17"/>
      <c r="H21" s="17"/>
      <c r="I21" s="17"/>
      <c r="J21" s="55"/>
      <c r="K21" s="17"/>
      <c r="L21" s="17"/>
      <c r="M21" s="17"/>
      <c r="N21" s="49"/>
      <c r="O21" s="19"/>
      <c r="P21" s="19"/>
      <c r="Q21" s="20"/>
      <c r="R21" s="14"/>
    </row>
    <row r="22" spans="1:18">
      <c r="A22" s="21"/>
      <c r="B22" s="21" t="s">
        <v>2117</v>
      </c>
      <c r="C22" s="60" t="s">
        <v>2130</v>
      </c>
      <c r="D22" s="40">
        <v>137</v>
      </c>
      <c r="E22" s="40">
        <v>10176</v>
      </c>
      <c r="F22" s="58">
        <v>172866321</v>
      </c>
      <c r="G22" s="25">
        <f>H22/F22</f>
        <v>0.42094356829633689</v>
      </c>
      <c r="H22" s="26">
        <f>F22-J22</f>
        <v>72766966</v>
      </c>
      <c r="I22" s="25">
        <f>J22/F22</f>
        <v>0.57905643170366305</v>
      </c>
      <c r="J22" s="58">
        <v>100099355</v>
      </c>
      <c r="K22" s="27">
        <f>SUM(H22+J22)</f>
        <v>172866321</v>
      </c>
      <c r="L22" s="28">
        <f>H22/K22</f>
        <v>0.42094356829633689</v>
      </c>
      <c r="M22" s="27">
        <f>J22/K22</f>
        <v>0.57905643170366305</v>
      </c>
      <c r="N22" s="25">
        <f>D22/$D$27</f>
        <v>0.97163120567375882</v>
      </c>
      <c r="O22" s="24">
        <v>1415113</v>
      </c>
      <c r="P22" s="26">
        <f>O22*N22*M22</f>
        <v>796184.03503923968</v>
      </c>
      <c r="Q22" s="29">
        <f>O22*N22*L22</f>
        <v>578783.91531537008</v>
      </c>
      <c r="R22" s="6"/>
    </row>
    <row r="23" spans="1:18">
      <c r="A23" s="21"/>
      <c r="B23" s="21" t="s">
        <v>2120</v>
      </c>
      <c r="C23" s="60" t="s">
        <v>1772</v>
      </c>
      <c r="D23" s="40">
        <v>1</v>
      </c>
      <c r="E23" s="40">
        <v>10973</v>
      </c>
      <c r="F23" s="41">
        <v>39310578</v>
      </c>
      <c r="G23" s="25">
        <f>H23/F23</f>
        <v>0.47995763379515816</v>
      </c>
      <c r="H23" s="27">
        <f>F23-J23</f>
        <v>18867412</v>
      </c>
      <c r="I23" s="25">
        <f>J23/F23</f>
        <v>0.5200423662048419</v>
      </c>
      <c r="J23" s="41">
        <v>20443166</v>
      </c>
      <c r="K23" s="27">
        <f>SUM(H23+J23)</f>
        <v>39310578</v>
      </c>
      <c r="L23" s="28">
        <f>H23/K23</f>
        <v>0.47995763379515816</v>
      </c>
      <c r="M23" s="27">
        <f>J23/K23</f>
        <v>0.5200423662048419</v>
      </c>
      <c r="N23" s="25">
        <f>D23/$D$27</f>
        <v>7.0921985815602835E-3</v>
      </c>
      <c r="O23" s="24">
        <v>1415113</v>
      </c>
      <c r="P23" s="26">
        <f>O23*N23*M23</f>
        <v>5219.2816522498752</v>
      </c>
      <c r="Q23" s="29">
        <f>O23*N23*L23</f>
        <v>4816.9807590976425</v>
      </c>
      <c r="R23" s="6"/>
    </row>
    <row r="24" spans="1:18">
      <c r="A24" s="21"/>
      <c r="B24" s="21" t="s">
        <v>2123</v>
      </c>
      <c r="C24" s="60">
        <v>490601</v>
      </c>
      <c r="D24" s="40">
        <v>1</v>
      </c>
      <c r="E24" s="40">
        <v>8243</v>
      </c>
      <c r="F24" s="41">
        <v>31403986</v>
      </c>
      <c r="G24" s="25">
        <f>H24/F24</f>
        <v>0.66721619351123129</v>
      </c>
      <c r="H24" s="27">
        <f>F24-J24</f>
        <v>20953248</v>
      </c>
      <c r="I24" s="25">
        <f>J24/F24</f>
        <v>0.33278380648876865</v>
      </c>
      <c r="J24" s="41">
        <v>10450738</v>
      </c>
      <c r="K24" s="27">
        <f>SUM(H24+J24)</f>
        <v>31403986</v>
      </c>
      <c r="L24" s="28">
        <f>H24/K24</f>
        <v>0.66721619351123129</v>
      </c>
      <c r="M24" s="27">
        <f>J24/K24</f>
        <v>0.33278380648876865</v>
      </c>
      <c r="N24" s="25">
        <f>D24/$D$27</f>
        <v>7.0921985815602835E-3</v>
      </c>
      <c r="O24" s="24">
        <v>1415113</v>
      </c>
      <c r="P24" s="26">
        <f>O24*N24*M24</f>
        <v>3339.9056081683748</v>
      </c>
      <c r="Q24" s="29">
        <f>O24*N24*L24</f>
        <v>6696.3568031791419</v>
      </c>
      <c r="R24" s="6"/>
    </row>
    <row r="25" spans="1:18">
      <c r="A25" s="21"/>
      <c r="B25" s="21" t="s">
        <v>2124</v>
      </c>
      <c r="C25" s="60">
        <v>491700</v>
      </c>
      <c r="D25" s="40">
        <v>1</v>
      </c>
      <c r="E25" s="40">
        <v>10954</v>
      </c>
      <c r="F25" s="58">
        <v>81553767</v>
      </c>
      <c r="G25" s="25">
        <f>H25/F25</f>
        <v>0.64283588518970558</v>
      </c>
      <c r="H25" s="26">
        <f>F25-J25</f>
        <v>52425688</v>
      </c>
      <c r="I25" s="25">
        <f>J25/F25</f>
        <v>0.35716411481029442</v>
      </c>
      <c r="J25" s="58">
        <v>29128079</v>
      </c>
      <c r="K25" s="27">
        <f>SUM(H25+J25)</f>
        <v>81553767</v>
      </c>
      <c r="L25" s="28">
        <f>H25/K25</f>
        <v>0.64283588518970558</v>
      </c>
      <c r="M25" s="27">
        <f>J25/K25</f>
        <v>0.35716411481029442</v>
      </c>
      <c r="N25" s="25">
        <f>D25/$D$27</f>
        <v>7.0921985815602835E-3</v>
      </c>
      <c r="O25" s="24">
        <v>1415113</v>
      </c>
      <c r="P25" s="26">
        <f>O25*N25*M25</f>
        <v>3584.5927801527673</v>
      </c>
      <c r="Q25" s="29">
        <f>O25*N25*L25</f>
        <v>6451.6696311947508</v>
      </c>
      <c r="R25" s="6"/>
    </row>
    <row r="26" spans="1:18">
      <c r="A26" s="21"/>
      <c r="B26" s="21" t="s">
        <v>2132</v>
      </c>
      <c r="C26" s="65">
        <v>530600</v>
      </c>
      <c r="D26" s="40">
        <v>1</v>
      </c>
      <c r="E26" s="40">
        <v>9112</v>
      </c>
      <c r="F26" s="41">
        <v>129603734</v>
      </c>
      <c r="G26" s="25">
        <f>H26/F26</f>
        <v>0.64854501800079312</v>
      </c>
      <c r="H26" s="27">
        <f>F26-J26</f>
        <v>84053856</v>
      </c>
      <c r="I26" s="25">
        <f>J26/F26</f>
        <v>0.35145498199920688</v>
      </c>
      <c r="J26" s="41">
        <v>45549878</v>
      </c>
      <c r="K26" s="27">
        <f>SUM(H26+J26)</f>
        <v>129603734</v>
      </c>
      <c r="L26" s="28">
        <f>H26/K26</f>
        <v>0.64854501800079312</v>
      </c>
      <c r="M26" s="27">
        <f>J26/K26</f>
        <v>0.35145498199920688</v>
      </c>
      <c r="N26" s="25">
        <f>D26/$D$27</f>
        <v>7.0921985815602835E-3</v>
      </c>
      <c r="O26" s="24">
        <v>1415113</v>
      </c>
      <c r="P26" s="26">
        <f>O26*N26*M26</f>
        <v>3527.2944251194585</v>
      </c>
      <c r="Q26" s="29">
        <f>O26*N26*L26</f>
        <v>6508.9679862280591</v>
      </c>
      <c r="R26" s="6"/>
    </row>
    <row r="27" spans="1:18">
      <c r="A27" s="260" t="s">
        <v>2133</v>
      </c>
      <c r="B27" s="261"/>
      <c r="C27" s="262"/>
      <c r="D27" s="17">
        <f>SUM(D22:D26)</f>
        <v>141</v>
      </c>
      <c r="E27" s="39"/>
      <c r="F27" s="39"/>
      <c r="G27" s="17"/>
      <c r="H27" s="17"/>
      <c r="I27" s="17"/>
      <c r="J27" s="39"/>
      <c r="K27" s="17"/>
      <c r="L27" s="17"/>
      <c r="M27" s="17"/>
      <c r="N27" s="49"/>
      <c r="O27" s="19"/>
      <c r="P27" s="19">
        <f>SUM(P22:P26)</f>
        <v>811855.10950493009</v>
      </c>
      <c r="Q27" s="20">
        <f>SUM(Q22:Q26)</f>
        <v>603257.89049506967</v>
      </c>
      <c r="R27" s="14"/>
    </row>
    <row r="28" spans="1:18">
      <c r="A28" s="15" t="s">
        <v>2134</v>
      </c>
      <c r="B28" s="16"/>
      <c r="C28" s="66"/>
      <c r="D28" s="17"/>
      <c r="E28" s="39"/>
      <c r="F28" s="55"/>
      <c r="G28" s="17"/>
      <c r="H28" s="17"/>
      <c r="I28" s="17"/>
      <c r="J28" s="55"/>
      <c r="K28" s="17"/>
      <c r="L28" s="17"/>
      <c r="M28" s="17"/>
      <c r="N28" s="49"/>
      <c r="O28" s="19"/>
      <c r="P28" s="19"/>
      <c r="Q28" s="20"/>
      <c r="R28" s="14"/>
    </row>
    <row r="29" spans="1:18">
      <c r="A29" s="21"/>
      <c r="B29" s="21" t="s">
        <v>2117</v>
      </c>
      <c r="C29" s="60" t="s">
        <v>2130</v>
      </c>
      <c r="D29" s="40">
        <v>143</v>
      </c>
      <c r="E29" s="40">
        <v>10176</v>
      </c>
      <c r="F29" s="58">
        <v>172866321</v>
      </c>
      <c r="G29" s="25">
        <f>H29/F29</f>
        <v>0.42094356829633689</v>
      </c>
      <c r="H29" s="26">
        <f>F29-J29</f>
        <v>72766966</v>
      </c>
      <c r="I29" s="25">
        <f>J29/F29</f>
        <v>0.57905643170366305</v>
      </c>
      <c r="J29" s="58">
        <v>100099355</v>
      </c>
      <c r="K29" s="27">
        <f>SUM(H29+J29)</f>
        <v>172866321</v>
      </c>
      <c r="L29" s="28">
        <f>H29/K29</f>
        <v>0.42094356829633689</v>
      </c>
      <c r="M29" s="27">
        <f>J29/K29</f>
        <v>0.57905643170366305</v>
      </c>
      <c r="N29" s="25">
        <f>D29/$D$31</f>
        <v>0.99305555555555558</v>
      </c>
      <c r="O29" s="24">
        <v>1514457</v>
      </c>
      <c r="P29" s="26">
        <f>O29*N29*M29</f>
        <v>870866.09370537999</v>
      </c>
      <c r="Q29" s="29">
        <f>O29*N29*L29</f>
        <v>633073.8437946199</v>
      </c>
      <c r="R29" s="6"/>
    </row>
    <row r="30" spans="1:18">
      <c r="A30" s="21"/>
      <c r="B30" s="21" t="s">
        <v>2124</v>
      </c>
      <c r="C30" s="60">
        <v>491700</v>
      </c>
      <c r="D30" s="40">
        <v>1</v>
      </c>
      <c r="E30" s="40">
        <v>10954</v>
      </c>
      <c r="F30" s="58">
        <v>81553767</v>
      </c>
      <c r="G30" s="25">
        <f>H30/F30</f>
        <v>0.64283588518970558</v>
      </c>
      <c r="H30" s="26">
        <f>F30-J30</f>
        <v>52425688</v>
      </c>
      <c r="I30" s="25">
        <f>J30/F30</f>
        <v>0.35716411481029442</v>
      </c>
      <c r="J30" s="58">
        <v>29128079</v>
      </c>
      <c r="K30" s="27">
        <f>SUM(H30+J30)</f>
        <v>81553767</v>
      </c>
      <c r="L30" s="28">
        <f>H30/K30</f>
        <v>0.64283588518970558</v>
      </c>
      <c r="M30" s="27">
        <f>J30/K30</f>
        <v>0.35716411481029442</v>
      </c>
      <c r="N30" s="25">
        <f>D30/$D$31</f>
        <v>6.9444444444444441E-3</v>
      </c>
      <c r="O30" s="24">
        <v>1514457</v>
      </c>
      <c r="P30" s="26">
        <f>O30*N30*M30</f>
        <v>3756.3173182170422</v>
      </c>
      <c r="Q30" s="29">
        <f>O30*N30*L30</f>
        <v>6760.7451817829578</v>
      </c>
      <c r="R30" s="6"/>
    </row>
    <row r="31" spans="1:18">
      <c r="A31" s="260" t="s">
        <v>2135</v>
      </c>
      <c r="B31" s="261"/>
      <c r="C31" s="262"/>
      <c r="D31" s="17">
        <f>SUM(D29:D30)</f>
        <v>144</v>
      </c>
      <c r="E31" s="39"/>
      <c r="F31" s="39"/>
      <c r="G31" s="17"/>
      <c r="H31" s="17"/>
      <c r="I31" s="17"/>
      <c r="J31" s="39"/>
      <c r="K31" s="17"/>
      <c r="L31" s="17"/>
      <c r="M31" s="17"/>
      <c r="N31" s="49"/>
      <c r="O31" s="19"/>
      <c r="P31" s="19">
        <f>SUM(P29:P30)</f>
        <v>874622.411023597</v>
      </c>
      <c r="Q31" s="20">
        <f>SUM(Q29:Q30)</f>
        <v>639834.58897640288</v>
      </c>
      <c r="R31" s="6"/>
    </row>
    <row r="32" spans="1:18">
      <c r="A32" s="15" t="s">
        <v>2136</v>
      </c>
      <c r="B32" s="16"/>
      <c r="C32" s="66"/>
      <c r="D32" s="17"/>
      <c r="E32" s="39"/>
      <c r="F32" s="55"/>
      <c r="G32" s="17"/>
      <c r="H32" s="17"/>
      <c r="I32" s="17"/>
      <c r="J32" s="55"/>
      <c r="K32" s="17"/>
      <c r="L32" s="17"/>
      <c r="M32" s="17"/>
      <c r="N32" s="49"/>
      <c r="O32" s="19"/>
      <c r="P32" s="19"/>
      <c r="Q32" s="20"/>
      <c r="R32" s="6"/>
    </row>
    <row r="33" spans="1:18">
      <c r="A33" s="21"/>
      <c r="B33" s="21" t="s">
        <v>2117</v>
      </c>
      <c r="C33" s="60" t="s">
        <v>2130</v>
      </c>
      <c r="D33" s="40">
        <v>153</v>
      </c>
      <c r="E33" s="40">
        <v>10176</v>
      </c>
      <c r="F33" s="58">
        <v>172866321</v>
      </c>
      <c r="G33" s="25">
        <f t="shared" ref="G33:G39" si="9">H33/F33</f>
        <v>0.42094356829633689</v>
      </c>
      <c r="H33" s="26">
        <f t="shared" ref="H33:H39" si="10">F33-J33</f>
        <v>72766966</v>
      </c>
      <c r="I33" s="25">
        <f t="shared" ref="I33:I39" si="11">J33/F33</f>
        <v>0.57905643170366305</v>
      </c>
      <c r="J33" s="58">
        <v>100099355</v>
      </c>
      <c r="K33" s="27">
        <f t="shared" ref="K33:K39" si="12">SUM(H33+J33)</f>
        <v>172866321</v>
      </c>
      <c r="L33" s="28">
        <f t="shared" ref="L33:L39" si="13">H33/K33</f>
        <v>0.42094356829633689</v>
      </c>
      <c r="M33" s="27">
        <f t="shared" ref="M33:M39" si="14">J33/K33</f>
        <v>0.57905643170366305</v>
      </c>
      <c r="N33" s="25">
        <f t="shared" ref="N33:N40" si="15">D33/$D$41</f>
        <v>0.92168674698795183</v>
      </c>
      <c r="O33" s="24">
        <v>1583116</v>
      </c>
      <c r="P33" s="26">
        <f t="shared" ref="P33:P40" si="16">O33*N33*M33</f>
        <v>844922.68551653833</v>
      </c>
      <c r="Q33" s="29">
        <f t="shared" ref="Q33:Q40" si="17">O33*N33*L33</f>
        <v>614214.35062803992</v>
      </c>
      <c r="R33" s="6"/>
    </row>
    <row r="34" spans="1:18">
      <c r="A34" s="21"/>
      <c r="B34" s="21" t="s">
        <v>2137</v>
      </c>
      <c r="C34" s="60" t="s">
        <v>1773</v>
      </c>
      <c r="D34" s="40">
        <v>1</v>
      </c>
      <c r="E34" s="40">
        <v>10026</v>
      </c>
      <c r="F34" s="41">
        <v>18737733</v>
      </c>
      <c r="G34" s="25">
        <f t="shared" si="9"/>
        <v>0.53705055995834716</v>
      </c>
      <c r="H34" s="27">
        <f t="shared" si="10"/>
        <v>10063110</v>
      </c>
      <c r="I34" s="25">
        <f t="shared" si="11"/>
        <v>0.46294944004165284</v>
      </c>
      <c r="J34" s="41">
        <v>8674623</v>
      </c>
      <c r="K34" s="27">
        <f t="shared" si="12"/>
        <v>18737733</v>
      </c>
      <c r="L34" s="28">
        <f t="shared" si="13"/>
        <v>0.53705055995834716</v>
      </c>
      <c r="M34" s="27">
        <f t="shared" si="14"/>
        <v>0.46294944004165284</v>
      </c>
      <c r="N34" s="25">
        <f t="shared" si="15"/>
        <v>6.024096385542169E-3</v>
      </c>
      <c r="O34" s="26">
        <v>1583116</v>
      </c>
      <c r="P34" s="26">
        <f t="shared" si="16"/>
        <v>4415.0762995239838</v>
      </c>
      <c r="Q34" s="29">
        <f t="shared" si="17"/>
        <v>5121.7670739699934</v>
      </c>
      <c r="R34" s="6"/>
    </row>
    <row r="35" spans="1:18">
      <c r="A35" s="21"/>
      <c r="B35" s="21" t="s">
        <v>2138</v>
      </c>
      <c r="C35" s="60" t="s">
        <v>2144</v>
      </c>
      <c r="D35" s="40">
        <v>1</v>
      </c>
      <c r="E35" s="40">
        <v>15215</v>
      </c>
      <c r="F35" s="41">
        <v>6663188</v>
      </c>
      <c r="G35" s="25">
        <f t="shared" si="9"/>
        <v>0.12586407587479145</v>
      </c>
      <c r="H35" s="27">
        <f t="shared" si="10"/>
        <v>838656</v>
      </c>
      <c r="I35" s="25">
        <f t="shared" si="11"/>
        <v>0.87413592412520857</v>
      </c>
      <c r="J35" s="41">
        <v>5824532</v>
      </c>
      <c r="K35" s="27">
        <f t="shared" si="12"/>
        <v>6663188</v>
      </c>
      <c r="L35" s="28">
        <f t="shared" si="13"/>
        <v>0.12586407587479145</v>
      </c>
      <c r="M35" s="27">
        <f t="shared" si="14"/>
        <v>0.87413592412520857</v>
      </c>
      <c r="N35" s="25">
        <f t="shared" si="15"/>
        <v>6.024096385542169E-3</v>
      </c>
      <c r="O35" s="26">
        <v>1583116</v>
      </c>
      <c r="P35" s="26">
        <f t="shared" si="16"/>
        <v>8336.4973955265286</v>
      </c>
      <c r="Q35" s="29">
        <f t="shared" si="17"/>
        <v>1200.3459779674481</v>
      </c>
      <c r="R35" s="6"/>
    </row>
    <row r="36" spans="1:18">
      <c r="A36" s="21"/>
      <c r="B36" s="21" t="s">
        <v>2121</v>
      </c>
      <c r="C36" s="60" t="s">
        <v>2145</v>
      </c>
      <c r="D36" s="40">
        <v>1</v>
      </c>
      <c r="E36" s="40">
        <v>8036</v>
      </c>
      <c r="F36" s="56">
        <v>18681136</v>
      </c>
      <c r="G36" s="25">
        <f t="shared" si="9"/>
        <v>0.69404531929963997</v>
      </c>
      <c r="H36" s="27">
        <f t="shared" si="10"/>
        <v>12965555</v>
      </c>
      <c r="I36" s="25">
        <f t="shared" si="11"/>
        <v>0.30595468070035997</v>
      </c>
      <c r="J36" s="56">
        <v>5715581</v>
      </c>
      <c r="K36" s="27">
        <f t="shared" si="12"/>
        <v>18681136</v>
      </c>
      <c r="L36" s="28">
        <f t="shared" si="13"/>
        <v>0.69404531929963997</v>
      </c>
      <c r="M36" s="27">
        <f t="shared" si="14"/>
        <v>0.30595468070035997</v>
      </c>
      <c r="N36" s="25">
        <f t="shared" si="15"/>
        <v>6.024096385542169E-3</v>
      </c>
      <c r="O36" s="24">
        <v>1583116</v>
      </c>
      <c r="P36" s="26">
        <f t="shared" si="16"/>
        <v>2917.8418692266937</v>
      </c>
      <c r="Q36" s="29">
        <f t="shared" si="17"/>
        <v>6619.0015042672831</v>
      </c>
      <c r="R36" s="6"/>
    </row>
    <row r="37" spans="1:18">
      <c r="A37" s="21"/>
      <c r="B37" s="21" t="s">
        <v>2139</v>
      </c>
      <c r="C37" s="65">
        <v>491200</v>
      </c>
      <c r="D37" s="40">
        <v>1</v>
      </c>
      <c r="E37" s="40">
        <v>10992</v>
      </c>
      <c r="F37" s="41">
        <v>15992771</v>
      </c>
      <c r="G37" s="25">
        <f t="shared" si="9"/>
        <v>0.58393013943612393</v>
      </c>
      <c r="H37" s="27">
        <f t="shared" si="10"/>
        <v>9338661</v>
      </c>
      <c r="I37" s="25">
        <f t="shared" si="11"/>
        <v>0.41606986056387602</v>
      </c>
      <c r="J37" s="41">
        <v>6654110</v>
      </c>
      <c r="K37" s="27">
        <f t="shared" si="12"/>
        <v>15992771</v>
      </c>
      <c r="L37" s="28">
        <f t="shared" si="13"/>
        <v>0.58393013943612393</v>
      </c>
      <c r="M37" s="27">
        <f t="shared" si="14"/>
        <v>0.41606986056387602</v>
      </c>
      <c r="N37" s="25">
        <f t="shared" si="15"/>
        <v>6.024096385542169E-3</v>
      </c>
      <c r="O37" s="26">
        <v>1583116</v>
      </c>
      <c r="P37" s="26">
        <f t="shared" si="16"/>
        <v>3967.993092629164</v>
      </c>
      <c r="Q37" s="29">
        <f t="shared" si="17"/>
        <v>5568.8502808648127</v>
      </c>
      <c r="R37" s="6"/>
    </row>
    <row r="38" spans="1:18">
      <c r="A38" s="21"/>
      <c r="B38" s="21" t="s">
        <v>2124</v>
      </c>
      <c r="C38" s="60">
        <v>491700</v>
      </c>
      <c r="D38" s="40">
        <v>6</v>
      </c>
      <c r="E38" s="40">
        <v>10954</v>
      </c>
      <c r="F38" s="58">
        <v>81553767</v>
      </c>
      <c r="G38" s="25">
        <f t="shared" si="9"/>
        <v>0.64283588518970558</v>
      </c>
      <c r="H38" s="26">
        <f t="shared" si="10"/>
        <v>52425688</v>
      </c>
      <c r="I38" s="25">
        <f t="shared" si="11"/>
        <v>0.35716411481029442</v>
      </c>
      <c r="J38" s="58">
        <v>29128079</v>
      </c>
      <c r="K38" s="27">
        <f t="shared" si="12"/>
        <v>81553767</v>
      </c>
      <c r="L38" s="28">
        <f t="shared" si="13"/>
        <v>0.64283588518970558</v>
      </c>
      <c r="M38" s="27">
        <f t="shared" si="14"/>
        <v>0.35716411481029442</v>
      </c>
      <c r="N38" s="25">
        <f t="shared" si="15"/>
        <v>3.614457831325301E-2</v>
      </c>
      <c r="O38" s="24">
        <v>1583116</v>
      </c>
      <c r="P38" s="26">
        <f t="shared" si="16"/>
        <v>20437.309329470387</v>
      </c>
      <c r="Q38" s="29">
        <f t="shared" si="17"/>
        <v>36783.750911493466</v>
      </c>
      <c r="R38" s="6"/>
    </row>
    <row r="39" spans="1:18">
      <c r="A39" s="21"/>
      <c r="B39" s="21" t="s">
        <v>2140</v>
      </c>
      <c r="C39" s="65">
        <v>530515</v>
      </c>
      <c r="D39" s="41">
        <v>1</v>
      </c>
      <c r="E39" s="41">
        <v>7073</v>
      </c>
      <c r="F39" s="41">
        <v>39235095</v>
      </c>
      <c r="G39" s="25">
        <f t="shared" si="9"/>
        <v>0.58123445349119196</v>
      </c>
      <c r="H39" s="27">
        <f t="shared" si="10"/>
        <v>22804789</v>
      </c>
      <c r="I39" s="25">
        <f t="shared" si="11"/>
        <v>0.41876554650880798</v>
      </c>
      <c r="J39" s="41">
        <v>16430306</v>
      </c>
      <c r="K39" s="27">
        <f t="shared" si="12"/>
        <v>39235095</v>
      </c>
      <c r="L39" s="28">
        <f t="shared" si="13"/>
        <v>0.58123445349119196</v>
      </c>
      <c r="M39" s="27">
        <f t="shared" si="14"/>
        <v>0.41876554650880798</v>
      </c>
      <c r="N39" s="25">
        <f t="shared" si="15"/>
        <v>6.024096385542169E-3</v>
      </c>
      <c r="O39" s="26">
        <v>1583116</v>
      </c>
      <c r="P39" s="26">
        <f t="shared" si="16"/>
        <v>3993.7014272701094</v>
      </c>
      <c r="Q39" s="29">
        <f t="shared" si="17"/>
        <v>5543.1419462238673</v>
      </c>
      <c r="R39" s="6"/>
    </row>
    <row r="40" spans="1:18">
      <c r="A40" s="21"/>
      <c r="B40" s="31" t="s">
        <v>2132</v>
      </c>
      <c r="C40" s="60">
        <v>530600</v>
      </c>
      <c r="D40" s="40">
        <v>2</v>
      </c>
      <c r="E40" s="40">
        <v>9112</v>
      </c>
      <c r="F40" s="41">
        <v>129603734</v>
      </c>
      <c r="G40" s="25">
        <f>H40/F40</f>
        <v>0.64854501800079312</v>
      </c>
      <c r="H40" s="27">
        <f>F40-J40</f>
        <v>84053856</v>
      </c>
      <c r="I40" s="25">
        <f>J40/F40</f>
        <v>0.35145498199920688</v>
      </c>
      <c r="J40" s="41">
        <v>45549878</v>
      </c>
      <c r="K40" s="27">
        <f>SUM(H40+J40)</f>
        <v>129603734</v>
      </c>
      <c r="L40" s="28">
        <f>H40/K40</f>
        <v>0.64854501800079312</v>
      </c>
      <c r="M40" s="27">
        <f>J40/K40</f>
        <v>0.35145498199920688</v>
      </c>
      <c r="N40" s="25">
        <f t="shared" si="15"/>
        <v>1.2048192771084338E-2</v>
      </c>
      <c r="O40" s="24">
        <v>1583116</v>
      </c>
      <c r="P40" s="26">
        <f t="shared" si="16"/>
        <v>6703.5422323211624</v>
      </c>
      <c r="Q40" s="29">
        <f t="shared" si="17"/>
        <v>12370.144514666792</v>
      </c>
      <c r="R40" s="6"/>
    </row>
    <row r="41" spans="1:18" s="5" customFormat="1">
      <c r="A41" s="260" t="s">
        <v>2141</v>
      </c>
      <c r="B41" s="261"/>
      <c r="C41" s="262"/>
      <c r="D41" s="17">
        <f>SUM(D33:D40)</f>
        <v>166</v>
      </c>
      <c r="E41" s="39"/>
      <c r="F41" s="39"/>
      <c r="G41" s="17"/>
      <c r="H41" s="17"/>
      <c r="I41" s="17"/>
      <c r="J41" s="39"/>
      <c r="K41" s="17"/>
      <c r="L41" s="17"/>
      <c r="M41" s="17"/>
      <c r="N41" s="49"/>
      <c r="O41" s="19"/>
      <c r="P41" s="19">
        <f>SUM(P33:P40)</f>
        <v>895694.64716250612</v>
      </c>
      <c r="Q41" s="20">
        <f>SUM(Q33:Q40)</f>
        <v>687421.35283749364</v>
      </c>
      <c r="R41" s="14"/>
    </row>
    <row r="42" spans="1:18" s="5" customFormat="1">
      <c r="A42" s="15" t="s">
        <v>2156</v>
      </c>
      <c r="B42" s="16"/>
      <c r="C42" s="66"/>
      <c r="D42" s="17"/>
      <c r="E42" s="39"/>
      <c r="F42" s="55"/>
      <c r="G42" s="17"/>
      <c r="H42" s="17"/>
      <c r="I42" s="17"/>
      <c r="J42" s="55"/>
      <c r="K42" s="17"/>
      <c r="L42" s="17"/>
      <c r="M42" s="17"/>
      <c r="N42" s="49"/>
      <c r="O42" s="19"/>
      <c r="P42" s="19"/>
      <c r="Q42" s="20"/>
      <c r="R42" s="14"/>
    </row>
    <row r="43" spans="1:18">
      <c r="A43" s="21"/>
      <c r="B43" s="21" t="s">
        <v>2117</v>
      </c>
      <c r="C43" s="60" t="s">
        <v>2130</v>
      </c>
      <c r="D43" s="40">
        <v>529</v>
      </c>
      <c r="E43" s="40">
        <v>10176</v>
      </c>
      <c r="F43" s="58">
        <v>172866321</v>
      </c>
      <c r="G43" s="25">
        <f t="shared" ref="G43:G52" si="18">H43/F43</f>
        <v>0.42094356829633689</v>
      </c>
      <c r="H43" s="26">
        <f t="shared" ref="H43:H52" si="19">F43-J43</f>
        <v>72766966</v>
      </c>
      <c r="I43" s="25">
        <f t="shared" ref="I43:I52" si="20">J43/F43</f>
        <v>0.57905643170366305</v>
      </c>
      <c r="J43" s="58">
        <v>100099355</v>
      </c>
      <c r="K43" s="27">
        <f t="shared" ref="K43:K51" si="21">SUM(H43+J43)</f>
        <v>172866321</v>
      </c>
      <c r="L43" s="28">
        <f t="shared" ref="L43:L51" si="22">H43/K43</f>
        <v>0.42094356829633689</v>
      </c>
      <c r="M43" s="27">
        <f t="shared" ref="M43:M51" si="23">J43/K43</f>
        <v>0.57905643170366305</v>
      </c>
      <c r="N43" s="25">
        <f t="shared" ref="N43:N52" si="24">D43/$D$53</f>
        <v>0.76666666666666672</v>
      </c>
      <c r="O43" s="24">
        <v>6496868</v>
      </c>
      <c r="P43" s="26">
        <f t="shared" ref="P43:P51" si="25">O43*N43*M43</f>
        <v>2884240.7876861142</v>
      </c>
      <c r="Q43" s="29">
        <f t="shared" ref="Q43:Q51" si="26">O43*N43*L43</f>
        <v>2096691.3456472191</v>
      </c>
      <c r="R43" s="6"/>
    </row>
    <row r="44" spans="1:18" ht="12.75" customHeight="1">
      <c r="A44" s="21"/>
      <c r="B44" s="21" t="s">
        <v>2120</v>
      </c>
      <c r="C44" s="60" t="s">
        <v>1772</v>
      </c>
      <c r="D44" s="40">
        <v>1</v>
      </c>
      <c r="E44" s="40">
        <v>10973</v>
      </c>
      <c r="F44" s="41">
        <v>39310578</v>
      </c>
      <c r="G44" s="25">
        <f t="shared" si="18"/>
        <v>0.47995763379515816</v>
      </c>
      <c r="H44" s="26">
        <f t="shared" si="19"/>
        <v>18867412</v>
      </c>
      <c r="I44" s="25">
        <f t="shared" si="20"/>
        <v>0.5200423662048419</v>
      </c>
      <c r="J44" s="41">
        <v>20443166</v>
      </c>
      <c r="K44" s="27">
        <f>SUM(H44+J44)</f>
        <v>39310578</v>
      </c>
      <c r="L44" s="28">
        <f>H44/K44</f>
        <v>0.47995763379515816</v>
      </c>
      <c r="M44" s="27">
        <f>J44/K44</f>
        <v>0.5200423662048419</v>
      </c>
      <c r="N44" s="25">
        <f t="shared" si="24"/>
        <v>1.4492753623188406E-3</v>
      </c>
      <c r="O44" s="24">
        <v>6496868</v>
      </c>
      <c r="P44" s="26">
        <f>O44*N44*M44</f>
        <v>4896.5892864355346</v>
      </c>
      <c r="Q44" s="29">
        <f>O44*N44*L44</f>
        <v>4519.1614382021471</v>
      </c>
      <c r="R44" s="6"/>
    </row>
    <row r="45" spans="1:18" ht="12.75" customHeight="1">
      <c r="A45" s="21"/>
      <c r="B45" s="21" t="s">
        <v>2142</v>
      </c>
      <c r="C45" s="60" t="s">
        <v>1774</v>
      </c>
      <c r="D45" s="40">
        <v>7</v>
      </c>
      <c r="E45" s="40">
        <v>9784</v>
      </c>
      <c r="F45" s="41">
        <v>30197272</v>
      </c>
      <c r="G45" s="25">
        <f t="shared" si="18"/>
        <v>0.62025894259587422</v>
      </c>
      <c r="H45" s="27">
        <f t="shared" si="19"/>
        <v>18730128</v>
      </c>
      <c r="I45" s="25">
        <f t="shared" si="20"/>
        <v>0.37974105740412578</v>
      </c>
      <c r="J45" s="41">
        <v>11467144</v>
      </c>
      <c r="K45" s="27">
        <f>SUM(H45+J45)</f>
        <v>30197272</v>
      </c>
      <c r="L45" s="28">
        <f>H45/K45</f>
        <v>0.62025894259587422</v>
      </c>
      <c r="M45" s="27">
        <f>J45/K45</f>
        <v>0.37974105740412578</v>
      </c>
      <c r="N45" s="25">
        <f t="shared" si="24"/>
        <v>1.0144927536231883E-2</v>
      </c>
      <c r="O45" s="26">
        <v>6496868</v>
      </c>
      <c r="P45" s="26">
        <f>O45*N45*M45</f>
        <v>25028.829954993038</v>
      </c>
      <c r="Q45" s="29">
        <f>O45*N45*L45</f>
        <v>40881.425117470731</v>
      </c>
      <c r="R45" s="6"/>
    </row>
    <row r="46" spans="1:18" ht="12.75" customHeight="1">
      <c r="A46" s="21"/>
      <c r="B46" s="21" t="s">
        <v>2138</v>
      </c>
      <c r="C46" s="60" t="s">
        <v>2144</v>
      </c>
      <c r="D46" s="40">
        <v>4</v>
      </c>
      <c r="E46" s="40">
        <v>15215</v>
      </c>
      <c r="F46" s="41">
        <v>6663188</v>
      </c>
      <c r="G46" s="25">
        <f t="shared" si="18"/>
        <v>0.12586407587479145</v>
      </c>
      <c r="H46" s="26">
        <f t="shared" si="19"/>
        <v>838656</v>
      </c>
      <c r="I46" s="25">
        <f t="shared" si="20"/>
        <v>0.87413592412520857</v>
      </c>
      <c r="J46" s="41">
        <v>5824532</v>
      </c>
      <c r="K46" s="27">
        <f>SUM(H46+J46)</f>
        <v>6663188</v>
      </c>
      <c r="L46" s="28">
        <f>H46/K46</f>
        <v>0.12586407587479145</v>
      </c>
      <c r="M46" s="27">
        <f>J46/K46</f>
        <v>0.87413592412520857</v>
      </c>
      <c r="N46" s="25">
        <f t="shared" si="24"/>
        <v>5.7971014492753624E-3</v>
      </c>
      <c r="O46" s="26">
        <v>6496868</v>
      </c>
      <c r="P46" s="26">
        <f>O46*N46*M46</f>
        <v>32922.583844055043</v>
      </c>
      <c r="Q46" s="29">
        <f>O46*N46*L46</f>
        <v>4740.4190544956791</v>
      </c>
      <c r="R46" s="6"/>
    </row>
    <row r="47" spans="1:18" ht="12.75" customHeight="1">
      <c r="A47" s="21"/>
      <c r="B47" s="21" t="s">
        <v>2143</v>
      </c>
      <c r="C47" s="60" t="s">
        <v>1595</v>
      </c>
      <c r="D47" s="40">
        <v>1</v>
      </c>
      <c r="E47" s="40">
        <v>9675</v>
      </c>
      <c r="F47" s="41">
        <v>80598147</v>
      </c>
      <c r="G47" s="25">
        <f t="shared" si="18"/>
        <v>0.36768656728547372</v>
      </c>
      <c r="H47" s="27">
        <f t="shared" si="19"/>
        <v>29634856</v>
      </c>
      <c r="I47" s="25">
        <f t="shared" si="20"/>
        <v>0.63231343271452634</v>
      </c>
      <c r="J47" s="41">
        <v>50963291</v>
      </c>
      <c r="K47" s="27">
        <f>SUM(H47+J47)</f>
        <v>80598147</v>
      </c>
      <c r="L47" s="28">
        <f>H47/K47</f>
        <v>0.36768656728547372</v>
      </c>
      <c r="M47" s="27">
        <f>J47/K47</f>
        <v>0.63231343271452634</v>
      </c>
      <c r="N47" s="25">
        <f t="shared" si="24"/>
        <v>1.4492753623188406E-3</v>
      </c>
      <c r="O47" s="26">
        <v>6496868</v>
      </c>
      <c r="P47" s="26">
        <f>O47*N47*M47</f>
        <v>5953.705662279941</v>
      </c>
      <c r="Q47" s="29">
        <f>O47*N47*L47</f>
        <v>3462.0450623577408</v>
      </c>
      <c r="R47" s="6"/>
    </row>
    <row r="48" spans="1:18" ht="12.75" customHeight="1">
      <c r="A48" s="21"/>
      <c r="B48" s="21" t="s">
        <v>2121</v>
      </c>
      <c r="C48" s="60" t="s">
        <v>2144</v>
      </c>
      <c r="D48" s="40">
        <v>6</v>
      </c>
      <c r="E48" s="40">
        <v>8036</v>
      </c>
      <c r="F48" s="56">
        <v>18681136</v>
      </c>
      <c r="G48" s="25">
        <f t="shared" si="18"/>
        <v>0.69404531929963997</v>
      </c>
      <c r="H48" s="26">
        <f t="shared" si="19"/>
        <v>12965555</v>
      </c>
      <c r="I48" s="25">
        <f t="shared" si="20"/>
        <v>0.30595468070035997</v>
      </c>
      <c r="J48" s="56">
        <v>5715581</v>
      </c>
      <c r="K48" s="27">
        <f t="shared" si="21"/>
        <v>18681136</v>
      </c>
      <c r="L48" s="28">
        <f t="shared" si="22"/>
        <v>0.69404531929963997</v>
      </c>
      <c r="M48" s="27">
        <f t="shared" si="23"/>
        <v>0.30595468070035997</v>
      </c>
      <c r="N48" s="25">
        <f t="shared" si="24"/>
        <v>8.6956521739130436E-3</v>
      </c>
      <c r="O48" s="24">
        <v>6496868</v>
      </c>
      <c r="P48" s="26">
        <f t="shared" si="25"/>
        <v>17284.758039064229</v>
      </c>
      <c r="Q48" s="29">
        <f t="shared" si="26"/>
        <v>39209.746308761853</v>
      </c>
      <c r="R48" s="6"/>
    </row>
    <row r="49" spans="1:18" s="4" customFormat="1" ht="12.75" customHeight="1">
      <c r="A49" s="21"/>
      <c r="B49" s="31" t="s">
        <v>2131</v>
      </c>
      <c r="C49" s="60" t="s">
        <v>2145</v>
      </c>
      <c r="D49" s="40">
        <v>3</v>
      </c>
      <c r="E49" s="40">
        <v>8243</v>
      </c>
      <c r="F49" s="41">
        <v>31403986</v>
      </c>
      <c r="G49" s="25">
        <f t="shared" si="18"/>
        <v>0.66721619351123129</v>
      </c>
      <c r="H49" s="26">
        <f t="shared" si="19"/>
        <v>20953248</v>
      </c>
      <c r="I49" s="25">
        <f t="shared" si="20"/>
        <v>0.33278380648876865</v>
      </c>
      <c r="J49" s="41">
        <v>10450738</v>
      </c>
      <c r="K49" s="27">
        <f t="shared" si="21"/>
        <v>31403986</v>
      </c>
      <c r="L49" s="28">
        <f t="shared" si="22"/>
        <v>0.66721619351123129</v>
      </c>
      <c r="M49" s="27">
        <f t="shared" si="23"/>
        <v>0.33278380648876865</v>
      </c>
      <c r="N49" s="25">
        <f t="shared" si="24"/>
        <v>4.3478260869565218E-3</v>
      </c>
      <c r="O49" s="26">
        <v>6496868</v>
      </c>
      <c r="P49" s="27">
        <f t="shared" si="25"/>
        <v>9400.228101282928</v>
      </c>
      <c r="Q49" s="32">
        <f t="shared" si="26"/>
        <v>18847.024072630113</v>
      </c>
      <c r="R49" s="6"/>
    </row>
    <row r="50" spans="1:18" s="4" customFormat="1" ht="12.75" customHeight="1">
      <c r="A50" s="21"/>
      <c r="B50" s="31" t="s">
        <v>2139</v>
      </c>
      <c r="C50" s="60">
        <v>491200</v>
      </c>
      <c r="D50" s="40">
        <v>4</v>
      </c>
      <c r="E50" s="40">
        <v>10992</v>
      </c>
      <c r="F50" s="41">
        <v>15992771</v>
      </c>
      <c r="G50" s="25">
        <f t="shared" si="18"/>
        <v>0.58393013943612393</v>
      </c>
      <c r="H50" s="27">
        <f t="shared" si="19"/>
        <v>9338661</v>
      </c>
      <c r="I50" s="25">
        <f t="shared" si="20"/>
        <v>0.41606986056387602</v>
      </c>
      <c r="J50" s="41">
        <v>6654110</v>
      </c>
      <c r="K50" s="27">
        <f t="shared" si="21"/>
        <v>15992771</v>
      </c>
      <c r="L50" s="28">
        <f t="shared" si="22"/>
        <v>0.58393013943612393</v>
      </c>
      <c r="M50" s="27">
        <f t="shared" si="23"/>
        <v>0.41606986056387602</v>
      </c>
      <c r="N50" s="25">
        <f t="shared" si="24"/>
        <v>5.7971014492753624E-3</v>
      </c>
      <c r="O50" s="24">
        <v>6496868</v>
      </c>
      <c r="P50" s="26">
        <f t="shared" si="25"/>
        <v>15670.440364416858</v>
      </c>
      <c r="Q50" s="29">
        <f t="shared" si="26"/>
        <v>21992.562534133864</v>
      </c>
      <c r="R50" s="6"/>
    </row>
    <row r="51" spans="1:18" s="4" customFormat="1" ht="12.75" customHeight="1">
      <c r="A51" s="21"/>
      <c r="B51" s="31" t="s">
        <v>2124</v>
      </c>
      <c r="C51" s="60">
        <v>491700</v>
      </c>
      <c r="D51" s="40">
        <v>119</v>
      </c>
      <c r="E51" s="40">
        <v>10954</v>
      </c>
      <c r="F51" s="58">
        <v>81553767</v>
      </c>
      <c r="G51" s="25">
        <f t="shared" si="18"/>
        <v>0.64283588518970558</v>
      </c>
      <c r="H51" s="26">
        <f t="shared" si="19"/>
        <v>52425688</v>
      </c>
      <c r="I51" s="25">
        <f t="shared" si="20"/>
        <v>0.35716411481029442</v>
      </c>
      <c r="J51" s="58">
        <v>29128079</v>
      </c>
      <c r="K51" s="27">
        <f t="shared" si="21"/>
        <v>81553767</v>
      </c>
      <c r="L51" s="28">
        <f t="shared" si="22"/>
        <v>0.64283588518970558</v>
      </c>
      <c r="M51" s="27">
        <f t="shared" si="23"/>
        <v>0.35716411481029442</v>
      </c>
      <c r="N51" s="25">
        <f t="shared" si="24"/>
        <v>0.17246376811594202</v>
      </c>
      <c r="O51" s="24">
        <v>6496868</v>
      </c>
      <c r="P51" s="26">
        <f t="shared" si="25"/>
        <v>400193.2244679131</v>
      </c>
      <c r="Q51" s="29">
        <f t="shared" si="26"/>
        <v>720281.11176397104</v>
      </c>
      <c r="R51" s="6"/>
    </row>
    <row r="52" spans="1:18" s="4" customFormat="1" ht="12.75" customHeight="1">
      <c r="A52" s="21"/>
      <c r="B52" s="31" t="s">
        <v>2132</v>
      </c>
      <c r="C52" s="60">
        <v>530600</v>
      </c>
      <c r="D52" s="40">
        <v>16</v>
      </c>
      <c r="E52" s="40">
        <v>9112</v>
      </c>
      <c r="F52" s="41">
        <v>129603734</v>
      </c>
      <c r="G52" s="25">
        <f t="shared" si="18"/>
        <v>0.64854501800079312</v>
      </c>
      <c r="H52" s="27">
        <f t="shared" si="19"/>
        <v>84053856</v>
      </c>
      <c r="I52" s="25">
        <f t="shared" si="20"/>
        <v>0.35145498199920688</v>
      </c>
      <c r="J52" s="41">
        <v>45549878</v>
      </c>
      <c r="K52" s="27">
        <f>SUM(H52+J52)</f>
        <v>129603734</v>
      </c>
      <c r="L52" s="28">
        <f>H52/K52</f>
        <v>0.64854501800079312</v>
      </c>
      <c r="M52" s="27">
        <f>J52/K52</f>
        <v>0.35145498199920688</v>
      </c>
      <c r="N52" s="25">
        <f t="shared" si="24"/>
        <v>2.318840579710145E-2</v>
      </c>
      <c r="O52" s="24">
        <v>6496868</v>
      </c>
      <c r="P52" s="26">
        <f>O52*N52*M52</f>
        <v>52947.400022984883</v>
      </c>
      <c r="Q52" s="29">
        <f>O52*N52*L52</f>
        <v>97704.611571218004</v>
      </c>
      <c r="R52" s="6"/>
    </row>
    <row r="53" spans="1:18" ht="12.75" customHeight="1">
      <c r="A53" s="260" t="s">
        <v>2146</v>
      </c>
      <c r="B53" s="261"/>
      <c r="C53" s="262"/>
      <c r="D53" s="17">
        <f>SUM(D43:D52)</f>
        <v>690</v>
      </c>
      <c r="E53" s="39"/>
      <c r="F53" s="39"/>
      <c r="G53" s="17"/>
      <c r="H53" s="17"/>
      <c r="I53" s="17"/>
      <c r="J53" s="39"/>
      <c r="K53" s="17"/>
      <c r="L53" s="17"/>
      <c r="M53" s="17"/>
      <c r="N53" s="49"/>
      <c r="O53" s="19"/>
      <c r="P53" s="19">
        <f>SUM(P43:P52)</f>
        <v>3448538.5474295393</v>
      </c>
      <c r="Q53" s="20">
        <f>SUM(Q43:Q52)</f>
        <v>3048329.4525704598</v>
      </c>
      <c r="R53" s="7">
        <f>SUM(P53:Q53)</f>
        <v>6496867.9999999991</v>
      </c>
    </row>
    <row r="54" spans="1:18" ht="12.75" customHeight="1">
      <c r="A54" s="15" t="s">
        <v>1953</v>
      </c>
      <c r="B54" s="16"/>
      <c r="C54" s="64"/>
      <c r="D54" s="17"/>
      <c r="E54" s="39"/>
      <c r="F54" s="55"/>
      <c r="G54" s="17"/>
      <c r="H54" s="17"/>
      <c r="I54" s="17"/>
      <c r="J54" s="55"/>
      <c r="K54" s="17"/>
      <c r="L54" s="17"/>
      <c r="M54" s="17"/>
      <c r="N54" s="49"/>
      <c r="O54" s="19"/>
      <c r="P54" s="19"/>
      <c r="Q54" s="20"/>
      <c r="R54" s="14"/>
    </row>
    <row r="55" spans="1:18" ht="12.75" customHeight="1">
      <c r="A55" s="45"/>
      <c r="B55" s="35" t="s">
        <v>2152</v>
      </c>
      <c r="C55" s="67" t="s">
        <v>2151</v>
      </c>
      <c r="D55" s="42">
        <v>104</v>
      </c>
      <c r="E55" s="42">
        <v>9499</v>
      </c>
      <c r="F55" s="59">
        <v>654618442</v>
      </c>
      <c r="G55" s="25">
        <f t="shared" ref="G55:G96" si="27">H55/F55</f>
        <v>0.8378295672886038</v>
      </c>
      <c r="H55" s="27">
        <f t="shared" ref="H55:H96" si="28">F55-J55</f>
        <v>548458686</v>
      </c>
      <c r="I55" s="25">
        <f t="shared" ref="I55:I96" si="29">J55/F55</f>
        <v>0.16217043271139617</v>
      </c>
      <c r="J55" s="59">
        <v>106159756</v>
      </c>
      <c r="K55" s="27">
        <f>SUM(H55+J55)</f>
        <v>654618442</v>
      </c>
      <c r="L55" s="28">
        <f t="shared" ref="L55:L118" si="30">H55/K55</f>
        <v>0.8378295672886038</v>
      </c>
      <c r="M55" s="27">
        <f t="shared" ref="M55:M118" si="31">J55/K55</f>
        <v>0.16217043271139617</v>
      </c>
      <c r="N55" s="25">
        <f>D55/D56</f>
        <v>1</v>
      </c>
      <c r="O55" s="7">
        <f>'Charter Archive File'!Q28</f>
        <v>985491</v>
      </c>
      <c r="P55" s="26">
        <f t="shared" ref="P55:P118" si="32">O55*N55*M55</f>
        <v>159817.50190318652</v>
      </c>
      <c r="Q55" s="29">
        <f t="shared" ref="Q55:Q118" si="33">O55*N55*L55</f>
        <v>825673.49809681345</v>
      </c>
      <c r="R55"/>
    </row>
    <row r="56" spans="1:18" ht="12.75" customHeight="1">
      <c r="A56" s="260" t="s">
        <v>1827</v>
      </c>
      <c r="B56" s="261"/>
      <c r="C56" s="262"/>
      <c r="D56" s="39">
        <f>SUM(D55)</f>
        <v>104</v>
      </c>
      <c r="E56" s="39"/>
      <c r="F56" s="39"/>
      <c r="G56" s="17"/>
      <c r="H56" s="17"/>
      <c r="I56" s="17"/>
      <c r="J56" s="39"/>
      <c r="K56" s="17"/>
      <c r="L56" s="17"/>
      <c r="M56" s="17"/>
      <c r="N56" s="49"/>
      <c r="O56" s="19"/>
      <c r="P56" s="19">
        <f>SUM(P55)</f>
        <v>159817.50190318652</v>
      </c>
      <c r="Q56" s="20">
        <f>SUM(Q55)</f>
        <v>825673.49809681345</v>
      </c>
      <c r="R56" s="14"/>
    </row>
    <row r="57" spans="1:18" ht="12.75" customHeight="1">
      <c r="A57" s="15" t="s">
        <v>2252</v>
      </c>
      <c r="B57" s="16"/>
      <c r="C57" s="64"/>
      <c r="D57" s="17"/>
      <c r="E57" s="39"/>
      <c r="F57" s="55"/>
      <c r="G57" s="17"/>
      <c r="H57" s="17"/>
      <c r="I57" s="17"/>
      <c r="J57" s="55"/>
      <c r="K57" s="17"/>
      <c r="L57" s="17"/>
      <c r="M57" s="17"/>
      <c r="N57" s="49"/>
      <c r="O57" s="19"/>
      <c r="P57" s="19"/>
      <c r="Q57" s="20"/>
      <c r="R57" s="14"/>
    </row>
    <row r="58" spans="1:18" ht="12.75" customHeight="1">
      <c r="A58" s="45"/>
      <c r="B58" s="35" t="s">
        <v>2152</v>
      </c>
      <c r="C58" s="67" t="s">
        <v>2151</v>
      </c>
      <c r="D58" s="42">
        <v>588</v>
      </c>
      <c r="E58" s="42">
        <v>9499</v>
      </c>
      <c r="F58" s="59">
        <v>654618442</v>
      </c>
      <c r="G58" s="25">
        <f t="shared" si="27"/>
        <v>0.8378295672886038</v>
      </c>
      <c r="H58" s="27">
        <f t="shared" si="28"/>
        <v>548458686</v>
      </c>
      <c r="I58" s="25">
        <f t="shared" si="29"/>
        <v>0.16217043271139617</v>
      </c>
      <c r="J58" s="59">
        <v>106159756</v>
      </c>
      <c r="K58" s="27">
        <f t="shared" ref="K58:K65" si="34">SUM(H58+J58)</f>
        <v>654618442</v>
      </c>
      <c r="L58" s="28">
        <f t="shared" si="30"/>
        <v>0.8378295672886038</v>
      </c>
      <c r="M58" s="27">
        <f t="shared" si="31"/>
        <v>0.16217043271139617</v>
      </c>
      <c r="N58" s="33">
        <f>D58/$D$66</f>
        <v>0.92163009404388718</v>
      </c>
      <c r="O58" s="7">
        <f>'Charter Archive File'!Q24</f>
        <v>5964594</v>
      </c>
      <c r="P58" s="26">
        <f t="shared" si="32"/>
        <v>891475.08538800129</v>
      </c>
      <c r="Q58" s="29">
        <f t="shared" si="33"/>
        <v>4605674.2437656038</v>
      </c>
      <c r="R58"/>
    </row>
    <row r="59" spans="1:18" ht="12.75" customHeight="1">
      <c r="A59" s="45"/>
      <c r="B59" s="35" t="s">
        <v>2154</v>
      </c>
      <c r="C59" s="67" t="s">
        <v>2153</v>
      </c>
      <c r="D59" s="42">
        <v>2</v>
      </c>
      <c r="E59" s="42">
        <v>8622</v>
      </c>
      <c r="F59" s="59">
        <v>34101719</v>
      </c>
      <c r="G59" s="25">
        <f t="shared" si="27"/>
        <v>0.41280358916804166</v>
      </c>
      <c r="H59" s="27">
        <f t="shared" si="28"/>
        <v>14077312</v>
      </c>
      <c r="I59" s="25">
        <f t="shared" si="29"/>
        <v>0.58719641083195839</v>
      </c>
      <c r="J59" s="59">
        <v>20024407</v>
      </c>
      <c r="K59" s="27">
        <f t="shared" si="34"/>
        <v>34101719</v>
      </c>
      <c r="L59" s="28">
        <f t="shared" si="30"/>
        <v>0.41280358916804166</v>
      </c>
      <c r="M59" s="27">
        <f t="shared" si="31"/>
        <v>0.58719641083195839</v>
      </c>
      <c r="N59" s="33">
        <f t="shared" ref="N59:N65" si="35">D59/$D$66</f>
        <v>3.134796238244514E-3</v>
      </c>
      <c r="O59" s="7">
        <f>$O$58</f>
        <v>5964594</v>
      </c>
      <c r="P59" s="26">
        <f t="shared" si="32"/>
        <v>10979.273319341173</v>
      </c>
      <c r="Q59" s="29">
        <f t="shared" si="33"/>
        <v>7718.5135145146278</v>
      </c>
      <c r="R59"/>
    </row>
    <row r="60" spans="1:18" ht="12.75" customHeight="1">
      <c r="A60" s="45"/>
      <c r="B60" s="35" t="s">
        <v>2023</v>
      </c>
      <c r="C60" s="67" t="s">
        <v>2155</v>
      </c>
      <c r="D60" s="42">
        <v>1</v>
      </c>
      <c r="E60" s="42">
        <v>8869</v>
      </c>
      <c r="F60" s="59">
        <v>32830620</v>
      </c>
      <c r="G60" s="25">
        <f t="shared" si="27"/>
        <v>0.53256810258228449</v>
      </c>
      <c r="H60" s="27">
        <f t="shared" si="28"/>
        <v>17484541</v>
      </c>
      <c r="I60" s="25">
        <f t="shared" si="29"/>
        <v>0.46743189741771551</v>
      </c>
      <c r="J60" s="59">
        <v>15346079</v>
      </c>
      <c r="K60" s="27">
        <f t="shared" si="34"/>
        <v>32830620</v>
      </c>
      <c r="L60" s="28">
        <f t="shared" si="30"/>
        <v>0.53256810258228449</v>
      </c>
      <c r="M60" s="27">
        <f t="shared" si="31"/>
        <v>0.46743189741771551</v>
      </c>
      <c r="N60" s="33">
        <f t="shared" si="35"/>
        <v>1.567398119122257E-3</v>
      </c>
      <c r="O60" s="7">
        <f t="shared" ref="O60:O65" si="36">$O$58</f>
        <v>5964594</v>
      </c>
      <c r="P60" s="26">
        <f t="shared" si="32"/>
        <v>4369.9709886305982</v>
      </c>
      <c r="Q60" s="29">
        <f t="shared" si="33"/>
        <v>4978.9224282973018</v>
      </c>
      <c r="R60"/>
    </row>
    <row r="61" spans="1:18" ht="12.75" customHeight="1">
      <c r="A61" s="45"/>
      <c r="B61" s="35" t="s">
        <v>2025</v>
      </c>
      <c r="C61" s="67" t="s">
        <v>2024</v>
      </c>
      <c r="D61" s="42">
        <v>1</v>
      </c>
      <c r="E61" s="42">
        <v>7822</v>
      </c>
      <c r="F61" s="59">
        <v>23280999</v>
      </c>
      <c r="G61" s="25">
        <f t="shared" si="27"/>
        <v>0.61434455626238371</v>
      </c>
      <c r="H61" s="27">
        <f t="shared" si="28"/>
        <v>14302555</v>
      </c>
      <c r="I61" s="25">
        <f t="shared" si="29"/>
        <v>0.38565544373761623</v>
      </c>
      <c r="J61" s="59">
        <v>8978444</v>
      </c>
      <c r="K61" s="27">
        <f t="shared" si="34"/>
        <v>23280999</v>
      </c>
      <c r="L61" s="28">
        <f t="shared" si="30"/>
        <v>0.61434455626238371</v>
      </c>
      <c r="M61" s="27">
        <f t="shared" si="31"/>
        <v>0.38565544373761623</v>
      </c>
      <c r="N61" s="33">
        <f t="shared" si="35"/>
        <v>1.567398119122257E-3</v>
      </c>
      <c r="O61" s="7">
        <f t="shared" si="36"/>
        <v>5964594</v>
      </c>
      <c r="P61" s="26">
        <f t="shared" si="32"/>
        <v>3605.4516391610086</v>
      </c>
      <c r="Q61" s="29">
        <f t="shared" si="33"/>
        <v>5743.4417777668914</v>
      </c>
      <c r="R61"/>
    </row>
    <row r="62" spans="1:18" ht="12.75" customHeight="1">
      <c r="A62" s="45"/>
      <c r="B62" s="35" t="s">
        <v>2027</v>
      </c>
      <c r="C62" s="67" t="s">
        <v>2026</v>
      </c>
      <c r="D62" s="42">
        <v>1</v>
      </c>
      <c r="E62" s="42">
        <v>8780</v>
      </c>
      <c r="F62" s="59">
        <v>32201111</v>
      </c>
      <c r="G62" s="25">
        <f t="shared" si="27"/>
        <v>0.56220255878749026</v>
      </c>
      <c r="H62" s="27">
        <f t="shared" si="28"/>
        <v>18103547</v>
      </c>
      <c r="I62" s="25">
        <f t="shared" si="29"/>
        <v>0.43779744121250974</v>
      </c>
      <c r="J62" s="59">
        <v>14097564</v>
      </c>
      <c r="K62" s="27">
        <f t="shared" si="34"/>
        <v>32201111</v>
      </c>
      <c r="L62" s="28">
        <f t="shared" si="30"/>
        <v>0.56220255878749026</v>
      </c>
      <c r="M62" s="27">
        <f t="shared" si="31"/>
        <v>0.43779744121250974</v>
      </c>
      <c r="N62" s="33">
        <f t="shared" si="35"/>
        <v>1.567398119122257E-3</v>
      </c>
      <c r="O62" s="7">
        <f t="shared" si="36"/>
        <v>5964594</v>
      </c>
      <c r="P62" s="26">
        <f t="shared" si="32"/>
        <v>4092.9216160995115</v>
      </c>
      <c r="Q62" s="29">
        <f t="shared" si="33"/>
        <v>5255.971800828388</v>
      </c>
      <c r="R62"/>
    </row>
    <row r="63" spans="1:18" ht="12.75" customHeight="1">
      <c r="A63" s="45"/>
      <c r="B63" s="35" t="s">
        <v>2029</v>
      </c>
      <c r="C63" s="67" t="s">
        <v>2028</v>
      </c>
      <c r="D63" s="42">
        <v>1</v>
      </c>
      <c r="E63" s="42">
        <v>8027</v>
      </c>
      <c r="F63" s="59">
        <v>62674392</v>
      </c>
      <c r="G63" s="25">
        <f t="shared" si="27"/>
        <v>0.5030184736375265</v>
      </c>
      <c r="H63" s="27">
        <f t="shared" si="28"/>
        <v>31526377</v>
      </c>
      <c r="I63" s="25">
        <f t="shared" si="29"/>
        <v>0.4969815263624735</v>
      </c>
      <c r="J63" s="59">
        <v>31148015</v>
      </c>
      <c r="K63" s="27">
        <f t="shared" si="34"/>
        <v>62674392</v>
      </c>
      <c r="L63" s="28">
        <f t="shared" si="30"/>
        <v>0.5030184736375265</v>
      </c>
      <c r="M63" s="27">
        <f t="shared" si="31"/>
        <v>0.4969815263624735</v>
      </c>
      <c r="N63" s="33">
        <f t="shared" si="35"/>
        <v>1.567398119122257E-3</v>
      </c>
      <c r="O63" s="7">
        <f t="shared" si="36"/>
        <v>5964594</v>
      </c>
      <c r="P63" s="26">
        <f t="shared" si="32"/>
        <v>4646.2273201449079</v>
      </c>
      <c r="Q63" s="29">
        <f t="shared" si="33"/>
        <v>4702.6660967829921</v>
      </c>
      <c r="R63"/>
    </row>
    <row r="64" spans="1:18" ht="12.75" customHeight="1">
      <c r="A64" s="45"/>
      <c r="B64" s="35" t="s">
        <v>2031</v>
      </c>
      <c r="C64" s="67" t="s">
        <v>2030</v>
      </c>
      <c r="D64" s="42">
        <v>29</v>
      </c>
      <c r="E64" s="42">
        <v>9958</v>
      </c>
      <c r="F64" s="59">
        <v>34396218</v>
      </c>
      <c r="G64" s="25">
        <f t="shared" si="27"/>
        <v>0.73325709820771579</v>
      </c>
      <c r="H64" s="27">
        <f t="shared" si="28"/>
        <v>25221271</v>
      </c>
      <c r="I64" s="25">
        <f t="shared" si="29"/>
        <v>0.26674290179228427</v>
      </c>
      <c r="J64" s="59">
        <v>9174947</v>
      </c>
      <c r="K64" s="27">
        <f t="shared" si="34"/>
        <v>34396218</v>
      </c>
      <c r="L64" s="28">
        <f t="shared" si="30"/>
        <v>0.73325709820771579</v>
      </c>
      <c r="M64" s="27">
        <f t="shared" si="31"/>
        <v>0.26674290179228427</v>
      </c>
      <c r="N64" s="33">
        <f t="shared" si="35"/>
        <v>4.5454545454545456E-2</v>
      </c>
      <c r="O64" s="7">
        <f t="shared" si="36"/>
        <v>5964594</v>
      </c>
      <c r="P64" s="26">
        <f t="shared" si="32"/>
        <v>72318.777798765819</v>
      </c>
      <c r="Q64" s="29">
        <f t="shared" si="33"/>
        <v>198799.13129214331</v>
      </c>
      <c r="R64"/>
    </row>
    <row r="65" spans="1:18" ht="12.75" customHeight="1">
      <c r="A65" s="45"/>
      <c r="B65" s="35" t="s">
        <v>2033</v>
      </c>
      <c r="C65" s="67" t="s">
        <v>2032</v>
      </c>
      <c r="D65" s="42">
        <v>15</v>
      </c>
      <c r="E65" s="42">
        <v>8281</v>
      </c>
      <c r="F65" s="59">
        <v>94634236</v>
      </c>
      <c r="G65" s="25">
        <f t="shared" si="27"/>
        <v>0.53528344646856973</v>
      </c>
      <c r="H65" s="27">
        <f t="shared" si="28"/>
        <v>50656140</v>
      </c>
      <c r="I65" s="25">
        <f t="shared" si="29"/>
        <v>0.46471655353143021</v>
      </c>
      <c r="J65" s="59">
        <v>43978096</v>
      </c>
      <c r="K65" s="27">
        <f t="shared" si="34"/>
        <v>94634236</v>
      </c>
      <c r="L65" s="28">
        <f t="shared" si="30"/>
        <v>0.53528344646856973</v>
      </c>
      <c r="M65" s="27">
        <f t="shared" si="31"/>
        <v>0.46471655353143021</v>
      </c>
      <c r="N65" s="33">
        <f t="shared" si="35"/>
        <v>2.3510971786833857E-2</v>
      </c>
      <c r="O65" s="7">
        <f t="shared" si="36"/>
        <v>5964594</v>
      </c>
      <c r="P65" s="26">
        <f t="shared" si="32"/>
        <v>65168.78292071115</v>
      </c>
      <c r="Q65" s="29">
        <f t="shared" si="33"/>
        <v>75064.618333207341</v>
      </c>
      <c r="R65"/>
    </row>
    <row r="66" spans="1:18" ht="12.75" customHeight="1">
      <c r="A66" s="260" t="s">
        <v>1828</v>
      </c>
      <c r="B66" s="261"/>
      <c r="C66" s="262"/>
      <c r="D66" s="39">
        <f>SUM(D58:D65)</f>
        <v>638</v>
      </c>
      <c r="E66" s="39"/>
      <c r="F66" s="39"/>
      <c r="G66" s="17"/>
      <c r="H66" s="17"/>
      <c r="I66" s="17"/>
      <c r="J66" s="39"/>
      <c r="K66" s="17"/>
      <c r="L66" s="17"/>
      <c r="M66" s="17"/>
      <c r="N66" s="49"/>
      <c r="O66" s="19"/>
      <c r="P66" s="19">
        <f>SUM(P58:P65)</f>
        <v>1056656.4909908553</v>
      </c>
      <c r="Q66" s="19">
        <f>SUM(Q58:Q65)</f>
        <v>4907937.5090091443</v>
      </c>
      <c r="R66" s="14"/>
    </row>
    <row r="67" spans="1:18" ht="12.75" customHeight="1">
      <c r="A67" s="15" t="s">
        <v>1829</v>
      </c>
      <c r="B67" s="16"/>
      <c r="C67" s="64"/>
      <c r="D67" s="39"/>
      <c r="E67" s="39"/>
      <c r="F67" s="55"/>
      <c r="G67" s="17"/>
      <c r="H67" s="17"/>
      <c r="I67" s="17"/>
      <c r="J67" s="55"/>
      <c r="K67" s="17"/>
      <c r="L67" s="17"/>
      <c r="M67" s="17"/>
      <c r="N67" s="49"/>
      <c r="O67" s="19"/>
      <c r="P67" s="19"/>
      <c r="Q67" s="20"/>
      <c r="R67" s="14"/>
    </row>
    <row r="68" spans="1:18" ht="12.75" customHeight="1">
      <c r="A68" s="45"/>
      <c r="B68" s="35" t="s">
        <v>2152</v>
      </c>
      <c r="C68" s="67" t="s">
        <v>2151</v>
      </c>
      <c r="D68" s="42">
        <v>261</v>
      </c>
      <c r="E68" s="42">
        <v>9499</v>
      </c>
      <c r="F68" s="59">
        <v>654618442</v>
      </c>
      <c r="G68" s="25">
        <f t="shared" si="27"/>
        <v>0.8378295672886038</v>
      </c>
      <c r="H68" s="27">
        <f t="shared" si="28"/>
        <v>548458686</v>
      </c>
      <c r="I68" s="25">
        <f t="shared" si="29"/>
        <v>0.16217043271139617</v>
      </c>
      <c r="J68" s="59">
        <v>106159756</v>
      </c>
      <c r="K68" s="27">
        <f t="shared" ref="K68:K73" si="37">SUM(H68+J68)</f>
        <v>654618442</v>
      </c>
      <c r="L68" s="28">
        <f t="shared" si="30"/>
        <v>0.8378295672886038</v>
      </c>
      <c r="M68" s="27">
        <f t="shared" si="31"/>
        <v>0.16217043271139617</v>
      </c>
      <c r="N68" s="33">
        <f>D68/$D$75</f>
        <v>0.97026022304832715</v>
      </c>
      <c r="O68" s="7">
        <f>'Charter Archive File'!Q69</f>
        <v>2542833</v>
      </c>
      <c r="P68" s="26">
        <f t="shared" si="32"/>
        <v>400108.46686935099</v>
      </c>
      <c r="Q68" s="29">
        <f t="shared" si="33"/>
        <v>2067101.246885296</v>
      </c>
      <c r="R68"/>
    </row>
    <row r="69" spans="1:18" ht="12.75" customHeight="1">
      <c r="A69" s="45"/>
      <c r="B69" s="35" t="s">
        <v>2154</v>
      </c>
      <c r="C69" s="67" t="s">
        <v>2153</v>
      </c>
      <c r="D69" s="42">
        <v>1</v>
      </c>
      <c r="E69" s="42">
        <v>8622</v>
      </c>
      <c r="F69" s="59">
        <v>34101719</v>
      </c>
      <c r="G69" s="25">
        <f t="shared" si="27"/>
        <v>0.41280358916804166</v>
      </c>
      <c r="H69" s="27">
        <f t="shared" si="28"/>
        <v>14077312</v>
      </c>
      <c r="I69" s="25">
        <f t="shared" si="29"/>
        <v>0.58719641083195839</v>
      </c>
      <c r="J69" s="59">
        <v>20024407</v>
      </c>
      <c r="K69" s="27">
        <f t="shared" si="37"/>
        <v>34101719</v>
      </c>
      <c r="L69" s="28">
        <f t="shared" si="30"/>
        <v>0.41280358916804166</v>
      </c>
      <c r="M69" s="27">
        <f t="shared" si="31"/>
        <v>0.58719641083195839</v>
      </c>
      <c r="N69" s="33">
        <f t="shared" ref="N69:N74" si="38">D69/$D$75</f>
        <v>3.7174721189591076E-3</v>
      </c>
      <c r="O69" s="7">
        <f t="shared" ref="O69:O74" si="39">$O$68</f>
        <v>2542833</v>
      </c>
      <c r="P69" s="26">
        <f t="shared" si="32"/>
        <v>5550.7152823236474</v>
      </c>
      <c r="Q69" s="29">
        <f t="shared" si="33"/>
        <v>3902.1954983454975</v>
      </c>
      <c r="R69"/>
    </row>
    <row r="70" spans="1:18" ht="12.75" customHeight="1">
      <c r="A70" s="45"/>
      <c r="B70" s="35" t="s">
        <v>2025</v>
      </c>
      <c r="C70" s="67" t="s">
        <v>2024</v>
      </c>
      <c r="D70" s="42">
        <v>1</v>
      </c>
      <c r="E70" s="42">
        <v>7822</v>
      </c>
      <c r="F70" s="59">
        <v>23280999</v>
      </c>
      <c r="G70" s="25">
        <f t="shared" si="27"/>
        <v>0.61434455626238371</v>
      </c>
      <c r="H70" s="27">
        <f t="shared" si="28"/>
        <v>14302555</v>
      </c>
      <c r="I70" s="25">
        <f t="shared" si="29"/>
        <v>0.38565544373761623</v>
      </c>
      <c r="J70" s="59">
        <v>8978444</v>
      </c>
      <c r="K70" s="27">
        <f t="shared" si="37"/>
        <v>23280999</v>
      </c>
      <c r="L70" s="28">
        <f t="shared" si="30"/>
        <v>0.61434455626238371</v>
      </c>
      <c r="M70" s="27">
        <f t="shared" si="31"/>
        <v>0.38565544373761623</v>
      </c>
      <c r="N70" s="33">
        <f t="shared" si="38"/>
        <v>3.7174721189591076E-3</v>
      </c>
      <c r="O70" s="7">
        <f t="shared" si="39"/>
        <v>2542833</v>
      </c>
      <c r="P70" s="26">
        <f t="shared" si="32"/>
        <v>3645.5665017310553</v>
      </c>
      <c r="Q70" s="29">
        <f t="shared" si="33"/>
        <v>5807.3442789380888</v>
      </c>
      <c r="R70"/>
    </row>
    <row r="71" spans="1:18" ht="12.75" customHeight="1">
      <c r="A71" s="45"/>
      <c r="B71" s="35" t="s">
        <v>2031</v>
      </c>
      <c r="C71" s="67" t="s">
        <v>2030</v>
      </c>
      <c r="D71" s="42">
        <v>1</v>
      </c>
      <c r="E71" s="42">
        <v>9958</v>
      </c>
      <c r="F71" s="59">
        <v>34396218</v>
      </c>
      <c r="G71" s="25">
        <f t="shared" si="27"/>
        <v>0.73325709820771579</v>
      </c>
      <c r="H71" s="27">
        <f t="shared" si="28"/>
        <v>25221271</v>
      </c>
      <c r="I71" s="25">
        <f t="shared" si="29"/>
        <v>0.26674290179228427</v>
      </c>
      <c r="J71" s="59">
        <v>9174947</v>
      </c>
      <c r="K71" s="27">
        <f t="shared" si="37"/>
        <v>34396218</v>
      </c>
      <c r="L71" s="28">
        <f t="shared" si="30"/>
        <v>0.73325709820771579</v>
      </c>
      <c r="M71" s="27">
        <f t="shared" si="31"/>
        <v>0.26674290179228427</v>
      </c>
      <c r="N71" s="33">
        <f t="shared" si="38"/>
        <v>3.7174721189591076E-3</v>
      </c>
      <c r="O71" s="7">
        <f t="shared" si="39"/>
        <v>2542833</v>
      </c>
      <c r="P71" s="26">
        <f t="shared" si="32"/>
        <v>2521.4968520192547</v>
      </c>
      <c r="Q71" s="29">
        <f t="shared" si="33"/>
        <v>6931.4139286498903</v>
      </c>
      <c r="R71"/>
    </row>
    <row r="72" spans="1:18" ht="12.75" customHeight="1">
      <c r="A72" s="45"/>
      <c r="B72" s="35" t="s">
        <v>2035</v>
      </c>
      <c r="C72" s="67" t="s">
        <v>2034</v>
      </c>
      <c r="D72" s="42">
        <v>1</v>
      </c>
      <c r="E72" s="42">
        <v>9244</v>
      </c>
      <c r="F72" s="59">
        <v>69118162</v>
      </c>
      <c r="G72" s="25">
        <f t="shared" si="27"/>
        <v>0.38298440285492547</v>
      </c>
      <c r="H72" s="27">
        <f t="shared" si="28"/>
        <v>26471178</v>
      </c>
      <c r="I72" s="25">
        <f t="shared" si="29"/>
        <v>0.61701559714507459</v>
      </c>
      <c r="J72" s="59">
        <v>42646984</v>
      </c>
      <c r="K72" s="27">
        <f t="shared" si="37"/>
        <v>69118162</v>
      </c>
      <c r="L72" s="28">
        <f t="shared" si="30"/>
        <v>0.38298440285492547</v>
      </c>
      <c r="M72" s="27">
        <f t="shared" si="31"/>
        <v>0.61701559714507459</v>
      </c>
      <c r="N72" s="33">
        <f t="shared" si="38"/>
        <v>3.7174721189591076E-3</v>
      </c>
      <c r="O72" s="7">
        <f t="shared" si="39"/>
        <v>2542833</v>
      </c>
      <c r="P72" s="26">
        <f t="shared" si="32"/>
        <v>5832.5933900936852</v>
      </c>
      <c r="Q72" s="29">
        <f t="shared" si="33"/>
        <v>3620.3173905754597</v>
      </c>
      <c r="R72"/>
    </row>
    <row r="73" spans="1:18" ht="12.75" customHeight="1">
      <c r="A73" s="45"/>
      <c r="B73" s="35" t="s">
        <v>2037</v>
      </c>
      <c r="C73" s="67" t="s">
        <v>2036</v>
      </c>
      <c r="D73" s="42">
        <v>3</v>
      </c>
      <c r="E73" s="42">
        <v>10273</v>
      </c>
      <c r="F73" s="59">
        <v>125037016</v>
      </c>
      <c r="G73" s="25">
        <f t="shared" si="27"/>
        <v>0.48171099188739436</v>
      </c>
      <c r="H73" s="27">
        <f t="shared" si="28"/>
        <v>60231705</v>
      </c>
      <c r="I73" s="25">
        <f t="shared" si="29"/>
        <v>0.51828900811260559</v>
      </c>
      <c r="J73" s="59">
        <v>64805311</v>
      </c>
      <c r="K73" s="27">
        <f t="shared" si="37"/>
        <v>125037016</v>
      </c>
      <c r="L73" s="28">
        <f t="shared" si="30"/>
        <v>0.48171099188739436</v>
      </c>
      <c r="M73" s="27">
        <f t="shared" si="31"/>
        <v>0.51828900811260559</v>
      </c>
      <c r="N73" s="33">
        <f t="shared" si="38"/>
        <v>1.1152416356877323E-2</v>
      </c>
      <c r="O73" s="7">
        <f t="shared" si="39"/>
        <v>2542833</v>
      </c>
      <c r="P73" s="26">
        <f t="shared" si="32"/>
        <v>14698.019256869902</v>
      </c>
      <c r="Q73" s="29">
        <f t="shared" si="33"/>
        <v>13660.713085137531</v>
      </c>
      <c r="R73"/>
    </row>
    <row r="74" spans="1:18" ht="12.75" customHeight="1">
      <c r="A74" s="45"/>
      <c r="B74" s="35" t="s">
        <v>2033</v>
      </c>
      <c r="C74" s="67" t="s">
        <v>2032</v>
      </c>
      <c r="D74" s="42">
        <v>1</v>
      </c>
      <c r="E74" s="42">
        <v>8281</v>
      </c>
      <c r="F74" s="59">
        <v>94634236</v>
      </c>
      <c r="G74" s="25">
        <f t="shared" si="27"/>
        <v>0.53528344646856973</v>
      </c>
      <c r="H74" s="27">
        <f t="shared" si="28"/>
        <v>50656140</v>
      </c>
      <c r="I74" s="25">
        <f t="shared" si="29"/>
        <v>0.46471655353143021</v>
      </c>
      <c r="J74" s="59">
        <v>43978096</v>
      </c>
      <c r="K74" s="27">
        <f t="shared" ref="K74:K93" si="40">SUM(H74+J74)</f>
        <v>94634236</v>
      </c>
      <c r="L74" s="28">
        <f t="shared" si="30"/>
        <v>0.53528344646856973</v>
      </c>
      <c r="M74" s="27">
        <f t="shared" si="31"/>
        <v>0.46471655353143021</v>
      </c>
      <c r="N74" s="33">
        <f t="shared" si="38"/>
        <v>3.7174721189591076E-3</v>
      </c>
      <c r="O74" s="7">
        <f t="shared" si="39"/>
        <v>2542833</v>
      </c>
      <c r="P74" s="26">
        <f t="shared" si="32"/>
        <v>4392.924118832666</v>
      </c>
      <c r="Q74" s="29">
        <f t="shared" si="33"/>
        <v>5059.9866618364777</v>
      </c>
      <c r="R74"/>
    </row>
    <row r="75" spans="1:18" ht="12.75" customHeight="1">
      <c r="A75" s="260" t="s">
        <v>1831</v>
      </c>
      <c r="B75" s="261"/>
      <c r="C75" s="262"/>
      <c r="D75" s="39">
        <f>SUM(D68:D74)</f>
        <v>269</v>
      </c>
      <c r="E75" s="39"/>
      <c r="F75" s="39"/>
      <c r="G75" s="17"/>
      <c r="H75" s="17"/>
      <c r="I75" s="17"/>
      <c r="J75" s="39"/>
      <c r="K75" s="17"/>
      <c r="L75" s="17"/>
      <c r="M75" s="17"/>
      <c r="N75" s="49"/>
      <c r="O75" s="19"/>
      <c r="P75" s="19">
        <f>SUM(P68:P74)</f>
        <v>436749.78227122128</v>
      </c>
      <c r="Q75" s="19">
        <f>SUM(Q68:Q74)</f>
        <v>2106083.2177287787</v>
      </c>
      <c r="R75" s="14"/>
    </row>
    <row r="76" spans="1:18" ht="12.75" customHeight="1">
      <c r="A76" s="15" t="s">
        <v>1830</v>
      </c>
      <c r="B76" s="16"/>
      <c r="C76" s="64"/>
      <c r="D76" s="39"/>
      <c r="E76" s="39"/>
      <c r="F76" s="55"/>
      <c r="G76" s="17"/>
      <c r="H76" s="17"/>
      <c r="I76" s="17"/>
      <c r="J76" s="55"/>
      <c r="K76" s="17"/>
      <c r="L76" s="17"/>
      <c r="M76" s="17"/>
      <c r="N76" s="49"/>
      <c r="O76" s="19"/>
      <c r="P76" s="19"/>
      <c r="Q76" s="20"/>
      <c r="R76" s="14"/>
    </row>
    <row r="77" spans="1:18" ht="12.75" customHeight="1">
      <c r="A77" s="45"/>
      <c r="B77" s="35" t="s">
        <v>2152</v>
      </c>
      <c r="C77" s="67" t="s">
        <v>2151</v>
      </c>
      <c r="D77" s="42">
        <v>282</v>
      </c>
      <c r="E77" s="42">
        <v>9499</v>
      </c>
      <c r="F77" s="59">
        <v>654618442</v>
      </c>
      <c r="G77" s="25">
        <f t="shared" si="27"/>
        <v>0.8378295672886038</v>
      </c>
      <c r="H77" s="27">
        <f t="shared" si="28"/>
        <v>548458686</v>
      </c>
      <c r="I77" s="25">
        <f t="shared" si="29"/>
        <v>0.16217043271139617</v>
      </c>
      <c r="J77" s="59">
        <v>106159756</v>
      </c>
      <c r="K77" s="27">
        <f t="shared" si="40"/>
        <v>654618442</v>
      </c>
      <c r="L77" s="28">
        <f t="shared" si="30"/>
        <v>0.8378295672886038</v>
      </c>
      <c r="M77" s="27">
        <f t="shared" si="31"/>
        <v>0.16217043271139617</v>
      </c>
      <c r="N77" s="33">
        <f>D77/$D$81</f>
        <v>0.97916666666666663</v>
      </c>
      <c r="O77" s="7">
        <f>'Charter Archive File'!Q39</f>
        <v>2610708</v>
      </c>
      <c r="P77" s="26">
        <f t="shared" si="32"/>
        <v>414559.23675053898</v>
      </c>
      <c r="Q77" s="29">
        <f t="shared" si="33"/>
        <v>2141759.0132494611</v>
      </c>
      <c r="R77"/>
    </row>
    <row r="78" spans="1:18" ht="12.75" customHeight="1">
      <c r="A78" s="45"/>
      <c r="B78" s="35" t="s">
        <v>2154</v>
      </c>
      <c r="C78" s="67" t="s">
        <v>2153</v>
      </c>
      <c r="D78" s="42">
        <v>1</v>
      </c>
      <c r="E78" s="42">
        <v>8622</v>
      </c>
      <c r="F78" s="59">
        <v>34101719</v>
      </c>
      <c r="G78" s="25">
        <f t="shared" si="27"/>
        <v>0.41280358916804166</v>
      </c>
      <c r="H78" s="27">
        <f t="shared" si="28"/>
        <v>14077312</v>
      </c>
      <c r="I78" s="25">
        <f t="shared" si="29"/>
        <v>0.58719641083195839</v>
      </c>
      <c r="J78" s="59">
        <v>20024407</v>
      </c>
      <c r="K78" s="27">
        <f t="shared" si="40"/>
        <v>34101719</v>
      </c>
      <c r="L78" s="28">
        <f t="shared" si="30"/>
        <v>0.41280358916804166</v>
      </c>
      <c r="M78" s="27">
        <f t="shared" si="31"/>
        <v>0.58719641083195839</v>
      </c>
      <c r="N78" s="33">
        <f>D78/$D$81</f>
        <v>3.472222222222222E-3</v>
      </c>
      <c r="O78" s="7">
        <f>$O$77</f>
        <v>2610708</v>
      </c>
      <c r="P78" s="26">
        <f t="shared" si="32"/>
        <v>5322.910997674584</v>
      </c>
      <c r="Q78" s="29">
        <f t="shared" si="33"/>
        <v>3742.0473356587486</v>
      </c>
      <c r="R78"/>
    </row>
    <row r="79" spans="1:18" ht="12.75" customHeight="1">
      <c r="A79" s="45"/>
      <c r="B79" s="35" t="s">
        <v>2039</v>
      </c>
      <c r="C79" s="67" t="s">
        <v>2038</v>
      </c>
      <c r="D79" s="42">
        <v>1</v>
      </c>
      <c r="E79" s="42">
        <v>9854</v>
      </c>
      <c r="F79" s="59">
        <v>25951061</v>
      </c>
      <c r="G79" s="25">
        <f t="shared" si="27"/>
        <v>0.58483612673871022</v>
      </c>
      <c r="H79" s="27">
        <f t="shared" si="28"/>
        <v>15177118</v>
      </c>
      <c r="I79" s="25">
        <f t="shared" si="29"/>
        <v>0.41516387326128978</v>
      </c>
      <c r="J79" s="59">
        <v>10773943</v>
      </c>
      <c r="K79" s="27">
        <f t="shared" si="40"/>
        <v>25951061</v>
      </c>
      <c r="L79" s="28">
        <f t="shared" si="30"/>
        <v>0.58483612673871022</v>
      </c>
      <c r="M79" s="27">
        <f t="shared" si="31"/>
        <v>0.41516387326128978</v>
      </c>
      <c r="N79" s="33">
        <f>D79/$D$81</f>
        <v>3.472222222222222E-3</v>
      </c>
      <c r="O79" s="7">
        <f>$O$77</f>
        <v>2610708</v>
      </c>
      <c r="P79" s="26">
        <f t="shared" si="32"/>
        <v>3763.4432126188722</v>
      </c>
      <c r="Q79" s="29">
        <f t="shared" si="33"/>
        <v>5301.51512071446</v>
      </c>
      <c r="R79"/>
    </row>
    <row r="80" spans="1:18" ht="12.75" customHeight="1">
      <c r="A80" s="45"/>
      <c r="B80" s="35" t="s">
        <v>2033</v>
      </c>
      <c r="C80" s="67" t="s">
        <v>2032</v>
      </c>
      <c r="D80" s="42">
        <v>4</v>
      </c>
      <c r="E80" s="42">
        <v>8281</v>
      </c>
      <c r="F80" s="59">
        <v>94634236</v>
      </c>
      <c r="G80" s="25">
        <f t="shared" si="27"/>
        <v>0.53528344646856973</v>
      </c>
      <c r="H80" s="27">
        <f t="shared" si="28"/>
        <v>50656140</v>
      </c>
      <c r="I80" s="25">
        <f t="shared" si="29"/>
        <v>0.46471655353143021</v>
      </c>
      <c r="J80" s="59">
        <v>43978096</v>
      </c>
      <c r="K80" s="27">
        <f t="shared" si="40"/>
        <v>94634236</v>
      </c>
      <c r="L80" s="28">
        <f t="shared" si="30"/>
        <v>0.53528344646856973</v>
      </c>
      <c r="M80" s="27">
        <f t="shared" si="31"/>
        <v>0.46471655353143021</v>
      </c>
      <c r="N80" s="33">
        <f>D80/$D$81</f>
        <v>1.3888888888888888E-2</v>
      </c>
      <c r="O80" s="7">
        <f>$O$77</f>
        <v>2610708</v>
      </c>
      <c r="P80" s="26">
        <f t="shared" si="32"/>
        <v>16850.544778290736</v>
      </c>
      <c r="Q80" s="29">
        <f t="shared" si="33"/>
        <v>19409.288555042593</v>
      </c>
      <c r="R80"/>
    </row>
    <row r="81" spans="1:18" ht="12.75" customHeight="1">
      <c r="A81" s="260" t="s">
        <v>1832</v>
      </c>
      <c r="B81" s="261"/>
      <c r="C81" s="262"/>
      <c r="D81" s="39">
        <f>SUM(D77:D80)</f>
        <v>288</v>
      </c>
      <c r="E81" s="39"/>
      <c r="F81" s="39"/>
      <c r="G81" s="17"/>
      <c r="H81" s="17"/>
      <c r="I81" s="17"/>
      <c r="J81" s="39"/>
      <c r="K81" s="17"/>
      <c r="L81" s="17"/>
      <c r="M81" s="17"/>
      <c r="N81" s="49"/>
      <c r="O81" s="19"/>
      <c r="P81" s="19">
        <f>SUM(P77:P80)</f>
        <v>440496.13573912316</v>
      </c>
      <c r="Q81" s="19">
        <f>SUM(Q77:Q80)</f>
        <v>2170211.864260877</v>
      </c>
      <c r="R81" s="14"/>
    </row>
    <row r="82" spans="1:18" ht="12.75" customHeight="1">
      <c r="A82" s="15" t="s">
        <v>1833</v>
      </c>
      <c r="B82" s="16"/>
      <c r="C82" s="64"/>
      <c r="D82" s="39"/>
      <c r="E82" s="39"/>
      <c r="F82" s="55"/>
      <c r="G82" s="17"/>
      <c r="H82" s="17"/>
      <c r="I82" s="17"/>
      <c r="J82" s="55"/>
      <c r="K82" s="17"/>
      <c r="L82" s="17"/>
      <c r="M82" s="17"/>
      <c r="N82" s="49"/>
      <c r="O82" s="19"/>
      <c r="P82" s="19"/>
      <c r="Q82" s="20"/>
      <c r="R82" s="14"/>
    </row>
    <row r="83" spans="1:18" ht="12.75" customHeight="1">
      <c r="A83" s="45"/>
      <c r="B83" s="35" t="s">
        <v>2041</v>
      </c>
      <c r="C83" s="67" t="s">
        <v>2040</v>
      </c>
      <c r="D83" s="42">
        <v>2</v>
      </c>
      <c r="E83" s="42">
        <v>9698</v>
      </c>
      <c r="F83" s="59">
        <v>59330003</v>
      </c>
      <c r="G83" s="25">
        <f t="shared" si="27"/>
        <v>0.4164742583950316</v>
      </c>
      <c r="H83" s="27">
        <f t="shared" si="28"/>
        <v>24709419</v>
      </c>
      <c r="I83" s="25">
        <f t="shared" si="29"/>
        <v>0.5835257416049684</v>
      </c>
      <c r="J83" s="59">
        <v>34620584</v>
      </c>
      <c r="K83" s="27">
        <f t="shared" si="40"/>
        <v>59330003</v>
      </c>
      <c r="L83" s="28">
        <f t="shared" si="30"/>
        <v>0.4164742583950316</v>
      </c>
      <c r="M83" s="27">
        <f t="shared" si="31"/>
        <v>0.5835257416049684</v>
      </c>
      <c r="N83" s="33">
        <f t="shared" ref="N83:N88" si="41">D83/$D$89</f>
        <v>4.1753653444676405E-3</v>
      </c>
      <c r="O83" s="7">
        <f>'Charter Archive File'!Q9</f>
        <v>4445602</v>
      </c>
      <c r="P83" s="26">
        <f t="shared" si="32"/>
        <v>10831.412124970899</v>
      </c>
      <c r="Q83" s="29">
        <f t="shared" si="33"/>
        <v>7730.6004011251316</v>
      </c>
      <c r="R83"/>
    </row>
    <row r="84" spans="1:18" ht="12.75" customHeight="1">
      <c r="A84" s="45"/>
      <c r="B84" s="35" t="s">
        <v>2152</v>
      </c>
      <c r="C84" s="67" t="s">
        <v>2151</v>
      </c>
      <c r="D84" s="42">
        <v>461</v>
      </c>
      <c r="E84" s="42">
        <v>9499</v>
      </c>
      <c r="F84" s="59">
        <v>654618442</v>
      </c>
      <c r="G84" s="25">
        <f t="shared" si="27"/>
        <v>0.8378295672886038</v>
      </c>
      <c r="H84" s="27">
        <f t="shared" si="28"/>
        <v>548458686</v>
      </c>
      <c r="I84" s="25">
        <f t="shared" si="29"/>
        <v>0.16217043271139617</v>
      </c>
      <c r="J84" s="59">
        <v>106159756</v>
      </c>
      <c r="K84" s="27">
        <f t="shared" si="40"/>
        <v>654618442</v>
      </c>
      <c r="L84" s="28">
        <f t="shared" si="30"/>
        <v>0.8378295672886038</v>
      </c>
      <c r="M84" s="27">
        <f t="shared" si="31"/>
        <v>0.16217043271139617</v>
      </c>
      <c r="N84" s="33">
        <f t="shared" si="41"/>
        <v>0.9624217118997912</v>
      </c>
      <c r="O84" s="7">
        <f>$O$83</f>
        <v>4445602</v>
      </c>
      <c r="P84" s="26">
        <f t="shared" si="32"/>
        <v>693853.31357248605</v>
      </c>
      <c r="Q84" s="29">
        <f t="shared" si="33"/>
        <v>3584690.5736926491</v>
      </c>
      <c r="R84"/>
    </row>
    <row r="85" spans="1:18" ht="12.75" customHeight="1">
      <c r="A85" s="45"/>
      <c r="B85" s="35" t="s">
        <v>2154</v>
      </c>
      <c r="C85" s="67" t="s">
        <v>2153</v>
      </c>
      <c r="D85" s="42">
        <v>6</v>
      </c>
      <c r="E85" s="42">
        <v>8622</v>
      </c>
      <c r="F85" s="59">
        <v>34101719</v>
      </c>
      <c r="G85" s="25">
        <f t="shared" si="27"/>
        <v>0.41280358916804166</v>
      </c>
      <c r="H85" s="27">
        <f t="shared" si="28"/>
        <v>14077312</v>
      </c>
      <c r="I85" s="25">
        <f t="shared" si="29"/>
        <v>0.58719641083195839</v>
      </c>
      <c r="J85" s="59">
        <v>20024407</v>
      </c>
      <c r="K85" s="27">
        <f t="shared" si="40"/>
        <v>34101719</v>
      </c>
      <c r="L85" s="28">
        <f t="shared" si="30"/>
        <v>0.41280358916804166</v>
      </c>
      <c r="M85" s="27">
        <f t="shared" si="31"/>
        <v>0.58719641083195839</v>
      </c>
      <c r="N85" s="33">
        <f t="shared" si="41"/>
        <v>1.2526096033402923E-2</v>
      </c>
      <c r="O85" s="7">
        <f>$O$83</f>
        <v>4445602</v>
      </c>
      <c r="P85" s="26">
        <f t="shared" si="32"/>
        <v>32698.641399424334</v>
      </c>
      <c r="Q85" s="29">
        <f t="shared" si="33"/>
        <v>22987.396178863772</v>
      </c>
      <c r="R85"/>
    </row>
    <row r="86" spans="1:18" ht="12.75" customHeight="1">
      <c r="A86" s="45"/>
      <c r="B86" s="35" t="s">
        <v>2025</v>
      </c>
      <c r="C86" s="67" t="s">
        <v>2024</v>
      </c>
      <c r="D86" s="42">
        <v>4</v>
      </c>
      <c r="E86" s="42">
        <v>7822</v>
      </c>
      <c r="F86" s="59">
        <v>23280999</v>
      </c>
      <c r="G86" s="25">
        <f t="shared" si="27"/>
        <v>0.61434455626238371</v>
      </c>
      <c r="H86" s="27">
        <f t="shared" si="28"/>
        <v>14302555</v>
      </c>
      <c r="I86" s="25">
        <f t="shared" si="29"/>
        <v>0.38565544373761623</v>
      </c>
      <c r="J86" s="59">
        <v>8978444</v>
      </c>
      <c r="K86" s="27">
        <f t="shared" si="40"/>
        <v>23280999</v>
      </c>
      <c r="L86" s="28">
        <f t="shared" si="30"/>
        <v>0.61434455626238371</v>
      </c>
      <c r="M86" s="27">
        <f t="shared" si="31"/>
        <v>0.38565544373761623</v>
      </c>
      <c r="N86" s="33">
        <f t="shared" si="41"/>
        <v>8.350730688935281E-3</v>
      </c>
      <c r="O86" s="7">
        <f>$O$83</f>
        <v>4445602</v>
      </c>
      <c r="P86" s="26">
        <f t="shared" si="32"/>
        <v>14317.08235482951</v>
      </c>
      <c r="Q86" s="29">
        <f t="shared" si="33"/>
        <v>22806.942697362549</v>
      </c>
      <c r="R86"/>
    </row>
    <row r="87" spans="1:18" ht="12.75" customHeight="1">
      <c r="A87" s="45"/>
      <c r="B87" s="35" t="s">
        <v>2037</v>
      </c>
      <c r="C87" s="67" t="s">
        <v>2036</v>
      </c>
      <c r="D87" s="42">
        <v>3</v>
      </c>
      <c r="E87" s="42">
        <v>10273</v>
      </c>
      <c r="F87" s="59">
        <v>125037016</v>
      </c>
      <c r="G87" s="25">
        <f t="shared" si="27"/>
        <v>0.48171099188739436</v>
      </c>
      <c r="H87" s="27">
        <f t="shared" si="28"/>
        <v>60231705</v>
      </c>
      <c r="I87" s="25">
        <f t="shared" si="29"/>
        <v>0.51828900811260559</v>
      </c>
      <c r="J87" s="59">
        <v>64805311</v>
      </c>
      <c r="K87" s="27">
        <f t="shared" si="40"/>
        <v>125037016</v>
      </c>
      <c r="L87" s="28">
        <f t="shared" si="30"/>
        <v>0.48171099188739436</v>
      </c>
      <c r="M87" s="27">
        <f t="shared" si="31"/>
        <v>0.51828900811260559</v>
      </c>
      <c r="N87" s="33">
        <f t="shared" si="41"/>
        <v>6.2630480167014616E-3</v>
      </c>
      <c r="O87" s="7">
        <f>$O$83</f>
        <v>4445602</v>
      </c>
      <c r="P87" s="26">
        <f t="shared" si="32"/>
        <v>14430.730591086111</v>
      </c>
      <c r="Q87" s="29">
        <f t="shared" si="33"/>
        <v>13412.288198057939</v>
      </c>
      <c r="R87"/>
    </row>
    <row r="88" spans="1:18" ht="12.75" customHeight="1">
      <c r="A88" s="45"/>
      <c r="B88" s="35" t="s">
        <v>2033</v>
      </c>
      <c r="C88" s="67" t="s">
        <v>2032</v>
      </c>
      <c r="D88" s="42">
        <v>3</v>
      </c>
      <c r="E88" s="42">
        <v>8281</v>
      </c>
      <c r="F88" s="59">
        <v>94634236</v>
      </c>
      <c r="G88" s="25">
        <f t="shared" si="27"/>
        <v>0.53528344646856973</v>
      </c>
      <c r="H88" s="27">
        <f t="shared" si="28"/>
        <v>50656140</v>
      </c>
      <c r="I88" s="25">
        <f t="shared" si="29"/>
        <v>0.46471655353143021</v>
      </c>
      <c r="J88" s="59">
        <v>43978096</v>
      </c>
      <c r="K88" s="27">
        <f t="shared" si="40"/>
        <v>94634236</v>
      </c>
      <c r="L88" s="28">
        <f t="shared" si="30"/>
        <v>0.53528344646856973</v>
      </c>
      <c r="M88" s="27">
        <f t="shared" si="31"/>
        <v>0.46471655353143021</v>
      </c>
      <c r="N88" s="33">
        <f t="shared" si="41"/>
        <v>6.2630480167014616E-3</v>
      </c>
      <c r="O88" s="7">
        <f>$O$83</f>
        <v>4445602</v>
      </c>
      <c r="P88" s="26">
        <f t="shared" si="32"/>
        <v>12939.111731601879</v>
      </c>
      <c r="Q88" s="29">
        <f t="shared" si="33"/>
        <v>14903.90705754217</v>
      </c>
      <c r="R88"/>
    </row>
    <row r="89" spans="1:18" ht="12.75" customHeight="1">
      <c r="A89" s="260" t="s">
        <v>1834</v>
      </c>
      <c r="B89" s="261"/>
      <c r="C89" s="262"/>
      <c r="D89" s="39">
        <f>SUM(D83:D88)</f>
        <v>479</v>
      </c>
      <c r="E89" s="39"/>
      <c r="F89" s="39"/>
      <c r="G89" s="17"/>
      <c r="H89" s="17"/>
      <c r="I89" s="17"/>
      <c r="J89" s="39"/>
      <c r="K89" s="17"/>
      <c r="L89" s="17"/>
      <c r="M89" s="17"/>
      <c r="N89" s="49"/>
      <c r="O89" s="19"/>
      <c r="P89" s="19">
        <f>SUM(P83:P88)</f>
        <v>779070.29177439876</v>
      </c>
      <c r="Q89" s="19">
        <f>SUM(Q83:Q88)</f>
        <v>3666531.7082256009</v>
      </c>
      <c r="R89" s="14"/>
    </row>
    <row r="90" spans="1:18" ht="12.75" customHeight="1">
      <c r="A90" s="15" t="s">
        <v>1835</v>
      </c>
      <c r="B90" s="16"/>
      <c r="C90" s="64"/>
      <c r="D90" s="39"/>
      <c r="E90" s="39"/>
      <c r="F90" s="55"/>
      <c r="G90" s="17"/>
      <c r="H90" s="17"/>
      <c r="I90" s="17"/>
      <c r="J90" s="55"/>
      <c r="K90" s="17"/>
      <c r="L90" s="17"/>
      <c r="M90" s="17"/>
      <c r="N90" s="49"/>
      <c r="O90" s="19"/>
      <c r="P90" s="19"/>
      <c r="Q90" s="20"/>
      <c r="R90" s="14"/>
    </row>
    <row r="91" spans="1:18" ht="12.75" customHeight="1">
      <c r="A91" s="45"/>
      <c r="B91" s="35" t="s">
        <v>2043</v>
      </c>
      <c r="C91" s="67" t="s">
        <v>2042</v>
      </c>
      <c r="D91" s="42">
        <v>1</v>
      </c>
      <c r="E91" s="42">
        <v>10335</v>
      </c>
      <c r="F91" s="59">
        <v>38788783</v>
      </c>
      <c r="G91" s="25">
        <f t="shared" si="27"/>
        <v>0.3606591885081829</v>
      </c>
      <c r="H91" s="27">
        <f t="shared" si="28"/>
        <v>13989531</v>
      </c>
      <c r="I91" s="25">
        <f t="shared" si="29"/>
        <v>0.6393408114918171</v>
      </c>
      <c r="J91" s="59">
        <v>24799252</v>
      </c>
      <c r="K91" s="27">
        <f t="shared" si="40"/>
        <v>38788783</v>
      </c>
      <c r="L91" s="28">
        <f t="shared" si="30"/>
        <v>0.3606591885081829</v>
      </c>
      <c r="M91" s="27">
        <f t="shared" si="31"/>
        <v>0.6393408114918171</v>
      </c>
      <c r="N91" s="33">
        <f>D91/$D$101</f>
        <v>2.4691358024691358E-3</v>
      </c>
      <c r="O91" s="7">
        <f>'Charter Archive File'!Q27</f>
        <v>3859552</v>
      </c>
      <c r="P91" s="26">
        <f t="shared" si="32"/>
        <v>6092.7632288268287</v>
      </c>
      <c r="Q91" s="29">
        <f t="shared" si="33"/>
        <v>3436.9947958645294</v>
      </c>
      <c r="R91"/>
    </row>
    <row r="92" spans="1:18" ht="12.75" customHeight="1">
      <c r="A92" s="45"/>
      <c r="B92" s="35" t="s">
        <v>2045</v>
      </c>
      <c r="C92" s="67" t="s">
        <v>2044</v>
      </c>
      <c r="D92" s="42">
        <v>3</v>
      </c>
      <c r="E92" s="42">
        <v>9699</v>
      </c>
      <c r="F92" s="59">
        <v>145327421</v>
      </c>
      <c r="G92" s="25">
        <f t="shared" si="27"/>
        <v>0.30972276732276149</v>
      </c>
      <c r="H92" s="27">
        <f t="shared" si="28"/>
        <v>45011211</v>
      </c>
      <c r="I92" s="25">
        <f t="shared" si="29"/>
        <v>0.69027723267723851</v>
      </c>
      <c r="J92" s="59">
        <v>100316210</v>
      </c>
      <c r="K92" s="27">
        <f t="shared" si="40"/>
        <v>145327421</v>
      </c>
      <c r="L92" s="28">
        <f t="shared" si="30"/>
        <v>0.30972276732276149</v>
      </c>
      <c r="M92" s="27">
        <f t="shared" si="31"/>
        <v>0.69027723267723851</v>
      </c>
      <c r="N92" s="33">
        <f t="shared" ref="N92:N100" si="42">D92/$D$101</f>
        <v>7.4074074074074077E-3</v>
      </c>
      <c r="O92" s="7">
        <f>$O$91</f>
        <v>3859552</v>
      </c>
      <c r="P92" s="26">
        <f t="shared" si="32"/>
        <v>19734.524992102972</v>
      </c>
      <c r="Q92" s="29">
        <f t="shared" si="33"/>
        <v>8854.749081971102</v>
      </c>
      <c r="R92"/>
    </row>
    <row r="93" spans="1:18" ht="12.75" customHeight="1">
      <c r="A93" s="45"/>
      <c r="B93" s="35" t="s">
        <v>2041</v>
      </c>
      <c r="C93" s="67" t="s">
        <v>2040</v>
      </c>
      <c r="D93" s="42">
        <v>1</v>
      </c>
      <c r="E93" s="42">
        <v>9698</v>
      </c>
      <c r="F93" s="59">
        <v>59330003</v>
      </c>
      <c r="G93" s="25">
        <f t="shared" si="27"/>
        <v>0.4164742583950316</v>
      </c>
      <c r="H93" s="27">
        <f t="shared" si="28"/>
        <v>24709419</v>
      </c>
      <c r="I93" s="25">
        <f t="shared" si="29"/>
        <v>0.5835257416049684</v>
      </c>
      <c r="J93" s="59">
        <v>34620584</v>
      </c>
      <c r="K93" s="27">
        <f t="shared" si="40"/>
        <v>59330003</v>
      </c>
      <c r="L93" s="28">
        <f t="shared" si="30"/>
        <v>0.4164742583950316</v>
      </c>
      <c r="M93" s="27">
        <f t="shared" si="31"/>
        <v>0.5835257416049684</v>
      </c>
      <c r="N93" s="33">
        <f t="shared" si="42"/>
        <v>2.4691358024691358E-3</v>
      </c>
      <c r="O93" s="7">
        <f t="shared" ref="O93:O100" si="43">$O$91</f>
        <v>3859552</v>
      </c>
      <c r="P93" s="26">
        <f t="shared" si="32"/>
        <v>5560.8591186739241</v>
      </c>
      <c r="Q93" s="29">
        <f t="shared" si="33"/>
        <v>3968.8989060174349</v>
      </c>
      <c r="R93"/>
    </row>
    <row r="94" spans="1:18" ht="12.75" customHeight="1">
      <c r="A94" s="45"/>
      <c r="B94" s="35" t="s">
        <v>2152</v>
      </c>
      <c r="C94" s="67" t="s">
        <v>2151</v>
      </c>
      <c r="D94" s="42">
        <v>390</v>
      </c>
      <c r="E94" s="42">
        <v>9499</v>
      </c>
      <c r="F94" s="59">
        <v>654618442</v>
      </c>
      <c r="G94" s="25">
        <f t="shared" si="27"/>
        <v>0.8378295672886038</v>
      </c>
      <c r="H94" s="27">
        <f t="shared" si="28"/>
        <v>548458686</v>
      </c>
      <c r="I94" s="25">
        <f t="shared" si="29"/>
        <v>0.16217043271139617</v>
      </c>
      <c r="J94" s="59">
        <v>106159756</v>
      </c>
      <c r="K94" s="27">
        <f t="shared" ref="K94:K99" si="44">SUM(H94+J94)</f>
        <v>654618442</v>
      </c>
      <c r="L94" s="28">
        <f t="shared" si="30"/>
        <v>0.8378295672886038</v>
      </c>
      <c r="M94" s="27">
        <f t="shared" si="31"/>
        <v>0.16217043271139617</v>
      </c>
      <c r="N94" s="33">
        <f t="shared" si="42"/>
        <v>0.96296296296296291</v>
      </c>
      <c r="O94" s="7">
        <f t="shared" si="43"/>
        <v>3859552</v>
      </c>
      <c r="P94" s="26">
        <f t="shared" si="32"/>
        <v>602723.54317464796</v>
      </c>
      <c r="Q94" s="29">
        <f t="shared" si="33"/>
        <v>3113882.086454981</v>
      </c>
      <c r="R94"/>
    </row>
    <row r="95" spans="1:18" ht="12.75" customHeight="1">
      <c r="A95" s="45"/>
      <c r="B95" s="35" t="s">
        <v>2154</v>
      </c>
      <c r="C95" s="67" t="s">
        <v>2153</v>
      </c>
      <c r="D95" s="42">
        <v>1</v>
      </c>
      <c r="E95" s="42">
        <v>8622</v>
      </c>
      <c r="F95" s="59">
        <v>34101719</v>
      </c>
      <c r="G95" s="25">
        <f t="shared" si="27"/>
        <v>0.41280358916804166</v>
      </c>
      <c r="H95" s="27">
        <f t="shared" si="28"/>
        <v>14077312</v>
      </c>
      <c r="I95" s="25">
        <f t="shared" si="29"/>
        <v>0.58719641083195839</v>
      </c>
      <c r="J95" s="59">
        <v>20024407</v>
      </c>
      <c r="K95" s="27">
        <f t="shared" si="44"/>
        <v>34101719</v>
      </c>
      <c r="L95" s="28">
        <f t="shared" si="30"/>
        <v>0.41280358916804166</v>
      </c>
      <c r="M95" s="27">
        <f t="shared" si="31"/>
        <v>0.58719641083195839</v>
      </c>
      <c r="N95" s="33">
        <f t="shared" si="42"/>
        <v>2.4691358024691358E-3</v>
      </c>
      <c r="O95" s="7">
        <f t="shared" si="43"/>
        <v>3859552</v>
      </c>
      <c r="P95" s="26">
        <f t="shared" si="32"/>
        <v>5595.8397081958192</v>
      </c>
      <c r="Q95" s="29">
        <f t="shared" si="33"/>
        <v>3933.9183164955398</v>
      </c>
      <c r="R95"/>
    </row>
    <row r="96" spans="1:18" ht="12.75" customHeight="1">
      <c r="A96" s="45"/>
      <c r="B96" s="35" t="s">
        <v>2023</v>
      </c>
      <c r="C96" s="67" t="s">
        <v>2155</v>
      </c>
      <c r="D96" s="42">
        <v>2</v>
      </c>
      <c r="E96" s="42">
        <v>8869</v>
      </c>
      <c r="F96" s="59">
        <v>32830620</v>
      </c>
      <c r="G96" s="25">
        <f t="shared" si="27"/>
        <v>0.53256810258228449</v>
      </c>
      <c r="H96" s="27">
        <f t="shared" si="28"/>
        <v>17484541</v>
      </c>
      <c r="I96" s="25">
        <f t="shared" si="29"/>
        <v>0.46743189741771551</v>
      </c>
      <c r="J96" s="59">
        <v>15346079</v>
      </c>
      <c r="K96" s="27">
        <f t="shared" si="44"/>
        <v>32830620</v>
      </c>
      <c r="L96" s="28">
        <f t="shared" si="30"/>
        <v>0.53256810258228449</v>
      </c>
      <c r="M96" s="27">
        <f t="shared" si="31"/>
        <v>0.46743189741771551</v>
      </c>
      <c r="N96" s="33">
        <f t="shared" si="42"/>
        <v>4.9382716049382715E-3</v>
      </c>
      <c r="O96" s="7">
        <f t="shared" si="43"/>
        <v>3859552</v>
      </c>
      <c r="P96" s="26">
        <f t="shared" si="32"/>
        <v>8909.0257508263639</v>
      </c>
      <c r="Q96" s="29">
        <f t="shared" si="33"/>
        <v>10150.490298556353</v>
      </c>
      <c r="R96"/>
    </row>
    <row r="97" spans="1:18" ht="12.75" customHeight="1">
      <c r="A97" s="45"/>
      <c r="B97" s="35" t="s">
        <v>2025</v>
      </c>
      <c r="C97" s="67" t="s">
        <v>2024</v>
      </c>
      <c r="D97" s="42">
        <v>4</v>
      </c>
      <c r="E97" s="42">
        <v>7822</v>
      </c>
      <c r="F97" s="59">
        <v>23280999</v>
      </c>
      <c r="G97" s="25">
        <f t="shared" ref="G97:G140" si="45">H97/F97</f>
        <v>0.61434455626238371</v>
      </c>
      <c r="H97" s="27">
        <f t="shared" ref="H97:H140" si="46">F97-J97</f>
        <v>14302555</v>
      </c>
      <c r="I97" s="25">
        <f t="shared" ref="I97:I140" si="47">J97/F97</f>
        <v>0.38565544373761623</v>
      </c>
      <c r="J97" s="59">
        <v>8978444</v>
      </c>
      <c r="K97" s="27">
        <f t="shared" si="44"/>
        <v>23280999</v>
      </c>
      <c r="L97" s="28">
        <f t="shared" si="30"/>
        <v>0.61434455626238371</v>
      </c>
      <c r="M97" s="27">
        <f t="shared" si="31"/>
        <v>0.38565544373761623</v>
      </c>
      <c r="N97" s="33">
        <f t="shared" si="42"/>
        <v>9.876543209876543E-3</v>
      </c>
      <c r="O97" s="7">
        <f t="shared" si="43"/>
        <v>3859552</v>
      </c>
      <c r="P97" s="26">
        <f t="shared" si="32"/>
        <v>14700.812238897821</v>
      </c>
      <c r="Q97" s="29">
        <f t="shared" si="33"/>
        <v>23418.219859867611</v>
      </c>
      <c r="R97"/>
    </row>
    <row r="98" spans="1:18" ht="12.75" customHeight="1">
      <c r="A98" s="45"/>
      <c r="B98" s="35" t="s">
        <v>2047</v>
      </c>
      <c r="C98" s="67" t="s">
        <v>2046</v>
      </c>
      <c r="D98" s="42">
        <v>1</v>
      </c>
      <c r="E98" s="42">
        <v>10029</v>
      </c>
      <c r="F98" s="59">
        <v>2652914</v>
      </c>
      <c r="G98" s="25">
        <f t="shared" si="45"/>
        <v>-4.6185126996201156</v>
      </c>
      <c r="H98" s="27">
        <f t="shared" si="46"/>
        <v>-12252517</v>
      </c>
      <c r="I98" s="25">
        <f t="shared" si="47"/>
        <v>5.6185126996201156</v>
      </c>
      <c r="J98" s="59">
        <v>14905431</v>
      </c>
      <c r="K98" s="27">
        <f t="shared" si="44"/>
        <v>2652914</v>
      </c>
      <c r="L98" s="28">
        <f t="shared" si="30"/>
        <v>-4.6185126996201156</v>
      </c>
      <c r="M98" s="27">
        <f t="shared" si="31"/>
        <v>5.6185126996201156</v>
      </c>
      <c r="N98" s="33">
        <f t="shared" si="42"/>
        <v>2.4691358024691358E-3</v>
      </c>
      <c r="O98" s="7">
        <f t="shared" si="43"/>
        <v>3859552</v>
      </c>
      <c r="P98" s="26">
        <f t="shared" si="32"/>
        <v>53543.066486035103</v>
      </c>
      <c r="Q98" s="29">
        <f t="shared" si="33"/>
        <v>-44013.308461343746</v>
      </c>
      <c r="R98"/>
    </row>
    <row r="99" spans="1:18" ht="12.75" customHeight="1">
      <c r="A99" s="45"/>
      <c r="B99" s="35" t="s">
        <v>2049</v>
      </c>
      <c r="C99" s="67" t="s">
        <v>2048</v>
      </c>
      <c r="D99" s="42">
        <v>1</v>
      </c>
      <c r="E99" s="42">
        <v>9007</v>
      </c>
      <c r="F99" s="59">
        <v>47163173</v>
      </c>
      <c r="G99" s="25">
        <f t="shared" si="45"/>
        <v>0.50440092315247742</v>
      </c>
      <c r="H99" s="27">
        <f t="shared" si="46"/>
        <v>23789148</v>
      </c>
      <c r="I99" s="25">
        <f t="shared" si="47"/>
        <v>0.49559907684752252</v>
      </c>
      <c r="J99" s="59">
        <v>23374025</v>
      </c>
      <c r="K99" s="27">
        <f t="shared" si="44"/>
        <v>47163173</v>
      </c>
      <c r="L99" s="28">
        <f t="shared" si="30"/>
        <v>0.50440092315247742</v>
      </c>
      <c r="M99" s="27">
        <f t="shared" si="31"/>
        <v>0.49559907684752252</v>
      </c>
      <c r="N99" s="33">
        <f t="shared" si="42"/>
        <v>2.4691358024691358E-3</v>
      </c>
      <c r="O99" s="7">
        <f t="shared" si="43"/>
        <v>3859552</v>
      </c>
      <c r="P99" s="26">
        <f t="shared" si="32"/>
        <v>4722.939279617307</v>
      </c>
      <c r="Q99" s="29">
        <f t="shared" si="33"/>
        <v>4806.8187450740506</v>
      </c>
      <c r="R99"/>
    </row>
    <row r="100" spans="1:18" ht="12.75" customHeight="1">
      <c r="A100" s="45"/>
      <c r="B100" s="35" t="s">
        <v>2033</v>
      </c>
      <c r="C100" s="67" t="s">
        <v>2032</v>
      </c>
      <c r="D100" s="42">
        <v>1</v>
      </c>
      <c r="E100" s="42">
        <v>8281</v>
      </c>
      <c r="F100" s="59">
        <v>94634236</v>
      </c>
      <c r="G100" s="25">
        <f t="shared" si="45"/>
        <v>0.53528344646856973</v>
      </c>
      <c r="H100" s="27">
        <f t="shared" si="46"/>
        <v>50656140</v>
      </c>
      <c r="I100" s="25">
        <f t="shared" si="47"/>
        <v>0.46471655353143021</v>
      </c>
      <c r="J100" s="59">
        <v>43978096</v>
      </c>
      <c r="K100" s="27">
        <f t="shared" ref="K100:K159" si="48">SUM(H100+J100)</f>
        <v>94634236</v>
      </c>
      <c r="L100" s="28">
        <f t="shared" si="30"/>
        <v>0.53528344646856973</v>
      </c>
      <c r="M100" s="27">
        <f t="shared" si="31"/>
        <v>0.46471655353143021</v>
      </c>
      <c r="N100" s="33">
        <f t="shared" si="42"/>
        <v>2.4691358024691358E-3</v>
      </c>
      <c r="O100" s="7">
        <f t="shared" si="43"/>
        <v>3859552</v>
      </c>
      <c r="P100" s="26">
        <f t="shared" si="32"/>
        <v>4428.6363052230581</v>
      </c>
      <c r="Q100" s="29">
        <f t="shared" si="33"/>
        <v>5101.1217194682995</v>
      </c>
      <c r="R100"/>
    </row>
    <row r="101" spans="1:18" ht="12.75" customHeight="1">
      <c r="A101" s="260" t="s">
        <v>1836</v>
      </c>
      <c r="B101" s="261"/>
      <c r="C101" s="262"/>
      <c r="D101" s="39">
        <f>SUM(D91:D100)</f>
        <v>405</v>
      </c>
      <c r="E101" s="39"/>
      <c r="F101" s="39"/>
      <c r="G101" s="17"/>
      <c r="H101" s="17"/>
      <c r="I101" s="17"/>
      <c r="J101" s="39"/>
      <c r="K101" s="17"/>
      <c r="L101" s="17"/>
      <c r="M101" s="17"/>
      <c r="N101" s="49"/>
      <c r="O101" s="19"/>
      <c r="P101" s="20">
        <f>SUM(P91:P100)</f>
        <v>726012.0102830471</v>
      </c>
      <c r="Q101" s="20">
        <f>SUM(Q91:Q100)</f>
        <v>3133539.9897169522</v>
      </c>
      <c r="R101" s="14"/>
    </row>
    <row r="102" spans="1:18" ht="12.75" customHeight="1">
      <c r="A102" s="15" t="s">
        <v>1952</v>
      </c>
      <c r="B102" s="16"/>
      <c r="C102" s="64"/>
      <c r="D102" s="39"/>
      <c r="E102" s="39"/>
      <c r="F102" s="55"/>
      <c r="G102" s="17"/>
      <c r="H102" s="17"/>
      <c r="I102" s="17"/>
      <c r="J102" s="55"/>
      <c r="K102" s="17"/>
      <c r="L102" s="17"/>
      <c r="M102" s="17"/>
      <c r="N102" s="49"/>
      <c r="O102" s="19"/>
      <c r="P102" s="19"/>
      <c r="Q102" s="20"/>
      <c r="R102" s="14"/>
    </row>
    <row r="103" spans="1:18" ht="12.75" customHeight="1">
      <c r="A103" s="45"/>
      <c r="B103" s="35" t="s">
        <v>2043</v>
      </c>
      <c r="C103" s="67" t="s">
        <v>2042</v>
      </c>
      <c r="D103" s="42">
        <v>1</v>
      </c>
      <c r="E103" s="42">
        <v>10335</v>
      </c>
      <c r="F103" s="59">
        <v>38788783</v>
      </c>
      <c r="G103" s="25">
        <f t="shared" si="45"/>
        <v>0.3606591885081829</v>
      </c>
      <c r="H103" s="27">
        <f t="shared" si="46"/>
        <v>13989531</v>
      </c>
      <c r="I103" s="25">
        <f t="shared" si="47"/>
        <v>0.6393408114918171</v>
      </c>
      <c r="J103" s="59">
        <v>24799252</v>
      </c>
      <c r="K103" s="27">
        <f t="shared" si="48"/>
        <v>38788783</v>
      </c>
      <c r="L103" s="28">
        <f t="shared" si="30"/>
        <v>0.3606591885081829</v>
      </c>
      <c r="M103" s="27">
        <f t="shared" si="31"/>
        <v>0.6393408114918171</v>
      </c>
      <c r="N103" s="33">
        <f t="shared" ref="N103:N110" si="49">D103/$D$111</f>
        <v>1.8083182640144665E-3</v>
      </c>
      <c r="O103" s="7">
        <f>'Charter Archive File'!Q61</f>
        <v>5207575</v>
      </c>
      <c r="P103" s="26">
        <f t="shared" si="32"/>
        <v>6020.6423623951168</v>
      </c>
      <c r="Q103" s="29">
        <f t="shared" si="33"/>
        <v>3396.3106213300193</v>
      </c>
      <c r="R103"/>
    </row>
    <row r="104" spans="1:18" ht="12.75" customHeight="1">
      <c r="A104" s="45"/>
      <c r="B104" s="35" t="s">
        <v>2041</v>
      </c>
      <c r="C104" s="67" t="s">
        <v>2040</v>
      </c>
      <c r="D104" s="42">
        <v>1</v>
      </c>
      <c r="E104" s="42">
        <v>9698</v>
      </c>
      <c r="F104" s="59">
        <v>59330003</v>
      </c>
      <c r="G104" s="25">
        <f t="shared" si="45"/>
        <v>0.4164742583950316</v>
      </c>
      <c r="H104" s="27">
        <f t="shared" si="46"/>
        <v>24709419</v>
      </c>
      <c r="I104" s="25">
        <f t="shared" si="47"/>
        <v>0.5835257416049684</v>
      </c>
      <c r="J104" s="59">
        <v>34620584</v>
      </c>
      <c r="K104" s="27">
        <f t="shared" si="48"/>
        <v>59330003</v>
      </c>
      <c r="L104" s="28">
        <f t="shared" si="30"/>
        <v>0.4164742583950316</v>
      </c>
      <c r="M104" s="27">
        <f t="shared" si="31"/>
        <v>0.5835257416049684</v>
      </c>
      <c r="N104" s="33">
        <f t="shared" si="49"/>
        <v>1.8083182640144665E-3</v>
      </c>
      <c r="O104" s="7">
        <f>$O$103</f>
        <v>5207575</v>
      </c>
      <c r="P104" s="26">
        <f t="shared" si="32"/>
        <v>5495.0344734873297</v>
      </c>
      <c r="Q104" s="29">
        <f t="shared" si="33"/>
        <v>3921.918510237806</v>
      </c>
      <c r="R104"/>
    </row>
    <row r="105" spans="1:18" ht="12.75" customHeight="1">
      <c r="A105" s="45"/>
      <c r="B105" s="35" t="s">
        <v>2152</v>
      </c>
      <c r="C105" s="67" t="s">
        <v>2151</v>
      </c>
      <c r="D105" s="42">
        <v>537</v>
      </c>
      <c r="E105" s="42">
        <v>9499</v>
      </c>
      <c r="F105" s="59">
        <v>654618442</v>
      </c>
      <c r="G105" s="25">
        <f t="shared" si="45"/>
        <v>0.8378295672886038</v>
      </c>
      <c r="H105" s="27">
        <f t="shared" si="46"/>
        <v>548458686</v>
      </c>
      <c r="I105" s="25">
        <f t="shared" si="47"/>
        <v>0.16217043271139617</v>
      </c>
      <c r="J105" s="59">
        <v>106159756</v>
      </c>
      <c r="K105" s="27">
        <f t="shared" si="48"/>
        <v>654618442</v>
      </c>
      <c r="L105" s="28">
        <f t="shared" si="30"/>
        <v>0.8378295672886038</v>
      </c>
      <c r="M105" s="27">
        <f t="shared" si="31"/>
        <v>0.16217043271139617</v>
      </c>
      <c r="N105" s="33">
        <f t="shared" si="49"/>
        <v>0.97106690777576854</v>
      </c>
      <c r="O105" s="7">
        <f t="shared" ref="O105:O110" si="50">$O$103</f>
        <v>5207575</v>
      </c>
      <c r="P105" s="26">
        <f t="shared" si="32"/>
        <v>820080.26968395174</v>
      </c>
      <c r="Q105" s="29">
        <f t="shared" si="33"/>
        <v>4236823.4825764466</v>
      </c>
      <c r="R105"/>
    </row>
    <row r="106" spans="1:18" ht="12.75" customHeight="1">
      <c r="A106" s="45"/>
      <c r="B106" s="35" t="s">
        <v>2154</v>
      </c>
      <c r="C106" s="67" t="s">
        <v>2153</v>
      </c>
      <c r="D106" s="42">
        <v>3</v>
      </c>
      <c r="E106" s="42">
        <v>8622</v>
      </c>
      <c r="F106" s="59">
        <v>34101719</v>
      </c>
      <c r="G106" s="25">
        <f t="shared" si="45"/>
        <v>0.41280358916804166</v>
      </c>
      <c r="H106" s="27">
        <f t="shared" si="46"/>
        <v>14077312</v>
      </c>
      <c r="I106" s="25">
        <f t="shared" si="47"/>
        <v>0.58719641083195839</v>
      </c>
      <c r="J106" s="59">
        <v>20024407</v>
      </c>
      <c r="K106" s="27">
        <f t="shared" si="48"/>
        <v>34101719</v>
      </c>
      <c r="L106" s="28">
        <f t="shared" si="30"/>
        <v>0.41280358916804166</v>
      </c>
      <c r="M106" s="27">
        <f t="shared" si="31"/>
        <v>0.58719641083195839</v>
      </c>
      <c r="N106" s="33">
        <f t="shared" si="49"/>
        <v>5.4249547920433997E-3</v>
      </c>
      <c r="O106" s="7">
        <f t="shared" si="50"/>
        <v>5207575</v>
      </c>
      <c r="P106" s="26">
        <f t="shared" si="32"/>
        <v>16588.802979050102</v>
      </c>
      <c r="Q106" s="29">
        <f t="shared" si="33"/>
        <v>11662.055972125305</v>
      </c>
      <c r="R106"/>
    </row>
    <row r="107" spans="1:18" ht="12.75" customHeight="1">
      <c r="A107" s="45"/>
      <c r="B107" s="35" t="s">
        <v>2023</v>
      </c>
      <c r="C107" s="67" t="s">
        <v>2155</v>
      </c>
      <c r="D107" s="42">
        <v>1</v>
      </c>
      <c r="E107" s="42">
        <v>8869</v>
      </c>
      <c r="F107" s="59">
        <v>32830620</v>
      </c>
      <c r="G107" s="25">
        <f t="shared" si="45"/>
        <v>0.53256810258228449</v>
      </c>
      <c r="H107" s="27">
        <f t="shared" si="46"/>
        <v>17484541</v>
      </c>
      <c r="I107" s="25">
        <f t="shared" si="47"/>
        <v>0.46743189741771551</v>
      </c>
      <c r="J107" s="59">
        <v>15346079</v>
      </c>
      <c r="K107" s="27">
        <f t="shared" si="48"/>
        <v>32830620</v>
      </c>
      <c r="L107" s="28">
        <f t="shared" si="30"/>
        <v>0.53256810258228449</v>
      </c>
      <c r="M107" s="27">
        <f t="shared" si="31"/>
        <v>0.46743189741771551</v>
      </c>
      <c r="N107" s="33">
        <f t="shared" si="49"/>
        <v>1.8083182640144665E-3</v>
      </c>
      <c r="O107" s="7">
        <f t="shared" si="50"/>
        <v>5207575</v>
      </c>
      <c r="P107" s="26">
        <f t="shared" si="32"/>
        <v>4401.7842010760578</v>
      </c>
      <c r="Q107" s="29">
        <f t="shared" si="33"/>
        <v>5015.1687826490779</v>
      </c>
      <c r="R107"/>
    </row>
    <row r="108" spans="1:18" ht="12.75" customHeight="1">
      <c r="A108" s="45"/>
      <c r="B108" s="35" t="s">
        <v>2025</v>
      </c>
      <c r="C108" s="67" t="s">
        <v>2024</v>
      </c>
      <c r="D108" s="42">
        <v>7</v>
      </c>
      <c r="E108" s="42">
        <v>7822</v>
      </c>
      <c r="F108" s="59">
        <v>23280999</v>
      </c>
      <c r="G108" s="25">
        <f t="shared" si="45"/>
        <v>0.61434455626238371</v>
      </c>
      <c r="H108" s="27">
        <f t="shared" si="46"/>
        <v>14302555</v>
      </c>
      <c r="I108" s="25">
        <f t="shared" si="47"/>
        <v>0.38565544373761623</v>
      </c>
      <c r="J108" s="59">
        <v>8978444</v>
      </c>
      <c r="K108" s="27">
        <f t="shared" si="48"/>
        <v>23280999</v>
      </c>
      <c r="L108" s="28">
        <f t="shared" si="30"/>
        <v>0.61434455626238371</v>
      </c>
      <c r="M108" s="27">
        <f t="shared" si="31"/>
        <v>0.38565544373761623</v>
      </c>
      <c r="N108" s="33">
        <f t="shared" si="49"/>
        <v>1.2658227848101266E-2</v>
      </c>
      <c r="O108" s="7">
        <f t="shared" si="50"/>
        <v>5207575</v>
      </c>
      <c r="P108" s="26">
        <f t="shared" si="32"/>
        <v>25421.894271163506</v>
      </c>
      <c r="Q108" s="29">
        <f t="shared" si="33"/>
        <v>40496.776614912444</v>
      </c>
      <c r="R108"/>
    </row>
    <row r="109" spans="1:18" ht="12.75" customHeight="1">
      <c r="A109" s="45"/>
      <c r="B109" s="35" t="s">
        <v>2051</v>
      </c>
      <c r="C109" s="67" t="s">
        <v>2050</v>
      </c>
      <c r="D109" s="42">
        <v>1</v>
      </c>
      <c r="E109" s="42">
        <v>7333</v>
      </c>
      <c r="F109" s="59">
        <v>71494483</v>
      </c>
      <c r="G109" s="25">
        <f t="shared" si="45"/>
        <v>0.43642054170809236</v>
      </c>
      <c r="H109" s="27">
        <f t="shared" si="46"/>
        <v>31201661</v>
      </c>
      <c r="I109" s="25">
        <f t="shared" si="47"/>
        <v>0.5635794582919077</v>
      </c>
      <c r="J109" s="59">
        <v>40292822</v>
      </c>
      <c r="K109" s="27">
        <f t="shared" si="48"/>
        <v>71494483</v>
      </c>
      <c r="L109" s="28">
        <f t="shared" si="30"/>
        <v>0.43642054170809236</v>
      </c>
      <c r="M109" s="27">
        <f t="shared" si="31"/>
        <v>0.5635794582919077</v>
      </c>
      <c r="N109" s="33">
        <f t="shared" si="49"/>
        <v>1.8083182640144665E-3</v>
      </c>
      <c r="O109" s="7">
        <f t="shared" si="50"/>
        <v>5207575</v>
      </c>
      <c r="P109" s="26">
        <f t="shared" si="32"/>
        <v>5307.2012613281759</v>
      </c>
      <c r="Q109" s="29">
        <f t="shared" si="33"/>
        <v>4109.7517223969608</v>
      </c>
      <c r="R109"/>
    </row>
    <row r="110" spans="1:18" ht="12.75" customHeight="1">
      <c r="A110" s="45"/>
      <c r="B110" s="35" t="s">
        <v>2037</v>
      </c>
      <c r="C110" s="67" t="s">
        <v>2036</v>
      </c>
      <c r="D110" s="42">
        <v>2</v>
      </c>
      <c r="E110" s="42">
        <v>10273</v>
      </c>
      <c r="F110" s="59">
        <v>125037016</v>
      </c>
      <c r="G110" s="25">
        <f t="shared" si="45"/>
        <v>0.48171099188739436</v>
      </c>
      <c r="H110" s="27">
        <f t="shared" si="46"/>
        <v>60231705</v>
      </c>
      <c r="I110" s="25">
        <f t="shared" si="47"/>
        <v>0.51828900811260559</v>
      </c>
      <c r="J110" s="59">
        <v>64805311</v>
      </c>
      <c r="K110" s="27">
        <f t="shared" si="48"/>
        <v>125037016</v>
      </c>
      <c r="L110" s="28">
        <f t="shared" si="30"/>
        <v>0.48171099188739436</v>
      </c>
      <c r="M110" s="27">
        <f t="shared" si="31"/>
        <v>0.51828900811260559</v>
      </c>
      <c r="N110" s="33">
        <f t="shared" si="49"/>
        <v>3.616636528028933E-3</v>
      </c>
      <c r="O110" s="7">
        <f t="shared" si="50"/>
        <v>5207575</v>
      </c>
      <c r="P110" s="26">
        <f t="shared" si="32"/>
        <v>9761.4064427558842</v>
      </c>
      <c r="Q110" s="29">
        <f t="shared" si="33"/>
        <v>9072.4995246943854</v>
      </c>
      <c r="R110"/>
    </row>
    <row r="111" spans="1:18" ht="12.75" customHeight="1">
      <c r="A111" s="263" t="s">
        <v>1951</v>
      </c>
      <c r="B111" s="264"/>
      <c r="C111" s="265"/>
      <c r="D111" s="39">
        <f>SUM(D103:D110)</f>
        <v>553</v>
      </c>
      <c r="E111" s="39"/>
      <c r="F111" s="39"/>
      <c r="G111" s="17"/>
      <c r="H111" s="17"/>
      <c r="I111" s="17"/>
      <c r="J111" s="39"/>
      <c r="K111" s="17"/>
      <c r="L111" s="17"/>
      <c r="M111" s="17"/>
      <c r="N111" s="49"/>
      <c r="O111" s="19"/>
      <c r="P111" s="19">
        <f>SUM(P103:P110)</f>
        <v>893077.03567520785</v>
      </c>
      <c r="Q111" s="19">
        <f>SUM(Q103:Q110)</f>
        <v>4314497.9643247928</v>
      </c>
      <c r="R111" s="14"/>
    </row>
    <row r="112" spans="1:18" ht="12.75" customHeight="1">
      <c r="A112" s="15" t="s">
        <v>1742</v>
      </c>
      <c r="B112" s="16"/>
      <c r="C112" s="64"/>
      <c r="D112" s="39"/>
      <c r="E112" s="39"/>
      <c r="F112" s="55"/>
      <c r="G112" s="17"/>
      <c r="H112" s="17"/>
      <c r="I112" s="17"/>
      <c r="J112" s="55"/>
      <c r="K112" s="17"/>
      <c r="L112" s="17"/>
      <c r="M112" s="17"/>
      <c r="N112" s="49"/>
      <c r="O112" s="19"/>
      <c r="P112" s="19"/>
      <c r="Q112" s="20"/>
      <c r="R112" s="14"/>
    </row>
    <row r="113" spans="1:18" ht="12.75" customHeight="1">
      <c r="A113" s="45"/>
      <c r="B113" s="35" t="s">
        <v>2152</v>
      </c>
      <c r="C113" s="67" t="s">
        <v>2151</v>
      </c>
      <c r="D113" s="42">
        <v>242</v>
      </c>
      <c r="E113" s="42">
        <v>9499</v>
      </c>
      <c r="F113" s="59">
        <v>654618442</v>
      </c>
      <c r="G113" s="25">
        <f t="shared" si="45"/>
        <v>0.8378295672886038</v>
      </c>
      <c r="H113" s="27">
        <f t="shared" si="46"/>
        <v>548458686</v>
      </c>
      <c r="I113" s="25">
        <f t="shared" si="47"/>
        <v>0.16217043271139617</v>
      </c>
      <c r="J113" s="59">
        <v>106159756</v>
      </c>
      <c r="K113" s="27">
        <f t="shared" si="48"/>
        <v>654618442</v>
      </c>
      <c r="L113" s="28">
        <f t="shared" si="30"/>
        <v>0.8378295672886038</v>
      </c>
      <c r="M113" s="27">
        <f t="shared" si="31"/>
        <v>0.16217043271139617</v>
      </c>
      <c r="N113" s="33">
        <f>D113/$D$115</f>
        <v>0.97975708502024295</v>
      </c>
      <c r="O113" s="7">
        <f>'Charter Archive File'!Q7</f>
        <v>2181466</v>
      </c>
      <c r="P113" s="26">
        <f t="shared" si="32"/>
        <v>346607.96360315004</v>
      </c>
      <c r="Q113" s="29">
        <f t="shared" si="33"/>
        <v>1790698.8056276194</v>
      </c>
      <c r="R113"/>
    </row>
    <row r="114" spans="1:18" ht="12.75" customHeight="1">
      <c r="A114" s="45"/>
      <c r="B114" s="35" t="s">
        <v>2154</v>
      </c>
      <c r="C114" s="67" t="s">
        <v>2153</v>
      </c>
      <c r="D114" s="42">
        <v>5</v>
      </c>
      <c r="E114" s="42">
        <v>8622</v>
      </c>
      <c r="F114" s="59">
        <v>34101719</v>
      </c>
      <c r="G114" s="25">
        <f t="shared" si="45"/>
        <v>0.41280358916804166</v>
      </c>
      <c r="H114" s="27">
        <f t="shared" si="46"/>
        <v>14077312</v>
      </c>
      <c r="I114" s="25">
        <f t="shared" si="47"/>
        <v>0.58719641083195839</v>
      </c>
      <c r="J114" s="59">
        <v>20024407</v>
      </c>
      <c r="K114" s="27">
        <f t="shared" si="48"/>
        <v>34101719</v>
      </c>
      <c r="L114" s="28">
        <f t="shared" si="30"/>
        <v>0.41280358916804166</v>
      </c>
      <c r="M114" s="27">
        <f t="shared" si="31"/>
        <v>0.58719641083195839</v>
      </c>
      <c r="N114" s="33">
        <f>D114/$D$115</f>
        <v>2.0242914979757085E-2</v>
      </c>
      <c r="O114" s="7">
        <f>O113</f>
        <v>2181466</v>
      </c>
      <c r="P114" s="26">
        <f t="shared" si="32"/>
        <v>25930.141812792492</v>
      </c>
      <c r="Q114" s="29">
        <f t="shared" si="33"/>
        <v>18229.088956438285</v>
      </c>
      <c r="R114"/>
    </row>
    <row r="115" spans="1:18" ht="12.75" customHeight="1">
      <c r="A115" s="260" t="s">
        <v>1743</v>
      </c>
      <c r="B115" s="261"/>
      <c r="C115" s="262"/>
      <c r="D115" s="39">
        <f>SUM(D113:D114)</f>
        <v>247</v>
      </c>
      <c r="E115" s="39"/>
      <c r="F115" s="39"/>
      <c r="G115" s="17"/>
      <c r="H115" s="17"/>
      <c r="I115" s="17"/>
      <c r="J115" s="39"/>
      <c r="K115" s="17"/>
      <c r="L115" s="17"/>
      <c r="M115" s="17"/>
      <c r="N115" s="49"/>
      <c r="O115" s="19"/>
      <c r="P115" s="19">
        <f>SUM(P113:P114)</f>
        <v>372538.10541594255</v>
      </c>
      <c r="Q115" s="19">
        <f>SUM(Q113:Q114)</f>
        <v>1808927.8945840576</v>
      </c>
      <c r="R115" s="14"/>
    </row>
    <row r="116" spans="1:18" ht="12.75" customHeight="1">
      <c r="A116" s="15" t="s">
        <v>1837</v>
      </c>
      <c r="B116" s="16"/>
      <c r="C116" s="64"/>
      <c r="D116" s="39"/>
      <c r="E116" s="39"/>
      <c r="F116" s="55"/>
      <c r="G116" s="17"/>
      <c r="H116" s="17"/>
      <c r="I116" s="17"/>
      <c r="J116" s="55"/>
      <c r="K116" s="17"/>
      <c r="L116" s="17"/>
      <c r="M116" s="17"/>
      <c r="N116" s="49"/>
      <c r="O116" s="19"/>
      <c r="P116" s="19"/>
      <c r="Q116" s="20"/>
      <c r="R116" s="14"/>
    </row>
    <row r="117" spans="1:18" ht="12.75" customHeight="1">
      <c r="A117" s="45"/>
      <c r="B117" s="35" t="s">
        <v>2041</v>
      </c>
      <c r="C117" s="67" t="s">
        <v>2040</v>
      </c>
      <c r="D117" s="42">
        <v>1</v>
      </c>
      <c r="E117" s="42">
        <v>9698</v>
      </c>
      <c r="F117" s="59">
        <v>59330003</v>
      </c>
      <c r="G117" s="25">
        <f t="shared" si="45"/>
        <v>0.4164742583950316</v>
      </c>
      <c r="H117" s="27">
        <f t="shared" si="46"/>
        <v>24709419</v>
      </c>
      <c r="I117" s="25">
        <f t="shared" si="47"/>
        <v>0.5835257416049684</v>
      </c>
      <c r="J117" s="59">
        <v>34620584</v>
      </c>
      <c r="K117" s="27">
        <f t="shared" si="48"/>
        <v>59330003</v>
      </c>
      <c r="L117" s="28">
        <f t="shared" si="30"/>
        <v>0.4164742583950316</v>
      </c>
      <c r="M117" s="27">
        <f t="shared" si="31"/>
        <v>0.5835257416049684</v>
      </c>
      <c r="N117" s="33">
        <f t="shared" ref="N117:N122" si="51">D117/$D$123</f>
        <v>3.0211480362537764E-3</v>
      </c>
      <c r="O117" s="7">
        <f>'Charter Archive File'!Q8</f>
        <v>3285894</v>
      </c>
      <c r="P117" s="26">
        <f t="shared" si="32"/>
        <v>5792.7605232184769</v>
      </c>
      <c r="Q117" s="29">
        <f t="shared" si="33"/>
        <v>4134.4116822195892</v>
      </c>
      <c r="R117"/>
    </row>
    <row r="118" spans="1:18" ht="12.75" customHeight="1">
      <c r="A118" s="45"/>
      <c r="B118" s="35" t="s">
        <v>2152</v>
      </c>
      <c r="C118" s="67" t="s">
        <v>2151</v>
      </c>
      <c r="D118" s="42">
        <v>326</v>
      </c>
      <c r="E118" s="42">
        <v>9499</v>
      </c>
      <c r="F118" s="59">
        <v>654618442</v>
      </c>
      <c r="G118" s="25">
        <f t="shared" si="45"/>
        <v>0.8378295672886038</v>
      </c>
      <c r="H118" s="27">
        <f t="shared" si="46"/>
        <v>548458686</v>
      </c>
      <c r="I118" s="25">
        <f t="shared" si="47"/>
        <v>0.16217043271139617</v>
      </c>
      <c r="J118" s="59">
        <v>106159756</v>
      </c>
      <c r="K118" s="27">
        <f t="shared" si="48"/>
        <v>654618442</v>
      </c>
      <c r="L118" s="28">
        <f t="shared" si="30"/>
        <v>0.8378295672886038</v>
      </c>
      <c r="M118" s="27">
        <f t="shared" si="31"/>
        <v>0.16217043271139617</v>
      </c>
      <c r="N118" s="33">
        <f t="shared" si="51"/>
        <v>0.98489425981873113</v>
      </c>
      <c r="O118" s="7">
        <f>$O$117</f>
        <v>3285894</v>
      </c>
      <c r="P118" s="26">
        <f t="shared" si="32"/>
        <v>524825.38276299823</v>
      </c>
      <c r="Q118" s="29">
        <f t="shared" si="33"/>
        <v>2711432.7562098112</v>
      </c>
      <c r="R118"/>
    </row>
    <row r="119" spans="1:18" ht="12.75" customHeight="1">
      <c r="A119" s="45"/>
      <c r="B119" s="35" t="s">
        <v>2025</v>
      </c>
      <c r="C119" s="67" t="s">
        <v>2024</v>
      </c>
      <c r="D119" s="42">
        <v>1</v>
      </c>
      <c r="E119" s="42">
        <v>7822</v>
      </c>
      <c r="F119" s="59">
        <v>23280999</v>
      </c>
      <c r="G119" s="25">
        <f t="shared" si="45"/>
        <v>0.61434455626238371</v>
      </c>
      <c r="H119" s="27">
        <f t="shared" si="46"/>
        <v>14302555</v>
      </c>
      <c r="I119" s="25">
        <f t="shared" si="47"/>
        <v>0.38565544373761623</v>
      </c>
      <c r="J119" s="59">
        <v>8978444</v>
      </c>
      <c r="K119" s="27">
        <f t="shared" si="48"/>
        <v>23280999</v>
      </c>
      <c r="L119" s="28">
        <f t="shared" ref="L119:L182" si="52">H119/K119</f>
        <v>0.61434455626238371</v>
      </c>
      <c r="M119" s="27">
        <f t="shared" ref="M119:M182" si="53">J119/K119</f>
        <v>0.38565544373761623</v>
      </c>
      <c r="N119" s="33">
        <f t="shared" si="51"/>
        <v>3.0211480362537764E-3</v>
      </c>
      <c r="O119" s="7">
        <f>$O$117</f>
        <v>3285894</v>
      </c>
      <c r="P119" s="26">
        <f t="shared" ref="P119:P182" si="54">O119*N119*M119</f>
        <v>3828.4680019479479</v>
      </c>
      <c r="Q119" s="29">
        <f t="shared" ref="Q119:Q182" si="55">O119*N119*L119</f>
        <v>6098.7042034901178</v>
      </c>
      <c r="R119"/>
    </row>
    <row r="120" spans="1:18" ht="12.75" customHeight="1">
      <c r="A120" s="45"/>
      <c r="B120" s="35" t="s">
        <v>2039</v>
      </c>
      <c r="C120" s="67" t="s">
        <v>2038</v>
      </c>
      <c r="D120" s="42">
        <v>1</v>
      </c>
      <c r="E120" s="42">
        <v>9854</v>
      </c>
      <c r="F120" s="59">
        <v>25951061</v>
      </c>
      <c r="G120" s="25">
        <f t="shared" si="45"/>
        <v>0.58483612673871022</v>
      </c>
      <c r="H120" s="27">
        <f t="shared" si="46"/>
        <v>15177118</v>
      </c>
      <c r="I120" s="25">
        <f t="shared" si="47"/>
        <v>0.41516387326128978</v>
      </c>
      <c r="J120" s="59">
        <v>10773943</v>
      </c>
      <c r="K120" s="27">
        <f t="shared" si="48"/>
        <v>25951061</v>
      </c>
      <c r="L120" s="28">
        <f t="shared" si="52"/>
        <v>0.58483612673871022</v>
      </c>
      <c r="M120" s="27">
        <f t="shared" si="53"/>
        <v>0.41516387326128978</v>
      </c>
      <c r="N120" s="33">
        <f t="shared" si="51"/>
        <v>3.0211480362537764E-3</v>
      </c>
      <c r="O120" s="7">
        <f>$O$117</f>
        <v>3285894</v>
      </c>
      <c r="P120" s="26">
        <f t="shared" si="54"/>
        <v>4121.4032633414881</v>
      </c>
      <c r="Q120" s="29">
        <f t="shared" si="55"/>
        <v>5805.768942096578</v>
      </c>
      <c r="R120"/>
    </row>
    <row r="121" spans="1:18" ht="12.75" customHeight="1">
      <c r="A121" s="45"/>
      <c r="B121" s="35" t="s">
        <v>2031</v>
      </c>
      <c r="C121" s="67" t="s">
        <v>2030</v>
      </c>
      <c r="D121" s="42">
        <v>1</v>
      </c>
      <c r="E121" s="42">
        <v>9958</v>
      </c>
      <c r="F121" s="59">
        <v>34396218</v>
      </c>
      <c r="G121" s="25">
        <f t="shared" si="45"/>
        <v>0.73325709820771579</v>
      </c>
      <c r="H121" s="27">
        <f t="shared" si="46"/>
        <v>25221271</v>
      </c>
      <c r="I121" s="25">
        <f t="shared" si="47"/>
        <v>0.26674290179228427</v>
      </c>
      <c r="J121" s="59">
        <v>9174947</v>
      </c>
      <c r="K121" s="27">
        <f t="shared" si="48"/>
        <v>34396218</v>
      </c>
      <c r="L121" s="28">
        <f t="shared" si="52"/>
        <v>0.73325709820771579</v>
      </c>
      <c r="M121" s="27">
        <f t="shared" si="53"/>
        <v>0.26674290179228427</v>
      </c>
      <c r="N121" s="33">
        <f t="shared" si="51"/>
        <v>3.0211480362537764E-3</v>
      </c>
      <c r="O121" s="7">
        <f>$O$117</f>
        <v>3285894</v>
      </c>
      <c r="P121" s="26">
        <f t="shared" si="54"/>
        <v>2648.0027206702603</v>
      </c>
      <c r="Q121" s="29">
        <f t="shared" si="55"/>
        <v>7279.1694847678064</v>
      </c>
      <c r="R121"/>
    </row>
    <row r="122" spans="1:18" ht="12.75" customHeight="1">
      <c r="A122" s="45"/>
      <c r="B122" s="35" t="s">
        <v>2037</v>
      </c>
      <c r="C122" s="67" t="s">
        <v>2036</v>
      </c>
      <c r="D122" s="42">
        <v>1</v>
      </c>
      <c r="E122" s="42">
        <v>10273</v>
      </c>
      <c r="F122" s="59">
        <v>125037016</v>
      </c>
      <c r="G122" s="25">
        <f t="shared" si="45"/>
        <v>0.48171099188739436</v>
      </c>
      <c r="H122" s="27">
        <f t="shared" si="46"/>
        <v>60231705</v>
      </c>
      <c r="I122" s="25">
        <f t="shared" si="47"/>
        <v>0.51828900811260559</v>
      </c>
      <c r="J122" s="59">
        <v>64805311</v>
      </c>
      <c r="K122" s="27">
        <f t="shared" si="48"/>
        <v>125037016</v>
      </c>
      <c r="L122" s="28">
        <f t="shared" si="52"/>
        <v>0.48171099188739436</v>
      </c>
      <c r="M122" s="27">
        <f t="shared" si="53"/>
        <v>0.51828900811260559</v>
      </c>
      <c r="N122" s="33">
        <f t="shared" si="51"/>
        <v>3.0211480362537764E-3</v>
      </c>
      <c r="O122" s="7">
        <f>$O$117</f>
        <v>3285894</v>
      </c>
      <c r="P122" s="26">
        <f t="shared" si="54"/>
        <v>5145.1442357195228</v>
      </c>
      <c r="Q122" s="29">
        <f t="shared" si="55"/>
        <v>4782.0279697185433</v>
      </c>
      <c r="R122"/>
    </row>
    <row r="123" spans="1:18" ht="12.75" customHeight="1">
      <c r="A123" s="260" t="s">
        <v>1838</v>
      </c>
      <c r="B123" s="261"/>
      <c r="C123" s="262"/>
      <c r="D123" s="39">
        <f>SUM(D117:D122)</f>
        <v>331</v>
      </c>
      <c r="E123" s="39"/>
      <c r="F123" s="39"/>
      <c r="G123" s="17"/>
      <c r="H123" s="17"/>
      <c r="I123" s="17"/>
      <c r="J123" s="39"/>
      <c r="K123" s="17"/>
      <c r="L123" s="17"/>
      <c r="M123" s="17"/>
      <c r="N123" s="49"/>
      <c r="O123" s="19"/>
      <c r="P123" s="19">
        <f>SUM(P117:P122)</f>
        <v>546361.16150789603</v>
      </c>
      <c r="Q123" s="19">
        <f>SUM(Q117:Q122)</f>
        <v>2739532.8384921039</v>
      </c>
      <c r="R123" s="14"/>
    </row>
    <row r="124" spans="1:18" ht="12.75" customHeight="1">
      <c r="A124" s="15" t="s">
        <v>2239</v>
      </c>
      <c r="B124" s="16"/>
      <c r="C124" s="64"/>
      <c r="D124" s="39"/>
      <c r="E124" s="39"/>
      <c r="F124" s="55"/>
      <c r="G124" s="17"/>
      <c r="H124" s="17"/>
      <c r="I124" s="17"/>
      <c r="J124" s="55"/>
      <c r="K124" s="17"/>
      <c r="L124" s="17"/>
      <c r="M124" s="17"/>
      <c r="N124" s="49"/>
      <c r="O124" s="19"/>
      <c r="P124" s="19"/>
      <c r="Q124" s="20"/>
      <c r="R124" s="14"/>
    </row>
    <row r="125" spans="1:18" ht="12.75" customHeight="1">
      <c r="A125" s="45"/>
      <c r="B125" s="35" t="s">
        <v>2043</v>
      </c>
      <c r="C125" s="67" t="s">
        <v>2042</v>
      </c>
      <c r="D125" s="42">
        <v>1</v>
      </c>
      <c r="E125" s="42">
        <v>10335</v>
      </c>
      <c r="F125" s="59">
        <v>38788783</v>
      </c>
      <c r="G125" s="25">
        <f t="shared" si="45"/>
        <v>0.3606591885081829</v>
      </c>
      <c r="H125" s="27">
        <f t="shared" si="46"/>
        <v>13989531</v>
      </c>
      <c r="I125" s="25">
        <f t="shared" si="47"/>
        <v>0.6393408114918171</v>
      </c>
      <c r="J125" s="59">
        <v>24799252</v>
      </c>
      <c r="K125" s="27">
        <f t="shared" si="48"/>
        <v>38788783</v>
      </c>
      <c r="L125" s="28">
        <f t="shared" si="52"/>
        <v>0.3606591885081829</v>
      </c>
      <c r="M125" s="27">
        <f t="shared" si="53"/>
        <v>0.6393408114918171</v>
      </c>
      <c r="N125" s="33">
        <f>D125/$D$132</f>
        <v>3.1545741324921135E-3</v>
      </c>
      <c r="O125" s="7">
        <f>'Charter Archive File'!Q15</f>
        <v>2793512</v>
      </c>
      <c r="P125" s="26">
        <f t="shared" si="54"/>
        <v>5634.0890504483559</v>
      </c>
      <c r="Q125" s="29">
        <f t="shared" si="55"/>
        <v>3178.2516435579528</v>
      </c>
      <c r="R125"/>
    </row>
    <row r="126" spans="1:18" ht="12.75" customHeight="1">
      <c r="A126" s="45"/>
      <c r="B126" s="35" t="s">
        <v>2045</v>
      </c>
      <c r="C126" s="67" t="s">
        <v>2044</v>
      </c>
      <c r="D126" s="42">
        <v>3</v>
      </c>
      <c r="E126" s="42">
        <v>9699</v>
      </c>
      <c r="F126" s="59">
        <v>145327421</v>
      </c>
      <c r="G126" s="25">
        <f t="shared" si="45"/>
        <v>0.30972276732276149</v>
      </c>
      <c r="H126" s="27">
        <f t="shared" si="46"/>
        <v>45011211</v>
      </c>
      <c r="I126" s="25">
        <f t="shared" si="47"/>
        <v>0.69027723267723851</v>
      </c>
      <c r="J126" s="59">
        <v>100316210</v>
      </c>
      <c r="K126" s="27">
        <f t="shared" si="48"/>
        <v>145327421</v>
      </c>
      <c r="L126" s="28">
        <f t="shared" si="52"/>
        <v>0.30972276732276149</v>
      </c>
      <c r="M126" s="27">
        <f t="shared" si="53"/>
        <v>0.69027723267723851</v>
      </c>
      <c r="N126" s="33">
        <f t="shared" ref="N126:N131" si="56">D126/$D$132</f>
        <v>9.4637223974763408E-3</v>
      </c>
      <c r="O126" s="7">
        <f t="shared" ref="O126:O131" si="57">$O$125</f>
        <v>2793512</v>
      </c>
      <c r="P126" s="26">
        <f t="shared" si="54"/>
        <v>18248.874443003071</v>
      </c>
      <c r="Q126" s="29">
        <f t="shared" si="55"/>
        <v>8188.1476390158559</v>
      </c>
      <c r="R126"/>
    </row>
    <row r="127" spans="1:18" ht="12.75" customHeight="1">
      <c r="A127" s="45"/>
      <c r="B127" s="35" t="s">
        <v>2152</v>
      </c>
      <c r="C127" s="67" t="s">
        <v>2151</v>
      </c>
      <c r="D127" s="42">
        <v>306</v>
      </c>
      <c r="E127" s="42">
        <v>9499</v>
      </c>
      <c r="F127" s="59">
        <v>654618442</v>
      </c>
      <c r="G127" s="25">
        <f t="shared" si="45"/>
        <v>0.8378295672886038</v>
      </c>
      <c r="H127" s="27">
        <f t="shared" si="46"/>
        <v>548458686</v>
      </c>
      <c r="I127" s="25">
        <f t="shared" si="47"/>
        <v>0.16217043271139617</v>
      </c>
      <c r="J127" s="59">
        <v>106159756</v>
      </c>
      <c r="K127" s="27">
        <f t="shared" si="48"/>
        <v>654618442</v>
      </c>
      <c r="L127" s="28">
        <f t="shared" si="52"/>
        <v>0.8378295672886038</v>
      </c>
      <c r="M127" s="27">
        <f t="shared" si="53"/>
        <v>0.16217043271139617</v>
      </c>
      <c r="N127" s="33">
        <f t="shared" si="56"/>
        <v>0.96529968454258674</v>
      </c>
      <c r="O127" s="7">
        <f t="shared" si="57"/>
        <v>2793512</v>
      </c>
      <c r="P127" s="26">
        <f t="shared" si="54"/>
        <v>437304.93768545799</v>
      </c>
      <c r="Q127" s="29">
        <f t="shared" si="55"/>
        <v>2259271.3146804725</v>
      </c>
      <c r="R127"/>
    </row>
    <row r="128" spans="1:18" ht="12.75" customHeight="1">
      <c r="A128" s="45"/>
      <c r="B128" s="35" t="s">
        <v>2053</v>
      </c>
      <c r="C128" s="67" t="s">
        <v>2052</v>
      </c>
      <c r="D128" s="42">
        <v>2</v>
      </c>
      <c r="E128" s="42">
        <v>8682</v>
      </c>
      <c r="F128" s="59">
        <v>18355593</v>
      </c>
      <c r="G128" s="25">
        <f t="shared" si="45"/>
        <v>0.58648413047728831</v>
      </c>
      <c r="H128" s="27">
        <f t="shared" si="46"/>
        <v>10765264</v>
      </c>
      <c r="I128" s="25">
        <f t="shared" si="47"/>
        <v>0.41351586952271169</v>
      </c>
      <c r="J128" s="59">
        <v>7590329</v>
      </c>
      <c r="K128" s="27">
        <f t="shared" si="48"/>
        <v>18355593</v>
      </c>
      <c r="L128" s="28">
        <f t="shared" si="52"/>
        <v>0.58648413047728831</v>
      </c>
      <c r="M128" s="27">
        <f t="shared" si="53"/>
        <v>0.41351586952271169</v>
      </c>
      <c r="N128" s="33">
        <f t="shared" si="56"/>
        <v>6.3091482649842269E-3</v>
      </c>
      <c r="O128" s="7">
        <f t="shared" si="57"/>
        <v>2793512</v>
      </c>
      <c r="P128" s="26">
        <f t="shared" si="54"/>
        <v>7288.0854492247909</v>
      </c>
      <c r="Q128" s="29">
        <f t="shared" si="55"/>
        <v>10336.595938787827</v>
      </c>
      <c r="R128"/>
    </row>
    <row r="129" spans="1:18" ht="12.75" customHeight="1">
      <c r="A129" s="45"/>
      <c r="B129" s="35" t="s">
        <v>2031</v>
      </c>
      <c r="C129" s="67" t="s">
        <v>2030</v>
      </c>
      <c r="D129" s="42">
        <v>3</v>
      </c>
      <c r="E129" s="42">
        <v>9958</v>
      </c>
      <c r="F129" s="59">
        <v>34396218</v>
      </c>
      <c r="G129" s="25">
        <f t="shared" si="45"/>
        <v>0.73325709820771579</v>
      </c>
      <c r="H129" s="27">
        <f t="shared" si="46"/>
        <v>25221271</v>
      </c>
      <c r="I129" s="25">
        <f t="shared" si="47"/>
        <v>0.26674290179228427</v>
      </c>
      <c r="J129" s="59">
        <v>9174947</v>
      </c>
      <c r="K129" s="27">
        <f t="shared" si="48"/>
        <v>34396218</v>
      </c>
      <c r="L129" s="28">
        <f t="shared" si="52"/>
        <v>0.73325709820771579</v>
      </c>
      <c r="M129" s="27">
        <f t="shared" si="53"/>
        <v>0.26674290179228427</v>
      </c>
      <c r="N129" s="33">
        <f t="shared" si="56"/>
        <v>9.4637223974763408E-3</v>
      </c>
      <c r="O129" s="7">
        <f t="shared" si="57"/>
        <v>2793512</v>
      </c>
      <c r="P129" s="26">
        <f t="shared" si="54"/>
        <v>7051.8879849044251</v>
      </c>
      <c r="Q129" s="29">
        <f t="shared" si="55"/>
        <v>19385.134097114504</v>
      </c>
      <c r="R129"/>
    </row>
    <row r="130" spans="1:18" ht="12.75" customHeight="1">
      <c r="A130" s="45"/>
      <c r="B130" s="35" t="s">
        <v>2037</v>
      </c>
      <c r="C130" s="67" t="s">
        <v>2036</v>
      </c>
      <c r="D130" s="42">
        <v>1</v>
      </c>
      <c r="E130" s="42">
        <v>10273</v>
      </c>
      <c r="F130" s="59">
        <v>125037016</v>
      </c>
      <c r="G130" s="25">
        <f t="shared" si="45"/>
        <v>0.48171099188739436</v>
      </c>
      <c r="H130" s="27">
        <f t="shared" si="46"/>
        <v>60231705</v>
      </c>
      <c r="I130" s="25">
        <f t="shared" si="47"/>
        <v>0.51828900811260559</v>
      </c>
      <c r="J130" s="59">
        <v>64805311</v>
      </c>
      <c r="K130" s="27">
        <f t="shared" si="48"/>
        <v>125037016</v>
      </c>
      <c r="L130" s="28">
        <f t="shared" si="52"/>
        <v>0.48171099188739436</v>
      </c>
      <c r="M130" s="27">
        <f t="shared" si="53"/>
        <v>0.51828900811260559</v>
      </c>
      <c r="N130" s="33">
        <f t="shared" si="56"/>
        <v>3.1545741324921135E-3</v>
      </c>
      <c r="O130" s="7">
        <f t="shared" si="57"/>
        <v>2793512</v>
      </c>
      <c r="P130" s="26">
        <f t="shared" si="54"/>
        <v>4567.3393174468802</v>
      </c>
      <c r="Q130" s="29">
        <f t="shared" si="55"/>
        <v>4245.0013765594285</v>
      </c>
      <c r="R130"/>
    </row>
    <row r="131" spans="1:18" ht="12.75" customHeight="1">
      <c r="A131" s="45"/>
      <c r="B131" s="35" t="s">
        <v>2055</v>
      </c>
      <c r="C131" s="67" t="s">
        <v>2054</v>
      </c>
      <c r="D131" s="42">
        <v>1</v>
      </c>
      <c r="E131" s="42">
        <v>9077</v>
      </c>
      <c r="F131" s="59">
        <v>119540176</v>
      </c>
      <c r="G131" s="25">
        <f t="shared" si="45"/>
        <v>0.78185957330362299</v>
      </c>
      <c r="H131" s="27">
        <f t="shared" si="46"/>
        <v>93463631</v>
      </c>
      <c r="I131" s="25">
        <f t="shared" si="47"/>
        <v>0.21814042669637695</v>
      </c>
      <c r="J131" s="59">
        <v>26076545</v>
      </c>
      <c r="K131" s="27">
        <f t="shared" si="48"/>
        <v>119540176</v>
      </c>
      <c r="L131" s="28">
        <f t="shared" si="52"/>
        <v>0.78185957330362299</v>
      </c>
      <c r="M131" s="27">
        <f t="shared" si="53"/>
        <v>0.21814042669637695</v>
      </c>
      <c r="N131" s="33">
        <f t="shared" si="56"/>
        <v>3.1545741324921135E-3</v>
      </c>
      <c r="O131" s="7">
        <f t="shared" si="57"/>
        <v>2793512</v>
      </c>
      <c r="P131" s="26">
        <f t="shared" si="54"/>
        <v>1922.3277591843828</v>
      </c>
      <c r="Q131" s="29">
        <f t="shared" si="55"/>
        <v>6890.0129348219252</v>
      </c>
      <c r="R131"/>
    </row>
    <row r="132" spans="1:18" ht="12.75" customHeight="1">
      <c r="A132" s="260" t="s">
        <v>1839</v>
      </c>
      <c r="B132" s="261"/>
      <c r="C132" s="262"/>
      <c r="D132" s="39">
        <f>SUM(D125:D131)</f>
        <v>317</v>
      </c>
      <c r="E132" s="39"/>
      <c r="F132" s="39"/>
      <c r="G132" s="17"/>
      <c r="H132" s="17"/>
      <c r="I132" s="17"/>
      <c r="J132" s="39"/>
      <c r="K132" s="17"/>
      <c r="L132" s="17"/>
      <c r="M132" s="17"/>
      <c r="N132" s="49"/>
      <c r="O132" s="19"/>
      <c r="P132" s="19">
        <f>SUM(P125:P131)</f>
        <v>482017.54168966989</v>
      </c>
      <c r="Q132" s="19">
        <f>SUM(Q125:Q131)</f>
        <v>2311494.4583103303</v>
      </c>
      <c r="R132" s="14"/>
    </row>
    <row r="133" spans="1:18" ht="12.75" customHeight="1">
      <c r="A133" s="15" t="s">
        <v>1840</v>
      </c>
      <c r="B133" s="16"/>
      <c r="C133" s="64"/>
      <c r="D133" s="39"/>
      <c r="E133" s="39"/>
      <c r="F133" s="55"/>
      <c r="G133" s="17"/>
      <c r="H133" s="17"/>
      <c r="I133" s="17"/>
      <c r="J133" s="55"/>
      <c r="K133" s="17"/>
      <c r="L133" s="17"/>
      <c r="M133" s="17"/>
      <c r="N133" s="49"/>
      <c r="O133" s="19"/>
      <c r="P133" s="19"/>
      <c r="Q133" s="20"/>
      <c r="R133" s="14"/>
    </row>
    <row r="134" spans="1:18" ht="12.75" customHeight="1">
      <c r="A134" s="45"/>
      <c r="B134" s="35" t="s">
        <v>2041</v>
      </c>
      <c r="C134" s="67" t="s">
        <v>2040</v>
      </c>
      <c r="D134" s="42">
        <v>1</v>
      </c>
      <c r="E134" s="42">
        <v>9698</v>
      </c>
      <c r="F134" s="59">
        <v>59330003</v>
      </c>
      <c r="G134" s="25">
        <f t="shared" si="45"/>
        <v>0.4164742583950316</v>
      </c>
      <c r="H134" s="27">
        <f t="shared" si="46"/>
        <v>24709419</v>
      </c>
      <c r="I134" s="25">
        <f t="shared" si="47"/>
        <v>0.5835257416049684</v>
      </c>
      <c r="J134" s="59">
        <v>34620584</v>
      </c>
      <c r="K134" s="27">
        <f t="shared" si="48"/>
        <v>59330003</v>
      </c>
      <c r="L134" s="28">
        <f t="shared" si="52"/>
        <v>0.4164742583950316</v>
      </c>
      <c r="M134" s="27">
        <f t="shared" si="53"/>
        <v>0.5835257416049684</v>
      </c>
      <c r="N134" s="33">
        <f>D134/$D$138</f>
        <v>4.0983606557377051E-3</v>
      </c>
      <c r="O134" s="7">
        <f>'Charter Archive File'!Q68</f>
        <v>2300324</v>
      </c>
      <c r="P134" s="26">
        <f t="shared" si="54"/>
        <v>5501.2224099660143</v>
      </c>
      <c r="Q134" s="29">
        <f t="shared" si="55"/>
        <v>3926.3349670831672</v>
      </c>
      <c r="R134"/>
    </row>
    <row r="135" spans="1:18" ht="12.75" customHeight="1">
      <c r="A135" s="45"/>
      <c r="B135" s="35" t="s">
        <v>2152</v>
      </c>
      <c r="C135" s="67" t="s">
        <v>2151</v>
      </c>
      <c r="D135" s="42">
        <v>240</v>
      </c>
      <c r="E135" s="42">
        <v>9499</v>
      </c>
      <c r="F135" s="59">
        <v>654618442</v>
      </c>
      <c r="G135" s="25">
        <f t="shared" si="45"/>
        <v>0.8378295672886038</v>
      </c>
      <c r="H135" s="27">
        <f t="shared" si="46"/>
        <v>548458686</v>
      </c>
      <c r="I135" s="25">
        <f t="shared" si="47"/>
        <v>0.16217043271139617</v>
      </c>
      <c r="J135" s="59">
        <v>106159756</v>
      </c>
      <c r="K135" s="27">
        <f t="shared" si="48"/>
        <v>654618442</v>
      </c>
      <c r="L135" s="28">
        <f t="shared" si="52"/>
        <v>0.8378295672886038</v>
      </c>
      <c r="M135" s="27">
        <f t="shared" si="53"/>
        <v>0.16217043271139617</v>
      </c>
      <c r="N135" s="33">
        <f>D135/$D$138</f>
        <v>0.98360655737704916</v>
      </c>
      <c r="O135" s="7">
        <f>$O$134</f>
        <v>2300324</v>
      </c>
      <c r="P135" s="26">
        <f t="shared" si="54"/>
        <v>366929.05421941931</v>
      </c>
      <c r="Q135" s="29">
        <f t="shared" si="55"/>
        <v>1895684.7162723837</v>
      </c>
      <c r="R135"/>
    </row>
    <row r="136" spans="1:18" ht="12.75" customHeight="1">
      <c r="A136" s="45"/>
      <c r="B136" s="35" t="s">
        <v>2154</v>
      </c>
      <c r="C136" s="67" t="s">
        <v>2153</v>
      </c>
      <c r="D136" s="42">
        <v>1</v>
      </c>
      <c r="E136" s="42">
        <v>8622</v>
      </c>
      <c r="F136" s="59">
        <v>34101719</v>
      </c>
      <c r="G136" s="25">
        <f t="shared" si="45"/>
        <v>0.41280358916804166</v>
      </c>
      <c r="H136" s="27">
        <f t="shared" si="46"/>
        <v>14077312</v>
      </c>
      <c r="I136" s="25">
        <f t="shared" si="47"/>
        <v>0.58719641083195839</v>
      </c>
      <c r="J136" s="59">
        <v>20024407</v>
      </c>
      <c r="K136" s="27">
        <f t="shared" si="48"/>
        <v>34101719</v>
      </c>
      <c r="L136" s="28">
        <f t="shared" si="52"/>
        <v>0.41280358916804166</v>
      </c>
      <c r="M136" s="27">
        <f t="shared" si="53"/>
        <v>0.58719641083195839</v>
      </c>
      <c r="N136" s="33">
        <f>D136/$D$138</f>
        <v>4.0983606557377051E-3</v>
      </c>
      <c r="O136" s="7">
        <f>$O$134</f>
        <v>2300324</v>
      </c>
      <c r="P136" s="26">
        <f t="shared" si="54"/>
        <v>5535.8278547156306</v>
      </c>
      <c r="Q136" s="29">
        <f t="shared" si="55"/>
        <v>3891.7295223335504</v>
      </c>
      <c r="R136"/>
    </row>
    <row r="137" spans="1:18" ht="12.75" customHeight="1">
      <c r="A137" s="45"/>
      <c r="B137" s="35" t="s">
        <v>2031</v>
      </c>
      <c r="C137" s="67" t="s">
        <v>2030</v>
      </c>
      <c r="D137" s="42">
        <v>2</v>
      </c>
      <c r="E137" s="42">
        <v>9958</v>
      </c>
      <c r="F137" s="59">
        <v>34396218</v>
      </c>
      <c r="G137" s="25">
        <f t="shared" si="45"/>
        <v>0.73325709820771579</v>
      </c>
      <c r="H137" s="27">
        <f t="shared" si="46"/>
        <v>25221271</v>
      </c>
      <c r="I137" s="25">
        <f t="shared" si="47"/>
        <v>0.26674290179228427</v>
      </c>
      <c r="J137" s="59">
        <v>9174947</v>
      </c>
      <c r="K137" s="27">
        <f t="shared" si="48"/>
        <v>34396218</v>
      </c>
      <c r="L137" s="28">
        <f t="shared" si="52"/>
        <v>0.73325709820771579</v>
      </c>
      <c r="M137" s="27">
        <f t="shared" si="53"/>
        <v>0.26674290179228427</v>
      </c>
      <c r="N137" s="33">
        <f>D137/$D$138</f>
        <v>8.1967213114754103E-3</v>
      </c>
      <c r="O137" s="7">
        <f>$O$134</f>
        <v>2300324</v>
      </c>
      <c r="P137" s="26">
        <f t="shared" si="54"/>
        <v>5029.4680231347093</v>
      </c>
      <c r="Q137" s="29">
        <f t="shared" si="55"/>
        <v>13825.646730963654</v>
      </c>
      <c r="R137"/>
    </row>
    <row r="138" spans="1:18" ht="12.75" customHeight="1">
      <c r="A138" s="260" t="s">
        <v>1841</v>
      </c>
      <c r="B138" s="261"/>
      <c r="C138" s="262"/>
      <c r="D138" s="39">
        <f>SUM(D134:D137)</f>
        <v>244</v>
      </c>
      <c r="E138" s="39"/>
      <c r="F138" s="39"/>
      <c r="G138" s="17"/>
      <c r="H138" s="17"/>
      <c r="I138" s="17"/>
      <c r="J138" s="39"/>
      <c r="K138" s="17"/>
      <c r="L138" s="17"/>
      <c r="M138" s="17"/>
      <c r="N138" s="49"/>
      <c r="O138" s="19"/>
      <c r="P138" s="19">
        <f>SUM(P134:P137)</f>
        <v>382995.57250723563</v>
      </c>
      <c r="Q138" s="19">
        <f>SUM(Q134:Q137)</f>
        <v>1917328.4274927638</v>
      </c>
      <c r="R138" s="14"/>
    </row>
    <row r="139" spans="1:18" ht="12.75" customHeight="1">
      <c r="A139" s="15" t="s">
        <v>1842</v>
      </c>
      <c r="B139" s="16"/>
      <c r="C139" s="64"/>
      <c r="D139" s="39"/>
      <c r="E139" s="39"/>
      <c r="F139" s="55"/>
      <c r="G139" s="17"/>
      <c r="H139" s="17"/>
      <c r="I139" s="17"/>
      <c r="J139" s="55"/>
      <c r="K139" s="17"/>
      <c r="L139" s="17"/>
      <c r="M139" s="17"/>
      <c r="N139" s="49"/>
      <c r="O139" s="19"/>
      <c r="P139" s="19"/>
      <c r="Q139" s="20"/>
      <c r="R139" s="14"/>
    </row>
    <row r="140" spans="1:18" ht="12.75" customHeight="1">
      <c r="A140" s="35"/>
      <c r="B140" s="35" t="s">
        <v>2152</v>
      </c>
      <c r="C140" s="67" t="s">
        <v>2151</v>
      </c>
      <c r="D140" s="42">
        <v>518</v>
      </c>
      <c r="E140" s="42">
        <v>9499</v>
      </c>
      <c r="F140" s="59">
        <v>654618442</v>
      </c>
      <c r="G140" s="25">
        <f t="shared" si="45"/>
        <v>0.8378295672886038</v>
      </c>
      <c r="H140" s="27">
        <f t="shared" si="46"/>
        <v>548458686</v>
      </c>
      <c r="I140" s="25">
        <f t="shared" si="47"/>
        <v>0.16217043271139617</v>
      </c>
      <c r="J140" s="59">
        <v>106159756</v>
      </c>
      <c r="K140" s="27">
        <f t="shared" si="48"/>
        <v>654618442</v>
      </c>
      <c r="L140" s="28">
        <f t="shared" si="52"/>
        <v>0.8378295672886038</v>
      </c>
      <c r="M140" s="27">
        <f t="shared" si="53"/>
        <v>0.16217043271139617</v>
      </c>
      <c r="N140" s="25">
        <f>D140/D141</f>
        <v>1</v>
      </c>
      <c r="O140" s="7">
        <f>'Charter Archive File'!Q14</f>
        <v>4837511</v>
      </c>
      <c r="P140" s="26">
        <f t="shared" si="54"/>
        <v>784501.25211613881</v>
      </c>
      <c r="Q140" s="29">
        <f t="shared" si="55"/>
        <v>4053009.747883861</v>
      </c>
      <c r="R140"/>
    </row>
    <row r="141" spans="1:18" ht="12.75" customHeight="1">
      <c r="A141" s="260" t="s">
        <v>505</v>
      </c>
      <c r="B141" s="261"/>
      <c r="C141" s="262"/>
      <c r="D141" s="39">
        <f>SUM(D140)</f>
        <v>518</v>
      </c>
      <c r="E141" s="39"/>
      <c r="F141" s="39"/>
      <c r="G141" s="17"/>
      <c r="H141" s="17"/>
      <c r="I141" s="17"/>
      <c r="J141" s="39"/>
      <c r="K141" s="17"/>
      <c r="L141" s="17"/>
      <c r="M141" s="17"/>
      <c r="N141" s="49"/>
      <c r="O141" s="19"/>
      <c r="P141" s="19">
        <f>SUM(P140)</f>
        <v>784501.25211613881</v>
      </c>
      <c r="Q141" s="20">
        <f>SUM(Q140)</f>
        <v>4053009.747883861</v>
      </c>
      <c r="R141" s="14"/>
    </row>
    <row r="142" spans="1:18" ht="12.75" customHeight="1">
      <c r="A142" s="15" t="s">
        <v>1843</v>
      </c>
      <c r="B142" s="16"/>
      <c r="C142" s="64"/>
      <c r="D142" s="39"/>
      <c r="E142" s="39"/>
      <c r="F142" s="55"/>
      <c r="G142" s="17"/>
      <c r="H142" s="17"/>
      <c r="I142" s="17"/>
      <c r="J142" s="55"/>
      <c r="K142" s="17"/>
      <c r="L142" s="17"/>
      <c r="M142" s="17"/>
      <c r="N142" s="49"/>
      <c r="O142" s="19"/>
      <c r="P142" s="19"/>
      <c r="Q142" s="20"/>
      <c r="R142" s="14"/>
    </row>
    <row r="143" spans="1:18" ht="12.75" customHeight="1">
      <c r="A143" s="45"/>
      <c r="B143" s="35" t="s">
        <v>2152</v>
      </c>
      <c r="C143" s="67" t="s">
        <v>2151</v>
      </c>
      <c r="D143" s="42">
        <v>102</v>
      </c>
      <c r="E143" s="42">
        <v>9499</v>
      </c>
      <c r="F143" s="59">
        <v>654618442</v>
      </c>
      <c r="G143" s="25">
        <f t="shared" ref="G143:G174" si="58">H143/F143</f>
        <v>0.8378295672886038</v>
      </c>
      <c r="H143" s="27">
        <f t="shared" ref="H143:H172" si="59">F143-J143</f>
        <v>548458686</v>
      </c>
      <c r="I143" s="25">
        <f t="shared" ref="I143:I172" si="60">J143/F143</f>
        <v>0.16217043271139617</v>
      </c>
      <c r="J143" s="59">
        <v>106159756</v>
      </c>
      <c r="K143" s="27">
        <f t="shared" si="48"/>
        <v>654618442</v>
      </c>
      <c r="L143" s="28">
        <f t="shared" si="52"/>
        <v>0.8378295672886038</v>
      </c>
      <c r="M143" s="27">
        <f t="shared" si="53"/>
        <v>0.16217043271139617</v>
      </c>
      <c r="N143" s="25">
        <f>D143/D144</f>
        <v>1</v>
      </c>
      <c r="O143" s="7">
        <f>'Charter Archive File'!Q60</f>
        <v>1057881</v>
      </c>
      <c r="P143" s="26">
        <f t="shared" si="54"/>
        <v>171557.01952716449</v>
      </c>
      <c r="Q143" s="29">
        <f t="shared" si="55"/>
        <v>886323.98047283548</v>
      </c>
      <c r="R143"/>
    </row>
    <row r="144" spans="1:18" ht="12.75" customHeight="1">
      <c r="A144" s="260" t="s">
        <v>1844</v>
      </c>
      <c r="B144" s="261"/>
      <c r="C144" s="262"/>
      <c r="D144" s="39">
        <f>SUM(D143)</f>
        <v>102</v>
      </c>
      <c r="E144" s="39"/>
      <c r="F144" s="39"/>
      <c r="G144" s="17"/>
      <c r="H144" s="17"/>
      <c r="I144" s="17"/>
      <c r="J144" s="39"/>
      <c r="K144" s="17"/>
      <c r="L144" s="17"/>
      <c r="M144" s="17"/>
      <c r="N144" s="49"/>
      <c r="O144" s="19"/>
      <c r="P144" s="19">
        <f>SUM(P143)</f>
        <v>171557.01952716449</v>
      </c>
      <c r="Q144" s="20">
        <f>SUM(Q143)</f>
        <v>886323.98047283548</v>
      </c>
      <c r="R144" s="14"/>
    </row>
    <row r="145" spans="1:18" ht="12.75" customHeight="1">
      <c r="A145" s="15" t="s">
        <v>1845</v>
      </c>
      <c r="B145" s="16"/>
      <c r="C145" s="64"/>
      <c r="D145" s="39"/>
      <c r="E145" s="39"/>
      <c r="F145" s="55"/>
      <c r="G145" s="17"/>
      <c r="H145" s="17"/>
      <c r="I145" s="17"/>
      <c r="J145" s="55"/>
      <c r="K145" s="17"/>
      <c r="L145" s="17"/>
      <c r="M145" s="17"/>
      <c r="N145" s="49"/>
      <c r="O145" s="19"/>
      <c r="P145" s="19"/>
      <c r="Q145" s="20"/>
      <c r="R145" s="14"/>
    </row>
    <row r="146" spans="1:18" ht="12.75" customHeight="1">
      <c r="A146" s="45"/>
      <c r="B146" s="35" t="s">
        <v>2041</v>
      </c>
      <c r="C146" s="67" t="s">
        <v>2040</v>
      </c>
      <c r="D146" s="42">
        <v>1</v>
      </c>
      <c r="E146" s="42">
        <v>9698</v>
      </c>
      <c r="F146" s="59">
        <v>59330003</v>
      </c>
      <c r="G146" s="25">
        <f t="shared" si="58"/>
        <v>0.4164742583950316</v>
      </c>
      <c r="H146" s="27">
        <f t="shared" si="59"/>
        <v>24709419</v>
      </c>
      <c r="I146" s="25">
        <f t="shared" si="60"/>
        <v>0.5835257416049684</v>
      </c>
      <c r="J146" s="59">
        <v>34620584</v>
      </c>
      <c r="K146" s="27">
        <f t="shared" si="48"/>
        <v>59330003</v>
      </c>
      <c r="L146" s="28">
        <f t="shared" si="52"/>
        <v>0.4164742583950316</v>
      </c>
      <c r="M146" s="27">
        <f t="shared" si="53"/>
        <v>0.5835257416049684</v>
      </c>
      <c r="N146" s="33">
        <f>D146/$D$155</f>
        <v>2.6246719160104987E-3</v>
      </c>
      <c r="O146" s="7">
        <f>'Charter Archive File'!Q56</f>
        <v>3634166</v>
      </c>
      <c r="P146" s="26">
        <f t="shared" si="54"/>
        <v>5565.9564573899252</v>
      </c>
      <c r="Q146" s="29">
        <f t="shared" si="55"/>
        <v>3972.5369809302842</v>
      </c>
      <c r="R146"/>
    </row>
    <row r="147" spans="1:18" ht="12.75" customHeight="1">
      <c r="A147" s="45"/>
      <c r="B147" s="35" t="s">
        <v>2152</v>
      </c>
      <c r="C147" s="67" t="s">
        <v>2151</v>
      </c>
      <c r="D147" s="42">
        <v>111</v>
      </c>
      <c r="E147" s="42">
        <v>9499</v>
      </c>
      <c r="F147" s="59">
        <v>654618442</v>
      </c>
      <c r="G147" s="25">
        <f t="shared" si="58"/>
        <v>0.8378295672886038</v>
      </c>
      <c r="H147" s="27">
        <f t="shared" si="59"/>
        <v>548458686</v>
      </c>
      <c r="I147" s="25">
        <f t="shared" si="60"/>
        <v>0.16217043271139617</v>
      </c>
      <c r="J147" s="59">
        <v>106159756</v>
      </c>
      <c r="K147" s="27">
        <f t="shared" si="48"/>
        <v>654618442</v>
      </c>
      <c r="L147" s="28">
        <f t="shared" si="52"/>
        <v>0.8378295672886038</v>
      </c>
      <c r="M147" s="27">
        <f t="shared" si="53"/>
        <v>0.16217043271139617</v>
      </c>
      <c r="N147" s="33">
        <f t="shared" ref="N147:N154" si="61">D147/$D$155</f>
        <v>0.29133858267716534</v>
      </c>
      <c r="O147" s="7">
        <f>$O$146</f>
        <v>3634166</v>
      </c>
      <c r="P147" s="26">
        <f t="shared" si="54"/>
        <v>171701.63852209935</v>
      </c>
      <c r="Q147" s="29">
        <f t="shared" si="55"/>
        <v>887071.13313144387</v>
      </c>
      <c r="R147"/>
    </row>
    <row r="148" spans="1:18" ht="12.75" customHeight="1">
      <c r="A148" s="45"/>
      <c r="B148" s="35" t="s">
        <v>2154</v>
      </c>
      <c r="C148" s="67" t="s">
        <v>2153</v>
      </c>
      <c r="D148" s="42">
        <v>3</v>
      </c>
      <c r="E148" s="42">
        <v>8622</v>
      </c>
      <c r="F148" s="59">
        <v>34101719</v>
      </c>
      <c r="G148" s="25">
        <f t="shared" si="58"/>
        <v>0.41280358916804166</v>
      </c>
      <c r="H148" s="27">
        <f t="shared" si="59"/>
        <v>14077312</v>
      </c>
      <c r="I148" s="25">
        <f t="shared" si="60"/>
        <v>0.58719641083195839</v>
      </c>
      <c r="J148" s="59">
        <v>20024407</v>
      </c>
      <c r="K148" s="27">
        <f t="shared" si="48"/>
        <v>34101719</v>
      </c>
      <c r="L148" s="28">
        <f t="shared" si="52"/>
        <v>0.41280358916804166</v>
      </c>
      <c r="M148" s="27">
        <f t="shared" si="53"/>
        <v>0.58719641083195839</v>
      </c>
      <c r="N148" s="33">
        <f t="shared" si="61"/>
        <v>7.874015748031496E-3</v>
      </c>
      <c r="O148" s="7">
        <f t="shared" ref="O148:O154" si="62">$O$146</f>
        <v>3634166</v>
      </c>
      <c r="P148" s="26">
        <f t="shared" si="54"/>
        <v>16802.907335177442</v>
      </c>
      <c r="Q148" s="29">
        <f t="shared" si="55"/>
        <v>11812.572979783192</v>
      </c>
      <c r="R148"/>
    </row>
    <row r="149" spans="1:18" ht="12.75" customHeight="1">
      <c r="A149" s="45"/>
      <c r="B149" s="35" t="s">
        <v>2025</v>
      </c>
      <c r="C149" s="67" t="s">
        <v>2024</v>
      </c>
      <c r="D149" s="42">
        <v>1</v>
      </c>
      <c r="E149" s="42">
        <v>7822</v>
      </c>
      <c r="F149" s="59">
        <v>23280999</v>
      </c>
      <c r="G149" s="25">
        <f t="shared" si="58"/>
        <v>0.61434455626238371</v>
      </c>
      <c r="H149" s="27">
        <f t="shared" si="59"/>
        <v>14302555</v>
      </c>
      <c r="I149" s="25">
        <f t="shared" si="60"/>
        <v>0.38565544373761623</v>
      </c>
      <c r="J149" s="59">
        <v>8978444</v>
      </c>
      <c r="K149" s="27">
        <f t="shared" si="48"/>
        <v>23280999</v>
      </c>
      <c r="L149" s="28">
        <f t="shared" si="52"/>
        <v>0.61434455626238371</v>
      </c>
      <c r="M149" s="27">
        <f t="shared" si="53"/>
        <v>0.38565544373761623</v>
      </c>
      <c r="N149" s="33">
        <f t="shared" si="61"/>
        <v>2.6246719160104987E-3</v>
      </c>
      <c r="O149" s="7">
        <f t="shared" si="62"/>
        <v>3634166</v>
      </c>
      <c r="P149" s="26">
        <f t="shared" si="54"/>
        <v>3678.5719195437209</v>
      </c>
      <c r="Q149" s="29">
        <f t="shared" si="55"/>
        <v>5859.9215187764876</v>
      </c>
      <c r="R149"/>
    </row>
    <row r="150" spans="1:18" ht="12.75" customHeight="1">
      <c r="A150" s="45"/>
      <c r="B150" s="35" t="s">
        <v>2047</v>
      </c>
      <c r="C150" s="67" t="s">
        <v>2046</v>
      </c>
      <c r="D150" s="42">
        <v>2</v>
      </c>
      <c r="E150" s="42">
        <v>10029</v>
      </c>
      <c r="F150" s="59">
        <v>34251481</v>
      </c>
      <c r="G150" s="25">
        <f t="shared" si="58"/>
        <v>0.56482375170872179</v>
      </c>
      <c r="H150" s="27">
        <f t="shared" si="59"/>
        <v>19346050</v>
      </c>
      <c r="I150" s="25">
        <f t="shared" si="60"/>
        <v>0.43517624829127827</v>
      </c>
      <c r="J150" s="59">
        <v>14905431</v>
      </c>
      <c r="K150" s="27">
        <f t="shared" si="48"/>
        <v>34251481</v>
      </c>
      <c r="L150" s="28">
        <f t="shared" si="52"/>
        <v>0.56482375170872179</v>
      </c>
      <c r="M150" s="27">
        <f t="shared" si="53"/>
        <v>0.43517624829127827</v>
      </c>
      <c r="N150" s="33">
        <f t="shared" si="61"/>
        <v>5.2493438320209973E-3</v>
      </c>
      <c r="O150" s="7">
        <f t="shared" si="62"/>
        <v>3634166</v>
      </c>
      <c r="P150" s="26">
        <f t="shared" si="54"/>
        <v>8301.8515776783279</v>
      </c>
      <c r="Q150" s="29">
        <f t="shared" si="55"/>
        <v>10775.135298962092</v>
      </c>
      <c r="R150"/>
    </row>
    <row r="151" spans="1:18" ht="12.75" customHeight="1">
      <c r="A151" s="45"/>
      <c r="B151" s="35" t="s">
        <v>2039</v>
      </c>
      <c r="C151" s="67" t="s">
        <v>2038</v>
      </c>
      <c r="D151" s="42">
        <v>2</v>
      </c>
      <c r="E151" s="42">
        <v>9854</v>
      </c>
      <c r="F151" s="59">
        <v>25951061</v>
      </c>
      <c r="G151" s="25">
        <f t="shared" si="58"/>
        <v>0.58483612673871022</v>
      </c>
      <c r="H151" s="27">
        <f t="shared" si="59"/>
        <v>15177118</v>
      </c>
      <c r="I151" s="25">
        <f t="shared" si="60"/>
        <v>0.41516387326128978</v>
      </c>
      <c r="J151" s="59">
        <v>10773943</v>
      </c>
      <c r="K151" s="27">
        <f t="shared" si="48"/>
        <v>25951061</v>
      </c>
      <c r="L151" s="28">
        <f t="shared" si="52"/>
        <v>0.58483612673871022</v>
      </c>
      <c r="M151" s="27">
        <f t="shared" si="53"/>
        <v>0.41516387326128978</v>
      </c>
      <c r="N151" s="33">
        <f t="shared" si="61"/>
        <v>5.2493438320209973E-3</v>
      </c>
      <c r="O151" s="7">
        <f t="shared" si="62"/>
        <v>3634166</v>
      </c>
      <c r="P151" s="26">
        <f t="shared" si="54"/>
        <v>7920.0757618608313</v>
      </c>
      <c r="Q151" s="29">
        <f t="shared" si="55"/>
        <v>11156.911114779587</v>
      </c>
      <c r="R151"/>
    </row>
    <row r="152" spans="1:18" ht="12.75" customHeight="1">
      <c r="A152" s="45"/>
      <c r="B152" s="35" t="s">
        <v>2029</v>
      </c>
      <c r="C152" s="67" t="s">
        <v>2028</v>
      </c>
      <c r="D152" s="42">
        <v>7</v>
      </c>
      <c r="E152" s="42">
        <v>8027</v>
      </c>
      <c r="F152" s="59">
        <v>62674392</v>
      </c>
      <c r="G152" s="25">
        <f t="shared" si="58"/>
        <v>0.5030184736375265</v>
      </c>
      <c r="H152" s="27">
        <f t="shared" si="59"/>
        <v>31526377</v>
      </c>
      <c r="I152" s="25">
        <f t="shared" si="60"/>
        <v>0.4969815263624735</v>
      </c>
      <c r="J152" s="59">
        <v>31148015</v>
      </c>
      <c r="K152" s="27">
        <f t="shared" si="48"/>
        <v>62674392</v>
      </c>
      <c r="L152" s="28">
        <f t="shared" si="52"/>
        <v>0.5030184736375265</v>
      </c>
      <c r="M152" s="27">
        <f t="shared" si="53"/>
        <v>0.4969815263624735</v>
      </c>
      <c r="N152" s="33">
        <f t="shared" si="61"/>
        <v>1.8372703412073491E-2</v>
      </c>
      <c r="O152" s="7">
        <f t="shared" si="62"/>
        <v>3634166</v>
      </c>
      <c r="P152" s="26">
        <f t="shared" si="54"/>
        <v>33183.185197223713</v>
      </c>
      <c r="Q152" s="29">
        <f t="shared" si="55"/>
        <v>33586.268871017754</v>
      </c>
      <c r="R152"/>
    </row>
    <row r="153" spans="1:18" ht="12.75" customHeight="1">
      <c r="A153" s="45"/>
      <c r="B153" s="35" t="s">
        <v>2031</v>
      </c>
      <c r="C153" s="67" t="s">
        <v>2030</v>
      </c>
      <c r="D153" s="42">
        <v>230</v>
      </c>
      <c r="E153" s="42">
        <v>9958</v>
      </c>
      <c r="F153" s="59">
        <v>34396218</v>
      </c>
      <c r="G153" s="25">
        <f t="shared" si="58"/>
        <v>0.73325709820771579</v>
      </c>
      <c r="H153" s="27">
        <f t="shared" si="59"/>
        <v>25221271</v>
      </c>
      <c r="I153" s="25">
        <f t="shared" si="60"/>
        <v>0.26674290179228427</v>
      </c>
      <c r="J153" s="59">
        <v>9174947</v>
      </c>
      <c r="K153" s="27">
        <f t="shared" si="48"/>
        <v>34396218</v>
      </c>
      <c r="L153" s="28">
        <f t="shared" si="52"/>
        <v>0.73325709820771579</v>
      </c>
      <c r="M153" s="27">
        <f t="shared" si="53"/>
        <v>0.26674290179228427</v>
      </c>
      <c r="N153" s="33">
        <f t="shared" si="61"/>
        <v>0.60367454068241466</v>
      </c>
      <c r="O153" s="7">
        <f t="shared" si="62"/>
        <v>3634166</v>
      </c>
      <c r="P153" s="26">
        <f t="shared" si="54"/>
        <v>585194.846246765</v>
      </c>
      <c r="Q153" s="29">
        <f t="shared" si="55"/>
        <v>1608658.6445668833</v>
      </c>
      <c r="R153"/>
    </row>
    <row r="154" spans="1:18" ht="12.75" customHeight="1">
      <c r="A154" s="45"/>
      <c r="B154" s="35" t="s">
        <v>2033</v>
      </c>
      <c r="C154" s="67" t="s">
        <v>2032</v>
      </c>
      <c r="D154" s="42">
        <v>24</v>
      </c>
      <c r="E154" s="42">
        <v>8281</v>
      </c>
      <c r="F154" s="59">
        <v>94634236</v>
      </c>
      <c r="G154" s="25">
        <f t="shared" si="58"/>
        <v>0.53528344646856973</v>
      </c>
      <c r="H154" s="27">
        <f t="shared" si="59"/>
        <v>50656140</v>
      </c>
      <c r="I154" s="25">
        <f t="shared" si="60"/>
        <v>0.46471655353143021</v>
      </c>
      <c r="J154" s="59">
        <v>43978096</v>
      </c>
      <c r="K154" s="27">
        <f t="shared" si="48"/>
        <v>94634236</v>
      </c>
      <c r="L154" s="28">
        <f t="shared" si="52"/>
        <v>0.53528344646856973</v>
      </c>
      <c r="M154" s="27">
        <f t="shared" si="53"/>
        <v>0.46471655353143021</v>
      </c>
      <c r="N154" s="33">
        <f t="shared" si="61"/>
        <v>6.2992125984251968E-2</v>
      </c>
      <c r="O154" s="7">
        <f t="shared" si="62"/>
        <v>3634166</v>
      </c>
      <c r="P154" s="26">
        <f t="shared" si="54"/>
        <v>106384.69911691992</v>
      </c>
      <c r="Q154" s="29">
        <f t="shared" si="55"/>
        <v>122539.14340276511</v>
      </c>
      <c r="R154"/>
    </row>
    <row r="155" spans="1:18" ht="12.75" customHeight="1">
      <c r="A155" s="260" t="s">
        <v>1846</v>
      </c>
      <c r="B155" s="261"/>
      <c r="C155" s="262"/>
      <c r="D155" s="39">
        <f>SUM(D146:D154)</f>
        <v>381</v>
      </c>
      <c r="E155" s="39"/>
      <c r="F155" s="39"/>
      <c r="G155" s="17"/>
      <c r="H155" s="17"/>
      <c r="I155" s="17"/>
      <c r="J155" s="39"/>
      <c r="K155" s="17"/>
      <c r="L155" s="17"/>
      <c r="M155" s="17"/>
      <c r="N155" s="49"/>
      <c r="O155" s="19"/>
      <c r="P155" s="20">
        <f>SUM(P146:P154)</f>
        <v>938733.73213465814</v>
      </c>
      <c r="Q155" s="20">
        <f>SUM(Q146:Q154)</f>
        <v>2695432.2678653416</v>
      </c>
      <c r="R155" s="14"/>
    </row>
    <row r="156" spans="1:18" ht="12.75" customHeight="1">
      <c r="A156" s="15" t="s">
        <v>2056</v>
      </c>
      <c r="B156" s="16"/>
      <c r="C156" s="64"/>
      <c r="D156" s="39"/>
      <c r="E156" s="39"/>
      <c r="F156" s="55"/>
      <c r="G156" s="17"/>
      <c r="H156" s="17"/>
      <c r="I156" s="17"/>
      <c r="J156" s="55"/>
      <c r="K156" s="17"/>
      <c r="L156" s="17"/>
      <c r="M156" s="17"/>
      <c r="N156" s="49"/>
      <c r="O156" s="19"/>
      <c r="P156" s="19"/>
      <c r="Q156" s="20"/>
      <c r="R156" s="14"/>
    </row>
    <row r="157" spans="1:18" ht="12.75" customHeight="1">
      <c r="A157" s="35"/>
      <c r="B157" s="35" t="s">
        <v>2043</v>
      </c>
      <c r="C157" s="67" t="s">
        <v>2042</v>
      </c>
      <c r="D157" s="42">
        <v>2</v>
      </c>
      <c r="E157" s="42">
        <v>10335</v>
      </c>
      <c r="F157" s="59">
        <v>38788783</v>
      </c>
      <c r="G157" s="25">
        <f t="shared" si="58"/>
        <v>0.3606591885081829</v>
      </c>
      <c r="H157" s="27">
        <f t="shared" si="59"/>
        <v>13989531</v>
      </c>
      <c r="I157" s="25">
        <f t="shared" si="60"/>
        <v>0.6393408114918171</v>
      </c>
      <c r="J157" s="59">
        <v>24799252</v>
      </c>
      <c r="K157" s="27">
        <f t="shared" si="48"/>
        <v>38788783</v>
      </c>
      <c r="L157" s="28">
        <f t="shared" si="52"/>
        <v>0.3606591885081829</v>
      </c>
      <c r="M157" s="27">
        <f t="shared" si="53"/>
        <v>0.6393408114918171</v>
      </c>
      <c r="N157" s="33">
        <f>D157/$D$177</f>
        <v>1.4265335235378032E-3</v>
      </c>
      <c r="O157" s="7">
        <f>'Charter Archive File'!Q35</f>
        <v>13401259</v>
      </c>
      <c r="P157" s="26">
        <f t="shared" si="54"/>
        <v>12222.499007235403</v>
      </c>
      <c r="Q157" s="29">
        <f t="shared" si="55"/>
        <v>6894.8462138772938</v>
      </c>
      <c r="R157"/>
    </row>
    <row r="158" spans="1:18" ht="12.75" customHeight="1">
      <c r="A158" s="35"/>
      <c r="B158" s="35" t="s">
        <v>2045</v>
      </c>
      <c r="C158" s="67" t="s">
        <v>2044</v>
      </c>
      <c r="D158" s="42">
        <v>1</v>
      </c>
      <c r="E158" s="42">
        <v>9699</v>
      </c>
      <c r="F158" s="59">
        <v>145327421</v>
      </c>
      <c r="G158" s="25">
        <f t="shared" si="58"/>
        <v>0.30972276732276149</v>
      </c>
      <c r="H158" s="27">
        <f t="shared" si="59"/>
        <v>45011211</v>
      </c>
      <c r="I158" s="25">
        <f t="shared" si="60"/>
        <v>0.69027723267723851</v>
      </c>
      <c r="J158" s="59">
        <v>100316210</v>
      </c>
      <c r="K158" s="27">
        <f t="shared" si="48"/>
        <v>145327421</v>
      </c>
      <c r="L158" s="28">
        <f t="shared" si="52"/>
        <v>0.30972276732276149</v>
      </c>
      <c r="M158" s="27">
        <f t="shared" si="53"/>
        <v>0.69027723267723851</v>
      </c>
      <c r="N158" s="33">
        <f t="shared" ref="N158:N176" si="63">D158/$D$177</f>
        <v>7.1326676176890159E-4</v>
      </c>
      <c r="O158" s="7">
        <f t="shared" ref="O158:O176" si="64">O157</f>
        <v>13401259</v>
      </c>
      <c r="P158" s="26">
        <f t="shared" si="54"/>
        <v>6598.1340776825509</v>
      </c>
      <c r="Q158" s="29">
        <f t="shared" si="55"/>
        <v>2960.5385328737971</v>
      </c>
      <c r="R158"/>
    </row>
    <row r="159" spans="1:18" ht="12.75" customHeight="1">
      <c r="A159" s="35"/>
      <c r="B159" s="35" t="s">
        <v>2041</v>
      </c>
      <c r="C159" s="67" t="s">
        <v>2040</v>
      </c>
      <c r="D159" s="42">
        <v>3</v>
      </c>
      <c r="E159" s="42">
        <v>9698</v>
      </c>
      <c r="F159" s="59">
        <v>59330003</v>
      </c>
      <c r="G159" s="25">
        <f t="shared" si="58"/>
        <v>0.4164742583950316</v>
      </c>
      <c r="H159" s="27">
        <f t="shared" si="59"/>
        <v>24709419</v>
      </c>
      <c r="I159" s="25">
        <f t="shared" si="60"/>
        <v>0.5835257416049684</v>
      </c>
      <c r="J159" s="59">
        <v>34620584</v>
      </c>
      <c r="K159" s="27">
        <f t="shared" si="48"/>
        <v>59330003</v>
      </c>
      <c r="L159" s="28">
        <f t="shared" si="52"/>
        <v>0.4164742583950316</v>
      </c>
      <c r="M159" s="27">
        <f t="shared" si="53"/>
        <v>0.5835257416049684</v>
      </c>
      <c r="N159" s="33">
        <f t="shared" si="63"/>
        <v>2.1398002853067048E-3</v>
      </c>
      <c r="O159" s="7">
        <f t="shared" si="64"/>
        <v>13401259</v>
      </c>
      <c r="P159" s="26">
        <f t="shared" si="54"/>
        <v>16733.194571501976</v>
      </c>
      <c r="Q159" s="29">
        <f t="shared" si="55"/>
        <v>11942.823260167068</v>
      </c>
      <c r="R159"/>
    </row>
    <row r="160" spans="1:18" ht="12.75" customHeight="1">
      <c r="A160" s="35"/>
      <c r="B160" s="35" t="s">
        <v>2152</v>
      </c>
      <c r="C160" s="67" t="s">
        <v>2151</v>
      </c>
      <c r="D160" s="42">
        <v>1223</v>
      </c>
      <c r="E160" s="42">
        <v>9499</v>
      </c>
      <c r="F160" s="59">
        <v>654618442</v>
      </c>
      <c r="G160" s="25">
        <f t="shared" si="58"/>
        <v>0.8378295672886038</v>
      </c>
      <c r="H160" s="27">
        <f t="shared" si="59"/>
        <v>548458686</v>
      </c>
      <c r="I160" s="25">
        <f t="shared" si="60"/>
        <v>0.16217043271139617</v>
      </c>
      <c r="J160" s="59">
        <v>106159756</v>
      </c>
      <c r="K160" s="27">
        <f t="shared" ref="K160:K166" si="65">SUM(H160+J160)</f>
        <v>654618442</v>
      </c>
      <c r="L160" s="28">
        <f t="shared" si="52"/>
        <v>0.8378295672886038</v>
      </c>
      <c r="M160" s="27">
        <f t="shared" si="53"/>
        <v>0.16217043271139617</v>
      </c>
      <c r="N160" s="33">
        <f t="shared" si="63"/>
        <v>0.87232524964336666</v>
      </c>
      <c r="O160" s="7">
        <f t="shared" si="64"/>
        <v>13401259</v>
      </c>
      <c r="P160" s="26">
        <f t="shared" si="54"/>
        <v>1895813.9717688041</v>
      </c>
      <c r="Q160" s="29">
        <f t="shared" si="55"/>
        <v>9794442.6309416108</v>
      </c>
      <c r="R160"/>
    </row>
    <row r="161" spans="1:18" ht="12.75" customHeight="1">
      <c r="A161" s="35"/>
      <c r="B161" s="35" t="s">
        <v>2154</v>
      </c>
      <c r="C161" s="67" t="s">
        <v>2153</v>
      </c>
      <c r="D161" s="42">
        <v>8</v>
      </c>
      <c r="E161" s="42">
        <v>8622</v>
      </c>
      <c r="F161" s="59">
        <v>34101719</v>
      </c>
      <c r="G161" s="25">
        <f t="shared" si="58"/>
        <v>0.41280358916804166</v>
      </c>
      <c r="H161" s="27">
        <f t="shared" si="59"/>
        <v>14077312</v>
      </c>
      <c r="I161" s="25">
        <f t="shared" si="60"/>
        <v>0.58719641083195839</v>
      </c>
      <c r="J161" s="59">
        <v>20024407</v>
      </c>
      <c r="K161" s="27">
        <f t="shared" si="65"/>
        <v>34101719</v>
      </c>
      <c r="L161" s="28">
        <f t="shared" si="52"/>
        <v>0.41280358916804166</v>
      </c>
      <c r="M161" s="27">
        <f t="shared" si="53"/>
        <v>0.58719641083195839</v>
      </c>
      <c r="N161" s="33">
        <f t="shared" si="63"/>
        <v>5.7061340941512127E-3</v>
      </c>
      <c r="O161" s="7">
        <f t="shared" si="64"/>
        <v>13401259</v>
      </c>
      <c r="P161" s="26">
        <f t="shared" si="54"/>
        <v>44902.545993891472</v>
      </c>
      <c r="Q161" s="29">
        <f t="shared" si="55"/>
        <v>31566.834890559323</v>
      </c>
      <c r="R161"/>
    </row>
    <row r="162" spans="1:18" ht="12.75" customHeight="1">
      <c r="A162" s="35"/>
      <c r="B162" s="35" t="s">
        <v>2023</v>
      </c>
      <c r="C162" s="67" t="s">
        <v>2155</v>
      </c>
      <c r="D162" s="42">
        <v>2</v>
      </c>
      <c r="E162" s="42">
        <v>8869</v>
      </c>
      <c r="F162" s="59">
        <v>32830620</v>
      </c>
      <c r="G162" s="25">
        <f t="shared" si="58"/>
        <v>0.53256810258228449</v>
      </c>
      <c r="H162" s="27">
        <f t="shared" si="59"/>
        <v>17484541</v>
      </c>
      <c r="I162" s="25">
        <f t="shared" si="60"/>
        <v>0.46743189741771551</v>
      </c>
      <c r="J162" s="59">
        <v>15346079</v>
      </c>
      <c r="K162" s="27">
        <f t="shared" si="65"/>
        <v>32830620</v>
      </c>
      <c r="L162" s="28">
        <f t="shared" si="52"/>
        <v>0.53256810258228449</v>
      </c>
      <c r="M162" s="27">
        <f t="shared" si="53"/>
        <v>0.46743189741771551</v>
      </c>
      <c r="N162" s="33">
        <f t="shared" si="63"/>
        <v>1.4265335235378032E-3</v>
      </c>
      <c r="O162" s="7">
        <f t="shared" si="64"/>
        <v>13401259</v>
      </c>
      <c r="P162" s="26">
        <f t="shared" si="54"/>
        <v>8936.0569502942035</v>
      </c>
      <c r="Q162" s="29">
        <f t="shared" si="55"/>
        <v>10181.288270818493</v>
      </c>
      <c r="R162"/>
    </row>
    <row r="163" spans="1:18" ht="12.75" customHeight="1">
      <c r="A163" s="35"/>
      <c r="B163" s="35" t="s">
        <v>2025</v>
      </c>
      <c r="C163" s="67" t="s">
        <v>2024</v>
      </c>
      <c r="D163" s="42">
        <v>9</v>
      </c>
      <c r="E163" s="42">
        <v>7822</v>
      </c>
      <c r="F163" s="59">
        <v>23280999</v>
      </c>
      <c r="G163" s="25">
        <f t="shared" si="58"/>
        <v>0.61434455626238371</v>
      </c>
      <c r="H163" s="27">
        <f t="shared" si="59"/>
        <v>14302555</v>
      </c>
      <c r="I163" s="25">
        <f t="shared" si="60"/>
        <v>0.38565544373761623</v>
      </c>
      <c r="J163" s="59">
        <v>8978444</v>
      </c>
      <c r="K163" s="27">
        <f t="shared" si="65"/>
        <v>23280999</v>
      </c>
      <c r="L163" s="28">
        <f t="shared" si="52"/>
        <v>0.61434455626238371</v>
      </c>
      <c r="M163" s="27">
        <f t="shared" si="53"/>
        <v>0.38565544373761623</v>
      </c>
      <c r="N163" s="33">
        <f t="shared" si="63"/>
        <v>6.4194008559201139E-3</v>
      </c>
      <c r="O163" s="7">
        <f t="shared" si="64"/>
        <v>13401259</v>
      </c>
      <c r="P163" s="26">
        <f t="shared" si="54"/>
        <v>33177.187144500364</v>
      </c>
      <c r="Q163" s="29">
        <f t="shared" si="55"/>
        <v>52850.866350506767</v>
      </c>
      <c r="R163"/>
    </row>
    <row r="164" spans="1:18" ht="12.75" customHeight="1">
      <c r="A164" s="35"/>
      <c r="B164" s="35" t="s">
        <v>2047</v>
      </c>
      <c r="C164" s="67" t="s">
        <v>2046</v>
      </c>
      <c r="D164" s="42">
        <v>2</v>
      </c>
      <c r="E164" s="42">
        <v>10029</v>
      </c>
      <c r="F164" s="59">
        <v>34251481</v>
      </c>
      <c r="G164" s="25">
        <f t="shared" si="58"/>
        <v>0.56482375170872179</v>
      </c>
      <c r="H164" s="27">
        <f t="shared" si="59"/>
        <v>19346050</v>
      </c>
      <c r="I164" s="25">
        <f t="shared" si="60"/>
        <v>0.43517624829127827</v>
      </c>
      <c r="J164" s="59">
        <v>14905431</v>
      </c>
      <c r="K164" s="27">
        <f t="shared" si="65"/>
        <v>34251481</v>
      </c>
      <c r="L164" s="28">
        <f t="shared" si="52"/>
        <v>0.56482375170872179</v>
      </c>
      <c r="M164" s="27">
        <f t="shared" si="53"/>
        <v>0.43517624829127827</v>
      </c>
      <c r="N164" s="33">
        <f t="shared" si="63"/>
        <v>1.4265335235378032E-3</v>
      </c>
      <c r="O164" s="7">
        <f t="shared" si="64"/>
        <v>13401259</v>
      </c>
      <c r="P164" s="26">
        <f t="shared" si="54"/>
        <v>8319.4145706130203</v>
      </c>
      <c r="Q164" s="29">
        <f t="shared" si="55"/>
        <v>10797.930650499677</v>
      </c>
      <c r="R164"/>
    </row>
    <row r="165" spans="1:18" ht="12.75" customHeight="1">
      <c r="A165" s="35"/>
      <c r="B165" s="35" t="s">
        <v>2058</v>
      </c>
      <c r="C165" s="67" t="s">
        <v>2057</v>
      </c>
      <c r="D165" s="42">
        <v>1</v>
      </c>
      <c r="E165" s="42">
        <v>8010</v>
      </c>
      <c r="F165" s="59">
        <v>63299313</v>
      </c>
      <c r="G165" s="25">
        <f t="shared" si="58"/>
        <v>0.97862589756700835</v>
      </c>
      <c r="H165" s="27">
        <f t="shared" si="59"/>
        <v>61946347</v>
      </c>
      <c r="I165" s="25">
        <f t="shared" si="60"/>
        <v>2.1374102432991652E-2</v>
      </c>
      <c r="J165" s="59">
        <v>1352966</v>
      </c>
      <c r="K165" s="27">
        <f t="shared" si="65"/>
        <v>63299313</v>
      </c>
      <c r="L165" s="28">
        <f t="shared" si="52"/>
        <v>0.97862589756700835</v>
      </c>
      <c r="M165" s="27">
        <f t="shared" si="53"/>
        <v>2.1374102432991652E-2</v>
      </c>
      <c r="N165" s="33">
        <f t="shared" si="63"/>
        <v>7.1326676176890159E-4</v>
      </c>
      <c r="O165" s="7">
        <f t="shared" si="64"/>
        <v>13401259</v>
      </c>
      <c r="P165" s="26">
        <f t="shared" si="54"/>
        <v>204.30804750146311</v>
      </c>
      <c r="Q165" s="29">
        <f t="shared" si="55"/>
        <v>9354.3645630548854</v>
      </c>
      <c r="R165"/>
    </row>
    <row r="166" spans="1:18" ht="12.75" customHeight="1">
      <c r="A166" s="35"/>
      <c r="B166" s="35" t="s">
        <v>2060</v>
      </c>
      <c r="C166" s="67" t="s">
        <v>2059</v>
      </c>
      <c r="D166" s="42">
        <v>9</v>
      </c>
      <c r="E166" s="42">
        <v>9035</v>
      </c>
      <c r="F166" s="59">
        <v>47328695</v>
      </c>
      <c r="G166" s="25">
        <f t="shared" si="58"/>
        <v>0.45758092421521446</v>
      </c>
      <c r="H166" s="27">
        <f t="shared" si="59"/>
        <v>21656708</v>
      </c>
      <c r="I166" s="25">
        <f t="shared" si="60"/>
        <v>0.54241907578478554</v>
      </c>
      <c r="J166" s="59">
        <v>25671987</v>
      </c>
      <c r="K166" s="27">
        <f t="shared" si="65"/>
        <v>47328695</v>
      </c>
      <c r="L166" s="28">
        <f t="shared" si="52"/>
        <v>0.45758092421521446</v>
      </c>
      <c r="M166" s="27">
        <f t="shared" si="53"/>
        <v>0.54241907578478554</v>
      </c>
      <c r="N166" s="33">
        <f t="shared" si="63"/>
        <v>6.4194008559201139E-3</v>
      </c>
      <c r="O166" s="7">
        <f t="shared" si="64"/>
        <v>13401259</v>
      </c>
      <c r="P166" s="26">
        <f t="shared" si="54"/>
        <v>46663.257268325855</v>
      </c>
      <c r="Q166" s="29">
        <f t="shared" si="55"/>
        <v>39364.796226681276</v>
      </c>
      <c r="R166"/>
    </row>
    <row r="167" spans="1:18" ht="12.75" customHeight="1">
      <c r="A167" s="35"/>
      <c r="B167" s="35" t="s">
        <v>2029</v>
      </c>
      <c r="C167" s="67" t="s">
        <v>2028</v>
      </c>
      <c r="D167" s="42">
        <v>2</v>
      </c>
      <c r="E167" s="42">
        <v>8027</v>
      </c>
      <c r="F167" s="59">
        <v>62674392</v>
      </c>
      <c r="G167" s="25">
        <f t="shared" si="58"/>
        <v>0.5030184736375265</v>
      </c>
      <c r="H167" s="27">
        <f t="shared" si="59"/>
        <v>31526377</v>
      </c>
      <c r="I167" s="25">
        <f t="shared" si="60"/>
        <v>0.4969815263624735</v>
      </c>
      <c r="J167" s="59">
        <v>31148015</v>
      </c>
      <c r="K167" s="27">
        <f t="shared" ref="K167:K174" si="66">SUM(H167+J167)</f>
        <v>62674392</v>
      </c>
      <c r="L167" s="28">
        <f t="shared" si="52"/>
        <v>0.5030184736375265</v>
      </c>
      <c r="M167" s="27">
        <f t="shared" si="53"/>
        <v>0.4969815263624735</v>
      </c>
      <c r="N167" s="33">
        <f t="shared" si="63"/>
        <v>1.4265335235378032E-3</v>
      </c>
      <c r="O167" s="7">
        <f t="shared" si="64"/>
        <v>13401259</v>
      </c>
      <c r="P167" s="26">
        <f t="shared" si="54"/>
        <v>9500.9674079869274</v>
      </c>
      <c r="Q167" s="29">
        <f t="shared" si="55"/>
        <v>9616.3778131257695</v>
      </c>
      <c r="R167"/>
    </row>
    <row r="168" spans="1:18" ht="12.75" customHeight="1">
      <c r="A168" s="35"/>
      <c r="B168" s="35" t="s">
        <v>2031</v>
      </c>
      <c r="C168" s="67" t="s">
        <v>2030</v>
      </c>
      <c r="D168" s="42">
        <v>10</v>
      </c>
      <c r="E168" s="42">
        <v>9958</v>
      </c>
      <c r="F168" s="59">
        <v>34396218</v>
      </c>
      <c r="G168" s="25">
        <f t="shared" si="58"/>
        <v>0.73325709820771579</v>
      </c>
      <c r="H168" s="27">
        <f t="shared" si="59"/>
        <v>25221271</v>
      </c>
      <c r="I168" s="25">
        <f t="shared" si="60"/>
        <v>0.26674290179228427</v>
      </c>
      <c r="J168" s="59">
        <v>9174947</v>
      </c>
      <c r="K168" s="27">
        <f t="shared" si="66"/>
        <v>34396218</v>
      </c>
      <c r="L168" s="28">
        <f t="shared" si="52"/>
        <v>0.73325709820771579</v>
      </c>
      <c r="M168" s="27">
        <f t="shared" si="53"/>
        <v>0.26674290179228427</v>
      </c>
      <c r="N168" s="33">
        <f t="shared" si="63"/>
        <v>7.1326676176890159E-3</v>
      </c>
      <c r="O168" s="7">
        <f t="shared" si="64"/>
        <v>13401259</v>
      </c>
      <c r="P168" s="26">
        <f t="shared" si="54"/>
        <v>25497.080694222295</v>
      </c>
      <c r="Q168" s="29">
        <f t="shared" si="55"/>
        <v>70089.645411341204</v>
      </c>
      <c r="R168"/>
    </row>
    <row r="169" spans="1:18" ht="12.75" customHeight="1">
      <c r="A169" s="35"/>
      <c r="B169" s="35" t="s">
        <v>2051</v>
      </c>
      <c r="C169" s="67" t="s">
        <v>2050</v>
      </c>
      <c r="D169" s="42">
        <v>5</v>
      </c>
      <c r="E169" s="42">
        <v>7333</v>
      </c>
      <c r="F169" s="58">
        <v>71494483</v>
      </c>
      <c r="G169" s="25">
        <f t="shared" si="58"/>
        <v>0.43642054170809236</v>
      </c>
      <c r="H169" s="27">
        <f t="shared" si="59"/>
        <v>31201661</v>
      </c>
      <c r="I169" s="25">
        <f t="shared" si="60"/>
        <v>0.5635794582919077</v>
      </c>
      <c r="J169" s="58">
        <v>40292822</v>
      </c>
      <c r="K169" s="27">
        <f t="shared" si="66"/>
        <v>71494483</v>
      </c>
      <c r="L169" s="28">
        <f t="shared" si="52"/>
        <v>0.43642054170809236</v>
      </c>
      <c r="M169" s="27">
        <f t="shared" si="53"/>
        <v>0.5635794582919077</v>
      </c>
      <c r="N169" s="33">
        <f t="shared" si="63"/>
        <v>3.566333808844508E-3</v>
      </c>
      <c r="O169" s="7">
        <f t="shared" si="64"/>
        <v>13401259</v>
      </c>
      <c r="P169" s="26">
        <f t="shared" si="54"/>
        <v>26935.357659235211</v>
      </c>
      <c r="Q169" s="29">
        <f t="shared" si="55"/>
        <v>20858.005393546537</v>
      </c>
      <c r="R169"/>
    </row>
    <row r="170" spans="1:18" ht="12.75" customHeight="1">
      <c r="A170" s="35"/>
      <c r="B170" s="35" t="s">
        <v>2062</v>
      </c>
      <c r="C170" s="67" t="s">
        <v>2061</v>
      </c>
      <c r="D170" s="42">
        <v>10</v>
      </c>
      <c r="E170" s="42">
        <v>8290</v>
      </c>
      <c r="F170" s="59">
        <v>28961367</v>
      </c>
      <c r="G170" s="25">
        <f t="shared" si="58"/>
        <v>0.67984311652139906</v>
      </c>
      <c r="H170" s="27">
        <f t="shared" si="59"/>
        <v>19689186</v>
      </c>
      <c r="I170" s="25">
        <f t="shared" si="60"/>
        <v>0.320156883478601</v>
      </c>
      <c r="J170" s="59">
        <v>9272181</v>
      </c>
      <c r="K170" s="27">
        <f t="shared" si="66"/>
        <v>28961367</v>
      </c>
      <c r="L170" s="28">
        <f t="shared" si="52"/>
        <v>0.67984311652139906</v>
      </c>
      <c r="M170" s="27">
        <f t="shared" si="53"/>
        <v>0.320156883478601</v>
      </c>
      <c r="N170" s="33">
        <f t="shared" si="63"/>
        <v>7.1326676176890159E-3</v>
      </c>
      <c r="O170" s="7">
        <f t="shared" si="64"/>
        <v>13401259</v>
      </c>
      <c r="P170" s="26">
        <f t="shared" si="54"/>
        <v>30602.748331879837</v>
      </c>
      <c r="Q170" s="29">
        <f t="shared" si="55"/>
        <v>64983.977773683655</v>
      </c>
      <c r="R170"/>
    </row>
    <row r="171" spans="1:18" ht="12.75" customHeight="1">
      <c r="A171" s="35"/>
      <c r="B171" s="35" t="s">
        <v>2037</v>
      </c>
      <c r="C171" s="67" t="s">
        <v>2036</v>
      </c>
      <c r="D171" s="42">
        <v>94</v>
      </c>
      <c r="E171" s="42">
        <v>10273</v>
      </c>
      <c r="F171" s="59">
        <v>125037016</v>
      </c>
      <c r="G171" s="25">
        <f t="shared" si="58"/>
        <v>0.48171099188739436</v>
      </c>
      <c r="H171" s="27">
        <f t="shared" si="59"/>
        <v>60231705</v>
      </c>
      <c r="I171" s="25">
        <f t="shared" si="60"/>
        <v>0.51828900811260559</v>
      </c>
      <c r="J171" s="59">
        <v>64805311</v>
      </c>
      <c r="K171" s="27">
        <f t="shared" si="66"/>
        <v>125037016</v>
      </c>
      <c r="L171" s="28">
        <f t="shared" si="52"/>
        <v>0.48171099188739436</v>
      </c>
      <c r="M171" s="27">
        <f t="shared" si="53"/>
        <v>0.51828900811260559</v>
      </c>
      <c r="N171" s="33">
        <f t="shared" si="63"/>
        <v>6.7047075606276749E-2</v>
      </c>
      <c r="O171" s="7">
        <f t="shared" si="64"/>
        <v>13401259</v>
      </c>
      <c r="P171" s="26">
        <f t="shared" si="54"/>
        <v>465690.5649426477</v>
      </c>
      <c r="Q171" s="29">
        <f t="shared" si="55"/>
        <v>432824.66044964892</v>
      </c>
      <c r="R171"/>
    </row>
    <row r="172" spans="1:18" ht="12.75" customHeight="1">
      <c r="A172" s="35"/>
      <c r="B172" s="35" t="s">
        <v>2033</v>
      </c>
      <c r="C172" s="67" t="s">
        <v>2032</v>
      </c>
      <c r="D172" s="42">
        <v>1</v>
      </c>
      <c r="E172" s="42">
        <v>8281</v>
      </c>
      <c r="F172" s="59">
        <v>94634236</v>
      </c>
      <c r="G172" s="25">
        <f t="shared" si="58"/>
        <v>0.53528344646856973</v>
      </c>
      <c r="H172" s="27">
        <f t="shared" si="59"/>
        <v>50656140</v>
      </c>
      <c r="I172" s="25">
        <f t="shared" si="60"/>
        <v>0.46471655353143021</v>
      </c>
      <c r="J172" s="59">
        <v>43978096</v>
      </c>
      <c r="K172" s="27">
        <f t="shared" si="66"/>
        <v>94634236</v>
      </c>
      <c r="L172" s="28">
        <f t="shared" si="52"/>
        <v>0.53528344646856973</v>
      </c>
      <c r="M172" s="27">
        <f t="shared" si="53"/>
        <v>0.46471655353143021</v>
      </c>
      <c r="N172" s="33">
        <f t="shared" si="63"/>
        <v>7.1326676176890159E-4</v>
      </c>
      <c r="O172" s="7">
        <f t="shared" si="64"/>
        <v>13401259</v>
      </c>
      <c r="P172" s="26">
        <f t="shared" si="54"/>
        <v>4442.0733919130253</v>
      </c>
      <c r="Q172" s="29">
        <f t="shared" si="55"/>
        <v>5116.5992186433232</v>
      </c>
      <c r="R172"/>
    </row>
    <row r="173" spans="1:18" ht="12.75" customHeight="1">
      <c r="A173" s="35"/>
      <c r="B173" s="35" t="s">
        <v>2064</v>
      </c>
      <c r="C173" s="67" t="s">
        <v>2063</v>
      </c>
      <c r="D173" s="42">
        <v>1</v>
      </c>
      <c r="E173" s="42">
        <v>8756</v>
      </c>
      <c r="F173" s="59">
        <v>70096731</v>
      </c>
      <c r="G173" s="25">
        <f t="shared" si="58"/>
        <v>0.62078932040354351</v>
      </c>
      <c r="H173" s="27">
        <f t="shared" ref="H173:H227" si="67">F173-J173</f>
        <v>43515302</v>
      </c>
      <c r="I173" s="25">
        <f t="shared" ref="I173:I227" si="68">J173/F173</f>
        <v>0.37921067959645649</v>
      </c>
      <c r="J173" s="59">
        <v>26581429</v>
      </c>
      <c r="K173" s="27">
        <f t="shared" si="66"/>
        <v>70096731</v>
      </c>
      <c r="L173" s="28">
        <f t="shared" si="52"/>
        <v>0.62078932040354351</v>
      </c>
      <c r="M173" s="27">
        <f t="shared" si="53"/>
        <v>0.37921067959645649</v>
      </c>
      <c r="N173" s="33">
        <f t="shared" si="63"/>
        <v>7.1326676176890159E-4</v>
      </c>
      <c r="O173" s="7">
        <f t="shared" si="64"/>
        <v>13401259</v>
      </c>
      <c r="P173" s="26">
        <f t="shared" si="54"/>
        <v>3624.7507366891077</v>
      </c>
      <c r="Q173" s="29">
        <f t="shared" si="55"/>
        <v>5933.9218738672407</v>
      </c>
      <c r="R173"/>
    </row>
    <row r="174" spans="1:18" ht="12.75" customHeight="1">
      <c r="A174" s="35"/>
      <c r="B174" s="35" t="s">
        <v>2066</v>
      </c>
      <c r="C174" s="67" t="s">
        <v>2065</v>
      </c>
      <c r="D174" s="42">
        <v>3</v>
      </c>
      <c r="E174" s="42">
        <v>9628</v>
      </c>
      <c r="F174" s="59">
        <v>60402913</v>
      </c>
      <c r="G174" s="25">
        <f t="shared" si="58"/>
        <v>0.54913604911736624</v>
      </c>
      <c r="H174" s="27">
        <f t="shared" si="67"/>
        <v>33169417</v>
      </c>
      <c r="I174" s="25">
        <f t="shared" si="68"/>
        <v>0.45086395088263376</v>
      </c>
      <c r="J174" s="59">
        <v>27233496</v>
      </c>
      <c r="K174" s="27">
        <f t="shared" si="66"/>
        <v>60402913</v>
      </c>
      <c r="L174" s="28">
        <f t="shared" si="52"/>
        <v>0.54913604911736624</v>
      </c>
      <c r="M174" s="27">
        <f t="shared" si="53"/>
        <v>0.45086395088263376</v>
      </c>
      <c r="N174" s="33">
        <f t="shared" si="63"/>
        <v>2.1398002853067048E-3</v>
      </c>
      <c r="O174" s="7">
        <f t="shared" si="64"/>
        <v>13401259</v>
      </c>
      <c r="P174" s="26">
        <f t="shared" si="54"/>
        <v>12928.982695167162</v>
      </c>
      <c r="Q174" s="29">
        <f t="shared" si="55"/>
        <v>15747.035136501881</v>
      </c>
      <c r="R174"/>
    </row>
    <row r="175" spans="1:18" ht="12.75" customHeight="1">
      <c r="A175" s="35"/>
      <c r="B175" s="35" t="s">
        <v>2055</v>
      </c>
      <c r="C175" s="67" t="s">
        <v>2054</v>
      </c>
      <c r="D175" s="42">
        <v>6</v>
      </c>
      <c r="E175" s="42">
        <v>9077</v>
      </c>
      <c r="F175" s="59">
        <v>119540176</v>
      </c>
      <c r="G175" s="25">
        <f t="shared" ref="G175:G227" si="69">H175/F175</f>
        <v>0.78185957330362299</v>
      </c>
      <c r="H175" s="27">
        <f t="shared" si="67"/>
        <v>93463631</v>
      </c>
      <c r="I175" s="25">
        <f t="shared" si="68"/>
        <v>0.21814042669637695</v>
      </c>
      <c r="J175" s="59">
        <v>26076545</v>
      </c>
      <c r="K175" s="27">
        <f t="shared" ref="K175:K227" si="70">SUM(H175+J175)</f>
        <v>119540176</v>
      </c>
      <c r="L175" s="28">
        <f t="shared" si="52"/>
        <v>0.78185957330362299</v>
      </c>
      <c r="M175" s="27">
        <f t="shared" si="53"/>
        <v>0.21814042669637695</v>
      </c>
      <c r="N175" s="33">
        <f t="shared" si="63"/>
        <v>4.2796005706134095E-3</v>
      </c>
      <c r="O175" s="7">
        <f t="shared" si="64"/>
        <v>13401259</v>
      </c>
      <c r="P175" s="26">
        <f t="shared" si="54"/>
        <v>12510.7975315064</v>
      </c>
      <c r="Q175" s="29">
        <f t="shared" si="55"/>
        <v>44841.238131831684</v>
      </c>
      <c r="R175"/>
    </row>
    <row r="176" spans="1:18" ht="12.75" customHeight="1">
      <c r="A176" s="35"/>
      <c r="B176" s="35" t="s">
        <v>2068</v>
      </c>
      <c r="C176" s="67" t="s">
        <v>2067</v>
      </c>
      <c r="D176" s="42">
        <v>10</v>
      </c>
      <c r="E176" s="42">
        <v>9510</v>
      </c>
      <c r="F176" s="59">
        <v>59037241</v>
      </c>
      <c r="G176" s="25">
        <f t="shared" si="69"/>
        <v>0.66156538378885288</v>
      </c>
      <c r="H176" s="27">
        <f t="shared" si="67"/>
        <v>39056995</v>
      </c>
      <c r="I176" s="25">
        <f t="shared" si="68"/>
        <v>0.33843461621114712</v>
      </c>
      <c r="J176" s="59">
        <v>19980246</v>
      </c>
      <c r="K176" s="27">
        <f t="shared" si="70"/>
        <v>59037241</v>
      </c>
      <c r="L176" s="28">
        <f t="shared" si="52"/>
        <v>0.66156538378885288</v>
      </c>
      <c r="M176" s="27">
        <f t="shared" si="53"/>
        <v>0.33843461621114712</v>
      </c>
      <c r="N176" s="33">
        <f t="shared" si="63"/>
        <v>7.1326676176890159E-3</v>
      </c>
      <c r="O176" s="7">
        <f t="shared" si="64"/>
        <v>13401259</v>
      </c>
      <c r="P176" s="26">
        <f t="shared" si="54"/>
        <v>32349.856964416416</v>
      </c>
      <c r="Q176" s="29">
        <f t="shared" si="55"/>
        <v>63236.869141147072</v>
      </c>
      <c r="R176"/>
    </row>
    <row r="177" spans="1:18">
      <c r="A177" s="260" t="s">
        <v>1847</v>
      </c>
      <c r="B177" s="261"/>
      <c r="C177" s="262"/>
      <c r="D177" s="39">
        <f>SUM(D157:D176)</f>
        <v>1402</v>
      </c>
      <c r="E177" s="39"/>
      <c r="F177" s="39"/>
      <c r="G177" s="17"/>
      <c r="H177" s="17"/>
      <c r="I177" s="17"/>
      <c r="J177" s="39"/>
      <c r="K177" s="17"/>
      <c r="L177" s="17"/>
      <c r="M177" s="17"/>
      <c r="N177" s="49"/>
      <c r="O177" s="19"/>
      <c r="P177" s="19">
        <f>SUM(P157:P176)</f>
        <v>2697653.7497560144</v>
      </c>
      <c r="Q177" s="19">
        <f>SUM(Q157:Q176)</f>
        <v>10703605.250243988</v>
      </c>
      <c r="R177" s="14"/>
    </row>
    <row r="178" spans="1:18">
      <c r="A178" s="15" t="s">
        <v>2181</v>
      </c>
      <c r="B178" s="16"/>
      <c r="C178" s="64"/>
      <c r="D178" s="39"/>
      <c r="E178" s="39"/>
      <c r="F178" s="55"/>
      <c r="G178" s="17"/>
      <c r="H178" s="17"/>
      <c r="I178" s="17"/>
      <c r="J178" s="55"/>
      <c r="K178" s="17"/>
      <c r="L178" s="17"/>
      <c r="M178" s="17"/>
      <c r="N178" s="49"/>
      <c r="O178" s="19"/>
      <c r="P178" s="19"/>
      <c r="Q178" s="20"/>
      <c r="R178" s="14"/>
    </row>
    <row r="179" spans="1:18" ht="12.75" customHeight="1">
      <c r="A179" s="45"/>
      <c r="B179" s="35" t="s">
        <v>2070</v>
      </c>
      <c r="C179" s="67" t="s">
        <v>2069</v>
      </c>
      <c r="D179" s="42">
        <v>1</v>
      </c>
      <c r="E179" s="42">
        <v>9282</v>
      </c>
      <c r="F179" s="59">
        <v>181158512</v>
      </c>
      <c r="G179" s="25">
        <f t="shared" si="69"/>
        <v>0.50953170778969525</v>
      </c>
      <c r="H179" s="27">
        <f t="shared" si="67"/>
        <v>92306006</v>
      </c>
      <c r="I179" s="25">
        <f t="shared" si="68"/>
        <v>0.49046829221030475</v>
      </c>
      <c r="J179" s="59">
        <v>88852506</v>
      </c>
      <c r="K179" s="27">
        <f t="shared" si="70"/>
        <v>181158512</v>
      </c>
      <c r="L179" s="28">
        <f t="shared" si="52"/>
        <v>0.50953170778969525</v>
      </c>
      <c r="M179" s="27">
        <f t="shared" si="53"/>
        <v>0.49046829221030475</v>
      </c>
      <c r="N179" s="33">
        <f t="shared" ref="N179:N186" si="71">D179/$D$187</f>
        <v>3.4482758620689655E-3</v>
      </c>
      <c r="O179" s="7">
        <f>'Charter Archive File'!Q62</f>
        <v>2726879</v>
      </c>
      <c r="P179" s="26">
        <f t="shared" si="54"/>
        <v>4611.8885730832535</v>
      </c>
      <c r="Q179" s="29">
        <f t="shared" si="55"/>
        <v>4791.1424613995041</v>
      </c>
      <c r="R179"/>
    </row>
    <row r="180" spans="1:18" ht="12.75" customHeight="1">
      <c r="A180" s="45"/>
      <c r="B180" s="35" t="s">
        <v>2072</v>
      </c>
      <c r="C180" s="67" t="s">
        <v>2071</v>
      </c>
      <c r="D180" s="42">
        <v>2</v>
      </c>
      <c r="E180" s="42">
        <v>9793</v>
      </c>
      <c r="F180" s="59">
        <v>56325197</v>
      </c>
      <c r="G180" s="25">
        <f t="shared" si="69"/>
        <v>0.49037461866311804</v>
      </c>
      <c r="H180" s="27">
        <f t="shared" si="67"/>
        <v>27620447</v>
      </c>
      <c r="I180" s="25">
        <f t="shared" si="68"/>
        <v>0.50962538133688196</v>
      </c>
      <c r="J180" s="59">
        <v>28704750</v>
      </c>
      <c r="K180" s="27">
        <f t="shared" si="70"/>
        <v>56325197</v>
      </c>
      <c r="L180" s="28">
        <f t="shared" si="52"/>
        <v>0.49037461866311804</v>
      </c>
      <c r="M180" s="27">
        <f t="shared" si="53"/>
        <v>0.50962538133688196</v>
      </c>
      <c r="N180" s="33">
        <f t="shared" si="71"/>
        <v>6.8965517241379309E-3</v>
      </c>
      <c r="O180" s="7">
        <f>O179</f>
        <v>2726879</v>
      </c>
      <c r="P180" s="26">
        <f t="shared" si="54"/>
        <v>9584.0465533416227</v>
      </c>
      <c r="Q180" s="29">
        <f t="shared" si="55"/>
        <v>9222.0155156238925</v>
      </c>
      <c r="R180"/>
    </row>
    <row r="181" spans="1:18" ht="12.75" customHeight="1">
      <c r="A181" s="45"/>
      <c r="B181" s="35" t="s">
        <v>2074</v>
      </c>
      <c r="C181" s="67" t="s">
        <v>2073</v>
      </c>
      <c r="D181" s="42">
        <v>5</v>
      </c>
      <c r="E181" s="42">
        <v>9307</v>
      </c>
      <c r="F181" s="59">
        <v>57908122</v>
      </c>
      <c r="G181" s="25">
        <f t="shared" si="69"/>
        <v>0.51228034989634097</v>
      </c>
      <c r="H181" s="27">
        <f t="shared" si="67"/>
        <v>29665193</v>
      </c>
      <c r="I181" s="25">
        <f t="shared" si="68"/>
        <v>0.48771965010365903</v>
      </c>
      <c r="J181" s="59">
        <v>28242929</v>
      </c>
      <c r="K181" s="27">
        <f t="shared" si="70"/>
        <v>57908122</v>
      </c>
      <c r="L181" s="28">
        <f t="shared" si="52"/>
        <v>0.51228034989634097</v>
      </c>
      <c r="M181" s="27">
        <f t="shared" si="53"/>
        <v>0.48771965010365903</v>
      </c>
      <c r="N181" s="33">
        <f t="shared" si="71"/>
        <v>1.7241379310344827E-2</v>
      </c>
      <c r="O181" s="7">
        <f t="shared" ref="O181:O186" si="72">O180</f>
        <v>2726879</v>
      </c>
      <c r="P181" s="26">
        <f t="shared" si="54"/>
        <v>22930.215030258889</v>
      </c>
      <c r="Q181" s="29">
        <f t="shared" si="55"/>
        <v>24084.940142154901</v>
      </c>
      <c r="R181"/>
    </row>
    <row r="182" spans="1:18" ht="12.75" customHeight="1">
      <c r="A182" s="45"/>
      <c r="B182" s="35" t="s">
        <v>2076</v>
      </c>
      <c r="C182" s="67" t="s">
        <v>2075</v>
      </c>
      <c r="D182" s="42">
        <v>1</v>
      </c>
      <c r="E182" s="42">
        <v>9149</v>
      </c>
      <c r="F182" s="59">
        <v>62120969</v>
      </c>
      <c r="G182" s="25">
        <f t="shared" si="69"/>
        <v>0.5415655380391764</v>
      </c>
      <c r="H182" s="27">
        <f t="shared" si="67"/>
        <v>33642576</v>
      </c>
      <c r="I182" s="25">
        <f t="shared" si="68"/>
        <v>0.45843446196082355</v>
      </c>
      <c r="J182" s="59">
        <v>28478393</v>
      </c>
      <c r="K182" s="27">
        <f t="shared" si="70"/>
        <v>62120969</v>
      </c>
      <c r="L182" s="28">
        <f t="shared" si="52"/>
        <v>0.5415655380391764</v>
      </c>
      <c r="M182" s="27">
        <f t="shared" si="53"/>
        <v>0.45843446196082355</v>
      </c>
      <c r="N182" s="33">
        <f t="shared" si="71"/>
        <v>3.4482758620689655E-3</v>
      </c>
      <c r="O182" s="7">
        <f t="shared" si="72"/>
        <v>2726879</v>
      </c>
      <c r="P182" s="26">
        <f t="shared" si="54"/>
        <v>4310.6734730940289</v>
      </c>
      <c r="Q182" s="29">
        <f t="shared" si="55"/>
        <v>5092.3575613887278</v>
      </c>
      <c r="R182"/>
    </row>
    <row r="183" spans="1:18" ht="12.75" customHeight="1">
      <c r="A183" s="45"/>
      <c r="B183" s="35" t="s">
        <v>2078</v>
      </c>
      <c r="C183" s="67" t="s">
        <v>2077</v>
      </c>
      <c r="D183" s="42">
        <v>2</v>
      </c>
      <c r="E183" s="42">
        <v>11468</v>
      </c>
      <c r="F183" s="59">
        <v>23407114</v>
      </c>
      <c r="G183" s="25">
        <f t="shared" si="69"/>
        <v>0.48001368301961533</v>
      </c>
      <c r="H183" s="27">
        <f t="shared" si="67"/>
        <v>11235735</v>
      </c>
      <c r="I183" s="25">
        <f t="shared" si="68"/>
        <v>0.51998631698038467</v>
      </c>
      <c r="J183" s="59">
        <v>12171379</v>
      </c>
      <c r="K183" s="27">
        <f t="shared" si="70"/>
        <v>23407114</v>
      </c>
      <c r="L183" s="28">
        <f t="shared" ref="L183:L245" si="73">H183/K183</f>
        <v>0.48001368301961533</v>
      </c>
      <c r="M183" s="27">
        <f t="shared" ref="M183:M245" si="74">J183/K183</f>
        <v>0.51998631698038467</v>
      </c>
      <c r="N183" s="33">
        <f t="shared" si="71"/>
        <v>6.8965517241379309E-3</v>
      </c>
      <c r="O183" s="7">
        <f t="shared" si="72"/>
        <v>2726879</v>
      </c>
      <c r="P183" s="26">
        <f t="shared" ref="P183:P245" si="75">O183*N183*M183</f>
        <v>9778.8949521458908</v>
      </c>
      <c r="Q183" s="29">
        <f t="shared" ref="Q183:Q245" si="76">O183*N183*L183</f>
        <v>9027.1671168196244</v>
      </c>
      <c r="R183"/>
    </row>
    <row r="184" spans="1:18" ht="12.75" customHeight="1">
      <c r="A184" s="45"/>
      <c r="B184" s="35" t="s">
        <v>2080</v>
      </c>
      <c r="C184" s="67" t="s">
        <v>2079</v>
      </c>
      <c r="D184" s="42">
        <v>275</v>
      </c>
      <c r="E184" s="42">
        <v>9598</v>
      </c>
      <c r="F184" s="59">
        <v>529108391</v>
      </c>
      <c r="G184" s="25">
        <f t="shared" si="69"/>
        <v>0.77379554919967242</v>
      </c>
      <c r="H184" s="27">
        <f t="shared" si="67"/>
        <v>409421718</v>
      </c>
      <c r="I184" s="25">
        <f t="shared" si="68"/>
        <v>0.22620445080032761</v>
      </c>
      <c r="J184" s="59">
        <v>119686673</v>
      </c>
      <c r="K184" s="27">
        <f t="shared" si="70"/>
        <v>529108391</v>
      </c>
      <c r="L184" s="28">
        <f t="shared" si="73"/>
        <v>0.77379554919967242</v>
      </c>
      <c r="M184" s="27">
        <f t="shared" si="74"/>
        <v>0.22620445080032761</v>
      </c>
      <c r="N184" s="33">
        <f t="shared" si="71"/>
        <v>0.94827586206896552</v>
      </c>
      <c r="O184" s="7">
        <f t="shared" si="72"/>
        <v>2726879</v>
      </c>
      <c r="P184" s="26">
        <f t="shared" si="75"/>
        <v>584927.05452874245</v>
      </c>
      <c r="Q184" s="29">
        <f t="shared" si="76"/>
        <v>2000906.4799540162</v>
      </c>
      <c r="R184"/>
    </row>
    <row r="185" spans="1:18" ht="12.75" customHeight="1">
      <c r="A185" s="45"/>
      <c r="B185" s="35" t="s">
        <v>2082</v>
      </c>
      <c r="C185" s="67" t="s">
        <v>2081</v>
      </c>
      <c r="D185" s="42">
        <v>3</v>
      </c>
      <c r="E185" s="42">
        <v>10676</v>
      </c>
      <c r="F185" s="59">
        <v>96532321</v>
      </c>
      <c r="G185" s="25">
        <f t="shared" si="69"/>
        <v>0.45260944259280783</v>
      </c>
      <c r="H185" s="27">
        <f t="shared" si="67"/>
        <v>43691440</v>
      </c>
      <c r="I185" s="25">
        <f t="shared" si="68"/>
        <v>0.54739055740719211</v>
      </c>
      <c r="J185" s="59">
        <v>52840881</v>
      </c>
      <c r="K185" s="27">
        <f t="shared" si="70"/>
        <v>96532321</v>
      </c>
      <c r="L185" s="28">
        <f t="shared" si="73"/>
        <v>0.45260944259280783</v>
      </c>
      <c r="M185" s="27">
        <f t="shared" si="74"/>
        <v>0.54739055740719211</v>
      </c>
      <c r="N185" s="33">
        <f t="shared" si="71"/>
        <v>1.0344827586206896E-2</v>
      </c>
      <c r="O185" s="7">
        <f t="shared" si="72"/>
        <v>2726879</v>
      </c>
      <c r="P185" s="26">
        <f t="shared" si="75"/>
        <v>15441.39119784793</v>
      </c>
      <c r="Q185" s="29">
        <f t="shared" si="76"/>
        <v>12767.701905600343</v>
      </c>
      <c r="R185"/>
    </row>
    <row r="186" spans="1:18" ht="12.75" customHeight="1">
      <c r="A186" s="45"/>
      <c r="B186" s="35" t="s">
        <v>2084</v>
      </c>
      <c r="C186" s="67" t="s">
        <v>2083</v>
      </c>
      <c r="D186" s="42">
        <v>1</v>
      </c>
      <c r="E186" s="42">
        <v>9544</v>
      </c>
      <c r="F186" s="59">
        <v>125110724</v>
      </c>
      <c r="G186" s="25">
        <f t="shared" si="69"/>
        <v>0.38407292727360448</v>
      </c>
      <c r="H186" s="27">
        <f t="shared" si="67"/>
        <v>48051642</v>
      </c>
      <c r="I186" s="25">
        <f t="shared" si="68"/>
        <v>0.61592707272639557</v>
      </c>
      <c r="J186" s="59">
        <v>77059082</v>
      </c>
      <c r="K186" s="27">
        <f t="shared" si="70"/>
        <v>125110724</v>
      </c>
      <c r="L186" s="28">
        <f t="shared" si="73"/>
        <v>0.38407292727360448</v>
      </c>
      <c r="M186" s="27">
        <f t="shared" si="74"/>
        <v>0.61592707272639557</v>
      </c>
      <c r="N186" s="33">
        <f t="shared" si="71"/>
        <v>3.4482758620689655E-3</v>
      </c>
      <c r="O186" s="7">
        <f t="shared" si="72"/>
        <v>2726879</v>
      </c>
      <c r="P186" s="26">
        <f t="shared" si="75"/>
        <v>5791.5813798244162</v>
      </c>
      <c r="Q186" s="29">
        <f t="shared" si="76"/>
        <v>3611.4496546583418</v>
      </c>
      <c r="R186"/>
    </row>
    <row r="187" spans="1:18" ht="12.75" customHeight="1">
      <c r="A187" s="260" t="s">
        <v>1848</v>
      </c>
      <c r="B187" s="261"/>
      <c r="C187" s="262"/>
      <c r="D187" s="39">
        <f>SUM(D179:D186)</f>
        <v>290</v>
      </c>
      <c r="E187" s="39"/>
      <c r="F187" s="39"/>
      <c r="G187" s="17"/>
      <c r="H187" s="17"/>
      <c r="I187" s="17"/>
      <c r="J187" s="39"/>
      <c r="K187" s="17"/>
      <c r="L187" s="17"/>
      <c r="M187" s="17"/>
      <c r="N187" s="49"/>
      <c r="O187" s="19"/>
      <c r="P187" s="19">
        <f>SUM(P179:P186)</f>
        <v>657375.74568833841</v>
      </c>
      <c r="Q187" s="19">
        <f>SUM(Q179:Q186)</f>
        <v>2069503.2543116615</v>
      </c>
      <c r="R187" s="14"/>
    </row>
    <row r="188" spans="1:18" ht="12.75" customHeight="1">
      <c r="A188" s="15" t="s">
        <v>1849</v>
      </c>
      <c r="B188" s="16"/>
      <c r="C188" s="64"/>
      <c r="D188" s="39"/>
      <c r="E188" s="39"/>
      <c r="F188" s="55"/>
      <c r="G188" s="17"/>
      <c r="H188" s="17"/>
      <c r="I188" s="17"/>
      <c r="J188" s="55"/>
      <c r="K188" s="17"/>
      <c r="L188" s="17"/>
      <c r="M188" s="17"/>
      <c r="N188" s="49"/>
      <c r="O188" s="19"/>
      <c r="P188" s="19"/>
      <c r="Q188" s="20"/>
      <c r="R188" s="14"/>
    </row>
    <row r="189" spans="1:18" ht="12.75" customHeight="1">
      <c r="A189" s="45"/>
      <c r="B189" s="35" t="s">
        <v>2086</v>
      </c>
      <c r="C189" s="67" t="s">
        <v>2085</v>
      </c>
      <c r="D189" s="42">
        <v>4</v>
      </c>
      <c r="E189" s="42">
        <v>10449</v>
      </c>
      <c r="F189" s="59">
        <v>56846907</v>
      </c>
      <c r="G189" s="25">
        <f t="shared" si="69"/>
        <v>0.27749785929426202</v>
      </c>
      <c r="H189" s="27">
        <f t="shared" si="67"/>
        <v>15774895</v>
      </c>
      <c r="I189" s="25">
        <f t="shared" si="68"/>
        <v>0.72250214070573793</v>
      </c>
      <c r="J189" s="59">
        <v>41072012</v>
      </c>
      <c r="K189" s="27">
        <f t="shared" si="70"/>
        <v>56846907</v>
      </c>
      <c r="L189" s="28">
        <f t="shared" si="73"/>
        <v>0.27749785929426202</v>
      </c>
      <c r="M189" s="27">
        <f t="shared" si="74"/>
        <v>0.72250214070573793</v>
      </c>
      <c r="N189" s="33">
        <f>D189/$D$198</f>
        <v>1.8867924528301886E-2</v>
      </c>
      <c r="O189" s="7">
        <f>'Charter Archive File'!Q54</f>
        <v>2047544</v>
      </c>
      <c r="P189" s="26">
        <f t="shared" si="75"/>
        <v>27912.357041305462</v>
      </c>
      <c r="Q189" s="29">
        <f t="shared" si="76"/>
        <v>10720.548619071895</v>
      </c>
      <c r="R189"/>
    </row>
    <row r="190" spans="1:18" ht="12.75" customHeight="1">
      <c r="A190" s="45"/>
      <c r="B190" s="35" t="s">
        <v>2088</v>
      </c>
      <c r="C190" s="67" t="s">
        <v>2087</v>
      </c>
      <c r="D190" s="42">
        <v>4</v>
      </c>
      <c r="E190" s="42">
        <v>10129</v>
      </c>
      <c r="F190" s="59">
        <v>74437915</v>
      </c>
      <c r="G190" s="25">
        <f t="shared" si="69"/>
        <v>0.45644502536106768</v>
      </c>
      <c r="H190" s="27">
        <f t="shared" si="67"/>
        <v>33976816</v>
      </c>
      <c r="I190" s="25">
        <f t="shared" si="68"/>
        <v>0.54355497463893232</v>
      </c>
      <c r="J190" s="59">
        <v>40461099</v>
      </c>
      <c r="K190" s="27">
        <f t="shared" si="70"/>
        <v>74437915</v>
      </c>
      <c r="L190" s="28">
        <f t="shared" si="73"/>
        <v>0.45644502536106768</v>
      </c>
      <c r="M190" s="27">
        <f t="shared" si="74"/>
        <v>0.54355497463893232</v>
      </c>
      <c r="N190" s="33">
        <f t="shared" ref="N190:N197" si="77">D190/$D$198</f>
        <v>1.8867924528301886E-2</v>
      </c>
      <c r="O190" s="7">
        <f>O189</f>
        <v>2047544</v>
      </c>
      <c r="P190" s="26">
        <f t="shared" si="75"/>
        <v>20999.108056454679</v>
      </c>
      <c r="Q190" s="29">
        <f t="shared" si="76"/>
        <v>17633.797603922678</v>
      </c>
      <c r="R190"/>
    </row>
    <row r="191" spans="1:18" ht="12.75" customHeight="1">
      <c r="A191" s="45"/>
      <c r="B191" s="35" t="s">
        <v>2070</v>
      </c>
      <c r="C191" s="67" t="s">
        <v>2069</v>
      </c>
      <c r="D191" s="42">
        <v>7</v>
      </c>
      <c r="E191" s="42">
        <v>9282</v>
      </c>
      <c r="F191" s="59">
        <v>181158512</v>
      </c>
      <c r="G191" s="25">
        <f t="shared" si="69"/>
        <v>0.50953170778969525</v>
      </c>
      <c r="H191" s="27">
        <f t="shared" si="67"/>
        <v>92306006</v>
      </c>
      <c r="I191" s="25">
        <f t="shared" si="68"/>
        <v>0.49046829221030475</v>
      </c>
      <c r="J191" s="59">
        <v>88852506</v>
      </c>
      <c r="K191" s="27">
        <f t="shared" si="70"/>
        <v>181158512</v>
      </c>
      <c r="L191" s="28">
        <f t="shared" si="73"/>
        <v>0.50953170778969525</v>
      </c>
      <c r="M191" s="27">
        <f t="shared" si="74"/>
        <v>0.49046829221030475</v>
      </c>
      <c r="N191" s="33">
        <f t="shared" si="77"/>
        <v>3.3018867924528301E-2</v>
      </c>
      <c r="O191" s="7">
        <f t="shared" ref="O191:O196" si="78">O190</f>
        <v>2047544</v>
      </c>
      <c r="P191" s="26">
        <f t="shared" si="75"/>
        <v>33159.376709142423</v>
      </c>
      <c r="Q191" s="29">
        <f t="shared" si="76"/>
        <v>34448.208196517953</v>
      </c>
      <c r="R191"/>
    </row>
    <row r="192" spans="1:18" ht="12.75" customHeight="1">
      <c r="A192" s="45"/>
      <c r="B192" s="35" t="s">
        <v>2072</v>
      </c>
      <c r="C192" s="67" t="s">
        <v>2071</v>
      </c>
      <c r="D192" s="42">
        <v>2</v>
      </c>
      <c r="E192" s="42">
        <v>9793</v>
      </c>
      <c r="F192" s="59">
        <v>56325197</v>
      </c>
      <c r="G192" s="25">
        <f t="shared" si="69"/>
        <v>0.49037461866311804</v>
      </c>
      <c r="H192" s="27">
        <f t="shared" si="67"/>
        <v>27620447</v>
      </c>
      <c r="I192" s="25">
        <f t="shared" si="68"/>
        <v>0.50962538133688196</v>
      </c>
      <c r="J192" s="59">
        <v>28704750</v>
      </c>
      <c r="K192" s="27">
        <f t="shared" si="70"/>
        <v>56325197</v>
      </c>
      <c r="L192" s="28">
        <f t="shared" si="73"/>
        <v>0.49037461866311804</v>
      </c>
      <c r="M192" s="27">
        <f t="shared" si="74"/>
        <v>0.50962538133688196</v>
      </c>
      <c r="N192" s="33">
        <f t="shared" si="77"/>
        <v>9.433962264150943E-3</v>
      </c>
      <c r="O192" s="7">
        <f t="shared" si="78"/>
        <v>2047544</v>
      </c>
      <c r="P192" s="26">
        <f t="shared" si="75"/>
        <v>9844.1546396607973</v>
      </c>
      <c r="Q192" s="29">
        <f t="shared" si="76"/>
        <v>9472.2981905278812</v>
      </c>
      <c r="R192"/>
    </row>
    <row r="193" spans="1:18" ht="12.75" customHeight="1">
      <c r="A193" s="45"/>
      <c r="B193" s="35" t="s">
        <v>2074</v>
      </c>
      <c r="C193" s="67" t="s">
        <v>2073</v>
      </c>
      <c r="D193" s="42">
        <v>1</v>
      </c>
      <c r="E193" s="42">
        <v>9307</v>
      </c>
      <c r="F193" s="59">
        <v>57908122</v>
      </c>
      <c r="G193" s="25">
        <f t="shared" si="69"/>
        <v>0.51228034989634097</v>
      </c>
      <c r="H193" s="27">
        <f t="shared" si="67"/>
        <v>29665193</v>
      </c>
      <c r="I193" s="25">
        <f t="shared" si="68"/>
        <v>0.48771965010365903</v>
      </c>
      <c r="J193" s="59">
        <v>28242929</v>
      </c>
      <c r="K193" s="27">
        <f t="shared" si="70"/>
        <v>57908122</v>
      </c>
      <c r="L193" s="28">
        <f t="shared" si="73"/>
        <v>0.51228034989634097</v>
      </c>
      <c r="M193" s="27">
        <f t="shared" si="74"/>
        <v>0.48771965010365903</v>
      </c>
      <c r="N193" s="33">
        <f t="shared" si="77"/>
        <v>4.7169811320754715E-3</v>
      </c>
      <c r="O193" s="7">
        <f t="shared" si="78"/>
        <v>2047544</v>
      </c>
      <c r="P193" s="26">
        <f t="shared" si="75"/>
        <v>4710.5068077917285</v>
      </c>
      <c r="Q193" s="29">
        <f t="shared" si="76"/>
        <v>4947.7196073026107</v>
      </c>
      <c r="R193"/>
    </row>
    <row r="194" spans="1:18" ht="12.75" customHeight="1">
      <c r="A194" s="45"/>
      <c r="B194" s="35" t="s">
        <v>2090</v>
      </c>
      <c r="C194" s="67" t="s">
        <v>2089</v>
      </c>
      <c r="D194" s="42">
        <v>10</v>
      </c>
      <c r="E194" s="42">
        <v>10781</v>
      </c>
      <c r="F194" s="59">
        <v>76120553</v>
      </c>
      <c r="G194" s="25">
        <f t="shared" si="69"/>
        <v>0.34977922454136662</v>
      </c>
      <c r="H194" s="27">
        <f t="shared" si="67"/>
        <v>26625388</v>
      </c>
      <c r="I194" s="25">
        <f t="shared" si="68"/>
        <v>0.65022077545863333</v>
      </c>
      <c r="J194" s="59">
        <v>49495165</v>
      </c>
      <c r="K194" s="27">
        <f t="shared" si="70"/>
        <v>76120553</v>
      </c>
      <c r="L194" s="28">
        <f t="shared" si="73"/>
        <v>0.34977922454136662</v>
      </c>
      <c r="M194" s="27">
        <f t="shared" si="74"/>
        <v>0.65022077545863333</v>
      </c>
      <c r="N194" s="33">
        <f t="shared" si="77"/>
        <v>4.716981132075472E-2</v>
      </c>
      <c r="O194" s="7">
        <f t="shared" si="78"/>
        <v>2047544</v>
      </c>
      <c r="P194" s="26">
        <f t="shared" si="75"/>
        <v>62799.79469177698</v>
      </c>
      <c r="Q194" s="29">
        <f t="shared" si="76"/>
        <v>33782.469459166416</v>
      </c>
      <c r="R194"/>
    </row>
    <row r="195" spans="1:18" ht="12.75" customHeight="1">
      <c r="A195" s="45"/>
      <c r="B195" s="35" t="s">
        <v>2092</v>
      </c>
      <c r="C195" s="67" t="s">
        <v>2091</v>
      </c>
      <c r="D195" s="42">
        <v>1</v>
      </c>
      <c r="E195" s="42">
        <v>9294</v>
      </c>
      <c r="F195" s="59">
        <v>98615875</v>
      </c>
      <c r="G195" s="25">
        <f t="shared" si="69"/>
        <v>0.40558599718351634</v>
      </c>
      <c r="H195" s="27">
        <f t="shared" si="67"/>
        <v>39997218</v>
      </c>
      <c r="I195" s="25">
        <f t="shared" si="68"/>
        <v>0.5944140028164836</v>
      </c>
      <c r="J195" s="59">
        <v>58618657</v>
      </c>
      <c r="K195" s="27">
        <f t="shared" si="70"/>
        <v>98615875</v>
      </c>
      <c r="L195" s="28">
        <f t="shared" si="73"/>
        <v>0.40558599718351634</v>
      </c>
      <c r="M195" s="27">
        <f t="shared" si="74"/>
        <v>0.5944140028164836</v>
      </c>
      <c r="N195" s="33">
        <f t="shared" si="77"/>
        <v>4.7169811320754715E-3</v>
      </c>
      <c r="O195" s="7">
        <f t="shared" si="78"/>
        <v>2047544</v>
      </c>
      <c r="P195" s="26">
        <f t="shared" si="75"/>
        <v>5740.9850235041231</v>
      </c>
      <c r="Q195" s="29">
        <f t="shared" si="76"/>
        <v>3917.2413915902157</v>
      </c>
      <c r="R195"/>
    </row>
    <row r="196" spans="1:18" ht="12.75" customHeight="1">
      <c r="A196" s="45"/>
      <c r="B196" s="35" t="s">
        <v>2080</v>
      </c>
      <c r="C196" s="67" t="s">
        <v>2079</v>
      </c>
      <c r="D196" s="42">
        <v>181</v>
      </c>
      <c r="E196" s="42">
        <v>9598</v>
      </c>
      <c r="F196" s="59">
        <v>529108391</v>
      </c>
      <c r="G196" s="25">
        <f t="shared" si="69"/>
        <v>0.77379554919967242</v>
      </c>
      <c r="H196" s="27">
        <f t="shared" si="67"/>
        <v>409421718</v>
      </c>
      <c r="I196" s="25">
        <f t="shared" si="68"/>
        <v>0.22620445080032761</v>
      </c>
      <c r="J196" s="59">
        <v>119686673</v>
      </c>
      <c r="K196" s="27">
        <f t="shared" si="70"/>
        <v>529108391</v>
      </c>
      <c r="L196" s="28">
        <f t="shared" si="73"/>
        <v>0.77379554919967242</v>
      </c>
      <c r="M196" s="27">
        <f t="shared" si="74"/>
        <v>0.22620445080032761</v>
      </c>
      <c r="N196" s="33">
        <f t="shared" si="77"/>
        <v>0.85377358490566035</v>
      </c>
      <c r="O196" s="7">
        <f t="shared" si="78"/>
        <v>2047544</v>
      </c>
      <c r="P196" s="26">
        <f t="shared" si="75"/>
        <v>395436.81814962538</v>
      </c>
      <c r="Q196" s="29">
        <f t="shared" si="76"/>
        <v>1352702.1629824501</v>
      </c>
      <c r="R196"/>
    </row>
    <row r="197" spans="1:18" ht="12.75" customHeight="1">
      <c r="A197" s="45"/>
      <c r="B197" s="35" t="s">
        <v>2084</v>
      </c>
      <c r="C197" s="67" t="s">
        <v>2083</v>
      </c>
      <c r="D197" s="42">
        <v>2</v>
      </c>
      <c r="E197" s="42">
        <v>9544</v>
      </c>
      <c r="F197" s="59">
        <v>125110724</v>
      </c>
      <c r="G197" s="25">
        <f t="shared" si="69"/>
        <v>0.38407292727360448</v>
      </c>
      <c r="H197" s="27">
        <f t="shared" si="67"/>
        <v>48051642</v>
      </c>
      <c r="I197" s="25">
        <f t="shared" si="68"/>
        <v>0.61592707272639557</v>
      </c>
      <c r="J197" s="59">
        <v>77059082</v>
      </c>
      <c r="K197" s="27">
        <f t="shared" si="70"/>
        <v>125110724</v>
      </c>
      <c r="L197" s="28">
        <f t="shared" si="73"/>
        <v>0.38407292727360448</v>
      </c>
      <c r="M197" s="27">
        <f t="shared" si="74"/>
        <v>0.61592707272639557</v>
      </c>
      <c r="N197" s="33">
        <f t="shared" si="77"/>
        <v>9.433962264150943E-3</v>
      </c>
      <c r="O197" s="7">
        <f>O196</f>
        <v>2047544</v>
      </c>
      <c r="P197" s="26">
        <f t="shared" si="75"/>
        <v>11897.526247155613</v>
      </c>
      <c r="Q197" s="29">
        <f t="shared" si="76"/>
        <v>7418.9265830330678</v>
      </c>
      <c r="R197"/>
    </row>
    <row r="198" spans="1:18" ht="12.75" customHeight="1">
      <c r="A198" s="260" t="s">
        <v>1850</v>
      </c>
      <c r="B198" s="261"/>
      <c r="C198" s="262"/>
      <c r="D198" s="39">
        <f>SUM(D189:D197)</f>
        <v>212</v>
      </c>
      <c r="E198" s="39"/>
      <c r="F198" s="39"/>
      <c r="G198" s="17"/>
      <c r="H198" s="17"/>
      <c r="I198" s="17"/>
      <c r="J198" s="39"/>
      <c r="K198" s="17"/>
      <c r="L198" s="17"/>
      <c r="M198" s="17"/>
      <c r="N198" s="49"/>
      <c r="O198" s="19"/>
      <c r="P198" s="19">
        <f>SUM(P189:P197)</f>
        <v>572500.6273664172</v>
      </c>
      <c r="Q198" s="19">
        <f>SUM(Q189:Q197)</f>
        <v>1475043.3726335829</v>
      </c>
      <c r="R198" s="14"/>
    </row>
    <row r="199" spans="1:18" ht="12.75" customHeight="1">
      <c r="A199" s="15" t="s">
        <v>1851</v>
      </c>
      <c r="B199" s="16"/>
      <c r="C199" s="64"/>
      <c r="D199" s="39"/>
      <c r="E199" s="39"/>
      <c r="F199" s="55"/>
      <c r="G199" s="17"/>
      <c r="H199" s="17"/>
      <c r="I199" s="17"/>
      <c r="J199" s="55"/>
      <c r="K199" s="17"/>
      <c r="L199" s="17"/>
      <c r="M199" s="17"/>
      <c r="N199" s="49"/>
      <c r="O199" s="19"/>
      <c r="P199" s="19"/>
      <c r="Q199" s="20"/>
      <c r="R199" s="14"/>
    </row>
    <row r="200" spans="1:18" ht="12.75" customHeight="1">
      <c r="A200" s="45"/>
      <c r="B200" s="35" t="s">
        <v>2088</v>
      </c>
      <c r="C200" s="67" t="s">
        <v>2087</v>
      </c>
      <c r="D200" s="42">
        <v>2</v>
      </c>
      <c r="E200" s="42">
        <v>10129</v>
      </c>
      <c r="F200" s="59">
        <v>74437915</v>
      </c>
      <c r="G200" s="25">
        <f t="shared" si="69"/>
        <v>0.45644502536106768</v>
      </c>
      <c r="H200" s="27">
        <f t="shared" si="67"/>
        <v>33976816</v>
      </c>
      <c r="I200" s="25">
        <f t="shared" si="68"/>
        <v>0.54355497463893232</v>
      </c>
      <c r="J200" s="59">
        <v>40461099</v>
      </c>
      <c r="K200" s="27">
        <f t="shared" si="70"/>
        <v>74437915</v>
      </c>
      <c r="L200" s="28">
        <f t="shared" si="73"/>
        <v>0.45644502536106768</v>
      </c>
      <c r="M200" s="27">
        <f t="shared" si="74"/>
        <v>0.54355497463893232</v>
      </c>
      <c r="N200" s="33">
        <f>D200/$D$203</f>
        <v>7.575757575757576E-3</v>
      </c>
      <c r="O200" s="7">
        <f>'Charter Archive File'!Q73</f>
        <v>2509799</v>
      </c>
      <c r="P200" s="26">
        <f t="shared" si="75"/>
        <v>10334.952513589527</v>
      </c>
      <c r="Q200" s="29">
        <f t="shared" si="76"/>
        <v>8678.6762742892606</v>
      </c>
      <c r="R200"/>
    </row>
    <row r="201" spans="1:18" ht="12.75" customHeight="1">
      <c r="A201" s="45"/>
      <c r="B201" s="35" t="s">
        <v>2072</v>
      </c>
      <c r="C201" s="67" t="s">
        <v>2071</v>
      </c>
      <c r="D201" s="42">
        <v>1</v>
      </c>
      <c r="E201" s="42">
        <v>9793</v>
      </c>
      <c r="F201" s="59">
        <v>56325197</v>
      </c>
      <c r="G201" s="25">
        <f t="shared" si="69"/>
        <v>0.49037461866311804</v>
      </c>
      <c r="H201" s="27">
        <f t="shared" si="67"/>
        <v>27620447</v>
      </c>
      <c r="I201" s="25">
        <f t="shared" si="68"/>
        <v>0.50962538133688196</v>
      </c>
      <c r="J201" s="59">
        <v>28704750</v>
      </c>
      <c r="K201" s="27">
        <f t="shared" si="70"/>
        <v>56325197</v>
      </c>
      <c r="L201" s="28">
        <f t="shared" si="73"/>
        <v>0.49037461866311804</v>
      </c>
      <c r="M201" s="27">
        <f t="shared" si="74"/>
        <v>0.50962538133688196</v>
      </c>
      <c r="N201" s="33">
        <f>D201/$D$203</f>
        <v>3.787878787878788E-3</v>
      </c>
      <c r="O201" s="7">
        <f>O200</f>
        <v>2509799</v>
      </c>
      <c r="P201" s="26">
        <f t="shared" si="75"/>
        <v>4844.9139108103218</v>
      </c>
      <c r="Q201" s="29">
        <f t="shared" si="76"/>
        <v>4661.9004831290722</v>
      </c>
      <c r="R201"/>
    </row>
    <row r="202" spans="1:18" ht="12.75" customHeight="1">
      <c r="A202" s="45"/>
      <c r="B202" s="35" t="s">
        <v>2080</v>
      </c>
      <c r="C202" s="67" t="s">
        <v>2079</v>
      </c>
      <c r="D202" s="42">
        <v>261</v>
      </c>
      <c r="E202" s="42">
        <v>9598</v>
      </c>
      <c r="F202" s="59">
        <v>529108391</v>
      </c>
      <c r="G202" s="25">
        <f t="shared" si="69"/>
        <v>0.77379554919967242</v>
      </c>
      <c r="H202" s="27">
        <f t="shared" si="67"/>
        <v>409421718</v>
      </c>
      <c r="I202" s="25">
        <f t="shared" si="68"/>
        <v>0.22620445080032761</v>
      </c>
      <c r="J202" s="59">
        <v>119686673</v>
      </c>
      <c r="K202" s="27">
        <f t="shared" si="70"/>
        <v>529108391</v>
      </c>
      <c r="L202" s="28">
        <f t="shared" si="73"/>
        <v>0.77379554919967242</v>
      </c>
      <c r="M202" s="27">
        <f t="shared" si="74"/>
        <v>0.22620445080032761</v>
      </c>
      <c r="N202" s="33">
        <f>D202/$D$203</f>
        <v>0.98863636363636365</v>
      </c>
      <c r="O202" s="7">
        <f>O201</f>
        <v>2509799</v>
      </c>
      <c r="P202" s="26">
        <f t="shared" si="75"/>
        <v>561276.25322768628</v>
      </c>
      <c r="Q202" s="29">
        <f t="shared" si="76"/>
        <v>1920002.3035904954</v>
      </c>
      <c r="R202"/>
    </row>
    <row r="203" spans="1:18" ht="12.75" customHeight="1">
      <c r="A203" s="260" t="s">
        <v>1852</v>
      </c>
      <c r="B203" s="261"/>
      <c r="C203" s="262"/>
      <c r="D203" s="39">
        <f>SUM(D200:D202)</f>
        <v>264</v>
      </c>
      <c r="E203" s="39"/>
      <c r="F203" s="39"/>
      <c r="G203" s="17"/>
      <c r="H203" s="17"/>
      <c r="I203" s="17"/>
      <c r="J203" s="39"/>
      <c r="K203" s="17"/>
      <c r="L203" s="17"/>
      <c r="M203" s="17"/>
      <c r="N203" s="49"/>
      <c r="O203" s="19"/>
      <c r="P203" s="19">
        <f>SUM(P200:P202)</f>
        <v>576456.11965208617</v>
      </c>
      <c r="Q203" s="19">
        <f>SUM(Q200:Q202)</f>
        <v>1933342.8803479136</v>
      </c>
      <c r="R203" s="14"/>
    </row>
    <row r="204" spans="1:18" ht="12.75" customHeight="1">
      <c r="A204" s="15" t="s">
        <v>2189</v>
      </c>
      <c r="B204" s="16"/>
      <c r="C204" s="64"/>
      <c r="D204" s="39"/>
      <c r="E204" s="39"/>
      <c r="F204" s="55"/>
      <c r="G204" s="17"/>
      <c r="H204" s="17"/>
      <c r="I204" s="17"/>
      <c r="J204" s="55"/>
      <c r="K204" s="17"/>
      <c r="L204" s="17"/>
      <c r="M204" s="17"/>
      <c r="N204" s="49"/>
      <c r="O204" s="19"/>
      <c r="P204" s="19"/>
      <c r="Q204" s="20"/>
      <c r="R204" s="14"/>
    </row>
    <row r="205" spans="1:18" ht="12.75" customHeight="1">
      <c r="A205" s="35"/>
      <c r="B205" s="35" t="s">
        <v>2080</v>
      </c>
      <c r="C205" s="67" t="s">
        <v>2079</v>
      </c>
      <c r="D205" s="42">
        <v>81</v>
      </c>
      <c r="E205" s="42">
        <v>9598</v>
      </c>
      <c r="F205" s="59">
        <v>529108391</v>
      </c>
      <c r="G205" s="25">
        <f t="shared" si="69"/>
        <v>0.77379554919967242</v>
      </c>
      <c r="H205" s="27">
        <f t="shared" si="67"/>
        <v>409421718</v>
      </c>
      <c r="I205" s="25">
        <f t="shared" si="68"/>
        <v>0.22620445080032761</v>
      </c>
      <c r="J205" s="59">
        <v>119686673</v>
      </c>
      <c r="K205" s="27">
        <f t="shared" si="70"/>
        <v>529108391</v>
      </c>
      <c r="L205" s="28">
        <f t="shared" si="73"/>
        <v>0.77379554919967242</v>
      </c>
      <c r="M205" s="27">
        <f t="shared" si="74"/>
        <v>0.22620445080032761</v>
      </c>
      <c r="N205" s="25">
        <f>D205/D206</f>
        <v>1</v>
      </c>
      <c r="O205" s="7">
        <f>'Charter Archive File'!Q70</f>
        <v>743071</v>
      </c>
      <c r="P205" s="26">
        <f t="shared" si="75"/>
        <v>168085.96746065025</v>
      </c>
      <c r="Q205" s="29">
        <f t="shared" si="76"/>
        <v>574985.03253934975</v>
      </c>
      <c r="R205"/>
    </row>
    <row r="206" spans="1:18" ht="12.75" customHeight="1">
      <c r="A206" s="260" t="s">
        <v>1853</v>
      </c>
      <c r="B206" s="261"/>
      <c r="C206" s="262"/>
      <c r="D206" s="39">
        <f>SUM(D205)</f>
        <v>81</v>
      </c>
      <c r="E206" s="39"/>
      <c r="F206" s="39"/>
      <c r="G206" s="17"/>
      <c r="H206" s="17"/>
      <c r="I206" s="17"/>
      <c r="J206" s="39"/>
      <c r="K206" s="17"/>
      <c r="L206" s="17"/>
      <c r="M206" s="17"/>
      <c r="N206" s="49"/>
      <c r="O206" s="19"/>
      <c r="P206" s="19">
        <f>SUM(P205)</f>
        <v>168085.96746065025</v>
      </c>
      <c r="Q206" s="20">
        <f>SUM(Q205)</f>
        <v>574985.03253934975</v>
      </c>
      <c r="R206" s="14"/>
    </row>
    <row r="207" spans="1:18" ht="12.75" customHeight="1">
      <c r="A207" s="15" t="s">
        <v>2244</v>
      </c>
      <c r="B207" s="16"/>
      <c r="C207" s="64"/>
      <c r="D207" s="39"/>
      <c r="E207" s="39"/>
      <c r="F207" s="55"/>
      <c r="G207" s="17"/>
      <c r="H207" s="17"/>
      <c r="I207" s="17"/>
      <c r="J207" s="55"/>
      <c r="K207" s="17"/>
      <c r="L207" s="17"/>
      <c r="M207" s="17"/>
      <c r="N207" s="49"/>
      <c r="O207" s="19"/>
      <c r="P207" s="19"/>
      <c r="Q207" s="20"/>
      <c r="R207" s="14"/>
    </row>
    <row r="208" spans="1:18" ht="12.75" customHeight="1">
      <c r="A208" s="45"/>
      <c r="B208" s="35" t="s">
        <v>2094</v>
      </c>
      <c r="C208" s="67" t="s">
        <v>2093</v>
      </c>
      <c r="D208" s="42">
        <v>187</v>
      </c>
      <c r="E208" s="42">
        <v>15728</v>
      </c>
      <c r="F208" s="59">
        <v>132876641</v>
      </c>
      <c r="G208" s="25">
        <f t="shared" si="69"/>
        <v>0.58281695275545087</v>
      </c>
      <c r="H208" s="27">
        <f t="shared" si="67"/>
        <v>77442759</v>
      </c>
      <c r="I208" s="25">
        <f t="shared" si="68"/>
        <v>0.41718304724454919</v>
      </c>
      <c r="J208" s="59">
        <v>55433882</v>
      </c>
      <c r="K208" s="27">
        <f t="shared" si="70"/>
        <v>132876641</v>
      </c>
      <c r="L208" s="28">
        <f t="shared" si="73"/>
        <v>0.58281695275545087</v>
      </c>
      <c r="M208" s="27">
        <f t="shared" si="74"/>
        <v>0.41718304724454919</v>
      </c>
      <c r="N208" s="33">
        <f>D208/$D$225</f>
        <v>0.37474949899799598</v>
      </c>
      <c r="O208" s="7">
        <f>'Charter Archive File'!Q19</f>
        <v>7067201</v>
      </c>
      <c r="P208" s="26">
        <f t="shared" si="75"/>
        <v>1104880.1120265301</v>
      </c>
      <c r="Q208" s="29">
        <f t="shared" si="76"/>
        <v>1543549.9220416059</v>
      </c>
      <c r="R208"/>
    </row>
    <row r="209" spans="1:18" ht="12.75" customHeight="1">
      <c r="A209" s="45"/>
      <c r="B209" s="35" t="s">
        <v>1954</v>
      </c>
      <c r="C209" s="67" t="s">
        <v>2095</v>
      </c>
      <c r="D209" s="42">
        <v>26</v>
      </c>
      <c r="E209" s="42">
        <v>16378</v>
      </c>
      <c r="F209" s="59">
        <v>142543960</v>
      </c>
      <c r="G209" s="25">
        <f t="shared" si="69"/>
        <v>0.24635643628814577</v>
      </c>
      <c r="H209" s="27">
        <f t="shared" si="67"/>
        <v>35116622</v>
      </c>
      <c r="I209" s="25">
        <f t="shared" si="68"/>
        <v>0.75364356371185426</v>
      </c>
      <c r="J209" s="59">
        <v>107427338</v>
      </c>
      <c r="K209" s="27">
        <f t="shared" si="70"/>
        <v>142543960</v>
      </c>
      <c r="L209" s="28">
        <f t="shared" si="73"/>
        <v>0.24635643628814577</v>
      </c>
      <c r="M209" s="27">
        <f t="shared" si="74"/>
        <v>0.75364356371185426</v>
      </c>
      <c r="N209" s="33">
        <f t="shared" ref="N209:N224" si="79">D209/$D$225</f>
        <v>5.2104208416833664E-2</v>
      </c>
      <c r="O209" s="7">
        <f>O208</f>
        <v>7067201</v>
      </c>
      <c r="P209" s="26">
        <f t="shared" si="75"/>
        <v>277514.85816594685</v>
      </c>
      <c r="Q209" s="29">
        <f t="shared" si="76"/>
        <v>90716.055661708466</v>
      </c>
      <c r="R209"/>
    </row>
    <row r="210" spans="1:18" ht="12.75" customHeight="1">
      <c r="A210" s="45"/>
      <c r="B210" s="35" t="s">
        <v>1956</v>
      </c>
      <c r="C210" s="67" t="s">
        <v>1955</v>
      </c>
      <c r="D210" s="42">
        <v>1</v>
      </c>
      <c r="E210" s="42">
        <v>14089</v>
      </c>
      <c r="F210" s="59">
        <v>158750165</v>
      </c>
      <c r="G210" s="25">
        <f t="shared" si="69"/>
        <v>0.41933126179742869</v>
      </c>
      <c r="H210" s="27">
        <f t="shared" si="67"/>
        <v>66568907</v>
      </c>
      <c r="I210" s="25">
        <f t="shared" si="68"/>
        <v>0.58066873820257137</v>
      </c>
      <c r="J210" s="59">
        <v>92181258</v>
      </c>
      <c r="K210" s="27">
        <f t="shared" si="70"/>
        <v>158750165</v>
      </c>
      <c r="L210" s="28">
        <f t="shared" si="73"/>
        <v>0.41933126179742869</v>
      </c>
      <c r="M210" s="27">
        <f t="shared" si="74"/>
        <v>0.58066873820257137</v>
      </c>
      <c r="N210" s="33">
        <f t="shared" si="79"/>
        <v>2.004008016032064E-3</v>
      </c>
      <c r="O210" s="7">
        <f t="shared" ref="O210:O224" si="80">O209</f>
        <v>7067201</v>
      </c>
      <c r="P210" s="26">
        <f t="shared" si="75"/>
        <v>8223.8530807493989</v>
      </c>
      <c r="Q210" s="29">
        <f t="shared" si="76"/>
        <v>5938.8743741604203</v>
      </c>
      <c r="R210"/>
    </row>
    <row r="211" spans="1:18" ht="12.75" customHeight="1">
      <c r="A211" s="45"/>
      <c r="B211" s="35" t="s">
        <v>1958</v>
      </c>
      <c r="C211" s="67" t="s">
        <v>1957</v>
      </c>
      <c r="D211" s="42">
        <v>233</v>
      </c>
      <c r="E211" s="42">
        <v>13498</v>
      </c>
      <c r="F211" s="59">
        <v>67468663</v>
      </c>
      <c r="G211" s="25">
        <f t="shared" si="69"/>
        <v>0.69149464248313319</v>
      </c>
      <c r="H211" s="27">
        <f t="shared" si="67"/>
        <v>46654219</v>
      </c>
      <c r="I211" s="25">
        <f t="shared" si="68"/>
        <v>0.30850535751686675</v>
      </c>
      <c r="J211" s="59">
        <v>20814444</v>
      </c>
      <c r="K211" s="27">
        <f t="shared" si="70"/>
        <v>67468663</v>
      </c>
      <c r="L211" s="28">
        <f t="shared" si="73"/>
        <v>0.69149464248313319</v>
      </c>
      <c r="M211" s="27">
        <f t="shared" si="74"/>
        <v>0.30850535751686675</v>
      </c>
      <c r="N211" s="33">
        <f t="shared" si="79"/>
        <v>0.46693386773547096</v>
      </c>
      <c r="O211" s="7">
        <f t="shared" si="80"/>
        <v>7067201</v>
      </c>
      <c r="P211" s="26">
        <f t="shared" si="75"/>
        <v>1018041.6101755794</v>
      </c>
      <c r="Q211" s="29">
        <f t="shared" si="76"/>
        <v>2281873.8868184085</v>
      </c>
      <c r="R211"/>
    </row>
    <row r="212" spans="1:18" ht="12.75" customHeight="1">
      <c r="A212" s="45"/>
      <c r="B212" s="35" t="s">
        <v>1960</v>
      </c>
      <c r="C212" s="67" t="s">
        <v>1959</v>
      </c>
      <c r="D212" s="42">
        <v>29</v>
      </c>
      <c r="E212" s="42">
        <v>12756</v>
      </c>
      <c r="F212" s="59">
        <v>127279114</v>
      </c>
      <c r="G212" s="25">
        <f t="shared" si="69"/>
        <v>0.46184558607156867</v>
      </c>
      <c r="H212" s="27">
        <f t="shared" si="67"/>
        <v>58783297</v>
      </c>
      <c r="I212" s="25">
        <f t="shared" si="68"/>
        <v>0.53815441392843133</v>
      </c>
      <c r="J212" s="59">
        <v>68495817</v>
      </c>
      <c r="K212" s="27">
        <f t="shared" si="70"/>
        <v>127279114</v>
      </c>
      <c r="L212" s="28">
        <f t="shared" si="73"/>
        <v>0.46184558607156867</v>
      </c>
      <c r="M212" s="27">
        <f t="shared" si="74"/>
        <v>0.53815441392843133</v>
      </c>
      <c r="N212" s="33">
        <f t="shared" si="79"/>
        <v>5.8116232464929862E-2</v>
      </c>
      <c r="O212" s="7">
        <f t="shared" si="80"/>
        <v>7067201</v>
      </c>
      <c r="P212" s="26">
        <f t="shared" si="75"/>
        <v>221030.29450062785</v>
      </c>
      <c r="Q212" s="29">
        <f t="shared" si="76"/>
        <v>189688.80169175693</v>
      </c>
      <c r="R212"/>
    </row>
    <row r="213" spans="1:18" ht="12.75" customHeight="1">
      <c r="A213" s="45"/>
      <c r="B213" s="35" t="s">
        <v>1962</v>
      </c>
      <c r="C213" s="67" t="s">
        <v>1961</v>
      </c>
      <c r="D213" s="42">
        <v>4</v>
      </c>
      <c r="E213" s="42">
        <v>13221</v>
      </c>
      <c r="F213" s="59">
        <v>100067014</v>
      </c>
      <c r="G213" s="25">
        <f t="shared" si="69"/>
        <v>0.33908707418810358</v>
      </c>
      <c r="H213" s="27">
        <f t="shared" si="67"/>
        <v>33931431</v>
      </c>
      <c r="I213" s="25">
        <f t="shared" si="68"/>
        <v>0.66091292581189642</v>
      </c>
      <c r="J213" s="59">
        <v>66135583</v>
      </c>
      <c r="K213" s="27">
        <f t="shared" si="70"/>
        <v>100067014</v>
      </c>
      <c r="L213" s="28">
        <f t="shared" si="73"/>
        <v>0.33908707418810358</v>
      </c>
      <c r="M213" s="27">
        <f t="shared" si="74"/>
        <v>0.66091292581189642</v>
      </c>
      <c r="N213" s="33">
        <f t="shared" si="79"/>
        <v>8.0160320641282558E-3</v>
      </c>
      <c r="O213" s="7">
        <f t="shared" si="80"/>
        <v>7067201</v>
      </c>
      <c r="P213" s="26">
        <f t="shared" si="75"/>
        <v>37441.318558803687</v>
      </c>
      <c r="Q213" s="29">
        <f t="shared" si="76"/>
        <v>19209.591260835587</v>
      </c>
      <c r="R213"/>
    </row>
    <row r="214" spans="1:18" ht="12.75" customHeight="1">
      <c r="A214" s="45"/>
      <c r="B214" s="35" t="s">
        <v>1964</v>
      </c>
      <c r="C214" s="67" t="s">
        <v>1963</v>
      </c>
      <c r="D214" s="42">
        <v>1</v>
      </c>
      <c r="E214" s="42">
        <v>16022</v>
      </c>
      <c r="F214" s="59">
        <v>39058280</v>
      </c>
      <c r="G214" s="25">
        <f t="shared" si="69"/>
        <v>0.32670854937800642</v>
      </c>
      <c r="H214" s="27">
        <f t="shared" si="67"/>
        <v>12760674</v>
      </c>
      <c r="I214" s="25">
        <f t="shared" si="68"/>
        <v>0.67329145062199358</v>
      </c>
      <c r="J214" s="59">
        <v>26297606</v>
      </c>
      <c r="K214" s="27">
        <f t="shared" si="70"/>
        <v>39058280</v>
      </c>
      <c r="L214" s="28">
        <f t="shared" si="73"/>
        <v>0.32670854937800642</v>
      </c>
      <c r="M214" s="27">
        <f t="shared" si="74"/>
        <v>0.67329145062199358</v>
      </c>
      <c r="N214" s="33">
        <f t="shared" si="79"/>
        <v>2.004008016032064E-3</v>
      </c>
      <c r="O214" s="7">
        <f t="shared" si="80"/>
        <v>7067201</v>
      </c>
      <c r="P214" s="26">
        <f t="shared" si="75"/>
        <v>9535.6433128801673</v>
      </c>
      <c r="Q214" s="29">
        <f t="shared" si="76"/>
        <v>4627.084142029652</v>
      </c>
      <c r="R214"/>
    </row>
    <row r="215" spans="1:18" ht="12.75" customHeight="1">
      <c r="A215" s="45"/>
      <c r="B215" s="35" t="s">
        <v>1966</v>
      </c>
      <c r="C215" s="67" t="s">
        <v>1965</v>
      </c>
      <c r="D215" s="42">
        <v>1</v>
      </c>
      <c r="E215" s="42">
        <v>11595</v>
      </c>
      <c r="F215" s="59">
        <v>62699651</v>
      </c>
      <c r="G215" s="25">
        <f t="shared" si="69"/>
        <v>0.38336907170344536</v>
      </c>
      <c r="H215" s="27">
        <f t="shared" si="67"/>
        <v>24037107</v>
      </c>
      <c r="I215" s="25">
        <f t="shared" si="68"/>
        <v>0.61663092829655464</v>
      </c>
      <c r="J215" s="59">
        <v>38662544</v>
      </c>
      <c r="K215" s="27">
        <f t="shared" si="70"/>
        <v>62699651</v>
      </c>
      <c r="L215" s="28">
        <f t="shared" si="73"/>
        <v>0.38336907170344536</v>
      </c>
      <c r="M215" s="27">
        <f t="shared" si="74"/>
        <v>0.61663092829655464</v>
      </c>
      <c r="N215" s="33">
        <f t="shared" si="79"/>
        <v>2.004008016032064E-3</v>
      </c>
      <c r="O215" s="7">
        <f t="shared" si="80"/>
        <v>7067201</v>
      </c>
      <c r="P215" s="26">
        <f t="shared" si="75"/>
        <v>8733.1757777321418</v>
      </c>
      <c r="Q215" s="29">
        <f t="shared" si="76"/>
        <v>5429.5516771776765</v>
      </c>
      <c r="R215"/>
    </row>
    <row r="216" spans="1:18" ht="12.75" customHeight="1">
      <c r="A216" s="45"/>
      <c r="B216" s="35" t="s">
        <v>1968</v>
      </c>
      <c r="C216" s="67" t="s">
        <v>1967</v>
      </c>
      <c r="D216" s="42">
        <v>2</v>
      </c>
      <c r="E216" s="42">
        <v>15664</v>
      </c>
      <c r="F216" s="59">
        <v>79395604</v>
      </c>
      <c r="G216" s="25">
        <f t="shared" si="69"/>
        <v>0.1695075460349165</v>
      </c>
      <c r="H216" s="27">
        <f t="shared" si="67"/>
        <v>13458154</v>
      </c>
      <c r="I216" s="25">
        <f t="shared" si="68"/>
        <v>0.83049245396508353</v>
      </c>
      <c r="J216" s="59">
        <v>65937450</v>
      </c>
      <c r="K216" s="27">
        <f t="shared" si="70"/>
        <v>79395604</v>
      </c>
      <c r="L216" s="28">
        <f t="shared" si="73"/>
        <v>0.1695075460349165</v>
      </c>
      <c r="M216" s="27">
        <f t="shared" si="74"/>
        <v>0.83049245396508353</v>
      </c>
      <c r="N216" s="33">
        <f t="shared" si="79"/>
        <v>4.0080160320641279E-3</v>
      </c>
      <c r="O216" s="7">
        <f t="shared" si="80"/>
        <v>7067201</v>
      </c>
      <c r="P216" s="26">
        <f t="shared" si="75"/>
        <v>23524.076557733435</v>
      </c>
      <c r="Q216" s="29">
        <f t="shared" si="76"/>
        <v>4801.3783520862034</v>
      </c>
      <c r="R216"/>
    </row>
    <row r="217" spans="1:18" ht="12.75" customHeight="1">
      <c r="A217" s="45"/>
      <c r="B217" s="35" t="s">
        <v>1970</v>
      </c>
      <c r="C217" s="67" t="s">
        <v>1969</v>
      </c>
      <c r="D217" s="42">
        <v>1</v>
      </c>
      <c r="E217" s="42">
        <v>15535</v>
      </c>
      <c r="F217" s="59">
        <v>22872062</v>
      </c>
      <c r="G217" s="25">
        <f t="shared" si="69"/>
        <v>0.24944602720996473</v>
      </c>
      <c r="H217" s="27">
        <f t="shared" si="67"/>
        <v>5705345</v>
      </c>
      <c r="I217" s="25">
        <f t="shared" si="68"/>
        <v>0.75055397279003533</v>
      </c>
      <c r="J217" s="59">
        <v>17166717</v>
      </c>
      <c r="K217" s="27">
        <f t="shared" si="70"/>
        <v>22872062</v>
      </c>
      <c r="L217" s="28">
        <f t="shared" si="73"/>
        <v>0.24944602720996473</v>
      </c>
      <c r="M217" s="27">
        <f t="shared" si="74"/>
        <v>0.75055397279003533</v>
      </c>
      <c r="N217" s="33">
        <f t="shared" si="79"/>
        <v>2.004008016032064E-3</v>
      </c>
      <c r="O217" s="7">
        <f t="shared" si="80"/>
        <v>7067201</v>
      </c>
      <c r="P217" s="26">
        <f t="shared" si="75"/>
        <v>10629.89135682507</v>
      </c>
      <c r="Q217" s="29">
        <f t="shared" si="76"/>
        <v>3532.8360980847492</v>
      </c>
      <c r="R217"/>
    </row>
    <row r="218" spans="1:18" ht="12.75" customHeight="1">
      <c r="A218" s="45"/>
      <c r="B218" s="35" t="s">
        <v>1972</v>
      </c>
      <c r="C218" s="67" t="s">
        <v>1971</v>
      </c>
      <c r="D218" s="42">
        <v>1</v>
      </c>
      <c r="E218" s="42">
        <v>14542</v>
      </c>
      <c r="F218" s="59">
        <v>22064814</v>
      </c>
      <c r="G218" s="25">
        <f t="shared" si="69"/>
        <v>0.38744627532323633</v>
      </c>
      <c r="H218" s="27">
        <f t="shared" si="67"/>
        <v>8548930</v>
      </c>
      <c r="I218" s="25">
        <f t="shared" si="68"/>
        <v>0.61255372467676361</v>
      </c>
      <c r="J218" s="59">
        <v>13515884</v>
      </c>
      <c r="K218" s="27">
        <f t="shared" si="70"/>
        <v>22064814</v>
      </c>
      <c r="L218" s="28">
        <f t="shared" si="73"/>
        <v>0.38744627532323633</v>
      </c>
      <c r="M218" s="27">
        <f t="shared" si="74"/>
        <v>0.61255372467676361</v>
      </c>
      <c r="N218" s="33">
        <f t="shared" si="79"/>
        <v>2.004008016032064E-3</v>
      </c>
      <c r="O218" s="7">
        <f t="shared" si="80"/>
        <v>7067201</v>
      </c>
      <c r="P218" s="26">
        <f t="shared" si="75"/>
        <v>8675.4314540868691</v>
      </c>
      <c r="Q218" s="29">
        <f t="shared" si="76"/>
        <v>5487.2960008229475</v>
      </c>
      <c r="R218"/>
    </row>
    <row r="219" spans="1:18" ht="12.75" customHeight="1">
      <c r="A219" s="45"/>
      <c r="B219" s="35" t="s">
        <v>1974</v>
      </c>
      <c r="C219" s="67" t="s">
        <v>1973</v>
      </c>
      <c r="D219" s="42">
        <v>3</v>
      </c>
      <c r="E219" s="42">
        <v>16988</v>
      </c>
      <c r="F219" s="59">
        <v>102407307</v>
      </c>
      <c r="G219" s="25">
        <f t="shared" si="69"/>
        <v>0.2514987529161371</v>
      </c>
      <c r="H219" s="27">
        <f t="shared" si="67"/>
        <v>25755310</v>
      </c>
      <c r="I219" s="25">
        <f t="shared" si="68"/>
        <v>0.7485012470838629</v>
      </c>
      <c r="J219" s="59">
        <v>76651997</v>
      </c>
      <c r="K219" s="27">
        <f t="shared" si="70"/>
        <v>102407307</v>
      </c>
      <c r="L219" s="28">
        <f t="shared" si="73"/>
        <v>0.2514987529161371</v>
      </c>
      <c r="M219" s="27">
        <f t="shared" si="74"/>
        <v>0.7485012470838629</v>
      </c>
      <c r="N219" s="33">
        <f t="shared" si="79"/>
        <v>6.0120240480961923E-3</v>
      </c>
      <c r="O219" s="7">
        <f t="shared" si="80"/>
        <v>7067201</v>
      </c>
      <c r="P219" s="26">
        <f t="shared" si="75"/>
        <v>31802.457486326592</v>
      </c>
      <c r="Q219" s="29">
        <f t="shared" si="76"/>
        <v>10685.724878402869</v>
      </c>
      <c r="R219"/>
    </row>
    <row r="220" spans="1:18" ht="12.75" customHeight="1">
      <c r="A220" s="45"/>
      <c r="B220" s="35" t="s">
        <v>1976</v>
      </c>
      <c r="C220" s="67" t="s">
        <v>1975</v>
      </c>
      <c r="D220" s="42">
        <v>1</v>
      </c>
      <c r="E220" s="42">
        <v>19475</v>
      </c>
      <c r="F220" s="59">
        <v>88004055</v>
      </c>
      <c r="G220" s="25">
        <f t="shared" si="69"/>
        <v>9.7821276530950768E-2</v>
      </c>
      <c r="H220" s="27">
        <f t="shared" si="67"/>
        <v>8608669</v>
      </c>
      <c r="I220" s="25">
        <f t="shared" si="68"/>
        <v>0.90217872346904926</v>
      </c>
      <c r="J220" s="59">
        <v>79395386</v>
      </c>
      <c r="K220" s="27">
        <f t="shared" si="70"/>
        <v>88004055</v>
      </c>
      <c r="L220" s="28">
        <f t="shared" si="73"/>
        <v>9.7821276530950768E-2</v>
      </c>
      <c r="M220" s="27">
        <f t="shared" si="74"/>
        <v>0.90217872346904926</v>
      </c>
      <c r="N220" s="33">
        <f t="shared" si="79"/>
        <v>2.004008016032064E-3</v>
      </c>
      <c r="O220" s="7">
        <f t="shared" si="80"/>
        <v>7067201</v>
      </c>
      <c r="P220" s="26">
        <f t="shared" si="75"/>
        <v>12777.311376110596</v>
      </c>
      <c r="Q220" s="29">
        <f t="shared" si="76"/>
        <v>1385.4160787992219</v>
      </c>
      <c r="R220"/>
    </row>
    <row r="221" spans="1:18" ht="12.75" customHeight="1">
      <c r="A221" s="45"/>
      <c r="B221" s="35" t="s">
        <v>1764</v>
      </c>
      <c r="C221" s="67" t="s">
        <v>1977</v>
      </c>
      <c r="D221" s="42">
        <v>2</v>
      </c>
      <c r="E221" s="42">
        <v>10196</v>
      </c>
      <c r="F221" s="37">
        <v>18195451330</v>
      </c>
      <c r="G221" s="25">
        <f t="shared" si="69"/>
        <v>0.53085301347125202</v>
      </c>
      <c r="H221" s="27">
        <f t="shared" si="67"/>
        <v>9659110170</v>
      </c>
      <c r="I221" s="25">
        <f t="shared" si="68"/>
        <v>0.46914698652874803</v>
      </c>
      <c r="J221" s="37">
        <v>8536341160</v>
      </c>
      <c r="K221" s="27">
        <f t="shared" si="70"/>
        <v>18195451330</v>
      </c>
      <c r="L221" s="28">
        <f t="shared" si="73"/>
        <v>0.53085301347125202</v>
      </c>
      <c r="M221" s="27">
        <f t="shared" si="74"/>
        <v>0.46914698652874803</v>
      </c>
      <c r="N221" s="33">
        <f t="shared" si="79"/>
        <v>4.0080160320641279E-3</v>
      </c>
      <c r="O221" s="7">
        <f t="shared" si="80"/>
        <v>7067201</v>
      </c>
      <c r="P221" s="26">
        <f t="shared" si="75"/>
        <v>13288.801812997814</v>
      </c>
      <c r="Q221" s="29">
        <f t="shared" si="76"/>
        <v>15036.653096821825</v>
      </c>
      <c r="R221"/>
    </row>
    <row r="222" spans="1:18" ht="12.75" customHeight="1">
      <c r="A222" s="45"/>
      <c r="B222" s="35" t="s">
        <v>1979</v>
      </c>
      <c r="C222" s="67" t="s">
        <v>1978</v>
      </c>
      <c r="D222" s="42">
        <v>3</v>
      </c>
      <c r="E222" s="42">
        <v>11036</v>
      </c>
      <c r="F222" s="59">
        <v>86121750</v>
      </c>
      <c r="G222" s="25">
        <f t="shared" si="69"/>
        <v>0.50266457660231012</v>
      </c>
      <c r="H222" s="27">
        <f t="shared" si="67"/>
        <v>43290353</v>
      </c>
      <c r="I222" s="25">
        <f t="shared" si="68"/>
        <v>0.49733542339768988</v>
      </c>
      <c r="J222" s="59">
        <v>42831397</v>
      </c>
      <c r="K222" s="27">
        <f t="shared" si="70"/>
        <v>86121750</v>
      </c>
      <c r="L222" s="28">
        <f t="shared" si="73"/>
        <v>0.50266457660231012</v>
      </c>
      <c r="M222" s="27">
        <f t="shared" si="74"/>
        <v>0.49733542339768988</v>
      </c>
      <c r="N222" s="33">
        <f t="shared" si="79"/>
        <v>6.0120240480961923E-3</v>
      </c>
      <c r="O222" s="7">
        <f t="shared" si="80"/>
        <v>7067201</v>
      </c>
      <c r="P222" s="26">
        <f t="shared" si="75"/>
        <v>21130.878165760987</v>
      </c>
      <c r="Q222" s="29">
        <f t="shared" si="76"/>
        <v>21357.304198968472</v>
      </c>
      <c r="R222"/>
    </row>
    <row r="223" spans="1:18" ht="12.75" customHeight="1">
      <c r="A223" s="45"/>
      <c r="B223" s="35" t="s">
        <v>1981</v>
      </c>
      <c r="C223" s="67" t="s">
        <v>1980</v>
      </c>
      <c r="D223" s="42">
        <v>3</v>
      </c>
      <c r="E223" s="42">
        <v>13775</v>
      </c>
      <c r="F223" s="59">
        <v>64403806</v>
      </c>
      <c r="G223" s="25">
        <f t="shared" si="69"/>
        <v>0.36650745454391315</v>
      </c>
      <c r="H223" s="27">
        <f t="shared" si="67"/>
        <v>23604475</v>
      </c>
      <c r="I223" s="25">
        <f t="shared" si="68"/>
        <v>0.63349254545608691</v>
      </c>
      <c r="J223" s="59">
        <v>40799331</v>
      </c>
      <c r="K223" s="27">
        <f t="shared" si="70"/>
        <v>64403806</v>
      </c>
      <c r="L223" s="28">
        <f t="shared" si="73"/>
        <v>0.36650745454391315</v>
      </c>
      <c r="M223" s="27">
        <f t="shared" si="74"/>
        <v>0.63349254545608691</v>
      </c>
      <c r="N223" s="33">
        <f t="shared" si="79"/>
        <v>6.0120240480961923E-3</v>
      </c>
      <c r="O223" s="7">
        <f t="shared" si="80"/>
        <v>7067201</v>
      </c>
      <c r="P223" s="26">
        <f t="shared" si="75"/>
        <v>26915.946798034885</v>
      </c>
      <c r="Q223" s="29">
        <f t="shared" si="76"/>
        <v>15572.235566694575</v>
      </c>
      <c r="R223"/>
    </row>
    <row r="224" spans="1:18" ht="12.75" customHeight="1">
      <c r="A224" s="45"/>
      <c r="B224" s="35" t="s">
        <v>1983</v>
      </c>
      <c r="C224" s="67" t="s">
        <v>1982</v>
      </c>
      <c r="D224" s="42">
        <v>1</v>
      </c>
      <c r="E224" s="42">
        <v>13732</v>
      </c>
      <c r="F224" s="59">
        <v>47504986</v>
      </c>
      <c r="G224" s="25">
        <f t="shared" si="69"/>
        <v>0.64512466123029699</v>
      </c>
      <c r="H224" s="27">
        <f t="shared" si="67"/>
        <v>30646638</v>
      </c>
      <c r="I224" s="25">
        <f t="shared" si="68"/>
        <v>0.35487533876970306</v>
      </c>
      <c r="J224" s="59">
        <v>16858348</v>
      </c>
      <c r="K224" s="27">
        <f t="shared" si="70"/>
        <v>47504986</v>
      </c>
      <c r="L224" s="28">
        <f t="shared" si="73"/>
        <v>0.64512466123029699</v>
      </c>
      <c r="M224" s="27">
        <f t="shared" si="74"/>
        <v>0.35487533876970306</v>
      </c>
      <c r="N224" s="33">
        <f t="shared" si="79"/>
        <v>2.004008016032064E-3</v>
      </c>
      <c r="O224" s="7">
        <f t="shared" si="80"/>
        <v>7067201</v>
      </c>
      <c r="P224" s="26">
        <f t="shared" si="75"/>
        <v>5026.0027034640962</v>
      </c>
      <c r="Q224" s="29">
        <f t="shared" si="76"/>
        <v>9136.7247514457231</v>
      </c>
      <c r="R224"/>
    </row>
    <row r="225" spans="1:18" ht="12.75" customHeight="1">
      <c r="A225" s="260" t="s">
        <v>1854</v>
      </c>
      <c r="B225" s="261"/>
      <c r="C225" s="262"/>
      <c r="D225" s="39">
        <f>SUM(D208:D224)</f>
        <v>499</v>
      </c>
      <c r="E225" s="39"/>
      <c r="F225" s="39"/>
      <c r="G225" s="17"/>
      <c r="H225" s="17"/>
      <c r="I225" s="17"/>
      <c r="J225" s="39"/>
      <c r="K225" s="17"/>
      <c r="L225" s="17"/>
      <c r="M225" s="17"/>
      <c r="N225" s="49"/>
      <c r="O225" s="19"/>
      <c r="P225" s="20">
        <f>SUM(P208:P224)</f>
        <v>2839171.6633101907</v>
      </c>
      <c r="Q225" s="20">
        <f>SUM(Q208:Q224)</f>
        <v>4228029.3366898084</v>
      </c>
      <c r="R225" s="14"/>
    </row>
    <row r="226" spans="1:18" ht="12.75" customHeight="1">
      <c r="A226" s="15" t="s">
        <v>1855</v>
      </c>
      <c r="B226" s="16"/>
      <c r="C226" s="64"/>
      <c r="D226" s="39"/>
      <c r="E226" s="39"/>
      <c r="F226" s="55"/>
      <c r="G226" s="17"/>
      <c r="H226" s="17"/>
      <c r="I226" s="17"/>
      <c r="J226" s="55"/>
      <c r="K226" s="17"/>
      <c r="L226" s="17"/>
      <c r="M226" s="17"/>
      <c r="N226" s="49"/>
      <c r="O226" s="19"/>
      <c r="P226" s="19"/>
      <c r="Q226" s="20"/>
      <c r="R226" s="14"/>
    </row>
    <row r="227" spans="1:18" ht="12.75" customHeight="1">
      <c r="A227" s="45"/>
      <c r="B227" s="35" t="s">
        <v>1764</v>
      </c>
      <c r="C227" s="67" t="s">
        <v>1977</v>
      </c>
      <c r="D227" s="42">
        <v>136</v>
      </c>
      <c r="E227" s="42">
        <v>10196</v>
      </c>
      <c r="F227" s="37">
        <v>18195451330</v>
      </c>
      <c r="G227" s="25">
        <f t="shared" si="69"/>
        <v>0.53085301347125202</v>
      </c>
      <c r="H227" s="27">
        <f t="shared" si="67"/>
        <v>9659110170</v>
      </c>
      <c r="I227" s="25">
        <f t="shared" si="68"/>
        <v>0.46914698652874803</v>
      </c>
      <c r="J227" s="37">
        <v>8536341160</v>
      </c>
      <c r="K227" s="27">
        <f t="shared" si="70"/>
        <v>18195451330</v>
      </c>
      <c r="L227" s="28">
        <f t="shared" si="73"/>
        <v>0.53085301347125202</v>
      </c>
      <c r="M227" s="27">
        <f t="shared" si="74"/>
        <v>0.46914698652874803</v>
      </c>
      <c r="N227" s="25">
        <f>D227/D228</f>
        <v>1</v>
      </c>
      <c r="O227" s="7">
        <f>'Charter Archive File'!Q55</f>
        <v>1394460</v>
      </c>
      <c r="P227" s="26">
        <f t="shared" si="75"/>
        <v>654206.70683487796</v>
      </c>
      <c r="Q227" s="29">
        <f t="shared" si="76"/>
        <v>740253.29316512204</v>
      </c>
      <c r="R227"/>
    </row>
    <row r="228" spans="1:18" ht="12.75" customHeight="1">
      <c r="A228" s="260" t="s">
        <v>1856</v>
      </c>
      <c r="B228" s="261"/>
      <c r="C228" s="262"/>
      <c r="D228" s="39">
        <f>SUM(D227)</f>
        <v>136</v>
      </c>
      <c r="E228" s="39"/>
      <c r="F228" s="39"/>
      <c r="G228" s="17"/>
      <c r="H228" s="17"/>
      <c r="I228" s="17"/>
      <c r="J228" s="39"/>
      <c r="K228" s="17"/>
      <c r="L228" s="17"/>
      <c r="M228" s="17"/>
      <c r="N228" s="49"/>
      <c r="O228" s="19"/>
      <c r="P228" s="19">
        <f>SUM(P227)</f>
        <v>654206.70683487796</v>
      </c>
      <c r="Q228" s="20">
        <f>SUM(Q227)</f>
        <v>740253.29316512204</v>
      </c>
      <c r="R228" s="14"/>
    </row>
    <row r="229" spans="1:18" ht="12.75" customHeight="1">
      <c r="A229" s="15" t="s">
        <v>1857</v>
      </c>
      <c r="B229" s="16"/>
      <c r="C229" s="64"/>
      <c r="D229" s="39"/>
      <c r="E229" s="39"/>
      <c r="F229" s="55"/>
      <c r="G229" s="17"/>
      <c r="H229" s="17"/>
      <c r="I229" s="17"/>
      <c r="J229" s="55"/>
      <c r="K229" s="17"/>
      <c r="L229" s="17"/>
      <c r="M229" s="17"/>
      <c r="N229" s="49"/>
      <c r="O229" s="19"/>
      <c r="P229" s="19"/>
      <c r="Q229" s="20"/>
      <c r="R229" s="14"/>
    </row>
    <row r="230" spans="1:18" ht="12.75" customHeight="1">
      <c r="A230" s="45"/>
      <c r="B230" s="35" t="s">
        <v>1764</v>
      </c>
      <c r="C230" s="67" t="s">
        <v>1977</v>
      </c>
      <c r="D230" s="42">
        <v>426</v>
      </c>
      <c r="E230" s="42">
        <v>10196</v>
      </c>
      <c r="F230" s="37">
        <v>18195451330</v>
      </c>
      <c r="G230" s="25">
        <f>H230/F230</f>
        <v>0.53085301347125202</v>
      </c>
      <c r="H230" s="27">
        <f>F230-J230</f>
        <v>9659110170</v>
      </c>
      <c r="I230" s="25">
        <f>J230/F230</f>
        <v>0.46914698652874803</v>
      </c>
      <c r="J230" s="37">
        <v>8536341160</v>
      </c>
      <c r="K230" s="27">
        <f>SUM(H230+J230)</f>
        <v>18195451330</v>
      </c>
      <c r="L230" s="28">
        <f t="shared" si="73"/>
        <v>0.53085301347125202</v>
      </c>
      <c r="M230" s="27">
        <f t="shared" si="74"/>
        <v>0.46914698652874803</v>
      </c>
      <c r="N230" s="25">
        <f>D230/D231</f>
        <v>1</v>
      </c>
      <c r="O230" s="7">
        <f>'Charter Archive File'!Q48</f>
        <v>4333300</v>
      </c>
      <c r="P230" s="26">
        <f t="shared" si="75"/>
        <v>2032954.6367250239</v>
      </c>
      <c r="Q230" s="29">
        <f t="shared" si="76"/>
        <v>2300345.3632749766</v>
      </c>
      <c r="R230"/>
    </row>
    <row r="231" spans="1:18" ht="12.75" customHeight="1">
      <c r="A231" s="260" t="s">
        <v>1858</v>
      </c>
      <c r="B231" s="261"/>
      <c r="C231" s="262"/>
      <c r="D231" s="39">
        <f>SUM(D230)</f>
        <v>426</v>
      </c>
      <c r="E231" s="39"/>
      <c r="F231" s="39"/>
      <c r="G231" s="17"/>
      <c r="H231" s="17"/>
      <c r="I231" s="17"/>
      <c r="J231" s="39"/>
      <c r="K231" s="17"/>
      <c r="L231" s="17"/>
      <c r="M231" s="17"/>
      <c r="N231" s="49"/>
      <c r="O231" s="19"/>
      <c r="P231" s="19">
        <f>SUM(P230)</f>
        <v>2032954.6367250239</v>
      </c>
      <c r="Q231" s="20">
        <f>SUM(Q230)</f>
        <v>2300345.3632749766</v>
      </c>
      <c r="R231" s="14"/>
    </row>
    <row r="232" spans="1:18" ht="12.75" customHeight="1">
      <c r="A232" s="15" t="s">
        <v>1984</v>
      </c>
      <c r="B232" s="16"/>
      <c r="C232" s="64"/>
      <c r="D232" s="39"/>
      <c r="E232" s="39"/>
      <c r="F232" s="55"/>
      <c r="G232" s="17"/>
      <c r="H232" s="17"/>
      <c r="I232" s="17"/>
      <c r="J232" s="55"/>
      <c r="K232" s="17"/>
      <c r="L232" s="17"/>
      <c r="M232" s="17"/>
      <c r="N232" s="49"/>
      <c r="O232" s="19"/>
      <c r="P232" s="19"/>
      <c r="Q232" s="20"/>
      <c r="R232" s="14"/>
    </row>
    <row r="233" spans="1:18" ht="12.75" customHeight="1">
      <c r="A233" s="35"/>
      <c r="B233" s="35" t="s">
        <v>1764</v>
      </c>
      <c r="C233" s="67" t="s">
        <v>1977</v>
      </c>
      <c r="D233" s="42">
        <v>245</v>
      </c>
      <c r="E233" s="42">
        <v>10196</v>
      </c>
      <c r="F233" s="37">
        <v>18195451330</v>
      </c>
      <c r="G233" s="25">
        <f>H233/F233</f>
        <v>0.53085301347125202</v>
      </c>
      <c r="H233" s="27">
        <f>F233-J233</f>
        <v>9659110170</v>
      </c>
      <c r="I233" s="25">
        <f>J233/F233</f>
        <v>0.46914698652874803</v>
      </c>
      <c r="J233" s="37">
        <v>8536341160</v>
      </c>
      <c r="K233" s="27">
        <f>SUM(H233+J233)</f>
        <v>18195451330</v>
      </c>
      <c r="L233" s="28">
        <f t="shared" si="73"/>
        <v>0.53085301347125202</v>
      </c>
      <c r="M233" s="27">
        <f t="shared" si="74"/>
        <v>0.46914698652874803</v>
      </c>
      <c r="N233" s="25">
        <f>D233/D234</f>
        <v>1</v>
      </c>
      <c r="O233" s="7">
        <f>'Charter Archive File'!Q21</f>
        <v>2467850</v>
      </c>
      <c r="P233" s="26">
        <f t="shared" si="75"/>
        <v>1157784.3907049708</v>
      </c>
      <c r="Q233" s="29">
        <f t="shared" si="76"/>
        <v>1310065.6092950292</v>
      </c>
      <c r="R233"/>
    </row>
    <row r="234" spans="1:18" ht="12.75" customHeight="1">
      <c r="A234" s="260" t="s">
        <v>1859</v>
      </c>
      <c r="B234" s="261"/>
      <c r="C234" s="262"/>
      <c r="D234" s="39">
        <f>SUM(D233)</f>
        <v>245</v>
      </c>
      <c r="E234" s="39"/>
      <c r="F234" s="39"/>
      <c r="G234" s="17"/>
      <c r="H234" s="17"/>
      <c r="I234" s="17"/>
      <c r="J234" s="39"/>
      <c r="K234" s="17"/>
      <c r="L234" s="17"/>
      <c r="M234" s="17"/>
      <c r="N234" s="49"/>
      <c r="O234" s="19"/>
      <c r="P234" s="19">
        <f>SUM(P233)</f>
        <v>1157784.3907049708</v>
      </c>
      <c r="Q234" s="20">
        <f>SUM(Q233)</f>
        <v>1310065.6092950292</v>
      </c>
      <c r="R234" s="14"/>
    </row>
    <row r="235" spans="1:18" ht="12.75" customHeight="1">
      <c r="A235" s="15" t="s">
        <v>1860</v>
      </c>
      <c r="B235" s="16"/>
      <c r="C235" s="64"/>
      <c r="D235" s="39"/>
      <c r="E235" s="39"/>
      <c r="F235" s="55"/>
      <c r="G235" s="17"/>
      <c r="H235" s="17"/>
      <c r="I235" s="17"/>
      <c r="J235" s="55"/>
      <c r="K235" s="17"/>
      <c r="L235" s="17"/>
      <c r="M235" s="17"/>
      <c r="N235" s="49"/>
      <c r="O235" s="19"/>
      <c r="P235" s="19"/>
      <c r="Q235" s="20"/>
      <c r="R235" s="14"/>
    </row>
    <row r="236" spans="1:18" ht="12.75" customHeight="1">
      <c r="A236" s="45"/>
      <c r="B236" s="35" t="s">
        <v>1764</v>
      </c>
      <c r="C236" s="67" t="s">
        <v>1977</v>
      </c>
      <c r="D236" s="42">
        <v>1</v>
      </c>
      <c r="E236" s="42">
        <v>10196</v>
      </c>
      <c r="F236" s="37">
        <v>18195451330</v>
      </c>
      <c r="G236" s="25">
        <f>H236/F236</f>
        <v>0.53085301347125202</v>
      </c>
      <c r="H236" s="27">
        <f>F236-J236</f>
        <v>9659110170</v>
      </c>
      <c r="I236" s="25">
        <f>J236/F236</f>
        <v>0.46914698652874803</v>
      </c>
      <c r="J236" s="37">
        <v>8536341160</v>
      </c>
      <c r="K236" s="27">
        <f>SUM(H236+J236)</f>
        <v>18195451330</v>
      </c>
      <c r="L236" s="28">
        <f t="shared" si="73"/>
        <v>0.53085301347125202</v>
      </c>
      <c r="M236" s="27">
        <f t="shared" si="74"/>
        <v>0.46914698652874803</v>
      </c>
      <c r="N236" s="33">
        <f>D236/$D$240</f>
        <v>4.7169811320754715E-3</v>
      </c>
      <c r="O236" s="7">
        <f>'Charter Archive File'!Q53</f>
        <v>3819739</v>
      </c>
      <c r="P236" s="26">
        <f t="shared" si="75"/>
        <v>8452.9200055487436</v>
      </c>
      <c r="Q236" s="29">
        <f t="shared" si="76"/>
        <v>9564.7167869040895</v>
      </c>
      <c r="R236"/>
    </row>
    <row r="237" spans="1:18" ht="12.75" customHeight="1">
      <c r="A237" s="45"/>
      <c r="B237" s="35" t="s">
        <v>1764</v>
      </c>
      <c r="C237" s="67" t="s">
        <v>1977</v>
      </c>
      <c r="D237" s="42">
        <v>3</v>
      </c>
      <c r="E237" s="42">
        <v>10196</v>
      </c>
      <c r="F237" s="37">
        <v>18195451330</v>
      </c>
      <c r="G237" s="25">
        <f>H237/F237</f>
        <v>0.53085301347125202</v>
      </c>
      <c r="H237" s="27">
        <f>F237-J237</f>
        <v>9659110170</v>
      </c>
      <c r="I237" s="25">
        <f>J237/F237</f>
        <v>0.46914698652874803</v>
      </c>
      <c r="J237" s="37">
        <v>8536341160</v>
      </c>
      <c r="K237" s="27">
        <f>SUM(H237+J237)</f>
        <v>18195451330</v>
      </c>
      <c r="L237" s="28">
        <f t="shared" si="73"/>
        <v>0.53085301347125202</v>
      </c>
      <c r="M237" s="27">
        <f t="shared" si="74"/>
        <v>0.46914698652874803</v>
      </c>
      <c r="N237" s="33">
        <f>D237/$D$240</f>
        <v>1.4150943396226415E-2</v>
      </c>
      <c r="O237" s="7">
        <f>O236</f>
        <v>3819739</v>
      </c>
      <c r="P237" s="26">
        <f t="shared" si="75"/>
        <v>25358.760016646229</v>
      </c>
      <c r="Q237" s="29">
        <f t="shared" si="76"/>
        <v>28694.150360712265</v>
      </c>
      <c r="R237"/>
    </row>
    <row r="238" spans="1:18" ht="12.75" customHeight="1">
      <c r="A238" s="45"/>
      <c r="B238" s="35" t="s">
        <v>1764</v>
      </c>
      <c r="C238" s="67" t="s">
        <v>1977</v>
      </c>
      <c r="D238" s="42">
        <v>19</v>
      </c>
      <c r="E238" s="42">
        <v>10196</v>
      </c>
      <c r="F238" s="37">
        <v>18195451330</v>
      </c>
      <c r="G238" s="25">
        <f>H238/F238</f>
        <v>0.53085301347125202</v>
      </c>
      <c r="H238" s="27">
        <f>F238-J238</f>
        <v>9659110170</v>
      </c>
      <c r="I238" s="25">
        <f>J238/F238</f>
        <v>0.46914698652874803</v>
      </c>
      <c r="J238" s="37">
        <v>8536341160</v>
      </c>
      <c r="K238" s="27">
        <f>SUM(H238+J238)</f>
        <v>18195451330</v>
      </c>
      <c r="L238" s="28">
        <f t="shared" si="73"/>
        <v>0.53085301347125202</v>
      </c>
      <c r="M238" s="27">
        <f t="shared" si="74"/>
        <v>0.46914698652874803</v>
      </c>
      <c r="N238" s="33">
        <f>D238/$D$240</f>
        <v>8.9622641509433956E-2</v>
      </c>
      <c r="O238" s="7">
        <f>O237</f>
        <v>3819739</v>
      </c>
      <c r="P238" s="26">
        <f t="shared" si="75"/>
        <v>160605.4801054261</v>
      </c>
      <c r="Q238" s="29">
        <f t="shared" si="76"/>
        <v>181729.61895117766</v>
      </c>
      <c r="R238"/>
    </row>
    <row r="239" spans="1:18" ht="12.75" customHeight="1">
      <c r="A239" s="45"/>
      <c r="B239" s="35" t="s">
        <v>1764</v>
      </c>
      <c r="C239" s="67" t="s">
        <v>1977</v>
      </c>
      <c r="D239" s="42">
        <v>189</v>
      </c>
      <c r="E239" s="42">
        <v>10196</v>
      </c>
      <c r="F239" s="37">
        <v>18195451330</v>
      </c>
      <c r="G239" s="25">
        <f>H239/F239</f>
        <v>0.53085301347125202</v>
      </c>
      <c r="H239" s="27">
        <f>F239-J239</f>
        <v>9659110170</v>
      </c>
      <c r="I239" s="25">
        <f>J239/F239</f>
        <v>0.46914698652874803</v>
      </c>
      <c r="J239" s="37">
        <v>8536341160</v>
      </c>
      <c r="K239" s="27">
        <f>SUM(H239+J239)</f>
        <v>18195451330</v>
      </c>
      <c r="L239" s="28">
        <f t="shared" si="73"/>
        <v>0.53085301347125202</v>
      </c>
      <c r="M239" s="27">
        <f t="shared" si="74"/>
        <v>0.46914698652874803</v>
      </c>
      <c r="N239" s="33">
        <f>D239/$D$240</f>
        <v>0.89150943396226412</v>
      </c>
      <c r="O239" s="7">
        <f>O238</f>
        <v>3819739</v>
      </c>
      <c r="P239" s="26">
        <f t="shared" si="75"/>
        <v>1597601.8810487122</v>
      </c>
      <c r="Q239" s="29">
        <f t="shared" si="76"/>
        <v>1807731.4727248726</v>
      </c>
      <c r="R239"/>
    </row>
    <row r="240" spans="1:18" ht="12.75" customHeight="1">
      <c r="A240" s="260" t="s">
        <v>1861</v>
      </c>
      <c r="B240" s="261"/>
      <c r="C240" s="262"/>
      <c r="D240" s="39">
        <f>SUM(D236:D239)</f>
        <v>212</v>
      </c>
      <c r="E240" s="39"/>
      <c r="F240" s="39"/>
      <c r="G240" s="17"/>
      <c r="H240" s="17"/>
      <c r="I240" s="17"/>
      <c r="J240" s="39"/>
      <c r="K240" s="17"/>
      <c r="L240" s="17"/>
      <c r="M240" s="17"/>
      <c r="N240" s="49"/>
      <c r="O240" s="19"/>
      <c r="P240" s="20">
        <f>SUM(P236:P239)</f>
        <v>1792019.0411763333</v>
      </c>
      <c r="Q240" s="20">
        <f>SUM(Q236:Q239)</f>
        <v>2027719.9588236667</v>
      </c>
      <c r="R240" s="14"/>
    </row>
    <row r="241" spans="1:18" ht="12.75" customHeight="1">
      <c r="A241" s="15" t="s">
        <v>1863</v>
      </c>
      <c r="B241" s="16"/>
      <c r="C241" s="64"/>
      <c r="D241" s="39"/>
      <c r="E241" s="39"/>
      <c r="F241" s="55"/>
      <c r="G241" s="17"/>
      <c r="H241" s="17"/>
      <c r="I241" s="17"/>
      <c r="J241" s="55"/>
      <c r="K241" s="17"/>
      <c r="L241" s="17"/>
      <c r="M241" s="17"/>
      <c r="N241" s="49"/>
      <c r="O241" s="19"/>
      <c r="P241" s="19"/>
      <c r="Q241" s="20"/>
      <c r="R241" s="14"/>
    </row>
    <row r="242" spans="1:18" ht="12.75" customHeight="1">
      <c r="A242" s="45"/>
      <c r="B242" s="35" t="s">
        <v>1764</v>
      </c>
      <c r="C242" s="67" t="s">
        <v>1977</v>
      </c>
      <c r="D242" s="42">
        <v>162</v>
      </c>
      <c r="E242" s="42">
        <v>10196</v>
      </c>
      <c r="F242" s="37">
        <v>18195451330</v>
      </c>
      <c r="G242" s="25">
        <f>H242/F242</f>
        <v>0.53085301347125202</v>
      </c>
      <c r="H242" s="27">
        <f>F242-J242</f>
        <v>9659110170</v>
      </c>
      <c r="I242" s="25">
        <f>J242/F242</f>
        <v>0.46914698652874803</v>
      </c>
      <c r="J242" s="37">
        <v>8536341160</v>
      </c>
      <c r="K242" s="27">
        <f>SUM(H242+J242)</f>
        <v>18195451330</v>
      </c>
      <c r="L242" s="28">
        <f t="shared" si="73"/>
        <v>0.53085301347125202</v>
      </c>
      <c r="M242" s="27">
        <f t="shared" si="74"/>
        <v>0.46914698652874803</v>
      </c>
      <c r="N242" s="25">
        <f>D242/D243</f>
        <v>1</v>
      </c>
      <c r="O242" s="7">
        <f>'Charter Archive File'!Q81</f>
        <v>1669016</v>
      </c>
      <c r="P242" s="26">
        <f t="shared" si="75"/>
        <v>783013.82686826494</v>
      </c>
      <c r="Q242" s="29">
        <f t="shared" si="76"/>
        <v>886002.17313173518</v>
      </c>
      <c r="R242"/>
    </row>
    <row r="243" spans="1:18" ht="12.75" customHeight="1">
      <c r="A243" s="260" t="s">
        <v>1862</v>
      </c>
      <c r="B243" s="261"/>
      <c r="C243" s="262"/>
      <c r="D243" s="39">
        <f>SUM(D242)</f>
        <v>162</v>
      </c>
      <c r="E243" s="39"/>
      <c r="F243" s="39"/>
      <c r="G243" s="17"/>
      <c r="H243" s="17"/>
      <c r="I243" s="17"/>
      <c r="J243" s="39"/>
      <c r="K243" s="17"/>
      <c r="L243" s="17"/>
      <c r="M243" s="17"/>
      <c r="N243" s="49"/>
      <c r="O243" s="19"/>
      <c r="P243" s="19">
        <f>SUM(P242)</f>
        <v>783013.82686826494</v>
      </c>
      <c r="Q243" s="20">
        <f>SUM(Q242)</f>
        <v>886002.17313173518</v>
      </c>
      <c r="R243" s="14"/>
    </row>
    <row r="244" spans="1:18" ht="12.75" customHeight="1">
      <c r="A244" s="15" t="s">
        <v>2168</v>
      </c>
      <c r="B244" s="16"/>
      <c r="C244" s="64"/>
      <c r="D244" s="39"/>
      <c r="E244" s="39"/>
      <c r="F244" s="55"/>
      <c r="G244" s="17"/>
      <c r="H244" s="17"/>
      <c r="I244" s="17"/>
      <c r="J244" s="55"/>
      <c r="K244" s="17"/>
      <c r="L244" s="17"/>
      <c r="M244" s="17"/>
      <c r="N244" s="49"/>
      <c r="O244" s="19"/>
      <c r="P244" s="19"/>
      <c r="Q244" s="20"/>
      <c r="R244" s="14"/>
    </row>
    <row r="245" spans="1:18" ht="12.75" customHeight="1">
      <c r="A245" s="45"/>
      <c r="B245" s="35" t="s">
        <v>1764</v>
      </c>
      <c r="C245" s="67" t="s">
        <v>1977</v>
      </c>
      <c r="D245" s="42">
        <v>294</v>
      </c>
      <c r="E245" s="42">
        <v>10196</v>
      </c>
      <c r="F245" s="37">
        <v>18195451330</v>
      </c>
      <c r="G245" s="25">
        <f>H245/F245</f>
        <v>0.53085301347125202</v>
      </c>
      <c r="H245" s="27">
        <f>F245-J245</f>
        <v>9659110170</v>
      </c>
      <c r="I245" s="25">
        <f>J245/F245</f>
        <v>0.46914698652874803</v>
      </c>
      <c r="J245" s="37">
        <v>8536341160</v>
      </c>
      <c r="K245" s="27">
        <f>SUM(H245+J245)</f>
        <v>18195451330</v>
      </c>
      <c r="L245" s="28">
        <f t="shared" si="73"/>
        <v>0.53085301347125202</v>
      </c>
      <c r="M245" s="27">
        <f t="shared" si="74"/>
        <v>0.46914698652874803</v>
      </c>
      <c r="N245" s="25">
        <f>D245/D246</f>
        <v>1</v>
      </c>
      <c r="O245" s="7">
        <f>'Charter Archive File'!Q51</f>
        <v>3280302</v>
      </c>
      <c r="P245" s="26">
        <f t="shared" si="75"/>
        <v>1538943.7982042253</v>
      </c>
      <c r="Q245" s="29">
        <f t="shared" si="76"/>
        <v>1741358.201795775</v>
      </c>
      <c r="R245"/>
    </row>
    <row r="246" spans="1:18" ht="12.75" customHeight="1">
      <c r="A246" s="260" t="s">
        <v>1864</v>
      </c>
      <c r="B246" s="261"/>
      <c r="C246" s="262"/>
      <c r="D246" s="39">
        <f>SUM(D245)</f>
        <v>294</v>
      </c>
      <c r="E246" s="39"/>
      <c r="F246" s="39"/>
      <c r="G246" s="17"/>
      <c r="H246" s="17"/>
      <c r="I246" s="17"/>
      <c r="J246" s="39"/>
      <c r="K246" s="17"/>
      <c r="L246" s="17"/>
      <c r="M246" s="17"/>
      <c r="N246" s="49"/>
      <c r="O246" s="19"/>
      <c r="P246" s="19">
        <f>SUM(P245)</f>
        <v>1538943.7982042253</v>
      </c>
      <c r="Q246" s="20">
        <f>SUM(Q245)</f>
        <v>1741358.201795775</v>
      </c>
      <c r="R246" s="14"/>
    </row>
    <row r="247" spans="1:18" ht="12.75" customHeight="1">
      <c r="A247" s="15" t="s">
        <v>1865</v>
      </c>
      <c r="B247" s="16"/>
      <c r="C247" s="64"/>
      <c r="D247" s="39"/>
      <c r="E247" s="39"/>
      <c r="F247" s="55"/>
      <c r="G247" s="17"/>
      <c r="H247" s="17"/>
      <c r="I247" s="17"/>
      <c r="J247" s="55"/>
      <c r="K247" s="17"/>
      <c r="L247" s="17"/>
      <c r="M247" s="17"/>
      <c r="N247" s="49"/>
      <c r="O247" s="19"/>
      <c r="P247" s="19"/>
      <c r="Q247" s="20"/>
      <c r="R247" s="14"/>
    </row>
    <row r="248" spans="1:18" ht="12.75" customHeight="1">
      <c r="A248" s="35"/>
      <c r="B248" s="35" t="s">
        <v>1764</v>
      </c>
      <c r="C248" s="67" t="s">
        <v>1977</v>
      </c>
      <c r="D248" s="42">
        <v>133</v>
      </c>
      <c r="E248" s="42">
        <v>10196</v>
      </c>
      <c r="F248" s="37">
        <v>18195451330</v>
      </c>
      <c r="G248" s="25">
        <f>H248/F248</f>
        <v>0.53085301347125202</v>
      </c>
      <c r="H248" s="27">
        <f>F248-J248</f>
        <v>9659110170</v>
      </c>
      <c r="I248" s="25">
        <f>J248/F248</f>
        <v>0.46914698652874803</v>
      </c>
      <c r="J248" s="37">
        <v>8536341160</v>
      </c>
      <c r="K248" s="27">
        <f>SUM(H248+J248)</f>
        <v>18195451330</v>
      </c>
      <c r="L248" s="28">
        <f>H248/K248</f>
        <v>0.53085301347125202</v>
      </c>
      <c r="M248" s="27">
        <f>J248/K248</f>
        <v>0.46914698652874803</v>
      </c>
      <c r="N248" s="25">
        <f>D248/D249</f>
        <v>1</v>
      </c>
      <c r="O248" s="7">
        <f>'Charter Archive File'!Q94</f>
        <v>5436684</v>
      </c>
      <c r="P248" s="26">
        <f>O248*N248*M248</f>
        <v>2550603.9153090599</v>
      </c>
      <c r="Q248" s="29">
        <f>O248*N248*L248</f>
        <v>2886080.0846909401</v>
      </c>
      <c r="R248"/>
    </row>
    <row r="249" spans="1:18" ht="12.75" customHeight="1">
      <c r="A249" s="260" t="s">
        <v>1744</v>
      </c>
      <c r="B249" s="261"/>
      <c r="C249" s="262"/>
      <c r="D249" s="39">
        <f>SUM(D248)</f>
        <v>133</v>
      </c>
      <c r="E249" s="39"/>
      <c r="F249" s="39"/>
      <c r="G249" s="17"/>
      <c r="H249" s="17"/>
      <c r="I249" s="17"/>
      <c r="J249" s="39"/>
      <c r="K249" s="17"/>
      <c r="L249" s="17"/>
      <c r="M249" s="17"/>
      <c r="N249" s="49"/>
      <c r="O249" s="19"/>
      <c r="P249" s="19">
        <f>SUM(P248)</f>
        <v>2550603.9153090599</v>
      </c>
      <c r="Q249" s="20">
        <f>SUM(Q248)</f>
        <v>2886080.0846909401</v>
      </c>
      <c r="R249" s="14"/>
    </row>
    <row r="250" spans="1:18" ht="12.75" customHeight="1">
      <c r="A250" s="15" t="s">
        <v>1867</v>
      </c>
      <c r="B250" s="16"/>
      <c r="C250" s="64"/>
      <c r="D250" s="39"/>
      <c r="E250" s="39"/>
      <c r="F250" s="55"/>
      <c r="G250" s="17"/>
      <c r="H250" s="17"/>
      <c r="I250" s="17"/>
      <c r="J250" s="55"/>
      <c r="K250" s="17"/>
      <c r="L250" s="17"/>
      <c r="M250" s="17"/>
      <c r="N250" s="49"/>
      <c r="O250" s="19"/>
      <c r="P250" s="19"/>
      <c r="Q250" s="20"/>
      <c r="R250" s="14"/>
    </row>
    <row r="251" spans="1:18" ht="12.75" customHeight="1">
      <c r="A251" s="35"/>
      <c r="B251" s="35" t="s">
        <v>1764</v>
      </c>
      <c r="C251" s="67" t="s">
        <v>1977</v>
      </c>
      <c r="D251" s="42">
        <v>348</v>
      </c>
      <c r="E251" s="42">
        <v>10196</v>
      </c>
      <c r="F251" s="37">
        <v>18195451330</v>
      </c>
      <c r="G251" s="25">
        <f>H251/F251</f>
        <v>0.53085301347125202</v>
      </c>
      <c r="H251" s="27">
        <f>F251-J251</f>
        <v>9659110170</v>
      </c>
      <c r="I251" s="25">
        <f>J251/F251</f>
        <v>0.46914698652874803</v>
      </c>
      <c r="J251" s="37">
        <v>8536341160</v>
      </c>
      <c r="K251" s="27">
        <f>SUM(H251+J251)</f>
        <v>18195451330</v>
      </c>
      <c r="L251" s="28">
        <f>H251/K251</f>
        <v>0.53085301347125202</v>
      </c>
      <c r="M251" s="27">
        <f>J251/K251</f>
        <v>0.46914698652874803</v>
      </c>
      <c r="N251" s="25">
        <f>D251/D252</f>
        <v>1</v>
      </c>
      <c r="O251" s="7">
        <f>'Charter Archive File'!Q86</f>
        <v>3533526</v>
      </c>
      <c r="P251" s="26">
        <f>O251*N251*M251</f>
        <v>1657743.0747209808</v>
      </c>
      <c r="Q251" s="29">
        <f>O251*N251*L251</f>
        <v>1875782.9252790192</v>
      </c>
      <c r="R251"/>
    </row>
    <row r="252" spans="1:18" ht="12.75" customHeight="1">
      <c r="A252" s="260" t="s">
        <v>1868</v>
      </c>
      <c r="B252" s="261"/>
      <c r="C252" s="262"/>
      <c r="D252" s="39">
        <f>SUM(D251)</f>
        <v>348</v>
      </c>
      <c r="E252" s="39"/>
      <c r="F252" s="39"/>
      <c r="G252" s="17"/>
      <c r="H252" s="17"/>
      <c r="I252" s="17"/>
      <c r="J252" s="39"/>
      <c r="K252" s="17"/>
      <c r="L252" s="17"/>
      <c r="M252" s="17"/>
      <c r="N252" s="49"/>
      <c r="O252" s="19"/>
      <c r="P252" s="19">
        <f>SUM(P251)</f>
        <v>1657743.0747209808</v>
      </c>
      <c r="Q252" s="20">
        <f>SUM(Q251)</f>
        <v>1875782.9252790192</v>
      </c>
      <c r="R252" s="14"/>
    </row>
    <row r="253" spans="1:18" ht="12.75" customHeight="1">
      <c r="A253" s="15" t="s">
        <v>1869</v>
      </c>
      <c r="B253" s="16"/>
      <c r="C253" s="64"/>
      <c r="D253" s="39"/>
      <c r="E253" s="39"/>
      <c r="F253" s="55"/>
      <c r="G253" s="17"/>
      <c r="H253" s="17"/>
      <c r="I253" s="17"/>
      <c r="J253" s="55"/>
      <c r="K253" s="17"/>
      <c r="L253" s="17"/>
      <c r="M253" s="17"/>
      <c r="N253" s="49"/>
      <c r="O253" s="19"/>
      <c r="P253" s="19"/>
      <c r="Q253" s="20"/>
      <c r="R253" s="14"/>
    </row>
    <row r="254" spans="1:18" ht="12.75" customHeight="1">
      <c r="A254" s="35"/>
      <c r="B254" s="35" t="s">
        <v>1764</v>
      </c>
      <c r="C254" s="67" t="s">
        <v>1977</v>
      </c>
      <c r="D254" s="42">
        <v>213</v>
      </c>
      <c r="E254" s="42">
        <v>10196</v>
      </c>
      <c r="F254" s="37">
        <v>18195451330</v>
      </c>
      <c r="G254" s="25">
        <f>H254/F254</f>
        <v>0.53085301347125202</v>
      </c>
      <c r="H254" s="27">
        <f>F254-J254</f>
        <v>9659110170</v>
      </c>
      <c r="I254" s="25">
        <f>J254/F254</f>
        <v>0.46914698652874803</v>
      </c>
      <c r="J254" s="37">
        <v>8536341160</v>
      </c>
      <c r="K254" s="27">
        <f>SUM(H254+J254)</f>
        <v>18195451330</v>
      </c>
      <c r="L254" s="28">
        <f>H254/K254</f>
        <v>0.53085301347125202</v>
      </c>
      <c r="M254" s="27">
        <f>J254/K254</f>
        <v>0.46914698652874803</v>
      </c>
      <c r="N254" s="25">
        <f>D254/D255</f>
        <v>1</v>
      </c>
      <c r="O254" s="6">
        <f>'Charter Archive File'!Q93</f>
        <v>2151681</v>
      </c>
      <c r="P254" s="26">
        <f>O254*N254*M254</f>
        <v>1009454.6571211631</v>
      </c>
      <c r="Q254" s="29">
        <f>O254*N254*L254</f>
        <v>1142226.3428788371</v>
      </c>
      <c r="R254"/>
    </row>
    <row r="255" spans="1:18" ht="12.75" customHeight="1">
      <c r="A255" s="260" t="s">
        <v>1870</v>
      </c>
      <c r="B255" s="261"/>
      <c r="C255" s="262"/>
      <c r="D255" s="39">
        <f>SUM(D254)</f>
        <v>213</v>
      </c>
      <c r="E255" s="39"/>
      <c r="F255" s="39"/>
      <c r="G255" s="17"/>
      <c r="H255" s="17"/>
      <c r="I255" s="17"/>
      <c r="J255" s="39"/>
      <c r="K255" s="17"/>
      <c r="L255" s="17"/>
      <c r="M255" s="17"/>
      <c r="N255" s="49"/>
      <c r="O255" s="19"/>
      <c r="P255" s="19">
        <f>SUM(P254)</f>
        <v>1009454.6571211631</v>
      </c>
      <c r="Q255" s="20">
        <f>SUM(Q254)</f>
        <v>1142226.3428788371</v>
      </c>
      <c r="R255" s="14"/>
    </row>
    <row r="256" spans="1:18" ht="12.75" customHeight="1">
      <c r="A256" s="15" t="s">
        <v>1871</v>
      </c>
      <c r="B256" s="16"/>
      <c r="C256" s="64"/>
      <c r="D256" s="39"/>
      <c r="E256" s="39"/>
      <c r="F256" s="55"/>
      <c r="G256" s="17"/>
      <c r="H256" s="17"/>
      <c r="I256" s="17"/>
      <c r="J256" s="55"/>
      <c r="K256" s="17"/>
      <c r="L256" s="17"/>
      <c r="M256" s="17"/>
      <c r="N256" s="49"/>
      <c r="O256" s="19"/>
      <c r="P256" s="19"/>
      <c r="Q256" s="20"/>
      <c r="R256" s="14"/>
    </row>
    <row r="257" spans="1:18" ht="12.75" customHeight="1">
      <c r="A257" s="35"/>
      <c r="B257" s="35" t="s">
        <v>1764</v>
      </c>
      <c r="C257" s="67" t="s">
        <v>1977</v>
      </c>
      <c r="D257" s="42">
        <v>4</v>
      </c>
      <c r="E257" s="42">
        <v>10196</v>
      </c>
      <c r="F257" s="37">
        <v>18195451330</v>
      </c>
      <c r="G257" s="25">
        <f>H257/F257</f>
        <v>0.53085301347125202</v>
      </c>
      <c r="H257" s="27">
        <f>F257-J257</f>
        <v>9659110170</v>
      </c>
      <c r="I257" s="25">
        <f>J257/F257</f>
        <v>0.46914698652874803</v>
      </c>
      <c r="J257" s="37">
        <v>8536341160</v>
      </c>
      <c r="K257" s="27">
        <f>SUM(H257+J257)</f>
        <v>18195451330</v>
      </c>
      <c r="L257" s="28">
        <f>H257/K257</f>
        <v>0.53085301347125202</v>
      </c>
      <c r="M257" s="27">
        <f>J257/K257</f>
        <v>0.46914698652874803</v>
      </c>
      <c r="N257" s="33">
        <f>D257/$D$260</f>
        <v>1.5209125475285171E-2</v>
      </c>
      <c r="O257" s="7">
        <f>'Charter Archive File'!Q80</f>
        <v>2504902</v>
      </c>
      <c r="P257" s="26">
        <f>O257*N257*M257</f>
        <v>17873.265777183788</v>
      </c>
      <c r="Q257" s="29">
        <f>O257*N257*L257</f>
        <v>20224.10304410899</v>
      </c>
      <c r="R257"/>
    </row>
    <row r="258" spans="1:18" ht="12.75" customHeight="1">
      <c r="A258" s="35"/>
      <c r="B258" s="35" t="s">
        <v>1764</v>
      </c>
      <c r="C258" s="67" t="s">
        <v>1977</v>
      </c>
      <c r="D258" s="42">
        <v>64</v>
      </c>
      <c r="E258" s="42">
        <v>10196</v>
      </c>
      <c r="F258" s="37">
        <v>18195451330</v>
      </c>
      <c r="G258" s="25">
        <f>H258/F258</f>
        <v>0.53085301347125202</v>
      </c>
      <c r="H258" s="27">
        <f>F258-J258</f>
        <v>9659110170</v>
      </c>
      <c r="I258" s="25">
        <f>J258/F258</f>
        <v>0.46914698652874803</v>
      </c>
      <c r="J258" s="37">
        <v>8536341160</v>
      </c>
      <c r="K258" s="27">
        <f>SUM(H258+J258)</f>
        <v>18195451330</v>
      </c>
      <c r="L258" s="28">
        <f>H258/K258</f>
        <v>0.53085301347125202</v>
      </c>
      <c r="M258" s="27">
        <f>J258/K258</f>
        <v>0.46914698652874803</v>
      </c>
      <c r="N258" s="33">
        <f>D258/$D$260</f>
        <v>0.24334600760456274</v>
      </c>
      <c r="O258" s="7">
        <f>O257</f>
        <v>2504902</v>
      </c>
      <c r="P258" s="26">
        <f>O258*N258*M258</f>
        <v>285972.2524349406</v>
      </c>
      <c r="Q258" s="29">
        <f>O258*N258*L258</f>
        <v>323585.64870574384</v>
      </c>
      <c r="R258"/>
    </row>
    <row r="259" spans="1:18" ht="12.75" customHeight="1">
      <c r="A259" s="35"/>
      <c r="B259" s="35" t="s">
        <v>1764</v>
      </c>
      <c r="C259" s="67" t="s">
        <v>1977</v>
      </c>
      <c r="D259" s="42">
        <v>195</v>
      </c>
      <c r="E259" s="42">
        <v>10196</v>
      </c>
      <c r="F259" s="37">
        <v>18195451330</v>
      </c>
      <c r="G259" s="25">
        <f>H259/F259</f>
        <v>0.53085301347125202</v>
      </c>
      <c r="H259" s="27">
        <f>F259-J259</f>
        <v>9659110170</v>
      </c>
      <c r="I259" s="25">
        <f>J259/F259</f>
        <v>0.46914698652874803</v>
      </c>
      <c r="J259" s="37">
        <v>8536341160</v>
      </c>
      <c r="K259" s="27">
        <f>SUM(H259+J259)</f>
        <v>18195451330</v>
      </c>
      <c r="L259" s="28">
        <f>H259/K259</f>
        <v>0.53085301347125202</v>
      </c>
      <c r="M259" s="27">
        <f>J259/K259</f>
        <v>0.46914698652874803</v>
      </c>
      <c r="N259" s="33">
        <f>D259/$D$260</f>
        <v>0.7414448669201521</v>
      </c>
      <c r="O259" s="7">
        <f>O258</f>
        <v>2504902</v>
      </c>
      <c r="P259" s="26">
        <f>O259*N259*M259</f>
        <v>871321.70663770963</v>
      </c>
      <c r="Q259" s="29">
        <f>O259*N259*L259</f>
        <v>985925.02340031334</v>
      </c>
      <c r="R259"/>
    </row>
    <row r="260" spans="1:18" ht="12.75" customHeight="1">
      <c r="A260" s="260" t="s">
        <v>1872</v>
      </c>
      <c r="B260" s="261"/>
      <c r="C260" s="262"/>
      <c r="D260" s="39">
        <f>SUM(D257:D259)</f>
        <v>263</v>
      </c>
      <c r="E260" s="39"/>
      <c r="F260" s="39"/>
      <c r="G260" s="17"/>
      <c r="H260" s="17"/>
      <c r="I260" s="17"/>
      <c r="J260" s="39"/>
      <c r="K260" s="17"/>
      <c r="L260" s="17"/>
      <c r="M260" s="17"/>
      <c r="N260" s="49"/>
      <c r="O260" s="19"/>
      <c r="P260" s="20">
        <f>SUM(P257:P259)</f>
        <v>1175167.2248498341</v>
      </c>
      <c r="Q260" s="20">
        <f>SUM(Q257:Q259)</f>
        <v>1329734.7751501661</v>
      </c>
      <c r="R260" s="14"/>
    </row>
    <row r="261" spans="1:18" ht="12.75" customHeight="1">
      <c r="A261" s="15" t="s">
        <v>2098</v>
      </c>
      <c r="B261" s="16"/>
      <c r="C261" s="64"/>
      <c r="D261" s="39"/>
      <c r="E261" s="39"/>
      <c r="F261" s="55"/>
      <c r="G261" s="17"/>
      <c r="H261" s="17"/>
      <c r="I261" s="17"/>
      <c r="J261" s="55"/>
      <c r="K261" s="17"/>
      <c r="L261" s="17"/>
      <c r="M261" s="17"/>
      <c r="N261" s="49"/>
      <c r="O261" s="19"/>
      <c r="P261" s="19"/>
      <c r="Q261" s="20"/>
      <c r="R261" s="14"/>
    </row>
    <row r="262" spans="1:18" ht="12.75" customHeight="1">
      <c r="A262" s="35"/>
      <c r="B262" s="35" t="s">
        <v>1764</v>
      </c>
      <c r="C262" s="67" t="s">
        <v>1977</v>
      </c>
      <c r="D262" s="42">
        <v>116</v>
      </c>
      <c r="E262" s="42">
        <v>10196</v>
      </c>
      <c r="F262" s="37">
        <v>18195451330</v>
      </c>
      <c r="G262" s="25">
        <f>H262/F262</f>
        <v>0.53085301347125202</v>
      </c>
      <c r="H262" s="27">
        <f>F262-J262</f>
        <v>9659110170</v>
      </c>
      <c r="I262" s="25">
        <f>J262/F262</f>
        <v>0.46914698652874803</v>
      </c>
      <c r="J262" s="37">
        <v>8536341160</v>
      </c>
      <c r="K262" s="27">
        <f>SUM(H262+J262)</f>
        <v>18195451330</v>
      </c>
      <c r="L262" s="28">
        <f>H262/K262</f>
        <v>0.53085301347125202</v>
      </c>
      <c r="M262" s="27">
        <f>J262/K262</f>
        <v>0.46914698652874803</v>
      </c>
      <c r="N262" s="25">
        <f>D262/D263</f>
        <v>1</v>
      </c>
      <c r="O262" s="7">
        <f>'Charter Archive File'!Q90</f>
        <v>1148559</v>
      </c>
      <c r="P262" s="26">
        <f>O262*N262*M262</f>
        <v>538842.99370047229</v>
      </c>
      <c r="Q262" s="29">
        <f>O262*N262*L262</f>
        <v>609716.00629952771</v>
      </c>
      <c r="R262"/>
    </row>
    <row r="263" spans="1:18" ht="12.75" customHeight="1">
      <c r="A263" s="260" t="s">
        <v>1873</v>
      </c>
      <c r="B263" s="261"/>
      <c r="C263" s="262"/>
      <c r="D263" s="39">
        <f>SUM(D262)</f>
        <v>116</v>
      </c>
      <c r="E263" s="39"/>
      <c r="F263" s="39"/>
      <c r="G263" s="17"/>
      <c r="H263" s="17"/>
      <c r="I263" s="17"/>
      <c r="J263" s="39"/>
      <c r="K263" s="17"/>
      <c r="L263" s="17"/>
      <c r="M263" s="17"/>
      <c r="N263" s="49"/>
      <c r="O263" s="19"/>
      <c r="P263" s="19">
        <f>SUM(P262)</f>
        <v>538842.99370047229</v>
      </c>
      <c r="Q263" s="20">
        <f>SUM(Q262)</f>
        <v>609716.00629952771</v>
      </c>
      <c r="R263" s="14"/>
    </row>
    <row r="264" spans="1:18" ht="12.75" customHeight="1">
      <c r="A264" s="15" t="s">
        <v>1874</v>
      </c>
      <c r="B264" s="16"/>
      <c r="C264" s="64"/>
      <c r="D264" s="39"/>
      <c r="E264" s="39"/>
      <c r="F264" s="55"/>
      <c r="G264" s="17"/>
      <c r="H264" s="17"/>
      <c r="I264" s="17"/>
      <c r="J264" s="55"/>
      <c r="K264" s="17"/>
      <c r="L264" s="17"/>
      <c r="M264" s="17"/>
      <c r="N264" s="49"/>
      <c r="O264" s="19"/>
      <c r="P264" s="19"/>
      <c r="Q264" s="20"/>
      <c r="R264" s="14"/>
    </row>
    <row r="265" spans="1:18" ht="12.75" customHeight="1">
      <c r="A265" s="35"/>
      <c r="B265" s="35" t="s">
        <v>1764</v>
      </c>
      <c r="C265" s="67" t="s">
        <v>1977</v>
      </c>
      <c r="D265" s="42">
        <v>16</v>
      </c>
      <c r="E265" s="42">
        <v>10196</v>
      </c>
      <c r="F265" s="37">
        <v>18195451330</v>
      </c>
      <c r="G265" s="25">
        <f>H265/F265</f>
        <v>0.53085301347125202</v>
      </c>
      <c r="H265" s="27">
        <f>F265-J265</f>
        <v>9659110170</v>
      </c>
      <c r="I265" s="25">
        <f>J265/F265</f>
        <v>0.46914698652874803</v>
      </c>
      <c r="J265" s="37">
        <v>8536341160</v>
      </c>
      <c r="K265" s="27">
        <f>SUM(H265+J265)</f>
        <v>18195451330</v>
      </c>
      <c r="L265" s="28">
        <f>H265/K265</f>
        <v>0.53085301347125202</v>
      </c>
      <c r="M265" s="27">
        <f>J265/K265</f>
        <v>0.46914698652874803</v>
      </c>
      <c r="N265" s="25">
        <f>D265/D266</f>
        <v>1</v>
      </c>
      <c r="O265" s="7">
        <f>'Charter Archive File'!Q67</f>
        <v>1074720</v>
      </c>
      <c r="P265" s="26">
        <f>O265*N265*M265</f>
        <v>504201.64936217607</v>
      </c>
      <c r="Q265" s="29">
        <f>O265*N265*L265</f>
        <v>570518.35063782393</v>
      </c>
      <c r="R265"/>
    </row>
    <row r="266" spans="1:18" ht="12.75" customHeight="1">
      <c r="A266" s="260" t="s">
        <v>1875</v>
      </c>
      <c r="B266" s="261"/>
      <c r="C266" s="262"/>
      <c r="D266" s="39">
        <f>SUM(D265)</f>
        <v>16</v>
      </c>
      <c r="E266" s="39"/>
      <c r="F266" s="39"/>
      <c r="G266" s="17"/>
      <c r="H266" s="17"/>
      <c r="I266" s="17"/>
      <c r="J266" s="39"/>
      <c r="K266" s="17"/>
      <c r="L266" s="17"/>
      <c r="M266" s="17"/>
      <c r="N266" s="49"/>
      <c r="O266" s="19"/>
      <c r="P266" s="19">
        <f>SUM(P265)</f>
        <v>504201.64936217607</v>
      </c>
      <c r="Q266" s="20">
        <f>SUM(Q265)</f>
        <v>570518.35063782393</v>
      </c>
      <c r="R266" s="14"/>
    </row>
    <row r="267" spans="1:18" ht="12.75" customHeight="1">
      <c r="A267" s="15" t="s">
        <v>1876</v>
      </c>
      <c r="B267" s="16"/>
      <c r="C267" s="64"/>
      <c r="D267" s="39"/>
      <c r="E267" s="39"/>
      <c r="F267" s="55"/>
      <c r="G267" s="17"/>
      <c r="H267" s="17"/>
      <c r="I267" s="17"/>
      <c r="J267" s="55"/>
      <c r="K267" s="17"/>
      <c r="L267" s="17"/>
      <c r="M267" s="17"/>
      <c r="N267" s="49"/>
      <c r="O267" s="19"/>
      <c r="P267" s="19"/>
      <c r="Q267" s="20"/>
      <c r="R267" s="14"/>
    </row>
    <row r="268" spans="1:18" ht="12.75" customHeight="1">
      <c r="A268" s="35"/>
      <c r="B268" s="35" t="s">
        <v>1764</v>
      </c>
      <c r="C268" s="67" t="s">
        <v>1977</v>
      </c>
      <c r="D268" s="42">
        <v>200</v>
      </c>
      <c r="E268" s="42">
        <v>10196</v>
      </c>
      <c r="F268" s="37">
        <v>18195451330</v>
      </c>
      <c r="G268" s="25">
        <f>H268/F268</f>
        <v>0.53085301347125202</v>
      </c>
      <c r="H268" s="27">
        <f>F268-J268</f>
        <v>9659110170</v>
      </c>
      <c r="I268" s="25">
        <f>J268/F268</f>
        <v>0.46914698652874803</v>
      </c>
      <c r="J268" s="37">
        <v>8536341160</v>
      </c>
      <c r="K268" s="27">
        <f>SUM(H268+J268)</f>
        <v>18195451330</v>
      </c>
      <c r="L268" s="28">
        <f>H268/K268</f>
        <v>0.53085301347125202</v>
      </c>
      <c r="M268" s="27">
        <f>J268/K268</f>
        <v>0.46914698652874803</v>
      </c>
      <c r="N268" s="25">
        <f>D268/D269</f>
        <v>1</v>
      </c>
      <c r="O268" s="7">
        <f>'Charter Archive File'!Q83</f>
        <v>2092541</v>
      </c>
      <c r="P268" s="26">
        <f>O268*N268*M268</f>
        <v>981709.30433785298</v>
      </c>
      <c r="Q268" s="29">
        <f>O268*N268*L268</f>
        <v>1110831.6956621471</v>
      </c>
      <c r="R268"/>
    </row>
    <row r="269" spans="1:18" ht="12.75" customHeight="1">
      <c r="A269" s="260" t="s">
        <v>1877</v>
      </c>
      <c r="B269" s="261"/>
      <c r="C269" s="262"/>
      <c r="D269" s="39">
        <f>SUM(D268)</f>
        <v>200</v>
      </c>
      <c r="E269" s="39"/>
      <c r="F269" s="39"/>
      <c r="G269" s="17"/>
      <c r="H269" s="17"/>
      <c r="I269" s="17"/>
      <c r="J269" s="39"/>
      <c r="K269" s="17"/>
      <c r="L269" s="17"/>
      <c r="M269" s="17"/>
      <c r="N269" s="49"/>
      <c r="O269" s="19"/>
      <c r="P269" s="19">
        <f>SUM(P268)</f>
        <v>981709.30433785298</v>
      </c>
      <c r="Q269" s="20">
        <f>SUM(Q268)</f>
        <v>1110831.6956621471</v>
      </c>
      <c r="R269" s="14"/>
    </row>
    <row r="270" spans="1:18" ht="12.75" customHeight="1">
      <c r="A270" s="15" t="s">
        <v>1878</v>
      </c>
      <c r="B270" s="16"/>
      <c r="C270" s="64"/>
      <c r="D270" s="39"/>
      <c r="E270" s="39"/>
      <c r="F270" s="55"/>
      <c r="G270" s="17"/>
      <c r="H270" s="17"/>
      <c r="I270" s="17"/>
      <c r="J270" s="55"/>
      <c r="K270" s="17"/>
      <c r="L270" s="17"/>
      <c r="M270" s="17"/>
      <c r="N270" s="49"/>
      <c r="O270" s="19"/>
      <c r="P270" s="19"/>
      <c r="Q270" s="20"/>
      <c r="R270" s="14"/>
    </row>
    <row r="271" spans="1:18" ht="12.75" customHeight="1">
      <c r="A271" s="35"/>
      <c r="B271" s="35" t="s">
        <v>1764</v>
      </c>
      <c r="C271" s="67" t="s">
        <v>1977</v>
      </c>
      <c r="D271" s="42">
        <v>313</v>
      </c>
      <c r="E271" s="42">
        <v>10196</v>
      </c>
      <c r="F271" s="37">
        <v>18195451330</v>
      </c>
      <c r="G271" s="25">
        <f>H271/F271</f>
        <v>0.53085301347125202</v>
      </c>
      <c r="H271" s="27">
        <f>F271-J271</f>
        <v>9659110170</v>
      </c>
      <c r="I271" s="25">
        <f>J271/F271</f>
        <v>0.46914698652874803</v>
      </c>
      <c r="J271" s="37">
        <v>8536341160</v>
      </c>
      <c r="K271" s="27">
        <f>SUM(H271+J271)</f>
        <v>18195451330</v>
      </c>
      <c r="L271" s="28">
        <f>H271/K271</f>
        <v>0.53085301347125202</v>
      </c>
      <c r="M271" s="27">
        <f>J271/K271</f>
        <v>0.46914698652874803</v>
      </c>
      <c r="N271" s="25">
        <f>D271/D272</f>
        <v>1</v>
      </c>
      <c r="O271" s="6">
        <f>'Charter Archive File'!Q87</f>
        <v>3397806</v>
      </c>
      <c r="P271" s="26">
        <f>O271*N271*M271</f>
        <v>1594070.4457092993</v>
      </c>
      <c r="Q271" s="29">
        <f>O271*N271*L271</f>
        <v>1803735.5542907009</v>
      </c>
      <c r="R271"/>
    </row>
    <row r="272" spans="1:18" ht="12.75" customHeight="1">
      <c r="A272" s="260" t="s">
        <v>1879</v>
      </c>
      <c r="B272" s="261"/>
      <c r="C272" s="262"/>
      <c r="D272" s="39">
        <f>SUM(D271)</f>
        <v>313</v>
      </c>
      <c r="E272" s="39"/>
      <c r="F272" s="39"/>
      <c r="G272" s="17"/>
      <c r="H272" s="17"/>
      <c r="I272" s="17"/>
      <c r="J272" s="39"/>
      <c r="K272" s="17"/>
      <c r="L272" s="17"/>
      <c r="M272" s="17"/>
      <c r="N272" s="49"/>
      <c r="O272" s="19"/>
      <c r="P272" s="19">
        <f>SUM(P271)</f>
        <v>1594070.4457092993</v>
      </c>
      <c r="Q272" s="20">
        <f>SUM(Q271)</f>
        <v>1803735.5542907009</v>
      </c>
      <c r="R272" s="14"/>
    </row>
    <row r="273" spans="1:18" ht="12.75" customHeight="1">
      <c r="A273" s="15" t="s">
        <v>2198</v>
      </c>
      <c r="B273" s="16"/>
      <c r="C273" s="64"/>
      <c r="D273" s="39"/>
      <c r="E273" s="39"/>
      <c r="F273" s="55"/>
      <c r="G273" s="17"/>
      <c r="H273" s="17"/>
      <c r="I273" s="17"/>
      <c r="J273" s="55"/>
      <c r="K273" s="17"/>
      <c r="L273" s="17"/>
      <c r="M273" s="17"/>
      <c r="N273" s="49"/>
      <c r="O273" s="19"/>
      <c r="P273" s="19"/>
      <c r="Q273" s="20"/>
      <c r="R273" s="14"/>
    </row>
    <row r="274" spans="1:18" ht="12.75" customHeight="1">
      <c r="A274" s="35"/>
      <c r="B274" s="35" t="s">
        <v>1764</v>
      </c>
      <c r="C274" s="67" t="s">
        <v>1977</v>
      </c>
      <c r="D274" s="42">
        <v>511</v>
      </c>
      <c r="E274" s="42">
        <v>10196</v>
      </c>
      <c r="F274" s="37">
        <v>18195451330</v>
      </c>
      <c r="G274" s="25">
        <f>H274/F274</f>
        <v>0.53085301347125202</v>
      </c>
      <c r="H274" s="27">
        <f>F274-J274</f>
        <v>9659110170</v>
      </c>
      <c r="I274" s="25">
        <f>J274/F274</f>
        <v>0.46914698652874803</v>
      </c>
      <c r="J274" s="37">
        <v>8536341160</v>
      </c>
      <c r="K274" s="27">
        <f>SUM(H274+J274)</f>
        <v>18195451330</v>
      </c>
      <c r="L274" s="28">
        <f>H274/K274</f>
        <v>0.53085301347125202</v>
      </c>
      <c r="M274" s="27">
        <f>J274/K274</f>
        <v>0.46914698652874803</v>
      </c>
      <c r="N274" s="25">
        <f>D274/D275</f>
        <v>1</v>
      </c>
      <c r="O274" s="7">
        <f>'Charter Archive File'!Q79</f>
        <v>1444438</v>
      </c>
      <c r="P274" s="26">
        <f>O274*N274*M274</f>
        <v>677653.73492761177</v>
      </c>
      <c r="Q274" s="29">
        <f>O274*N274*L274</f>
        <v>766784.26507238834</v>
      </c>
      <c r="R274"/>
    </row>
    <row r="275" spans="1:18" ht="12.75" customHeight="1">
      <c r="A275" s="260" t="s">
        <v>1866</v>
      </c>
      <c r="B275" s="261"/>
      <c r="C275" s="262"/>
      <c r="D275" s="39">
        <f>SUM(D274)</f>
        <v>511</v>
      </c>
      <c r="E275" s="39"/>
      <c r="F275" s="39"/>
      <c r="G275" s="17"/>
      <c r="H275" s="17"/>
      <c r="I275" s="17"/>
      <c r="J275" s="39"/>
      <c r="K275" s="17"/>
      <c r="L275" s="17"/>
      <c r="M275" s="17"/>
      <c r="N275" s="49"/>
      <c r="O275" s="19"/>
      <c r="P275" s="19">
        <f>SUM(P274)</f>
        <v>677653.73492761177</v>
      </c>
      <c r="Q275" s="20">
        <f>SUM(Q274)</f>
        <v>766784.26507238834</v>
      </c>
      <c r="R275" s="14"/>
    </row>
    <row r="276" spans="1:18" ht="12.75" customHeight="1">
      <c r="A276" s="15" t="s">
        <v>1880</v>
      </c>
      <c r="B276" s="16"/>
      <c r="C276" s="64"/>
      <c r="D276" s="39"/>
      <c r="E276" s="39"/>
      <c r="F276" s="55"/>
      <c r="G276" s="17"/>
      <c r="H276" s="17"/>
      <c r="I276" s="17"/>
      <c r="J276" s="55"/>
      <c r="K276" s="17"/>
      <c r="L276" s="17"/>
      <c r="M276" s="17"/>
      <c r="N276" s="49"/>
      <c r="O276" s="19"/>
      <c r="P276" s="19"/>
      <c r="Q276" s="20"/>
      <c r="R276" s="14"/>
    </row>
    <row r="277" spans="1:18" ht="12.75" customHeight="1">
      <c r="A277" s="35"/>
      <c r="B277" s="35" t="s">
        <v>1764</v>
      </c>
      <c r="C277" s="67" t="s">
        <v>1977</v>
      </c>
      <c r="D277" s="42">
        <v>154</v>
      </c>
      <c r="E277" s="42">
        <v>10196</v>
      </c>
      <c r="F277" s="37">
        <v>18195451330</v>
      </c>
      <c r="G277" s="25">
        <f>H277/F277</f>
        <v>0.53085301347125202</v>
      </c>
      <c r="H277" s="27">
        <f>F277-J277</f>
        <v>9659110170</v>
      </c>
      <c r="I277" s="25">
        <f>J277/F277</f>
        <v>0.46914698652874803</v>
      </c>
      <c r="J277" s="37">
        <v>8536341160</v>
      </c>
      <c r="K277" s="27">
        <f>SUM(H277+J277)</f>
        <v>18195451330</v>
      </c>
      <c r="L277" s="28">
        <f>H277/K277</f>
        <v>0.53085301347125202</v>
      </c>
      <c r="M277" s="27">
        <f>J277/K277</f>
        <v>0.46914698652874803</v>
      </c>
      <c r="N277" s="25">
        <f>D277/D278</f>
        <v>1</v>
      </c>
      <c r="O277" s="7">
        <f>'Charter Archive File'!Q31</f>
        <v>1687271</v>
      </c>
      <c r="P277" s="26">
        <f>O277*N277*M277</f>
        <v>791578.10510734725</v>
      </c>
      <c r="Q277" s="29">
        <f>O277*N277*L277</f>
        <v>895692.89489265287</v>
      </c>
      <c r="R277"/>
    </row>
    <row r="278" spans="1:18" ht="12.75" customHeight="1">
      <c r="A278" s="260" t="s">
        <v>1881</v>
      </c>
      <c r="B278" s="261"/>
      <c r="C278" s="262"/>
      <c r="D278" s="39">
        <f>SUM(D277)</f>
        <v>154</v>
      </c>
      <c r="E278" s="39"/>
      <c r="F278" s="39"/>
      <c r="G278" s="17"/>
      <c r="H278" s="17"/>
      <c r="I278" s="17"/>
      <c r="J278" s="39"/>
      <c r="K278" s="17"/>
      <c r="L278" s="17"/>
      <c r="M278" s="17"/>
      <c r="N278" s="49"/>
      <c r="O278" s="19"/>
      <c r="P278" s="19">
        <f>SUM(P277)</f>
        <v>791578.10510734725</v>
      </c>
      <c r="Q278" s="20">
        <f>SUM(Q277)</f>
        <v>895692.89489265287</v>
      </c>
      <c r="R278" s="14"/>
    </row>
    <row r="279" spans="1:18" ht="12.75" customHeight="1">
      <c r="A279" s="15" t="s">
        <v>1882</v>
      </c>
      <c r="B279" s="16"/>
      <c r="C279" s="64"/>
      <c r="D279" s="39"/>
      <c r="E279" s="39"/>
      <c r="F279" s="55"/>
      <c r="G279" s="17"/>
      <c r="H279" s="17"/>
      <c r="I279" s="17"/>
      <c r="J279" s="55"/>
      <c r="K279" s="17"/>
      <c r="L279" s="17"/>
      <c r="M279" s="17"/>
      <c r="N279" s="49"/>
      <c r="O279" s="19"/>
      <c r="P279" s="19"/>
      <c r="Q279" s="20"/>
      <c r="R279" s="14"/>
    </row>
    <row r="280" spans="1:18" ht="12.75" customHeight="1">
      <c r="A280" s="35"/>
      <c r="B280" s="35" t="s">
        <v>1764</v>
      </c>
      <c r="C280" s="67" t="s">
        <v>1977</v>
      </c>
      <c r="D280" s="42">
        <v>131</v>
      </c>
      <c r="E280" s="42">
        <v>10196</v>
      </c>
      <c r="F280" s="37">
        <v>18195451330</v>
      </c>
      <c r="G280" s="25">
        <f>H280/F280</f>
        <v>0.53085301347125202</v>
      </c>
      <c r="H280" s="27">
        <f>F280-J280</f>
        <v>9659110170</v>
      </c>
      <c r="I280" s="25">
        <f>J280/F280</f>
        <v>0.46914698652874803</v>
      </c>
      <c r="J280" s="37">
        <v>8536341160</v>
      </c>
      <c r="K280" s="27">
        <f>SUM(H280+J280)</f>
        <v>18195451330</v>
      </c>
      <c r="L280" s="28">
        <f>H280/K280</f>
        <v>0.53085301347125202</v>
      </c>
      <c r="M280" s="27">
        <f>J280/K280</f>
        <v>0.46914698652874803</v>
      </c>
      <c r="N280" s="25">
        <f>D280/D281</f>
        <v>1</v>
      </c>
      <c r="O280" s="7">
        <f>'Charter Archive File'!Q58</f>
        <v>1476831</v>
      </c>
      <c r="P280" s="26">
        <f>O280*N280*M280</f>
        <v>692850.81326223747</v>
      </c>
      <c r="Q280" s="29">
        <f>O280*N280*L280</f>
        <v>783980.18673776265</v>
      </c>
      <c r="R280"/>
    </row>
    <row r="281" spans="1:18" ht="12.75" customHeight="1">
      <c r="A281" s="260" t="s">
        <v>506</v>
      </c>
      <c r="B281" s="261"/>
      <c r="C281" s="262"/>
      <c r="D281" s="39">
        <f>SUM(D280)</f>
        <v>131</v>
      </c>
      <c r="E281" s="39"/>
      <c r="F281" s="39"/>
      <c r="G281" s="17"/>
      <c r="H281" s="17"/>
      <c r="I281" s="17"/>
      <c r="J281" s="39"/>
      <c r="K281" s="17"/>
      <c r="L281" s="17"/>
      <c r="M281" s="17"/>
      <c r="N281" s="49"/>
      <c r="O281" s="19"/>
      <c r="P281" s="19">
        <f>SUM(P280)</f>
        <v>692850.81326223747</v>
      </c>
      <c r="Q281" s="20">
        <f>SUM(Q280)</f>
        <v>783980.18673776265</v>
      </c>
      <c r="R281" s="14"/>
    </row>
    <row r="282" spans="1:18" ht="12.75" customHeight="1">
      <c r="A282" s="15" t="s">
        <v>2186</v>
      </c>
      <c r="B282" s="16"/>
      <c r="C282" s="64"/>
      <c r="D282" s="39"/>
      <c r="E282" s="39"/>
      <c r="F282" s="55"/>
      <c r="G282" s="17"/>
      <c r="H282" s="17"/>
      <c r="I282" s="17"/>
      <c r="J282" s="55"/>
      <c r="K282" s="17"/>
      <c r="L282" s="17"/>
      <c r="M282" s="17"/>
      <c r="N282" s="49"/>
      <c r="O282" s="19"/>
      <c r="P282" s="19"/>
      <c r="Q282" s="20"/>
      <c r="R282" s="14"/>
    </row>
    <row r="283" spans="1:18" ht="12.75" customHeight="1">
      <c r="A283" s="35"/>
      <c r="B283" s="35" t="s">
        <v>1764</v>
      </c>
      <c r="C283" s="67" t="s">
        <v>1977</v>
      </c>
      <c r="D283" s="42">
        <v>192</v>
      </c>
      <c r="E283" s="42">
        <v>10196</v>
      </c>
      <c r="F283" s="37">
        <v>18195451330</v>
      </c>
      <c r="G283" s="25">
        <f>H283/F283</f>
        <v>0.53085301347125202</v>
      </c>
      <c r="H283" s="27">
        <f>F283-J283</f>
        <v>9659110170</v>
      </c>
      <c r="I283" s="25">
        <f>J283/F283</f>
        <v>0.46914698652874803</v>
      </c>
      <c r="J283" s="37">
        <v>8536341160</v>
      </c>
      <c r="K283" s="27">
        <f>SUM(H283+J283)</f>
        <v>18195451330</v>
      </c>
      <c r="L283" s="28">
        <f>H283/K283</f>
        <v>0.53085301347125202</v>
      </c>
      <c r="M283" s="27">
        <f>J283/K283</f>
        <v>0.46914698652874803</v>
      </c>
      <c r="N283" s="25">
        <f>D283/D284</f>
        <v>1</v>
      </c>
      <c r="O283" s="7">
        <f>'Charter Archive File'!Q66</f>
        <v>2166630</v>
      </c>
      <c r="P283" s="26">
        <f>O283*N283*M283</f>
        <v>1016467.9354227814</v>
      </c>
      <c r="Q283" s="29">
        <f>O283*N283*L283</f>
        <v>1150162.0645772188</v>
      </c>
      <c r="R283"/>
    </row>
    <row r="284" spans="1:18" ht="12.75" customHeight="1">
      <c r="A284" s="260" t="s">
        <v>1883</v>
      </c>
      <c r="B284" s="261"/>
      <c r="C284" s="262"/>
      <c r="D284" s="39">
        <f>SUM(D283)</f>
        <v>192</v>
      </c>
      <c r="E284" s="39"/>
      <c r="F284" s="39"/>
      <c r="G284" s="17"/>
      <c r="H284" s="17"/>
      <c r="I284" s="17"/>
      <c r="J284" s="39"/>
      <c r="K284" s="17"/>
      <c r="L284" s="17"/>
      <c r="M284" s="17"/>
      <c r="N284" s="49"/>
      <c r="O284" s="19"/>
      <c r="P284" s="19">
        <f>SUM(P283)</f>
        <v>1016467.9354227814</v>
      </c>
      <c r="Q284" s="20">
        <f>SUM(Q283)</f>
        <v>1150162.0645772188</v>
      </c>
      <c r="R284" s="14"/>
    </row>
    <row r="285" spans="1:18" ht="12.75" customHeight="1">
      <c r="A285" s="15" t="s">
        <v>1775</v>
      </c>
      <c r="B285" s="16"/>
      <c r="C285" s="64"/>
      <c r="D285" s="39"/>
      <c r="E285" s="39"/>
      <c r="F285" s="55"/>
      <c r="G285" s="17"/>
      <c r="H285" s="17"/>
      <c r="I285" s="17"/>
      <c r="J285" s="55"/>
      <c r="K285" s="17"/>
      <c r="L285" s="17"/>
      <c r="M285" s="17"/>
      <c r="N285" s="49"/>
      <c r="O285" s="19"/>
      <c r="P285" s="19"/>
      <c r="Q285" s="20"/>
      <c r="R285" s="14"/>
    </row>
    <row r="286" spans="1:18" ht="12.75" customHeight="1">
      <c r="A286" s="35"/>
      <c r="B286" s="35" t="s">
        <v>1764</v>
      </c>
      <c r="C286" s="67" t="s">
        <v>1977</v>
      </c>
      <c r="D286" s="42">
        <v>248</v>
      </c>
      <c r="E286" s="42">
        <v>10196</v>
      </c>
      <c r="F286" s="37">
        <v>18195451330</v>
      </c>
      <c r="G286" s="25">
        <f>H286/F286</f>
        <v>0.53085301347125202</v>
      </c>
      <c r="H286" s="27">
        <f>F286-J286</f>
        <v>9659110170</v>
      </c>
      <c r="I286" s="25">
        <f>J286/F286</f>
        <v>0.46914698652874803</v>
      </c>
      <c r="J286" s="37">
        <v>8536341160</v>
      </c>
      <c r="K286" s="27">
        <f>SUM(H286+J286)</f>
        <v>18195451330</v>
      </c>
      <c r="L286" s="28">
        <f>H286/K286</f>
        <v>0.53085301347125202</v>
      </c>
      <c r="M286" s="27">
        <f>J286/K286</f>
        <v>0.46914698652874803</v>
      </c>
      <c r="N286" s="25">
        <f>D286/D287</f>
        <v>1</v>
      </c>
      <c r="O286" s="7">
        <f>'Charter Archive File'!Q29</f>
        <v>2688070</v>
      </c>
      <c r="P286" s="26">
        <f>O286*N286*M286</f>
        <v>1261099.9400783316</v>
      </c>
      <c r="Q286" s="29">
        <f>O286*N286*L286</f>
        <v>1426970.0599216684</v>
      </c>
      <c r="R286"/>
    </row>
    <row r="287" spans="1:18" ht="12.75" customHeight="1">
      <c r="A287" s="260" t="s">
        <v>1776</v>
      </c>
      <c r="B287" s="261"/>
      <c r="C287" s="262"/>
      <c r="D287" s="39">
        <f>SUM(D286)</f>
        <v>248</v>
      </c>
      <c r="E287" s="39"/>
      <c r="F287" s="39"/>
      <c r="G287" s="17"/>
      <c r="H287" s="17"/>
      <c r="I287" s="17"/>
      <c r="J287" s="39"/>
      <c r="K287" s="17"/>
      <c r="L287" s="17"/>
      <c r="M287" s="17"/>
      <c r="N287" s="49"/>
      <c r="O287" s="19"/>
      <c r="P287" s="19">
        <f>SUM(P286)</f>
        <v>1261099.9400783316</v>
      </c>
      <c r="Q287" s="20">
        <f>SUM(Q286)</f>
        <v>1426970.0599216684</v>
      </c>
      <c r="R287" s="14"/>
    </row>
    <row r="288" spans="1:18" ht="12.75" customHeight="1">
      <c r="A288" s="15" t="s">
        <v>1985</v>
      </c>
      <c r="B288" s="16"/>
      <c r="C288" s="64"/>
      <c r="D288" s="39"/>
      <c r="E288" s="39"/>
      <c r="F288" s="55"/>
      <c r="G288" s="17"/>
      <c r="H288" s="17"/>
      <c r="I288" s="17"/>
      <c r="J288" s="55"/>
      <c r="K288" s="17"/>
      <c r="L288" s="17"/>
      <c r="M288" s="17"/>
      <c r="N288" s="49"/>
      <c r="O288" s="19"/>
      <c r="P288" s="19"/>
      <c r="Q288" s="20"/>
      <c r="R288" s="14"/>
    </row>
    <row r="289" spans="1:18" ht="12.75" customHeight="1">
      <c r="A289" s="35"/>
      <c r="B289" s="35" t="s">
        <v>1764</v>
      </c>
      <c r="C289" s="67" t="s">
        <v>1977</v>
      </c>
      <c r="D289" s="42">
        <v>262</v>
      </c>
      <c r="E289" s="42">
        <v>10196</v>
      </c>
      <c r="F289" s="37">
        <v>18195451330</v>
      </c>
      <c r="G289" s="25">
        <f>H289/F289</f>
        <v>0.53085301347125202</v>
      </c>
      <c r="H289" s="27">
        <f>F289-J289</f>
        <v>9659110170</v>
      </c>
      <c r="I289" s="25">
        <f>J289/F289</f>
        <v>0.46914698652874803</v>
      </c>
      <c r="J289" s="37">
        <v>8536341160</v>
      </c>
      <c r="K289" s="27">
        <f>SUM(H289+J289)</f>
        <v>18195451330</v>
      </c>
      <c r="L289" s="28">
        <f>H289/K289</f>
        <v>0.53085301347125202</v>
      </c>
      <c r="M289" s="27">
        <f>J289/K289</f>
        <v>0.46914698652874803</v>
      </c>
      <c r="N289" s="25">
        <f>D289/D290</f>
        <v>1</v>
      </c>
      <c r="O289" s="7">
        <f>'Charter Archive File'!Q44</f>
        <v>2660639</v>
      </c>
      <c r="P289" s="26">
        <f>O289*N289*M289</f>
        <v>1248230.7690908615</v>
      </c>
      <c r="Q289" s="29">
        <f>O289*N289*L289</f>
        <v>1412408.2309091385</v>
      </c>
      <c r="R289"/>
    </row>
    <row r="290" spans="1:18" ht="12.75" customHeight="1">
      <c r="A290" s="260" t="s">
        <v>1777</v>
      </c>
      <c r="B290" s="261"/>
      <c r="C290" s="262"/>
      <c r="D290" s="39">
        <f>SUM(D289)</f>
        <v>262</v>
      </c>
      <c r="E290" s="39"/>
      <c r="F290" s="39"/>
      <c r="G290" s="17"/>
      <c r="H290" s="17"/>
      <c r="I290" s="17"/>
      <c r="J290" s="39"/>
      <c r="K290" s="17"/>
      <c r="L290" s="17"/>
      <c r="M290" s="17"/>
      <c r="N290" s="49"/>
      <c r="O290" s="19"/>
      <c r="P290" s="19">
        <f>SUM(P289)</f>
        <v>1248230.7690908615</v>
      </c>
      <c r="Q290" s="20">
        <f>SUM(Q289)</f>
        <v>1412408.2309091385</v>
      </c>
      <c r="R290" s="14"/>
    </row>
    <row r="291" spans="1:18" ht="12.75" customHeight="1">
      <c r="A291" s="15" t="s">
        <v>1986</v>
      </c>
      <c r="B291" s="16"/>
      <c r="C291" s="64"/>
      <c r="D291" s="39"/>
      <c r="E291" s="39"/>
      <c r="F291" s="55"/>
      <c r="G291" s="17"/>
      <c r="H291" s="17"/>
      <c r="I291" s="17"/>
      <c r="J291" s="55"/>
      <c r="K291" s="17"/>
      <c r="L291" s="17"/>
      <c r="M291" s="17"/>
      <c r="N291" s="49"/>
      <c r="O291" s="19"/>
      <c r="P291" s="19"/>
      <c r="Q291" s="20"/>
      <c r="R291" s="14"/>
    </row>
    <row r="292" spans="1:18" ht="12.75" customHeight="1">
      <c r="A292" s="35"/>
      <c r="B292" s="35" t="s">
        <v>1764</v>
      </c>
      <c r="C292" s="67" t="s">
        <v>1977</v>
      </c>
      <c r="D292" s="42">
        <v>206</v>
      </c>
      <c r="E292" s="42">
        <v>10196</v>
      </c>
      <c r="F292" s="37">
        <v>18195451330</v>
      </c>
      <c r="G292" s="25">
        <f>H292/F292</f>
        <v>0.53085301347125202</v>
      </c>
      <c r="H292" s="27">
        <f>F292-J292</f>
        <v>9659110170</v>
      </c>
      <c r="I292" s="25">
        <f>J292/F292</f>
        <v>0.46914698652874803</v>
      </c>
      <c r="J292" s="37">
        <v>8536341160</v>
      </c>
      <c r="K292" s="27">
        <f>SUM(H292+J292)</f>
        <v>18195451330</v>
      </c>
      <c r="L292" s="28">
        <f>H292/K292</f>
        <v>0.53085301347125202</v>
      </c>
      <c r="M292" s="27">
        <f>J292/K292</f>
        <v>0.46914698652874803</v>
      </c>
      <c r="N292" s="25">
        <f>D292/D293</f>
        <v>1</v>
      </c>
      <c r="O292" s="7">
        <f>'Charter Archive File'!Q22</f>
        <v>2068463</v>
      </c>
      <c r="P292" s="26">
        <f>O292*N292*M292</f>
        <v>970413.18319621379</v>
      </c>
      <c r="Q292" s="29">
        <f>O292*N292*L292</f>
        <v>1098049.8168037864</v>
      </c>
      <c r="R292"/>
    </row>
    <row r="293" spans="1:18" ht="12.75" customHeight="1">
      <c r="A293" s="260" t="s">
        <v>1778</v>
      </c>
      <c r="B293" s="261"/>
      <c r="C293" s="262"/>
      <c r="D293" s="39">
        <f>SUM(D292)</f>
        <v>206</v>
      </c>
      <c r="E293" s="39"/>
      <c r="F293" s="39"/>
      <c r="G293" s="17"/>
      <c r="H293" s="17"/>
      <c r="I293" s="17"/>
      <c r="J293" s="39"/>
      <c r="K293" s="17"/>
      <c r="L293" s="17"/>
      <c r="M293" s="17"/>
      <c r="N293" s="49"/>
      <c r="O293" s="19"/>
      <c r="P293" s="19">
        <f>SUM(P292)</f>
        <v>970413.18319621379</v>
      </c>
      <c r="Q293" s="20">
        <f>SUM(Q292)</f>
        <v>1098049.8168037864</v>
      </c>
      <c r="R293" s="14"/>
    </row>
    <row r="294" spans="1:18" ht="12.75" customHeight="1">
      <c r="A294" s="15" t="s">
        <v>1987</v>
      </c>
      <c r="B294" s="16"/>
      <c r="C294" s="64"/>
      <c r="D294" s="39"/>
      <c r="E294" s="39"/>
      <c r="F294" s="55"/>
      <c r="G294" s="17"/>
      <c r="H294" s="17"/>
      <c r="I294" s="17"/>
      <c r="J294" s="55"/>
      <c r="K294" s="17"/>
      <c r="L294" s="17"/>
      <c r="M294" s="17"/>
      <c r="N294" s="49"/>
      <c r="O294" s="19"/>
      <c r="P294" s="19"/>
      <c r="Q294" s="20"/>
      <c r="R294" s="14"/>
    </row>
    <row r="295" spans="1:18" ht="12.75" customHeight="1">
      <c r="A295" s="35"/>
      <c r="B295" s="35" t="s">
        <v>1764</v>
      </c>
      <c r="C295" s="67" t="s">
        <v>1977</v>
      </c>
      <c r="D295" s="42">
        <v>284</v>
      </c>
      <c r="E295" s="42">
        <v>10196</v>
      </c>
      <c r="F295" s="37">
        <v>18195451330</v>
      </c>
      <c r="G295" s="25">
        <f>H295/F295</f>
        <v>0.53085301347125202</v>
      </c>
      <c r="H295" s="27">
        <f>F295-J295</f>
        <v>9659110170</v>
      </c>
      <c r="I295" s="25">
        <f>J295/F295</f>
        <v>0.46914698652874803</v>
      </c>
      <c r="J295" s="37">
        <v>8536341160</v>
      </c>
      <c r="K295" s="27">
        <f>SUM(H295+J295)</f>
        <v>18195451330</v>
      </c>
      <c r="L295" s="28">
        <f>H295/K295</f>
        <v>0.53085301347125202</v>
      </c>
      <c r="M295" s="27">
        <f>J295/K295</f>
        <v>0.46914698652874803</v>
      </c>
      <c r="N295" s="25">
        <f>D295/D296</f>
        <v>1</v>
      </c>
      <c r="O295" s="7">
        <f>'Charter Archive File'!Q46</f>
        <v>3298501</v>
      </c>
      <c r="P295" s="26">
        <f>O295*N295*M295</f>
        <v>1547481.8042120619</v>
      </c>
      <c r="Q295" s="29">
        <f>O295*N295*L295</f>
        <v>1751019.1957879383</v>
      </c>
      <c r="R295"/>
    </row>
    <row r="296" spans="1:18" ht="12.75" customHeight="1">
      <c r="A296" s="260" t="s">
        <v>1779</v>
      </c>
      <c r="B296" s="261"/>
      <c r="C296" s="262"/>
      <c r="D296" s="39">
        <f>SUM(D295)</f>
        <v>284</v>
      </c>
      <c r="E296" s="39"/>
      <c r="F296" s="39"/>
      <c r="G296" s="17"/>
      <c r="H296" s="17"/>
      <c r="I296" s="17"/>
      <c r="J296" s="39"/>
      <c r="K296" s="17"/>
      <c r="L296" s="17"/>
      <c r="M296" s="17"/>
      <c r="N296" s="49"/>
      <c r="O296" s="19"/>
      <c r="P296" s="19">
        <f>SUM(P295)</f>
        <v>1547481.8042120619</v>
      </c>
      <c r="Q296" s="20">
        <f>SUM(Q295)</f>
        <v>1751019.1957879383</v>
      </c>
      <c r="R296" s="14"/>
    </row>
    <row r="297" spans="1:18" ht="12.75" customHeight="1">
      <c r="A297" s="15" t="s">
        <v>1780</v>
      </c>
      <c r="B297" s="16"/>
      <c r="C297" s="64"/>
      <c r="D297" s="39"/>
      <c r="E297" s="39"/>
      <c r="F297" s="55"/>
      <c r="G297" s="17"/>
      <c r="H297" s="17"/>
      <c r="I297" s="17"/>
      <c r="J297" s="55"/>
      <c r="K297" s="17"/>
      <c r="L297" s="17"/>
      <c r="M297" s="17"/>
      <c r="N297" s="49"/>
      <c r="O297" s="19"/>
      <c r="P297" s="19"/>
      <c r="Q297" s="20"/>
      <c r="R297" s="14"/>
    </row>
    <row r="298" spans="1:18" ht="12.75" customHeight="1">
      <c r="A298" s="35"/>
      <c r="B298" s="35" t="s">
        <v>1764</v>
      </c>
      <c r="C298" s="67" t="s">
        <v>1977</v>
      </c>
      <c r="D298" s="42">
        <v>169</v>
      </c>
      <c r="E298" s="42">
        <v>10196</v>
      </c>
      <c r="F298" s="37">
        <v>18195451330</v>
      </c>
      <c r="G298" s="25">
        <f>H298/F298</f>
        <v>0.53085301347125202</v>
      </c>
      <c r="H298" s="27">
        <f>F298-J298</f>
        <v>9659110170</v>
      </c>
      <c r="I298" s="25">
        <f>J298/F298</f>
        <v>0.46914698652874803</v>
      </c>
      <c r="J298" s="37">
        <v>8536341160</v>
      </c>
      <c r="K298" s="27">
        <f>SUM(H298+J298)</f>
        <v>18195451330</v>
      </c>
      <c r="L298" s="28">
        <f>H298/K298</f>
        <v>0.53085301347125202</v>
      </c>
      <c r="M298" s="27">
        <f>J298/K298</f>
        <v>0.46914698652874803</v>
      </c>
      <c r="N298" s="25">
        <f>D298/D299</f>
        <v>1</v>
      </c>
      <c r="O298" s="7">
        <f>'Charter Archive File'!Q47</f>
        <v>2790012</v>
      </c>
      <c r="P298" s="26">
        <f>O298*N298*M298</f>
        <v>1308925.7221790454</v>
      </c>
      <c r="Q298" s="29">
        <f>O298*N298*L298</f>
        <v>1481086.2778209548</v>
      </c>
      <c r="R298"/>
    </row>
    <row r="299" spans="1:18" ht="12.75" customHeight="1">
      <c r="A299" s="260" t="s">
        <v>1781</v>
      </c>
      <c r="B299" s="261"/>
      <c r="C299" s="262"/>
      <c r="D299" s="39">
        <f>SUM(D298)</f>
        <v>169</v>
      </c>
      <c r="E299" s="39"/>
      <c r="F299" s="39"/>
      <c r="G299" s="17"/>
      <c r="H299" s="17"/>
      <c r="I299" s="17"/>
      <c r="J299" s="39"/>
      <c r="K299" s="17"/>
      <c r="L299" s="17"/>
      <c r="M299" s="17"/>
      <c r="N299" s="49"/>
      <c r="O299" s="19"/>
      <c r="P299" s="19">
        <f>SUM(P298)</f>
        <v>1308925.7221790454</v>
      </c>
      <c r="Q299" s="20">
        <f>SUM(Q298)</f>
        <v>1481086.2778209548</v>
      </c>
      <c r="R299" s="14"/>
    </row>
    <row r="300" spans="1:18" ht="12.75" customHeight="1">
      <c r="A300" s="15" t="s">
        <v>1782</v>
      </c>
      <c r="B300" s="16"/>
      <c r="C300" s="64"/>
      <c r="D300" s="39"/>
      <c r="E300" s="39"/>
      <c r="F300" s="55"/>
      <c r="G300" s="17"/>
      <c r="H300" s="17"/>
      <c r="I300" s="17"/>
      <c r="J300" s="55"/>
      <c r="K300" s="17"/>
      <c r="L300" s="17"/>
      <c r="M300" s="17"/>
      <c r="N300" s="49"/>
      <c r="O300" s="19"/>
      <c r="P300" s="19"/>
      <c r="Q300" s="20"/>
      <c r="R300" s="14"/>
    </row>
    <row r="301" spans="1:18" ht="12.75" customHeight="1">
      <c r="A301" s="35"/>
      <c r="B301" s="35" t="s">
        <v>1764</v>
      </c>
      <c r="C301" s="67" t="s">
        <v>1977</v>
      </c>
      <c r="D301" s="42">
        <v>192</v>
      </c>
      <c r="E301" s="42">
        <v>10196</v>
      </c>
      <c r="F301" s="37">
        <v>18195451330</v>
      </c>
      <c r="G301" s="25">
        <f>H301/F301</f>
        <v>0.53085301347125202</v>
      </c>
      <c r="H301" s="27">
        <f>F301-J301</f>
        <v>9659110170</v>
      </c>
      <c r="I301" s="25">
        <f>J301/F301</f>
        <v>0.46914698652874803</v>
      </c>
      <c r="J301" s="37">
        <v>8536341160</v>
      </c>
      <c r="K301" s="27">
        <f>SUM(H301+J301)</f>
        <v>18195451330</v>
      </c>
      <c r="L301" s="28">
        <f>H301/K301</f>
        <v>0.53085301347125202</v>
      </c>
      <c r="M301" s="27">
        <f>J301/K301</f>
        <v>0.46914698652874803</v>
      </c>
      <c r="N301" s="25">
        <f>D301/D302</f>
        <v>1</v>
      </c>
      <c r="O301" s="7">
        <f>'Charter Archive File'!Q76</f>
        <v>2009233</v>
      </c>
      <c r="P301" s="26">
        <f>O301*N301*M301</f>
        <v>942625.60718411603</v>
      </c>
      <c r="Q301" s="29">
        <f>O301*N301*L301</f>
        <v>1066607.3928158842</v>
      </c>
      <c r="R301"/>
    </row>
    <row r="302" spans="1:18" ht="12.75" customHeight="1">
      <c r="A302" s="260" t="s">
        <v>1783</v>
      </c>
      <c r="B302" s="261"/>
      <c r="C302" s="262"/>
      <c r="D302" s="39">
        <f>SUM(D301)</f>
        <v>192</v>
      </c>
      <c r="E302" s="39"/>
      <c r="F302" s="39"/>
      <c r="G302" s="17"/>
      <c r="H302" s="17"/>
      <c r="I302" s="17"/>
      <c r="J302" s="39"/>
      <c r="K302" s="17"/>
      <c r="L302" s="17"/>
      <c r="M302" s="17"/>
      <c r="N302" s="49"/>
      <c r="O302" s="19"/>
      <c r="P302" s="19">
        <f>SUM(P301)</f>
        <v>942625.60718411603</v>
      </c>
      <c r="Q302" s="20">
        <f>SUM(Q301)</f>
        <v>1066607.3928158842</v>
      </c>
      <c r="R302" s="14"/>
    </row>
    <row r="303" spans="1:18" ht="12.75" customHeight="1">
      <c r="A303" s="15" t="s">
        <v>1784</v>
      </c>
      <c r="B303" s="16"/>
      <c r="C303" s="64"/>
      <c r="D303" s="39"/>
      <c r="E303" s="39"/>
      <c r="F303" s="55"/>
      <c r="G303" s="17"/>
      <c r="H303" s="17"/>
      <c r="I303" s="17"/>
      <c r="J303" s="55"/>
      <c r="K303" s="17"/>
      <c r="L303" s="17"/>
      <c r="M303" s="17"/>
      <c r="N303" s="49"/>
      <c r="O303" s="19"/>
      <c r="P303" s="19"/>
      <c r="Q303" s="20"/>
      <c r="R303" s="14"/>
    </row>
    <row r="304" spans="1:18" ht="12.75" customHeight="1">
      <c r="A304" s="35"/>
      <c r="B304" s="35" t="s">
        <v>1764</v>
      </c>
      <c r="C304" s="67" t="s">
        <v>1977</v>
      </c>
      <c r="D304" s="42">
        <v>404</v>
      </c>
      <c r="E304" s="42">
        <v>10196</v>
      </c>
      <c r="F304" s="37">
        <v>18195451330</v>
      </c>
      <c r="G304" s="25">
        <f>H304/F304</f>
        <v>0.53085301347125202</v>
      </c>
      <c r="H304" s="27">
        <f>F304-J304</f>
        <v>9659110170</v>
      </c>
      <c r="I304" s="25">
        <f>J304/F304</f>
        <v>0.46914698652874803</v>
      </c>
      <c r="J304" s="37">
        <v>8536341160</v>
      </c>
      <c r="K304" s="27">
        <f>SUM(H304+J304)</f>
        <v>18195451330</v>
      </c>
      <c r="L304" s="28">
        <f>H304/K304</f>
        <v>0.53085301347125202</v>
      </c>
      <c r="M304" s="27">
        <f>J304/K304</f>
        <v>0.46914698652874803</v>
      </c>
      <c r="N304" s="25">
        <f>D304/D305</f>
        <v>1</v>
      </c>
      <c r="O304" s="6">
        <v>4229282</v>
      </c>
      <c r="P304" s="26">
        <f>O304*N304*M304</f>
        <v>1984154.9054802766</v>
      </c>
      <c r="Q304" s="29">
        <f>O304*N304*L304</f>
        <v>2245127.0945197237</v>
      </c>
      <c r="R304"/>
    </row>
    <row r="305" spans="1:18" ht="12.75" customHeight="1">
      <c r="A305" s="260" t="s">
        <v>1785</v>
      </c>
      <c r="B305" s="261"/>
      <c r="C305" s="262"/>
      <c r="D305" s="39">
        <f>SUM(D304)</f>
        <v>404</v>
      </c>
      <c r="E305" s="39"/>
      <c r="F305" s="39"/>
      <c r="G305" s="17"/>
      <c r="H305" s="17"/>
      <c r="I305" s="17"/>
      <c r="J305" s="39"/>
      <c r="K305" s="17"/>
      <c r="L305" s="17"/>
      <c r="M305" s="17"/>
      <c r="N305" s="49"/>
      <c r="O305" s="19"/>
      <c r="P305" s="19">
        <f>SUM(P304)</f>
        <v>1984154.9054802766</v>
      </c>
      <c r="Q305" s="20">
        <f>SUM(Q304)</f>
        <v>2245127.0945197237</v>
      </c>
      <c r="R305" s="14"/>
    </row>
    <row r="306" spans="1:18" ht="12.75" customHeight="1">
      <c r="A306" s="15" t="s">
        <v>1786</v>
      </c>
      <c r="B306" s="16"/>
      <c r="C306" s="64"/>
      <c r="D306" s="39"/>
      <c r="E306" s="39"/>
      <c r="F306" s="55"/>
      <c r="G306" s="17"/>
      <c r="H306" s="17"/>
      <c r="I306" s="17"/>
      <c r="J306" s="55"/>
      <c r="K306" s="17"/>
      <c r="L306" s="17"/>
      <c r="M306" s="17"/>
      <c r="N306" s="49"/>
      <c r="O306" s="19"/>
      <c r="P306" s="19"/>
      <c r="Q306" s="20"/>
      <c r="R306" s="14"/>
    </row>
    <row r="307" spans="1:18" ht="12.75" customHeight="1">
      <c r="A307" s="35"/>
      <c r="B307" s="35" t="s">
        <v>1764</v>
      </c>
      <c r="C307" s="67" t="s">
        <v>1977</v>
      </c>
      <c r="D307" s="42">
        <v>277</v>
      </c>
      <c r="E307" s="42">
        <v>10196</v>
      </c>
      <c r="F307" s="37">
        <v>18195451330</v>
      </c>
      <c r="G307" s="25">
        <f>H307/F307</f>
        <v>0.53085301347125202</v>
      </c>
      <c r="H307" s="27">
        <f>F307-J307</f>
        <v>9659110170</v>
      </c>
      <c r="I307" s="25">
        <f>J307/F307</f>
        <v>0.46914698652874803</v>
      </c>
      <c r="J307" s="37">
        <v>8536341160</v>
      </c>
      <c r="K307" s="27">
        <f>SUM(H307+J307)</f>
        <v>18195451330</v>
      </c>
      <c r="L307" s="28">
        <f>H307/K307</f>
        <v>0.53085301347125202</v>
      </c>
      <c r="M307" s="27">
        <f>J307/K307</f>
        <v>0.46914698652874803</v>
      </c>
      <c r="N307" s="25">
        <f>D307/D308</f>
        <v>1</v>
      </c>
      <c r="O307" s="7">
        <f>'Charter Archive File'!Q34</f>
        <v>2736898</v>
      </c>
      <c r="P307" s="26">
        <f>O307*N307*M307</f>
        <v>1284007.4491365575</v>
      </c>
      <c r="Q307" s="29">
        <f>O307*N307*L307</f>
        <v>1452890.5508634427</v>
      </c>
      <c r="R307"/>
    </row>
    <row r="308" spans="1:18" ht="12.75" customHeight="1">
      <c r="A308" s="260" t="s">
        <v>1787</v>
      </c>
      <c r="B308" s="261"/>
      <c r="C308" s="262"/>
      <c r="D308" s="39">
        <f>SUM(D307)</f>
        <v>277</v>
      </c>
      <c r="E308" s="39"/>
      <c r="F308" s="39"/>
      <c r="G308" s="17"/>
      <c r="H308" s="17"/>
      <c r="I308" s="17"/>
      <c r="J308" s="39"/>
      <c r="K308" s="17"/>
      <c r="L308" s="17"/>
      <c r="M308" s="17"/>
      <c r="N308" s="49"/>
      <c r="O308" s="19"/>
      <c r="P308" s="19">
        <f>SUM(P307)</f>
        <v>1284007.4491365575</v>
      </c>
      <c r="Q308" s="20">
        <f>SUM(Q307)</f>
        <v>1452890.5508634427</v>
      </c>
      <c r="R308" s="14"/>
    </row>
    <row r="309" spans="1:18" ht="12.75" customHeight="1">
      <c r="A309" s="15" t="s">
        <v>2260</v>
      </c>
      <c r="B309" s="16"/>
      <c r="C309" s="64"/>
      <c r="D309" s="39"/>
      <c r="E309" s="39"/>
      <c r="F309" s="55"/>
      <c r="G309" s="17"/>
      <c r="H309" s="17"/>
      <c r="I309" s="17"/>
      <c r="J309" s="55"/>
      <c r="K309" s="17"/>
      <c r="L309" s="17"/>
      <c r="M309" s="17"/>
      <c r="N309" s="49"/>
      <c r="O309" s="19"/>
      <c r="P309" s="19"/>
      <c r="Q309" s="20"/>
      <c r="R309" s="14"/>
    </row>
    <row r="310" spans="1:18" ht="12.75" customHeight="1">
      <c r="A310" s="35"/>
      <c r="B310" s="35" t="s">
        <v>1764</v>
      </c>
      <c r="C310" s="67" t="s">
        <v>1977</v>
      </c>
      <c r="D310" s="42">
        <v>286</v>
      </c>
      <c r="E310" s="42">
        <v>10196</v>
      </c>
      <c r="F310" s="37">
        <v>18195451330</v>
      </c>
      <c r="G310" s="25">
        <f>H310/F310</f>
        <v>0.53085301347125202</v>
      </c>
      <c r="H310" s="27">
        <f>F310-J310</f>
        <v>9659110170</v>
      </c>
      <c r="I310" s="25">
        <f>J310/F310</f>
        <v>0.46914698652874803</v>
      </c>
      <c r="J310" s="37">
        <v>8536341160</v>
      </c>
      <c r="K310" s="27">
        <f>SUM(H310+J310)</f>
        <v>18195451330</v>
      </c>
      <c r="L310" s="28">
        <f>H310/K310</f>
        <v>0.53085301347125202</v>
      </c>
      <c r="M310" s="27">
        <f>J310/K310</f>
        <v>0.46914698652874803</v>
      </c>
      <c r="N310" s="33">
        <f>D310/$D$312</f>
        <v>0.99651567944250874</v>
      </c>
      <c r="O310" s="7">
        <f>'Charter Archive File'!Q32</f>
        <v>3156950</v>
      </c>
      <c r="P310" s="26">
        <f>O310*N310*M310</f>
        <v>1475913.0440030394</v>
      </c>
      <c r="Q310" s="29">
        <f>O310*N310*L310</f>
        <v>1670037.1302129887</v>
      </c>
      <c r="R310"/>
    </row>
    <row r="311" spans="1:18" ht="12.75" customHeight="1">
      <c r="A311" s="35"/>
      <c r="B311" s="35" t="s">
        <v>1989</v>
      </c>
      <c r="C311" s="67" t="s">
        <v>1988</v>
      </c>
      <c r="D311" s="42">
        <v>1</v>
      </c>
      <c r="E311" s="42">
        <v>13224</v>
      </c>
      <c r="F311" s="59">
        <v>183905168</v>
      </c>
      <c r="G311" s="25">
        <f>H311/F311</f>
        <v>0.42836293213902504</v>
      </c>
      <c r="H311" s="27">
        <f>F311-J311</f>
        <v>78778157</v>
      </c>
      <c r="I311" s="25">
        <f>J311/F311</f>
        <v>0.5716370678609749</v>
      </c>
      <c r="J311" s="59">
        <v>105127011</v>
      </c>
      <c r="K311" s="27">
        <f>SUM(H311+J311)</f>
        <v>183905168</v>
      </c>
      <c r="L311" s="28">
        <f>H311/K311</f>
        <v>0.42836293213902504</v>
      </c>
      <c r="M311" s="27">
        <f>J311/K311</f>
        <v>0.5716370678609749</v>
      </c>
      <c r="N311" s="33">
        <f>D311/$D$312</f>
        <v>3.4843205574912892E-3</v>
      </c>
      <c r="O311" s="7">
        <f>O310</f>
        <v>3156950</v>
      </c>
      <c r="P311" s="26">
        <f>O311*N311*M311</f>
        <v>6287.9081581313749</v>
      </c>
      <c r="Q311" s="29">
        <f>O311*N311*L311</f>
        <v>4711.9176258407488</v>
      </c>
      <c r="R311"/>
    </row>
    <row r="312" spans="1:18" ht="12.75" customHeight="1">
      <c r="A312" s="260" t="s">
        <v>507</v>
      </c>
      <c r="B312" s="261"/>
      <c r="C312" s="262"/>
      <c r="D312" s="39">
        <f>SUM(D310:D311)</f>
        <v>287</v>
      </c>
      <c r="E312" s="39"/>
      <c r="F312" s="39"/>
      <c r="G312" s="17"/>
      <c r="H312" s="17"/>
      <c r="I312" s="17"/>
      <c r="J312" s="39"/>
      <c r="K312" s="17"/>
      <c r="L312" s="17"/>
      <c r="M312" s="17"/>
      <c r="N312" s="49"/>
      <c r="O312" s="19"/>
      <c r="P312" s="19">
        <f>SUM(P310:P311)</f>
        <v>1482200.9521611708</v>
      </c>
      <c r="Q312" s="19">
        <f>SUM(Q310:Q311)</f>
        <v>1674749.0478388295</v>
      </c>
      <c r="R312" s="14"/>
    </row>
    <row r="313" spans="1:18" ht="12.75" customHeight="1">
      <c r="A313" s="15" t="s">
        <v>1788</v>
      </c>
      <c r="B313" s="16"/>
      <c r="C313" s="64"/>
      <c r="D313" s="39"/>
      <c r="E313" s="39"/>
      <c r="F313" s="55"/>
      <c r="G313" s="17"/>
      <c r="H313" s="17"/>
      <c r="I313" s="17"/>
      <c r="J313" s="55"/>
      <c r="K313" s="17"/>
      <c r="L313" s="17"/>
      <c r="M313" s="17"/>
      <c r="N313" s="49"/>
      <c r="O313" s="19"/>
      <c r="P313" s="19"/>
      <c r="Q313" s="20"/>
      <c r="R313" s="14"/>
    </row>
    <row r="314" spans="1:18" ht="12.75" customHeight="1">
      <c r="A314" s="35"/>
      <c r="B314" s="35" t="s">
        <v>1764</v>
      </c>
      <c r="C314" s="67" t="s">
        <v>1977</v>
      </c>
      <c r="D314" s="42">
        <v>283</v>
      </c>
      <c r="E314" s="42">
        <v>10196</v>
      </c>
      <c r="F314" s="37">
        <v>18195451330</v>
      </c>
      <c r="G314" s="25">
        <f>H314/F314</f>
        <v>0.53085301347125202</v>
      </c>
      <c r="H314" s="27">
        <f>F314-J314</f>
        <v>9659110170</v>
      </c>
      <c r="I314" s="25">
        <f>J314/F314</f>
        <v>0.46914698652874803</v>
      </c>
      <c r="J314" s="37">
        <v>8536341160</v>
      </c>
      <c r="K314" s="27">
        <f>SUM(H314+J314)</f>
        <v>18195451330</v>
      </c>
      <c r="L314" s="28">
        <f>H314/K314</f>
        <v>0.53085301347125202</v>
      </c>
      <c r="M314" s="27">
        <f>J314/K314</f>
        <v>0.46914698652874803</v>
      </c>
      <c r="N314" s="25">
        <f>D314/D315</f>
        <v>1</v>
      </c>
      <c r="O314" s="7">
        <f>'Charter Archive File'!Q57</f>
        <v>2864046</v>
      </c>
      <c r="P314" s="26">
        <f>O314*N314*M314</f>
        <v>1343658.5501797148</v>
      </c>
      <c r="Q314" s="29">
        <f>O314*N314*L314</f>
        <v>1520387.4498202854</v>
      </c>
      <c r="R314"/>
    </row>
    <row r="315" spans="1:18" ht="12.75" customHeight="1">
      <c r="A315" s="260" t="s">
        <v>1789</v>
      </c>
      <c r="B315" s="261"/>
      <c r="C315" s="262"/>
      <c r="D315" s="39">
        <f>SUM(D314)</f>
        <v>283</v>
      </c>
      <c r="E315" s="39"/>
      <c r="F315" s="39"/>
      <c r="G315" s="17"/>
      <c r="H315" s="17"/>
      <c r="I315" s="17"/>
      <c r="J315" s="39"/>
      <c r="K315" s="17"/>
      <c r="L315" s="17"/>
      <c r="M315" s="17"/>
      <c r="N315" s="49"/>
      <c r="O315" s="19"/>
      <c r="P315" s="19">
        <f>SUM(P314)</f>
        <v>1343658.5501797148</v>
      </c>
      <c r="Q315" s="20">
        <f>SUM(Q314)</f>
        <v>1520387.4498202854</v>
      </c>
      <c r="R315" s="14"/>
    </row>
    <row r="316" spans="1:18" ht="12.75" customHeight="1">
      <c r="A316" s="15" t="s">
        <v>1790</v>
      </c>
      <c r="B316" s="16"/>
      <c r="C316" s="64"/>
      <c r="D316" s="39"/>
      <c r="E316" s="39"/>
      <c r="F316" s="55"/>
      <c r="G316" s="17"/>
      <c r="H316" s="17"/>
      <c r="I316" s="17"/>
      <c r="J316" s="55"/>
      <c r="K316" s="17"/>
      <c r="L316" s="17"/>
      <c r="M316" s="17"/>
      <c r="N316" s="49"/>
      <c r="O316" s="19"/>
      <c r="P316" s="19"/>
      <c r="Q316" s="20"/>
      <c r="R316" s="14"/>
    </row>
    <row r="317" spans="1:18" ht="12.75" customHeight="1">
      <c r="A317" s="35"/>
      <c r="B317" s="35" t="s">
        <v>1764</v>
      </c>
      <c r="C317" s="67" t="s">
        <v>1977</v>
      </c>
      <c r="D317" s="42">
        <v>84</v>
      </c>
      <c r="E317" s="42">
        <v>10196</v>
      </c>
      <c r="F317" s="37">
        <v>18195451330</v>
      </c>
      <c r="G317" s="25">
        <f>H317/F317</f>
        <v>0.53085301347125202</v>
      </c>
      <c r="H317" s="27">
        <f>F317-J317</f>
        <v>9659110170</v>
      </c>
      <c r="I317" s="25">
        <f>J317/F317</f>
        <v>0.46914698652874803</v>
      </c>
      <c r="J317" s="37">
        <v>8536341160</v>
      </c>
      <c r="K317" s="27">
        <f>SUM(H317+J317)</f>
        <v>18195451330</v>
      </c>
      <c r="L317" s="28">
        <f>H317/K317</f>
        <v>0.53085301347125202</v>
      </c>
      <c r="M317" s="27">
        <f>J317/K317</f>
        <v>0.46914698652874803</v>
      </c>
      <c r="N317" s="25">
        <f>D317/D318</f>
        <v>1</v>
      </c>
      <c r="O317" s="7">
        <f>'Charter Archive File'!Q78</f>
        <v>936224</v>
      </c>
      <c r="P317" s="26">
        <f>O317*N317*M317</f>
        <v>439226.66831589059</v>
      </c>
      <c r="Q317" s="29">
        <f>O317*N317*L317</f>
        <v>496997.33168410946</v>
      </c>
      <c r="R317"/>
    </row>
    <row r="318" spans="1:18" ht="12.75" customHeight="1">
      <c r="A318" s="260" t="s">
        <v>1791</v>
      </c>
      <c r="B318" s="261"/>
      <c r="C318" s="262"/>
      <c r="D318" s="39">
        <f>SUM(D317)</f>
        <v>84</v>
      </c>
      <c r="E318" s="39"/>
      <c r="F318" s="39"/>
      <c r="G318" s="17"/>
      <c r="H318" s="17"/>
      <c r="I318" s="17"/>
      <c r="J318" s="39"/>
      <c r="K318" s="17"/>
      <c r="L318" s="17"/>
      <c r="M318" s="17"/>
      <c r="N318" s="49"/>
      <c r="O318" s="19"/>
      <c r="P318" s="19">
        <f>SUM(P317)</f>
        <v>439226.66831589059</v>
      </c>
      <c r="Q318" s="20">
        <f>SUM(Q317)</f>
        <v>496997.33168410946</v>
      </c>
      <c r="R318" s="14"/>
    </row>
    <row r="319" spans="1:18" ht="12.75" customHeight="1">
      <c r="A319" s="15" t="s">
        <v>1793</v>
      </c>
      <c r="B319" s="16"/>
      <c r="C319" s="64"/>
      <c r="D319" s="39"/>
      <c r="E319" s="39"/>
      <c r="F319" s="55"/>
      <c r="G319" s="17"/>
      <c r="H319" s="17"/>
      <c r="I319" s="17"/>
      <c r="J319" s="55"/>
      <c r="K319" s="17"/>
      <c r="L319" s="17"/>
      <c r="M319" s="17"/>
      <c r="N319" s="49"/>
      <c r="O319" s="19"/>
      <c r="P319" s="19"/>
      <c r="Q319" s="20"/>
      <c r="R319" s="14"/>
    </row>
    <row r="320" spans="1:18" ht="12.75" customHeight="1">
      <c r="A320" s="35"/>
      <c r="B320" s="35" t="s">
        <v>1764</v>
      </c>
      <c r="C320" s="67" t="s">
        <v>1977</v>
      </c>
      <c r="D320" s="42">
        <v>229</v>
      </c>
      <c r="E320" s="42">
        <v>10196</v>
      </c>
      <c r="F320" s="37">
        <v>18195451330</v>
      </c>
      <c r="G320" s="25">
        <f>H320/F320</f>
        <v>0.53085301347125202</v>
      </c>
      <c r="H320" s="27">
        <f>F320-J320</f>
        <v>9659110170</v>
      </c>
      <c r="I320" s="25">
        <f>J320/F320</f>
        <v>0.46914698652874803</v>
      </c>
      <c r="J320" s="37">
        <v>8536341160</v>
      </c>
      <c r="K320" s="27">
        <f>SUM(H320+J320)</f>
        <v>18195451330</v>
      </c>
      <c r="L320" s="28">
        <f>H320/K320</f>
        <v>0.53085301347125202</v>
      </c>
      <c r="M320" s="27">
        <f>J320/K320</f>
        <v>0.46914698652874803</v>
      </c>
      <c r="N320" s="25">
        <f>D320/D321</f>
        <v>1</v>
      </c>
      <c r="O320" s="7">
        <f>'Charter Archive File'!Q43</f>
        <v>2322671</v>
      </c>
      <c r="P320" s="26">
        <f>O320*N320*M320</f>
        <v>1089674.1003477138</v>
      </c>
      <c r="Q320" s="29">
        <f>O320*N320*L320</f>
        <v>1232996.8996522864</v>
      </c>
      <c r="R320"/>
    </row>
    <row r="321" spans="1:18" ht="12.75" customHeight="1">
      <c r="A321" s="260" t="s">
        <v>1792</v>
      </c>
      <c r="B321" s="261"/>
      <c r="C321" s="262"/>
      <c r="D321" s="39">
        <f>SUM(D320)</f>
        <v>229</v>
      </c>
      <c r="E321" s="39"/>
      <c r="F321" s="39"/>
      <c r="G321" s="17"/>
      <c r="H321" s="17"/>
      <c r="I321" s="17"/>
      <c r="J321" s="39"/>
      <c r="K321" s="17"/>
      <c r="L321" s="17"/>
      <c r="M321" s="17"/>
      <c r="N321" s="49"/>
      <c r="O321" s="19"/>
      <c r="P321" s="19">
        <f>SUM(P320)</f>
        <v>1089674.1003477138</v>
      </c>
      <c r="Q321" s="20">
        <f>SUM(Q320)</f>
        <v>1232996.8996522864</v>
      </c>
      <c r="R321" s="14"/>
    </row>
    <row r="322" spans="1:18" ht="12.75" customHeight="1">
      <c r="A322" s="15" t="s">
        <v>1990</v>
      </c>
      <c r="B322" s="16"/>
      <c r="C322" s="64"/>
      <c r="D322" s="39"/>
      <c r="E322" s="39"/>
      <c r="F322" s="55"/>
      <c r="G322" s="17"/>
      <c r="H322" s="17"/>
      <c r="I322" s="17"/>
      <c r="J322" s="55"/>
      <c r="K322" s="17"/>
      <c r="L322" s="17"/>
      <c r="M322" s="17"/>
      <c r="N322" s="49"/>
      <c r="O322" s="19"/>
      <c r="P322" s="19"/>
      <c r="Q322" s="20"/>
      <c r="R322" s="14"/>
    </row>
    <row r="323" spans="1:18" ht="12.75" customHeight="1">
      <c r="A323" s="35"/>
      <c r="B323" s="35" t="s">
        <v>1764</v>
      </c>
      <c r="C323" s="67" t="s">
        <v>1977</v>
      </c>
      <c r="D323" s="42">
        <v>185</v>
      </c>
      <c r="E323" s="42">
        <v>10196</v>
      </c>
      <c r="F323" s="37">
        <v>18195451330</v>
      </c>
      <c r="G323" s="25">
        <f>H323/F323</f>
        <v>0.53085301347125202</v>
      </c>
      <c r="H323" s="27">
        <f>F323-J323</f>
        <v>9659110170</v>
      </c>
      <c r="I323" s="25">
        <f>J323/F323</f>
        <v>0.46914698652874803</v>
      </c>
      <c r="J323" s="37">
        <v>8536341160</v>
      </c>
      <c r="K323" s="27">
        <f>SUM(H323+J323)</f>
        <v>18195451330</v>
      </c>
      <c r="L323" s="28">
        <f>H323/K323</f>
        <v>0.53085301347125202</v>
      </c>
      <c r="M323" s="27">
        <f>J323/K323</f>
        <v>0.46914698652874803</v>
      </c>
      <c r="N323" s="25">
        <f>D323/D324</f>
        <v>1</v>
      </c>
      <c r="O323" s="7">
        <f>'Charter Archive File'!Q45</f>
        <v>1918323</v>
      </c>
      <c r="P323" s="26">
        <f>O323*N323*M323</f>
        <v>899975.45463878755</v>
      </c>
      <c r="Q323" s="29">
        <f>O323*N323*L323</f>
        <v>1018347.5453612126</v>
      </c>
      <c r="R323"/>
    </row>
    <row r="324" spans="1:18" ht="12.75" customHeight="1">
      <c r="A324" s="260" t="s">
        <v>1794</v>
      </c>
      <c r="B324" s="261"/>
      <c r="C324" s="262"/>
      <c r="D324" s="39">
        <f>SUM(D323)</f>
        <v>185</v>
      </c>
      <c r="E324" s="39"/>
      <c r="F324" s="39"/>
      <c r="G324" s="17"/>
      <c r="H324" s="17"/>
      <c r="I324" s="17"/>
      <c r="J324" s="39"/>
      <c r="K324" s="17"/>
      <c r="L324" s="17"/>
      <c r="M324" s="17"/>
      <c r="N324" s="49"/>
      <c r="O324" s="19"/>
      <c r="P324" s="19">
        <f>SUM(P323)</f>
        <v>899975.45463878755</v>
      </c>
      <c r="Q324" s="20">
        <f>SUM(Q323)</f>
        <v>1018347.5453612126</v>
      </c>
      <c r="R324" s="14"/>
    </row>
    <row r="325" spans="1:18" ht="12.75" customHeight="1">
      <c r="A325" s="15" t="s">
        <v>2251</v>
      </c>
      <c r="B325" s="16"/>
      <c r="C325" s="64"/>
      <c r="D325" s="39"/>
      <c r="E325" s="39"/>
      <c r="F325" s="55"/>
      <c r="G325" s="17"/>
      <c r="H325" s="17"/>
      <c r="I325" s="17"/>
      <c r="J325" s="55"/>
      <c r="K325" s="17"/>
      <c r="L325" s="17"/>
      <c r="M325" s="17"/>
      <c r="N325" s="49"/>
      <c r="O325" s="19"/>
      <c r="P325" s="19"/>
      <c r="Q325" s="20"/>
      <c r="R325" s="14"/>
    </row>
    <row r="326" spans="1:18" ht="12.75" customHeight="1">
      <c r="A326" s="35"/>
      <c r="B326" s="35" t="s">
        <v>1764</v>
      </c>
      <c r="C326" s="67" t="s">
        <v>1977</v>
      </c>
      <c r="D326" s="42">
        <v>128</v>
      </c>
      <c r="E326" s="42">
        <v>10196</v>
      </c>
      <c r="F326" s="37">
        <v>18195451330</v>
      </c>
      <c r="G326" s="25">
        <f>H326/F326</f>
        <v>0.53085301347125202</v>
      </c>
      <c r="H326" s="27">
        <f>F326-J326</f>
        <v>9659110170</v>
      </c>
      <c r="I326" s="25">
        <f>J326/F326</f>
        <v>0.46914698652874803</v>
      </c>
      <c r="J326" s="37">
        <v>8536341160</v>
      </c>
      <c r="K326" s="27">
        <f>SUM(H326+J326)</f>
        <v>18195451330</v>
      </c>
      <c r="L326" s="28">
        <f>H326/K326</f>
        <v>0.53085301347125202</v>
      </c>
      <c r="M326" s="27">
        <f>J326/K326</f>
        <v>0.46914698652874803</v>
      </c>
      <c r="N326" s="25">
        <f>D326/D327</f>
        <v>1</v>
      </c>
      <c r="O326" s="7">
        <f>'Charter Archive File'!Q23</f>
        <v>1307094</v>
      </c>
      <c r="P326" s="26">
        <f>O326*N326*M326</f>
        <v>613219.21120980743</v>
      </c>
      <c r="Q326" s="29">
        <f>O326*N326*L326</f>
        <v>693874.78879019269</v>
      </c>
      <c r="R326"/>
    </row>
    <row r="327" spans="1:18" ht="12.75" customHeight="1">
      <c r="A327" s="260" t="s">
        <v>1795</v>
      </c>
      <c r="B327" s="261"/>
      <c r="C327" s="262"/>
      <c r="D327" s="39">
        <f>SUM(D326)</f>
        <v>128</v>
      </c>
      <c r="E327" s="39"/>
      <c r="F327" s="39"/>
      <c r="G327" s="17"/>
      <c r="H327" s="17"/>
      <c r="I327" s="17"/>
      <c r="J327" s="39"/>
      <c r="K327" s="17"/>
      <c r="L327" s="17"/>
      <c r="M327" s="17"/>
      <c r="N327" s="49"/>
      <c r="O327" s="19"/>
      <c r="P327" s="19">
        <f>SUM(P326)</f>
        <v>613219.21120980743</v>
      </c>
      <c r="Q327" s="20">
        <f>SUM(Q326)</f>
        <v>693874.78879019269</v>
      </c>
      <c r="R327" s="14"/>
    </row>
    <row r="328" spans="1:18" ht="12.75" customHeight="1">
      <c r="A328" s="15" t="s">
        <v>2159</v>
      </c>
      <c r="B328" s="16"/>
      <c r="C328" s="64"/>
      <c r="D328" s="39"/>
      <c r="E328" s="39"/>
      <c r="F328" s="55"/>
      <c r="G328" s="17"/>
      <c r="H328" s="17"/>
      <c r="I328" s="17"/>
      <c r="J328" s="55"/>
      <c r="K328" s="17"/>
      <c r="L328" s="17"/>
      <c r="M328" s="17"/>
      <c r="N328" s="49"/>
      <c r="O328" s="19"/>
      <c r="P328" s="19"/>
      <c r="Q328" s="20"/>
      <c r="R328" s="14"/>
    </row>
    <row r="329" spans="1:18" ht="12.75" customHeight="1">
      <c r="A329" s="35"/>
      <c r="B329" s="35" t="s">
        <v>1764</v>
      </c>
      <c r="C329" s="67" t="s">
        <v>1977</v>
      </c>
      <c r="D329" s="42">
        <v>288</v>
      </c>
      <c r="E329" s="42">
        <v>10196</v>
      </c>
      <c r="F329" s="37">
        <v>18195451330</v>
      </c>
      <c r="G329" s="25">
        <f>H329/F329</f>
        <v>0.53085301347125202</v>
      </c>
      <c r="H329" s="27">
        <f>F329-J329</f>
        <v>9659110170</v>
      </c>
      <c r="I329" s="25">
        <f>J329/F329</f>
        <v>0.46914698652874803</v>
      </c>
      <c r="J329" s="37">
        <v>8536341160</v>
      </c>
      <c r="K329" s="27">
        <f>SUM(H329+J329)</f>
        <v>18195451330</v>
      </c>
      <c r="L329" s="28">
        <f>H329/K329</f>
        <v>0.53085301347125202</v>
      </c>
      <c r="M329" s="27">
        <f>J329/K329</f>
        <v>0.46914698652874803</v>
      </c>
      <c r="N329" s="25">
        <f>D329/D330</f>
        <v>1</v>
      </c>
      <c r="O329" s="7">
        <f>'Charter Archive File'!Q40</f>
        <v>2937694</v>
      </c>
      <c r="P329" s="26">
        <f>O329*N329*M329</f>
        <v>1378210.2874435838</v>
      </c>
      <c r="Q329" s="29">
        <f>O329*N329*L329</f>
        <v>1559483.7125564162</v>
      </c>
      <c r="R329"/>
    </row>
    <row r="330" spans="1:18" ht="12.75" customHeight="1">
      <c r="A330" s="260" t="s">
        <v>1796</v>
      </c>
      <c r="B330" s="261"/>
      <c r="C330" s="262"/>
      <c r="D330" s="39">
        <f>SUM(D329)</f>
        <v>288</v>
      </c>
      <c r="E330" s="39"/>
      <c r="F330" s="39"/>
      <c r="G330" s="17"/>
      <c r="H330" s="17"/>
      <c r="I330" s="17"/>
      <c r="J330" s="39"/>
      <c r="K330" s="17"/>
      <c r="L330" s="17"/>
      <c r="M330" s="17"/>
      <c r="N330" s="49"/>
      <c r="O330" s="19"/>
      <c r="P330" s="19">
        <f>SUM(P329)</f>
        <v>1378210.2874435838</v>
      </c>
      <c r="Q330" s="20">
        <f>SUM(Q329)</f>
        <v>1559483.7125564162</v>
      </c>
      <c r="R330" s="14"/>
    </row>
    <row r="331" spans="1:18" ht="12.75" customHeight="1">
      <c r="A331" s="15" t="s">
        <v>1797</v>
      </c>
      <c r="B331" s="16"/>
      <c r="C331" s="64"/>
      <c r="D331" s="39"/>
      <c r="E331" s="39"/>
      <c r="F331" s="55"/>
      <c r="G331" s="17"/>
      <c r="H331" s="17"/>
      <c r="I331" s="17"/>
      <c r="J331" s="55"/>
      <c r="K331" s="17"/>
      <c r="L331" s="17"/>
      <c r="M331" s="17"/>
      <c r="N331" s="49"/>
      <c r="O331" s="19"/>
      <c r="P331" s="19"/>
      <c r="Q331" s="20"/>
      <c r="R331" s="14"/>
    </row>
    <row r="332" spans="1:18" ht="12.75" customHeight="1">
      <c r="A332" s="35"/>
      <c r="B332" s="35" t="s">
        <v>1764</v>
      </c>
      <c r="C332" s="67" t="s">
        <v>1977</v>
      </c>
      <c r="D332" s="42">
        <v>100</v>
      </c>
      <c r="E332" s="42">
        <v>10196</v>
      </c>
      <c r="F332" s="37">
        <v>18195451330</v>
      </c>
      <c r="G332" s="25">
        <f>H332/F332</f>
        <v>0.53085301347125202</v>
      </c>
      <c r="H332" s="27">
        <f>F332-J332</f>
        <v>9659110170</v>
      </c>
      <c r="I332" s="25">
        <f>J332/F332</f>
        <v>0.46914698652874803</v>
      </c>
      <c r="J332" s="37">
        <v>8536341160</v>
      </c>
      <c r="K332" s="27">
        <f>SUM(H332+J332)</f>
        <v>18195451330</v>
      </c>
      <c r="L332" s="28">
        <f>H332/K332</f>
        <v>0.53085301347125202</v>
      </c>
      <c r="M332" s="27">
        <f>J332/K332</f>
        <v>0.46914698652874803</v>
      </c>
      <c r="N332" s="25">
        <f>D332/D333</f>
        <v>1</v>
      </c>
      <c r="O332" s="7">
        <f>'Charter Archive File'!Q41</f>
        <v>1020822</v>
      </c>
      <c r="P332" s="26">
        <f>O332*N332*M332</f>
        <v>478915.56508224964</v>
      </c>
      <c r="Q332" s="29">
        <f>O332*N332*L332</f>
        <v>541906.43491775042</v>
      </c>
      <c r="R332"/>
    </row>
    <row r="333" spans="1:18" ht="12.75" customHeight="1">
      <c r="A333" s="260" t="s">
        <v>1798</v>
      </c>
      <c r="B333" s="261"/>
      <c r="C333" s="262"/>
      <c r="D333" s="39">
        <f>SUM(D332)</f>
        <v>100</v>
      </c>
      <c r="E333" s="39"/>
      <c r="F333" s="39"/>
      <c r="G333" s="17"/>
      <c r="H333" s="17"/>
      <c r="I333" s="17"/>
      <c r="J333" s="39"/>
      <c r="K333" s="17"/>
      <c r="L333" s="17"/>
      <c r="M333" s="17"/>
      <c r="N333" s="49"/>
      <c r="O333" s="19"/>
      <c r="P333" s="19">
        <f>SUM(P332)</f>
        <v>478915.56508224964</v>
      </c>
      <c r="Q333" s="20">
        <f>SUM(Q332)</f>
        <v>541906.43491775042</v>
      </c>
      <c r="R333" s="14"/>
    </row>
    <row r="334" spans="1:18" ht="12.75" customHeight="1">
      <c r="A334" s="15" t="s">
        <v>1799</v>
      </c>
      <c r="B334" s="16"/>
      <c r="C334" s="64"/>
      <c r="D334" s="39"/>
      <c r="E334" s="39"/>
      <c r="F334" s="55"/>
      <c r="G334" s="17"/>
      <c r="H334" s="17"/>
      <c r="I334" s="17"/>
      <c r="J334" s="55"/>
      <c r="K334" s="17"/>
      <c r="L334" s="17"/>
      <c r="M334" s="17"/>
      <c r="N334" s="49"/>
      <c r="O334" s="19"/>
      <c r="P334" s="19"/>
      <c r="Q334" s="20"/>
      <c r="R334" s="14"/>
    </row>
    <row r="335" spans="1:18" ht="12.75" customHeight="1">
      <c r="A335" s="35"/>
      <c r="B335" s="35" t="s">
        <v>1764</v>
      </c>
      <c r="C335" s="67" t="s">
        <v>1977</v>
      </c>
      <c r="D335" s="42">
        <v>116</v>
      </c>
      <c r="E335" s="42">
        <v>10196</v>
      </c>
      <c r="F335" s="37">
        <v>18195451330</v>
      </c>
      <c r="G335" s="25">
        <f>H335/F335</f>
        <v>0.53085301347125202</v>
      </c>
      <c r="H335" s="27">
        <f>F335-J335</f>
        <v>9659110170</v>
      </c>
      <c r="I335" s="25">
        <f>J335/F335</f>
        <v>0.46914698652874803</v>
      </c>
      <c r="J335" s="37">
        <v>8536341160</v>
      </c>
      <c r="K335" s="27">
        <f>SUM(H335+J335)</f>
        <v>18195451330</v>
      </c>
      <c r="L335" s="28">
        <f>H335/K335</f>
        <v>0.53085301347125202</v>
      </c>
      <c r="M335" s="27">
        <f>J335/K335</f>
        <v>0.46914698652874803</v>
      </c>
      <c r="N335" s="25">
        <f>D335/D336</f>
        <v>1</v>
      </c>
      <c r="O335" s="7">
        <f>'Charter Archive File'!Q89</f>
        <v>1182735</v>
      </c>
      <c r="P335" s="26">
        <f>O335*N335*M335</f>
        <v>554876.56111207884</v>
      </c>
      <c r="Q335" s="29">
        <f>O335*N335*L335</f>
        <v>627858.43888792128</v>
      </c>
      <c r="R335"/>
    </row>
    <row r="336" spans="1:18" ht="12.75" customHeight="1">
      <c r="A336" s="260" t="s">
        <v>1800</v>
      </c>
      <c r="B336" s="261"/>
      <c r="C336" s="262"/>
      <c r="D336" s="39">
        <f>SUM(D335)</f>
        <v>116</v>
      </c>
      <c r="E336" s="39"/>
      <c r="F336" s="39"/>
      <c r="G336" s="17"/>
      <c r="H336" s="17"/>
      <c r="I336" s="17"/>
      <c r="J336" s="39"/>
      <c r="K336" s="17"/>
      <c r="L336" s="17"/>
      <c r="M336" s="17"/>
      <c r="N336" s="49"/>
      <c r="O336" s="19"/>
      <c r="P336" s="19">
        <f>SUM(P335)</f>
        <v>554876.56111207884</v>
      </c>
      <c r="Q336" s="20">
        <f>SUM(Q335)</f>
        <v>627858.43888792128</v>
      </c>
      <c r="R336" s="14"/>
    </row>
    <row r="337" spans="1:18" ht="12.75" customHeight="1">
      <c r="A337" s="15" t="s">
        <v>1801</v>
      </c>
      <c r="B337" s="16"/>
      <c r="C337" s="64"/>
      <c r="D337" s="39"/>
      <c r="E337" s="39"/>
      <c r="F337" s="55"/>
      <c r="G337" s="17"/>
      <c r="H337" s="17"/>
      <c r="I337" s="17"/>
      <c r="J337" s="55"/>
      <c r="K337" s="17"/>
      <c r="L337" s="17"/>
      <c r="M337" s="17"/>
      <c r="N337" s="49"/>
      <c r="O337" s="19"/>
      <c r="P337" s="19"/>
      <c r="Q337" s="20"/>
      <c r="R337" s="14"/>
    </row>
    <row r="338" spans="1:18" ht="12.75" customHeight="1">
      <c r="A338" s="35"/>
      <c r="B338" s="35" t="s">
        <v>1764</v>
      </c>
      <c r="C338" s="67" t="s">
        <v>1977</v>
      </c>
      <c r="D338" s="42">
        <v>227</v>
      </c>
      <c r="E338" s="42">
        <v>10196</v>
      </c>
      <c r="F338" s="37">
        <v>18195451330</v>
      </c>
      <c r="G338" s="25">
        <f>H338/F338</f>
        <v>0.53085301347125202</v>
      </c>
      <c r="H338" s="27">
        <f>F338-J338</f>
        <v>9659110170</v>
      </c>
      <c r="I338" s="25">
        <f>J338/F338</f>
        <v>0.46914698652874803</v>
      </c>
      <c r="J338" s="37">
        <v>8536341160</v>
      </c>
      <c r="K338" s="27">
        <f>SUM(H338+J338)</f>
        <v>18195451330</v>
      </c>
      <c r="L338" s="28">
        <f>H338/K338</f>
        <v>0.53085301347125202</v>
      </c>
      <c r="M338" s="27">
        <f>J338/K338</f>
        <v>0.46914698652874803</v>
      </c>
      <c r="N338" s="25">
        <f>D338/D339</f>
        <v>1</v>
      </c>
      <c r="O338" s="7">
        <f>'Charter Archive File'!Q5</f>
        <v>2376282</v>
      </c>
      <c r="P338" s="26">
        <f>O338*N338*M338</f>
        <v>1114825.5394425064</v>
      </c>
      <c r="Q338" s="29">
        <f>O338*N338*L338</f>
        <v>1261456.4605574936</v>
      </c>
      <c r="R338"/>
    </row>
    <row r="339" spans="1:18" ht="12.75" customHeight="1">
      <c r="A339" s="260" t="s">
        <v>1802</v>
      </c>
      <c r="B339" s="261"/>
      <c r="C339" s="262"/>
      <c r="D339" s="39">
        <f>SUM(D338)</f>
        <v>227</v>
      </c>
      <c r="E339" s="39"/>
      <c r="F339" s="39"/>
      <c r="G339" s="17"/>
      <c r="H339" s="17"/>
      <c r="I339" s="17"/>
      <c r="J339" s="39"/>
      <c r="K339" s="17"/>
      <c r="L339" s="17"/>
      <c r="M339" s="17"/>
      <c r="N339" s="49"/>
      <c r="O339" s="19"/>
      <c r="P339" s="19">
        <f>SUM(P338)</f>
        <v>1114825.5394425064</v>
      </c>
      <c r="Q339" s="20">
        <f>SUM(Q338)</f>
        <v>1261456.4605574936</v>
      </c>
      <c r="R339" s="14"/>
    </row>
    <row r="340" spans="1:18" ht="12.75" customHeight="1">
      <c r="A340" s="15" t="s">
        <v>1803</v>
      </c>
      <c r="B340" s="16"/>
      <c r="C340" s="64"/>
      <c r="D340" s="39"/>
      <c r="E340" s="39"/>
      <c r="F340" s="55"/>
      <c r="G340" s="17"/>
      <c r="H340" s="17"/>
      <c r="I340" s="17"/>
      <c r="J340" s="55"/>
      <c r="K340" s="17"/>
      <c r="L340" s="17"/>
      <c r="M340" s="17"/>
      <c r="N340" s="49"/>
      <c r="O340" s="19"/>
      <c r="P340" s="19"/>
      <c r="Q340" s="20"/>
      <c r="R340" s="14"/>
    </row>
    <row r="341" spans="1:18" ht="12.75" customHeight="1">
      <c r="A341" s="35"/>
      <c r="B341" s="35" t="s">
        <v>1958</v>
      </c>
      <c r="C341" s="67" t="s">
        <v>1957</v>
      </c>
      <c r="D341" s="42">
        <v>1</v>
      </c>
      <c r="E341" s="42">
        <v>13498</v>
      </c>
      <c r="F341" s="59">
        <v>67468663</v>
      </c>
      <c r="G341" s="25">
        <f>H341/F341</f>
        <v>0.69149464248313319</v>
      </c>
      <c r="H341" s="27">
        <f>F341-J341</f>
        <v>46654219</v>
      </c>
      <c r="I341" s="25">
        <f>J341/F341</f>
        <v>0.30850535751686675</v>
      </c>
      <c r="J341" s="59">
        <v>20814444</v>
      </c>
      <c r="K341" s="27">
        <f>SUM(H341+J341)</f>
        <v>67468663</v>
      </c>
      <c r="L341" s="28">
        <f>H341/K341</f>
        <v>0.69149464248313319</v>
      </c>
      <c r="M341" s="27">
        <f>J341/K341</f>
        <v>0.30850535751686675</v>
      </c>
      <c r="N341" s="33">
        <f>D341/$D$343</f>
        <v>2.257336343115124E-3</v>
      </c>
      <c r="O341" s="7">
        <f>'Charter Archive File'!Q49</f>
        <v>4686377</v>
      </c>
      <c r="P341" s="26">
        <f>O341*N341*M341</f>
        <v>3263.5946091282649</v>
      </c>
      <c r="Q341" s="29">
        <f>O341*N341*L341</f>
        <v>7315.1345105105593</v>
      </c>
      <c r="R341"/>
    </row>
    <row r="342" spans="1:18" ht="12.75" customHeight="1">
      <c r="A342" s="35"/>
      <c r="B342" s="35" t="s">
        <v>1764</v>
      </c>
      <c r="C342" s="67" t="s">
        <v>1977</v>
      </c>
      <c r="D342" s="42">
        <v>442</v>
      </c>
      <c r="E342" s="42">
        <v>10196</v>
      </c>
      <c r="F342" s="37">
        <v>18195451330</v>
      </c>
      <c r="G342" s="25">
        <f>H342/F342</f>
        <v>0.53085301347125202</v>
      </c>
      <c r="H342" s="27">
        <f>F342-J342</f>
        <v>9659110170</v>
      </c>
      <c r="I342" s="25">
        <f>J342/F342</f>
        <v>0.46914698652874803</v>
      </c>
      <c r="J342" s="37">
        <v>8536341160</v>
      </c>
      <c r="K342" s="27">
        <f>SUM(H342+J342)</f>
        <v>18195451330</v>
      </c>
      <c r="L342" s="28">
        <f>H342/K342</f>
        <v>0.53085301347125202</v>
      </c>
      <c r="M342" s="27">
        <f>J342/K342</f>
        <v>0.46914698652874803</v>
      </c>
      <c r="N342" s="33">
        <f>D342/$D$343</f>
        <v>0.99774266365688491</v>
      </c>
      <c r="O342" s="7">
        <f>O341</f>
        <v>4686377</v>
      </c>
      <c r="P342" s="26">
        <f>O342*N342*M342</f>
        <v>2193636.6683998522</v>
      </c>
      <c r="Q342" s="29">
        <f>O342*N342*L342</f>
        <v>2482161.6024805093</v>
      </c>
      <c r="R342"/>
    </row>
    <row r="343" spans="1:18" ht="12.75" customHeight="1">
      <c r="A343" s="260" t="s">
        <v>1804</v>
      </c>
      <c r="B343" s="261"/>
      <c r="C343" s="262"/>
      <c r="D343" s="39">
        <f>SUM(D341:D342)</f>
        <v>443</v>
      </c>
      <c r="E343" s="39"/>
      <c r="F343" s="39"/>
      <c r="G343" s="17"/>
      <c r="H343" s="17"/>
      <c r="I343" s="17"/>
      <c r="J343" s="39"/>
      <c r="K343" s="17"/>
      <c r="L343" s="17"/>
      <c r="M343" s="17"/>
      <c r="N343" s="49"/>
      <c r="O343" s="19"/>
      <c r="P343" s="19">
        <f>SUM(P341:P342)</f>
        <v>2196900.2630089805</v>
      </c>
      <c r="Q343" s="19">
        <f>SUM(Q341:Q342)</f>
        <v>2489476.7369910199</v>
      </c>
      <c r="R343" s="14"/>
    </row>
    <row r="344" spans="1:18" ht="12.75" customHeight="1">
      <c r="A344" s="15" t="s">
        <v>2240</v>
      </c>
      <c r="B344" s="16"/>
      <c r="C344" s="64"/>
      <c r="D344" s="39"/>
      <c r="E344" s="39"/>
      <c r="F344" s="55"/>
      <c r="G344" s="17"/>
      <c r="H344" s="17"/>
      <c r="I344" s="17"/>
      <c r="J344" s="55"/>
      <c r="K344" s="17"/>
      <c r="L344" s="17"/>
      <c r="M344" s="17"/>
      <c r="N344" s="49"/>
      <c r="O344" s="19"/>
      <c r="P344" s="19"/>
      <c r="Q344" s="20"/>
      <c r="R344" s="14"/>
    </row>
    <row r="345" spans="1:18" ht="12.75" customHeight="1">
      <c r="A345" s="35"/>
      <c r="B345" s="35" t="s">
        <v>1764</v>
      </c>
      <c r="C345" s="67" t="s">
        <v>1977</v>
      </c>
      <c r="D345" s="42">
        <v>139</v>
      </c>
      <c r="E345" s="42">
        <v>10196</v>
      </c>
      <c r="F345" s="37">
        <v>18195451330</v>
      </c>
      <c r="G345" s="25">
        <f>H345/F345</f>
        <v>0.53085301347125202</v>
      </c>
      <c r="H345" s="27">
        <f>F345-J345</f>
        <v>9659110170</v>
      </c>
      <c r="I345" s="25">
        <f>J345/F345</f>
        <v>0.46914698652874803</v>
      </c>
      <c r="J345" s="37">
        <v>8536341160</v>
      </c>
      <c r="K345" s="27">
        <f>SUM(H345+J345)</f>
        <v>18195451330</v>
      </c>
      <c r="L345" s="28">
        <f t="shared" ref="L345:L424" si="81">H345/K345</f>
        <v>0.53085301347125202</v>
      </c>
      <c r="M345" s="27">
        <f t="shared" ref="M345:M424" si="82">J345/K345</f>
        <v>0.46914698652874803</v>
      </c>
      <c r="N345" s="25">
        <f>D345/D346</f>
        <v>1</v>
      </c>
      <c r="O345" s="7">
        <f>'Charter Archive File'!Q16</f>
        <v>1431586</v>
      </c>
      <c r="P345" s="26">
        <f t="shared" ref="P345:P424" si="83">O345*N345*M345</f>
        <v>671624.25785674423</v>
      </c>
      <c r="Q345" s="29">
        <f t="shared" ref="Q345:Q424" si="84">O345*N345*L345</f>
        <v>759961.74214325577</v>
      </c>
      <c r="R345"/>
    </row>
    <row r="346" spans="1:18" ht="12.75" customHeight="1">
      <c r="A346" s="260" t="s">
        <v>1805</v>
      </c>
      <c r="B346" s="261"/>
      <c r="C346" s="262"/>
      <c r="D346" s="39">
        <f>SUM(D345)</f>
        <v>139</v>
      </c>
      <c r="E346" s="39"/>
      <c r="F346" s="39"/>
      <c r="G346" s="17"/>
      <c r="H346" s="17"/>
      <c r="I346" s="17"/>
      <c r="J346" s="39"/>
      <c r="K346" s="17"/>
      <c r="L346" s="17"/>
      <c r="M346" s="17"/>
      <c r="N346" s="49"/>
      <c r="O346" s="19"/>
      <c r="P346" s="19">
        <f>SUM(P345)</f>
        <v>671624.25785674423</v>
      </c>
      <c r="Q346" s="20">
        <f>SUM(Q345)</f>
        <v>759961.74214325577</v>
      </c>
      <c r="R346" s="14"/>
    </row>
    <row r="347" spans="1:18" ht="12.75" customHeight="1">
      <c r="A347" s="15" t="s">
        <v>1806</v>
      </c>
      <c r="B347" s="16"/>
      <c r="C347" s="64"/>
      <c r="D347" s="39"/>
      <c r="E347" s="39"/>
      <c r="F347" s="55"/>
      <c r="G347" s="17"/>
      <c r="H347" s="17"/>
      <c r="I347" s="17"/>
      <c r="J347" s="55"/>
      <c r="K347" s="17"/>
      <c r="L347" s="17"/>
      <c r="M347" s="17"/>
      <c r="N347" s="49"/>
      <c r="O347" s="19"/>
      <c r="P347" s="19"/>
      <c r="Q347" s="20"/>
      <c r="R347" s="14"/>
    </row>
    <row r="348" spans="1:18" ht="12.75" customHeight="1">
      <c r="A348" s="35"/>
      <c r="B348" s="35" t="s">
        <v>1764</v>
      </c>
      <c r="C348" s="67" t="s">
        <v>1977</v>
      </c>
      <c r="D348" s="42">
        <v>84</v>
      </c>
      <c r="E348" s="42">
        <v>10196</v>
      </c>
      <c r="F348" s="37">
        <v>18195451330</v>
      </c>
      <c r="G348" s="25">
        <f>H348/F348</f>
        <v>0.53085301347125202</v>
      </c>
      <c r="H348" s="27">
        <f>F348-J348</f>
        <v>9659110170</v>
      </c>
      <c r="I348" s="25">
        <f>J348/F348</f>
        <v>0.46914698652874803</v>
      </c>
      <c r="J348" s="37">
        <v>8536341160</v>
      </c>
      <c r="K348" s="27">
        <f>SUM(H348+J348)</f>
        <v>18195451330</v>
      </c>
      <c r="L348" s="28">
        <f t="shared" si="81"/>
        <v>0.53085301347125202</v>
      </c>
      <c r="M348" s="27">
        <f t="shared" si="82"/>
        <v>0.46914698652874803</v>
      </c>
      <c r="N348" s="25">
        <f>D348/D349</f>
        <v>1</v>
      </c>
      <c r="O348" s="7">
        <f>'Charter Archive File'!Q13</f>
        <v>846982</v>
      </c>
      <c r="P348" s="26">
        <f t="shared" si="83"/>
        <v>397359.05294409208</v>
      </c>
      <c r="Q348" s="29">
        <f t="shared" si="84"/>
        <v>449622.94705590798</v>
      </c>
      <c r="R348"/>
    </row>
    <row r="349" spans="1:18" ht="12.75" customHeight="1">
      <c r="A349" s="260" t="s">
        <v>1807</v>
      </c>
      <c r="B349" s="261"/>
      <c r="C349" s="262"/>
      <c r="D349" s="39">
        <f>SUM(D348)</f>
        <v>84</v>
      </c>
      <c r="E349" s="39"/>
      <c r="F349" s="39"/>
      <c r="G349" s="17"/>
      <c r="H349" s="17"/>
      <c r="I349" s="17"/>
      <c r="J349" s="39"/>
      <c r="K349" s="17"/>
      <c r="L349" s="17"/>
      <c r="M349" s="17"/>
      <c r="N349" s="49"/>
      <c r="O349" s="19"/>
      <c r="P349" s="19">
        <f>SUM(P348)</f>
        <v>397359.05294409208</v>
      </c>
      <c r="Q349" s="20">
        <f>SUM(Q348)</f>
        <v>449622.94705590798</v>
      </c>
      <c r="R349" s="14"/>
    </row>
    <row r="350" spans="1:18" ht="12.75" customHeight="1">
      <c r="A350" s="15" t="s">
        <v>1808</v>
      </c>
      <c r="B350" s="16"/>
      <c r="C350" s="64"/>
      <c r="D350" s="39"/>
      <c r="E350" s="39"/>
      <c r="F350" s="55"/>
      <c r="G350" s="17"/>
      <c r="H350" s="17"/>
      <c r="I350" s="17"/>
      <c r="J350" s="55"/>
      <c r="K350" s="17"/>
      <c r="L350" s="17"/>
      <c r="M350" s="17"/>
      <c r="N350" s="49"/>
      <c r="O350" s="19"/>
      <c r="P350" s="19"/>
      <c r="Q350" s="20"/>
      <c r="R350" s="14"/>
    </row>
    <row r="351" spans="1:18" ht="12.75" customHeight="1">
      <c r="A351" s="35"/>
      <c r="B351" s="35" t="s">
        <v>1764</v>
      </c>
      <c r="C351" s="67" t="s">
        <v>1977</v>
      </c>
      <c r="D351" s="42">
        <v>181</v>
      </c>
      <c r="E351" s="42">
        <v>10196</v>
      </c>
      <c r="F351" s="37">
        <v>18195451330</v>
      </c>
      <c r="G351" s="25">
        <f>H351/F351</f>
        <v>0.53085301347125202</v>
      </c>
      <c r="H351" s="27">
        <f>F351-J351</f>
        <v>9659110170</v>
      </c>
      <c r="I351" s="25">
        <f>J351/F351</f>
        <v>0.46914698652874803</v>
      </c>
      <c r="J351" s="37">
        <v>8536341160</v>
      </c>
      <c r="K351" s="27">
        <f>SUM(H351+J351)</f>
        <v>18195451330</v>
      </c>
      <c r="L351" s="28">
        <f t="shared" si="81"/>
        <v>0.53085301347125202</v>
      </c>
      <c r="M351" s="27">
        <f t="shared" si="82"/>
        <v>0.46914698652874803</v>
      </c>
      <c r="N351" s="25">
        <f>D351/D352</f>
        <v>1</v>
      </c>
      <c r="O351" s="7">
        <f>'Charter Archive File'!Q75</f>
        <v>1831610</v>
      </c>
      <c r="P351" s="26">
        <f t="shared" si="83"/>
        <v>859294.31199592014</v>
      </c>
      <c r="Q351" s="29">
        <f t="shared" si="84"/>
        <v>972315.68800407997</v>
      </c>
      <c r="R351"/>
    </row>
    <row r="352" spans="1:18" ht="12.75" customHeight="1">
      <c r="A352" s="260" t="s">
        <v>1809</v>
      </c>
      <c r="B352" s="261"/>
      <c r="C352" s="262"/>
      <c r="D352" s="39">
        <f>SUM(D351)</f>
        <v>181</v>
      </c>
      <c r="E352" s="39"/>
      <c r="F352" s="39"/>
      <c r="G352" s="17"/>
      <c r="H352" s="17"/>
      <c r="I352" s="17"/>
      <c r="J352" s="39"/>
      <c r="K352" s="17"/>
      <c r="L352" s="17"/>
      <c r="M352" s="17"/>
      <c r="N352" s="49"/>
      <c r="O352" s="19"/>
      <c r="P352" s="19">
        <f>SUM(P351)</f>
        <v>859294.31199592014</v>
      </c>
      <c r="Q352" s="20">
        <f>SUM(Q351)</f>
        <v>972315.68800407997</v>
      </c>
      <c r="R352" s="14"/>
    </row>
    <row r="353" spans="1:18" ht="12.75" customHeight="1">
      <c r="A353" s="15" t="s">
        <v>1810</v>
      </c>
      <c r="B353" s="16"/>
      <c r="C353" s="64"/>
      <c r="D353" s="39"/>
      <c r="E353" s="39"/>
      <c r="F353" s="55"/>
      <c r="G353" s="17"/>
      <c r="H353" s="17"/>
      <c r="I353" s="17"/>
      <c r="J353" s="55"/>
      <c r="K353" s="17"/>
      <c r="L353" s="17"/>
      <c r="M353" s="17"/>
      <c r="N353" s="49"/>
      <c r="O353" s="19"/>
      <c r="P353" s="19"/>
      <c r="Q353" s="20"/>
      <c r="R353" s="14"/>
    </row>
    <row r="354" spans="1:18" ht="12.75" customHeight="1">
      <c r="A354" s="35"/>
      <c r="B354" s="35" t="s">
        <v>1764</v>
      </c>
      <c r="C354" s="67" t="s">
        <v>1977</v>
      </c>
      <c r="D354" s="42">
        <v>653</v>
      </c>
      <c r="E354" s="42">
        <v>10196</v>
      </c>
      <c r="F354" s="37">
        <v>18195451330</v>
      </c>
      <c r="G354" s="25">
        <f>H354/F354</f>
        <v>0.53085301347125202</v>
      </c>
      <c r="H354" s="27">
        <f>F354-J354</f>
        <v>9659110170</v>
      </c>
      <c r="I354" s="25">
        <f>J354/F354</f>
        <v>0.46914698652874803</v>
      </c>
      <c r="J354" s="37">
        <v>8536341160</v>
      </c>
      <c r="K354" s="27">
        <f>SUM(H354+J354)</f>
        <v>18195451330</v>
      </c>
      <c r="L354" s="28">
        <f t="shared" si="81"/>
        <v>0.53085301347125202</v>
      </c>
      <c r="M354" s="27">
        <f t="shared" si="82"/>
        <v>0.46914698652874803</v>
      </c>
      <c r="N354" s="25">
        <f>D354/D355</f>
        <v>1</v>
      </c>
      <c r="O354" s="7">
        <f>'Charter Archive File'!Q4</f>
        <v>6318578</v>
      </c>
      <c r="P354" s="26">
        <f t="shared" si="83"/>
        <v>2964341.8278468437</v>
      </c>
      <c r="Q354" s="29">
        <f t="shared" si="84"/>
        <v>3354236.1721531567</v>
      </c>
      <c r="R354"/>
    </row>
    <row r="355" spans="1:18" ht="12.75" customHeight="1">
      <c r="A355" s="260" t="s">
        <v>508</v>
      </c>
      <c r="B355" s="261"/>
      <c r="C355" s="262"/>
      <c r="D355" s="39">
        <f>SUM(D354)</f>
        <v>653</v>
      </c>
      <c r="E355" s="39"/>
      <c r="F355" s="39"/>
      <c r="G355" s="17"/>
      <c r="H355" s="17"/>
      <c r="I355" s="17"/>
      <c r="J355" s="39"/>
      <c r="K355" s="17"/>
      <c r="L355" s="17"/>
      <c r="M355" s="17"/>
      <c r="N355" s="49"/>
      <c r="O355" s="19"/>
      <c r="P355" s="19">
        <f>SUM(P354)</f>
        <v>2964341.8278468437</v>
      </c>
      <c r="Q355" s="20">
        <f>SUM(Q354)</f>
        <v>3354236.1721531567</v>
      </c>
      <c r="R355" s="14"/>
    </row>
    <row r="356" spans="1:18" ht="12.75" customHeight="1">
      <c r="A356" s="15" t="s">
        <v>1811</v>
      </c>
      <c r="B356" s="16"/>
      <c r="C356" s="64"/>
      <c r="D356" s="39"/>
      <c r="E356" s="39"/>
      <c r="F356" s="55"/>
      <c r="G356" s="17"/>
      <c r="H356" s="17"/>
      <c r="I356" s="17"/>
      <c r="J356" s="55"/>
      <c r="K356" s="17"/>
      <c r="L356" s="17"/>
      <c r="M356" s="17"/>
      <c r="N356" s="49"/>
      <c r="O356" s="19"/>
      <c r="P356" s="19"/>
      <c r="Q356" s="20"/>
      <c r="R356" s="14"/>
    </row>
    <row r="357" spans="1:18" ht="12.75" customHeight="1">
      <c r="A357" s="35"/>
      <c r="B357" s="35" t="s">
        <v>1764</v>
      </c>
      <c r="C357" s="67" t="s">
        <v>1977</v>
      </c>
      <c r="D357" s="42">
        <v>173</v>
      </c>
      <c r="E357" s="42">
        <v>10196</v>
      </c>
      <c r="F357" s="37">
        <v>18195451330</v>
      </c>
      <c r="G357" s="25">
        <f>H357/F357</f>
        <v>0.53085301347125202</v>
      </c>
      <c r="H357" s="27">
        <f>F357-J357</f>
        <v>9659110170</v>
      </c>
      <c r="I357" s="25">
        <f>J357/F357</f>
        <v>0.46914698652874803</v>
      </c>
      <c r="J357" s="37">
        <v>8536341160</v>
      </c>
      <c r="K357" s="27">
        <f>SUM(H357+J357)</f>
        <v>18195451330</v>
      </c>
      <c r="L357" s="28">
        <f t="shared" si="81"/>
        <v>0.53085301347125202</v>
      </c>
      <c r="M357" s="27">
        <f t="shared" si="82"/>
        <v>0.46914698652874803</v>
      </c>
      <c r="N357" s="25">
        <f>D357/D358</f>
        <v>1</v>
      </c>
      <c r="O357" s="7">
        <f>'Charter Archive File'!Q63</f>
        <v>1727664</v>
      </c>
      <c r="P357" s="26">
        <f t="shared" si="83"/>
        <v>810528.35933420295</v>
      </c>
      <c r="Q357" s="29">
        <f t="shared" si="84"/>
        <v>917135.64066579717</v>
      </c>
      <c r="R357"/>
    </row>
    <row r="358" spans="1:18" ht="12.75" customHeight="1">
      <c r="A358" s="260" t="s">
        <v>1812</v>
      </c>
      <c r="B358" s="261"/>
      <c r="C358" s="262"/>
      <c r="D358" s="39">
        <f>SUM(D357)</f>
        <v>173</v>
      </c>
      <c r="E358" s="39"/>
      <c r="F358" s="39"/>
      <c r="G358" s="17"/>
      <c r="H358" s="17"/>
      <c r="I358" s="17"/>
      <c r="J358" s="39"/>
      <c r="K358" s="17"/>
      <c r="L358" s="17"/>
      <c r="M358" s="17"/>
      <c r="N358" s="49"/>
      <c r="O358" s="19"/>
      <c r="P358" s="19">
        <f>SUM(P357)</f>
        <v>810528.35933420295</v>
      </c>
      <c r="Q358" s="20">
        <f>SUM(Q357)</f>
        <v>917135.64066579717</v>
      </c>
      <c r="R358" s="14"/>
    </row>
    <row r="359" spans="1:18" ht="12.75" customHeight="1">
      <c r="A359" s="15" t="s">
        <v>1991</v>
      </c>
      <c r="B359" s="16"/>
      <c r="C359" s="64"/>
      <c r="D359" s="39"/>
      <c r="E359" s="39"/>
      <c r="F359" s="55"/>
      <c r="G359" s="17"/>
      <c r="H359" s="17"/>
      <c r="I359" s="17"/>
      <c r="J359" s="55"/>
      <c r="K359" s="17"/>
      <c r="L359" s="17"/>
      <c r="M359" s="17"/>
      <c r="N359" s="49"/>
      <c r="O359" s="19"/>
      <c r="P359" s="19"/>
      <c r="Q359" s="20"/>
      <c r="R359" s="14"/>
    </row>
    <row r="360" spans="1:18" ht="12.75" customHeight="1">
      <c r="A360" s="35"/>
      <c r="B360" s="35" t="s">
        <v>1764</v>
      </c>
      <c r="C360" s="67" t="s">
        <v>1977</v>
      </c>
      <c r="D360" s="42">
        <v>428</v>
      </c>
      <c r="E360" s="42">
        <v>10196</v>
      </c>
      <c r="F360" s="37">
        <v>18195451330</v>
      </c>
      <c r="G360" s="25">
        <f>H360/F360</f>
        <v>0.53085301347125202</v>
      </c>
      <c r="H360" s="27">
        <f>F360-J360</f>
        <v>9659110170</v>
      </c>
      <c r="I360" s="25">
        <f>J360/F360</f>
        <v>0.46914698652874803</v>
      </c>
      <c r="J360" s="37">
        <v>8536341160</v>
      </c>
      <c r="K360" s="27">
        <f>SUM(H360+J360)</f>
        <v>18195451330</v>
      </c>
      <c r="L360" s="28">
        <f t="shared" si="81"/>
        <v>0.53085301347125202</v>
      </c>
      <c r="M360" s="27">
        <f t="shared" si="82"/>
        <v>0.46914698652874803</v>
      </c>
      <c r="N360" s="25">
        <f>D360/D361</f>
        <v>1</v>
      </c>
      <c r="O360" s="7">
        <f>'Charter Archive File'!Q12</f>
        <v>4291802</v>
      </c>
      <c r="P360" s="26">
        <f t="shared" si="83"/>
        <v>2013485.9750780538</v>
      </c>
      <c r="Q360" s="29">
        <f t="shared" si="84"/>
        <v>2278316.0249219462</v>
      </c>
      <c r="R360"/>
    </row>
    <row r="361" spans="1:18" ht="12.75" customHeight="1">
      <c r="A361" s="260" t="s">
        <v>1813</v>
      </c>
      <c r="B361" s="261"/>
      <c r="C361" s="262"/>
      <c r="D361" s="39">
        <f>SUM(D360)</f>
        <v>428</v>
      </c>
      <c r="E361" s="39"/>
      <c r="F361" s="39"/>
      <c r="G361" s="17"/>
      <c r="H361" s="17"/>
      <c r="I361" s="17"/>
      <c r="J361" s="39"/>
      <c r="K361" s="17"/>
      <c r="L361" s="17"/>
      <c r="M361" s="17"/>
      <c r="N361" s="49"/>
      <c r="O361" s="19"/>
      <c r="P361" s="19">
        <f>SUM(P360)</f>
        <v>2013485.9750780538</v>
      </c>
      <c r="Q361" s="20">
        <f>SUM(Q360)</f>
        <v>2278316.0249219462</v>
      </c>
      <c r="R361" s="14"/>
    </row>
    <row r="362" spans="1:18" ht="12.75" customHeight="1">
      <c r="A362" s="15" t="s">
        <v>1992</v>
      </c>
      <c r="B362" s="16"/>
      <c r="C362" s="64"/>
      <c r="D362" s="39"/>
      <c r="E362" s="39"/>
      <c r="F362" s="55"/>
      <c r="G362" s="17"/>
      <c r="H362" s="17"/>
      <c r="I362" s="17"/>
      <c r="J362" s="55"/>
      <c r="K362" s="17"/>
      <c r="L362" s="17"/>
      <c r="M362" s="17"/>
      <c r="N362" s="49"/>
      <c r="O362" s="19"/>
      <c r="P362" s="19"/>
      <c r="Q362" s="20"/>
      <c r="R362" s="14"/>
    </row>
    <row r="363" spans="1:18" ht="12.75" customHeight="1">
      <c r="A363" s="35"/>
      <c r="B363" s="35" t="s">
        <v>1764</v>
      </c>
      <c r="C363" s="67" t="s">
        <v>1977</v>
      </c>
      <c r="D363" s="42">
        <v>250</v>
      </c>
      <c r="E363" s="42">
        <v>10196</v>
      </c>
      <c r="F363" s="37">
        <v>18195451330</v>
      </c>
      <c r="G363" s="25">
        <f>H363/F363</f>
        <v>0.53085301347125202</v>
      </c>
      <c r="H363" s="27">
        <f>F363-J363</f>
        <v>9659110170</v>
      </c>
      <c r="I363" s="25">
        <f>J363/F363</f>
        <v>0.46914698652874803</v>
      </c>
      <c r="J363" s="37">
        <v>8536341160</v>
      </c>
      <c r="K363" s="27">
        <f>SUM(H363+J363)</f>
        <v>18195451330</v>
      </c>
      <c r="L363" s="28">
        <f t="shared" si="81"/>
        <v>0.53085301347125202</v>
      </c>
      <c r="M363" s="27">
        <f t="shared" si="82"/>
        <v>0.46914698652874803</v>
      </c>
      <c r="N363" s="25">
        <f>D363/D364</f>
        <v>1</v>
      </c>
      <c r="O363" s="7">
        <f>'Charter Archive File'!Q11</f>
        <v>2532177</v>
      </c>
      <c r="P363" s="26">
        <f t="shared" si="83"/>
        <v>1187963.2089074056</v>
      </c>
      <c r="Q363" s="29">
        <f t="shared" si="84"/>
        <v>1344213.7910925946</v>
      </c>
      <c r="R363"/>
    </row>
    <row r="364" spans="1:18" ht="12.75" customHeight="1">
      <c r="A364" s="260" t="s">
        <v>1814</v>
      </c>
      <c r="B364" s="261"/>
      <c r="C364" s="262"/>
      <c r="D364" s="39">
        <f>SUM(D363)</f>
        <v>250</v>
      </c>
      <c r="E364" s="39"/>
      <c r="F364" s="39"/>
      <c r="G364" s="17"/>
      <c r="H364" s="17"/>
      <c r="I364" s="17"/>
      <c r="J364" s="39"/>
      <c r="K364" s="17"/>
      <c r="L364" s="17"/>
      <c r="M364" s="17"/>
      <c r="N364" s="49"/>
      <c r="O364" s="19"/>
      <c r="P364" s="19">
        <f>SUM(P363)</f>
        <v>1187963.2089074056</v>
      </c>
      <c r="Q364" s="20">
        <f>SUM(Q363)</f>
        <v>1344213.7910925946</v>
      </c>
      <c r="R364" s="14"/>
    </row>
    <row r="365" spans="1:18" ht="12.75" customHeight="1">
      <c r="A365" s="15" t="s">
        <v>1815</v>
      </c>
      <c r="B365" s="16"/>
      <c r="C365" s="64"/>
      <c r="D365" s="39"/>
      <c r="E365" s="39"/>
      <c r="F365" s="55"/>
      <c r="G365" s="17"/>
      <c r="H365" s="17"/>
      <c r="I365" s="17"/>
      <c r="J365" s="55"/>
      <c r="K365" s="17"/>
      <c r="L365" s="17"/>
      <c r="M365" s="17"/>
      <c r="N365" s="49"/>
      <c r="O365" s="19"/>
      <c r="P365" s="19"/>
      <c r="Q365" s="20"/>
      <c r="R365" s="14"/>
    </row>
    <row r="366" spans="1:18" ht="12.75" customHeight="1">
      <c r="A366" s="35"/>
      <c r="B366" s="35" t="s">
        <v>1994</v>
      </c>
      <c r="C366" s="67" t="s">
        <v>1993</v>
      </c>
      <c r="D366" s="42">
        <v>1</v>
      </c>
      <c r="E366" s="42">
        <v>14550</v>
      </c>
      <c r="F366" s="59">
        <v>26656355</v>
      </c>
      <c r="G366" s="25">
        <f t="shared" ref="G366:G430" si="85">H366/F366</f>
        <v>0.23113580232556177</v>
      </c>
      <c r="H366" s="27">
        <f t="shared" ref="H366:H430" si="86">F366-J366</f>
        <v>6161238</v>
      </c>
      <c r="I366" s="25">
        <f t="shared" ref="I366:I430" si="87">J366/F366</f>
        <v>0.76886419767443825</v>
      </c>
      <c r="J366" s="59">
        <v>20495117</v>
      </c>
      <c r="K366" s="27">
        <f>SUM(H366+J366)</f>
        <v>26656355</v>
      </c>
      <c r="L366" s="28">
        <f t="shared" si="81"/>
        <v>0.23113580232556177</v>
      </c>
      <c r="M366" s="27">
        <f t="shared" si="82"/>
        <v>0.76886419767443825</v>
      </c>
      <c r="N366" s="33">
        <f>D366/$D$368</f>
        <v>2.8169014084507044E-3</v>
      </c>
      <c r="O366" s="7">
        <f>'Charter Archive File'!Q71</f>
        <v>3637412</v>
      </c>
      <c r="P366" s="26">
        <f t="shared" si="83"/>
        <v>7877.9601661728848</v>
      </c>
      <c r="Q366" s="29">
        <f t="shared" si="84"/>
        <v>2368.2708197426095</v>
      </c>
      <c r="R366"/>
    </row>
    <row r="367" spans="1:18" ht="12.75" customHeight="1">
      <c r="A367" s="35"/>
      <c r="B367" s="35" t="s">
        <v>1764</v>
      </c>
      <c r="C367" s="67" t="s">
        <v>1977</v>
      </c>
      <c r="D367" s="42">
        <v>354</v>
      </c>
      <c r="E367" s="42">
        <v>10196</v>
      </c>
      <c r="F367" s="37">
        <v>18195451330</v>
      </c>
      <c r="G367" s="25">
        <f t="shared" si="85"/>
        <v>0.53085301347125202</v>
      </c>
      <c r="H367" s="27">
        <f t="shared" si="86"/>
        <v>9659110170</v>
      </c>
      <c r="I367" s="25">
        <f t="shared" si="87"/>
        <v>0.46914698652874803</v>
      </c>
      <c r="J367" s="37">
        <v>8536341160</v>
      </c>
      <c r="K367" s="27">
        <f t="shared" ref="K367:K430" si="88">SUM(H367+J367)</f>
        <v>18195451330</v>
      </c>
      <c r="L367" s="28">
        <f t="shared" si="81"/>
        <v>0.53085301347125202</v>
      </c>
      <c r="M367" s="27">
        <f t="shared" si="82"/>
        <v>0.46914698652874803</v>
      </c>
      <c r="N367" s="33">
        <f>D367/$D$368</f>
        <v>0.9971830985915493</v>
      </c>
      <c r="O367" s="7">
        <f>O366</f>
        <v>3637412</v>
      </c>
      <c r="P367" s="26">
        <f t="shared" si="83"/>
        <v>1701673.8901731868</v>
      </c>
      <c r="Q367" s="29">
        <f t="shared" si="84"/>
        <v>1925491.8788408982</v>
      </c>
      <c r="R367"/>
    </row>
    <row r="368" spans="1:18" ht="12.75" customHeight="1">
      <c r="A368" s="260" t="s">
        <v>509</v>
      </c>
      <c r="B368" s="261"/>
      <c r="C368" s="262"/>
      <c r="D368" s="39">
        <f>SUM(D366:D367)</f>
        <v>355</v>
      </c>
      <c r="E368" s="39"/>
      <c r="F368" s="39"/>
      <c r="G368" s="17"/>
      <c r="H368" s="17"/>
      <c r="I368" s="17"/>
      <c r="J368" s="39"/>
      <c r="K368" s="17"/>
      <c r="L368" s="17"/>
      <c r="M368" s="17"/>
      <c r="N368" s="49"/>
      <c r="O368" s="19"/>
      <c r="P368" s="19">
        <f>SUM(P366:P367)</f>
        <v>1709551.8503393596</v>
      </c>
      <c r="Q368" s="19">
        <f>SUM(Q366:Q367)</f>
        <v>1927860.1496606409</v>
      </c>
      <c r="R368" s="14"/>
    </row>
    <row r="369" spans="1:18" ht="12.75" customHeight="1">
      <c r="A369" s="15" t="s">
        <v>1816</v>
      </c>
      <c r="B369" s="16"/>
      <c r="C369" s="64"/>
      <c r="D369" s="39"/>
      <c r="E369" s="39"/>
      <c r="F369" s="55"/>
      <c r="G369" s="17"/>
      <c r="H369" s="17"/>
      <c r="I369" s="17"/>
      <c r="J369" s="55"/>
      <c r="K369" s="17"/>
      <c r="L369" s="17"/>
      <c r="M369" s="17"/>
      <c r="N369" s="49"/>
      <c r="O369" s="19"/>
      <c r="P369" s="19"/>
      <c r="Q369" s="20"/>
      <c r="R369" s="14"/>
    </row>
    <row r="370" spans="1:18" ht="12.75" customHeight="1">
      <c r="A370" s="35"/>
      <c r="B370" s="35" t="s">
        <v>1764</v>
      </c>
      <c r="C370" s="67" t="s">
        <v>1977</v>
      </c>
      <c r="D370" s="42">
        <v>108</v>
      </c>
      <c r="E370" s="42">
        <v>10196</v>
      </c>
      <c r="F370" s="37">
        <v>18195451330</v>
      </c>
      <c r="G370" s="25">
        <f t="shared" si="85"/>
        <v>0.53085301347125202</v>
      </c>
      <c r="H370" s="27">
        <f t="shared" si="86"/>
        <v>9659110170</v>
      </c>
      <c r="I370" s="25">
        <f t="shared" si="87"/>
        <v>0.46914698652874803</v>
      </c>
      <c r="J370" s="37">
        <v>8536341160</v>
      </c>
      <c r="K370" s="27">
        <f t="shared" si="88"/>
        <v>18195451330</v>
      </c>
      <c r="L370" s="28">
        <f t="shared" si="81"/>
        <v>0.53085301347125202</v>
      </c>
      <c r="M370" s="27">
        <f t="shared" si="82"/>
        <v>0.46914698652874803</v>
      </c>
      <c r="N370" s="25">
        <f>D370/D371</f>
        <v>1</v>
      </c>
      <c r="O370" s="7">
        <f>'Charter Archive File'!Q59</f>
        <v>1059845</v>
      </c>
      <c r="P370" s="26">
        <f t="shared" si="83"/>
        <v>497223.08793756098</v>
      </c>
      <c r="Q370" s="29">
        <f t="shared" si="84"/>
        <v>562621.91206243914</v>
      </c>
      <c r="R370"/>
    </row>
    <row r="371" spans="1:18" ht="12.75" customHeight="1">
      <c r="A371" s="260" t="s">
        <v>1817</v>
      </c>
      <c r="B371" s="261"/>
      <c r="C371" s="262"/>
      <c r="D371" s="39">
        <f>SUM(D370)</f>
        <v>108</v>
      </c>
      <c r="E371" s="39"/>
      <c r="F371" s="39"/>
      <c r="G371" s="17"/>
      <c r="H371" s="17"/>
      <c r="I371" s="17"/>
      <c r="J371" s="39"/>
      <c r="K371" s="17"/>
      <c r="L371" s="17"/>
      <c r="M371" s="17"/>
      <c r="N371" s="49"/>
      <c r="O371" s="19"/>
      <c r="P371" s="19">
        <f>SUM(P370)</f>
        <v>497223.08793756098</v>
      </c>
      <c r="Q371" s="20">
        <f>SUM(Q370)</f>
        <v>562621.91206243914</v>
      </c>
      <c r="R371" s="14"/>
    </row>
    <row r="372" spans="1:18" ht="12.75" customHeight="1">
      <c r="A372" s="15" t="s">
        <v>2167</v>
      </c>
      <c r="B372" s="16"/>
      <c r="C372" s="64"/>
      <c r="D372" s="39"/>
      <c r="E372" s="39"/>
      <c r="F372" s="55"/>
      <c r="G372" s="17"/>
      <c r="H372" s="17"/>
      <c r="I372" s="17"/>
      <c r="J372" s="55"/>
      <c r="K372" s="17"/>
      <c r="L372" s="17"/>
      <c r="M372" s="17"/>
      <c r="N372" s="49"/>
      <c r="O372" s="19"/>
      <c r="P372" s="19"/>
      <c r="Q372" s="20"/>
      <c r="R372" s="14"/>
    </row>
    <row r="373" spans="1:18" ht="12.75" customHeight="1">
      <c r="A373" s="35"/>
      <c r="B373" s="35" t="s">
        <v>1764</v>
      </c>
      <c r="C373" s="67" t="s">
        <v>1977</v>
      </c>
      <c r="D373" s="42">
        <v>163</v>
      </c>
      <c r="E373" s="42">
        <v>10196</v>
      </c>
      <c r="F373" s="37">
        <v>18195451330</v>
      </c>
      <c r="G373" s="25">
        <f t="shared" si="85"/>
        <v>0.53085301347125202</v>
      </c>
      <c r="H373" s="27">
        <f t="shared" si="86"/>
        <v>9659110170</v>
      </c>
      <c r="I373" s="25">
        <f t="shared" si="87"/>
        <v>0.46914698652874803</v>
      </c>
      <c r="J373" s="37">
        <v>8536341160</v>
      </c>
      <c r="K373" s="27">
        <f t="shared" si="88"/>
        <v>18195451330</v>
      </c>
      <c r="L373" s="28">
        <f t="shared" si="81"/>
        <v>0.53085301347125202</v>
      </c>
      <c r="M373" s="27">
        <f t="shared" si="82"/>
        <v>0.46914698652874803</v>
      </c>
      <c r="N373" s="25">
        <f>D373/D374</f>
        <v>1</v>
      </c>
      <c r="O373" s="7">
        <f>'Charter Archive File'!Q50</f>
        <v>1694371</v>
      </c>
      <c r="P373" s="26">
        <f t="shared" si="83"/>
        <v>794909.0487117013</v>
      </c>
      <c r="Q373" s="29">
        <f t="shared" si="84"/>
        <v>899461.9512882987</v>
      </c>
      <c r="R373"/>
    </row>
    <row r="374" spans="1:18" ht="12.75" customHeight="1">
      <c r="A374" s="260" t="s">
        <v>1818</v>
      </c>
      <c r="B374" s="261"/>
      <c r="C374" s="262"/>
      <c r="D374" s="39">
        <f>SUM(D373)</f>
        <v>163</v>
      </c>
      <c r="E374" s="39"/>
      <c r="F374" s="39"/>
      <c r="G374" s="17"/>
      <c r="H374" s="17"/>
      <c r="I374" s="17"/>
      <c r="J374" s="39"/>
      <c r="K374" s="17"/>
      <c r="L374" s="17"/>
      <c r="M374" s="17"/>
      <c r="N374" s="49"/>
      <c r="O374" s="19"/>
      <c r="P374" s="19">
        <f>SUM(P373)</f>
        <v>794909.0487117013</v>
      </c>
      <c r="Q374" s="20">
        <f>SUM(Q373)</f>
        <v>899461.9512882987</v>
      </c>
      <c r="R374" s="14"/>
    </row>
    <row r="375" spans="1:18" ht="12.75" customHeight="1">
      <c r="A375" s="15" t="s">
        <v>2254</v>
      </c>
      <c r="B375" s="16"/>
      <c r="C375" s="64"/>
      <c r="D375" s="39"/>
      <c r="E375" s="39"/>
      <c r="F375" s="55"/>
      <c r="G375" s="17"/>
      <c r="H375" s="17"/>
      <c r="I375" s="17"/>
      <c r="J375" s="55"/>
      <c r="K375" s="17"/>
      <c r="L375" s="17"/>
      <c r="M375" s="17"/>
      <c r="N375" s="49"/>
      <c r="O375" s="19"/>
      <c r="P375" s="19"/>
      <c r="Q375" s="20"/>
      <c r="R375" s="14"/>
    </row>
    <row r="376" spans="1:18" ht="12.75" customHeight="1">
      <c r="A376" s="35"/>
      <c r="B376" s="35" t="s">
        <v>1764</v>
      </c>
      <c r="C376" s="67" t="s">
        <v>1977</v>
      </c>
      <c r="D376" s="42">
        <v>249</v>
      </c>
      <c r="E376" s="42">
        <v>10196</v>
      </c>
      <c r="F376" s="37">
        <v>18195451330</v>
      </c>
      <c r="G376" s="25">
        <f t="shared" si="85"/>
        <v>0.53085301347125202</v>
      </c>
      <c r="H376" s="27">
        <f t="shared" si="86"/>
        <v>9659110170</v>
      </c>
      <c r="I376" s="25">
        <f t="shared" si="87"/>
        <v>0.46914698652874803</v>
      </c>
      <c r="J376" s="37">
        <v>8536341160</v>
      </c>
      <c r="K376" s="27">
        <f t="shared" si="88"/>
        <v>18195451330</v>
      </c>
      <c r="L376" s="28">
        <f t="shared" si="81"/>
        <v>0.53085301347125202</v>
      </c>
      <c r="M376" s="27">
        <f t="shared" si="82"/>
        <v>0.46914698652874803</v>
      </c>
      <c r="N376" s="25">
        <f>D376/D377</f>
        <v>1</v>
      </c>
      <c r="O376" s="7">
        <f>'Charter Archive File'!Q26</f>
        <v>2546176</v>
      </c>
      <c r="P376" s="26">
        <f t="shared" si="83"/>
        <v>1194530.7975718216</v>
      </c>
      <c r="Q376" s="29">
        <f t="shared" si="84"/>
        <v>1351645.2024281786</v>
      </c>
      <c r="R376"/>
    </row>
    <row r="377" spans="1:18" ht="12.75" customHeight="1">
      <c r="A377" s="260" t="s">
        <v>1819</v>
      </c>
      <c r="B377" s="261"/>
      <c r="C377" s="262"/>
      <c r="D377" s="39">
        <f>SUM(D376)</f>
        <v>249</v>
      </c>
      <c r="E377" s="39"/>
      <c r="F377" s="39"/>
      <c r="G377" s="17"/>
      <c r="H377" s="17"/>
      <c r="I377" s="17"/>
      <c r="J377" s="39"/>
      <c r="K377" s="17"/>
      <c r="L377" s="17"/>
      <c r="M377" s="17"/>
      <c r="N377" s="49"/>
      <c r="O377" s="19"/>
      <c r="P377" s="19">
        <f>SUM(P376)</f>
        <v>1194530.7975718216</v>
      </c>
      <c r="Q377" s="20">
        <f>SUM(Q376)</f>
        <v>1351645.2024281786</v>
      </c>
      <c r="R377" s="14"/>
    </row>
    <row r="378" spans="1:18" ht="12.75" customHeight="1">
      <c r="A378" s="15" t="s">
        <v>2100</v>
      </c>
      <c r="B378" s="16"/>
      <c r="C378" s="64"/>
      <c r="D378" s="39"/>
      <c r="E378" s="39"/>
      <c r="F378" s="55"/>
      <c r="G378" s="17"/>
      <c r="H378" s="17"/>
      <c r="I378" s="17"/>
      <c r="J378" s="55"/>
      <c r="K378" s="17"/>
      <c r="L378" s="17"/>
      <c r="M378" s="17"/>
      <c r="N378" s="49"/>
      <c r="O378" s="19"/>
      <c r="P378" s="19"/>
      <c r="Q378" s="20"/>
      <c r="R378" s="14"/>
    </row>
    <row r="379" spans="1:18" ht="12.75" customHeight="1">
      <c r="A379" s="35"/>
      <c r="B379" s="35" t="s">
        <v>1958</v>
      </c>
      <c r="C379" s="67" t="s">
        <v>1957</v>
      </c>
      <c r="D379" s="42">
        <v>2</v>
      </c>
      <c r="E379" s="42">
        <v>13498</v>
      </c>
      <c r="F379" s="59">
        <v>67468663</v>
      </c>
      <c r="G379" s="25">
        <f t="shared" si="85"/>
        <v>0.69149464248313319</v>
      </c>
      <c r="H379" s="27">
        <f t="shared" si="86"/>
        <v>46654219</v>
      </c>
      <c r="I379" s="25">
        <f t="shared" si="87"/>
        <v>0.30850535751686675</v>
      </c>
      <c r="J379" s="59">
        <v>20814444</v>
      </c>
      <c r="K379" s="27">
        <f t="shared" si="88"/>
        <v>67468663</v>
      </c>
      <c r="L379" s="28">
        <f t="shared" si="81"/>
        <v>0.69149464248313319</v>
      </c>
      <c r="M379" s="27">
        <f t="shared" si="82"/>
        <v>0.30850535751686675</v>
      </c>
      <c r="N379" s="33">
        <f>D379/$D$382</f>
        <v>4.0322580645161289E-3</v>
      </c>
      <c r="O379" s="7">
        <f>'Charter Archive File'!Q92</f>
        <v>4961068</v>
      </c>
      <c r="P379" s="26">
        <f t="shared" si="83"/>
        <v>6171.435713731802</v>
      </c>
      <c r="Q379" s="29">
        <f t="shared" si="84"/>
        <v>13832.870737881098</v>
      </c>
      <c r="R379"/>
    </row>
    <row r="380" spans="1:18" ht="12.75" customHeight="1">
      <c r="A380" s="35"/>
      <c r="B380" s="35" t="s">
        <v>1764</v>
      </c>
      <c r="C380" s="67" t="s">
        <v>1977</v>
      </c>
      <c r="D380" s="42">
        <v>5</v>
      </c>
      <c r="E380" s="42">
        <v>10196</v>
      </c>
      <c r="F380" s="37">
        <v>18195451330</v>
      </c>
      <c r="G380" s="25">
        <f t="shared" si="85"/>
        <v>0.53085301347125202</v>
      </c>
      <c r="H380" s="27">
        <f t="shared" si="86"/>
        <v>9659110170</v>
      </c>
      <c r="I380" s="25">
        <f t="shared" si="87"/>
        <v>0.46914698652874803</v>
      </c>
      <c r="J380" s="37">
        <v>8536341160</v>
      </c>
      <c r="K380" s="27">
        <f t="shared" si="88"/>
        <v>18195451330</v>
      </c>
      <c r="L380" s="28">
        <f t="shared" si="81"/>
        <v>0.53085301347125202</v>
      </c>
      <c r="M380" s="27">
        <f t="shared" si="82"/>
        <v>0.46914698652874803</v>
      </c>
      <c r="N380" s="33">
        <f>D380/$D$382</f>
        <v>1.0080645161290322E-2</v>
      </c>
      <c r="O380" s="7">
        <f>O379</f>
        <v>4961068</v>
      </c>
      <c r="P380" s="26">
        <f t="shared" si="83"/>
        <v>23462.400223429464</v>
      </c>
      <c r="Q380" s="29">
        <f t="shared" si="84"/>
        <v>26548.365905602794</v>
      </c>
      <c r="R380"/>
    </row>
    <row r="381" spans="1:18" ht="12.75" customHeight="1">
      <c r="A381" s="35"/>
      <c r="B381" s="35" t="s">
        <v>1764</v>
      </c>
      <c r="C381" s="67" t="s">
        <v>1977</v>
      </c>
      <c r="D381" s="42">
        <v>489</v>
      </c>
      <c r="E381" s="42">
        <v>10196</v>
      </c>
      <c r="F381" s="37">
        <v>18195451330</v>
      </c>
      <c r="G381" s="25">
        <f t="shared" si="85"/>
        <v>0.53085301347125202</v>
      </c>
      <c r="H381" s="27">
        <f t="shared" si="86"/>
        <v>9659110170</v>
      </c>
      <c r="I381" s="25">
        <f t="shared" si="87"/>
        <v>0.46914698652874803</v>
      </c>
      <c r="J381" s="37">
        <v>8536341160</v>
      </c>
      <c r="K381" s="27">
        <f t="shared" si="88"/>
        <v>18195451330</v>
      </c>
      <c r="L381" s="28">
        <f t="shared" si="81"/>
        <v>0.53085301347125202</v>
      </c>
      <c r="M381" s="27">
        <f t="shared" si="82"/>
        <v>0.46914698652874803</v>
      </c>
      <c r="N381" s="33">
        <f>D381/$D$382</f>
        <v>0.98588709677419351</v>
      </c>
      <c r="O381" s="7">
        <f>O380</f>
        <v>4961068</v>
      </c>
      <c r="P381" s="26">
        <f t="shared" si="83"/>
        <v>2294622.7418514015</v>
      </c>
      <c r="Q381" s="29">
        <f t="shared" si="84"/>
        <v>2596430.1855679532</v>
      </c>
      <c r="R381"/>
    </row>
    <row r="382" spans="1:18" ht="12.75" customHeight="1">
      <c r="A382" s="260" t="s">
        <v>1820</v>
      </c>
      <c r="B382" s="261"/>
      <c r="C382" s="262"/>
      <c r="D382" s="39">
        <f>SUM(D379:D381)</f>
        <v>496</v>
      </c>
      <c r="E382" s="39"/>
      <c r="F382" s="39"/>
      <c r="G382" s="17"/>
      <c r="H382" s="17"/>
      <c r="I382" s="17"/>
      <c r="J382" s="39"/>
      <c r="K382" s="17"/>
      <c r="L382" s="17"/>
      <c r="M382" s="17"/>
      <c r="N382" s="49"/>
      <c r="O382" s="19"/>
      <c r="P382" s="19">
        <f>SUM(P379:P381)</f>
        <v>2324256.577788563</v>
      </c>
      <c r="Q382" s="19">
        <f>SUM(Q379:Q381)</f>
        <v>2636811.422211437</v>
      </c>
      <c r="R382" s="14"/>
    </row>
    <row r="383" spans="1:18" ht="12.75" customHeight="1">
      <c r="A383" s="15" t="s">
        <v>1821</v>
      </c>
      <c r="B383" s="16"/>
      <c r="C383" s="64"/>
      <c r="D383" s="39"/>
      <c r="E383" s="39"/>
      <c r="F383" s="55"/>
      <c r="G383" s="17"/>
      <c r="H383" s="17"/>
      <c r="I383" s="17"/>
      <c r="J383" s="55"/>
      <c r="K383" s="17"/>
      <c r="L383" s="17"/>
      <c r="M383" s="17"/>
      <c r="N383" s="49"/>
      <c r="O383" s="19"/>
      <c r="P383" s="19"/>
      <c r="Q383" s="20"/>
      <c r="R383" s="14"/>
    </row>
    <row r="384" spans="1:18" ht="12.75" customHeight="1">
      <c r="A384" s="35"/>
      <c r="B384" s="35" t="s">
        <v>1764</v>
      </c>
      <c r="C384" s="67" t="s">
        <v>1977</v>
      </c>
      <c r="D384" s="42">
        <v>524</v>
      </c>
      <c r="E384" s="42">
        <v>10196</v>
      </c>
      <c r="F384" s="37">
        <v>18195451330</v>
      </c>
      <c r="G384" s="25">
        <f t="shared" si="85"/>
        <v>0.53085301347125202</v>
      </c>
      <c r="H384" s="27">
        <f t="shared" si="86"/>
        <v>9659110170</v>
      </c>
      <c r="I384" s="25">
        <f t="shared" si="87"/>
        <v>0.46914698652874803</v>
      </c>
      <c r="J384" s="37">
        <v>8536341160</v>
      </c>
      <c r="K384" s="27">
        <f t="shared" si="88"/>
        <v>18195451330</v>
      </c>
      <c r="L384" s="28">
        <f t="shared" si="81"/>
        <v>0.53085301347125202</v>
      </c>
      <c r="M384" s="27">
        <f t="shared" si="82"/>
        <v>0.46914698652874803</v>
      </c>
      <c r="N384" s="25">
        <f>D384/D385</f>
        <v>1</v>
      </c>
      <c r="O384" s="7">
        <f>'Charter Archive File'!Q17</f>
        <v>5291724</v>
      </c>
      <c r="P384" s="26">
        <f t="shared" si="83"/>
        <v>2482596.3681418528</v>
      </c>
      <c r="Q384" s="29">
        <f t="shared" si="84"/>
        <v>2809127.6318581477</v>
      </c>
      <c r="R384"/>
    </row>
    <row r="385" spans="1:18" ht="12.75" customHeight="1">
      <c r="A385" s="260" t="s">
        <v>1822</v>
      </c>
      <c r="B385" s="261"/>
      <c r="C385" s="262"/>
      <c r="D385" s="39">
        <f>SUM(D384)</f>
        <v>524</v>
      </c>
      <c r="E385" s="39"/>
      <c r="F385" s="39"/>
      <c r="G385" s="17"/>
      <c r="H385" s="17"/>
      <c r="I385" s="17"/>
      <c r="J385" s="39"/>
      <c r="K385" s="17"/>
      <c r="L385" s="17"/>
      <c r="M385" s="17"/>
      <c r="N385" s="49"/>
      <c r="O385" s="19"/>
      <c r="P385" s="19">
        <f>SUM(P384)</f>
        <v>2482596.3681418528</v>
      </c>
      <c r="Q385" s="20">
        <f>SUM(Q384)</f>
        <v>2809127.6318581477</v>
      </c>
      <c r="R385" s="14"/>
    </row>
    <row r="386" spans="1:18" ht="12.75" customHeight="1">
      <c r="A386" s="15" t="s">
        <v>2253</v>
      </c>
      <c r="B386" s="16"/>
      <c r="C386" s="64"/>
      <c r="D386" s="39"/>
      <c r="E386" s="39"/>
      <c r="F386" s="55"/>
      <c r="G386" s="17"/>
      <c r="H386" s="17"/>
      <c r="I386" s="17"/>
      <c r="J386" s="55"/>
      <c r="K386" s="17"/>
      <c r="L386" s="17"/>
      <c r="M386" s="17"/>
      <c r="N386" s="49"/>
      <c r="O386" s="19"/>
      <c r="P386" s="19"/>
      <c r="Q386" s="20"/>
      <c r="R386" s="14"/>
    </row>
    <row r="387" spans="1:18" ht="12.75" customHeight="1">
      <c r="A387" s="35"/>
      <c r="B387" s="35" t="s">
        <v>1764</v>
      </c>
      <c r="C387" s="67" t="s">
        <v>1977</v>
      </c>
      <c r="D387" s="42">
        <v>677</v>
      </c>
      <c r="E387" s="42">
        <v>10196</v>
      </c>
      <c r="F387" s="37">
        <v>18195451330</v>
      </c>
      <c r="G387" s="25">
        <f t="shared" si="85"/>
        <v>0.53085301347125202</v>
      </c>
      <c r="H387" s="27">
        <f t="shared" si="86"/>
        <v>9659110170</v>
      </c>
      <c r="I387" s="25">
        <f t="shared" si="87"/>
        <v>0.46914698652874803</v>
      </c>
      <c r="J387" s="37">
        <v>8536341160</v>
      </c>
      <c r="K387" s="27">
        <f t="shared" si="88"/>
        <v>18195451330</v>
      </c>
      <c r="L387" s="28">
        <f t="shared" si="81"/>
        <v>0.53085301347125202</v>
      </c>
      <c r="M387" s="27">
        <f t="shared" si="82"/>
        <v>0.46914698652874803</v>
      </c>
      <c r="N387" s="25">
        <f>D387/D388</f>
        <v>1</v>
      </c>
      <c r="O387" s="7">
        <f>'Charter Archive File'!Q25</f>
        <v>7005755</v>
      </c>
      <c r="P387" s="26">
        <f t="shared" si="83"/>
        <v>3286728.8466087091</v>
      </c>
      <c r="Q387" s="29">
        <f t="shared" si="84"/>
        <v>3719026.1533912914</v>
      </c>
      <c r="R387"/>
    </row>
    <row r="388" spans="1:18" ht="12.75" customHeight="1">
      <c r="A388" s="260" t="s">
        <v>1823</v>
      </c>
      <c r="B388" s="261"/>
      <c r="C388" s="262"/>
      <c r="D388" s="39">
        <f>SUM(D387)</f>
        <v>677</v>
      </c>
      <c r="E388" s="39"/>
      <c r="F388" s="39"/>
      <c r="G388" s="17"/>
      <c r="H388" s="17"/>
      <c r="I388" s="17"/>
      <c r="J388" s="39"/>
      <c r="K388" s="17"/>
      <c r="L388" s="17"/>
      <c r="M388" s="17"/>
      <c r="N388" s="49"/>
      <c r="O388" s="19"/>
      <c r="P388" s="19">
        <f>SUM(P387)</f>
        <v>3286728.8466087091</v>
      </c>
      <c r="Q388" s="20">
        <f>SUM(Q387)</f>
        <v>3719026.1533912914</v>
      </c>
      <c r="R388" s="14"/>
    </row>
    <row r="389" spans="1:18" ht="12.75" customHeight="1">
      <c r="A389" s="15" t="s">
        <v>1824</v>
      </c>
      <c r="B389" s="16"/>
      <c r="C389" s="64"/>
      <c r="D389" s="39"/>
      <c r="E389" s="39"/>
      <c r="F389" s="55"/>
      <c r="G389" s="17"/>
      <c r="H389" s="17"/>
      <c r="I389" s="17"/>
      <c r="J389" s="55"/>
      <c r="K389" s="17"/>
      <c r="L389" s="17"/>
      <c r="M389" s="17"/>
      <c r="N389" s="49"/>
      <c r="O389" s="19"/>
      <c r="P389" s="19"/>
      <c r="Q389" s="20"/>
      <c r="R389" s="14"/>
    </row>
    <row r="390" spans="1:18" ht="12.75" customHeight="1">
      <c r="A390" s="35"/>
      <c r="B390" s="35" t="s">
        <v>2152</v>
      </c>
      <c r="C390" s="67" t="s">
        <v>2151</v>
      </c>
      <c r="D390" s="42">
        <v>1</v>
      </c>
      <c r="E390" s="42">
        <v>9499</v>
      </c>
      <c r="F390" s="59">
        <v>654618442</v>
      </c>
      <c r="G390" s="25">
        <f t="shared" si="85"/>
        <v>0.8378295672886038</v>
      </c>
      <c r="H390" s="27">
        <f t="shared" si="86"/>
        <v>548458686</v>
      </c>
      <c r="I390" s="25">
        <f t="shared" si="87"/>
        <v>0.16217043271139617</v>
      </c>
      <c r="J390" s="59">
        <v>106159756</v>
      </c>
      <c r="K390" s="27">
        <f t="shared" si="88"/>
        <v>654618442</v>
      </c>
      <c r="L390" s="28">
        <f t="shared" si="81"/>
        <v>0.8378295672886038</v>
      </c>
      <c r="M390" s="27">
        <f t="shared" si="82"/>
        <v>0.16217043271139617</v>
      </c>
      <c r="N390" s="33">
        <f>D390/$D$395</f>
        <v>4.1322314049586778E-3</v>
      </c>
      <c r="O390" s="7">
        <f>'Charter Archive File'!Q72</f>
        <v>2278236</v>
      </c>
      <c r="P390" s="26">
        <f t="shared" si="83"/>
        <v>1526.7046195813239</v>
      </c>
      <c r="Q390" s="29">
        <f t="shared" si="84"/>
        <v>7887.4937275261145</v>
      </c>
      <c r="R390"/>
    </row>
    <row r="391" spans="1:18" ht="12.75" customHeight="1">
      <c r="A391" s="35"/>
      <c r="B391" s="35" t="s">
        <v>2066</v>
      </c>
      <c r="C391" s="67" t="s">
        <v>2065</v>
      </c>
      <c r="D391" s="42">
        <v>3</v>
      </c>
      <c r="E391" s="42">
        <v>9628</v>
      </c>
      <c r="F391" s="59">
        <v>60402913</v>
      </c>
      <c r="G391" s="25">
        <f t="shared" si="85"/>
        <v>0.54913604911736624</v>
      </c>
      <c r="H391" s="27">
        <f t="shared" si="86"/>
        <v>33169417</v>
      </c>
      <c r="I391" s="25">
        <f t="shared" si="87"/>
        <v>0.45086395088263376</v>
      </c>
      <c r="J391" s="59">
        <v>27233496</v>
      </c>
      <c r="K391" s="27">
        <f t="shared" si="88"/>
        <v>60402913</v>
      </c>
      <c r="L391" s="28">
        <f t="shared" si="81"/>
        <v>0.54913604911736624</v>
      </c>
      <c r="M391" s="27">
        <f t="shared" si="82"/>
        <v>0.45086395088263376</v>
      </c>
      <c r="N391" s="33">
        <f>D391/$D$395</f>
        <v>1.2396694214876033E-2</v>
      </c>
      <c r="O391" s="7">
        <f>O390</f>
        <v>2278236</v>
      </c>
      <c r="P391" s="26">
        <f t="shared" si="83"/>
        <v>12733.567983508859</v>
      </c>
      <c r="Q391" s="29">
        <f t="shared" si="84"/>
        <v>15509.027057813455</v>
      </c>
      <c r="R391"/>
    </row>
    <row r="392" spans="1:18" ht="12.75" customHeight="1">
      <c r="A392" s="35"/>
      <c r="B392" s="35" t="s">
        <v>2055</v>
      </c>
      <c r="C392" s="67" t="s">
        <v>2054</v>
      </c>
      <c r="D392" s="42">
        <v>41</v>
      </c>
      <c r="E392" s="42">
        <v>9077</v>
      </c>
      <c r="F392" s="59">
        <v>119540176</v>
      </c>
      <c r="G392" s="25">
        <f t="shared" si="85"/>
        <v>0.78185957330362299</v>
      </c>
      <c r="H392" s="27">
        <f t="shared" si="86"/>
        <v>93463631</v>
      </c>
      <c r="I392" s="25">
        <f t="shared" si="87"/>
        <v>0.21814042669637695</v>
      </c>
      <c r="J392" s="59">
        <v>26076545</v>
      </c>
      <c r="K392" s="27">
        <f t="shared" si="88"/>
        <v>119540176</v>
      </c>
      <c r="L392" s="28">
        <f t="shared" si="81"/>
        <v>0.78185957330362299</v>
      </c>
      <c r="M392" s="27">
        <f t="shared" si="82"/>
        <v>0.21814042669637695</v>
      </c>
      <c r="N392" s="33">
        <f>D392/$D$395</f>
        <v>0.16942148760330578</v>
      </c>
      <c r="O392" s="7">
        <f>O391</f>
        <v>2278236</v>
      </c>
      <c r="P392" s="26">
        <f t="shared" si="83"/>
        <v>84198.307022136069</v>
      </c>
      <c r="Q392" s="29">
        <f t="shared" si="84"/>
        <v>301783.82520926883</v>
      </c>
      <c r="R392"/>
    </row>
    <row r="393" spans="1:18" ht="12.75" customHeight="1">
      <c r="A393" s="35"/>
      <c r="B393" s="35" t="s">
        <v>2055</v>
      </c>
      <c r="C393" s="67" t="s">
        <v>2054</v>
      </c>
      <c r="D393" s="42">
        <v>132</v>
      </c>
      <c r="E393" s="42">
        <v>9077</v>
      </c>
      <c r="F393" s="59">
        <v>119540176</v>
      </c>
      <c r="G393" s="25">
        <f t="shared" si="85"/>
        <v>0.78185957330362299</v>
      </c>
      <c r="H393" s="27">
        <f t="shared" si="86"/>
        <v>93463631</v>
      </c>
      <c r="I393" s="25">
        <f t="shared" si="87"/>
        <v>0.21814042669637695</v>
      </c>
      <c r="J393" s="59">
        <v>26076545</v>
      </c>
      <c r="K393" s="27">
        <f t="shared" si="88"/>
        <v>119540176</v>
      </c>
      <c r="L393" s="28">
        <f t="shared" si="81"/>
        <v>0.78185957330362299</v>
      </c>
      <c r="M393" s="27">
        <f t="shared" si="82"/>
        <v>0.21814042669637695</v>
      </c>
      <c r="N393" s="33">
        <f>D393/$D$395</f>
        <v>0.54545454545454541</v>
      </c>
      <c r="O393" s="7">
        <f>O392</f>
        <v>2278236</v>
      </c>
      <c r="P393" s="26">
        <f t="shared" si="83"/>
        <v>271077.47626638925</v>
      </c>
      <c r="Q393" s="29">
        <f t="shared" si="84"/>
        <v>971596.70555179229</v>
      </c>
      <c r="R393"/>
    </row>
    <row r="394" spans="1:18" ht="12.75" customHeight="1">
      <c r="A394" s="35"/>
      <c r="B394" s="35" t="s">
        <v>2055</v>
      </c>
      <c r="C394" s="67" t="s">
        <v>2054</v>
      </c>
      <c r="D394" s="42">
        <v>65</v>
      </c>
      <c r="E394" s="42">
        <v>9077</v>
      </c>
      <c r="F394" s="59">
        <v>119540176</v>
      </c>
      <c r="G394" s="25">
        <f t="shared" si="85"/>
        <v>0.78185957330362299</v>
      </c>
      <c r="H394" s="27">
        <f t="shared" si="86"/>
        <v>93463631</v>
      </c>
      <c r="I394" s="25">
        <f t="shared" si="87"/>
        <v>0.21814042669637695</v>
      </c>
      <c r="J394" s="59">
        <v>26076545</v>
      </c>
      <c r="K394" s="27">
        <f t="shared" si="88"/>
        <v>119540176</v>
      </c>
      <c r="L394" s="28">
        <f t="shared" si="81"/>
        <v>0.78185957330362299</v>
      </c>
      <c r="M394" s="27">
        <f t="shared" si="82"/>
        <v>0.21814042669637695</v>
      </c>
      <c r="N394" s="33">
        <f>D394/$D$395</f>
        <v>0.26859504132231404</v>
      </c>
      <c r="O394" s="7">
        <f>O393</f>
        <v>2278236</v>
      </c>
      <c r="P394" s="26">
        <f t="shared" si="83"/>
        <v>133485.12088875231</v>
      </c>
      <c r="Q394" s="29">
        <f t="shared" si="84"/>
        <v>478437.77167323109</v>
      </c>
      <c r="R394"/>
    </row>
    <row r="395" spans="1:18" ht="12.75" customHeight="1">
      <c r="A395" s="260" t="s">
        <v>1825</v>
      </c>
      <c r="B395" s="261"/>
      <c r="C395" s="262"/>
      <c r="D395" s="39">
        <f>SUM(D390:D394)</f>
        <v>242</v>
      </c>
      <c r="E395" s="39"/>
      <c r="F395" s="39"/>
      <c r="G395" s="17"/>
      <c r="H395" s="17"/>
      <c r="I395" s="17"/>
      <c r="J395" s="39"/>
      <c r="K395" s="17"/>
      <c r="L395" s="17"/>
      <c r="M395" s="17"/>
      <c r="N395" s="49"/>
      <c r="O395" s="19"/>
      <c r="P395" s="19">
        <f>SUM(P390:P394)</f>
        <v>503021.17678036785</v>
      </c>
      <c r="Q395" s="19">
        <f>SUM(Q390:Q394)</f>
        <v>1775214.8232196318</v>
      </c>
      <c r="R395" s="14"/>
    </row>
    <row r="396" spans="1:18" ht="12.75" customHeight="1">
      <c r="A396" s="15" t="s">
        <v>1826</v>
      </c>
      <c r="B396" s="16"/>
      <c r="C396" s="64"/>
      <c r="D396" s="39"/>
      <c r="E396" s="39"/>
      <c r="F396" s="55"/>
      <c r="G396" s="17"/>
      <c r="H396" s="17"/>
      <c r="I396" s="17"/>
      <c r="J396" s="55"/>
      <c r="K396" s="17"/>
      <c r="L396" s="17"/>
      <c r="M396" s="17"/>
      <c r="N396" s="49"/>
      <c r="O396" s="19"/>
      <c r="P396" s="19"/>
      <c r="Q396" s="20"/>
      <c r="R396" s="14"/>
    </row>
    <row r="397" spans="1:18" ht="12.75" customHeight="1">
      <c r="A397" s="35"/>
      <c r="B397" s="35" t="s">
        <v>1996</v>
      </c>
      <c r="C397" s="67" t="s">
        <v>1995</v>
      </c>
      <c r="D397" s="42">
        <v>1</v>
      </c>
      <c r="E397" s="42">
        <v>8668</v>
      </c>
      <c r="F397" s="59">
        <v>127142316</v>
      </c>
      <c r="G397" s="25">
        <f t="shared" si="85"/>
        <v>0.53197702486401144</v>
      </c>
      <c r="H397" s="27">
        <f t="shared" si="86"/>
        <v>67636791</v>
      </c>
      <c r="I397" s="25">
        <f t="shared" si="87"/>
        <v>0.46802297513598856</v>
      </c>
      <c r="J397" s="59">
        <v>59505525</v>
      </c>
      <c r="K397" s="27">
        <f t="shared" si="88"/>
        <v>127142316</v>
      </c>
      <c r="L397" s="28">
        <f t="shared" si="81"/>
        <v>0.53197702486401144</v>
      </c>
      <c r="M397" s="27">
        <f t="shared" si="82"/>
        <v>0.46802297513598856</v>
      </c>
      <c r="N397" s="33">
        <f>D397/$D$400</f>
        <v>2.3809523809523812E-3</v>
      </c>
      <c r="O397" s="7">
        <f>'Charter Archive File'!Q64</f>
        <v>3481545</v>
      </c>
      <c r="P397" s="26">
        <f t="shared" si="83"/>
        <v>3879.6263070710133</v>
      </c>
      <c r="Q397" s="29">
        <f t="shared" si="84"/>
        <v>4409.7665500718458</v>
      </c>
      <c r="R397"/>
    </row>
    <row r="398" spans="1:18" ht="12.75" customHeight="1">
      <c r="A398" s="35"/>
      <c r="B398" s="35" t="s">
        <v>1998</v>
      </c>
      <c r="C398" s="67" t="s">
        <v>1997</v>
      </c>
      <c r="D398" s="42">
        <v>5</v>
      </c>
      <c r="E398" s="42">
        <v>10062</v>
      </c>
      <c r="F398" s="59">
        <v>125141101</v>
      </c>
      <c r="G398" s="25">
        <f t="shared" si="85"/>
        <v>0.53750689791357997</v>
      </c>
      <c r="H398" s="27">
        <f t="shared" si="86"/>
        <v>67264205</v>
      </c>
      <c r="I398" s="25">
        <f t="shared" si="87"/>
        <v>0.46249310208642003</v>
      </c>
      <c r="J398" s="59">
        <v>57876896</v>
      </c>
      <c r="K398" s="27">
        <f t="shared" si="88"/>
        <v>125141101</v>
      </c>
      <c r="L398" s="28">
        <f t="shared" si="81"/>
        <v>0.53750689791357997</v>
      </c>
      <c r="M398" s="27">
        <f t="shared" si="82"/>
        <v>0.46249310208642003</v>
      </c>
      <c r="N398" s="33">
        <f>D398/$D$400</f>
        <v>1.1904761904761904E-2</v>
      </c>
      <c r="O398" s="7">
        <f>O397</f>
        <v>3481545</v>
      </c>
      <c r="P398" s="26">
        <f t="shared" si="83"/>
        <v>19168.935084565062</v>
      </c>
      <c r="Q398" s="29">
        <f t="shared" si="84"/>
        <v>22278.02920114922</v>
      </c>
      <c r="R398"/>
    </row>
    <row r="399" spans="1:18" ht="12.75" customHeight="1">
      <c r="A399" s="35"/>
      <c r="B399" s="35" t="s">
        <v>2000</v>
      </c>
      <c r="C399" s="67" t="s">
        <v>1999</v>
      </c>
      <c r="D399" s="42">
        <v>414</v>
      </c>
      <c r="E399" s="42">
        <v>8548</v>
      </c>
      <c r="F399" s="59">
        <v>310131527</v>
      </c>
      <c r="G399" s="25">
        <f t="shared" si="85"/>
        <v>0.7691568648549556</v>
      </c>
      <c r="H399" s="27">
        <f t="shared" si="86"/>
        <v>238539793</v>
      </c>
      <c r="I399" s="25">
        <f t="shared" si="87"/>
        <v>0.23084313514504445</v>
      </c>
      <c r="J399" s="59">
        <v>71591734</v>
      </c>
      <c r="K399" s="27">
        <f t="shared" si="88"/>
        <v>310131527</v>
      </c>
      <c r="L399" s="28">
        <f t="shared" si="81"/>
        <v>0.7691568648549556</v>
      </c>
      <c r="M399" s="27">
        <f t="shared" si="82"/>
        <v>0.23084313514504445</v>
      </c>
      <c r="N399" s="33">
        <f>D399/$D$400</f>
        <v>0.98571428571428577</v>
      </c>
      <c r="O399" s="7">
        <f>O398</f>
        <v>3481545</v>
      </c>
      <c r="P399" s="26">
        <f t="shared" si="83"/>
        <v>792209.46633500315</v>
      </c>
      <c r="Q399" s="29">
        <f t="shared" si="84"/>
        <v>2639599.1765221404</v>
      </c>
      <c r="R399"/>
    </row>
    <row r="400" spans="1:18" ht="12.75" customHeight="1">
      <c r="A400" s="260" t="s">
        <v>1730</v>
      </c>
      <c r="B400" s="261"/>
      <c r="C400" s="262"/>
      <c r="D400" s="39">
        <f>SUM(D397:D399)</f>
        <v>420</v>
      </c>
      <c r="E400" s="39"/>
      <c r="F400" s="39"/>
      <c r="G400" s="17"/>
      <c r="H400" s="17"/>
      <c r="I400" s="17"/>
      <c r="J400" s="39"/>
      <c r="K400" s="17"/>
      <c r="L400" s="17"/>
      <c r="M400" s="17"/>
      <c r="N400" s="49"/>
      <c r="O400" s="19"/>
      <c r="P400" s="19">
        <f>SUM(P397:P399)</f>
        <v>815258.02772663918</v>
      </c>
      <c r="Q400" s="19">
        <f>SUM(Q397:Q399)</f>
        <v>2666286.9722733614</v>
      </c>
      <c r="R400" s="14"/>
    </row>
    <row r="401" spans="1:18" ht="12.75" customHeight="1">
      <c r="A401" s="15" t="s">
        <v>1731</v>
      </c>
      <c r="B401" s="16"/>
      <c r="C401" s="64"/>
      <c r="D401" s="39"/>
      <c r="E401" s="39"/>
      <c r="F401" s="55"/>
      <c r="G401" s="17"/>
      <c r="H401" s="17"/>
      <c r="I401" s="17"/>
      <c r="J401" s="55"/>
      <c r="K401" s="17"/>
      <c r="L401" s="17"/>
      <c r="M401" s="17"/>
      <c r="N401" s="49"/>
      <c r="O401" s="19"/>
      <c r="P401" s="19"/>
      <c r="Q401" s="20"/>
      <c r="R401" s="14"/>
    </row>
    <row r="402" spans="1:18" ht="12.75" customHeight="1">
      <c r="A402" s="35"/>
      <c r="B402" s="35" t="s">
        <v>2002</v>
      </c>
      <c r="C402" s="67" t="s">
        <v>2001</v>
      </c>
      <c r="D402" s="42">
        <v>2</v>
      </c>
      <c r="E402" s="42">
        <v>8659</v>
      </c>
      <c r="F402" s="59">
        <v>63384917</v>
      </c>
      <c r="G402" s="25">
        <f t="shared" si="85"/>
        <v>0.53297543956711346</v>
      </c>
      <c r="H402" s="27">
        <f t="shared" si="86"/>
        <v>33782604</v>
      </c>
      <c r="I402" s="25">
        <f t="shared" si="87"/>
        <v>0.46702456043288659</v>
      </c>
      <c r="J402" s="59">
        <v>29602313</v>
      </c>
      <c r="K402" s="27">
        <f t="shared" si="88"/>
        <v>63384917</v>
      </c>
      <c r="L402" s="28">
        <f t="shared" si="81"/>
        <v>0.53297543956711346</v>
      </c>
      <c r="M402" s="27">
        <f t="shared" si="82"/>
        <v>0.46702456043288659</v>
      </c>
      <c r="N402" s="33">
        <f t="shared" ref="N402:N408" si="89">D402/$D$409</f>
        <v>5.9523809523809521E-3</v>
      </c>
      <c r="O402" s="7">
        <f>'Charter Archive File'!Q65</f>
        <v>2811637</v>
      </c>
      <c r="P402" s="26">
        <f t="shared" si="83"/>
        <v>7816.0924644157139</v>
      </c>
      <c r="Q402" s="29">
        <f t="shared" si="84"/>
        <v>8919.8420593938099</v>
      </c>
      <c r="R402"/>
    </row>
    <row r="403" spans="1:18" ht="12.75" customHeight="1">
      <c r="A403" s="35"/>
      <c r="B403" s="35" t="s">
        <v>1996</v>
      </c>
      <c r="C403" s="67" t="s">
        <v>1995</v>
      </c>
      <c r="D403" s="42">
        <v>9</v>
      </c>
      <c r="E403" s="42">
        <v>8668</v>
      </c>
      <c r="F403" s="59">
        <v>127142316</v>
      </c>
      <c r="G403" s="25">
        <f t="shared" si="85"/>
        <v>0.53197702486401144</v>
      </c>
      <c r="H403" s="27">
        <f t="shared" si="86"/>
        <v>67636791</v>
      </c>
      <c r="I403" s="25">
        <f t="shared" si="87"/>
        <v>0.46802297513598856</v>
      </c>
      <c r="J403" s="59">
        <v>59505525</v>
      </c>
      <c r="K403" s="27">
        <f t="shared" si="88"/>
        <v>127142316</v>
      </c>
      <c r="L403" s="28">
        <f t="shared" si="81"/>
        <v>0.53197702486401144</v>
      </c>
      <c r="M403" s="27">
        <f t="shared" si="82"/>
        <v>0.46802297513598856</v>
      </c>
      <c r="N403" s="33">
        <f t="shared" si="89"/>
        <v>2.6785714285714284E-2</v>
      </c>
      <c r="O403" s="7">
        <f t="shared" ref="O403:O408" si="90">O402</f>
        <v>2811637</v>
      </c>
      <c r="P403" s="26">
        <f t="shared" si="83"/>
        <v>35247.608403814964</v>
      </c>
      <c r="Q403" s="29">
        <f t="shared" si="84"/>
        <v>40064.096953327891</v>
      </c>
      <c r="R403"/>
    </row>
    <row r="404" spans="1:18" ht="12.75" customHeight="1">
      <c r="A404" s="35"/>
      <c r="B404" s="35" t="s">
        <v>2004</v>
      </c>
      <c r="C404" s="67" t="s">
        <v>2003</v>
      </c>
      <c r="D404" s="42">
        <v>2</v>
      </c>
      <c r="E404" s="42">
        <v>9945</v>
      </c>
      <c r="F404" s="59">
        <v>41657221</v>
      </c>
      <c r="G404" s="25">
        <f t="shared" si="85"/>
        <v>0.3187088740269064</v>
      </c>
      <c r="H404" s="27">
        <f t="shared" si="86"/>
        <v>13276526</v>
      </c>
      <c r="I404" s="25">
        <f t="shared" si="87"/>
        <v>0.6812911259730936</v>
      </c>
      <c r="J404" s="59">
        <v>28380695</v>
      </c>
      <c r="K404" s="27">
        <f t="shared" si="88"/>
        <v>41657221</v>
      </c>
      <c r="L404" s="28">
        <f t="shared" si="81"/>
        <v>0.3187088740269064</v>
      </c>
      <c r="M404" s="27">
        <f t="shared" si="82"/>
        <v>0.6812911259730936</v>
      </c>
      <c r="N404" s="33">
        <f t="shared" si="89"/>
        <v>5.9523809523809521E-3</v>
      </c>
      <c r="O404" s="7">
        <f t="shared" si="90"/>
        <v>2811637</v>
      </c>
      <c r="P404" s="26">
        <f t="shared" si="83"/>
        <v>11402.043675938159</v>
      </c>
      <c r="Q404" s="29">
        <f t="shared" si="84"/>
        <v>5333.8908478713629</v>
      </c>
      <c r="R404"/>
    </row>
    <row r="405" spans="1:18" ht="12.75" customHeight="1">
      <c r="A405" s="35"/>
      <c r="B405" s="35" t="s">
        <v>2006</v>
      </c>
      <c r="C405" s="67" t="s">
        <v>2005</v>
      </c>
      <c r="D405" s="42">
        <v>6</v>
      </c>
      <c r="E405" s="42">
        <v>7642</v>
      </c>
      <c r="F405" s="59">
        <v>26222041</v>
      </c>
      <c r="G405" s="25">
        <f t="shared" si="85"/>
        <v>0.54558811802635809</v>
      </c>
      <c r="H405" s="27">
        <f t="shared" si="86"/>
        <v>14306434</v>
      </c>
      <c r="I405" s="25">
        <f t="shared" si="87"/>
        <v>0.45441188197364196</v>
      </c>
      <c r="J405" s="59">
        <v>11915607</v>
      </c>
      <c r="K405" s="27">
        <f t="shared" si="88"/>
        <v>26222041</v>
      </c>
      <c r="L405" s="28">
        <f t="shared" si="81"/>
        <v>0.54558811802635809</v>
      </c>
      <c r="M405" s="27">
        <f t="shared" si="82"/>
        <v>0.45441188197364196</v>
      </c>
      <c r="N405" s="33">
        <f t="shared" si="89"/>
        <v>1.7857142857142856E-2</v>
      </c>
      <c r="O405" s="7">
        <f t="shared" si="90"/>
        <v>2811637</v>
      </c>
      <c r="P405" s="26">
        <f t="shared" si="83"/>
        <v>22815.022510655795</v>
      </c>
      <c r="Q405" s="29">
        <f t="shared" si="84"/>
        <v>27392.78106077277</v>
      </c>
      <c r="R405"/>
    </row>
    <row r="406" spans="1:18" ht="12.75" customHeight="1">
      <c r="A406" s="35"/>
      <c r="B406" s="35" t="s">
        <v>2008</v>
      </c>
      <c r="C406" s="67" t="s">
        <v>2007</v>
      </c>
      <c r="D406" s="42">
        <v>1</v>
      </c>
      <c r="E406" s="42">
        <v>9325</v>
      </c>
      <c r="F406" s="59">
        <v>84810178</v>
      </c>
      <c r="G406" s="25">
        <f t="shared" si="85"/>
        <v>0.51793594867823534</v>
      </c>
      <c r="H406" s="27">
        <f t="shared" si="86"/>
        <v>43926240</v>
      </c>
      <c r="I406" s="25">
        <f t="shared" si="87"/>
        <v>0.48206405132176472</v>
      </c>
      <c r="J406" s="59">
        <v>40883938</v>
      </c>
      <c r="K406" s="27">
        <f t="shared" si="88"/>
        <v>84810178</v>
      </c>
      <c r="L406" s="28">
        <f t="shared" si="81"/>
        <v>0.51793594867823534</v>
      </c>
      <c r="M406" s="27">
        <f t="shared" si="82"/>
        <v>0.48206405132176472</v>
      </c>
      <c r="N406" s="33">
        <f t="shared" si="89"/>
        <v>2.976190476190476E-3</v>
      </c>
      <c r="O406" s="7">
        <f t="shared" si="90"/>
        <v>2811637</v>
      </c>
      <c r="P406" s="26">
        <f t="shared" si="83"/>
        <v>4033.8961996017038</v>
      </c>
      <c r="Q406" s="29">
        <f t="shared" si="84"/>
        <v>4334.0710623030582</v>
      </c>
      <c r="R406"/>
    </row>
    <row r="407" spans="1:18" ht="12.75" customHeight="1">
      <c r="A407" s="35"/>
      <c r="B407" s="35" t="s">
        <v>2010</v>
      </c>
      <c r="C407" s="67" t="s">
        <v>2009</v>
      </c>
      <c r="D407" s="42">
        <v>2</v>
      </c>
      <c r="E407" s="42">
        <v>9800</v>
      </c>
      <c r="F407" s="59">
        <v>16422655</v>
      </c>
      <c r="G407" s="25">
        <f t="shared" si="85"/>
        <v>0.58125430997606664</v>
      </c>
      <c r="H407" s="27">
        <f t="shared" si="86"/>
        <v>9545739</v>
      </c>
      <c r="I407" s="25">
        <f t="shared" si="87"/>
        <v>0.41874569002393341</v>
      </c>
      <c r="J407" s="59">
        <v>6876916</v>
      </c>
      <c r="K407" s="27">
        <f t="shared" si="88"/>
        <v>16422655</v>
      </c>
      <c r="L407" s="28">
        <f t="shared" si="81"/>
        <v>0.58125430997606664</v>
      </c>
      <c r="M407" s="27">
        <f t="shared" si="82"/>
        <v>0.41874569002393341</v>
      </c>
      <c r="N407" s="33">
        <f t="shared" si="89"/>
        <v>5.9523809523809521E-3</v>
      </c>
      <c r="O407" s="7">
        <f t="shared" si="90"/>
        <v>2811637</v>
      </c>
      <c r="P407" s="26">
        <f t="shared" si="83"/>
        <v>7008.1004503679878</v>
      </c>
      <c r="Q407" s="29">
        <f t="shared" si="84"/>
        <v>9727.834073441536</v>
      </c>
      <c r="R407"/>
    </row>
    <row r="408" spans="1:18" ht="12.75" customHeight="1">
      <c r="A408" s="35"/>
      <c r="B408" s="35" t="s">
        <v>2000</v>
      </c>
      <c r="C408" s="67" t="s">
        <v>1999</v>
      </c>
      <c r="D408" s="42">
        <v>314</v>
      </c>
      <c r="E408" s="42">
        <v>8548</v>
      </c>
      <c r="F408" s="59">
        <v>310131527</v>
      </c>
      <c r="G408" s="25">
        <f t="shared" si="85"/>
        <v>0.7691568648549556</v>
      </c>
      <c r="H408" s="27">
        <f t="shared" si="86"/>
        <v>238539793</v>
      </c>
      <c r="I408" s="25">
        <f t="shared" si="87"/>
        <v>0.23084313514504445</v>
      </c>
      <c r="J408" s="59">
        <v>71591734</v>
      </c>
      <c r="K408" s="27">
        <f t="shared" si="88"/>
        <v>310131527</v>
      </c>
      <c r="L408" s="28">
        <f t="shared" si="81"/>
        <v>0.7691568648549556</v>
      </c>
      <c r="M408" s="27">
        <f t="shared" si="82"/>
        <v>0.23084313514504445</v>
      </c>
      <c r="N408" s="33">
        <f t="shared" si="89"/>
        <v>0.93452380952380953</v>
      </c>
      <c r="O408" s="7">
        <f t="shared" si="90"/>
        <v>2811637</v>
      </c>
      <c r="P408" s="26">
        <f t="shared" si="83"/>
        <v>606549.96842416516</v>
      </c>
      <c r="Q408" s="29">
        <f t="shared" si="84"/>
        <v>2020991.7518139302</v>
      </c>
      <c r="R408"/>
    </row>
    <row r="409" spans="1:18" ht="12.75" customHeight="1">
      <c r="A409" s="260" t="s">
        <v>1732</v>
      </c>
      <c r="B409" s="261"/>
      <c r="C409" s="262"/>
      <c r="D409" s="39">
        <f>SUM(D402:D408)</f>
        <v>336</v>
      </c>
      <c r="E409" s="39"/>
      <c r="F409" s="39"/>
      <c r="G409" s="17"/>
      <c r="H409" s="17"/>
      <c r="I409" s="17"/>
      <c r="J409" s="39"/>
      <c r="K409" s="17"/>
      <c r="L409" s="17"/>
      <c r="M409" s="17"/>
      <c r="N409" s="49"/>
      <c r="O409" s="19"/>
      <c r="P409" s="19">
        <f>SUM(P402:P408)</f>
        <v>694872.7321289595</v>
      </c>
      <c r="Q409" s="19">
        <f>SUM(Q402:Q408)</f>
        <v>2116764.2678710409</v>
      </c>
      <c r="R409" s="14"/>
    </row>
    <row r="410" spans="1:18" ht="12.75" customHeight="1">
      <c r="A410" s="15" t="s">
        <v>2262</v>
      </c>
      <c r="B410" s="16"/>
      <c r="C410" s="64"/>
      <c r="D410" s="39"/>
      <c r="E410" s="39"/>
      <c r="F410" s="55"/>
      <c r="G410" s="17"/>
      <c r="H410" s="17"/>
      <c r="I410" s="17"/>
      <c r="J410" s="55"/>
      <c r="K410" s="17"/>
      <c r="L410" s="17"/>
      <c r="M410" s="17"/>
      <c r="N410" s="49"/>
      <c r="O410" s="19"/>
      <c r="P410" s="19"/>
      <c r="Q410" s="20"/>
      <c r="R410" s="14"/>
    </row>
    <row r="411" spans="1:18" ht="12.75" customHeight="1">
      <c r="A411" s="35"/>
      <c r="B411" s="35" t="s">
        <v>2012</v>
      </c>
      <c r="C411" s="67" t="s">
        <v>2011</v>
      </c>
      <c r="D411" s="42">
        <v>1</v>
      </c>
      <c r="E411" s="42">
        <v>9965</v>
      </c>
      <c r="F411" s="59">
        <v>5519813</v>
      </c>
      <c r="G411" s="25">
        <f t="shared" si="85"/>
        <v>0.4287420606458951</v>
      </c>
      <c r="H411" s="27">
        <f t="shared" si="86"/>
        <v>2366576</v>
      </c>
      <c r="I411" s="25">
        <f t="shared" si="87"/>
        <v>0.57125793935410496</v>
      </c>
      <c r="J411" s="59">
        <v>3153237</v>
      </c>
      <c r="K411" s="27">
        <f t="shared" si="88"/>
        <v>5519813</v>
      </c>
      <c r="L411" s="28">
        <f t="shared" si="81"/>
        <v>0.4287420606458951</v>
      </c>
      <c r="M411" s="27">
        <f t="shared" si="82"/>
        <v>0.57125793935410496</v>
      </c>
      <c r="N411" s="33">
        <f>D411/$D$415</f>
        <v>5.5865921787709499E-3</v>
      </c>
      <c r="O411" s="6">
        <f>'Charter Archive File'!Q33</f>
        <v>1895827</v>
      </c>
      <c r="P411" s="26">
        <f t="shared" si="83"/>
        <v>6050.3141083344963</v>
      </c>
      <c r="Q411" s="29">
        <f t="shared" si="84"/>
        <v>4540.8981821682983</v>
      </c>
      <c r="R411"/>
    </row>
    <row r="412" spans="1:18" ht="12.75" customHeight="1">
      <c r="A412" s="35"/>
      <c r="B412" s="35" t="s">
        <v>2013</v>
      </c>
      <c r="C412" s="67" t="s">
        <v>2145</v>
      </c>
      <c r="D412" s="42">
        <v>2</v>
      </c>
      <c r="E412" s="42">
        <v>8036</v>
      </c>
      <c r="F412" s="59">
        <v>18681136</v>
      </c>
      <c r="G412" s="25">
        <f t="shared" si="85"/>
        <v>0.69404531929963997</v>
      </c>
      <c r="H412" s="27">
        <f t="shared" si="86"/>
        <v>12965555</v>
      </c>
      <c r="I412" s="25">
        <f t="shared" si="87"/>
        <v>0.30595468070035997</v>
      </c>
      <c r="J412" s="59">
        <v>5715581</v>
      </c>
      <c r="K412" s="27">
        <f t="shared" si="88"/>
        <v>18681136</v>
      </c>
      <c r="L412" s="28">
        <f t="shared" si="81"/>
        <v>0.69404531929963997</v>
      </c>
      <c r="M412" s="27">
        <f t="shared" si="82"/>
        <v>0.30595468070035997</v>
      </c>
      <c r="N412" s="33">
        <f>D412/$D$415</f>
        <v>1.11731843575419E-2</v>
      </c>
      <c r="O412" s="6">
        <f>O411</f>
        <v>1895827</v>
      </c>
      <c r="P412" s="26">
        <f t="shared" si="83"/>
        <v>6480.8619491410209</v>
      </c>
      <c r="Q412" s="29">
        <f t="shared" si="84"/>
        <v>14701.562631864565</v>
      </c>
      <c r="R412"/>
    </row>
    <row r="413" spans="1:18" ht="12.75" customHeight="1">
      <c r="A413" s="35"/>
      <c r="B413" s="35" t="s">
        <v>2015</v>
      </c>
      <c r="C413" s="67" t="s">
        <v>2014</v>
      </c>
      <c r="D413" s="42">
        <v>22</v>
      </c>
      <c r="E413" s="42">
        <v>8243</v>
      </c>
      <c r="F413" s="59">
        <v>31403986</v>
      </c>
      <c r="G413" s="25">
        <f t="shared" si="85"/>
        <v>0.66721619351123129</v>
      </c>
      <c r="H413" s="27">
        <f t="shared" si="86"/>
        <v>20953248</v>
      </c>
      <c r="I413" s="25">
        <f t="shared" si="87"/>
        <v>0.33278380648876865</v>
      </c>
      <c r="J413" s="59">
        <v>10450738</v>
      </c>
      <c r="K413" s="27">
        <f t="shared" si="88"/>
        <v>31403986</v>
      </c>
      <c r="L413" s="28">
        <f t="shared" si="81"/>
        <v>0.66721619351123129</v>
      </c>
      <c r="M413" s="27">
        <f t="shared" si="82"/>
        <v>0.33278380648876865</v>
      </c>
      <c r="N413" s="33">
        <f>D413/$D$415</f>
        <v>0.12290502793296089</v>
      </c>
      <c r="O413" s="6">
        <f>O412</f>
        <v>1895827</v>
      </c>
      <c r="P413" s="26">
        <f t="shared" si="83"/>
        <v>77540.84671001129</v>
      </c>
      <c r="Q413" s="29">
        <f t="shared" si="84"/>
        <v>155465.82368105013</v>
      </c>
      <c r="R413"/>
    </row>
    <row r="414" spans="1:18" ht="12.75" customHeight="1">
      <c r="A414" s="35"/>
      <c r="B414" s="35" t="s">
        <v>2017</v>
      </c>
      <c r="C414" s="67" t="s">
        <v>2016</v>
      </c>
      <c r="D414" s="42">
        <v>154</v>
      </c>
      <c r="E414" s="42">
        <v>10954</v>
      </c>
      <c r="F414" s="59">
        <v>81553767</v>
      </c>
      <c r="G414" s="25">
        <f t="shared" si="85"/>
        <v>0.64283588518970558</v>
      </c>
      <c r="H414" s="27">
        <f t="shared" si="86"/>
        <v>52425688</v>
      </c>
      <c r="I414" s="25">
        <f t="shared" si="87"/>
        <v>0.35716411481029442</v>
      </c>
      <c r="J414" s="59">
        <v>29128079</v>
      </c>
      <c r="K414" s="27">
        <f t="shared" si="88"/>
        <v>81553767</v>
      </c>
      <c r="L414" s="28">
        <f t="shared" si="81"/>
        <v>0.64283588518970558</v>
      </c>
      <c r="M414" s="27">
        <f t="shared" si="82"/>
        <v>0.35716411481029442</v>
      </c>
      <c r="N414" s="33">
        <f>D414/$D$415</f>
        <v>0.86033519553072624</v>
      </c>
      <c r="O414" s="6">
        <f>O413</f>
        <v>1895827</v>
      </c>
      <c r="P414" s="26">
        <f t="shared" si="83"/>
        <v>582551.34822582244</v>
      </c>
      <c r="Q414" s="29">
        <f t="shared" si="84"/>
        <v>1048495.3445116077</v>
      </c>
      <c r="R414"/>
    </row>
    <row r="415" spans="1:18" ht="12.75" customHeight="1">
      <c r="A415" s="260" t="s">
        <v>2118</v>
      </c>
      <c r="B415" s="261"/>
      <c r="C415" s="262"/>
      <c r="D415" s="39">
        <f>SUM(D411:D414)</f>
        <v>179</v>
      </c>
      <c r="E415" s="39"/>
      <c r="F415" s="39"/>
      <c r="G415" s="17"/>
      <c r="H415" s="17"/>
      <c r="I415" s="17"/>
      <c r="J415" s="39"/>
      <c r="K415" s="17"/>
      <c r="L415" s="17"/>
      <c r="M415" s="17"/>
      <c r="N415" s="49"/>
      <c r="O415" s="19"/>
      <c r="P415" s="19">
        <f>SUM(P411:P414)</f>
        <v>672623.37099330919</v>
      </c>
      <c r="Q415" s="19">
        <f>SUM(Q411:Q414)</f>
        <v>1223203.6290066906</v>
      </c>
      <c r="R415" s="14"/>
    </row>
    <row r="416" spans="1:18" ht="12.75" customHeight="1">
      <c r="A416" s="15" t="s">
        <v>1733</v>
      </c>
      <c r="B416" s="16"/>
      <c r="C416" s="64"/>
      <c r="D416" s="39"/>
      <c r="E416" s="39"/>
      <c r="F416" s="55"/>
      <c r="G416" s="17"/>
      <c r="H416" s="17"/>
      <c r="I416" s="17"/>
      <c r="J416" s="55"/>
      <c r="K416" s="17"/>
      <c r="L416" s="17"/>
      <c r="M416" s="17"/>
      <c r="N416" s="49"/>
      <c r="O416" s="19"/>
      <c r="P416" s="19"/>
      <c r="Q416" s="20"/>
      <c r="R416" s="14"/>
    </row>
    <row r="417" spans="1:22" ht="12.75" customHeight="1">
      <c r="A417" s="35"/>
      <c r="B417" s="35" t="s">
        <v>2019</v>
      </c>
      <c r="C417" s="67" t="s">
        <v>2018</v>
      </c>
      <c r="D417" s="42">
        <v>1</v>
      </c>
      <c r="E417" s="42">
        <v>9402</v>
      </c>
      <c r="F417" s="59">
        <v>75568542</v>
      </c>
      <c r="G417" s="25">
        <f t="shared" si="85"/>
        <v>0.24562494536417018</v>
      </c>
      <c r="H417" s="27">
        <f t="shared" si="86"/>
        <v>18561519</v>
      </c>
      <c r="I417" s="25">
        <f t="shared" si="87"/>
        <v>0.75437505463582977</v>
      </c>
      <c r="J417" s="59">
        <v>57007023</v>
      </c>
      <c r="K417" s="27">
        <f t="shared" si="88"/>
        <v>75568542</v>
      </c>
      <c r="L417" s="28">
        <f t="shared" si="81"/>
        <v>0.24562494536417018</v>
      </c>
      <c r="M417" s="27">
        <f t="shared" si="82"/>
        <v>0.75437505463582977</v>
      </c>
      <c r="N417" s="33">
        <f>D417/$D$425</f>
        <v>1.8832391713747645E-3</v>
      </c>
      <c r="O417" s="7">
        <f>'Charter Archive File'!Q77</f>
        <v>6038794</v>
      </c>
      <c r="P417" s="26">
        <f t="shared" si="83"/>
        <v>8579.1253365056891</v>
      </c>
      <c r="Q417" s="29">
        <f t="shared" si="84"/>
        <v>2793.3680721572105</v>
      </c>
      <c r="R417"/>
    </row>
    <row r="418" spans="1:22" ht="12.75" customHeight="1">
      <c r="A418" s="35"/>
      <c r="B418" s="35" t="s">
        <v>2021</v>
      </c>
      <c r="C418" s="67" t="s">
        <v>2020</v>
      </c>
      <c r="D418" s="42">
        <v>2</v>
      </c>
      <c r="E418" s="42">
        <v>8403</v>
      </c>
      <c r="F418" s="59">
        <v>46619762</v>
      </c>
      <c r="G418" s="25">
        <f t="shared" si="85"/>
        <v>0.70456878351288021</v>
      </c>
      <c r="H418" s="27">
        <f t="shared" si="86"/>
        <v>32846829</v>
      </c>
      <c r="I418" s="25">
        <f t="shared" si="87"/>
        <v>0.29543121648711979</v>
      </c>
      <c r="J418" s="59">
        <v>13772933</v>
      </c>
      <c r="K418" s="27">
        <f t="shared" si="88"/>
        <v>46619762</v>
      </c>
      <c r="L418" s="28">
        <f t="shared" si="81"/>
        <v>0.70456878351288021</v>
      </c>
      <c r="M418" s="27">
        <f t="shared" si="82"/>
        <v>0.29543121648711979</v>
      </c>
      <c r="N418" s="33">
        <f t="shared" ref="N418:N424" si="91">D418/$D$425</f>
        <v>3.766478342749529E-3</v>
      </c>
      <c r="O418" s="7">
        <f t="shared" ref="O418:O424" si="92">O417</f>
        <v>6038794</v>
      </c>
      <c r="P418" s="26">
        <f t="shared" si="83"/>
        <v>6719.5791244260645</v>
      </c>
      <c r="Q418" s="29">
        <f t="shared" si="84"/>
        <v>16025.407692899737</v>
      </c>
      <c r="R418"/>
    </row>
    <row r="419" spans="1:22" ht="12.75" customHeight="1">
      <c r="A419" s="35"/>
      <c r="B419" s="35" t="s">
        <v>1884</v>
      </c>
      <c r="C419" s="67" t="s">
        <v>2022</v>
      </c>
      <c r="D419" s="42">
        <v>1</v>
      </c>
      <c r="E419" s="42">
        <v>9637</v>
      </c>
      <c r="F419" s="59">
        <v>129606306</v>
      </c>
      <c r="G419" s="25">
        <f t="shared" si="85"/>
        <v>0.38716237310243223</v>
      </c>
      <c r="H419" s="27">
        <f t="shared" si="86"/>
        <v>50178685</v>
      </c>
      <c r="I419" s="25">
        <f t="shared" si="87"/>
        <v>0.61283762689756782</v>
      </c>
      <c r="J419" s="59">
        <v>79427621</v>
      </c>
      <c r="K419" s="27">
        <f t="shared" si="88"/>
        <v>129606306</v>
      </c>
      <c r="L419" s="28">
        <f t="shared" si="81"/>
        <v>0.38716237310243223</v>
      </c>
      <c r="M419" s="27">
        <f t="shared" si="82"/>
        <v>0.61283762689756782</v>
      </c>
      <c r="N419" s="33">
        <f t="shared" si="91"/>
        <v>1.8832391713747645E-3</v>
      </c>
      <c r="O419" s="7">
        <f t="shared" si="92"/>
        <v>6038794</v>
      </c>
      <c r="P419" s="26">
        <f t="shared" si="83"/>
        <v>6969.4918724732033</v>
      </c>
      <c r="Q419" s="29">
        <f t="shared" si="84"/>
        <v>4403.0015361896967</v>
      </c>
      <c r="R419"/>
    </row>
    <row r="420" spans="1:22" ht="12.75" customHeight="1">
      <c r="A420" s="35"/>
      <c r="B420" s="35" t="s">
        <v>1886</v>
      </c>
      <c r="C420" s="67" t="s">
        <v>1885</v>
      </c>
      <c r="D420" s="42">
        <v>2</v>
      </c>
      <c r="E420" s="42">
        <v>9361</v>
      </c>
      <c r="F420" s="59">
        <v>41910477</v>
      </c>
      <c r="G420" s="25">
        <f t="shared" si="85"/>
        <v>0.51384604856680582</v>
      </c>
      <c r="H420" s="27">
        <f t="shared" si="86"/>
        <v>21535533</v>
      </c>
      <c r="I420" s="25">
        <f t="shared" si="87"/>
        <v>0.48615395143319412</v>
      </c>
      <c r="J420" s="59">
        <v>20374944</v>
      </c>
      <c r="K420" s="27">
        <f t="shared" si="88"/>
        <v>41910477</v>
      </c>
      <c r="L420" s="28">
        <f t="shared" si="81"/>
        <v>0.51384604856680582</v>
      </c>
      <c r="M420" s="27">
        <f t="shared" si="82"/>
        <v>0.48615395143319412</v>
      </c>
      <c r="N420" s="33">
        <f t="shared" si="91"/>
        <v>3.766478342749529E-3</v>
      </c>
      <c r="O420" s="7">
        <f t="shared" si="92"/>
        <v>6038794</v>
      </c>
      <c r="P420" s="26">
        <f t="shared" si="83"/>
        <v>11057.565216538847</v>
      </c>
      <c r="Q420" s="29">
        <f t="shared" si="84"/>
        <v>11687.421600786951</v>
      </c>
      <c r="R420"/>
    </row>
    <row r="421" spans="1:22" ht="12.75" customHeight="1">
      <c r="A421" s="35"/>
      <c r="B421" s="35" t="s">
        <v>1888</v>
      </c>
      <c r="C421" s="67" t="s">
        <v>1887</v>
      </c>
      <c r="D421" s="42">
        <v>2</v>
      </c>
      <c r="E421" s="42">
        <v>9816</v>
      </c>
      <c r="F421" s="59">
        <v>59022066</v>
      </c>
      <c r="G421" s="25">
        <f t="shared" si="85"/>
        <v>0.31592801241488228</v>
      </c>
      <c r="H421" s="27">
        <f t="shared" si="86"/>
        <v>18646724</v>
      </c>
      <c r="I421" s="25">
        <f t="shared" si="87"/>
        <v>0.68407198758511778</v>
      </c>
      <c r="J421" s="59">
        <v>40375342</v>
      </c>
      <c r="K421" s="27">
        <f t="shared" si="88"/>
        <v>59022066</v>
      </c>
      <c r="L421" s="28">
        <f t="shared" si="81"/>
        <v>0.31592801241488228</v>
      </c>
      <c r="M421" s="27">
        <f t="shared" si="82"/>
        <v>0.68407198758511778</v>
      </c>
      <c r="N421" s="33">
        <f t="shared" si="91"/>
        <v>3.766478342749529E-3</v>
      </c>
      <c r="O421" s="7">
        <f t="shared" si="92"/>
        <v>6038794</v>
      </c>
      <c r="P421" s="26">
        <f t="shared" si="83"/>
        <v>15559.208339725363</v>
      </c>
      <c r="Q421" s="29">
        <f t="shared" si="84"/>
        <v>7185.7784776004391</v>
      </c>
      <c r="R421"/>
    </row>
    <row r="422" spans="1:22" ht="12.75" customHeight="1">
      <c r="A422" s="35"/>
      <c r="B422" s="35" t="s">
        <v>1890</v>
      </c>
      <c r="C422" s="67" t="s">
        <v>1889</v>
      </c>
      <c r="D422" s="42">
        <v>2</v>
      </c>
      <c r="E422" s="42">
        <v>11406</v>
      </c>
      <c r="F422" s="59">
        <v>39515298</v>
      </c>
      <c r="G422" s="25">
        <f t="shared" si="85"/>
        <v>0.39257626248952998</v>
      </c>
      <c r="H422" s="27">
        <f t="shared" si="86"/>
        <v>15512768</v>
      </c>
      <c r="I422" s="25">
        <f t="shared" si="87"/>
        <v>0.60742373751046996</v>
      </c>
      <c r="J422" s="59">
        <v>24002530</v>
      </c>
      <c r="K422" s="27">
        <f t="shared" si="88"/>
        <v>39515298</v>
      </c>
      <c r="L422" s="28">
        <f t="shared" si="81"/>
        <v>0.39257626248952998</v>
      </c>
      <c r="M422" s="27">
        <f t="shared" si="82"/>
        <v>0.60742373751046996</v>
      </c>
      <c r="N422" s="33">
        <f t="shared" si="91"/>
        <v>3.766478342749529E-3</v>
      </c>
      <c r="O422" s="7">
        <f t="shared" si="92"/>
        <v>6038794</v>
      </c>
      <c r="P422" s="26">
        <f t="shared" si="83"/>
        <v>13815.844902206407</v>
      </c>
      <c r="Q422" s="29">
        <f t="shared" si="84"/>
        <v>8929.1419151193932</v>
      </c>
      <c r="R422"/>
    </row>
    <row r="423" spans="1:22" ht="12.75" customHeight="1">
      <c r="A423" s="35"/>
      <c r="B423" s="35" t="s">
        <v>1892</v>
      </c>
      <c r="C423" s="67" t="s">
        <v>1891</v>
      </c>
      <c r="D423" s="42">
        <v>10</v>
      </c>
      <c r="E423" s="42">
        <v>7073</v>
      </c>
      <c r="F423" s="59">
        <v>39235095</v>
      </c>
      <c r="G423" s="25">
        <f t="shared" si="85"/>
        <v>0.58123445349119196</v>
      </c>
      <c r="H423" s="27">
        <f t="shared" si="86"/>
        <v>22804789</v>
      </c>
      <c r="I423" s="25">
        <f t="shared" si="87"/>
        <v>0.41876554650880798</v>
      </c>
      <c r="J423" s="59">
        <v>16430306</v>
      </c>
      <c r="K423" s="27">
        <f t="shared" si="88"/>
        <v>39235095</v>
      </c>
      <c r="L423" s="28">
        <f t="shared" si="81"/>
        <v>0.58123445349119196</v>
      </c>
      <c r="M423" s="27">
        <f t="shared" si="82"/>
        <v>0.41876554650880798</v>
      </c>
      <c r="N423" s="33">
        <f t="shared" si="91"/>
        <v>1.8832391713747645E-2</v>
      </c>
      <c r="O423" s="7">
        <f t="shared" si="92"/>
        <v>6038794</v>
      </c>
      <c r="P423" s="26">
        <f t="shared" si="83"/>
        <v>47624.084174465359</v>
      </c>
      <c r="Q423" s="29">
        <f t="shared" si="84"/>
        <v>66100.849912163641</v>
      </c>
      <c r="R423"/>
    </row>
    <row r="424" spans="1:22" ht="12.75" customHeight="1">
      <c r="A424" s="35"/>
      <c r="B424" s="35" t="s">
        <v>1894</v>
      </c>
      <c r="C424" s="67" t="s">
        <v>1893</v>
      </c>
      <c r="D424" s="42">
        <v>511</v>
      </c>
      <c r="E424" s="42">
        <v>9112</v>
      </c>
      <c r="F424" s="59">
        <v>129603734</v>
      </c>
      <c r="G424" s="25">
        <f t="shared" si="85"/>
        <v>0.64854501800079312</v>
      </c>
      <c r="H424" s="27">
        <f t="shared" si="86"/>
        <v>84053856</v>
      </c>
      <c r="I424" s="25">
        <f t="shared" si="87"/>
        <v>0.35145498199920688</v>
      </c>
      <c r="J424" s="59">
        <v>45549878</v>
      </c>
      <c r="K424" s="27">
        <f t="shared" si="88"/>
        <v>129603734</v>
      </c>
      <c r="L424" s="28">
        <f t="shared" si="81"/>
        <v>0.64854501800079312</v>
      </c>
      <c r="M424" s="27">
        <f t="shared" si="82"/>
        <v>0.35145498199920688</v>
      </c>
      <c r="N424" s="33">
        <f t="shared" si="91"/>
        <v>0.96233521657250476</v>
      </c>
      <c r="O424" s="7">
        <f t="shared" si="92"/>
        <v>6038794</v>
      </c>
      <c r="P424" s="26">
        <f t="shared" si="83"/>
        <v>2042425.8472423644</v>
      </c>
      <c r="Q424" s="29">
        <f t="shared" si="84"/>
        <v>3768918.2845843784</v>
      </c>
      <c r="R424"/>
    </row>
    <row r="425" spans="1:22" ht="12.75" customHeight="1">
      <c r="A425" s="260" t="s">
        <v>510</v>
      </c>
      <c r="B425" s="261"/>
      <c r="C425" s="262"/>
      <c r="D425" s="39">
        <f>SUM(D417:D424)</f>
        <v>531</v>
      </c>
      <c r="E425" s="39"/>
      <c r="F425" s="39"/>
      <c r="G425" s="17"/>
      <c r="H425" s="17"/>
      <c r="I425" s="17"/>
      <c r="J425" s="39"/>
      <c r="K425" s="17"/>
      <c r="L425" s="17"/>
      <c r="M425" s="17"/>
      <c r="N425" s="49"/>
      <c r="O425" s="19"/>
      <c r="P425" s="19">
        <f>SUM(P417:P424)</f>
        <v>2152750.7462087055</v>
      </c>
      <c r="Q425" s="19">
        <f>SUM(Q417:Q424)</f>
        <v>3886043.2537912955</v>
      </c>
      <c r="R425" s="14"/>
    </row>
    <row r="426" spans="1:22" ht="12.75" customHeight="1">
      <c r="A426" s="15" t="s">
        <v>1895</v>
      </c>
      <c r="B426" s="16"/>
      <c r="C426" s="64"/>
      <c r="D426" s="39"/>
      <c r="E426" s="39"/>
      <c r="F426" s="55"/>
      <c r="G426" s="17"/>
      <c r="H426" s="17"/>
      <c r="I426" s="17"/>
      <c r="J426" s="55"/>
      <c r="K426" s="17"/>
      <c r="L426" s="17"/>
      <c r="M426" s="17"/>
      <c r="N426" s="49"/>
      <c r="O426" s="19"/>
      <c r="P426" s="19"/>
      <c r="Q426" s="20"/>
      <c r="R426" s="14"/>
    </row>
    <row r="427" spans="1:22" ht="12.75" customHeight="1">
      <c r="A427" s="35"/>
      <c r="B427" s="35" t="s">
        <v>1897</v>
      </c>
      <c r="C427" s="67" t="s">
        <v>1896</v>
      </c>
      <c r="D427" s="42">
        <v>1</v>
      </c>
      <c r="E427" s="42">
        <v>12527</v>
      </c>
      <c r="F427" s="59">
        <v>47336710</v>
      </c>
      <c r="G427" s="25">
        <f t="shared" si="85"/>
        <v>0.42458499967572738</v>
      </c>
      <c r="H427" s="27">
        <f t="shared" si="86"/>
        <v>20098457</v>
      </c>
      <c r="I427" s="25">
        <f t="shared" si="87"/>
        <v>0.57541500032427262</v>
      </c>
      <c r="J427" s="59">
        <v>27238253</v>
      </c>
      <c r="K427" s="27">
        <f t="shared" si="88"/>
        <v>47336710</v>
      </c>
      <c r="L427" s="28">
        <f t="shared" ref="L427:L460" si="93">H427/K427</f>
        <v>0.42458499967572738</v>
      </c>
      <c r="M427" s="27">
        <f t="shared" ref="M427:M460" si="94">J427/K427</f>
        <v>0.57541500032427262</v>
      </c>
      <c r="N427" s="33">
        <f>D427/$D$439</f>
        <v>1.6666666666666666E-2</v>
      </c>
      <c r="O427" s="7">
        <f>'Charter Archive File'!Q38</f>
        <v>1195807</v>
      </c>
      <c r="P427" s="26">
        <f t="shared" ref="P427:P460" si="95">O427*N427*M427</f>
        <v>11468.088088212789</v>
      </c>
      <c r="Q427" s="29">
        <f t="shared" ref="Q427:Q460" si="96">O427*N427*L427</f>
        <v>8462.0285784538755</v>
      </c>
      <c r="R427"/>
    </row>
    <row r="428" spans="1:22" ht="12.75" customHeight="1">
      <c r="A428" s="35"/>
      <c r="B428" s="35" t="s">
        <v>1899</v>
      </c>
      <c r="C428" s="67" t="s">
        <v>1898</v>
      </c>
      <c r="D428" s="42">
        <v>2</v>
      </c>
      <c r="E428" s="42">
        <v>11059</v>
      </c>
      <c r="F428" s="59">
        <v>176403139</v>
      </c>
      <c r="G428" s="25">
        <f t="shared" si="85"/>
        <v>0.66137282851865808</v>
      </c>
      <c r="H428" s="27">
        <f t="shared" si="86"/>
        <v>116668243</v>
      </c>
      <c r="I428" s="25">
        <f t="shared" si="87"/>
        <v>0.33862717148134197</v>
      </c>
      <c r="J428" s="59">
        <v>59734896</v>
      </c>
      <c r="K428" s="27">
        <f t="shared" si="88"/>
        <v>176403139</v>
      </c>
      <c r="L428" s="28">
        <f t="shared" si="93"/>
        <v>0.66137282851865808</v>
      </c>
      <c r="M428" s="27">
        <f t="shared" si="94"/>
        <v>0.33862717148134197</v>
      </c>
      <c r="N428" s="33">
        <f t="shared" ref="N428:N438" si="97">D428/$D$439</f>
        <v>3.3333333333333333E-2</v>
      </c>
      <c r="O428" s="7">
        <f>O427</f>
        <v>1195807</v>
      </c>
      <c r="P428" s="26">
        <f t="shared" si="95"/>
        <v>13497.75806825297</v>
      </c>
      <c r="Q428" s="29">
        <f t="shared" si="96"/>
        <v>26362.475265080364</v>
      </c>
      <c r="R428"/>
    </row>
    <row r="429" spans="1:22" ht="12.75" customHeight="1">
      <c r="A429" s="35"/>
      <c r="B429" s="35" t="s">
        <v>1901</v>
      </c>
      <c r="C429" s="67" t="s">
        <v>1900</v>
      </c>
      <c r="D429" s="42">
        <v>13</v>
      </c>
      <c r="E429" s="42">
        <v>17019</v>
      </c>
      <c r="F429" s="59">
        <v>51765000</v>
      </c>
      <c r="G429" s="25">
        <f t="shared" si="85"/>
        <v>5.2044875881387037E-2</v>
      </c>
      <c r="H429" s="27">
        <f t="shared" si="86"/>
        <v>2694103</v>
      </c>
      <c r="I429" s="25">
        <f t="shared" si="87"/>
        <v>0.94795512411861294</v>
      </c>
      <c r="J429" s="59">
        <v>49070897</v>
      </c>
      <c r="K429" s="27">
        <f t="shared" si="88"/>
        <v>51765000</v>
      </c>
      <c r="L429" s="28">
        <f t="shared" si="93"/>
        <v>5.2044875881387037E-2</v>
      </c>
      <c r="M429" s="27">
        <f t="shared" si="94"/>
        <v>0.94795512411861294</v>
      </c>
      <c r="N429" s="33">
        <f t="shared" si="97"/>
        <v>0.21666666666666667</v>
      </c>
      <c r="O429" s="7">
        <f t="shared" ref="O429:O438" si="98">O428</f>
        <v>1195807</v>
      </c>
      <c r="P429" s="26">
        <f t="shared" si="95"/>
        <v>245607.13083982968</v>
      </c>
      <c r="Q429" s="29">
        <f t="shared" si="96"/>
        <v>13484.385826836988</v>
      </c>
      <c r="R429"/>
    </row>
    <row r="430" spans="1:22" ht="12.75" customHeight="1">
      <c r="A430" s="35"/>
      <c r="B430" s="35" t="s">
        <v>1903</v>
      </c>
      <c r="C430" s="67" t="s">
        <v>1902</v>
      </c>
      <c r="D430" s="42">
        <v>1</v>
      </c>
      <c r="E430" s="42">
        <v>65020</v>
      </c>
      <c r="F430" s="84">
        <v>81274</v>
      </c>
      <c r="G430" s="25">
        <f t="shared" si="85"/>
        <v>9.9995078376848678E-2</v>
      </c>
      <c r="H430" s="27">
        <f t="shared" si="86"/>
        <v>8127</v>
      </c>
      <c r="I430" s="25">
        <f t="shared" si="87"/>
        <v>0.90000492162315127</v>
      </c>
      <c r="J430" s="37">
        <v>73147</v>
      </c>
      <c r="K430" s="27">
        <f t="shared" si="88"/>
        <v>81274</v>
      </c>
      <c r="L430" s="28">
        <f t="shared" si="93"/>
        <v>9.9995078376848678E-2</v>
      </c>
      <c r="M430" s="27">
        <f t="shared" si="94"/>
        <v>0.90000492162315127</v>
      </c>
      <c r="N430" s="33">
        <f t="shared" si="97"/>
        <v>1.6666666666666666E-2</v>
      </c>
      <c r="O430" s="7">
        <f t="shared" si="98"/>
        <v>1195807</v>
      </c>
      <c r="P430" s="26">
        <f t="shared" si="95"/>
        <v>17937.203088523591</v>
      </c>
      <c r="Q430" s="29">
        <f t="shared" si="96"/>
        <v>1992.9135781430714</v>
      </c>
      <c r="R430"/>
      <c r="S430" s="85" t="s">
        <v>513</v>
      </c>
      <c r="T430" s="1"/>
      <c r="U430" s="1"/>
      <c r="V430" s="1"/>
    </row>
    <row r="431" spans="1:22" ht="12.75" customHeight="1">
      <c r="A431" s="35"/>
      <c r="B431" s="35" t="s">
        <v>1905</v>
      </c>
      <c r="C431" s="67" t="s">
        <v>1904</v>
      </c>
      <c r="D431" s="42">
        <v>10</v>
      </c>
      <c r="E431" s="42">
        <v>14996</v>
      </c>
      <c r="F431" s="59">
        <v>17959038</v>
      </c>
      <c r="G431" s="25">
        <f t="shared" ref="G431:G453" si="99">H431/F431</f>
        <v>7.7250908428391316E-2</v>
      </c>
      <c r="H431" s="27">
        <f t="shared" ref="H431:H441" si="100">F431-J431</f>
        <v>1387352</v>
      </c>
      <c r="I431" s="25">
        <f t="shared" ref="I431:I441" si="101">J431/F431</f>
        <v>0.92274909157160867</v>
      </c>
      <c r="J431" s="59">
        <v>16571686</v>
      </c>
      <c r="K431" s="27">
        <f t="shared" ref="K431:K453" si="102">SUM(H431+J431)</f>
        <v>17959038</v>
      </c>
      <c r="L431" s="28">
        <f t="shared" si="93"/>
        <v>7.7250908428391316E-2</v>
      </c>
      <c r="M431" s="27">
        <f t="shared" si="94"/>
        <v>0.92274909157160867</v>
      </c>
      <c r="N431" s="33">
        <f t="shared" si="97"/>
        <v>0.16666666666666666</v>
      </c>
      <c r="O431" s="7">
        <f t="shared" si="98"/>
        <v>1195807</v>
      </c>
      <c r="P431" s="26">
        <f t="shared" si="95"/>
        <v>183904.97049082842</v>
      </c>
      <c r="Q431" s="29">
        <f t="shared" si="96"/>
        <v>15396.196175838222</v>
      </c>
      <c r="R431"/>
      <c r="S431" s="1" t="s">
        <v>306</v>
      </c>
      <c r="T431" s="1"/>
      <c r="U431" s="1"/>
      <c r="V431" s="1"/>
    </row>
    <row r="432" spans="1:22" ht="12.75" customHeight="1">
      <c r="A432" s="35"/>
      <c r="B432" s="35" t="s">
        <v>1907</v>
      </c>
      <c r="C432" s="67" t="s">
        <v>1906</v>
      </c>
      <c r="D432" s="42">
        <v>4</v>
      </c>
      <c r="E432" s="42">
        <v>20888</v>
      </c>
      <c r="F432" s="59">
        <v>27361452</v>
      </c>
      <c r="G432" s="25">
        <f t="shared" si="99"/>
        <v>8.5442285738344587E-2</v>
      </c>
      <c r="H432" s="27">
        <f t="shared" si="100"/>
        <v>2337825</v>
      </c>
      <c r="I432" s="25">
        <f t="shared" si="101"/>
        <v>0.91455771426165544</v>
      </c>
      <c r="J432" s="59">
        <v>25023627</v>
      </c>
      <c r="K432" s="27">
        <f t="shared" si="102"/>
        <v>27361452</v>
      </c>
      <c r="L432" s="28">
        <f t="shared" si="93"/>
        <v>8.5442285738344587E-2</v>
      </c>
      <c r="M432" s="27">
        <f t="shared" si="94"/>
        <v>0.91455771426165544</v>
      </c>
      <c r="N432" s="33">
        <f t="shared" si="97"/>
        <v>6.6666666666666666E-2</v>
      </c>
      <c r="O432" s="7">
        <f t="shared" si="98"/>
        <v>1195807</v>
      </c>
      <c r="P432" s="26">
        <f t="shared" si="95"/>
        <v>72908.967774539153</v>
      </c>
      <c r="Q432" s="29">
        <f t="shared" si="96"/>
        <v>6811.498892127508</v>
      </c>
      <c r="R432"/>
      <c r="S432" s="1" t="s">
        <v>305</v>
      </c>
      <c r="T432" s="1"/>
      <c r="U432" s="1"/>
      <c r="V432" s="1"/>
    </row>
    <row r="433" spans="1:18" ht="12.75" customHeight="1">
      <c r="A433" s="35"/>
      <c r="B433" s="35" t="s">
        <v>1909</v>
      </c>
      <c r="C433" s="67" t="s">
        <v>1908</v>
      </c>
      <c r="D433" s="42">
        <v>3</v>
      </c>
      <c r="E433" s="42">
        <v>17595</v>
      </c>
      <c r="F433" s="59">
        <v>12976368</v>
      </c>
      <c r="G433" s="25">
        <f t="shared" si="99"/>
        <v>6.5096335122431792E-2</v>
      </c>
      <c r="H433" s="27">
        <f t="shared" si="100"/>
        <v>844714</v>
      </c>
      <c r="I433" s="25">
        <f t="shared" si="101"/>
        <v>0.93490366487756815</v>
      </c>
      <c r="J433" s="59">
        <v>12131654</v>
      </c>
      <c r="K433" s="27">
        <f t="shared" si="102"/>
        <v>12976368</v>
      </c>
      <c r="L433" s="28">
        <f t="shared" si="93"/>
        <v>6.5096335122431792E-2</v>
      </c>
      <c r="M433" s="27">
        <f t="shared" si="94"/>
        <v>0.93490366487756815</v>
      </c>
      <c r="N433" s="33">
        <f t="shared" si="97"/>
        <v>0.05</v>
      </c>
      <c r="O433" s="7">
        <f t="shared" si="98"/>
        <v>1195807</v>
      </c>
      <c r="P433" s="26">
        <f t="shared" si="95"/>
        <v>55898.217339312512</v>
      </c>
      <c r="Q433" s="29">
        <f t="shared" si="96"/>
        <v>3892.13266068749</v>
      </c>
      <c r="R433"/>
    </row>
    <row r="434" spans="1:18" ht="12.75" customHeight="1">
      <c r="A434" s="35"/>
      <c r="B434" s="35" t="s">
        <v>1911</v>
      </c>
      <c r="C434" s="67" t="s">
        <v>1910</v>
      </c>
      <c r="D434" s="42">
        <v>11</v>
      </c>
      <c r="E434" s="42">
        <v>23380</v>
      </c>
      <c r="F434" s="59">
        <v>8385325</v>
      </c>
      <c r="G434" s="25">
        <f t="shared" si="99"/>
        <v>8.1281882336105046E-2</v>
      </c>
      <c r="H434" s="27">
        <f t="shared" si="100"/>
        <v>681575</v>
      </c>
      <c r="I434" s="25">
        <f t="shared" si="101"/>
        <v>0.918718117663895</v>
      </c>
      <c r="J434" s="59">
        <v>7703750</v>
      </c>
      <c r="K434" s="27">
        <f t="shared" si="102"/>
        <v>8385325</v>
      </c>
      <c r="L434" s="28">
        <f t="shared" si="93"/>
        <v>8.1281882336105046E-2</v>
      </c>
      <c r="M434" s="27">
        <f t="shared" si="94"/>
        <v>0.918718117663895</v>
      </c>
      <c r="N434" s="33">
        <f t="shared" si="97"/>
        <v>0.18333333333333332</v>
      </c>
      <c r="O434" s="7">
        <f t="shared" si="98"/>
        <v>1195807</v>
      </c>
      <c r="P434" s="26">
        <f t="shared" si="95"/>
        <v>201411.75195704002</v>
      </c>
      <c r="Q434" s="29">
        <f t="shared" si="96"/>
        <v>17819.531376293307</v>
      </c>
      <c r="R434"/>
    </row>
    <row r="435" spans="1:18" ht="12.75" customHeight="1">
      <c r="A435" s="35"/>
      <c r="B435" s="35" t="s">
        <v>1913</v>
      </c>
      <c r="C435" s="67" t="s">
        <v>1912</v>
      </c>
      <c r="D435" s="42">
        <v>7</v>
      </c>
      <c r="E435" s="42">
        <v>12173</v>
      </c>
      <c r="F435" s="59">
        <v>33440131</v>
      </c>
      <c r="G435" s="25">
        <f t="shared" si="99"/>
        <v>0.17208171223970384</v>
      </c>
      <c r="H435" s="27">
        <f t="shared" si="100"/>
        <v>5754435</v>
      </c>
      <c r="I435" s="25">
        <f t="shared" si="101"/>
        <v>0.82791828776029619</v>
      </c>
      <c r="J435" s="59">
        <v>27685696</v>
      </c>
      <c r="K435" s="27">
        <f t="shared" si="102"/>
        <v>33440131</v>
      </c>
      <c r="L435" s="28">
        <f t="shared" si="93"/>
        <v>0.17208171223970384</v>
      </c>
      <c r="M435" s="27">
        <f t="shared" si="94"/>
        <v>0.82791828776029619</v>
      </c>
      <c r="N435" s="33">
        <f t="shared" si="97"/>
        <v>0.11666666666666667</v>
      </c>
      <c r="O435" s="7">
        <f t="shared" si="98"/>
        <v>1195807</v>
      </c>
      <c r="P435" s="26">
        <f t="shared" si="95"/>
        <v>115503.55645870727</v>
      </c>
      <c r="Q435" s="29">
        <f t="shared" si="96"/>
        <v>24007.260207959414</v>
      </c>
      <c r="R435"/>
    </row>
    <row r="436" spans="1:18" ht="12.75" customHeight="1">
      <c r="A436" s="35"/>
      <c r="B436" s="35" t="s">
        <v>1915</v>
      </c>
      <c r="C436" s="67" t="s">
        <v>1914</v>
      </c>
      <c r="D436" s="42">
        <v>3</v>
      </c>
      <c r="E436" s="42">
        <v>21194</v>
      </c>
      <c r="F436" s="59">
        <v>49291515</v>
      </c>
      <c r="G436" s="25">
        <f t="shared" si="99"/>
        <v>6.0393294870324028E-2</v>
      </c>
      <c r="H436" s="27">
        <f t="shared" si="100"/>
        <v>2976877</v>
      </c>
      <c r="I436" s="25">
        <f t="shared" si="101"/>
        <v>0.93960670512967592</v>
      </c>
      <c r="J436" s="59">
        <v>46314638</v>
      </c>
      <c r="K436" s="27">
        <f t="shared" si="102"/>
        <v>49291515</v>
      </c>
      <c r="L436" s="28">
        <f t="shared" si="93"/>
        <v>6.0393294870324028E-2</v>
      </c>
      <c r="M436" s="27">
        <f t="shared" si="94"/>
        <v>0.93960670512967592</v>
      </c>
      <c r="N436" s="33">
        <f t="shared" si="97"/>
        <v>0.05</v>
      </c>
      <c r="O436" s="7">
        <f t="shared" si="98"/>
        <v>1195807</v>
      </c>
      <c r="P436" s="26">
        <f t="shared" si="95"/>
        <v>56179.413762050128</v>
      </c>
      <c r="Q436" s="29">
        <f t="shared" si="96"/>
        <v>3610.9362379498784</v>
      </c>
      <c r="R436"/>
    </row>
    <row r="437" spans="1:18" ht="12.75" customHeight="1">
      <c r="A437" s="35"/>
      <c r="B437" s="35" t="s">
        <v>1917</v>
      </c>
      <c r="C437" s="67" t="s">
        <v>1916</v>
      </c>
      <c r="D437" s="42">
        <v>4</v>
      </c>
      <c r="E437" s="42">
        <v>42999</v>
      </c>
      <c r="F437" s="59">
        <v>6042171</v>
      </c>
      <c r="G437" s="25">
        <f t="shared" si="99"/>
        <v>9.2874895463898655E-2</v>
      </c>
      <c r="H437" s="27">
        <f t="shared" si="100"/>
        <v>561166</v>
      </c>
      <c r="I437" s="25">
        <f t="shared" si="101"/>
        <v>0.90712510453610129</v>
      </c>
      <c r="J437" s="59">
        <v>5481005</v>
      </c>
      <c r="K437" s="27">
        <f t="shared" si="102"/>
        <v>6042171</v>
      </c>
      <c r="L437" s="28">
        <f t="shared" si="93"/>
        <v>9.2874895463898655E-2</v>
      </c>
      <c r="M437" s="27">
        <f t="shared" si="94"/>
        <v>0.90712510453610129</v>
      </c>
      <c r="N437" s="33">
        <f t="shared" si="97"/>
        <v>6.6666666666666666E-2</v>
      </c>
      <c r="O437" s="7">
        <f t="shared" si="98"/>
        <v>1195807</v>
      </c>
      <c r="P437" s="26">
        <f t="shared" si="95"/>
        <v>72316.436658666775</v>
      </c>
      <c r="Q437" s="29">
        <f t="shared" si="96"/>
        <v>7404.0300079998833</v>
      </c>
      <c r="R437"/>
    </row>
    <row r="438" spans="1:18" ht="12.75" customHeight="1">
      <c r="A438" s="35"/>
      <c r="B438" s="35" t="s">
        <v>1919</v>
      </c>
      <c r="C438" s="67" t="s">
        <v>1918</v>
      </c>
      <c r="D438" s="42">
        <v>1</v>
      </c>
      <c r="E438" s="42">
        <v>11506</v>
      </c>
      <c r="F438" s="59">
        <v>12447555</v>
      </c>
      <c r="G438" s="25">
        <f t="shared" si="99"/>
        <v>0.151876975036463</v>
      </c>
      <c r="H438" s="27">
        <f t="shared" si="100"/>
        <v>1890497</v>
      </c>
      <c r="I438" s="25">
        <f t="shared" si="101"/>
        <v>0.84812302496353698</v>
      </c>
      <c r="J438" s="59">
        <v>10557058</v>
      </c>
      <c r="K438" s="27">
        <f t="shared" si="102"/>
        <v>12447555</v>
      </c>
      <c r="L438" s="28">
        <f t="shared" si="93"/>
        <v>0.151876975036463</v>
      </c>
      <c r="M438" s="27">
        <f t="shared" si="94"/>
        <v>0.84812302496353698</v>
      </c>
      <c r="N438" s="33">
        <f t="shared" si="97"/>
        <v>1.6666666666666666E-2</v>
      </c>
      <c r="O438" s="7">
        <f t="shared" si="98"/>
        <v>1195807</v>
      </c>
      <c r="P438" s="26">
        <f t="shared" si="95"/>
        <v>16903.190835209538</v>
      </c>
      <c r="Q438" s="29">
        <f t="shared" si="96"/>
        <v>3026.925831457128</v>
      </c>
      <c r="R438"/>
    </row>
    <row r="439" spans="1:18" ht="12.75" customHeight="1">
      <c r="A439" s="260" t="s">
        <v>1734</v>
      </c>
      <c r="B439" s="261"/>
      <c r="C439" s="262"/>
      <c r="D439" s="39">
        <f>SUM(D427:D438)</f>
        <v>60</v>
      </c>
      <c r="E439" s="39"/>
      <c r="F439" s="39"/>
      <c r="G439" s="17"/>
      <c r="H439" s="17"/>
      <c r="I439" s="17"/>
      <c r="J439" s="39"/>
      <c r="K439" s="17"/>
      <c r="L439" s="17"/>
      <c r="M439" s="17"/>
      <c r="N439" s="49"/>
      <c r="O439" s="19"/>
      <c r="P439" s="19">
        <f>SUM(P427:P438)</f>
        <v>1063536.685361173</v>
      </c>
      <c r="Q439" s="19">
        <f>SUM(Q427:Q438)</f>
        <v>132270.31463882714</v>
      </c>
      <c r="R439" s="14"/>
    </row>
    <row r="440" spans="1:18" ht="12.75" customHeight="1">
      <c r="A440" s="15" t="s">
        <v>1735</v>
      </c>
      <c r="B440" s="16"/>
      <c r="C440" s="64"/>
      <c r="D440" s="39"/>
      <c r="E440" s="39"/>
      <c r="F440" s="55"/>
      <c r="G440" s="17"/>
      <c r="H440" s="17"/>
      <c r="I440" s="17"/>
      <c r="J440" s="55"/>
      <c r="K440" s="17"/>
      <c r="L440" s="17"/>
      <c r="M440" s="17"/>
      <c r="N440" s="49"/>
      <c r="O440" s="19"/>
      <c r="P440" s="19"/>
      <c r="Q440" s="20"/>
      <c r="R440" s="14"/>
    </row>
    <row r="441" spans="1:18" ht="12.75" customHeight="1">
      <c r="A441" s="35"/>
      <c r="B441" s="35" t="s">
        <v>1921</v>
      </c>
      <c r="C441" s="67" t="s">
        <v>1920</v>
      </c>
      <c r="D441" s="42">
        <v>2</v>
      </c>
      <c r="E441" s="42">
        <v>11882</v>
      </c>
      <c r="F441" s="59">
        <v>271008926</v>
      </c>
      <c r="G441" s="25">
        <f t="shared" si="99"/>
        <v>0.49008075475713297</v>
      </c>
      <c r="H441" s="27">
        <f t="shared" si="100"/>
        <v>132816259</v>
      </c>
      <c r="I441" s="25">
        <f t="shared" si="101"/>
        <v>0.50991924524286703</v>
      </c>
      <c r="J441" s="59">
        <v>138192667</v>
      </c>
      <c r="K441" s="27">
        <f t="shared" si="102"/>
        <v>271008926</v>
      </c>
      <c r="L441" s="28">
        <f t="shared" si="93"/>
        <v>0.49008075475713297</v>
      </c>
      <c r="M441" s="27">
        <f t="shared" si="94"/>
        <v>0.50991924524286703</v>
      </c>
      <c r="N441" s="33">
        <f>D441/$D$457</f>
        <v>6.5359477124183009E-3</v>
      </c>
      <c r="O441" s="7">
        <f>'Charter Archive File'!Q18</f>
        <v>3796932</v>
      </c>
      <c r="P441" s="26">
        <f t="shared" si="95"/>
        <v>12654.435945611043</v>
      </c>
      <c r="Q441" s="29">
        <f t="shared" si="96"/>
        <v>12162.113073996799</v>
      </c>
      <c r="R441"/>
    </row>
    <row r="442" spans="1:18" ht="12.75" customHeight="1">
      <c r="A442" s="35"/>
      <c r="B442" s="35" t="s">
        <v>1923</v>
      </c>
      <c r="C442" s="67" t="s">
        <v>1922</v>
      </c>
      <c r="D442" s="42">
        <v>2</v>
      </c>
      <c r="E442" s="42">
        <v>11395</v>
      </c>
      <c r="F442" s="59">
        <v>51595587</v>
      </c>
      <c r="G442" s="25">
        <f t="shared" si="99"/>
        <v>0.40988551986044852</v>
      </c>
      <c r="H442" s="27">
        <f t="shared" ref="H442:H456" si="103">F442-J442</f>
        <v>21148284</v>
      </c>
      <c r="I442" s="25">
        <f t="shared" ref="I442:I456" si="104">J442/F442</f>
        <v>0.59011448013955148</v>
      </c>
      <c r="J442" s="59">
        <v>30447303</v>
      </c>
      <c r="K442" s="27">
        <f t="shared" si="102"/>
        <v>51595587</v>
      </c>
      <c r="L442" s="28">
        <f t="shared" si="93"/>
        <v>0.40988551986044852</v>
      </c>
      <c r="M442" s="27">
        <f t="shared" si="94"/>
        <v>0.59011448013955148</v>
      </c>
      <c r="N442" s="33">
        <f t="shared" ref="N442:N456" si="105">D442/$D$457</f>
        <v>6.5359477124183009E-3</v>
      </c>
      <c r="O442" s="7">
        <f>O441</f>
        <v>3796932</v>
      </c>
      <c r="P442" s="26">
        <f t="shared" si="95"/>
        <v>14644.604923563578</v>
      </c>
      <c r="Q442" s="29">
        <f t="shared" si="96"/>
        <v>10171.944096044264</v>
      </c>
      <c r="R442"/>
    </row>
    <row r="443" spans="1:18" ht="12.75" customHeight="1">
      <c r="A443" s="35"/>
      <c r="B443" s="35" t="s">
        <v>1925</v>
      </c>
      <c r="C443" s="67" t="s">
        <v>1924</v>
      </c>
      <c r="D443" s="42">
        <v>3</v>
      </c>
      <c r="E443" s="42">
        <v>10266</v>
      </c>
      <c r="F443" s="59">
        <v>175119611</v>
      </c>
      <c r="G443" s="25">
        <f t="shared" si="99"/>
        <v>0.51420390603768529</v>
      </c>
      <c r="H443" s="27">
        <f t="shared" si="103"/>
        <v>90047188</v>
      </c>
      <c r="I443" s="25">
        <f t="shared" si="104"/>
        <v>0.48579609396231471</v>
      </c>
      <c r="J443" s="59">
        <v>85072423</v>
      </c>
      <c r="K443" s="27">
        <f t="shared" si="102"/>
        <v>175119611</v>
      </c>
      <c r="L443" s="28">
        <f t="shared" si="93"/>
        <v>0.51420390603768529</v>
      </c>
      <c r="M443" s="27">
        <f t="shared" si="94"/>
        <v>0.48579609396231471</v>
      </c>
      <c r="N443" s="33">
        <f t="shared" si="105"/>
        <v>9.8039215686274508E-3</v>
      </c>
      <c r="O443" s="7">
        <f t="shared" ref="O443:O456" si="106">O442</f>
        <v>3796932</v>
      </c>
      <c r="P443" s="26">
        <f t="shared" si="95"/>
        <v>18083.6738690247</v>
      </c>
      <c r="Q443" s="29">
        <f t="shared" si="96"/>
        <v>19141.149660387062</v>
      </c>
      <c r="R443"/>
    </row>
    <row r="444" spans="1:18" ht="12.75" customHeight="1">
      <c r="A444" s="35"/>
      <c r="B444" s="35" t="s">
        <v>1927</v>
      </c>
      <c r="C444" s="67" t="s">
        <v>1926</v>
      </c>
      <c r="D444" s="42">
        <v>84</v>
      </c>
      <c r="E444" s="42">
        <v>12255</v>
      </c>
      <c r="F444" s="59">
        <v>183274108</v>
      </c>
      <c r="G444" s="25">
        <f t="shared" si="99"/>
        <v>0.52678472182224456</v>
      </c>
      <c r="H444" s="27">
        <f t="shared" si="103"/>
        <v>96546000</v>
      </c>
      <c r="I444" s="25">
        <f t="shared" si="104"/>
        <v>0.47321527817775549</v>
      </c>
      <c r="J444" s="59">
        <v>86728108</v>
      </c>
      <c r="K444" s="27">
        <f t="shared" si="102"/>
        <v>183274108</v>
      </c>
      <c r="L444" s="28">
        <f t="shared" si="93"/>
        <v>0.52678472182224456</v>
      </c>
      <c r="M444" s="27">
        <f t="shared" si="94"/>
        <v>0.47321527817775549</v>
      </c>
      <c r="N444" s="33">
        <f t="shared" si="105"/>
        <v>0.27450980392156865</v>
      </c>
      <c r="O444" s="7">
        <f t="shared" si="106"/>
        <v>3796932</v>
      </c>
      <c r="P444" s="26">
        <f t="shared" si="95"/>
        <v>493229.94620447652</v>
      </c>
      <c r="Q444" s="29">
        <f t="shared" si="96"/>
        <v>549065.11261905299</v>
      </c>
      <c r="R444"/>
    </row>
    <row r="445" spans="1:18" ht="12.75" customHeight="1">
      <c r="A445" s="35"/>
      <c r="B445" s="35" t="s">
        <v>1929</v>
      </c>
      <c r="C445" s="67" t="s">
        <v>1928</v>
      </c>
      <c r="D445" s="42">
        <v>12</v>
      </c>
      <c r="E445" s="42">
        <v>10873</v>
      </c>
      <c r="F445" s="59">
        <v>144425400</v>
      </c>
      <c r="G445" s="25">
        <f t="shared" si="99"/>
        <v>0.48982917132304982</v>
      </c>
      <c r="H445" s="27">
        <f t="shared" si="103"/>
        <v>70743774</v>
      </c>
      <c r="I445" s="25">
        <f t="shared" si="104"/>
        <v>0.51017082867695018</v>
      </c>
      <c r="J445" s="59">
        <v>73681626</v>
      </c>
      <c r="K445" s="27">
        <f t="shared" si="102"/>
        <v>144425400</v>
      </c>
      <c r="L445" s="28">
        <f t="shared" si="93"/>
        <v>0.48982917132304982</v>
      </c>
      <c r="M445" s="27">
        <f t="shared" si="94"/>
        <v>0.51017082867695018</v>
      </c>
      <c r="N445" s="33">
        <f t="shared" si="105"/>
        <v>3.9215686274509803E-2</v>
      </c>
      <c r="O445" s="7">
        <f t="shared" si="106"/>
        <v>3796932</v>
      </c>
      <c r="P445" s="26">
        <f t="shared" si="95"/>
        <v>75964.076269412923</v>
      </c>
      <c r="Q445" s="29">
        <f t="shared" si="96"/>
        <v>72935.217848234126</v>
      </c>
      <c r="R445"/>
    </row>
    <row r="446" spans="1:18" ht="12.75" customHeight="1">
      <c r="A446" s="35"/>
      <c r="B446" s="35" t="s">
        <v>1899</v>
      </c>
      <c r="C446" s="67" t="s">
        <v>1898</v>
      </c>
      <c r="D446" s="42">
        <v>44</v>
      </c>
      <c r="E446" s="42">
        <v>10059</v>
      </c>
      <c r="F446" s="59">
        <v>176402139</v>
      </c>
      <c r="G446" s="25">
        <f t="shared" si="99"/>
        <v>0.66137090888676808</v>
      </c>
      <c r="H446" s="27">
        <f t="shared" si="103"/>
        <v>116667243</v>
      </c>
      <c r="I446" s="25">
        <f t="shared" si="104"/>
        <v>0.33862909111323192</v>
      </c>
      <c r="J446" s="59">
        <v>59734896</v>
      </c>
      <c r="K446" s="27">
        <f t="shared" si="102"/>
        <v>176402139</v>
      </c>
      <c r="L446" s="28">
        <f t="shared" si="93"/>
        <v>0.66137090888676808</v>
      </c>
      <c r="M446" s="27">
        <f t="shared" si="94"/>
        <v>0.33862909111323192</v>
      </c>
      <c r="N446" s="33">
        <f t="shared" si="105"/>
        <v>0.1437908496732026</v>
      </c>
      <c r="O446" s="7">
        <f t="shared" si="106"/>
        <v>3796932</v>
      </c>
      <c r="P446" s="26">
        <f t="shared" si="95"/>
        <v>184879.31965968895</v>
      </c>
      <c r="Q446" s="29">
        <f t="shared" si="96"/>
        <v>361084.75877168361</v>
      </c>
      <c r="R446"/>
    </row>
    <row r="447" spans="1:18" ht="12.75" customHeight="1">
      <c r="A447" s="35"/>
      <c r="B447" s="35" t="s">
        <v>1931</v>
      </c>
      <c r="C447" s="67" t="s">
        <v>1930</v>
      </c>
      <c r="D447" s="42">
        <v>1</v>
      </c>
      <c r="E447" s="42">
        <v>12405</v>
      </c>
      <c r="F447" s="59">
        <v>30149792</v>
      </c>
      <c r="G447" s="25">
        <f t="shared" si="99"/>
        <v>0.39078601271942442</v>
      </c>
      <c r="H447" s="27">
        <f t="shared" si="103"/>
        <v>11782117</v>
      </c>
      <c r="I447" s="25">
        <f t="shared" si="104"/>
        <v>0.60921398728057563</v>
      </c>
      <c r="J447" s="59">
        <v>18367675</v>
      </c>
      <c r="K447" s="27">
        <f t="shared" si="102"/>
        <v>30149792</v>
      </c>
      <c r="L447" s="28">
        <f t="shared" si="93"/>
        <v>0.39078601271942442</v>
      </c>
      <c r="M447" s="27">
        <f t="shared" si="94"/>
        <v>0.60921398728057563</v>
      </c>
      <c r="N447" s="33">
        <f t="shared" si="105"/>
        <v>3.2679738562091504E-3</v>
      </c>
      <c r="O447" s="7">
        <f t="shared" si="106"/>
        <v>3796932</v>
      </c>
      <c r="P447" s="26">
        <f t="shared" si="95"/>
        <v>7559.2943893895772</v>
      </c>
      <c r="Q447" s="29">
        <f t="shared" si="96"/>
        <v>4848.980120414345</v>
      </c>
      <c r="R447"/>
    </row>
    <row r="448" spans="1:18" ht="12.75" customHeight="1">
      <c r="A448" s="35"/>
      <c r="B448" s="35" t="s">
        <v>1933</v>
      </c>
      <c r="C448" s="67" t="s">
        <v>1932</v>
      </c>
      <c r="D448" s="42">
        <v>4</v>
      </c>
      <c r="E448" s="42">
        <v>13302</v>
      </c>
      <c r="F448" s="59">
        <v>24371787</v>
      </c>
      <c r="G448" s="25">
        <f t="shared" si="99"/>
        <v>0.33469265097384937</v>
      </c>
      <c r="H448" s="27">
        <f t="shared" si="103"/>
        <v>8157058</v>
      </c>
      <c r="I448" s="25">
        <f t="shared" si="104"/>
        <v>0.66530734902615063</v>
      </c>
      <c r="J448" s="59">
        <v>16214729</v>
      </c>
      <c r="K448" s="27">
        <f t="shared" si="102"/>
        <v>24371787</v>
      </c>
      <c r="L448" s="28">
        <f t="shared" si="93"/>
        <v>0.33469265097384937</v>
      </c>
      <c r="M448" s="27">
        <f t="shared" si="94"/>
        <v>0.66530734902615063</v>
      </c>
      <c r="N448" s="33">
        <f t="shared" si="105"/>
        <v>1.3071895424836602E-2</v>
      </c>
      <c r="O448" s="7">
        <f t="shared" si="106"/>
        <v>3796932</v>
      </c>
      <c r="P448" s="26">
        <f t="shared" si="95"/>
        <v>33021.264880425624</v>
      </c>
      <c r="Q448" s="29">
        <f t="shared" si="96"/>
        <v>16611.833158790061</v>
      </c>
      <c r="R448"/>
    </row>
    <row r="449" spans="1:19" ht="12.75" customHeight="1">
      <c r="A449" s="35"/>
      <c r="B449" s="35" t="s">
        <v>1935</v>
      </c>
      <c r="C449" s="67" t="s">
        <v>1934</v>
      </c>
      <c r="D449" s="42">
        <v>24</v>
      </c>
      <c r="E449" s="42">
        <v>13247</v>
      </c>
      <c r="F449" s="59">
        <v>90889595</v>
      </c>
      <c r="G449" s="25">
        <f t="shared" si="99"/>
        <v>0.51560497106406955</v>
      </c>
      <c r="H449" s="27">
        <f t="shared" si="103"/>
        <v>46863127</v>
      </c>
      <c r="I449" s="25">
        <f t="shared" si="104"/>
        <v>0.48439502893593045</v>
      </c>
      <c r="J449" s="59">
        <v>44026468</v>
      </c>
      <c r="K449" s="27">
        <f t="shared" si="102"/>
        <v>90889595</v>
      </c>
      <c r="L449" s="28">
        <f t="shared" si="93"/>
        <v>0.51560497106406955</v>
      </c>
      <c r="M449" s="27">
        <f t="shared" si="94"/>
        <v>0.48439502893593045</v>
      </c>
      <c r="N449" s="33">
        <f t="shared" si="105"/>
        <v>7.8431372549019607E-2</v>
      </c>
      <c r="O449" s="7">
        <f t="shared" si="106"/>
        <v>3796932</v>
      </c>
      <c r="P449" s="26">
        <f t="shared" si="95"/>
        <v>144252.15576531453</v>
      </c>
      <c r="Q449" s="29">
        <f t="shared" si="96"/>
        <v>153546.43246997957</v>
      </c>
      <c r="R449"/>
    </row>
    <row r="450" spans="1:19" ht="12.75" customHeight="1">
      <c r="A450" s="35"/>
      <c r="B450" s="35" t="s">
        <v>1937</v>
      </c>
      <c r="C450" s="67" t="s">
        <v>1936</v>
      </c>
      <c r="D450" s="42">
        <v>1</v>
      </c>
      <c r="E450" s="42">
        <v>12863</v>
      </c>
      <c r="F450" s="59">
        <v>118683955</v>
      </c>
      <c r="G450" s="25">
        <f t="shared" si="99"/>
        <v>0.30189736262159445</v>
      </c>
      <c r="H450" s="27">
        <f t="shared" si="103"/>
        <v>35830373</v>
      </c>
      <c r="I450" s="25">
        <f t="shared" si="104"/>
        <v>0.6981026373784055</v>
      </c>
      <c r="J450" s="59">
        <v>82853582</v>
      </c>
      <c r="K450" s="27">
        <f t="shared" si="102"/>
        <v>118683955</v>
      </c>
      <c r="L450" s="28">
        <f t="shared" si="93"/>
        <v>0.30189736262159445</v>
      </c>
      <c r="M450" s="27">
        <f t="shared" si="94"/>
        <v>0.6981026373784055</v>
      </c>
      <c r="N450" s="33">
        <f t="shared" si="105"/>
        <v>3.2679738562091504E-3</v>
      </c>
      <c r="O450" s="7">
        <f t="shared" si="106"/>
        <v>3796932</v>
      </c>
      <c r="P450" s="26">
        <f t="shared" si="95"/>
        <v>8662.249160609359</v>
      </c>
      <c r="Q450" s="29">
        <f t="shared" si="96"/>
        <v>3746.0253491945614</v>
      </c>
      <c r="R450"/>
    </row>
    <row r="451" spans="1:19" ht="12.75" customHeight="1">
      <c r="A451" s="35"/>
      <c r="B451" s="35" t="s">
        <v>1939</v>
      </c>
      <c r="C451" s="67" t="s">
        <v>1938</v>
      </c>
      <c r="D451" s="42">
        <v>1</v>
      </c>
      <c r="E451" s="42">
        <v>12827</v>
      </c>
      <c r="F451" s="59">
        <v>45114408</v>
      </c>
      <c r="G451" s="25">
        <f t="shared" si="99"/>
        <v>0.23075687926571042</v>
      </c>
      <c r="H451" s="27">
        <f t="shared" si="103"/>
        <v>10410460</v>
      </c>
      <c r="I451" s="25">
        <f t="shared" si="104"/>
        <v>0.76924312073428958</v>
      </c>
      <c r="J451" s="59">
        <v>34703948</v>
      </c>
      <c r="K451" s="27">
        <f t="shared" si="102"/>
        <v>45114408</v>
      </c>
      <c r="L451" s="28">
        <f t="shared" si="93"/>
        <v>0.23075687926571042</v>
      </c>
      <c r="M451" s="27">
        <f t="shared" si="94"/>
        <v>0.76924312073428958</v>
      </c>
      <c r="N451" s="33">
        <f t="shared" si="105"/>
        <v>3.2679738562091504E-3</v>
      </c>
      <c r="O451" s="7">
        <f t="shared" si="106"/>
        <v>3796932</v>
      </c>
      <c r="P451" s="26">
        <f t="shared" si="95"/>
        <v>9544.9798068493055</v>
      </c>
      <c r="Q451" s="29">
        <f t="shared" si="96"/>
        <v>2863.2947029546158</v>
      </c>
      <c r="R451"/>
    </row>
    <row r="452" spans="1:19" ht="12.75" customHeight="1">
      <c r="A452" s="35"/>
      <c r="B452" s="35" t="s">
        <v>1941</v>
      </c>
      <c r="C452" s="67" t="s">
        <v>1940</v>
      </c>
      <c r="D452" s="42">
        <v>116</v>
      </c>
      <c r="E452" s="42">
        <v>12327</v>
      </c>
      <c r="F452" s="59">
        <v>95007598</v>
      </c>
      <c r="G452" s="25">
        <f t="shared" si="99"/>
        <v>0.28707870290542448</v>
      </c>
      <c r="H452" s="27">
        <f t="shared" si="103"/>
        <v>27274658</v>
      </c>
      <c r="I452" s="25">
        <f t="shared" si="104"/>
        <v>0.71292129709457552</v>
      </c>
      <c r="J452" s="59">
        <v>67732940</v>
      </c>
      <c r="K452" s="27">
        <f t="shared" si="102"/>
        <v>95007598</v>
      </c>
      <c r="L452" s="28">
        <f t="shared" si="93"/>
        <v>0.28707870290542448</v>
      </c>
      <c r="M452" s="27">
        <f t="shared" si="94"/>
        <v>0.71292129709457552</v>
      </c>
      <c r="N452" s="33">
        <f t="shared" si="105"/>
        <v>0.37908496732026142</v>
      </c>
      <c r="O452" s="7">
        <f t="shared" si="106"/>
        <v>3796932</v>
      </c>
      <c r="P452" s="26">
        <f t="shared" si="95"/>
        <v>1026150.2863552566</v>
      </c>
      <c r="Q452" s="29">
        <f t="shared" si="96"/>
        <v>413209.55678199837</v>
      </c>
      <c r="R452"/>
    </row>
    <row r="453" spans="1:19" ht="12.75" customHeight="1">
      <c r="A453" s="35"/>
      <c r="B453" s="35" t="s">
        <v>1943</v>
      </c>
      <c r="C453" s="67" t="s">
        <v>1942</v>
      </c>
      <c r="D453" s="42">
        <v>5</v>
      </c>
      <c r="E453" s="42">
        <v>15401</v>
      </c>
      <c r="F453" s="59">
        <v>40842621</v>
      </c>
      <c r="G453" s="25">
        <f t="shared" si="99"/>
        <v>6.1766604058050047E-2</v>
      </c>
      <c r="H453" s="27">
        <f t="shared" si="103"/>
        <v>2522710</v>
      </c>
      <c r="I453" s="25">
        <f t="shared" si="104"/>
        <v>0.93823339594194999</v>
      </c>
      <c r="J453" s="59">
        <v>38319911</v>
      </c>
      <c r="K453" s="27">
        <f t="shared" si="102"/>
        <v>40842621</v>
      </c>
      <c r="L453" s="28">
        <f t="shared" si="93"/>
        <v>6.1766604058050047E-2</v>
      </c>
      <c r="M453" s="27">
        <f t="shared" si="94"/>
        <v>0.93823339594194999</v>
      </c>
      <c r="N453" s="33">
        <f t="shared" si="105"/>
        <v>1.6339869281045753E-2</v>
      </c>
      <c r="O453" s="7">
        <f t="shared" si="106"/>
        <v>3796932</v>
      </c>
      <c r="P453" s="26">
        <f t="shared" si="95"/>
        <v>58209.287655566339</v>
      </c>
      <c r="Q453" s="29">
        <f t="shared" si="96"/>
        <v>3832.0848934532692</v>
      </c>
      <c r="R453"/>
    </row>
    <row r="454" spans="1:19" ht="12.75" customHeight="1">
      <c r="A454" s="35"/>
      <c r="B454" s="35" t="s">
        <v>1913</v>
      </c>
      <c r="C454" s="67" t="s">
        <v>1912</v>
      </c>
      <c r="D454" s="42">
        <v>3</v>
      </c>
      <c r="E454" s="42">
        <v>12173</v>
      </c>
      <c r="F454" s="59">
        <v>33440131</v>
      </c>
      <c r="G454" s="25">
        <f>H454/F454</f>
        <v>0.17208171223970384</v>
      </c>
      <c r="H454" s="27">
        <f t="shared" si="103"/>
        <v>5754435</v>
      </c>
      <c r="I454" s="25">
        <f t="shared" si="104"/>
        <v>0.82791828776029619</v>
      </c>
      <c r="J454" s="59">
        <v>27685696</v>
      </c>
      <c r="K454" s="27">
        <f>SUM(H454+J454)</f>
        <v>33440131</v>
      </c>
      <c r="L454" s="28">
        <f t="shared" si="93"/>
        <v>0.17208171223970384</v>
      </c>
      <c r="M454" s="27">
        <f t="shared" si="94"/>
        <v>0.82791828776029619</v>
      </c>
      <c r="N454" s="33">
        <f t="shared" si="105"/>
        <v>9.8039215686274508E-3</v>
      </c>
      <c r="O454" s="7">
        <f t="shared" si="106"/>
        <v>3796932</v>
      </c>
      <c r="P454" s="26">
        <f t="shared" si="95"/>
        <v>30819.112158649772</v>
      </c>
      <c r="Q454" s="29">
        <f t="shared" si="96"/>
        <v>6405.711370761991</v>
      </c>
      <c r="R454"/>
    </row>
    <row r="455" spans="1:19" ht="12.75" customHeight="1">
      <c r="A455" s="35"/>
      <c r="B455" s="35" t="s">
        <v>1945</v>
      </c>
      <c r="C455" s="67" t="s">
        <v>1944</v>
      </c>
      <c r="D455" s="42">
        <v>3</v>
      </c>
      <c r="E455" s="42">
        <v>11344</v>
      </c>
      <c r="F455" s="59">
        <v>66648916</v>
      </c>
      <c r="G455" s="25">
        <f>H455/F455</f>
        <v>0.4708287978757224</v>
      </c>
      <c r="H455" s="27">
        <f t="shared" si="103"/>
        <v>31380229</v>
      </c>
      <c r="I455" s="25">
        <f t="shared" si="104"/>
        <v>0.5291712021242776</v>
      </c>
      <c r="J455" s="59">
        <v>35268687</v>
      </c>
      <c r="K455" s="27">
        <f>SUM(H455+J455)</f>
        <v>66648916</v>
      </c>
      <c r="L455" s="28">
        <f t="shared" si="93"/>
        <v>0.4708287978757224</v>
      </c>
      <c r="M455" s="27">
        <f t="shared" si="94"/>
        <v>0.5291712021242776</v>
      </c>
      <c r="N455" s="33">
        <f t="shared" si="105"/>
        <v>9.8039215686274508E-3</v>
      </c>
      <c r="O455" s="7">
        <f t="shared" si="106"/>
        <v>3796932</v>
      </c>
      <c r="P455" s="26">
        <f t="shared" si="95"/>
        <v>19698.304615922916</v>
      </c>
      <c r="Q455" s="29">
        <f t="shared" si="96"/>
        <v>17526.518913488846</v>
      </c>
      <c r="R455"/>
    </row>
    <row r="456" spans="1:19" ht="12.75" customHeight="1">
      <c r="A456" s="35"/>
      <c r="B456" s="35" t="s">
        <v>1947</v>
      </c>
      <c r="C456" s="67" t="s">
        <v>1946</v>
      </c>
      <c r="D456" s="42">
        <v>1</v>
      </c>
      <c r="E456" s="42">
        <v>15245</v>
      </c>
      <c r="F456" s="59">
        <v>17811565</v>
      </c>
      <c r="G456" s="25">
        <f>H456/F456</f>
        <v>0.11982669686801806</v>
      </c>
      <c r="H456" s="27">
        <f t="shared" si="103"/>
        <v>2134301</v>
      </c>
      <c r="I456" s="25">
        <f t="shared" si="104"/>
        <v>0.88017330313198194</v>
      </c>
      <c r="J456" s="59">
        <v>15677264</v>
      </c>
      <c r="K456" s="27">
        <f>SUM(H456+J456)</f>
        <v>17811565</v>
      </c>
      <c r="L456" s="28">
        <f t="shared" si="93"/>
        <v>0.11982669686801806</v>
      </c>
      <c r="M456" s="27">
        <f t="shared" si="94"/>
        <v>0.88017330313198194</v>
      </c>
      <c r="N456" s="33">
        <f t="shared" si="105"/>
        <v>3.2679738562091504E-3</v>
      </c>
      <c r="O456" s="7">
        <f t="shared" si="106"/>
        <v>3796932</v>
      </c>
      <c r="P456" s="26">
        <f t="shared" si="95"/>
        <v>10921.431961462491</v>
      </c>
      <c r="Q456" s="29">
        <f t="shared" si="96"/>
        <v>1486.8425483414298</v>
      </c>
      <c r="R456"/>
    </row>
    <row r="457" spans="1:19" ht="12.75" customHeight="1">
      <c r="A457" s="260" t="s">
        <v>511</v>
      </c>
      <c r="B457" s="261"/>
      <c r="C457" s="262"/>
      <c r="D457" s="39">
        <f>SUM(D441:D456)</f>
        <v>306</v>
      </c>
      <c r="E457" s="39"/>
      <c r="F457" s="39"/>
      <c r="G457" s="17"/>
      <c r="H457" s="17"/>
      <c r="I457" s="17"/>
      <c r="J457" s="39"/>
      <c r="K457" s="17"/>
      <c r="L457" s="17"/>
      <c r="M457" s="17"/>
      <c r="N457" s="49"/>
      <c r="O457" s="19"/>
      <c r="P457" s="19">
        <f>SUM(P441:P456)</f>
        <v>2148294.4236212238</v>
      </c>
      <c r="Q457" s="19">
        <f>SUM(Q441:Q456)</f>
        <v>1648637.5763787758</v>
      </c>
      <c r="R457" s="14"/>
    </row>
    <row r="458" spans="1:19" ht="12.75" customHeight="1">
      <c r="A458" s="15" t="s">
        <v>1948</v>
      </c>
      <c r="B458" s="16"/>
      <c r="C458" s="64"/>
      <c r="D458" s="39"/>
      <c r="E458" s="39"/>
      <c r="F458" s="55"/>
      <c r="G458" s="17"/>
      <c r="H458" s="17"/>
      <c r="I458" s="17"/>
      <c r="J458" s="55"/>
      <c r="K458" s="17"/>
      <c r="L458" s="17"/>
      <c r="M458" s="17"/>
      <c r="N458" s="49"/>
      <c r="O458" s="19"/>
      <c r="P458" s="19"/>
      <c r="Q458" s="20"/>
      <c r="R458" s="14"/>
    </row>
    <row r="459" spans="1:19" ht="12.75" customHeight="1">
      <c r="A459" s="35"/>
      <c r="B459" s="35" t="s">
        <v>1764</v>
      </c>
      <c r="C459" s="67" t="s">
        <v>1977</v>
      </c>
      <c r="D459" s="42">
        <v>12</v>
      </c>
      <c r="E459" s="42">
        <v>10196</v>
      </c>
      <c r="F459" s="37">
        <v>18195451330</v>
      </c>
      <c r="G459" s="25">
        <f>H459/F459</f>
        <v>0.53085301347125202</v>
      </c>
      <c r="H459" s="27">
        <f>F459-J459</f>
        <v>9659110170</v>
      </c>
      <c r="I459" s="25">
        <f>J459/F459</f>
        <v>0.46914698652874803</v>
      </c>
      <c r="J459" s="37">
        <v>8536341160</v>
      </c>
      <c r="K459" s="27">
        <f>SUM(H459+J459)</f>
        <v>18195451330</v>
      </c>
      <c r="L459" s="28">
        <f t="shared" si="93"/>
        <v>0.53085301347125202</v>
      </c>
      <c r="M459" s="27">
        <f t="shared" si="94"/>
        <v>0.46914698652874803</v>
      </c>
      <c r="N459" s="33">
        <f>D459/$D$461</f>
        <v>4.2253521126760563E-2</v>
      </c>
      <c r="O459" s="7">
        <f>'Charter Archive File'!Q36</f>
        <v>2655696</v>
      </c>
      <c r="P459" s="26">
        <f t="shared" si="95"/>
        <v>52644.159529709155</v>
      </c>
      <c r="Q459" s="29">
        <f t="shared" si="96"/>
        <v>59568.347512544373</v>
      </c>
      <c r="R459"/>
    </row>
    <row r="460" spans="1:19" ht="12.75" customHeight="1">
      <c r="A460" s="35"/>
      <c r="B460" s="35" t="s">
        <v>1950</v>
      </c>
      <c r="C460" s="67" t="s">
        <v>1949</v>
      </c>
      <c r="D460" s="42">
        <v>272</v>
      </c>
      <c r="E460" s="42">
        <v>10836</v>
      </c>
      <c r="F460" s="59">
        <v>448964583</v>
      </c>
      <c r="G460" s="25">
        <f>H460/F460</f>
        <v>0.5914161384974993</v>
      </c>
      <c r="H460" s="27">
        <f>F460-J460</f>
        <v>265524900</v>
      </c>
      <c r="I460" s="25">
        <f>J460/F460</f>
        <v>0.40858386150250076</v>
      </c>
      <c r="J460" s="59">
        <v>183439683</v>
      </c>
      <c r="K460" s="27">
        <f>SUM(H460+J460)</f>
        <v>448964583</v>
      </c>
      <c r="L460" s="28">
        <f t="shared" si="93"/>
        <v>0.5914161384974993</v>
      </c>
      <c r="M460" s="27">
        <f t="shared" si="94"/>
        <v>0.40858386150250076</v>
      </c>
      <c r="N460" s="33">
        <f>D460/$D$461</f>
        <v>0.95774647887323938</v>
      </c>
      <c r="O460" s="7">
        <f>O459</f>
        <v>2655696</v>
      </c>
      <c r="P460" s="26">
        <f t="shared" si="95"/>
        <v>1039226.3072205445</v>
      </c>
      <c r="Q460" s="29">
        <f t="shared" si="96"/>
        <v>1504257.1857372017</v>
      </c>
      <c r="R460"/>
    </row>
    <row r="461" spans="1:19">
      <c r="A461" s="260" t="s">
        <v>1736</v>
      </c>
      <c r="B461" s="261"/>
      <c r="C461" s="262"/>
      <c r="D461" s="39">
        <f>SUM(D459:D460)</f>
        <v>284</v>
      </c>
      <c r="E461" s="39"/>
      <c r="F461" s="39"/>
      <c r="G461" s="17"/>
      <c r="H461" s="17"/>
      <c r="I461" s="17"/>
      <c r="J461" s="39"/>
      <c r="K461" s="17"/>
      <c r="L461" s="17"/>
      <c r="M461" s="17"/>
      <c r="N461" s="49"/>
      <c r="O461" s="19"/>
      <c r="P461" s="19">
        <f>SUM(P459:P460)</f>
        <v>1091870.4667502537</v>
      </c>
      <c r="Q461" s="19">
        <f>SUM(Q459:Q460)</f>
        <v>1563825.5332497461</v>
      </c>
      <c r="R461" s="14"/>
    </row>
    <row r="462" spans="1:19" ht="12.75" customHeight="1">
      <c r="A462" s="15" t="s">
        <v>1745</v>
      </c>
      <c r="B462" s="16"/>
      <c r="C462" s="64"/>
      <c r="D462" s="39"/>
      <c r="E462" s="39"/>
      <c r="F462" s="55"/>
      <c r="G462" s="17"/>
      <c r="H462" s="17"/>
      <c r="I462" s="17"/>
      <c r="J462" s="55"/>
      <c r="K462" s="17"/>
      <c r="L462" s="17"/>
      <c r="M462" s="17"/>
      <c r="N462" s="49"/>
      <c r="O462" s="19"/>
      <c r="P462" s="19"/>
      <c r="Q462" s="20"/>
      <c r="R462" s="14"/>
    </row>
    <row r="463" spans="1:19" ht="12.75" customHeight="1">
      <c r="B463" s="35" t="s">
        <v>1764</v>
      </c>
      <c r="C463" s="67" t="s">
        <v>1977</v>
      </c>
      <c r="D463" s="42">
        <v>382</v>
      </c>
      <c r="E463" s="42">
        <v>10196</v>
      </c>
      <c r="F463" s="37">
        <v>18195451330</v>
      </c>
      <c r="G463" s="25">
        <f>H463/F463</f>
        <v>0.53085301347125202</v>
      </c>
      <c r="H463" s="27">
        <f>F463-J463</f>
        <v>9659110170</v>
      </c>
      <c r="I463" s="25">
        <f>J463/F463</f>
        <v>0.46914698652874803</v>
      </c>
      <c r="J463" s="37">
        <v>8536341160</v>
      </c>
      <c r="K463" s="27">
        <f>SUM(H463+J463)</f>
        <v>18195451330</v>
      </c>
      <c r="L463" s="28">
        <f>H463/K463</f>
        <v>0.53085301347125202</v>
      </c>
      <c r="M463" s="27">
        <f>J463/K463</f>
        <v>0.46914698652874803</v>
      </c>
      <c r="N463" s="33">
        <f>D463/D464</f>
        <v>1</v>
      </c>
      <c r="O463" s="7">
        <f>'Charter Archive File'!Q52</f>
        <v>3843715</v>
      </c>
      <c r="P463" s="26">
        <f>O463*N463*M463</f>
        <v>1803267.3093253467</v>
      </c>
      <c r="Q463" s="29">
        <f>O463*N463*L463</f>
        <v>2040447.6906746535</v>
      </c>
      <c r="S463" t="s">
        <v>1746</v>
      </c>
    </row>
    <row r="464" spans="1:19">
      <c r="A464" s="260" t="s">
        <v>512</v>
      </c>
      <c r="B464" s="261"/>
      <c r="C464" s="262"/>
      <c r="D464" s="39">
        <f>D463</f>
        <v>382</v>
      </c>
      <c r="E464" s="39"/>
      <c r="F464" s="39"/>
      <c r="G464" s="17"/>
      <c r="H464" s="17"/>
      <c r="I464" s="17"/>
      <c r="J464" s="39"/>
      <c r="K464" s="17"/>
      <c r="L464" s="17"/>
      <c r="M464" s="17"/>
      <c r="N464" s="49"/>
      <c r="O464" s="19"/>
      <c r="P464" s="19">
        <f>P463</f>
        <v>1803267.3093253467</v>
      </c>
      <c r="Q464" s="19">
        <f>Q463</f>
        <v>2040447.6906746535</v>
      </c>
    </row>
    <row r="465" spans="1:19" ht="12.75" customHeight="1">
      <c r="A465" s="15" t="s">
        <v>1747</v>
      </c>
      <c r="B465" s="16"/>
      <c r="C465" s="64"/>
      <c r="D465" s="39"/>
      <c r="E465" s="39"/>
      <c r="F465" s="55"/>
      <c r="G465" s="17"/>
      <c r="H465" s="17"/>
      <c r="I465" s="17"/>
      <c r="J465" s="55"/>
      <c r="K465" s="17"/>
      <c r="L465" s="17"/>
      <c r="M465" s="17"/>
      <c r="N465" s="49"/>
      <c r="O465" s="19"/>
      <c r="P465" s="19"/>
      <c r="Q465" s="20"/>
      <c r="R465" s="14"/>
    </row>
    <row r="466" spans="1:19" ht="12.75" customHeight="1">
      <c r="B466" s="35" t="s">
        <v>1764</v>
      </c>
      <c r="C466" s="67" t="s">
        <v>1977</v>
      </c>
      <c r="D466" s="42">
        <v>465</v>
      </c>
      <c r="E466" s="42">
        <v>10196</v>
      </c>
      <c r="F466" s="37">
        <v>18195451330</v>
      </c>
      <c r="G466" s="25">
        <f>H466/F466</f>
        <v>0.53085301347125202</v>
      </c>
      <c r="H466" s="27">
        <f>F466-J466</f>
        <v>9659110170</v>
      </c>
      <c r="I466" s="25">
        <f>J466/F466</f>
        <v>0.46914698652874803</v>
      </c>
      <c r="J466" s="37">
        <v>8536341160</v>
      </c>
      <c r="K466" s="27">
        <f>SUM(H466+J466)</f>
        <v>18195451330</v>
      </c>
      <c r="L466" s="28">
        <f>H466/K466</f>
        <v>0.53085301347125202</v>
      </c>
      <c r="M466" s="27">
        <f>J466/K466</f>
        <v>0.46914698652874803</v>
      </c>
      <c r="N466" s="33">
        <f>D466/D467</f>
        <v>1</v>
      </c>
      <c r="O466" s="7">
        <f>'Charter Archive File'!Q74</f>
        <v>4763457</v>
      </c>
      <c r="P466" s="26">
        <f>O466*N466*M466</f>
        <v>2234761.4970092704</v>
      </c>
      <c r="Q466" s="29">
        <f>O466*N466*L466</f>
        <v>2528695.5029907296</v>
      </c>
      <c r="S466" t="s">
        <v>1749</v>
      </c>
    </row>
    <row r="467" spans="1:19">
      <c r="A467" s="260" t="s">
        <v>1748</v>
      </c>
      <c r="B467" s="261"/>
      <c r="C467" s="262"/>
      <c r="D467" s="39">
        <f>D466</f>
        <v>465</v>
      </c>
      <c r="E467" s="39"/>
      <c r="F467" s="39"/>
      <c r="G467" s="17"/>
      <c r="H467" s="17"/>
      <c r="I467" s="17"/>
      <c r="J467" s="39"/>
      <c r="K467" s="17"/>
      <c r="L467" s="17"/>
      <c r="M467" s="17"/>
      <c r="N467" s="49"/>
      <c r="O467" s="19"/>
      <c r="P467" s="19">
        <f>P466</f>
        <v>2234761.4970092704</v>
      </c>
      <c r="Q467" s="19">
        <f>Q466</f>
        <v>2528695.5029907296</v>
      </c>
    </row>
    <row r="468" spans="1:19" ht="12.75" customHeight="1">
      <c r="A468" s="15" t="s">
        <v>1750</v>
      </c>
      <c r="B468" s="16"/>
      <c r="C468" s="64"/>
      <c r="D468" s="39"/>
      <c r="E468" s="39"/>
      <c r="F468" s="55"/>
      <c r="G468" s="17"/>
      <c r="H468" s="17"/>
      <c r="I468" s="17"/>
      <c r="J468" s="55"/>
      <c r="K468" s="17"/>
      <c r="L468" s="17"/>
      <c r="M468" s="17"/>
      <c r="N468" s="49"/>
      <c r="O468" s="19"/>
      <c r="P468" s="19"/>
      <c r="Q468" s="20"/>
      <c r="R468" s="14"/>
    </row>
    <row r="469" spans="1:19" ht="12.75" customHeight="1">
      <c r="B469" s="35" t="s">
        <v>1764</v>
      </c>
      <c r="C469" s="67" t="s">
        <v>1977</v>
      </c>
      <c r="D469" s="42">
        <v>525</v>
      </c>
      <c r="E469" s="42">
        <v>10196</v>
      </c>
      <c r="F469" s="37">
        <v>18195451330</v>
      </c>
      <c r="G469" s="25">
        <f>H469/F469</f>
        <v>0.53085301347125202</v>
      </c>
      <c r="H469" s="27">
        <f>F469-J469</f>
        <v>9659110170</v>
      </c>
      <c r="I469" s="25">
        <f>J469/F469</f>
        <v>0.46914698652874803</v>
      </c>
      <c r="J469" s="37">
        <v>8536341160</v>
      </c>
      <c r="K469" s="27">
        <f>SUM(H469+J469)</f>
        <v>18195451330</v>
      </c>
      <c r="L469" s="28">
        <f>H469/K469</f>
        <v>0.53085301347125202</v>
      </c>
      <c r="M469" s="27">
        <f>J469/K469</f>
        <v>0.46914698652874803</v>
      </c>
      <c r="N469" s="33">
        <f>D469/D470</f>
        <v>1</v>
      </c>
      <c r="O469" s="7">
        <f>'Charter Archive File'!Q6</f>
        <v>5702690</v>
      </c>
      <c r="P469" s="26">
        <f>O469*N469*M469</f>
        <v>2675399.8286076263</v>
      </c>
      <c r="Q469" s="29">
        <f>O469*N469*L469</f>
        <v>3027290.1713923742</v>
      </c>
      <c r="S469" t="s">
        <v>1752</v>
      </c>
    </row>
    <row r="470" spans="1:19">
      <c r="A470" s="260" t="s">
        <v>1751</v>
      </c>
      <c r="B470" s="261"/>
      <c r="C470" s="262"/>
      <c r="D470" s="39">
        <f>D469</f>
        <v>525</v>
      </c>
      <c r="E470" s="39"/>
      <c r="F470" s="39"/>
      <c r="G470" s="17"/>
      <c r="H470" s="17"/>
      <c r="I470" s="17"/>
      <c r="J470" s="39"/>
      <c r="K470" s="17"/>
      <c r="L470" s="17"/>
      <c r="M470" s="17"/>
      <c r="N470" s="49"/>
      <c r="O470" s="19"/>
      <c r="P470" s="19">
        <f>P469</f>
        <v>2675399.8286076263</v>
      </c>
      <c r="Q470" s="19">
        <f>Q469</f>
        <v>3027290.1713923742</v>
      </c>
    </row>
    <row r="471" spans="1:19" ht="12.75" customHeight="1">
      <c r="A471" s="15" t="s">
        <v>2245</v>
      </c>
      <c r="B471" s="16"/>
      <c r="C471" s="64"/>
      <c r="D471" s="39"/>
      <c r="E471" s="39"/>
      <c r="F471" s="55"/>
      <c r="G471" s="17"/>
      <c r="H471" s="17"/>
      <c r="I471" s="17"/>
      <c r="J471" s="55"/>
      <c r="K471" s="17"/>
      <c r="L471" s="17"/>
      <c r="M471" s="17"/>
      <c r="N471" s="49"/>
      <c r="O471" s="19"/>
      <c r="P471" s="19"/>
      <c r="Q471" s="20"/>
      <c r="R471" s="14"/>
    </row>
    <row r="472" spans="1:19" ht="15" customHeight="1">
      <c r="B472" s="35" t="s">
        <v>1764</v>
      </c>
      <c r="C472" s="67" t="s">
        <v>1977</v>
      </c>
      <c r="D472" s="42">
        <v>211</v>
      </c>
      <c r="E472" s="42">
        <v>10196</v>
      </c>
      <c r="F472" s="37">
        <v>18195451330</v>
      </c>
      <c r="G472" s="25">
        <f>H472/F472</f>
        <v>0.53085301347125202</v>
      </c>
      <c r="H472" s="27">
        <f>F472-J472</f>
        <v>9659110170</v>
      </c>
      <c r="I472" s="25">
        <f>J472/F472</f>
        <v>0.46914698652874803</v>
      </c>
      <c r="J472" s="37">
        <v>8536341160</v>
      </c>
      <c r="K472" s="27">
        <f>SUM(H472+J472)</f>
        <v>18195451330</v>
      </c>
      <c r="L472" s="28">
        <f>H472/K472</f>
        <v>0.53085301347125202</v>
      </c>
      <c r="M472" s="27">
        <f>J472/K472</f>
        <v>0.46914698652874803</v>
      </c>
      <c r="N472" s="33">
        <f>D472/D473</f>
        <v>1</v>
      </c>
      <c r="O472" s="7">
        <f>'Charter Archive File'!Q20</f>
        <v>1734688</v>
      </c>
      <c r="P472" s="26">
        <f>O472*N472*M472</f>
        <v>813823.64776758081</v>
      </c>
      <c r="Q472" s="29">
        <f>O472*N472*L472</f>
        <v>920864.35223241919</v>
      </c>
      <c r="S472" s="34" t="s">
        <v>1759</v>
      </c>
    </row>
    <row r="473" spans="1:19">
      <c r="A473" s="260" t="s">
        <v>1753</v>
      </c>
      <c r="B473" s="261"/>
      <c r="C473" s="262"/>
      <c r="D473" s="39">
        <f>D472</f>
        <v>211</v>
      </c>
      <c r="E473" s="39"/>
      <c r="F473" s="39"/>
      <c r="G473" s="17"/>
      <c r="H473" s="17"/>
      <c r="I473" s="17"/>
      <c r="J473" s="39"/>
      <c r="K473" s="17"/>
      <c r="L473" s="17"/>
      <c r="M473" s="17"/>
      <c r="N473" s="49"/>
      <c r="O473" s="19"/>
      <c r="P473" s="19">
        <f>P472</f>
        <v>813823.64776758081</v>
      </c>
      <c r="Q473" s="19">
        <f>Q472</f>
        <v>920864.35223241919</v>
      </c>
    </row>
    <row r="474" spans="1:19" ht="12.75" customHeight="1">
      <c r="A474" s="15" t="s">
        <v>1754</v>
      </c>
      <c r="B474" s="16"/>
      <c r="C474" s="64"/>
      <c r="D474" s="39"/>
      <c r="E474" s="39"/>
      <c r="F474" s="55"/>
      <c r="G474" s="17"/>
      <c r="H474" s="17"/>
      <c r="I474" s="17"/>
      <c r="J474" s="55"/>
      <c r="K474" s="17"/>
      <c r="L474" s="17"/>
      <c r="M474" s="17"/>
      <c r="N474" s="49"/>
      <c r="O474" s="19"/>
      <c r="P474" s="19"/>
      <c r="Q474" s="20"/>
      <c r="R474" s="14"/>
    </row>
    <row r="475" spans="1:19" ht="12.75" customHeight="1">
      <c r="B475" s="35" t="s">
        <v>1764</v>
      </c>
      <c r="C475" s="67" t="s">
        <v>1977</v>
      </c>
      <c r="D475" s="42">
        <v>136</v>
      </c>
      <c r="E475" s="42">
        <v>10196</v>
      </c>
      <c r="F475" s="37">
        <v>18195451330</v>
      </c>
      <c r="G475" s="25">
        <f>H475/F475</f>
        <v>0.53085301347125202</v>
      </c>
      <c r="H475" s="27">
        <f>F475-J475</f>
        <v>9659110170</v>
      </c>
      <c r="I475" s="25">
        <f>J475/F475</f>
        <v>0.46914698652874803</v>
      </c>
      <c r="J475" s="37">
        <v>8536341160</v>
      </c>
      <c r="K475" s="27">
        <f>SUM(H475+J475)</f>
        <v>18195451330</v>
      </c>
      <c r="L475" s="28">
        <f>H475/K475</f>
        <v>0.53085301347125202</v>
      </c>
      <c r="M475" s="27">
        <f>J475/K475</f>
        <v>0.46914698652874803</v>
      </c>
      <c r="N475" s="33">
        <f>D475/D476</f>
        <v>1</v>
      </c>
      <c r="O475" s="7">
        <f>'Charter Archive File'!Q30</f>
        <v>1473829</v>
      </c>
      <c r="P475" s="26">
        <f>O475*N475*M475</f>
        <v>691442.43400867819</v>
      </c>
      <c r="Q475" s="29">
        <f>O475*N475*L475</f>
        <v>782386.56599132193</v>
      </c>
      <c r="S475" s="34" t="s">
        <v>1760</v>
      </c>
    </row>
    <row r="476" spans="1:19">
      <c r="A476" s="260" t="s">
        <v>1755</v>
      </c>
      <c r="B476" s="261"/>
      <c r="C476" s="262"/>
      <c r="D476" s="39">
        <f>D475</f>
        <v>136</v>
      </c>
      <c r="E476" s="39"/>
      <c r="F476" s="39"/>
      <c r="G476" s="17"/>
      <c r="H476" s="17"/>
      <c r="I476" s="17"/>
      <c r="J476" s="39"/>
      <c r="K476" s="17"/>
      <c r="L476" s="17"/>
      <c r="M476" s="17"/>
      <c r="N476" s="49"/>
      <c r="O476" s="19"/>
      <c r="P476" s="19">
        <f>P475</f>
        <v>691442.43400867819</v>
      </c>
      <c r="Q476" s="19">
        <f>Q475</f>
        <v>782386.56599132193</v>
      </c>
    </row>
    <row r="477" spans="1:19" ht="12.75" customHeight="1">
      <c r="A477" s="15" t="s">
        <v>2201</v>
      </c>
      <c r="B477" s="16"/>
      <c r="C477" s="64"/>
      <c r="D477" s="39"/>
      <c r="E477" s="39"/>
      <c r="F477" s="55"/>
      <c r="G477" s="17"/>
      <c r="H477" s="17"/>
      <c r="I477" s="17"/>
      <c r="J477" s="55"/>
      <c r="K477" s="17"/>
      <c r="L477" s="17"/>
      <c r="M477" s="17"/>
      <c r="N477" s="49"/>
      <c r="O477" s="19"/>
      <c r="P477" s="19"/>
      <c r="Q477" s="20"/>
      <c r="R477" s="14"/>
    </row>
    <row r="478" spans="1:19" ht="13.5" customHeight="1">
      <c r="B478" s="35" t="s">
        <v>1764</v>
      </c>
      <c r="C478" s="67" t="s">
        <v>1977</v>
      </c>
      <c r="D478" s="42">
        <v>156</v>
      </c>
      <c r="E478" s="42">
        <v>10196</v>
      </c>
      <c r="F478" s="37">
        <v>18195451330</v>
      </c>
      <c r="G478" s="25">
        <f>H478/F478</f>
        <v>0.53085301347125202</v>
      </c>
      <c r="H478" s="27">
        <f>F478-J478</f>
        <v>9659110170</v>
      </c>
      <c r="I478" s="25">
        <f>J478/F478</f>
        <v>0.46914698652874803</v>
      </c>
      <c r="J478" s="37">
        <v>8536341160</v>
      </c>
      <c r="K478" s="27">
        <f>SUM(H478+J478)</f>
        <v>18195451330</v>
      </c>
      <c r="L478" s="28">
        <f>H478/K478</f>
        <v>0.53085301347125202</v>
      </c>
      <c r="M478" s="27">
        <f>J478/K478</f>
        <v>0.46914698652874803</v>
      </c>
      <c r="N478" s="33">
        <f>D478/D479</f>
        <v>1</v>
      </c>
      <c r="O478" s="7">
        <f>'Charter Archive File'!Q82</f>
        <v>1532948</v>
      </c>
      <c r="P478" s="26">
        <f>O478*N478*M478</f>
        <v>719177.93470527127</v>
      </c>
      <c r="Q478" s="29">
        <f>O478*N478*L478</f>
        <v>813770.06529472885</v>
      </c>
      <c r="S478" s="34" t="s">
        <v>1761</v>
      </c>
    </row>
    <row r="479" spans="1:19">
      <c r="A479" s="260" t="s">
        <v>1756</v>
      </c>
      <c r="B479" s="261"/>
      <c r="C479" s="262"/>
      <c r="D479" s="39">
        <f>D478</f>
        <v>156</v>
      </c>
      <c r="E479" s="39"/>
      <c r="F479" s="39"/>
      <c r="G479" s="17"/>
      <c r="H479" s="17"/>
      <c r="I479" s="17"/>
      <c r="J479" s="39"/>
      <c r="K479" s="17"/>
      <c r="L479" s="17"/>
      <c r="M479" s="17"/>
      <c r="N479" s="49"/>
      <c r="O479" s="19"/>
      <c r="P479" s="19">
        <f>P478</f>
        <v>719177.93470527127</v>
      </c>
      <c r="Q479" s="19">
        <f>Q478</f>
        <v>813770.06529472885</v>
      </c>
    </row>
    <row r="480" spans="1:19" ht="12.75" customHeight="1">
      <c r="A480" s="15" t="s">
        <v>1757</v>
      </c>
      <c r="B480" s="16"/>
      <c r="C480" s="64"/>
      <c r="D480" s="39"/>
      <c r="E480" s="39"/>
      <c r="F480" s="55"/>
      <c r="G480" s="17"/>
      <c r="H480" s="17"/>
      <c r="I480" s="17"/>
      <c r="J480" s="55"/>
      <c r="K480" s="17"/>
      <c r="L480" s="17"/>
      <c r="M480" s="17"/>
      <c r="N480" s="49"/>
      <c r="O480" s="19"/>
      <c r="P480" s="19"/>
      <c r="Q480" s="20"/>
      <c r="R480" s="14"/>
    </row>
    <row r="481" spans="1:19" ht="12.75" customHeight="1">
      <c r="A481" s="54"/>
      <c r="B481" s="35" t="s">
        <v>1764</v>
      </c>
      <c r="C481" s="67" t="s">
        <v>1977</v>
      </c>
      <c r="D481" s="42">
        <v>118</v>
      </c>
      <c r="E481" s="42">
        <v>10196</v>
      </c>
      <c r="F481" s="37">
        <v>18195451330</v>
      </c>
      <c r="G481" s="25">
        <f>H481/F481</f>
        <v>0.53085301347125202</v>
      </c>
      <c r="H481" s="27">
        <f>F481-J481</f>
        <v>9659110170</v>
      </c>
      <c r="I481" s="25">
        <f>J481/F481</f>
        <v>0.46914698652874803</v>
      </c>
      <c r="J481" s="37">
        <v>8536341160</v>
      </c>
      <c r="K481" s="27">
        <f>SUM(H481+J481)</f>
        <v>18195451330</v>
      </c>
      <c r="L481" s="28">
        <f>H481/K481</f>
        <v>0.53085301347125202</v>
      </c>
      <c r="M481" s="27">
        <f>J481/K481</f>
        <v>0.46914698652874803</v>
      </c>
      <c r="N481" s="33">
        <f>D481/D482</f>
        <v>1</v>
      </c>
      <c r="O481" s="7">
        <v>1194011</v>
      </c>
      <c r="P481" s="26">
        <f>O481*N481*M481</f>
        <v>560166.66253217694</v>
      </c>
      <c r="Q481" s="29">
        <f>O481*N481*L481</f>
        <v>633844.33746782306</v>
      </c>
      <c r="S481" s="34" t="s">
        <v>1762</v>
      </c>
    </row>
    <row r="482" spans="1:19">
      <c r="A482" s="260" t="s">
        <v>1758</v>
      </c>
      <c r="B482" s="261"/>
      <c r="C482" s="262"/>
      <c r="D482" s="39">
        <f>D481</f>
        <v>118</v>
      </c>
      <c r="E482" s="39"/>
      <c r="F482" s="39"/>
      <c r="G482" s="17"/>
      <c r="H482" s="17"/>
      <c r="I482" s="17"/>
      <c r="J482" s="39"/>
      <c r="K482" s="17"/>
      <c r="L482" s="17"/>
      <c r="M482" s="17"/>
      <c r="N482" s="49"/>
      <c r="O482" s="19"/>
      <c r="P482" s="19">
        <f>P481</f>
        <v>560166.66253217694</v>
      </c>
      <c r="Q482" s="19">
        <f>Q481</f>
        <v>633844.33746782306</v>
      </c>
    </row>
    <row r="485" spans="1:19">
      <c r="B485" s="34" t="s">
        <v>520</v>
      </c>
      <c r="D485">
        <f>SUM(D6+D14+D20+D27+D31+D41+D53+D56+D66+D75+D81+D89+D101+D111+D115+D123+D132+D138+D141+D144+D155+D177+D187+D198+D203+D206+D225+D228+D231+D234+D240+D243+D246+D249+D252+D255+D260+D263+D266+D269+D272+D275+D278+D281+D284+D287+D290+D293+D296+D299+D302+D305+D308+D312+D315+D318+D321+D324+D327+D330+D333+D336+D339+D343+D346+D349+D352+D355+D358+D361+D364+D368+D371+D374+D377+D382+D385+D388+D395+D400+D409+D415+D425+D439+D457+D461+D464+D467+D470+D473+D476+D479+D482)</f>
        <v>26435</v>
      </c>
    </row>
    <row r="486" spans="1:19">
      <c r="B486" t="s">
        <v>15</v>
      </c>
      <c r="D486">
        <f>SUM(D228+D231+D234+D240+D243+D246+D249+D252+D255+D260+D263+D266+D269+D272+D275+D278+D281+D284+D287+D290+D293+D296+D299+D302+D305+D308+D312+D315+D318+D321+D324+D327+D330+D333+D336+D339+D343+D346+D349+D352+D355+D358+D361+D364+D368+D371+D374+D377+D382+D385+D388+D464+D467+D470+D473+D476+D479+D482)</f>
        <v>14950</v>
      </c>
    </row>
    <row r="487" spans="1:19">
      <c r="B487" t="s">
        <v>16</v>
      </c>
      <c r="D487">
        <f>D10+D12+D13+D17+D18+D19+D24+D25+D26+D30+D34+D36+D37+D38+D39+D40+D45+D48+D49+D50+D51+D52+D55+D58+D60+D61+D62+D63+D64+D65+D68+D70+D71+D74+D77+D79+D80+D84+D86+D88+D94+D96+D97+D99+D100+D105+D107+D108+D113+D118+D119+D120+D121+D127+D128+D129+D131+D135+D137+D140+D143+D147+D149+D150+D151+D152+D153+D154+D160+D162+D163+D164+D165+D167+D168+D170+D172+D173+D174+D175+D176+D179+D181+D182+D184+D191+D193+D196+D202+D205+D208+D211+D221+D222+D224+D227+D230+D233+D240+D242+D245+D248+D251+D254+D260+D262+D265+D268+D271+D274+D277+D280+D283+D286+D289+D292+D295+D298+D301+D304+D307+D310+D314+D317+D320+D323+D326+D329+D332+D335+D338+D343+D345+D348+D351+D354+D357+D360+D363+D367+D370+D373+D376+D382+D384+D387+D395+D400+D402+D403+D405+D406+D407+D408+D412+D413+D414+D418+D420+D423+D424+D428+D443+D444+D446+D449+D461+D463+D466+D469+D472+D475+D478+D481</f>
        <v>24612</v>
      </c>
    </row>
    <row r="515" spans="4:5">
      <c r="D515" s="34" t="s">
        <v>2147</v>
      </c>
    </row>
    <row r="516" spans="4:5">
      <c r="D516" s="34" t="s">
        <v>2148</v>
      </c>
    </row>
    <row r="517" spans="4:5">
      <c r="D517" s="34" t="s">
        <v>2149</v>
      </c>
    </row>
    <row r="518" spans="4:5">
      <c r="E518" s="43" t="s">
        <v>2150</v>
      </c>
    </row>
  </sheetData>
  <autoFilter ref="C1:C518"/>
  <mergeCells count="93">
    <mergeCell ref="A415:C415"/>
    <mergeCell ref="A425:C425"/>
    <mergeCell ref="A473:C473"/>
    <mergeCell ref="A476:C476"/>
    <mergeCell ref="A479:C479"/>
    <mergeCell ref="A470:C470"/>
    <mergeCell ref="A482:C482"/>
    <mergeCell ref="A439:C439"/>
    <mergeCell ref="A457:C457"/>
    <mergeCell ref="A461:C461"/>
    <mergeCell ref="A464:C464"/>
    <mergeCell ref="A467:C467"/>
    <mergeCell ref="A388:C388"/>
    <mergeCell ref="A395:C395"/>
    <mergeCell ref="A400:C400"/>
    <mergeCell ref="A409:C409"/>
    <mergeCell ref="A352:C352"/>
    <mergeCell ref="A355:C355"/>
    <mergeCell ref="A358:C358"/>
    <mergeCell ref="A361:C361"/>
    <mergeCell ref="A364:C364"/>
    <mergeCell ref="A368:C368"/>
    <mergeCell ref="A371:C371"/>
    <mergeCell ref="A374:C374"/>
    <mergeCell ref="A377:C377"/>
    <mergeCell ref="A382:C382"/>
    <mergeCell ref="A385:C385"/>
    <mergeCell ref="A349:C349"/>
    <mergeCell ref="A315:C315"/>
    <mergeCell ref="A318:C318"/>
    <mergeCell ref="A321:C321"/>
    <mergeCell ref="A324:C324"/>
    <mergeCell ref="A327:C327"/>
    <mergeCell ref="A330:C330"/>
    <mergeCell ref="A333:C333"/>
    <mergeCell ref="A336:C336"/>
    <mergeCell ref="A339:C339"/>
    <mergeCell ref="A343:C343"/>
    <mergeCell ref="A346:C346"/>
    <mergeCell ref="A312:C312"/>
    <mergeCell ref="A278:C278"/>
    <mergeCell ref="A281:C281"/>
    <mergeCell ref="A284:C284"/>
    <mergeCell ref="A287:C287"/>
    <mergeCell ref="A290:C290"/>
    <mergeCell ref="A293:C293"/>
    <mergeCell ref="A296:C296"/>
    <mergeCell ref="A299:C299"/>
    <mergeCell ref="A302:C302"/>
    <mergeCell ref="A305:C305"/>
    <mergeCell ref="A308:C308"/>
    <mergeCell ref="A275:C275"/>
    <mergeCell ref="A240:C240"/>
    <mergeCell ref="A243:C243"/>
    <mergeCell ref="A246:C246"/>
    <mergeCell ref="A249:C249"/>
    <mergeCell ref="A252:C252"/>
    <mergeCell ref="A255:C255"/>
    <mergeCell ref="A260:C260"/>
    <mergeCell ref="A263:C263"/>
    <mergeCell ref="A266:C266"/>
    <mergeCell ref="A269:C269"/>
    <mergeCell ref="A272:C272"/>
    <mergeCell ref="A234:C234"/>
    <mergeCell ref="A141:C141"/>
    <mergeCell ref="A144:C144"/>
    <mergeCell ref="A155:C155"/>
    <mergeCell ref="A177:C177"/>
    <mergeCell ref="A187:C187"/>
    <mergeCell ref="A198:C198"/>
    <mergeCell ref="A203:C203"/>
    <mergeCell ref="A206:C206"/>
    <mergeCell ref="A225:C225"/>
    <mergeCell ref="A228:C228"/>
    <mergeCell ref="A231:C231"/>
    <mergeCell ref="A138:C138"/>
    <mergeCell ref="A53:C53"/>
    <mergeCell ref="A56:C56"/>
    <mergeCell ref="A66:C66"/>
    <mergeCell ref="A75:C75"/>
    <mergeCell ref="A81:C81"/>
    <mergeCell ref="A89:C89"/>
    <mergeCell ref="A101:C101"/>
    <mergeCell ref="A111:C111"/>
    <mergeCell ref="A115:C115"/>
    <mergeCell ref="A123:C123"/>
    <mergeCell ref="A132:C132"/>
    <mergeCell ref="A41:C41"/>
    <mergeCell ref="A6:C6"/>
    <mergeCell ref="A14:C14"/>
    <mergeCell ref="A20:C20"/>
    <mergeCell ref="A27:C27"/>
    <mergeCell ref="A31:C31"/>
  </mergeCells>
  <phoneticPr fontId="1"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R679"/>
  <sheetViews>
    <sheetView workbookViewId="0"/>
  </sheetViews>
  <sheetFormatPr baseColWidth="10" defaultColWidth="8.83203125" defaultRowHeight="12"/>
  <cols>
    <col min="5" max="7" width="8.83203125" style="44"/>
    <col min="8" max="8" width="15.6640625" style="126" customWidth="1"/>
    <col min="9" max="9" width="15.6640625" style="127" customWidth="1"/>
    <col min="10" max="10" width="15.6640625" style="128" customWidth="1"/>
    <col min="11" max="11" width="15.6640625" style="130" customWidth="1"/>
    <col min="12" max="44" width="8.83203125" style="44"/>
  </cols>
  <sheetData>
    <row r="1" spans="1:44">
      <c r="A1" t="s">
        <v>1596</v>
      </c>
      <c r="D1" t="s">
        <v>1597</v>
      </c>
      <c r="E1" s="44" t="s">
        <v>1598</v>
      </c>
      <c r="F1" s="44" t="s">
        <v>1599</v>
      </c>
      <c r="G1" s="44" t="s">
        <v>1600</v>
      </c>
      <c r="H1" s="126" t="s">
        <v>1601</v>
      </c>
      <c r="I1" s="127" t="s">
        <v>1602</v>
      </c>
      <c r="J1" s="128" t="s">
        <v>1603</v>
      </c>
      <c r="K1" s="130" t="s">
        <v>1604</v>
      </c>
      <c r="L1" s="44" t="s">
        <v>1605</v>
      </c>
      <c r="M1" s="44" t="s">
        <v>1606</v>
      </c>
      <c r="N1" s="44" t="s">
        <v>1607</v>
      </c>
      <c r="O1" s="44" t="s">
        <v>1608</v>
      </c>
      <c r="P1" s="44" t="s">
        <v>1609</v>
      </c>
      <c r="Q1" s="44" t="s">
        <v>1610</v>
      </c>
      <c r="R1" s="44" t="s">
        <v>1611</v>
      </c>
      <c r="S1" s="44" t="s">
        <v>1612</v>
      </c>
      <c r="T1" s="44" t="s">
        <v>1613</v>
      </c>
      <c r="U1" s="44" t="s">
        <v>1614</v>
      </c>
      <c r="V1" s="44" t="s">
        <v>1615</v>
      </c>
      <c r="W1" s="44" t="s">
        <v>1616</v>
      </c>
      <c r="X1" s="44" t="s">
        <v>1617</v>
      </c>
      <c r="Y1" s="44" t="s">
        <v>1618</v>
      </c>
      <c r="Z1" s="44" t="s">
        <v>1619</v>
      </c>
      <c r="AA1" s="44" t="s">
        <v>1620</v>
      </c>
      <c r="AB1" s="44" t="s">
        <v>1621</v>
      </c>
      <c r="AC1" s="44" t="s">
        <v>1622</v>
      </c>
      <c r="AD1" s="44" t="s">
        <v>1623</v>
      </c>
      <c r="AE1" s="44" t="s">
        <v>1624</v>
      </c>
      <c r="AF1" s="44" t="s">
        <v>1625</v>
      </c>
      <c r="AG1" s="44" t="s">
        <v>1626</v>
      </c>
      <c r="AH1" s="44" t="s">
        <v>1627</v>
      </c>
      <c r="AI1" s="44" t="s">
        <v>1628</v>
      </c>
      <c r="AJ1" s="44" t="s">
        <v>1629</v>
      </c>
      <c r="AK1" s="44" t="s">
        <v>1630</v>
      </c>
      <c r="AL1" s="44" t="s">
        <v>1631</v>
      </c>
      <c r="AM1" s="44" t="s">
        <v>1632</v>
      </c>
      <c r="AN1" s="44" t="s">
        <v>1633</v>
      </c>
      <c r="AO1" s="44" t="s">
        <v>1634</v>
      </c>
      <c r="AP1" s="44" t="s">
        <v>1635</v>
      </c>
      <c r="AQ1" s="44" t="s">
        <v>1636</v>
      </c>
      <c r="AR1" s="44" t="s">
        <v>1637</v>
      </c>
    </row>
    <row r="2" spans="1:44" s="1" customFormat="1">
      <c r="A2" s="1" t="s">
        <v>2130</v>
      </c>
      <c r="B2" s="1" t="s">
        <v>1638</v>
      </c>
      <c r="D2" s="1" t="s">
        <v>1639</v>
      </c>
      <c r="E2" s="44">
        <v>9391660</v>
      </c>
      <c r="F2" s="44">
        <v>61985001</v>
      </c>
      <c r="G2" s="44">
        <v>10781965</v>
      </c>
      <c r="H2" s="68">
        <v>72766966</v>
      </c>
      <c r="I2" s="68">
        <v>100099355</v>
      </c>
      <c r="J2" s="68">
        <v>14202125</v>
      </c>
      <c r="K2" s="130">
        <v>187068446</v>
      </c>
      <c r="L2" s="44">
        <v>337488</v>
      </c>
      <c r="M2" s="44">
        <v>1944400</v>
      </c>
      <c r="N2" s="44">
        <v>52770396</v>
      </c>
      <c r="O2" s="44">
        <v>5594128</v>
      </c>
      <c r="P2" s="44">
        <v>4652548</v>
      </c>
      <c r="Q2" s="44">
        <v>4070123</v>
      </c>
      <c r="R2" s="44">
        <v>237068</v>
      </c>
      <c r="S2" s="44">
        <v>6500274</v>
      </c>
      <c r="T2" s="44">
        <v>16672939</v>
      </c>
      <c r="U2" s="44">
        <v>22021702</v>
      </c>
      <c r="V2" s="44">
        <v>1082653</v>
      </c>
      <c r="W2" s="44">
        <v>11385459</v>
      </c>
      <c r="X2" s="44">
        <v>5062461</v>
      </c>
      <c r="Y2" s="44">
        <v>15253020</v>
      </c>
      <c r="Z2" s="44">
        <v>12100562</v>
      </c>
      <c r="AA2" s="44">
        <v>3859192</v>
      </c>
      <c r="AB2" s="44">
        <v>717000</v>
      </c>
      <c r="AC2" s="44">
        <v>164261413</v>
      </c>
      <c r="AD2" s="44">
        <v>5921905</v>
      </c>
      <c r="AE2" s="44">
        <v>7040756</v>
      </c>
      <c r="AF2" s="44">
        <v>6378739</v>
      </c>
      <c r="AG2" s="44">
        <v>183602813</v>
      </c>
      <c r="AH2" s="44">
        <v>10416</v>
      </c>
      <c r="AI2" s="44">
        <v>17960</v>
      </c>
      <c r="AJ2" s="44">
        <v>17627</v>
      </c>
      <c r="AK2" s="44">
        <v>264221</v>
      </c>
      <c r="AL2" s="44">
        <v>99659</v>
      </c>
      <c r="AM2" s="44">
        <v>0.754</v>
      </c>
      <c r="AN2" s="44">
        <v>0.61284016383779483</v>
      </c>
      <c r="AO2" s="44">
        <v>0.16200000000000001</v>
      </c>
      <c r="AP2" s="44">
        <v>0.77484016383779486</v>
      </c>
      <c r="AQ2" s="44">
        <v>0.8669</v>
      </c>
      <c r="AR2" s="44">
        <v>24.51</v>
      </c>
    </row>
    <row r="3" spans="1:44">
      <c r="A3" t="s">
        <v>1773</v>
      </c>
      <c r="B3" t="s">
        <v>1640</v>
      </c>
      <c r="D3" t="s">
        <v>1639</v>
      </c>
      <c r="E3" s="44">
        <v>1772806</v>
      </c>
      <c r="F3" s="44">
        <v>8510365</v>
      </c>
      <c r="G3" s="44">
        <v>1552745</v>
      </c>
      <c r="H3" s="126">
        <v>10063110</v>
      </c>
      <c r="I3" s="127">
        <v>8674623</v>
      </c>
      <c r="J3" s="128">
        <v>738334</v>
      </c>
      <c r="K3" s="130">
        <v>19476067</v>
      </c>
      <c r="L3" s="44">
        <v>67838</v>
      </c>
      <c r="M3" s="44">
        <v>471480</v>
      </c>
      <c r="N3" s="44">
        <v>5646243</v>
      </c>
      <c r="O3" s="44">
        <v>0</v>
      </c>
      <c r="P3" s="44">
        <v>297223</v>
      </c>
      <c r="Q3" s="44">
        <v>2034555</v>
      </c>
      <c r="R3" s="44">
        <v>1180</v>
      </c>
      <c r="S3" s="44">
        <v>350246</v>
      </c>
      <c r="T3" s="44">
        <v>863681</v>
      </c>
      <c r="U3" s="44">
        <v>663008</v>
      </c>
      <c r="V3" s="44">
        <v>0</v>
      </c>
      <c r="W3" s="44">
        <v>884054</v>
      </c>
      <c r="X3" s="44">
        <v>526995</v>
      </c>
      <c r="Y3" s="44">
        <v>2970694</v>
      </c>
      <c r="Z3" s="44">
        <v>973692</v>
      </c>
      <c r="AA3" s="44">
        <v>201620</v>
      </c>
      <c r="AB3" s="44">
        <v>247579</v>
      </c>
      <c r="AC3" s="44">
        <v>16200088</v>
      </c>
      <c r="AD3" s="44">
        <v>1606294</v>
      </c>
      <c r="AE3" s="44">
        <v>703943</v>
      </c>
      <c r="AF3" s="44">
        <v>250388</v>
      </c>
      <c r="AG3" s="44">
        <v>18760713</v>
      </c>
      <c r="AH3" s="44">
        <v>1152</v>
      </c>
      <c r="AI3" s="44">
        <v>16906</v>
      </c>
      <c r="AJ3" s="44">
        <v>16285</v>
      </c>
      <c r="AK3" s="44">
        <v>274364</v>
      </c>
      <c r="AL3" s="44">
        <v>94667</v>
      </c>
      <c r="AM3" s="44">
        <v>0.746</v>
      </c>
      <c r="AN3" s="44">
        <v>0.52536041673895872</v>
      </c>
      <c r="AO3" s="44">
        <v>0.183</v>
      </c>
      <c r="AP3" s="44">
        <v>0.70836041673895878</v>
      </c>
      <c r="AQ3" s="44">
        <v>0.82920000000000005</v>
      </c>
      <c r="AR3" s="44">
        <v>19.72</v>
      </c>
    </row>
    <row r="4" spans="1:44">
      <c r="A4" t="s">
        <v>1641</v>
      </c>
      <c r="B4" t="s">
        <v>1642</v>
      </c>
      <c r="D4" t="s">
        <v>1639</v>
      </c>
      <c r="E4" s="44">
        <v>2790327</v>
      </c>
      <c r="F4" s="44">
        <v>23148376</v>
      </c>
      <c r="G4" s="44">
        <v>6750166</v>
      </c>
      <c r="H4" s="126">
        <v>29898542</v>
      </c>
      <c r="I4" s="127">
        <v>48092263</v>
      </c>
      <c r="J4" s="128">
        <v>1665041</v>
      </c>
      <c r="K4" s="130">
        <v>79655846</v>
      </c>
      <c r="L4" s="44">
        <v>310085</v>
      </c>
      <c r="M4" s="44">
        <v>903198</v>
      </c>
      <c r="N4" s="44">
        <v>23631833</v>
      </c>
      <c r="O4" s="44">
        <v>1731877</v>
      </c>
      <c r="P4" s="44">
        <v>1927349</v>
      </c>
      <c r="Q4" s="44">
        <v>2314073</v>
      </c>
      <c r="R4" s="44">
        <v>991025</v>
      </c>
      <c r="S4" s="44">
        <v>0</v>
      </c>
      <c r="T4" s="44">
        <v>6362930</v>
      </c>
      <c r="U4" s="44">
        <v>2700328</v>
      </c>
      <c r="V4" s="44">
        <v>0</v>
      </c>
      <c r="W4" s="44">
        <v>4338334</v>
      </c>
      <c r="X4" s="44">
        <v>2453424</v>
      </c>
      <c r="Y4" s="44">
        <v>7810180</v>
      </c>
      <c r="Z4" s="44">
        <v>4715379</v>
      </c>
      <c r="AA4" s="44">
        <v>997780</v>
      </c>
      <c r="AB4" s="44">
        <v>279961</v>
      </c>
      <c r="AC4" s="44">
        <v>61467756</v>
      </c>
      <c r="AD4" s="44">
        <v>5199804</v>
      </c>
      <c r="AE4" s="44">
        <v>4564985</v>
      </c>
      <c r="AF4" s="44">
        <v>4183369</v>
      </c>
      <c r="AG4" s="44">
        <v>75415914</v>
      </c>
      <c r="AH4" s="44">
        <v>4919</v>
      </c>
      <c r="AI4" s="44">
        <v>16194</v>
      </c>
      <c r="AJ4" s="44">
        <v>15332</v>
      </c>
      <c r="AK4" s="44">
        <v>323121</v>
      </c>
      <c r="AL4" s="44">
        <v>143970</v>
      </c>
      <c r="AM4" s="44">
        <v>1.0129999999999999</v>
      </c>
      <c r="AN4" s="44">
        <v>0.52587594443262997</v>
      </c>
      <c r="AO4" s="44">
        <v>0.16400000000000001</v>
      </c>
      <c r="AP4" s="44">
        <v>0.68987594443263001</v>
      </c>
      <c r="AQ4" s="44">
        <v>0.84360000000000002</v>
      </c>
      <c r="AR4" s="44">
        <v>19.71</v>
      </c>
    </row>
    <row r="5" spans="1:44">
      <c r="A5" t="s">
        <v>1772</v>
      </c>
      <c r="B5" t="s">
        <v>1643</v>
      </c>
      <c r="D5" t="s">
        <v>1639</v>
      </c>
      <c r="E5" s="44">
        <v>2174497</v>
      </c>
      <c r="F5" s="44">
        <v>15856148</v>
      </c>
      <c r="G5" s="44">
        <v>3011264</v>
      </c>
      <c r="H5" s="126">
        <v>18867412</v>
      </c>
      <c r="I5" s="127">
        <v>20443166</v>
      </c>
      <c r="J5" s="128">
        <v>1829530</v>
      </c>
      <c r="K5" s="130">
        <v>41140108</v>
      </c>
      <c r="L5" s="44">
        <v>205735</v>
      </c>
      <c r="M5" s="44">
        <v>805983</v>
      </c>
      <c r="N5" s="44">
        <v>13553561</v>
      </c>
      <c r="O5" s="44">
        <v>1076869</v>
      </c>
      <c r="P5" s="44">
        <v>576931</v>
      </c>
      <c r="Q5" s="44">
        <v>2875915</v>
      </c>
      <c r="R5" s="44">
        <v>35971</v>
      </c>
      <c r="S5" s="44">
        <v>964189</v>
      </c>
      <c r="T5" s="44">
        <v>1609005</v>
      </c>
      <c r="U5" s="44">
        <v>1617389</v>
      </c>
      <c r="V5" s="44">
        <v>0</v>
      </c>
      <c r="W5" s="44">
        <v>2625132</v>
      </c>
      <c r="X5" s="44">
        <v>1638392</v>
      </c>
      <c r="Y5" s="44">
        <v>2711402</v>
      </c>
      <c r="Z5" s="44">
        <v>2162510</v>
      </c>
      <c r="AA5" s="44">
        <v>602623</v>
      </c>
      <c r="AB5" s="44">
        <v>215205</v>
      </c>
      <c r="AC5" s="44">
        <v>33276812</v>
      </c>
      <c r="AD5" s="44">
        <v>2833969</v>
      </c>
      <c r="AE5" s="44">
        <v>2532169</v>
      </c>
      <c r="AF5" s="44">
        <v>1226870</v>
      </c>
      <c r="AG5" s="44">
        <v>39869820</v>
      </c>
      <c r="AH5" s="44">
        <v>2254</v>
      </c>
      <c r="AI5" s="44">
        <v>18252</v>
      </c>
      <c r="AJ5" s="44">
        <v>17688</v>
      </c>
      <c r="AK5" s="44">
        <v>298219</v>
      </c>
      <c r="AL5" s="44">
        <v>89687</v>
      </c>
      <c r="AM5" s="44">
        <v>0.75800000000000001</v>
      </c>
      <c r="AN5" s="44">
        <v>0.55956686034699932</v>
      </c>
      <c r="AO5" s="44">
        <v>0.13400000000000001</v>
      </c>
      <c r="AP5" s="44">
        <v>0.69356686034699933</v>
      </c>
      <c r="AQ5" s="44">
        <v>0.83579999999999999</v>
      </c>
      <c r="AR5" s="44">
        <v>20.36</v>
      </c>
    </row>
    <row r="6" spans="1:44">
      <c r="A6" t="s">
        <v>1774</v>
      </c>
      <c r="B6" t="s">
        <v>1644</v>
      </c>
      <c r="D6" t="s">
        <v>1639</v>
      </c>
      <c r="E6" s="44">
        <v>1679645</v>
      </c>
      <c r="F6" s="44">
        <v>15970615</v>
      </c>
      <c r="G6" s="44">
        <v>2759513</v>
      </c>
      <c r="H6" s="126">
        <v>18730128</v>
      </c>
      <c r="I6" s="127">
        <v>11467144</v>
      </c>
      <c r="J6" s="128">
        <v>2284729</v>
      </c>
      <c r="K6" s="130">
        <v>32482001</v>
      </c>
      <c r="L6" s="44">
        <v>142228</v>
      </c>
      <c r="M6" s="44">
        <v>780674</v>
      </c>
      <c r="N6" s="44">
        <v>11284815</v>
      </c>
      <c r="O6" s="44">
        <v>694296</v>
      </c>
      <c r="P6" s="44">
        <v>812178</v>
      </c>
      <c r="Q6" s="44">
        <v>1481549</v>
      </c>
      <c r="R6" s="44">
        <v>498625</v>
      </c>
      <c r="S6" s="44">
        <v>76434</v>
      </c>
      <c r="T6" s="44">
        <v>2097326</v>
      </c>
      <c r="U6" s="44">
        <v>1412971</v>
      </c>
      <c r="V6" s="44">
        <v>0</v>
      </c>
      <c r="W6" s="44">
        <v>2395541</v>
      </c>
      <c r="X6" s="44">
        <v>1103517</v>
      </c>
      <c r="Y6" s="44">
        <v>3688568</v>
      </c>
      <c r="Z6" s="44">
        <v>1799876</v>
      </c>
      <c r="AA6" s="44">
        <v>599833</v>
      </c>
      <c r="AB6" s="44">
        <v>76357</v>
      </c>
      <c r="AC6" s="44">
        <v>28944788</v>
      </c>
      <c r="AD6" s="44">
        <v>809523</v>
      </c>
      <c r="AE6" s="44">
        <v>1778764</v>
      </c>
      <c r="AF6" s="44">
        <v>592341</v>
      </c>
      <c r="AG6" s="44">
        <v>32125416</v>
      </c>
      <c r="AH6" s="44">
        <v>2121</v>
      </c>
      <c r="AI6" s="44">
        <v>15314</v>
      </c>
      <c r="AJ6" s="44">
        <v>15146</v>
      </c>
      <c r="AK6" s="44">
        <v>145261</v>
      </c>
      <c r="AL6" s="44">
        <v>79495</v>
      </c>
      <c r="AM6" s="44">
        <v>0.51600000000000001</v>
      </c>
      <c r="AN6" s="44">
        <v>0.57145389183442796</v>
      </c>
      <c r="AO6" s="44">
        <v>0.184</v>
      </c>
      <c r="AP6" s="44">
        <v>0.75545389183442802</v>
      </c>
      <c r="AQ6" s="44">
        <v>0.83779999999999999</v>
      </c>
      <c r="AR6" s="44">
        <v>24.13</v>
      </c>
    </row>
    <row r="7" spans="1:44">
      <c r="A7" t="s">
        <v>1645</v>
      </c>
      <c r="B7" t="s">
        <v>1646</v>
      </c>
      <c r="D7" t="s">
        <v>1639</v>
      </c>
      <c r="E7" s="44">
        <v>3179174</v>
      </c>
      <c r="F7" s="44">
        <v>21034443</v>
      </c>
      <c r="G7" s="44">
        <v>6989127</v>
      </c>
      <c r="H7" s="126">
        <v>28023570</v>
      </c>
      <c r="I7" s="127">
        <v>52765846</v>
      </c>
      <c r="J7" s="128">
        <v>2204028</v>
      </c>
      <c r="K7" s="130">
        <v>82993444</v>
      </c>
      <c r="L7" s="44">
        <v>249073</v>
      </c>
      <c r="M7" s="44">
        <v>1081181</v>
      </c>
      <c r="N7" s="44">
        <v>31094392</v>
      </c>
      <c r="O7" s="44">
        <v>780126</v>
      </c>
      <c r="P7" s="44">
        <v>1352711</v>
      </c>
      <c r="Q7" s="44">
        <v>1967720</v>
      </c>
      <c r="R7" s="44">
        <v>124584</v>
      </c>
      <c r="S7" s="44">
        <v>1014992</v>
      </c>
      <c r="T7" s="44">
        <v>7065515</v>
      </c>
      <c r="U7" s="44">
        <v>4178347</v>
      </c>
      <c r="V7" s="44">
        <v>371937</v>
      </c>
      <c r="W7" s="44">
        <v>5021835</v>
      </c>
      <c r="X7" s="44">
        <v>2989513</v>
      </c>
      <c r="Y7" s="44">
        <v>7317822</v>
      </c>
      <c r="Z7" s="44">
        <v>5393145</v>
      </c>
      <c r="AA7" s="44">
        <v>1585837</v>
      </c>
      <c r="AB7" s="44">
        <v>0</v>
      </c>
      <c r="AC7" s="44">
        <v>71588730</v>
      </c>
      <c r="AD7" s="44">
        <v>3594911</v>
      </c>
      <c r="AE7" s="44">
        <v>3776865</v>
      </c>
      <c r="AF7" s="44">
        <v>1847996</v>
      </c>
      <c r="AG7" s="44">
        <v>80808502</v>
      </c>
      <c r="AH7" s="44">
        <v>5593</v>
      </c>
      <c r="AI7" s="44">
        <v>14839</v>
      </c>
      <c r="AJ7" s="44">
        <v>14448</v>
      </c>
      <c r="AK7" s="44">
        <v>419464</v>
      </c>
      <c r="AL7" s="44">
        <v>108496</v>
      </c>
      <c r="AM7" s="44">
        <v>0.9930000000000001</v>
      </c>
      <c r="AN7" s="44">
        <v>0.58877947025920618</v>
      </c>
      <c r="AO7" s="44">
        <v>0.16700000000000001</v>
      </c>
      <c r="AP7" s="44">
        <v>0.75577947025920622</v>
      </c>
      <c r="AQ7" s="44">
        <v>0.85289999999999999</v>
      </c>
      <c r="AR7" s="44">
        <v>16.420000000000002</v>
      </c>
    </row>
    <row r="8" spans="1:44">
      <c r="A8" t="s">
        <v>2018</v>
      </c>
      <c r="B8" t="s">
        <v>1647</v>
      </c>
      <c r="D8" t="s">
        <v>1639</v>
      </c>
      <c r="E8" s="44">
        <v>4139145</v>
      </c>
      <c r="F8" s="44">
        <v>13407553</v>
      </c>
      <c r="G8" s="44">
        <v>5153966</v>
      </c>
      <c r="H8" s="126">
        <v>18561519</v>
      </c>
      <c r="I8" s="127">
        <v>57007023</v>
      </c>
      <c r="J8" s="128">
        <v>1292895</v>
      </c>
      <c r="K8" s="130">
        <v>76861437</v>
      </c>
      <c r="L8" s="44">
        <v>350374</v>
      </c>
      <c r="M8" s="44">
        <v>1222494</v>
      </c>
      <c r="N8" s="44">
        <v>28171984</v>
      </c>
      <c r="O8" s="44">
        <v>1769369</v>
      </c>
      <c r="P8" s="44">
        <v>1477306</v>
      </c>
      <c r="Q8" s="44">
        <v>313800</v>
      </c>
      <c r="R8" s="44">
        <v>0</v>
      </c>
      <c r="S8" s="44">
        <v>206829</v>
      </c>
      <c r="T8" s="44">
        <v>6895235</v>
      </c>
      <c r="U8" s="44">
        <v>3657553</v>
      </c>
      <c r="V8" s="44">
        <v>0</v>
      </c>
      <c r="W8" s="44">
        <v>6212885</v>
      </c>
      <c r="X8" s="44">
        <v>2791581</v>
      </c>
      <c r="Y8" s="44">
        <v>5941737</v>
      </c>
      <c r="Z8" s="44">
        <v>4802011</v>
      </c>
      <c r="AA8" s="44">
        <v>1387737</v>
      </c>
      <c r="AB8" s="44">
        <v>1052000</v>
      </c>
      <c r="AC8" s="44">
        <v>66252895</v>
      </c>
      <c r="AD8" s="44">
        <v>4715716</v>
      </c>
      <c r="AE8" s="44">
        <v>3549470</v>
      </c>
      <c r="AF8" s="44">
        <v>1926284</v>
      </c>
      <c r="AG8" s="44">
        <v>76444365</v>
      </c>
      <c r="AH8" s="44">
        <v>5460</v>
      </c>
      <c r="AI8" s="44">
        <v>14077</v>
      </c>
      <c r="AJ8" s="44">
        <v>14001</v>
      </c>
      <c r="AK8" s="44">
        <v>517499</v>
      </c>
      <c r="AL8" s="44">
        <v>166985</v>
      </c>
      <c r="AM8" s="44">
        <v>1.3620000000000001</v>
      </c>
      <c r="AN8" s="44">
        <v>0.55585622301918525</v>
      </c>
      <c r="AO8" s="44">
        <v>0.14899999999999999</v>
      </c>
      <c r="AP8" s="44">
        <v>0.70485622301918527</v>
      </c>
      <c r="AQ8" s="44">
        <v>0.82620000000000005</v>
      </c>
      <c r="AR8" s="44">
        <v>15.42</v>
      </c>
    </row>
    <row r="9" spans="1:44">
      <c r="A9" t="s">
        <v>2144</v>
      </c>
      <c r="B9" t="s">
        <v>1648</v>
      </c>
      <c r="D9" t="s">
        <v>1639</v>
      </c>
      <c r="E9" s="44">
        <v>848529</v>
      </c>
      <c r="F9" s="44">
        <v>556367</v>
      </c>
      <c r="G9" s="44">
        <v>282289</v>
      </c>
      <c r="H9" s="126">
        <v>838656</v>
      </c>
      <c r="I9" s="127">
        <v>5824532</v>
      </c>
      <c r="J9" s="128">
        <v>83593</v>
      </c>
      <c r="K9" s="130">
        <v>6746781</v>
      </c>
      <c r="L9" s="44">
        <v>37703</v>
      </c>
      <c r="M9" s="44">
        <v>342676</v>
      </c>
      <c r="N9" s="44">
        <v>1638298</v>
      </c>
      <c r="O9" s="44">
        <v>68661</v>
      </c>
      <c r="P9" s="44">
        <v>447</v>
      </c>
      <c r="Q9" s="44">
        <v>356735</v>
      </c>
      <c r="R9" s="44">
        <v>1341006</v>
      </c>
      <c r="S9" s="44">
        <v>0</v>
      </c>
      <c r="T9" s="44">
        <v>99279</v>
      </c>
      <c r="U9" s="44">
        <v>253522</v>
      </c>
      <c r="V9" s="44">
        <v>500</v>
      </c>
      <c r="W9" s="44">
        <v>265946</v>
      </c>
      <c r="X9" s="44">
        <v>152288</v>
      </c>
      <c r="Y9" s="44">
        <v>486790</v>
      </c>
      <c r="Z9" s="44">
        <v>228119</v>
      </c>
      <c r="AA9" s="44">
        <v>59412</v>
      </c>
      <c r="AB9" s="44">
        <v>32000</v>
      </c>
      <c r="AC9" s="44">
        <v>5363382</v>
      </c>
      <c r="AD9" s="44">
        <v>628820</v>
      </c>
      <c r="AE9" s="44">
        <v>315000</v>
      </c>
      <c r="AF9" s="44">
        <v>158805</v>
      </c>
      <c r="AG9" s="44">
        <v>6466007</v>
      </c>
      <c r="AH9" s="44">
        <v>378</v>
      </c>
      <c r="AI9" s="44">
        <v>17849</v>
      </c>
      <c r="AJ9" s="44">
        <v>17106</v>
      </c>
      <c r="AK9" s="44">
        <v>730740</v>
      </c>
      <c r="AL9" s="44">
        <v>251553</v>
      </c>
      <c r="AM9" s="44">
        <v>1.9870000000000001</v>
      </c>
      <c r="AN9" s="44">
        <v>0.5811852662702035</v>
      </c>
      <c r="AO9" s="44">
        <v>0.108</v>
      </c>
      <c r="AP9" s="44">
        <v>0.68918526627020349</v>
      </c>
      <c r="AQ9" s="44">
        <v>0.7742</v>
      </c>
      <c r="AR9" s="44">
        <v>17.63</v>
      </c>
    </row>
    <row r="10" spans="1:44">
      <c r="A10" t="s">
        <v>1649</v>
      </c>
      <c r="B10" t="s">
        <v>1650</v>
      </c>
      <c r="D10" t="s">
        <v>1639</v>
      </c>
      <c r="E10" s="44">
        <v>105557</v>
      </c>
      <c r="F10" s="44">
        <v>593116</v>
      </c>
      <c r="G10" s="44">
        <v>128993</v>
      </c>
      <c r="H10" s="126">
        <v>722109</v>
      </c>
      <c r="I10" s="127">
        <v>1732089</v>
      </c>
      <c r="J10" s="128">
        <v>64148</v>
      </c>
      <c r="K10" s="130">
        <v>2518346</v>
      </c>
      <c r="L10" s="44">
        <v>17756</v>
      </c>
      <c r="M10" s="44">
        <v>148580</v>
      </c>
      <c r="N10" s="44">
        <v>849340</v>
      </c>
      <c r="O10" s="44">
        <v>52150</v>
      </c>
      <c r="P10" s="44">
        <v>0</v>
      </c>
      <c r="Q10" s="44">
        <v>146480</v>
      </c>
      <c r="R10" s="44">
        <v>322395</v>
      </c>
      <c r="S10" s="44">
        <v>108587</v>
      </c>
      <c r="T10" s="44">
        <v>115466</v>
      </c>
      <c r="U10" s="44">
        <v>63904</v>
      </c>
      <c r="V10" s="44">
        <v>0</v>
      </c>
      <c r="W10" s="44">
        <v>146636</v>
      </c>
      <c r="X10" s="44">
        <v>87381</v>
      </c>
      <c r="Y10" s="44">
        <v>198830</v>
      </c>
      <c r="Z10" s="44">
        <v>112402</v>
      </c>
      <c r="AA10" s="44">
        <v>53866</v>
      </c>
      <c r="AB10" s="44">
        <v>0</v>
      </c>
      <c r="AC10" s="44">
        <v>2423773</v>
      </c>
      <c r="AD10" s="44">
        <v>73256</v>
      </c>
      <c r="AE10" s="44">
        <v>20000</v>
      </c>
      <c r="AF10" s="44">
        <v>11925</v>
      </c>
      <c r="AG10" s="44">
        <v>2528954</v>
      </c>
      <c r="AH10" s="44">
        <v>201</v>
      </c>
      <c r="AI10" s="44">
        <v>12529</v>
      </c>
      <c r="AJ10" s="44">
        <v>12582</v>
      </c>
      <c r="AK10" s="44">
        <v>464690</v>
      </c>
      <c r="AL10" s="44">
        <v>139753</v>
      </c>
      <c r="AM10" s="44">
        <v>1.18</v>
      </c>
      <c r="AN10" s="44">
        <v>0.65573434708579115</v>
      </c>
      <c r="AO10" s="44">
        <v>0.13300000000000001</v>
      </c>
      <c r="AP10" s="44">
        <v>0.78873434708579115</v>
      </c>
      <c r="AQ10" s="44">
        <v>0.7954</v>
      </c>
      <c r="AR10" s="44">
        <v>28.72</v>
      </c>
    </row>
    <row r="11" spans="1:44">
      <c r="A11" t="s">
        <v>2011</v>
      </c>
      <c r="B11" t="s">
        <v>1651</v>
      </c>
      <c r="D11" t="s">
        <v>1639</v>
      </c>
      <c r="E11" s="44">
        <v>954765</v>
      </c>
      <c r="F11" s="44">
        <v>1953731</v>
      </c>
      <c r="G11" s="44">
        <v>412845</v>
      </c>
      <c r="H11" s="126">
        <v>2366576</v>
      </c>
      <c r="I11" s="127">
        <v>3153237</v>
      </c>
      <c r="J11" s="128">
        <v>177335</v>
      </c>
      <c r="K11" s="130">
        <v>5697148</v>
      </c>
      <c r="L11" s="44">
        <v>60113</v>
      </c>
      <c r="M11" s="44">
        <v>211033</v>
      </c>
      <c r="N11" s="44">
        <v>1577181</v>
      </c>
      <c r="O11" s="44">
        <v>152803</v>
      </c>
      <c r="P11" s="44">
        <v>126042</v>
      </c>
      <c r="Q11" s="44">
        <v>635366</v>
      </c>
      <c r="R11" s="44">
        <v>0</v>
      </c>
      <c r="S11" s="44">
        <v>44105</v>
      </c>
      <c r="T11" s="44">
        <v>259149</v>
      </c>
      <c r="U11" s="44">
        <v>208401</v>
      </c>
      <c r="V11" s="44">
        <v>1640</v>
      </c>
      <c r="W11" s="44">
        <v>339418</v>
      </c>
      <c r="X11" s="44">
        <v>173890</v>
      </c>
      <c r="Y11" s="44">
        <v>324573</v>
      </c>
      <c r="Z11" s="44">
        <v>231216</v>
      </c>
      <c r="AA11" s="44">
        <v>137663</v>
      </c>
      <c r="AB11" s="44">
        <v>0</v>
      </c>
      <c r="AC11" s="44">
        <v>4482593</v>
      </c>
      <c r="AD11" s="44">
        <v>308525</v>
      </c>
      <c r="AE11" s="44">
        <v>300741</v>
      </c>
      <c r="AF11" s="44">
        <v>462187</v>
      </c>
      <c r="AG11" s="44">
        <v>5554046</v>
      </c>
      <c r="AH11" s="44">
        <v>332</v>
      </c>
      <c r="AI11" s="44">
        <v>17160</v>
      </c>
      <c r="AJ11" s="44">
        <v>16729</v>
      </c>
      <c r="AK11" s="44">
        <v>176321</v>
      </c>
      <c r="AL11" s="44">
        <v>87360</v>
      </c>
      <c r="AM11" s="44">
        <v>0.58799999999999997</v>
      </c>
      <c r="AN11" s="44">
        <v>0.54069537774804166</v>
      </c>
      <c r="AO11" s="44">
        <v>0.112</v>
      </c>
      <c r="AP11" s="44">
        <v>0.65269537774804165</v>
      </c>
      <c r="AQ11" s="44">
        <v>0.80810000000000004</v>
      </c>
      <c r="AR11" s="44">
        <v>37.01</v>
      </c>
    </row>
    <row r="12" spans="1:44">
      <c r="A12" t="s">
        <v>1595</v>
      </c>
      <c r="B12" t="s">
        <v>1652</v>
      </c>
      <c r="D12" t="s">
        <v>1639</v>
      </c>
      <c r="E12" s="44">
        <v>6203058</v>
      </c>
      <c r="F12" s="44">
        <v>23250659</v>
      </c>
      <c r="G12" s="44">
        <v>6384197</v>
      </c>
      <c r="H12" s="126">
        <v>29634856</v>
      </c>
      <c r="I12" s="127">
        <v>50963291</v>
      </c>
      <c r="J12" s="128">
        <v>1460334</v>
      </c>
      <c r="K12" s="130">
        <v>82058481</v>
      </c>
      <c r="L12" s="44">
        <v>171747</v>
      </c>
      <c r="M12" s="44">
        <v>1064380</v>
      </c>
      <c r="N12" s="44">
        <v>25863701</v>
      </c>
      <c r="O12" s="44">
        <v>1590613</v>
      </c>
      <c r="P12" s="44">
        <v>2529249</v>
      </c>
      <c r="Q12" s="44">
        <v>3485764</v>
      </c>
      <c r="R12" s="44">
        <v>0</v>
      </c>
      <c r="S12" s="44">
        <v>1352894</v>
      </c>
      <c r="T12" s="44">
        <v>6614544</v>
      </c>
      <c r="U12" s="44">
        <v>2697995</v>
      </c>
      <c r="V12" s="44">
        <v>0</v>
      </c>
      <c r="W12" s="44">
        <v>5534844</v>
      </c>
      <c r="X12" s="44">
        <v>2825418</v>
      </c>
      <c r="Y12" s="44">
        <v>7687323</v>
      </c>
      <c r="Z12" s="44">
        <v>4378406</v>
      </c>
      <c r="AA12" s="44">
        <v>1153535</v>
      </c>
      <c r="AB12" s="44">
        <v>0</v>
      </c>
      <c r="AC12" s="44">
        <v>66950413</v>
      </c>
      <c r="AD12" s="44">
        <v>4238827</v>
      </c>
      <c r="AE12" s="44">
        <v>4780384</v>
      </c>
      <c r="AF12" s="44">
        <v>2317955</v>
      </c>
      <c r="AG12" s="44">
        <v>78287579</v>
      </c>
      <c r="AH12" s="44">
        <v>5371</v>
      </c>
      <c r="AI12" s="44">
        <v>15278</v>
      </c>
      <c r="AJ12" s="44">
        <v>14576</v>
      </c>
      <c r="AK12" s="44">
        <v>345787</v>
      </c>
      <c r="AL12" s="44">
        <v>141740</v>
      </c>
      <c r="AM12" s="44">
        <v>1.0329999999999999</v>
      </c>
      <c r="AN12" s="44">
        <v>0.56375175428531266</v>
      </c>
      <c r="AO12" s="44">
        <v>0.161</v>
      </c>
      <c r="AP12" s="44">
        <v>0.72475175428531269</v>
      </c>
      <c r="AQ12" s="44">
        <v>0.84719999999999995</v>
      </c>
      <c r="AR12" s="44">
        <v>17.89</v>
      </c>
    </row>
    <row r="13" spans="1:44">
      <c r="A13" t="s">
        <v>1653</v>
      </c>
      <c r="B13" t="s">
        <v>1654</v>
      </c>
      <c r="D13" t="s">
        <v>1639</v>
      </c>
      <c r="E13" s="44">
        <v>886657</v>
      </c>
      <c r="F13" s="44">
        <v>5764070</v>
      </c>
      <c r="G13" s="44">
        <v>1767447</v>
      </c>
      <c r="H13" s="126">
        <v>7531517</v>
      </c>
      <c r="I13" s="127">
        <v>12761920</v>
      </c>
      <c r="J13" s="128">
        <v>346222</v>
      </c>
      <c r="K13" s="130">
        <v>20639659</v>
      </c>
      <c r="L13" s="44">
        <v>165026</v>
      </c>
      <c r="M13" s="44">
        <v>495240</v>
      </c>
      <c r="N13" s="44">
        <v>6763106</v>
      </c>
      <c r="O13" s="44">
        <v>380024</v>
      </c>
      <c r="P13" s="44">
        <v>364393</v>
      </c>
      <c r="Q13" s="44">
        <v>1109905</v>
      </c>
      <c r="R13" s="44">
        <v>11099</v>
      </c>
      <c r="S13" s="44">
        <v>110638</v>
      </c>
      <c r="T13" s="44">
        <v>1215832</v>
      </c>
      <c r="U13" s="44">
        <v>670777</v>
      </c>
      <c r="V13" s="44">
        <v>28644</v>
      </c>
      <c r="W13" s="44">
        <v>1362636</v>
      </c>
      <c r="X13" s="44">
        <v>687917</v>
      </c>
      <c r="Y13" s="44">
        <v>2547082</v>
      </c>
      <c r="Z13" s="44">
        <v>1107760</v>
      </c>
      <c r="AA13" s="44">
        <v>325771</v>
      </c>
      <c r="AB13" s="44">
        <v>534851</v>
      </c>
      <c r="AC13" s="44">
        <v>17880701</v>
      </c>
      <c r="AD13" s="44">
        <v>894939</v>
      </c>
      <c r="AE13" s="44">
        <v>1343218</v>
      </c>
      <c r="AF13" s="44">
        <v>723026</v>
      </c>
      <c r="AG13" s="44">
        <v>20841884</v>
      </c>
      <c r="AH13" s="44">
        <v>1231</v>
      </c>
      <c r="AI13" s="44">
        <v>16767</v>
      </c>
      <c r="AJ13" s="44">
        <v>16931</v>
      </c>
      <c r="AK13" s="44">
        <v>359379</v>
      </c>
      <c r="AL13" s="44">
        <v>158232</v>
      </c>
      <c r="AM13" s="44">
        <v>1.119</v>
      </c>
      <c r="AN13" s="44">
        <v>0.50982790231439734</v>
      </c>
      <c r="AO13" s="44">
        <v>0.17499999999999999</v>
      </c>
      <c r="AP13" s="44">
        <v>0.68482790231439727</v>
      </c>
      <c r="AQ13" s="44">
        <v>0.82199999999999995</v>
      </c>
      <c r="AR13" s="44">
        <v>18.739999999999998</v>
      </c>
    </row>
    <row r="14" spans="1:44">
      <c r="A14" t="s">
        <v>2145</v>
      </c>
      <c r="B14" t="s">
        <v>1655</v>
      </c>
      <c r="D14" t="s">
        <v>1639</v>
      </c>
      <c r="E14" s="44">
        <v>-1105677</v>
      </c>
      <c r="F14" s="44">
        <v>11845691</v>
      </c>
      <c r="G14" s="44">
        <v>1119864</v>
      </c>
      <c r="H14" s="126">
        <v>12965555</v>
      </c>
      <c r="I14" s="127">
        <v>5715581</v>
      </c>
      <c r="J14" s="128">
        <v>1350743</v>
      </c>
      <c r="K14" s="130">
        <v>20031879</v>
      </c>
      <c r="L14" s="44">
        <v>67119</v>
      </c>
      <c r="M14" s="44">
        <v>414603</v>
      </c>
      <c r="N14" s="44">
        <v>5828492</v>
      </c>
      <c r="O14" s="44">
        <v>387305</v>
      </c>
      <c r="P14" s="44">
        <v>382723</v>
      </c>
      <c r="Q14" s="44">
        <v>3422753</v>
      </c>
      <c r="R14" s="44">
        <v>29317</v>
      </c>
      <c r="S14" s="44">
        <v>511808</v>
      </c>
      <c r="T14" s="44">
        <v>702513</v>
      </c>
      <c r="U14" s="44">
        <v>861662</v>
      </c>
      <c r="V14" s="44">
        <v>0</v>
      </c>
      <c r="W14" s="44">
        <v>923870</v>
      </c>
      <c r="X14" s="44">
        <v>532428</v>
      </c>
      <c r="Y14" s="44">
        <v>2151397</v>
      </c>
      <c r="Z14" s="44">
        <v>881813</v>
      </c>
      <c r="AA14" s="44">
        <v>412821</v>
      </c>
      <c r="AB14" s="44">
        <v>0</v>
      </c>
      <c r="AC14" s="44">
        <v>17510624</v>
      </c>
      <c r="AD14" s="44">
        <v>1653601</v>
      </c>
      <c r="AE14" s="44">
        <v>457022</v>
      </c>
      <c r="AF14" s="44">
        <v>113535</v>
      </c>
      <c r="AG14" s="44">
        <v>19734782</v>
      </c>
      <c r="AH14" s="44">
        <v>1529</v>
      </c>
      <c r="AI14" s="44">
        <v>13101</v>
      </c>
      <c r="AJ14" s="44">
        <v>12907</v>
      </c>
      <c r="AK14" s="44">
        <v>151430</v>
      </c>
      <c r="AL14" s="44">
        <v>76902</v>
      </c>
      <c r="AM14" s="44">
        <v>0.51300000000000001</v>
      </c>
      <c r="AN14" s="44">
        <v>0.61447717030773386</v>
      </c>
      <c r="AO14" s="44">
        <v>0.16500000000000001</v>
      </c>
      <c r="AP14" s="44">
        <v>0.77947717030773389</v>
      </c>
      <c r="AQ14" s="44">
        <v>0.87860000000000005</v>
      </c>
      <c r="AR14" s="44">
        <v>17.14</v>
      </c>
    </row>
    <row r="15" spans="1:44">
      <c r="A15" t="s">
        <v>1656</v>
      </c>
      <c r="B15" t="s">
        <v>1657</v>
      </c>
      <c r="D15" t="s">
        <v>1639</v>
      </c>
      <c r="E15" s="44">
        <v>488701</v>
      </c>
      <c r="F15" s="44">
        <v>5316282</v>
      </c>
      <c r="G15" s="44">
        <v>981129</v>
      </c>
      <c r="H15" s="126">
        <v>6297411</v>
      </c>
      <c r="I15" s="127">
        <v>3624310</v>
      </c>
      <c r="J15" s="128">
        <v>318403</v>
      </c>
      <c r="K15" s="130">
        <v>10240124</v>
      </c>
      <c r="L15" s="44">
        <v>118476</v>
      </c>
      <c r="M15" s="44">
        <v>214676</v>
      </c>
      <c r="N15" s="44">
        <v>3227956</v>
      </c>
      <c r="O15" s="44">
        <v>145812</v>
      </c>
      <c r="P15" s="44">
        <v>214408</v>
      </c>
      <c r="Q15" s="44">
        <v>587023</v>
      </c>
      <c r="R15" s="44">
        <v>491</v>
      </c>
      <c r="S15" s="44">
        <v>0</v>
      </c>
      <c r="T15" s="44">
        <v>435779</v>
      </c>
      <c r="U15" s="44">
        <v>458910</v>
      </c>
      <c r="V15" s="44">
        <v>0</v>
      </c>
      <c r="W15" s="44">
        <v>642992</v>
      </c>
      <c r="X15" s="44">
        <v>319375</v>
      </c>
      <c r="Y15" s="44">
        <v>880125</v>
      </c>
      <c r="Z15" s="44">
        <v>498669</v>
      </c>
      <c r="AA15" s="44">
        <v>378610</v>
      </c>
      <c r="AB15" s="44">
        <v>0</v>
      </c>
      <c r="AC15" s="44">
        <v>8123302</v>
      </c>
      <c r="AD15" s="44">
        <v>485152</v>
      </c>
      <c r="AE15" s="44">
        <v>797200</v>
      </c>
      <c r="AF15" s="44">
        <v>307829</v>
      </c>
      <c r="AG15" s="44">
        <v>9713483</v>
      </c>
      <c r="AH15" s="44">
        <v>702</v>
      </c>
      <c r="AI15" s="44">
        <v>14587</v>
      </c>
      <c r="AJ15" s="44">
        <v>13837</v>
      </c>
      <c r="AK15" s="44">
        <v>189841</v>
      </c>
      <c r="AL15" s="44">
        <v>74028</v>
      </c>
      <c r="AM15" s="44">
        <v>0.55099999999999993</v>
      </c>
      <c r="AN15" s="44">
        <v>0.52199391299701658</v>
      </c>
      <c r="AO15" s="44">
        <v>0.14499999999999999</v>
      </c>
      <c r="AP15" s="44">
        <v>0.6669939129970166</v>
      </c>
      <c r="AQ15" s="44">
        <v>0.79800000000000004</v>
      </c>
      <c r="AR15" s="44">
        <v>22</v>
      </c>
    </row>
    <row r="16" spans="1:44">
      <c r="A16" t="s">
        <v>1658</v>
      </c>
      <c r="B16" t="s">
        <v>1659</v>
      </c>
      <c r="D16" t="s">
        <v>1639</v>
      </c>
      <c r="E16" s="44">
        <v>879540</v>
      </c>
      <c r="F16" s="44">
        <v>4411502</v>
      </c>
      <c r="G16" s="44">
        <v>665628</v>
      </c>
      <c r="H16" s="126">
        <v>5077130</v>
      </c>
      <c r="I16" s="127">
        <v>2008866</v>
      </c>
      <c r="J16" s="128">
        <v>282076</v>
      </c>
      <c r="K16" s="130">
        <v>7368072</v>
      </c>
      <c r="L16" s="44">
        <v>46330</v>
      </c>
      <c r="M16" s="44">
        <v>321216</v>
      </c>
      <c r="N16" s="44">
        <v>2047621</v>
      </c>
      <c r="O16" s="44">
        <v>96539</v>
      </c>
      <c r="P16" s="44">
        <v>73497</v>
      </c>
      <c r="Q16" s="44">
        <v>529565</v>
      </c>
      <c r="R16" s="44">
        <v>0</v>
      </c>
      <c r="S16" s="44">
        <v>0</v>
      </c>
      <c r="T16" s="44">
        <v>413092</v>
      </c>
      <c r="U16" s="44">
        <v>317884</v>
      </c>
      <c r="V16" s="44">
        <v>0</v>
      </c>
      <c r="W16" s="44">
        <v>493154</v>
      </c>
      <c r="X16" s="44">
        <v>190315</v>
      </c>
      <c r="Y16" s="44">
        <v>431204</v>
      </c>
      <c r="Z16" s="44">
        <v>358692</v>
      </c>
      <c r="AA16" s="44">
        <v>179681</v>
      </c>
      <c r="AB16" s="44">
        <v>276618</v>
      </c>
      <c r="AC16" s="44">
        <v>5775408</v>
      </c>
      <c r="AD16" s="44">
        <v>257967</v>
      </c>
      <c r="AE16" s="44">
        <v>943098</v>
      </c>
      <c r="AF16" s="44">
        <v>292830</v>
      </c>
      <c r="AG16" s="44">
        <v>7269303</v>
      </c>
      <c r="AH16" s="44">
        <v>455</v>
      </c>
      <c r="AI16" s="44">
        <v>16194</v>
      </c>
      <c r="AJ16" s="44">
        <v>15976</v>
      </c>
      <c r="AK16" s="44">
        <v>176744</v>
      </c>
      <c r="AL16" s="44">
        <v>102800</v>
      </c>
      <c r="AM16" s="44">
        <v>0.65300000000000002</v>
      </c>
      <c r="AN16" s="44">
        <v>0.47847751015468748</v>
      </c>
      <c r="AO16" s="44">
        <v>0.11</v>
      </c>
      <c r="AP16" s="44">
        <v>0.58847751015468752</v>
      </c>
      <c r="AQ16" s="44">
        <v>0.77790000000000004</v>
      </c>
      <c r="AR16" s="44">
        <v>26.71</v>
      </c>
    </row>
    <row r="17" spans="1:44">
      <c r="A17" t="s">
        <v>1660</v>
      </c>
      <c r="B17" t="s">
        <v>1661</v>
      </c>
      <c r="D17" t="s">
        <v>1639</v>
      </c>
      <c r="E17" s="44">
        <v>551106</v>
      </c>
      <c r="F17" s="44">
        <v>9427772</v>
      </c>
      <c r="G17" s="44">
        <v>632841</v>
      </c>
      <c r="H17" s="126">
        <v>10060613</v>
      </c>
      <c r="I17" s="127">
        <v>2215334</v>
      </c>
      <c r="J17" s="128">
        <v>902805</v>
      </c>
      <c r="K17" s="130">
        <v>13178752</v>
      </c>
      <c r="L17" s="44">
        <v>126271</v>
      </c>
      <c r="M17" s="44">
        <v>223580</v>
      </c>
      <c r="N17" s="44">
        <v>2971533</v>
      </c>
      <c r="O17" s="44">
        <v>203392</v>
      </c>
      <c r="P17" s="44">
        <v>290989</v>
      </c>
      <c r="Q17" s="44">
        <v>1255053</v>
      </c>
      <c r="R17" s="44">
        <v>38472</v>
      </c>
      <c r="S17" s="44">
        <v>0</v>
      </c>
      <c r="T17" s="44">
        <v>761230</v>
      </c>
      <c r="U17" s="44">
        <v>524243</v>
      </c>
      <c r="V17" s="44">
        <v>0</v>
      </c>
      <c r="W17" s="44">
        <v>829089</v>
      </c>
      <c r="X17" s="44">
        <v>317517</v>
      </c>
      <c r="Y17" s="44">
        <v>928361</v>
      </c>
      <c r="Z17" s="44">
        <v>610616</v>
      </c>
      <c r="AA17" s="44">
        <v>701213</v>
      </c>
      <c r="AB17" s="44">
        <v>0</v>
      </c>
      <c r="AC17" s="44">
        <v>9781559</v>
      </c>
      <c r="AD17" s="44">
        <v>416514</v>
      </c>
      <c r="AE17" s="44">
        <v>933303</v>
      </c>
      <c r="AF17" s="44">
        <v>1403477</v>
      </c>
      <c r="AG17" s="44">
        <v>12534853</v>
      </c>
      <c r="AH17" s="44">
        <v>768</v>
      </c>
      <c r="AI17" s="44">
        <v>17160</v>
      </c>
      <c r="AJ17" s="44">
        <v>16321</v>
      </c>
      <c r="AK17" s="44">
        <v>140313</v>
      </c>
      <c r="AL17" s="44">
        <v>50133</v>
      </c>
      <c r="AM17" s="44">
        <v>0.38800000000000001</v>
      </c>
      <c r="AN17" s="44">
        <v>0.48224833589991045</v>
      </c>
      <c r="AO17" s="44">
        <v>0.125</v>
      </c>
      <c r="AP17" s="44">
        <v>0.60724833589991045</v>
      </c>
      <c r="AQ17" s="44">
        <v>0.77700000000000002</v>
      </c>
      <c r="AR17" s="44">
        <v>16.440000000000001</v>
      </c>
    </row>
    <row r="18" spans="1:44">
      <c r="A18" t="s">
        <v>1662</v>
      </c>
      <c r="B18" t="s">
        <v>1663</v>
      </c>
      <c r="D18" t="s">
        <v>1639</v>
      </c>
      <c r="E18" s="44">
        <v>877378</v>
      </c>
      <c r="F18" s="44">
        <v>5489777</v>
      </c>
      <c r="G18" s="44">
        <v>369325</v>
      </c>
      <c r="H18" s="126">
        <v>5859102</v>
      </c>
      <c r="I18" s="127">
        <v>1143216</v>
      </c>
      <c r="J18" s="128">
        <v>762010</v>
      </c>
      <c r="K18" s="130">
        <v>7764328</v>
      </c>
      <c r="L18" s="44">
        <v>95765</v>
      </c>
      <c r="M18" s="44">
        <v>204827</v>
      </c>
      <c r="N18" s="44">
        <v>2136839</v>
      </c>
      <c r="O18" s="44">
        <v>44508</v>
      </c>
      <c r="P18" s="44">
        <v>61157</v>
      </c>
      <c r="Q18" s="44">
        <v>729623</v>
      </c>
      <c r="R18" s="44">
        <v>21918</v>
      </c>
      <c r="S18" s="44">
        <v>0</v>
      </c>
      <c r="T18" s="44">
        <v>487902</v>
      </c>
      <c r="U18" s="44">
        <v>428205</v>
      </c>
      <c r="V18" s="44">
        <v>0</v>
      </c>
      <c r="W18" s="44">
        <v>436742</v>
      </c>
      <c r="X18" s="44">
        <v>250419</v>
      </c>
      <c r="Y18" s="44">
        <v>722188</v>
      </c>
      <c r="Z18" s="44">
        <v>466741</v>
      </c>
      <c r="AA18" s="44">
        <v>330366</v>
      </c>
      <c r="AB18" s="44">
        <v>74165</v>
      </c>
      <c r="AC18" s="44">
        <v>6491365</v>
      </c>
      <c r="AD18" s="44">
        <v>427002</v>
      </c>
      <c r="AE18" s="44">
        <v>274000</v>
      </c>
      <c r="AF18" s="44">
        <v>159515</v>
      </c>
      <c r="AG18" s="44">
        <v>7351882</v>
      </c>
      <c r="AH18" s="44">
        <v>434</v>
      </c>
      <c r="AI18" s="44">
        <v>17890</v>
      </c>
      <c r="AJ18" s="44">
        <v>16940</v>
      </c>
      <c r="AK18" s="44">
        <v>117314</v>
      </c>
      <c r="AL18" s="44">
        <v>44162</v>
      </c>
      <c r="AM18" s="44">
        <v>0.33399999999999996</v>
      </c>
      <c r="AN18" s="44">
        <v>0.53185728497818652</v>
      </c>
      <c r="AO18" s="44">
        <v>0.161</v>
      </c>
      <c r="AP18" s="44">
        <v>0.69285728497818655</v>
      </c>
      <c r="AQ18" s="44">
        <v>0.79269999999999996</v>
      </c>
      <c r="AR18" s="44">
        <v>15.27</v>
      </c>
    </row>
    <row r="19" spans="1:44">
      <c r="A19" t="s">
        <v>1664</v>
      </c>
      <c r="B19" t="s">
        <v>1665</v>
      </c>
      <c r="D19" t="s">
        <v>1639</v>
      </c>
      <c r="E19" s="44">
        <v>269517</v>
      </c>
      <c r="F19" s="44">
        <v>3619096</v>
      </c>
      <c r="G19" s="44">
        <v>372483</v>
      </c>
      <c r="H19" s="126">
        <v>3991579</v>
      </c>
      <c r="I19" s="127">
        <v>1450205</v>
      </c>
      <c r="J19" s="128">
        <v>263133</v>
      </c>
      <c r="K19" s="130">
        <v>5704917</v>
      </c>
      <c r="L19" s="44">
        <v>45923</v>
      </c>
      <c r="M19" s="44">
        <v>210804</v>
      </c>
      <c r="N19" s="44">
        <v>1543298</v>
      </c>
      <c r="O19" s="44">
        <v>85760</v>
      </c>
      <c r="P19" s="44">
        <v>75030</v>
      </c>
      <c r="Q19" s="44">
        <v>936592</v>
      </c>
      <c r="R19" s="44">
        <v>0</v>
      </c>
      <c r="S19" s="44">
        <v>0</v>
      </c>
      <c r="T19" s="44">
        <v>285820</v>
      </c>
      <c r="U19" s="44">
        <v>185926</v>
      </c>
      <c r="V19" s="44">
        <v>0</v>
      </c>
      <c r="W19" s="44">
        <v>282050</v>
      </c>
      <c r="X19" s="44">
        <v>158479</v>
      </c>
      <c r="Y19" s="44">
        <v>401820</v>
      </c>
      <c r="Z19" s="44">
        <v>267785</v>
      </c>
      <c r="AA19" s="44">
        <v>111662</v>
      </c>
      <c r="AB19" s="44">
        <v>0</v>
      </c>
      <c r="AC19" s="44">
        <v>4590949</v>
      </c>
      <c r="AD19" s="44">
        <v>325775</v>
      </c>
      <c r="AE19" s="44">
        <v>450000</v>
      </c>
      <c r="AF19" s="44">
        <v>110505</v>
      </c>
      <c r="AG19" s="44">
        <v>5477229</v>
      </c>
      <c r="AH19" s="44">
        <v>317</v>
      </c>
      <c r="AI19" s="44">
        <v>17997</v>
      </c>
      <c r="AJ19" s="44">
        <v>17278</v>
      </c>
      <c r="AK19" s="44">
        <v>164695</v>
      </c>
      <c r="AL19" s="44">
        <v>51667</v>
      </c>
      <c r="AM19" s="44">
        <v>0.42699999999999999</v>
      </c>
      <c r="AN19" s="44">
        <v>0.5682482875921383</v>
      </c>
      <c r="AO19" s="44">
        <v>0.12</v>
      </c>
      <c r="AP19" s="44">
        <v>0.6882482875921383</v>
      </c>
      <c r="AQ19" s="44">
        <v>0.82140000000000002</v>
      </c>
      <c r="AR19" s="44">
        <v>19.89</v>
      </c>
    </row>
    <row r="20" spans="1:44">
      <c r="A20" t="s">
        <v>1666</v>
      </c>
      <c r="B20" t="s">
        <v>1667</v>
      </c>
      <c r="D20" t="s">
        <v>1639</v>
      </c>
      <c r="E20" s="44">
        <v>1094600</v>
      </c>
      <c r="F20" s="44">
        <v>5502142</v>
      </c>
      <c r="G20" s="44">
        <v>481778</v>
      </c>
      <c r="H20" s="126">
        <v>5983920</v>
      </c>
      <c r="I20" s="127">
        <v>1239742</v>
      </c>
      <c r="J20" s="128">
        <v>919042</v>
      </c>
      <c r="K20" s="130">
        <v>8142704</v>
      </c>
      <c r="L20" s="44">
        <v>41992</v>
      </c>
      <c r="M20" s="44">
        <v>292008</v>
      </c>
      <c r="N20" s="44">
        <v>2203856</v>
      </c>
      <c r="O20" s="44">
        <v>127330</v>
      </c>
      <c r="P20" s="44">
        <v>65942</v>
      </c>
      <c r="Q20" s="44">
        <v>1453797</v>
      </c>
      <c r="R20" s="44">
        <v>24427</v>
      </c>
      <c r="S20" s="44">
        <v>0</v>
      </c>
      <c r="T20" s="44">
        <v>369333</v>
      </c>
      <c r="U20" s="44">
        <v>511400</v>
      </c>
      <c r="V20" s="44">
        <v>0</v>
      </c>
      <c r="W20" s="44">
        <v>359291</v>
      </c>
      <c r="X20" s="44">
        <v>181585</v>
      </c>
      <c r="Y20" s="44">
        <v>541820</v>
      </c>
      <c r="Z20" s="44">
        <v>505527</v>
      </c>
      <c r="AA20" s="44">
        <v>389658</v>
      </c>
      <c r="AB20" s="44">
        <v>0</v>
      </c>
      <c r="AC20" s="44">
        <v>7067966</v>
      </c>
      <c r="AD20" s="44">
        <v>225313</v>
      </c>
      <c r="AE20" s="44">
        <v>243997</v>
      </c>
      <c r="AF20" s="44">
        <v>379623</v>
      </c>
      <c r="AG20" s="44">
        <v>7916899</v>
      </c>
      <c r="AH20" s="44">
        <v>377</v>
      </c>
      <c r="AI20" s="44">
        <v>21599</v>
      </c>
      <c r="AJ20" s="44">
        <v>21000</v>
      </c>
      <c r="AK20" s="44">
        <v>92364</v>
      </c>
      <c r="AL20" s="44">
        <v>43816</v>
      </c>
      <c r="AM20" s="44">
        <v>0.29899999999999999</v>
      </c>
      <c r="AN20" s="44">
        <v>0.60075100111798829</v>
      </c>
      <c r="AO20" s="44">
        <v>0.13100000000000001</v>
      </c>
      <c r="AP20" s="44">
        <v>0.7317510011179883</v>
      </c>
      <c r="AQ20" s="44">
        <v>0.81899999999999995</v>
      </c>
      <c r="AR20" s="44">
        <v>24.2</v>
      </c>
    </row>
    <row r="21" spans="1:44">
      <c r="A21" t="s">
        <v>1668</v>
      </c>
      <c r="B21" t="s">
        <v>1669</v>
      </c>
      <c r="D21" t="s">
        <v>1639</v>
      </c>
      <c r="E21" s="44">
        <v>1665902</v>
      </c>
      <c r="F21" s="44">
        <v>7474553</v>
      </c>
      <c r="G21" s="44">
        <v>560354</v>
      </c>
      <c r="H21" s="126">
        <v>8034907</v>
      </c>
      <c r="I21" s="127">
        <v>2764165</v>
      </c>
      <c r="J21" s="128">
        <v>1248733</v>
      </c>
      <c r="K21" s="130">
        <v>12047805</v>
      </c>
      <c r="L21" s="44">
        <v>23581</v>
      </c>
      <c r="M21" s="44">
        <v>306835</v>
      </c>
      <c r="N21" s="44">
        <v>2900550</v>
      </c>
      <c r="O21" s="44">
        <v>136698</v>
      </c>
      <c r="P21" s="44">
        <v>82037</v>
      </c>
      <c r="Q21" s="44">
        <v>1752886</v>
      </c>
      <c r="R21" s="44">
        <v>112559</v>
      </c>
      <c r="S21" s="44">
        <v>0</v>
      </c>
      <c r="T21" s="44">
        <v>657523</v>
      </c>
      <c r="U21" s="44">
        <v>681863</v>
      </c>
      <c r="V21" s="44">
        <v>1700</v>
      </c>
      <c r="W21" s="44">
        <v>691464</v>
      </c>
      <c r="X21" s="44">
        <v>280756</v>
      </c>
      <c r="Y21" s="44">
        <v>899510</v>
      </c>
      <c r="Z21" s="44">
        <v>660767</v>
      </c>
      <c r="AA21" s="44">
        <v>317765</v>
      </c>
      <c r="AB21" s="44">
        <v>750000</v>
      </c>
      <c r="AC21" s="44">
        <v>10256494</v>
      </c>
      <c r="AD21" s="44">
        <v>575452</v>
      </c>
      <c r="AE21" s="44">
        <v>540430</v>
      </c>
      <c r="AF21" s="44">
        <v>230356</v>
      </c>
      <c r="AG21" s="44">
        <v>11602732</v>
      </c>
      <c r="AH21" s="44">
        <v>743</v>
      </c>
      <c r="AI21" s="44">
        <v>16215</v>
      </c>
      <c r="AJ21" s="44">
        <v>15616</v>
      </c>
      <c r="AK21" s="44">
        <v>135051</v>
      </c>
      <c r="AL21" s="44">
        <v>49357</v>
      </c>
      <c r="AM21" s="44">
        <v>0.378</v>
      </c>
      <c r="AN21" s="44">
        <v>0.54505404416821834</v>
      </c>
      <c r="AO21" s="44">
        <v>0.129</v>
      </c>
      <c r="AP21" s="44">
        <v>0.67405404416821835</v>
      </c>
      <c r="AQ21" s="44">
        <v>0.82079999999999997</v>
      </c>
      <c r="AR21" s="44">
        <v>20.12</v>
      </c>
    </row>
    <row r="22" spans="1:44">
      <c r="A22" t="s">
        <v>1670</v>
      </c>
      <c r="B22" t="s">
        <v>1671</v>
      </c>
      <c r="D22" t="s">
        <v>1639</v>
      </c>
      <c r="E22" s="44">
        <v>783627</v>
      </c>
      <c r="F22" s="44">
        <v>3706074</v>
      </c>
      <c r="G22" s="44">
        <v>256877</v>
      </c>
      <c r="H22" s="126">
        <v>3962951</v>
      </c>
      <c r="I22" s="127">
        <v>952453</v>
      </c>
      <c r="J22" s="128">
        <v>581054</v>
      </c>
      <c r="K22" s="130">
        <v>5496458</v>
      </c>
      <c r="L22" s="44">
        <v>50815</v>
      </c>
      <c r="M22" s="44">
        <v>118079</v>
      </c>
      <c r="N22" s="44">
        <v>1602800</v>
      </c>
      <c r="O22" s="44">
        <v>71641</v>
      </c>
      <c r="P22" s="44">
        <v>93346</v>
      </c>
      <c r="Q22" s="44">
        <v>805721</v>
      </c>
      <c r="R22" s="44">
        <v>0</v>
      </c>
      <c r="S22" s="44">
        <v>0</v>
      </c>
      <c r="T22" s="44">
        <v>183403</v>
      </c>
      <c r="U22" s="44">
        <v>341868</v>
      </c>
      <c r="V22" s="44">
        <v>0</v>
      </c>
      <c r="W22" s="44">
        <v>266862</v>
      </c>
      <c r="X22" s="44">
        <v>168306</v>
      </c>
      <c r="Y22" s="44">
        <v>409832</v>
      </c>
      <c r="Z22" s="44">
        <v>262988</v>
      </c>
      <c r="AA22" s="44">
        <v>216476</v>
      </c>
      <c r="AB22" s="44">
        <v>0</v>
      </c>
      <c r="AC22" s="44">
        <v>4592137</v>
      </c>
      <c r="AD22" s="44">
        <v>207690</v>
      </c>
      <c r="AE22" s="44">
        <v>279631</v>
      </c>
      <c r="AF22" s="44">
        <v>186420</v>
      </c>
      <c r="AG22" s="44">
        <v>5265878</v>
      </c>
      <c r="AH22" s="44">
        <v>292</v>
      </c>
      <c r="AI22" s="44">
        <v>18823</v>
      </c>
      <c r="AJ22" s="44">
        <v>18034</v>
      </c>
      <c r="AK22" s="44">
        <v>127580</v>
      </c>
      <c r="AL22" s="44">
        <v>35909</v>
      </c>
      <c r="AM22" s="44">
        <v>0.313</v>
      </c>
      <c r="AN22" s="44">
        <v>0.58846388009748807</v>
      </c>
      <c r="AO22" s="44">
        <v>0.13500000000000001</v>
      </c>
      <c r="AP22" s="44">
        <v>0.72346388009748808</v>
      </c>
      <c r="AQ22" s="44">
        <v>0.82979999999999998</v>
      </c>
      <c r="AR22" s="44">
        <v>21.29</v>
      </c>
    </row>
    <row r="23" spans="1:44">
      <c r="A23" t="s">
        <v>1672</v>
      </c>
      <c r="B23" t="s">
        <v>1673</v>
      </c>
      <c r="D23" t="s">
        <v>1639</v>
      </c>
      <c r="E23" s="44">
        <v>3483449</v>
      </c>
      <c r="F23" s="44">
        <v>12369168</v>
      </c>
      <c r="G23" s="44">
        <v>1389456</v>
      </c>
      <c r="H23" s="126">
        <v>13758624</v>
      </c>
      <c r="I23" s="127">
        <v>5809495</v>
      </c>
      <c r="J23" s="128">
        <v>1358722</v>
      </c>
      <c r="K23" s="130">
        <v>20926841</v>
      </c>
      <c r="L23" s="44">
        <v>62707</v>
      </c>
      <c r="M23" s="44">
        <v>374909</v>
      </c>
      <c r="N23" s="44">
        <v>5574349</v>
      </c>
      <c r="O23" s="44">
        <v>196241</v>
      </c>
      <c r="P23" s="44">
        <v>339560</v>
      </c>
      <c r="Q23" s="44">
        <v>2354601</v>
      </c>
      <c r="R23" s="44">
        <v>32830</v>
      </c>
      <c r="S23" s="44">
        <v>60144</v>
      </c>
      <c r="T23" s="44">
        <v>794485</v>
      </c>
      <c r="U23" s="44">
        <v>863864</v>
      </c>
      <c r="V23" s="44">
        <v>0</v>
      </c>
      <c r="W23" s="44">
        <v>1614846</v>
      </c>
      <c r="X23" s="44">
        <v>498630</v>
      </c>
      <c r="Y23" s="44">
        <v>1546803</v>
      </c>
      <c r="Z23" s="44">
        <v>950806</v>
      </c>
      <c r="AA23" s="44">
        <v>1037442</v>
      </c>
      <c r="AB23" s="44">
        <v>181276</v>
      </c>
      <c r="AC23" s="44">
        <v>16483493</v>
      </c>
      <c r="AD23" s="44">
        <v>906557</v>
      </c>
      <c r="AE23" s="44">
        <v>833086</v>
      </c>
      <c r="AF23" s="44">
        <v>412802</v>
      </c>
      <c r="AG23" s="44">
        <v>18635938</v>
      </c>
      <c r="AH23" s="44">
        <v>1055</v>
      </c>
      <c r="AI23" s="44">
        <v>19836</v>
      </c>
      <c r="AJ23" s="44">
        <v>17664</v>
      </c>
      <c r="AK23" s="44">
        <v>190683</v>
      </c>
      <c r="AL23" s="44">
        <v>63927</v>
      </c>
      <c r="AM23" s="44">
        <v>0.51100000000000001</v>
      </c>
      <c r="AN23" s="44">
        <v>0.54819210066056245</v>
      </c>
      <c r="AO23" s="44">
        <v>0.13300000000000001</v>
      </c>
      <c r="AP23" s="44">
        <v>0.68119210066056246</v>
      </c>
      <c r="AQ23" s="44">
        <v>0.77859999999999996</v>
      </c>
      <c r="AR23" s="44">
        <v>19.52</v>
      </c>
    </row>
    <row r="24" spans="1:44">
      <c r="A24" t="s">
        <v>1674</v>
      </c>
      <c r="B24" t="s">
        <v>1675</v>
      </c>
      <c r="D24" t="s">
        <v>1639</v>
      </c>
      <c r="E24" s="44">
        <v>480794</v>
      </c>
      <c r="F24" s="44">
        <v>6279722</v>
      </c>
      <c r="G24" s="44">
        <v>629318</v>
      </c>
      <c r="H24" s="126">
        <v>6909040</v>
      </c>
      <c r="I24" s="127">
        <v>1522665</v>
      </c>
      <c r="J24" s="128">
        <v>470408</v>
      </c>
      <c r="K24" s="130">
        <v>8902113</v>
      </c>
      <c r="L24" s="44">
        <v>60654</v>
      </c>
      <c r="M24" s="44">
        <v>289173</v>
      </c>
      <c r="N24" s="44">
        <v>2276027</v>
      </c>
      <c r="O24" s="44">
        <v>36261</v>
      </c>
      <c r="P24" s="44">
        <v>90777</v>
      </c>
      <c r="Q24" s="44">
        <v>1596088</v>
      </c>
      <c r="R24" s="44">
        <v>15413</v>
      </c>
      <c r="S24" s="44">
        <v>1564</v>
      </c>
      <c r="T24" s="44">
        <v>400915</v>
      </c>
      <c r="U24" s="44">
        <v>352175</v>
      </c>
      <c r="V24" s="44">
        <v>0</v>
      </c>
      <c r="W24" s="44">
        <v>669008</v>
      </c>
      <c r="X24" s="44">
        <v>144334</v>
      </c>
      <c r="Y24" s="44">
        <v>571664</v>
      </c>
      <c r="Z24" s="44">
        <v>426831</v>
      </c>
      <c r="AA24" s="44">
        <v>405767</v>
      </c>
      <c r="AB24" s="44">
        <v>15000</v>
      </c>
      <c r="AC24" s="44">
        <v>7351651</v>
      </c>
      <c r="AD24" s="44">
        <v>505347</v>
      </c>
      <c r="AE24" s="44">
        <v>832672</v>
      </c>
      <c r="AF24" s="44">
        <v>282882</v>
      </c>
      <c r="AG24" s="44">
        <v>8972552</v>
      </c>
      <c r="AH24" s="44">
        <v>481</v>
      </c>
      <c r="AI24" s="44">
        <v>18508</v>
      </c>
      <c r="AJ24" s="44">
        <v>18654</v>
      </c>
      <c r="AK24" s="44">
        <v>108929</v>
      </c>
      <c r="AL24" s="44">
        <v>46041</v>
      </c>
      <c r="AM24" s="44">
        <v>0.33099999999999996</v>
      </c>
      <c r="AN24" s="44">
        <v>0.53153439511969391</v>
      </c>
      <c r="AO24" s="44">
        <v>9.7000000000000003E-2</v>
      </c>
      <c r="AP24" s="44">
        <v>0.62853439511969389</v>
      </c>
      <c r="AQ24" s="44">
        <v>0.76759999999999995</v>
      </c>
      <c r="AR24" s="44">
        <v>22.18</v>
      </c>
    </row>
    <row r="25" spans="1:44">
      <c r="A25" t="s">
        <v>1676</v>
      </c>
      <c r="B25" t="s">
        <v>1677</v>
      </c>
      <c r="D25" t="s">
        <v>1639</v>
      </c>
      <c r="E25" s="44">
        <v>322925</v>
      </c>
      <c r="F25" s="44">
        <v>12790339</v>
      </c>
      <c r="G25" s="44">
        <v>1911191</v>
      </c>
      <c r="H25" s="126">
        <v>14701530</v>
      </c>
      <c r="I25" s="127">
        <v>5142327</v>
      </c>
      <c r="J25" s="128">
        <v>1950090</v>
      </c>
      <c r="K25" s="130">
        <v>21793947</v>
      </c>
      <c r="L25" s="44">
        <v>71766</v>
      </c>
      <c r="M25" s="44">
        <v>471927</v>
      </c>
      <c r="N25" s="44">
        <v>6826807</v>
      </c>
      <c r="O25" s="44">
        <v>307062</v>
      </c>
      <c r="P25" s="44">
        <v>481277</v>
      </c>
      <c r="Q25" s="44">
        <v>2112300</v>
      </c>
      <c r="R25" s="44">
        <v>7644</v>
      </c>
      <c r="S25" s="44">
        <v>0</v>
      </c>
      <c r="T25" s="44">
        <v>1385626</v>
      </c>
      <c r="U25" s="44">
        <v>1248193</v>
      </c>
      <c r="V25" s="44">
        <v>0</v>
      </c>
      <c r="W25" s="44">
        <v>1228807</v>
      </c>
      <c r="X25" s="44">
        <v>764061</v>
      </c>
      <c r="Y25" s="44">
        <v>1962288</v>
      </c>
      <c r="Z25" s="44">
        <v>1216503</v>
      </c>
      <c r="AA25" s="44">
        <v>853956</v>
      </c>
      <c r="AB25" s="44">
        <v>0</v>
      </c>
      <c r="AC25" s="44">
        <v>18938217</v>
      </c>
      <c r="AD25" s="44">
        <v>683463</v>
      </c>
      <c r="AE25" s="44">
        <v>1318000</v>
      </c>
      <c r="AF25" s="44">
        <v>1122470</v>
      </c>
      <c r="AG25" s="44">
        <v>22062150</v>
      </c>
      <c r="AH25" s="44">
        <v>1271</v>
      </c>
      <c r="AI25" s="44">
        <v>17147</v>
      </c>
      <c r="AJ25" s="44">
        <v>17358</v>
      </c>
      <c r="AK25" s="44">
        <v>172200</v>
      </c>
      <c r="AL25" s="44">
        <v>72071</v>
      </c>
      <c r="AM25" s="44">
        <v>0.52</v>
      </c>
      <c r="AN25" s="44">
        <v>0.56063933025566415</v>
      </c>
      <c r="AO25" s="44">
        <v>0.154</v>
      </c>
      <c r="AP25" s="44">
        <v>0.71463933025566417</v>
      </c>
      <c r="AQ25" s="44">
        <v>0.83220000000000005</v>
      </c>
      <c r="AR25" s="44">
        <v>17.03</v>
      </c>
    </row>
    <row r="26" spans="1:44">
      <c r="A26" t="s">
        <v>1678</v>
      </c>
      <c r="B26" t="s">
        <v>1679</v>
      </c>
      <c r="D26" t="s">
        <v>1639</v>
      </c>
      <c r="E26" s="44">
        <v>1610442</v>
      </c>
      <c r="F26" s="44">
        <v>14593566</v>
      </c>
      <c r="G26" s="44">
        <v>695082</v>
      </c>
      <c r="H26" s="126">
        <v>15288648</v>
      </c>
      <c r="I26" s="127">
        <v>2063994</v>
      </c>
      <c r="J26" s="128">
        <v>728314</v>
      </c>
      <c r="K26" s="130">
        <v>18080956</v>
      </c>
      <c r="L26" s="44">
        <v>149458</v>
      </c>
      <c r="M26" s="44">
        <v>224864</v>
      </c>
      <c r="N26" s="44">
        <v>4499369</v>
      </c>
      <c r="O26" s="44">
        <v>256998</v>
      </c>
      <c r="P26" s="44">
        <v>213760</v>
      </c>
      <c r="Q26" s="44">
        <v>1996901</v>
      </c>
      <c r="R26" s="44">
        <v>0</v>
      </c>
      <c r="S26" s="44">
        <v>8444</v>
      </c>
      <c r="T26" s="44">
        <v>944974</v>
      </c>
      <c r="U26" s="44">
        <v>634074</v>
      </c>
      <c r="V26" s="44">
        <v>0</v>
      </c>
      <c r="W26" s="44">
        <v>1036228</v>
      </c>
      <c r="X26" s="44">
        <v>415809</v>
      </c>
      <c r="Y26" s="44">
        <v>1389676</v>
      </c>
      <c r="Z26" s="44">
        <v>823932</v>
      </c>
      <c r="AA26" s="44">
        <v>683529</v>
      </c>
      <c r="AB26" s="44">
        <v>0</v>
      </c>
      <c r="AC26" s="44">
        <v>13278016</v>
      </c>
      <c r="AD26" s="44">
        <v>749814</v>
      </c>
      <c r="AE26" s="44">
        <v>2521102</v>
      </c>
      <c r="AF26" s="44">
        <v>818678</v>
      </c>
      <c r="AG26" s="44">
        <v>17367610</v>
      </c>
      <c r="AH26" s="44">
        <v>905</v>
      </c>
      <c r="AI26" s="44">
        <v>19979</v>
      </c>
      <c r="AJ26" s="44">
        <v>19191</v>
      </c>
      <c r="AK26" s="44">
        <v>93472</v>
      </c>
      <c r="AL26" s="44">
        <v>44455</v>
      </c>
      <c r="AM26" s="44">
        <v>0.30399999999999999</v>
      </c>
      <c r="AN26" s="44">
        <v>0.49255597056820138</v>
      </c>
      <c r="AO26" s="44">
        <v>0.127</v>
      </c>
      <c r="AP26" s="44">
        <v>0.61955597056820144</v>
      </c>
      <c r="AQ26" s="44">
        <v>0.80989999999999995</v>
      </c>
      <c r="AR26" s="44">
        <v>16.29</v>
      </c>
    </row>
    <row r="27" spans="1:44">
      <c r="A27" t="s">
        <v>1680</v>
      </c>
      <c r="B27" t="s">
        <v>1681</v>
      </c>
      <c r="D27" t="s">
        <v>1639</v>
      </c>
      <c r="E27" s="44">
        <v>1392183</v>
      </c>
      <c r="F27" s="44">
        <v>16582764</v>
      </c>
      <c r="G27" s="44">
        <v>2373847</v>
      </c>
      <c r="H27" s="126">
        <v>18956611</v>
      </c>
      <c r="I27" s="127">
        <v>7601389</v>
      </c>
      <c r="J27" s="128">
        <v>787481</v>
      </c>
      <c r="K27" s="130">
        <v>27345481</v>
      </c>
      <c r="L27" s="44">
        <v>106384</v>
      </c>
      <c r="M27" s="44">
        <v>604182</v>
      </c>
      <c r="N27" s="44">
        <v>7407703</v>
      </c>
      <c r="O27" s="44">
        <v>478512</v>
      </c>
      <c r="P27" s="44">
        <v>557100</v>
      </c>
      <c r="Q27" s="44">
        <v>3042889</v>
      </c>
      <c r="R27" s="44">
        <v>219067</v>
      </c>
      <c r="S27" s="44">
        <v>0</v>
      </c>
      <c r="T27" s="44">
        <v>1803307</v>
      </c>
      <c r="U27" s="44">
        <v>773196</v>
      </c>
      <c r="V27" s="44">
        <v>276</v>
      </c>
      <c r="W27" s="44">
        <v>1802565</v>
      </c>
      <c r="X27" s="44">
        <v>749992</v>
      </c>
      <c r="Y27" s="44">
        <v>3304660</v>
      </c>
      <c r="Z27" s="44">
        <v>1236739</v>
      </c>
      <c r="AA27" s="44">
        <v>383973</v>
      </c>
      <c r="AB27" s="44">
        <v>7216</v>
      </c>
      <c r="AC27" s="44">
        <v>22477761</v>
      </c>
      <c r="AD27" s="44">
        <v>1588888</v>
      </c>
      <c r="AE27" s="44">
        <v>1705694</v>
      </c>
      <c r="AF27" s="44">
        <v>872176</v>
      </c>
      <c r="AG27" s="44">
        <v>26644519</v>
      </c>
      <c r="AH27" s="44">
        <v>1798</v>
      </c>
      <c r="AI27" s="44">
        <v>15209</v>
      </c>
      <c r="AJ27" s="44">
        <v>14819</v>
      </c>
      <c r="AK27" s="44">
        <v>143838</v>
      </c>
      <c r="AL27" s="44">
        <v>85260</v>
      </c>
      <c r="AM27" s="44">
        <v>0.53800000000000003</v>
      </c>
      <c r="AN27" s="44">
        <v>0.53601170281963051</v>
      </c>
      <c r="AO27" s="44">
        <v>0.17599999999999999</v>
      </c>
      <c r="AP27" s="44">
        <v>0.71201170281963044</v>
      </c>
      <c r="AQ27" s="44">
        <v>0.84240000000000004</v>
      </c>
      <c r="AR27" s="44">
        <v>20.23</v>
      </c>
    </row>
    <row r="28" spans="1:44">
      <c r="A28" t="s">
        <v>1682</v>
      </c>
      <c r="B28" t="s">
        <v>1683</v>
      </c>
      <c r="D28" t="s">
        <v>1639</v>
      </c>
      <c r="E28" s="44">
        <v>1364436</v>
      </c>
      <c r="F28" s="44">
        <v>43941654</v>
      </c>
      <c r="G28" s="44">
        <v>7016308</v>
      </c>
      <c r="H28" s="126">
        <v>50957962</v>
      </c>
      <c r="I28" s="127">
        <v>31089422</v>
      </c>
      <c r="J28" s="128">
        <v>7879124</v>
      </c>
      <c r="K28" s="130">
        <v>89926508</v>
      </c>
      <c r="L28" s="44">
        <v>169475</v>
      </c>
      <c r="M28" s="44">
        <v>1633849</v>
      </c>
      <c r="N28" s="44">
        <v>29680135</v>
      </c>
      <c r="O28" s="44">
        <v>1210855</v>
      </c>
      <c r="P28" s="44">
        <v>1779313</v>
      </c>
      <c r="Q28" s="44">
        <v>6251345</v>
      </c>
      <c r="R28" s="44">
        <v>458184</v>
      </c>
      <c r="S28" s="44">
        <v>0</v>
      </c>
      <c r="T28" s="44">
        <v>7356619</v>
      </c>
      <c r="U28" s="44">
        <v>5473104</v>
      </c>
      <c r="V28" s="44">
        <v>0</v>
      </c>
      <c r="W28" s="44">
        <v>6698901</v>
      </c>
      <c r="X28" s="44">
        <v>2755779</v>
      </c>
      <c r="Y28" s="44">
        <v>10663827</v>
      </c>
      <c r="Z28" s="44">
        <v>6228285</v>
      </c>
      <c r="AA28" s="44">
        <v>1571990</v>
      </c>
      <c r="AB28" s="44">
        <v>16</v>
      </c>
      <c r="AC28" s="44">
        <v>81931677</v>
      </c>
      <c r="AD28" s="44">
        <v>2450872</v>
      </c>
      <c r="AE28" s="44">
        <v>3836190</v>
      </c>
      <c r="AF28" s="44">
        <v>1862414</v>
      </c>
      <c r="AG28" s="44">
        <v>90081153</v>
      </c>
      <c r="AH28" s="44">
        <v>6268</v>
      </c>
      <c r="AI28" s="44">
        <v>14347</v>
      </c>
      <c r="AJ28" s="44">
        <v>14372</v>
      </c>
      <c r="AK28" s="44">
        <v>161598</v>
      </c>
      <c r="AL28" s="44">
        <v>75685</v>
      </c>
      <c r="AM28" s="44">
        <v>0.52100000000000002</v>
      </c>
      <c r="AN28" s="44">
        <v>0.57958355617406454</v>
      </c>
      <c r="AO28" s="44">
        <v>0.20200000000000001</v>
      </c>
      <c r="AP28" s="44">
        <v>0.7815835561740645</v>
      </c>
      <c r="AQ28" s="44">
        <v>0.85819999999999996</v>
      </c>
      <c r="AR28" s="44">
        <v>24.53</v>
      </c>
    </row>
    <row r="29" spans="1:44">
      <c r="A29" t="s">
        <v>1684</v>
      </c>
      <c r="B29" t="s">
        <v>1685</v>
      </c>
      <c r="D29" t="s">
        <v>1639</v>
      </c>
      <c r="E29" s="44">
        <v>2625752</v>
      </c>
      <c r="F29" s="44">
        <v>10902933</v>
      </c>
      <c r="G29" s="44">
        <v>841791</v>
      </c>
      <c r="H29" s="126">
        <v>11744724</v>
      </c>
      <c r="I29" s="127">
        <v>3128005</v>
      </c>
      <c r="J29" s="128">
        <v>857848</v>
      </c>
      <c r="K29" s="130">
        <v>15730577</v>
      </c>
      <c r="L29" s="44">
        <v>137995</v>
      </c>
      <c r="M29" s="44">
        <v>308029</v>
      </c>
      <c r="N29" s="44">
        <v>4724554</v>
      </c>
      <c r="O29" s="44">
        <v>200134</v>
      </c>
      <c r="P29" s="44">
        <v>247323</v>
      </c>
      <c r="Q29" s="44">
        <v>2157127</v>
      </c>
      <c r="R29" s="44">
        <v>52509</v>
      </c>
      <c r="S29" s="44">
        <v>76886</v>
      </c>
      <c r="T29" s="44">
        <v>879141</v>
      </c>
      <c r="U29" s="44">
        <v>532541</v>
      </c>
      <c r="V29" s="44">
        <v>0</v>
      </c>
      <c r="W29" s="44">
        <v>720022</v>
      </c>
      <c r="X29" s="44">
        <v>449961</v>
      </c>
      <c r="Y29" s="44">
        <v>1966400</v>
      </c>
      <c r="Z29" s="44">
        <v>899679</v>
      </c>
      <c r="AA29" s="44">
        <v>161865</v>
      </c>
      <c r="AB29" s="44">
        <v>0</v>
      </c>
      <c r="AC29" s="44">
        <v>13514166</v>
      </c>
      <c r="AD29" s="44">
        <v>651137</v>
      </c>
      <c r="AE29" s="44">
        <v>445000</v>
      </c>
      <c r="AF29" s="44">
        <v>158443</v>
      </c>
      <c r="AG29" s="44">
        <v>14768746</v>
      </c>
      <c r="AH29" s="44">
        <v>1039</v>
      </c>
      <c r="AI29" s="44">
        <v>15140</v>
      </c>
      <c r="AJ29" s="44">
        <v>14214</v>
      </c>
      <c r="AK29" s="44">
        <v>124800</v>
      </c>
      <c r="AL29" s="44">
        <v>54173</v>
      </c>
      <c r="AM29" s="44">
        <v>0.38500000000000001</v>
      </c>
      <c r="AN29" s="44">
        <v>0.60060718763800258</v>
      </c>
      <c r="AO29" s="44">
        <v>0.193</v>
      </c>
      <c r="AP29" s="44">
        <v>0.79360718763800264</v>
      </c>
      <c r="AQ29" s="44">
        <v>0.86619999999999997</v>
      </c>
      <c r="AR29" s="44">
        <v>16.940000000000001</v>
      </c>
    </row>
    <row r="30" spans="1:44">
      <c r="A30" t="s">
        <v>1686</v>
      </c>
      <c r="B30" t="s">
        <v>1687</v>
      </c>
      <c r="D30" t="s">
        <v>1639</v>
      </c>
      <c r="E30" s="44">
        <v>1358860</v>
      </c>
      <c r="F30" s="44">
        <v>15720536</v>
      </c>
      <c r="G30" s="44">
        <v>3426321</v>
      </c>
      <c r="H30" s="126">
        <v>19146857</v>
      </c>
      <c r="I30" s="127">
        <v>10671066</v>
      </c>
      <c r="J30" s="128">
        <v>920517</v>
      </c>
      <c r="K30" s="130">
        <v>30738440</v>
      </c>
      <c r="L30" s="44">
        <v>162422</v>
      </c>
      <c r="M30" s="44">
        <v>735985</v>
      </c>
      <c r="N30" s="44">
        <v>9109191</v>
      </c>
      <c r="O30" s="44">
        <v>540073</v>
      </c>
      <c r="P30" s="44">
        <v>633324</v>
      </c>
      <c r="Q30" s="44">
        <v>2994966</v>
      </c>
      <c r="R30" s="44">
        <v>181404</v>
      </c>
      <c r="S30" s="44">
        <v>0</v>
      </c>
      <c r="T30" s="44">
        <v>1647905</v>
      </c>
      <c r="U30" s="44">
        <v>803730</v>
      </c>
      <c r="V30" s="44">
        <v>0</v>
      </c>
      <c r="W30" s="44">
        <v>2272389</v>
      </c>
      <c r="X30" s="44">
        <v>977875</v>
      </c>
      <c r="Y30" s="44">
        <v>5090515</v>
      </c>
      <c r="Z30" s="44">
        <v>1708483</v>
      </c>
      <c r="AA30" s="44">
        <v>499250</v>
      </c>
      <c r="AB30" s="44">
        <v>54485</v>
      </c>
      <c r="AC30" s="44">
        <v>27411997</v>
      </c>
      <c r="AD30" s="44">
        <v>959024</v>
      </c>
      <c r="AE30" s="44">
        <v>1148260</v>
      </c>
      <c r="AF30" s="44">
        <v>716446</v>
      </c>
      <c r="AG30" s="44">
        <v>30235727</v>
      </c>
      <c r="AH30" s="44">
        <v>1930</v>
      </c>
      <c r="AI30" s="44">
        <v>15927</v>
      </c>
      <c r="AJ30" s="44">
        <v>15666</v>
      </c>
      <c r="AK30" s="44">
        <v>166335</v>
      </c>
      <c r="AL30" s="44">
        <v>72182</v>
      </c>
      <c r="AM30" s="44">
        <v>0.51300000000000001</v>
      </c>
      <c r="AN30" s="44">
        <v>0.52621830459046015</v>
      </c>
      <c r="AO30" s="44">
        <v>0.221</v>
      </c>
      <c r="AP30" s="44">
        <v>0.74721830459046013</v>
      </c>
      <c r="AQ30" s="44">
        <v>0.82289999999999996</v>
      </c>
      <c r="AR30" s="44">
        <v>24.13</v>
      </c>
    </row>
    <row r="31" spans="1:44">
      <c r="A31" t="s">
        <v>1688</v>
      </c>
      <c r="B31" t="s">
        <v>1689</v>
      </c>
      <c r="D31" t="s">
        <v>1639</v>
      </c>
      <c r="E31" s="44">
        <v>-3064349</v>
      </c>
      <c r="F31" s="44">
        <v>12000988</v>
      </c>
      <c r="G31" s="44">
        <v>3716585</v>
      </c>
      <c r="H31" s="126">
        <v>15717573</v>
      </c>
      <c r="I31" s="127">
        <v>10429691</v>
      </c>
      <c r="J31" s="128">
        <v>981228</v>
      </c>
      <c r="K31" s="130">
        <v>27128492</v>
      </c>
      <c r="L31" s="44">
        <v>113391</v>
      </c>
      <c r="M31" s="44">
        <v>680084</v>
      </c>
      <c r="N31" s="44">
        <v>8134360</v>
      </c>
      <c r="O31" s="44">
        <v>544941</v>
      </c>
      <c r="P31" s="44">
        <v>623294</v>
      </c>
      <c r="Q31" s="44">
        <v>2794442</v>
      </c>
      <c r="R31" s="44">
        <v>51033</v>
      </c>
      <c r="S31" s="44">
        <v>0</v>
      </c>
      <c r="T31" s="44">
        <v>1691792</v>
      </c>
      <c r="U31" s="44">
        <v>881334</v>
      </c>
      <c r="V31" s="44">
        <v>2211</v>
      </c>
      <c r="W31" s="44">
        <v>2103065</v>
      </c>
      <c r="X31" s="44">
        <v>846687</v>
      </c>
      <c r="Y31" s="44">
        <v>4924300</v>
      </c>
      <c r="Z31" s="44">
        <v>1448511</v>
      </c>
      <c r="AA31" s="44">
        <v>360957</v>
      </c>
      <c r="AB31" s="44">
        <v>205789</v>
      </c>
      <c r="AC31" s="44">
        <v>25406191</v>
      </c>
      <c r="AD31" s="44">
        <v>829405</v>
      </c>
      <c r="AE31" s="44">
        <v>1785000</v>
      </c>
      <c r="AF31" s="44">
        <v>1243369</v>
      </c>
      <c r="AG31" s="44">
        <v>29263965</v>
      </c>
      <c r="AH31" s="44">
        <v>2030</v>
      </c>
      <c r="AI31" s="44">
        <v>13364</v>
      </c>
      <c r="AJ31" s="44">
        <v>14416</v>
      </c>
      <c r="AK31" s="44">
        <v>201889</v>
      </c>
      <c r="AL31" s="44">
        <v>82076</v>
      </c>
      <c r="AM31" s="44">
        <v>0.6</v>
      </c>
      <c r="AN31" s="44">
        <v>0.50304857868713282</v>
      </c>
      <c r="AO31" s="44">
        <v>0.20899999999999999</v>
      </c>
      <c r="AP31" s="44">
        <v>0.71204857868713278</v>
      </c>
      <c r="AQ31" s="44">
        <v>0.82589999999999997</v>
      </c>
      <c r="AR31" s="44">
        <v>19.670000000000002</v>
      </c>
    </row>
    <row r="32" spans="1:44">
      <c r="A32" t="s">
        <v>1690</v>
      </c>
      <c r="B32" t="s">
        <v>1691</v>
      </c>
      <c r="D32" t="s">
        <v>1639</v>
      </c>
      <c r="E32" s="44">
        <v>1831452</v>
      </c>
      <c r="F32" s="44">
        <v>17122950</v>
      </c>
      <c r="G32" s="44">
        <v>5485540</v>
      </c>
      <c r="H32" s="126">
        <v>22608490</v>
      </c>
      <c r="I32" s="127">
        <v>14855960</v>
      </c>
      <c r="J32" s="128">
        <v>1017171</v>
      </c>
      <c r="K32" s="130">
        <v>38481621</v>
      </c>
      <c r="L32" s="44">
        <v>66754</v>
      </c>
      <c r="M32" s="44">
        <v>688751</v>
      </c>
      <c r="N32" s="44">
        <v>10849247</v>
      </c>
      <c r="O32" s="44">
        <v>631059</v>
      </c>
      <c r="P32" s="44">
        <v>854911</v>
      </c>
      <c r="Q32" s="44">
        <v>3125268</v>
      </c>
      <c r="R32" s="44">
        <v>14074</v>
      </c>
      <c r="S32" s="44">
        <v>103997</v>
      </c>
      <c r="T32" s="44">
        <v>2173717</v>
      </c>
      <c r="U32" s="44">
        <v>1519463</v>
      </c>
      <c r="V32" s="44">
        <v>0</v>
      </c>
      <c r="W32" s="44">
        <v>2448026</v>
      </c>
      <c r="X32" s="44">
        <v>1083046</v>
      </c>
      <c r="Y32" s="44">
        <v>7068945</v>
      </c>
      <c r="Z32" s="44">
        <v>3101412</v>
      </c>
      <c r="AA32" s="44">
        <v>1855085</v>
      </c>
      <c r="AB32" s="44">
        <v>1600000</v>
      </c>
      <c r="AC32" s="44">
        <v>37183755</v>
      </c>
      <c r="AD32" s="44">
        <v>1467659</v>
      </c>
      <c r="AE32" s="44">
        <v>1059400</v>
      </c>
      <c r="AF32" s="44">
        <v>602111</v>
      </c>
      <c r="AG32" s="44">
        <v>40312925</v>
      </c>
      <c r="AH32" s="44">
        <v>2648</v>
      </c>
      <c r="AI32" s="44">
        <v>14532</v>
      </c>
      <c r="AJ32" s="44">
        <v>15224</v>
      </c>
      <c r="AK32" s="44">
        <v>159571</v>
      </c>
      <c r="AL32" s="44">
        <v>84911</v>
      </c>
      <c r="AM32" s="44">
        <v>0.55599999999999994</v>
      </c>
      <c r="AN32" s="44">
        <v>0.47805352749769459</v>
      </c>
      <c r="AO32" s="44">
        <v>0.23400000000000001</v>
      </c>
      <c r="AP32" s="44">
        <v>0.71205352749769457</v>
      </c>
      <c r="AQ32" s="44">
        <v>0.80610000000000004</v>
      </c>
      <c r="AR32" s="44">
        <v>24.59</v>
      </c>
    </row>
    <row r="33" spans="1:44">
      <c r="A33" t="s">
        <v>1692</v>
      </c>
      <c r="B33" t="s">
        <v>1693</v>
      </c>
      <c r="D33" t="s">
        <v>1639</v>
      </c>
      <c r="E33" s="44">
        <v>1375861</v>
      </c>
      <c r="F33" s="44">
        <v>5550982</v>
      </c>
      <c r="G33" s="44">
        <v>655683</v>
      </c>
      <c r="H33" s="126">
        <v>6206665</v>
      </c>
      <c r="I33" s="127">
        <v>6432590</v>
      </c>
      <c r="J33" s="128">
        <v>658604</v>
      </c>
      <c r="K33" s="130">
        <v>13297859</v>
      </c>
      <c r="L33" s="44">
        <v>149886</v>
      </c>
      <c r="M33" s="44">
        <v>307047</v>
      </c>
      <c r="N33" s="44">
        <v>3698590</v>
      </c>
      <c r="O33" s="44">
        <v>139369</v>
      </c>
      <c r="P33" s="44">
        <v>202549</v>
      </c>
      <c r="Q33" s="44">
        <v>1636620</v>
      </c>
      <c r="R33" s="44">
        <v>212631</v>
      </c>
      <c r="S33" s="44">
        <v>0</v>
      </c>
      <c r="T33" s="44">
        <v>776130</v>
      </c>
      <c r="U33" s="44">
        <v>460554</v>
      </c>
      <c r="V33" s="44">
        <v>0</v>
      </c>
      <c r="W33" s="44">
        <v>963424</v>
      </c>
      <c r="X33" s="44">
        <v>360233</v>
      </c>
      <c r="Y33" s="44">
        <v>2096995</v>
      </c>
      <c r="Z33" s="44">
        <v>595958</v>
      </c>
      <c r="AA33" s="44">
        <v>126637</v>
      </c>
      <c r="AB33" s="44">
        <v>415000</v>
      </c>
      <c r="AC33" s="44">
        <v>12141623</v>
      </c>
      <c r="AD33" s="44">
        <v>537061</v>
      </c>
      <c r="AE33" s="44">
        <v>685000</v>
      </c>
      <c r="AF33" s="44">
        <v>245292</v>
      </c>
      <c r="AG33" s="44">
        <v>13608976</v>
      </c>
      <c r="AH33" s="44">
        <v>729</v>
      </c>
      <c r="AI33" s="44">
        <v>18241</v>
      </c>
      <c r="AJ33" s="44">
        <v>18668</v>
      </c>
      <c r="AK33" s="44">
        <v>349458</v>
      </c>
      <c r="AL33" s="44">
        <v>46746</v>
      </c>
      <c r="AM33" s="44">
        <v>0.64800000000000002</v>
      </c>
      <c r="AN33" s="44">
        <v>0.52365754778316898</v>
      </c>
      <c r="AO33" s="44">
        <v>0.19400000000000001</v>
      </c>
      <c r="AP33" s="44">
        <v>0.71765754778316904</v>
      </c>
      <c r="AQ33" s="44">
        <v>0.82920000000000005</v>
      </c>
      <c r="AR33" s="44">
        <v>17.48</v>
      </c>
    </row>
    <row r="34" spans="1:44">
      <c r="A34" t="s">
        <v>1694</v>
      </c>
      <c r="B34" t="s">
        <v>1695</v>
      </c>
      <c r="D34" t="s">
        <v>1639</v>
      </c>
      <c r="E34" s="44">
        <v>1323756</v>
      </c>
      <c r="F34" s="44">
        <v>17957298</v>
      </c>
      <c r="G34" s="44">
        <v>1526175</v>
      </c>
      <c r="H34" s="126">
        <v>19483473</v>
      </c>
      <c r="I34" s="127">
        <v>4649186</v>
      </c>
      <c r="J34" s="128">
        <v>1263406</v>
      </c>
      <c r="K34" s="130">
        <v>25396065</v>
      </c>
      <c r="L34" s="44">
        <v>136669</v>
      </c>
      <c r="M34" s="44">
        <v>400586</v>
      </c>
      <c r="N34" s="44">
        <v>8195589</v>
      </c>
      <c r="O34" s="44">
        <v>502470</v>
      </c>
      <c r="P34" s="44">
        <v>530095</v>
      </c>
      <c r="Q34" s="44">
        <v>3156243</v>
      </c>
      <c r="R34" s="44">
        <v>76324</v>
      </c>
      <c r="S34" s="44">
        <v>0</v>
      </c>
      <c r="T34" s="44">
        <v>1174668</v>
      </c>
      <c r="U34" s="44">
        <v>570757</v>
      </c>
      <c r="V34" s="44">
        <v>0</v>
      </c>
      <c r="W34" s="44">
        <v>1277211</v>
      </c>
      <c r="X34" s="44">
        <v>940568</v>
      </c>
      <c r="Y34" s="44">
        <v>3330061</v>
      </c>
      <c r="Z34" s="44">
        <v>1353557</v>
      </c>
      <c r="AA34" s="44">
        <v>464039</v>
      </c>
      <c r="AB34" s="44">
        <v>0</v>
      </c>
      <c r="AC34" s="44">
        <v>22108837</v>
      </c>
      <c r="AD34" s="44">
        <v>1377229</v>
      </c>
      <c r="AE34" s="44">
        <v>805000</v>
      </c>
      <c r="AF34" s="44">
        <v>382013</v>
      </c>
      <c r="AG34" s="44">
        <v>24673079</v>
      </c>
      <c r="AH34" s="44">
        <v>1792</v>
      </c>
      <c r="AI34" s="44">
        <v>14172</v>
      </c>
      <c r="AJ34" s="44">
        <v>13768</v>
      </c>
      <c r="AK34" s="44">
        <v>116421</v>
      </c>
      <c r="AL34" s="44">
        <v>53285</v>
      </c>
      <c r="AM34" s="44">
        <v>0.37</v>
      </c>
      <c r="AN34" s="44">
        <v>0.57577515963856796</v>
      </c>
      <c r="AO34" s="44">
        <v>0.19400000000000001</v>
      </c>
      <c r="AP34" s="44">
        <v>0.76977515963856802</v>
      </c>
      <c r="AQ34" s="44">
        <v>0.85799999999999998</v>
      </c>
      <c r="AR34" s="44">
        <v>16.52</v>
      </c>
    </row>
    <row r="35" spans="1:44">
      <c r="A35" t="s">
        <v>1696</v>
      </c>
      <c r="B35" t="s">
        <v>1697</v>
      </c>
      <c r="D35" t="s">
        <v>1639</v>
      </c>
      <c r="E35" s="44">
        <v>4257470</v>
      </c>
      <c r="F35" s="44">
        <v>25006850</v>
      </c>
      <c r="G35" s="44">
        <v>8507183</v>
      </c>
      <c r="H35" s="126">
        <v>33514033</v>
      </c>
      <c r="I35" s="127">
        <v>28489647</v>
      </c>
      <c r="J35" s="128">
        <v>4694212</v>
      </c>
      <c r="K35" s="130">
        <v>66697892</v>
      </c>
      <c r="L35" s="44">
        <v>119188</v>
      </c>
      <c r="M35" s="44">
        <v>1375157</v>
      </c>
      <c r="N35" s="44">
        <v>19971882</v>
      </c>
      <c r="O35" s="44">
        <v>949589</v>
      </c>
      <c r="P35" s="44">
        <v>1439415</v>
      </c>
      <c r="Q35" s="44">
        <v>6647078</v>
      </c>
      <c r="R35" s="44">
        <v>236490</v>
      </c>
      <c r="S35" s="44">
        <v>118700</v>
      </c>
      <c r="T35" s="44">
        <v>3966519</v>
      </c>
      <c r="U35" s="44">
        <v>2434413</v>
      </c>
      <c r="V35" s="44">
        <v>0</v>
      </c>
      <c r="W35" s="44">
        <v>6670130</v>
      </c>
      <c r="X35" s="44">
        <v>1829263</v>
      </c>
      <c r="Y35" s="44">
        <v>8677208</v>
      </c>
      <c r="Z35" s="44">
        <v>3908430</v>
      </c>
      <c r="AA35" s="44">
        <v>2211797</v>
      </c>
      <c r="AB35" s="44">
        <v>24410</v>
      </c>
      <c r="AC35" s="44">
        <v>60579669</v>
      </c>
      <c r="AD35" s="44">
        <v>1479656</v>
      </c>
      <c r="AE35" s="44">
        <v>1226657</v>
      </c>
      <c r="AF35" s="44">
        <v>1359305</v>
      </c>
      <c r="AG35" s="44">
        <v>64645287</v>
      </c>
      <c r="AH35" s="44">
        <v>4521</v>
      </c>
      <c r="AI35" s="44">
        <v>14753</v>
      </c>
      <c r="AJ35" s="44">
        <v>14299</v>
      </c>
      <c r="AK35" s="44">
        <v>172779</v>
      </c>
      <c r="AL35" s="44">
        <v>94019</v>
      </c>
      <c r="AM35" s="44">
        <v>0.61099999999999999</v>
      </c>
      <c r="AN35" s="44">
        <v>0.55323578345316959</v>
      </c>
      <c r="AO35" s="44">
        <v>0.193</v>
      </c>
      <c r="AP35" s="44">
        <v>0.74623578345316965</v>
      </c>
      <c r="AQ35" s="44">
        <v>0.79630000000000001</v>
      </c>
      <c r="AR35" s="44">
        <v>26.91</v>
      </c>
    </row>
    <row r="36" spans="1:44">
      <c r="A36" t="s">
        <v>1698</v>
      </c>
      <c r="B36" t="s">
        <v>1699</v>
      </c>
      <c r="D36" t="s">
        <v>1639</v>
      </c>
      <c r="E36" s="44">
        <v>1462478</v>
      </c>
      <c r="F36" s="44">
        <v>18978266</v>
      </c>
      <c r="G36" s="44">
        <v>4244982</v>
      </c>
      <c r="H36" s="126">
        <v>23223248</v>
      </c>
      <c r="I36" s="127">
        <v>17595142</v>
      </c>
      <c r="J36" s="128">
        <v>1967579</v>
      </c>
      <c r="K36" s="130">
        <v>42785969</v>
      </c>
      <c r="L36" s="44">
        <v>151732</v>
      </c>
      <c r="M36" s="44">
        <v>728609</v>
      </c>
      <c r="N36" s="44">
        <v>12608323</v>
      </c>
      <c r="O36" s="44">
        <v>676727</v>
      </c>
      <c r="P36" s="44">
        <v>994720</v>
      </c>
      <c r="Q36" s="44">
        <v>4684872</v>
      </c>
      <c r="R36" s="44">
        <v>244702</v>
      </c>
      <c r="S36" s="44">
        <v>250435</v>
      </c>
      <c r="T36" s="44">
        <v>3415215</v>
      </c>
      <c r="U36" s="44">
        <v>1817278</v>
      </c>
      <c r="V36" s="44">
        <v>6858</v>
      </c>
      <c r="W36" s="44">
        <v>2831396</v>
      </c>
      <c r="X36" s="44">
        <v>1203641</v>
      </c>
      <c r="Y36" s="44">
        <v>5286834</v>
      </c>
      <c r="Z36" s="44">
        <v>2248521</v>
      </c>
      <c r="AA36" s="44">
        <v>476279</v>
      </c>
      <c r="AB36" s="44">
        <v>0</v>
      </c>
      <c r="AC36" s="44">
        <v>37626142</v>
      </c>
      <c r="AD36" s="44">
        <v>1602688</v>
      </c>
      <c r="AE36" s="44">
        <v>1792623</v>
      </c>
      <c r="AF36" s="44">
        <v>1868099</v>
      </c>
      <c r="AG36" s="44">
        <v>42889552</v>
      </c>
      <c r="AH36" s="44">
        <v>2864</v>
      </c>
      <c r="AI36" s="44">
        <v>14939</v>
      </c>
      <c r="AJ36" s="44">
        <v>14975</v>
      </c>
      <c r="AK36" s="44">
        <v>222671</v>
      </c>
      <c r="AL36" s="44">
        <v>77989</v>
      </c>
      <c r="AM36" s="44">
        <v>0.61099999999999999</v>
      </c>
      <c r="AN36" s="44">
        <v>0.57571764797170177</v>
      </c>
      <c r="AO36" s="44">
        <v>0.17499999999999999</v>
      </c>
      <c r="AP36" s="44">
        <v>0.75071764797170171</v>
      </c>
      <c r="AQ36" s="44">
        <v>0.85419999999999996</v>
      </c>
      <c r="AR36" s="44">
        <v>22.36</v>
      </c>
    </row>
    <row r="37" spans="1:44">
      <c r="A37" t="s">
        <v>1700</v>
      </c>
      <c r="B37" t="s">
        <v>1701</v>
      </c>
      <c r="D37" t="s">
        <v>1639</v>
      </c>
      <c r="E37" s="44">
        <v>3713829</v>
      </c>
      <c r="F37" s="44">
        <v>17771197</v>
      </c>
      <c r="G37" s="44">
        <v>7856264</v>
      </c>
      <c r="H37" s="126">
        <v>25627461</v>
      </c>
      <c r="I37" s="127">
        <v>34201612</v>
      </c>
      <c r="J37" s="128">
        <v>1621284</v>
      </c>
      <c r="K37" s="130">
        <v>61450357</v>
      </c>
      <c r="L37" s="44">
        <v>110012</v>
      </c>
      <c r="M37" s="44">
        <v>1282639</v>
      </c>
      <c r="N37" s="44">
        <v>19473774</v>
      </c>
      <c r="O37" s="44">
        <v>954409</v>
      </c>
      <c r="P37" s="44">
        <v>1565709</v>
      </c>
      <c r="Q37" s="44">
        <v>5783267</v>
      </c>
      <c r="R37" s="44">
        <v>3352</v>
      </c>
      <c r="S37" s="44">
        <v>151952</v>
      </c>
      <c r="T37" s="44">
        <v>4042428</v>
      </c>
      <c r="U37" s="44">
        <v>1611103</v>
      </c>
      <c r="V37" s="44">
        <v>0</v>
      </c>
      <c r="W37" s="44">
        <v>3798725</v>
      </c>
      <c r="X37" s="44">
        <v>1879552</v>
      </c>
      <c r="Y37" s="44">
        <v>8295097</v>
      </c>
      <c r="Z37" s="44">
        <v>3175109</v>
      </c>
      <c r="AA37" s="44">
        <v>1792063</v>
      </c>
      <c r="AB37" s="44">
        <v>25000</v>
      </c>
      <c r="AC37" s="44">
        <v>53944191</v>
      </c>
      <c r="AD37" s="44">
        <v>2119998</v>
      </c>
      <c r="AE37" s="44">
        <v>1221759</v>
      </c>
      <c r="AF37" s="44">
        <v>777057</v>
      </c>
      <c r="AG37" s="44">
        <v>58063005</v>
      </c>
      <c r="AH37" s="44">
        <v>4185</v>
      </c>
      <c r="AI37" s="44">
        <v>14683</v>
      </c>
      <c r="AJ37" s="44">
        <v>13874</v>
      </c>
      <c r="AK37" s="44">
        <v>249933</v>
      </c>
      <c r="AL37" s="44">
        <v>115626</v>
      </c>
      <c r="AM37" s="44">
        <v>0.8</v>
      </c>
      <c r="AN37" s="44">
        <v>0.57844050613639442</v>
      </c>
      <c r="AO37" s="44">
        <v>0.19900000000000001</v>
      </c>
      <c r="AP37" s="44">
        <v>0.77744050613639448</v>
      </c>
      <c r="AQ37" s="44">
        <v>0.83679999999999999</v>
      </c>
      <c r="AR37" s="44">
        <v>25.1</v>
      </c>
    </row>
    <row r="38" spans="1:44">
      <c r="A38" t="s">
        <v>1702</v>
      </c>
      <c r="B38" t="s">
        <v>1703</v>
      </c>
      <c r="D38" t="s">
        <v>1639</v>
      </c>
      <c r="E38" s="44">
        <v>1217822</v>
      </c>
      <c r="F38" s="44">
        <v>15590675</v>
      </c>
      <c r="G38" s="44">
        <v>2387857</v>
      </c>
      <c r="H38" s="126">
        <v>17978532</v>
      </c>
      <c r="I38" s="127">
        <v>10138332</v>
      </c>
      <c r="J38" s="128">
        <v>1985143</v>
      </c>
      <c r="K38" s="130">
        <v>30102007</v>
      </c>
      <c r="L38" s="44">
        <v>69954</v>
      </c>
      <c r="M38" s="44">
        <v>588659</v>
      </c>
      <c r="N38" s="44">
        <v>7549357</v>
      </c>
      <c r="O38" s="44">
        <v>642152</v>
      </c>
      <c r="P38" s="44">
        <v>735388</v>
      </c>
      <c r="Q38" s="44">
        <v>3549500</v>
      </c>
      <c r="R38" s="44">
        <v>201733</v>
      </c>
      <c r="S38" s="44">
        <v>0</v>
      </c>
      <c r="T38" s="44">
        <v>1290518</v>
      </c>
      <c r="U38" s="44">
        <v>975612</v>
      </c>
      <c r="V38" s="44">
        <v>7965</v>
      </c>
      <c r="W38" s="44">
        <v>3352822</v>
      </c>
      <c r="X38" s="44">
        <v>754477</v>
      </c>
      <c r="Y38" s="44">
        <v>3537929</v>
      </c>
      <c r="Z38" s="44">
        <v>1405953</v>
      </c>
      <c r="AA38" s="44">
        <v>581344</v>
      </c>
      <c r="AB38" s="44">
        <v>0</v>
      </c>
      <c r="AC38" s="44">
        <v>25243363</v>
      </c>
      <c r="AD38" s="44">
        <v>1348569</v>
      </c>
      <c r="AE38" s="44">
        <v>1891974</v>
      </c>
      <c r="AF38" s="44">
        <v>649036</v>
      </c>
      <c r="AG38" s="44">
        <v>29132942</v>
      </c>
      <c r="AH38" s="44">
        <v>1901</v>
      </c>
      <c r="AI38" s="44">
        <v>15835</v>
      </c>
      <c r="AJ38" s="44">
        <v>15325</v>
      </c>
      <c r="AK38" s="44">
        <v>162364</v>
      </c>
      <c r="AL38" s="44">
        <v>60972</v>
      </c>
      <c r="AM38" s="44">
        <v>0.46199999999999997</v>
      </c>
      <c r="AN38" s="44">
        <v>0.51296776000171906</v>
      </c>
      <c r="AO38" s="44">
        <v>0.16500000000000001</v>
      </c>
      <c r="AP38" s="44">
        <v>0.6779677600017191</v>
      </c>
      <c r="AQ38" s="44">
        <v>0.78039999999999998</v>
      </c>
      <c r="AR38" s="44">
        <v>22.83</v>
      </c>
    </row>
    <row r="39" spans="1:44">
      <c r="A39" t="s">
        <v>1704</v>
      </c>
      <c r="B39" t="s">
        <v>1705</v>
      </c>
      <c r="D39" t="s">
        <v>1639</v>
      </c>
      <c r="E39" s="44">
        <v>662008</v>
      </c>
      <c r="F39" s="44">
        <v>4785922</v>
      </c>
      <c r="G39" s="44">
        <v>577546</v>
      </c>
      <c r="H39" s="126">
        <v>5363468</v>
      </c>
      <c r="I39" s="127">
        <v>2305290</v>
      </c>
      <c r="J39" s="128">
        <v>240420</v>
      </c>
      <c r="K39" s="130">
        <v>7909178</v>
      </c>
      <c r="L39" s="44">
        <v>66251</v>
      </c>
      <c r="M39" s="44">
        <v>196589</v>
      </c>
      <c r="N39" s="44">
        <v>2297440</v>
      </c>
      <c r="O39" s="44">
        <v>97273</v>
      </c>
      <c r="P39" s="44">
        <v>122569</v>
      </c>
      <c r="Q39" s="44">
        <v>703573</v>
      </c>
      <c r="R39" s="44">
        <v>13000</v>
      </c>
      <c r="S39" s="44">
        <v>118250</v>
      </c>
      <c r="T39" s="44">
        <v>459501</v>
      </c>
      <c r="U39" s="44">
        <v>170818</v>
      </c>
      <c r="V39" s="44">
        <v>37016</v>
      </c>
      <c r="W39" s="44">
        <v>445762</v>
      </c>
      <c r="X39" s="44">
        <v>221575</v>
      </c>
      <c r="Y39" s="44">
        <v>790902</v>
      </c>
      <c r="Z39" s="44">
        <v>384433</v>
      </c>
      <c r="AA39" s="44">
        <v>327543</v>
      </c>
      <c r="AB39" s="44">
        <v>84304</v>
      </c>
      <c r="AC39" s="44">
        <v>6536799</v>
      </c>
      <c r="AD39" s="44">
        <v>343754</v>
      </c>
      <c r="AE39" s="44">
        <v>578654</v>
      </c>
      <c r="AF39" s="44">
        <v>245486</v>
      </c>
      <c r="AG39" s="44">
        <v>7704693</v>
      </c>
      <c r="AH39" s="44">
        <v>405</v>
      </c>
      <c r="AI39" s="44">
        <v>19529</v>
      </c>
      <c r="AJ39" s="44">
        <v>19024</v>
      </c>
      <c r="AK39" s="44">
        <v>191307</v>
      </c>
      <c r="AL39" s="44">
        <v>67961</v>
      </c>
      <c r="AM39" s="44">
        <v>0.52800000000000002</v>
      </c>
      <c r="AN39" s="44">
        <v>0.51688289202438042</v>
      </c>
      <c r="AO39" s="44">
        <v>0.152</v>
      </c>
      <c r="AP39" s="44">
        <v>0.66888289202438045</v>
      </c>
      <c r="AQ39" s="44">
        <v>0.79849999999999999</v>
      </c>
      <c r="AR39" s="44">
        <v>21.04</v>
      </c>
    </row>
    <row r="40" spans="1:44">
      <c r="A40" t="s">
        <v>1706</v>
      </c>
      <c r="B40" t="s">
        <v>1707</v>
      </c>
      <c r="D40" t="s">
        <v>1639</v>
      </c>
      <c r="E40" s="44">
        <v>1090631</v>
      </c>
      <c r="F40" s="44">
        <v>12723224</v>
      </c>
      <c r="G40" s="44">
        <v>1343340</v>
      </c>
      <c r="H40" s="126">
        <v>14066564</v>
      </c>
      <c r="I40" s="127">
        <v>5219519</v>
      </c>
      <c r="J40" s="128">
        <v>589128</v>
      </c>
      <c r="K40" s="130">
        <v>19875211</v>
      </c>
      <c r="L40" s="44">
        <v>76983</v>
      </c>
      <c r="M40" s="44">
        <v>330250</v>
      </c>
      <c r="N40" s="44">
        <v>6694539</v>
      </c>
      <c r="O40" s="44">
        <v>306983</v>
      </c>
      <c r="P40" s="44">
        <v>356094</v>
      </c>
      <c r="Q40" s="44">
        <v>1807006</v>
      </c>
      <c r="R40" s="44">
        <v>17709</v>
      </c>
      <c r="S40" s="44">
        <v>156</v>
      </c>
      <c r="T40" s="44">
        <v>1046769</v>
      </c>
      <c r="U40" s="44">
        <v>623905</v>
      </c>
      <c r="V40" s="44">
        <v>0</v>
      </c>
      <c r="W40" s="44">
        <v>1298700</v>
      </c>
      <c r="X40" s="44">
        <v>647630</v>
      </c>
      <c r="Y40" s="44">
        <v>1328976</v>
      </c>
      <c r="Z40" s="44">
        <v>1028089</v>
      </c>
      <c r="AA40" s="44">
        <v>738516</v>
      </c>
      <c r="AB40" s="44">
        <v>294292</v>
      </c>
      <c r="AC40" s="44">
        <v>16596597</v>
      </c>
      <c r="AD40" s="44">
        <v>717420</v>
      </c>
      <c r="AE40" s="44">
        <v>1235258</v>
      </c>
      <c r="AF40" s="44">
        <v>1238966</v>
      </c>
      <c r="AG40" s="44">
        <v>19788241</v>
      </c>
      <c r="AH40" s="44">
        <v>1374</v>
      </c>
      <c r="AI40" s="44">
        <v>14465</v>
      </c>
      <c r="AJ40" s="44">
        <v>14402</v>
      </c>
      <c r="AK40" s="44">
        <v>179554</v>
      </c>
      <c r="AL40" s="44">
        <v>75851</v>
      </c>
      <c r="AM40" s="44">
        <v>0.54500000000000004</v>
      </c>
      <c r="AN40" s="44">
        <v>0.54846517181592847</v>
      </c>
      <c r="AO40" s="44">
        <v>0.13200000000000001</v>
      </c>
      <c r="AP40" s="44">
        <v>0.68046517181592847</v>
      </c>
      <c r="AQ40" s="44">
        <v>0.82579999999999998</v>
      </c>
      <c r="AR40" s="44">
        <v>14.82</v>
      </c>
    </row>
    <row r="41" spans="1:44">
      <c r="A41" t="s">
        <v>1708</v>
      </c>
      <c r="B41" t="s">
        <v>1709</v>
      </c>
      <c r="D41" t="s">
        <v>1639</v>
      </c>
      <c r="E41" s="44">
        <v>1882791</v>
      </c>
      <c r="F41" s="44">
        <v>4030571</v>
      </c>
      <c r="G41" s="44">
        <v>333163</v>
      </c>
      <c r="H41" s="126">
        <v>4363734</v>
      </c>
      <c r="I41" s="127">
        <v>5188431</v>
      </c>
      <c r="J41" s="128">
        <v>244808</v>
      </c>
      <c r="K41" s="130">
        <v>9796973</v>
      </c>
      <c r="L41" s="44">
        <v>28292</v>
      </c>
      <c r="M41" s="44">
        <v>288698</v>
      </c>
      <c r="N41" s="44">
        <v>2926472</v>
      </c>
      <c r="O41" s="44">
        <v>59388</v>
      </c>
      <c r="P41" s="44">
        <v>167950</v>
      </c>
      <c r="Q41" s="44">
        <v>1184839</v>
      </c>
      <c r="R41" s="44">
        <v>0</v>
      </c>
      <c r="S41" s="44">
        <v>0</v>
      </c>
      <c r="T41" s="44">
        <v>548422</v>
      </c>
      <c r="U41" s="44">
        <v>389848</v>
      </c>
      <c r="V41" s="44">
        <v>1308</v>
      </c>
      <c r="W41" s="44">
        <v>640410</v>
      </c>
      <c r="X41" s="44">
        <v>274366</v>
      </c>
      <c r="Y41" s="44">
        <v>550893</v>
      </c>
      <c r="Z41" s="44">
        <v>495357</v>
      </c>
      <c r="AA41" s="44">
        <v>456635</v>
      </c>
      <c r="AB41" s="44">
        <v>335000</v>
      </c>
      <c r="AC41" s="44">
        <v>8347878</v>
      </c>
      <c r="AD41" s="44">
        <v>607546</v>
      </c>
      <c r="AE41" s="44">
        <v>520000</v>
      </c>
      <c r="AF41" s="44">
        <v>247082</v>
      </c>
      <c r="AG41" s="44">
        <v>9722506</v>
      </c>
      <c r="AH41" s="44">
        <v>626</v>
      </c>
      <c r="AI41" s="44">
        <v>15650</v>
      </c>
      <c r="AJ41" s="44">
        <v>15531</v>
      </c>
      <c r="AK41" s="44">
        <v>650001</v>
      </c>
      <c r="AL41" s="44">
        <v>84681</v>
      </c>
      <c r="AM41" s="44">
        <v>1.1970000000000001</v>
      </c>
      <c r="AN41" s="44">
        <v>0.54275296924476057</v>
      </c>
      <c r="AO41" s="44">
        <v>0.112</v>
      </c>
      <c r="AP41" s="44">
        <v>0.65475296924476056</v>
      </c>
      <c r="AQ41" s="44">
        <v>0.79239999999999999</v>
      </c>
      <c r="AR41" s="44">
        <v>9.16</v>
      </c>
    </row>
    <row r="42" spans="1:44">
      <c r="A42" t="s">
        <v>1710</v>
      </c>
      <c r="B42" t="s">
        <v>1711</v>
      </c>
      <c r="D42" t="s">
        <v>1639</v>
      </c>
      <c r="E42" s="44">
        <v>838808</v>
      </c>
      <c r="F42" s="44">
        <v>10843770</v>
      </c>
      <c r="G42" s="44">
        <v>856277</v>
      </c>
      <c r="H42" s="126">
        <v>11700047</v>
      </c>
      <c r="I42" s="127">
        <v>2968539</v>
      </c>
      <c r="J42" s="128">
        <v>1209815</v>
      </c>
      <c r="K42" s="130">
        <v>15878401</v>
      </c>
      <c r="L42" s="44">
        <v>35541</v>
      </c>
      <c r="M42" s="44">
        <v>326680</v>
      </c>
      <c r="N42" s="44">
        <v>4495933</v>
      </c>
      <c r="O42" s="44">
        <v>147873</v>
      </c>
      <c r="P42" s="44">
        <v>240425</v>
      </c>
      <c r="Q42" s="44">
        <v>2020580</v>
      </c>
      <c r="R42" s="44">
        <v>81332</v>
      </c>
      <c r="S42" s="44">
        <v>29666</v>
      </c>
      <c r="T42" s="44">
        <v>907480</v>
      </c>
      <c r="U42" s="44">
        <v>764438</v>
      </c>
      <c r="V42" s="44">
        <v>0</v>
      </c>
      <c r="W42" s="44">
        <v>1149412</v>
      </c>
      <c r="X42" s="44">
        <v>424350</v>
      </c>
      <c r="Y42" s="44">
        <v>1210121</v>
      </c>
      <c r="Z42" s="44">
        <v>901475</v>
      </c>
      <c r="AA42" s="44">
        <v>543196</v>
      </c>
      <c r="AB42" s="44">
        <v>0</v>
      </c>
      <c r="AC42" s="44">
        <v>13278502</v>
      </c>
      <c r="AD42" s="44">
        <v>797902</v>
      </c>
      <c r="AE42" s="44">
        <v>1094050</v>
      </c>
      <c r="AF42" s="44">
        <v>431231</v>
      </c>
      <c r="AG42" s="44">
        <v>15601685</v>
      </c>
      <c r="AH42" s="44">
        <v>897</v>
      </c>
      <c r="AI42" s="44">
        <v>17702</v>
      </c>
      <c r="AJ42" s="44">
        <v>17393</v>
      </c>
      <c r="AK42" s="44">
        <v>134645</v>
      </c>
      <c r="AL42" s="44">
        <v>44279</v>
      </c>
      <c r="AM42" s="44">
        <v>0.35699999999999998</v>
      </c>
      <c r="AN42" s="44">
        <v>0.55684543047754131</v>
      </c>
      <c r="AO42" s="44">
        <v>0.13400000000000001</v>
      </c>
      <c r="AP42" s="44">
        <v>0.69084543047754132</v>
      </c>
      <c r="AQ42" s="44">
        <v>0.8105</v>
      </c>
      <c r="AR42" s="44">
        <v>17.29</v>
      </c>
    </row>
    <row r="43" spans="1:44">
      <c r="A43" t="s">
        <v>1712</v>
      </c>
      <c r="B43" t="s">
        <v>1713</v>
      </c>
      <c r="D43" t="s">
        <v>1639</v>
      </c>
      <c r="E43" s="44">
        <v>1526926</v>
      </c>
      <c r="F43" s="44">
        <v>6032407</v>
      </c>
      <c r="G43" s="44">
        <v>495595</v>
      </c>
      <c r="H43" s="126">
        <v>6528002</v>
      </c>
      <c r="I43" s="127">
        <v>1357714</v>
      </c>
      <c r="J43" s="128">
        <v>379309</v>
      </c>
      <c r="K43" s="130">
        <v>8265025</v>
      </c>
      <c r="L43" s="44">
        <v>18298</v>
      </c>
      <c r="M43" s="44">
        <v>329869</v>
      </c>
      <c r="N43" s="44">
        <v>2213969</v>
      </c>
      <c r="O43" s="44">
        <v>100578</v>
      </c>
      <c r="P43" s="44">
        <v>77180</v>
      </c>
      <c r="Q43" s="44">
        <v>1200323</v>
      </c>
      <c r="R43" s="44">
        <v>0</v>
      </c>
      <c r="S43" s="44">
        <v>67407</v>
      </c>
      <c r="T43" s="44">
        <v>358909</v>
      </c>
      <c r="U43" s="44">
        <v>286474</v>
      </c>
      <c r="V43" s="44">
        <v>0</v>
      </c>
      <c r="W43" s="44">
        <v>477666</v>
      </c>
      <c r="X43" s="44">
        <v>201517</v>
      </c>
      <c r="Y43" s="44">
        <v>429748</v>
      </c>
      <c r="Z43" s="44">
        <v>388241</v>
      </c>
      <c r="AA43" s="44">
        <v>490491</v>
      </c>
      <c r="AB43" s="44">
        <v>5000</v>
      </c>
      <c r="AC43" s="44">
        <v>6645670</v>
      </c>
      <c r="AD43" s="44">
        <v>303285</v>
      </c>
      <c r="AE43" s="44">
        <v>620831</v>
      </c>
      <c r="AF43" s="44">
        <v>238723</v>
      </c>
      <c r="AG43" s="44">
        <v>7808509</v>
      </c>
      <c r="AH43" s="44">
        <v>517</v>
      </c>
      <c r="AI43" s="44">
        <v>15987</v>
      </c>
      <c r="AJ43" s="44">
        <v>15103</v>
      </c>
      <c r="AK43" s="44">
        <v>135213</v>
      </c>
      <c r="AL43" s="44">
        <v>58766</v>
      </c>
      <c r="AM43" s="44">
        <v>0.41699999999999998</v>
      </c>
      <c r="AN43" s="44">
        <v>0.55130115109043221</v>
      </c>
      <c r="AO43" s="44">
        <v>0.106</v>
      </c>
      <c r="AP43" s="44">
        <v>0.65730115109043219</v>
      </c>
      <c r="AQ43" s="44">
        <v>0.77229999999999999</v>
      </c>
      <c r="AR43" s="44">
        <v>14.32</v>
      </c>
    </row>
    <row r="44" spans="1:44">
      <c r="A44" t="s">
        <v>1714</v>
      </c>
      <c r="B44" t="s">
        <v>1715</v>
      </c>
      <c r="D44" t="s">
        <v>1639</v>
      </c>
      <c r="E44" s="44">
        <v>2146701</v>
      </c>
      <c r="F44" s="44">
        <v>12401045</v>
      </c>
      <c r="G44" s="44">
        <v>1220499</v>
      </c>
      <c r="H44" s="126">
        <v>13621544</v>
      </c>
      <c r="I44" s="127">
        <v>3721952</v>
      </c>
      <c r="J44" s="128">
        <v>808706</v>
      </c>
      <c r="K44" s="130">
        <v>18152202</v>
      </c>
      <c r="L44" s="44">
        <v>58623</v>
      </c>
      <c r="M44" s="44">
        <v>369685</v>
      </c>
      <c r="N44" s="44">
        <v>5274082</v>
      </c>
      <c r="O44" s="44">
        <v>276131</v>
      </c>
      <c r="P44" s="44">
        <v>411394</v>
      </c>
      <c r="Q44" s="44">
        <v>2054082</v>
      </c>
      <c r="R44" s="44">
        <v>60750</v>
      </c>
      <c r="S44" s="44">
        <v>110785</v>
      </c>
      <c r="T44" s="44">
        <v>1359150</v>
      </c>
      <c r="U44" s="44">
        <v>676244</v>
      </c>
      <c r="V44" s="44">
        <v>12000</v>
      </c>
      <c r="W44" s="44">
        <v>995217</v>
      </c>
      <c r="X44" s="44">
        <v>536706</v>
      </c>
      <c r="Y44" s="44">
        <v>1683673</v>
      </c>
      <c r="Z44" s="44">
        <v>1074565</v>
      </c>
      <c r="AA44" s="44">
        <v>806100</v>
      </c>
      <c r="AB44" s="44">
        <v>0</v>
      </c>
      <c r="AC44" s="44">
        <v>15759187</v>
      </c>
      <c r="AD44" s="44">
        <v>828557</v>
      </c>
      <c r="AE44" s="44">
        <v>578778</v>
      </c>
      <c r="AF44" s="44">
        <v>173181</v>
      </c>
      <c r="AG44" s="44">
        <v>17339703</v>
      </c>
      <c r="AH44" s="44">
        <v>1101</v>
      </c>
      <c r="AI44" s="44">
        <v>16487</v>
      </c>
      <c r="AJ44" s="44">
        <v>15749</v>
      </c>
      <c r="AK44" s="44">
        <v>172978</v>
      </c>
      <c r="AL44" s="44">
        <v>63669</v>
      </c>
      <c r="AM44" s="44">
        <v>0.48699999999999999</v>
      </c>
      <c r="AN44" s="44">
        <v>0.58954977487215321</v>
      </c>
      <c r="AO44" s="44">
        <v>0.161</v>
      </c>
      <c r="AP44" s="44">
        <v>0.75054977487215324</v>
      </c>
      <c r="AQ44" s="44">
        <v>0.82489999999999997</v>
      </c>
      <c r="AR44" s="44">
        <v>14.6</v>
      </c>
    </row>
    <row r="45" spans="1:44">
      <c r="A45" t="s">
        <v>1716</v>
      </c>
      <c r="B45" t="s">
        <v>1717</v>
      </c>
      <c r="D45" t="s">
        <v>1639</v>
      </c>
      <c r="E45" s="44">
        <v>1327355</v>
      </c>
      <c r="F45" s="44">
        <v>18837710</v>
      </c>
      <c r="G45" s="44">
        <v>2720099</v>
      </c>
      <c r="H45" s="126">
        <v>21557809</v>
      </c>
      <c r="I45" s="127">
        <v>9082573</v>
      </c>
      <c r="J45" s="128">
        <v>3378567</v>
      </c>
      <c r="K45" s="130">
        <v>34018949</v>
      </c>
      <c r="L45" s="44">
        <v>201283</v>
      </c>
      <c r="M45" s="44">
        <v>478708</v>
      </c>
      <c r="N45" s="44">
        <v>12138081</v>
      </c>
      <c r="O45" s="44">
        <v>418719</v>
      </c>
      <c r="P45" s="44">
        <v>772464</v>
      </c>
      <c r="Q45" s="44">
        <v>2925601</v>
      </c>
      <c r="R45" s="44">
        <v>28868</v>
      </c>
      <c r="S45" s="44">
        <v>411436</v>
      </c>
      <c r="T45" s="44">
        <v>2507093</v>
      </c>
      <c r="U45" s="44">
        <v>2888137</v>
      </c>
      <c r="V45" s="44">
        <v>630</v>
      </c>
      <c r="W45" s="44">
        <v>2212474</v>
      </c>
      <c r="X45" s="44">
        <v>1046835</v>
      </c>
      <c r="Y45" s="44">
        <v>2223841</v>
      </c>
      <c r="Z45" s="44">
        <v>2037031</v>
      </c>
      <c r="AA45" s="44">
        <v>1613144</v>
      </c>
      <c r="AB45" s="44">
        <v>14330</v>
      </c>
      <c r="AC45" s="44">
        <v>31918675</v>
      </c>
      <c r="AD45" s="44">
        <v>668460</v>
      </c>
      <c r="AE45" s="44">
        <v>956565</v>
      </c>
      <c r="AF45" s="44">
        <v>526582</v>
      </c>
      <c r="AG45" s="44">
        <v>34070282</v>
      </c>
      <c r="AH45" s="44">
        <v>2393</v>
      </c>
      <c r="AI45" s="44">
        <v>14216</v>
      </c>
      <c r="AJ45" s="44">
        <v>14237</v>
      </c>
      <c r="AK45" s="44">
        <v>165100</v>
      </c>
      <c r="AL45" s="44">
        <v>82131</v>
      </c>
      <c r="AM45" s="44">
        <v>0.55200000000000005</v>
      </c>
      <c r="AN45" s="44">
        <v>0.64837734539444081</v>
      </c>
      <c r="AO45" s="44">
        <v>0.14199999999999999</v>
      </c>
      <c r="AP45" s="44">
        <v>0.79037734539444082</v>
      </c>
      <c r="AQ45" s="44">
        <v>0.84370000000000001</v>
      </c>
      <c r="AR45" s="44">
        <v>17.78</v>
      </c>
    </row>
    <row r="46" spans="1:44">
      <c r="A46" t="s">
        <v>1718</v>
      </c>
      <c r="B46" t="s">
        <v>1719</v>
      </c>
      <c r="D46" t="s">
        <v>1639</v>
      </c>
      <c r="E46" s="44">
        <v>2013780</v>
      </c>
      <c r="F46" s="44">
        <v>16008696</v>
      </c>
      <c r="G46" s="44">
        <v>1531403</v>
      </c>
      <c r="H46" s="126">
        <v>17540099</v>
      </c>
      <c r="I46" s="127">
        <v>6453621</v>
      </c>
      <c r="J46" s="128">
        <v>1164952</v>
      </c>
      <c r="K46" s="130">
        <v>25158672</v>
      </c>
      <c r="L46" s="44">
        <v>79606</v>
      </c>
      <c r="M46" s="44">
        <v>453151</v>
      </c>
      <c r="N46" s="44">
        <v>7615780</v>
      </c>
      <c r="O46" s="44">
        <v>489508</v>
      </c>
      <c r="P46" s="44">
        <v>262897</v>
      </c>
      <c r="Q46" s="44">
        <v>1861509</v>
      </c>
      <c r="R46" s="44">
        <v>242399</v>
      </c>
      <c r="S46" s="44">
        <v>0</v>
      </c>
      <c r="T46" s="44">
        <v>1285151</v>
      </c>
      <c r="U46" s="44">
        <v>739746</v>
      </c>
      <c r="V46" s="44">
        <v>0</v>
      </c>
      <c r="W46" s="44">
        <v>1610991</v>
      </c>
      <c r="X46" s="44">
        <v>618563</v>
      </c>
      <c r="Y46" s="44">
        <v>1553416</v>
      </c>
      <c r="Z46" s="44">
        <v>1538881</v>
      </c>
      <c r="AA46" s="44">
        <v>752547</v>
      </c>
      <c r="AB46" s="44">
        <v>1667369</v>
      </c>
      <c r="AC46" s="44">
        <v>20771514</v>
      </c>
      <c r="AD46" s="44">
        <v>1919345</v>
      </c>
      <c r="AE46" s="44">
        <v>1210127</v>
      </c>
      <c r="AF46" s="44">
        <v>914622</v>
      </c>
      <c r="AG46" s="44">
        <v>24815608</v>
      </c>
      <c r="AH46" s="44">
        <v>1500</v>
      </c>
      <c r="AI46" s="44">
        <v>16772</v>
      </c>
      <c r="AJ46" s="44">
        <v>16544</v>
      </c>
      <c r="AK46" s="44">
        <v>135598</v>
      </c>
      <c r="AL46" s="44">
        <v>61104</v>
      </c>
      <c r="AM46" s="44">
        <v>0.42699999999999999</v>
      </c>
      <c r="AN46" s="44">
        <v>0.50359394780897571</v>
      </c>
      <c r="AO46" s="44">
        <v>0.123</v>
      </c>
      <c r="AP46" s="44">
        <v>0.6265939478089757</v>
      </c>
      <c r="AQ46" s="44">
        <v>0.81079999999999997</v>
      </c>
      <c r="AR46" s="44">
        <v>25.73</v>
      </c>
    </row>
    <row r="47" spans="1:44">
      <c r="A47" t="s">
        <v>1720</v>
      </c>
      <c r="B47" t="s">
        <v>1721</v>
      </c>
      <c r="D47" t="s">
        <v>1639</v>
      </c>
      <c r="E47" s="44">
        <v>1270355</v>
      </c>
      <c r="F47" s="44">
        <v>9749113</v>
      </c>
      <c r="G47" s="44">
        <v>1140153</v>
      </c>
      <c r="H47" s="126">
        <v>10889266</v>
      </c>
      <c r="I47" s="127">
        <v>2951871</v>
      </c>
      <c r="J47" s="128">
        <v>590141</v>
      </c>
      <c r="K47" s="130">
        <v>14431278</v>
      </c>
      <c r="L47" s="44">
        <v>60495</v>
      </c>
      <c r="M47" s="44">
        <v>359359</v>
      </c>
      <c r="N47" s="44">
        <v>4117251</v>
      </c>
      <c r="O47" s="44">
        <v>184778</v>
      </c>
      <c r="P47" s="44">
        <v>180338</v>
      </c>
      <c r="Q47" s="44">
        <v>1411275</v>
      </c>
      <c r="R47" s="44">
        <v>73639</v>
      </c>
      <c r="S47" s="44">
        <v>0</v>
      </c>
      <c r="T47" s="44">
        <v>896323</v>
      </c>
      <c r="U47" s="44">
        <v>345617</v>
      </c>
      <c r="V47" s="44">
        <v>0</v>
      </c>
      <c r="W47" s="44">
        <v>910261</v>
      </c>
      <c r="X47" s="44">
        <v>381905</v>
      </c>
      <c r="Y47" s="44">
        <v>1404796</v>
      </c>
      <c r="Z47" s="44">
        <v>707880</v>
      </c>
      <c r="AA47" s="44">
        <v>726502</v>
      </c>
      <c r="AB47" s="44">
        <v>80682</v>
      </c>
      <c r="AC47" s="44">
        <v>11841101</v>
      </c>
      <c r="AD47" s="44">
        <v>472968</v>
      </c>
      <c r="AE47" s="44">
        <v>896661</v>
      </c>
      <c r="AF47" s="44">
        <v>378255</v>
      </c>
      <c r="AG47" s="44">
        <v>13588985</v>
      </c>
      <c r="AH47" s="44">
        <v>989</v>
      </c>
      <c r="AI47" s="44">
        <v>14592</v>
      </c>
      <c r="AJ47" s="44">
        <v>13740</v>
      </c>
      <c r="AK47" s="44">
        <v>136945</v>
      </c>
      <c r="AL47" s="44">
        <v>67279</v>
      </c>
      <c r="AM47" s="44">
        <v>0.45500000000000002</v>
      </c>
      <c r="AN47" s="44">
        <v>0.53051946116652571</v>
      </c>
      <c r="AO47" s="44">
        <v>0.158</v>
      </c>
      <c r="AP47" s="44">
        <v>0.68851946116652574</v>
      </c>
      <c r="AQ47" s="44">
        <v>0.7883</v>
      </c>
      <c r="AR47" s="44">
        <v>16.72</v>
      </c>
    </row>
    <row r="48" spans="1:44">
      <c r="A48" t="s">
        <v>1722</v>
      </c>
      <c r="B48" t="s">
        <v>1723</v>
      </c>
      <c r="D48" t="s">
        <v>1639</v>
      </c>
      <c r="E48" s="44">
        <v>2627909</v>
      </c>
      <c r="F48" s="44">
        <v>10244078</v>
      </c>
      <c r="G48" s="44">
        <v>865408</v>
      </c>
      <c r="H48" s="126">
        <v>11109486</v>
      </c>
      <c r="I48" s="127">
        <v>4297159</v>
      </c>
      <c r="J48" s="128">
        <v>1421964</v>
      </c>
      <c r="K48" s="130">
        <v>16828609</v>
      </c>
      <c r="L48" s="44">
        <v>106534</v>
      </c>
      <c r="M48" s="44">
        <v>278894</v>
      </c>
      <c r="N48" s="44">
        <v>4380913</v>
      </c>
      <c r="O48" s="44">
        <v>193769</v>
      </c>
      <c r="P48" s="44">
        <v>222915</v>
      </c>
      <c r="Q48" s="44">
        <v>2010237</v>
      </c>
      <c r="R48" s="44">
        <v>0</v>
      </c>
      <c r="S48" s="44">
        <v>516223</v>
      </c>
      <c r="T48" s="44">
        <v>782643</v>
      </c>
      <c r="U48" s="44">
        <v>650749</v>
      </c>
      <c r="V48" s="44">
        <v>0</v>
      </c>
      <c r="W48" s="44">
        <v>988781</v>
      </c>
      <c r="X48" s="44">
        <v>379009</v>
      </c>
      <c r="Y48" s="44">
        <v>1654612</v>
      </c>
      <c r="Z48" s="44">
        <v>844842</v>
      </c>
      <c r="AA48" s="44">
        <v>682852</v>
      </c>
      <c r="AB48" s="44">
        <v>0</v>
      </c>
      <c r="AC48" s="44">
        <v>13692973</v>
      </c>
      <c r="AD48" s="44">
        <v>747755</v>
      </c>
      <c r="AE48" s="44">
        <v>1291490</v>
      </c>
      <c r="AF48" s="44">
        <v>689503</v>
      </c>
      <c r="AG48" s="44">
        <v>16421721</v>
      </c>
      <c r="AH48" s="44">
        <v>987</v>
      </c>
      <c r="AI48" s="44">
        <v>17050</v>
      </c>
      <c r="AJ48" s="44">
        <v>16638</v>
      </c>
      <c r="AK48" s="44">
        <v>262436</v>
      </c>
      <c r="AL48" s="44">
        <v>56615</v>
      </c>
      <c r="AM48" s="44">
        <v>0.57499999999999996</v>
      </c>
      <c r="AN48" s="44">
        <v>0.53328448339854273</v>
      </c>
      <c r="AO48" s="44">
        <v>0.14599999999999999</v>
      </c>
      <c r="AP48" s="44">
        <v>0.67928448339854275</v>
      </c>
      <c r="AQ48" s="44">
        <v>0.81520000000000004</v>
      </c>
      <c r="AR48" s="44">
        <v>13.76</v>
      </c>
    </row>
    <row r="49" spans="1:44">
      <c r="A49" t="s">
        <v>1724</v>
      </c>
      <c r="B49" t="s">
        <v>1725</v>
      </c>
      <c r="D49" t="s">
        <v>1639</v>
      </c>
      <c r="E49" s="44">
        <v>508685</v>
      </c>
      <c r="F49" s="44">
        <v>24197056</v>
      </c>
      <c r="G49" s="44">
        <v>842102</v>
      </c>
      <c r="H49" s="126">
        <v>25039158</v>
      </c>
      <c r="I49" s="127">
        <v>6411565</v>
      </c>
      <c r="J49" s="128">
        <v>2647107</v>
      </c>
      <c r="K49" s="130">
        <v>34097830</v>
      </c>
      <c r="L49" s="44">
        <v>93486</v>
      </c>
      <c r="M49" s="44">
        <v>448258</v>
      </c>
      <c r="N49" s="44">
        <v>8096429</v>
      </c>
      <c r="O49" s="44">
        <v>300483</v>
      </c>
      <c r="P49" s="44">
        <v>533826</v>
      </c>
      <c r="Q49" s="44">
        <v>1619145</v>
      </c>
      <c r="R49" s="44">
        <v>279072</v>
      </c>
      <c r="S49" s="44">
        <v>34382</v>
      </c>
      <c r="T49" s="44">
        <v>1496978</v>
      </c>
      <c r="U49" s="44">
        <v>1212667</v>
      </c>
      <c r="V49" s="44">
        <v>0</v>
      </c>
      <c r="W49" s="44">
        <v>1154564</v>
      </c>
      <c r="X49" s="44">
        <v>702321</v>
      </c>
      <c r="Y49" s="44">
        <v>1905428</v>
      </c>
      <c r="Z49" s="44">
        <v>1691318</v>
      </c>
      <c r="AA49" s="44">
        <v>917218</v>
      </c>
      <c r="AB49" s="44">
        <v>9431898</v>
      </c>
      <c r="AC49" s="44">
        <v>29917473</v>
      </c>
      <c r="AD49" s="44">
        <v>1103688</v>
      </c>
      <c r="AE49" s="44">
        <v>1469678</v>
      </c>
      <c r="AF49" s="44">
        <v>1304985</v>
      </c>
      <c r="AG49" s="44">
        <v>33795824</v>
      </c>
      <c r="AH49" s="44">
        <v>1447</v>
      </c>
      <c r="AI49" s="44">
        <v>23564</v>
      </c>
      <c r="AJ49" s="44">
        <v>23356</v>
      </c>
      <c r="AK49" s="44">
        <v>94681</v>
      </c>
      <c r="AL49" s="44">
        <v>44504</v>
      </c>
      <c r="AM49" s="44">
        <v>0.30499999999999999</v>
      </c>
      <c r="AN49" s="44">
        <v>0.4016171347087143</v>
      </c>
      <c r="AO49" s="44">
        <v>0.109</v>
      </c>
      <c r="AP49" s="44">
        <v>0.51061713470871428</v>
      </c>
      <c r="AQ49" s="44">
        <v>0.84050000000000002</v>
      </c>
      <c r="AR49" s="44">
        <v>37.81</v>
      </c>
    </row>
    <row r="50" spans="1:44">
      <c r="A50" t="s">
        <v>1726</v>
      </c>
      <c r="B50" t="s">
        <v>1727</v>
      </c>
      <c r="D50" t="s">
        <v>1639</v>
      </c>
      <c r="E50" s="44">
        <v>2525482</v>
      </c>
      <c r="F50" s="44">
        <v>27883449</v>
      </c>
      <c r="G50" s="44">
        <v>2178205</v>
      </c>
      <c r="H50" s="126">
        <v>30061654</v>
      </c>
      <c r="I50" s="127">
        <v>10043280</v>
      </c>
      <c r="J50" s="128">
        <v>2081071</v>
      </c>
      <c r="K50" s="130">
        <v>42186005</v>
      </c>
      <c r="L50" s="44">
        <v>94318</v>
      </c>
      <c r="M50" s="44">
        <v>604012</v>
      </c>
      <c r="N50" s="44">
        <v>14444758</v>
      </c>
      <c r="O50" s="44">
        <v>840115</v>
      </c>
      <c r="P50" s="44">
        <v>942717</v>
      </c>
      <c r="Q50" s="44">
        <v>4779823</v>
      </c>
      <c r="R50" s="44">
        <v>67765</v>
      </c>
      <c r="S50" s="44">
        <v>531770</v>
      </c>
      <c r="T50" s="44">
        <v>2851503</v>
      </c>
      <c r="U50" s="44">
        <v>2121531</v>
      </c>
      <c r="V50" s="44">
        <v>113526</v>
      </c>
      <c r="W50" s="44">
        <v>2070388</v>
      </c>
      <c r="X50" s="44">
        <v>1640465</v>
      </c>
      <c r="Y50" s="44">
        <v>2298407</v>
      </c>
      <c r="Z50" s="44">
        <v>2241608</v>
      </c>
      <c r="AA50" s="44">
        <v>1957839</v>
      </c>
      <c r="AB50" s="44">
        <v>37366</v>
      </c>
      <c r="AC50" s="44">
        <v>37637911</v>
      </c>
      <c r="AD50" s="44">
        <v>2748421</v>
      </c>
      <c r="AE50" s="44">
        <v>855000</v>
      </c>
      <c r="AF50" s="44">
        <v>227231</v>
      </c>
      <c r="AG50" s="44">
        <v>41468563</v>
      </c>
      <c r="AH50" s="44">
        <v>2813</v>
      </c>
      <c r="AI50" s="44">
        <v>14997</v>
      </c>
      <c r="AJ50" s="44">
        <v>14742</v>
      </c>
      <c r="AK50" s="44">
        <v>179685</v>
      </c>
      <c r="AL50" s="44">
        <v>64027</v>
      </c>
      <c r="AM50" s="44">
        <v>0.497</v>
      </c>
      <c r="AN50" s="44">
        <v>0.6409670380909992</v>
      </c>
      <c r="AO50" s="44">
        <v>0.13800000000000001</v>
      </c>
      <c r="AP50" s="44">
        <v>0.77896703809099921</v>
      </c>
      <c r="AQ50" s="44">
        <v>0.85929999999999995</v>
      </c>
      <c r="AR50" s="44">
        <v>14.4</v>
      </c>
    </row>
    <row r="51" spans="1:44">
      <c r="A51" t="s">
        <v>1728</v>
      </c>
      <c r="B51" t="s">
        <v>1729</v>
      </c>
      <c r="D51" t="s">
        <v>1639</v>
      </c>
      <c r="E51" s="44">
        <v>2387984</v>
      </c>
      <c r="F51" s="44">
        <v>32211366</v>
      </c>
      <c r="G51" s="44">
        <v>5696958</v>
      </c>
      <c r="H51" s="126">
        <v>37908324</v>
      </c>
      <c r="I51" s="127">
        <v>22028335</v>
      </c>
      <c r="J51" s="128">
        <v>4115118</v>
      </c>
      <c r="K51" s="130">
        <v>64051777</v>
      </c>
      <c r="L51" s="44">
        <v>264913</v>
      </c>
      <c r="M51" s="44">
        <v>1103238</v>
      </c>
      <c r="N51" s="44">
        <v>21184279</v>
      </c>
      <c r="O51" s="44">
        <v>598416</v>
      </c>
      <c r="P51" s="44">
        <v>1415844</v>
      </c>
      <c r="Q51" s="44">
        <v>6301926</v>
      </c>
      <c r="R51" s="44">
        <v>351251</v>
      </c>
      <c r="S51" s="44">
        <v>0</v>
      </c>
      <c r="T51" s="44">
        <v>4392457</v>
      </c>
      <c r="U51" s="44">
        <v>3039841</v>
      </c>
      <c r="V51" s="44">
        <v>0</v>
      </c>
      <c r="W51" s="44">
        <v>4477725</v>
      </c>
      <c r="X51" s="44">
        <v>1951192</v>
      </c>
      <c r="Y51" s="44">
        <v>6308742</v>
      </c>
      <c r="Z51" s="44">
        <v>3599033</v>
      </c>
      <c r="AA51" s="44">
        <v>1391463</v>
      </c>
      <c r="AB51" s="44">
        <v>0</v>
      </c>
      <c r="AC51" s="44">
        <v>56380320</v>
      </c>
      <c r="AD51" s="44">
        <v>1973672</v>
      </c>
      <c r="AE51" s="44">
        <v>3380281</v>
      </c>
      <c r="AF51" s="44">
        <v>1914464</v>
      </c>
      <c r="AG51" s="44">
        <v>63648737</v>
      </c>
      <c r="AH51" s="44">
        <v>4769</v>
      </c>
      <c r="AI51" s="44">
        <v>13431</v>
      </c>
      <c r="AJ51" s="44">
        <v>13346</v>
      </c>
      <c r="AK51" s="44">
        <v>174581</v>
      </c>
      <c r="AL51" s="44">
        <v>85093</v>
      </c>
      <c r="AM51" s="44">
        <v>0.57699999999999996</v>
      </c>
      <c r="AN51" s="44">
        <v>0.5857777507823918</v>
      </c>
      <c r="AO51" s="44">
        <v>0.16900000000000001</v>
      </c>
      <c r="AP51" s="44">
        <v>0.75477775078239184</v>
      </c>
      <c r="AQ51" s="44">
        <v>0.85070000000000001</v>
      </c>
      <c r="AR51" s="44">
        <v>18.59</v>
      </c>
    </row>
    <row r="52" spans="1:44">
      <c r="A52" t="s">
        <v>1457</v>
      </c>
      <c r="B52" t="s">
        <v>1458</v>
      </c>
      <c r="D52" t="s">
        <v>1639</v>
      </c>
      <c r="E52" s="44">
        <v>1181994</v>
      </c>
      <c r="F52" s="44">
        <v>8576461</v>
      </c>
      <c r="G52" s="44">
        <v>1287859</v>
      </c>
      <c r="H52" s="126">
        <v>9864320</v>
      </c>
      <c r="I52" s="127">
        <v>5267211</v>
      </c>
      <c r="J52" s="128">
        <v>541305</v>
      </c>
      <c r="K52" s="130">
        <v>15672836</v>
      </c>
      <c r="L52" s="44">
        <v>110947</v>
      </c>
      <c r="M52" s="44">
        <v>355836</v>
      </c>
      <c r="N52" s="44">
        <v>4340093</v>
      </c>
      <c r="O52" s="44">
        <v>258375</v>
      </c>
      <c r="P52" s="44">
        <v>250521</v>
      </c>
      <c r="Q52" s="44">
        <v>1600664</v>
      </c>
      <c r="R52" s="44">
        <v>4336</v>
      </c>
      <c r="S52" s="44">
        <v>0</v>
      </c>
      <c r="T52" s="44">
        <v>1111302</v>
      </c>
      <c r="U52" s="44">
        <v>462439</v>
      </c>
      <c r="V52" s="44">
        <v>2870</v>
      </c>
      <c r="W52" s="44">
        <v>927666</v>
      </c>
      <c r="X52" s="44">
        <v>464820</v>
      </c>
      <c r="Y52" s="44">
        <v>1383170</v>
      </c>
      <c r="Z52" s="44">
        <v>680046</v>
      </c>
      <c r="AA52" s="44">
        <v>313507</v>
      </c>
      <c r="AB52" s="44">
        <v>0</v>
      </c>
      <c r="AC52" s="44">
        <v>12266592</v>
      </c>
      <c r="AD52" s="44">
        <v>574784</v>
      </c>
      <c r="AE52" s="44">
        <v>1210000</v>
      </c>
      <c r="AF52" s="44">
        <v>1108637</v>
      </c>
      <c r="AG52" s="44">
        <v>15160013</v>
      </c>
      <c r="AH52" s="44">
        <v>1000</v>
      </c>
      <c r="AI52" s="44">
        <v>15673</v>
      </c>
      <c r="AJ52" s="44">
        <v>15160</v>
      </c>
      <c r="AK52" s="44">
        <v>177076</v>
      </c>
      <c r="AL52" s="44">
        <v>71035</v>
      </c>
      <c r="AM52" s="44">
        <v>0.52200000000000002</v>
      </c>
      <c r="AN52" s="44">
        <v>0.52953318707576302</v>
      </c>
      <c r="AO52" s="44">
        <v>0.14299999999999999</v>
      </c>
      <c r="AP52" s="44">
        <v>0.67253318707576304</v>
      </c>
      <c r="AQ52" s="44">
        <v>0.83120000000000005</v>
      </c>
      <c r="AR52" s="44">
        <v>20.73</v>
      </c>
    </row>
    <row r="53" spans="1:44">
      <c r="A53" t="s">
        <v>1459</v>
      </c>
      <c r="B53" t="s">
        <v>1460</v>
      </c>
      <c r="D53" t="s">
        <v>1639</v>
      </c>
      <c r="E53" s="44">
        <v>639514</v>
      </c>
      <c r="F53" s="44">
        <v>11100808</v>
      </c>
      <c r="G53" s="44">
        <v>1202687</v>
      </c>
      <c r="H53" s="126">
        <v>12303495</v>
      </c>
      <c r="I53" s="127">
        <v>3971268</v>
      </c>
      <c r="J53" s="128">
        <v>751153</v>
      </c>
      <c r="K53" s="130">
        <v>17025916</v>
      </c>
      <c r="L53" s="44">
        <v>128413</v>
      </c>
      <c r="M53" s="44">
        <v>320328</v>
      </c>
      <c r="N53" s="44">
        <v>5016728</v>
      </c>
      <c r="O53" s="44">
        <v>229698</v>
      </c>
      <c r="P53" s="44">
        <v>306821</v>
      </c>
      <c r="Q53" s="44">
        <v>1719324</v>
      </c>
      <c r="R53" s="44">
        <v>0</v>
      </c>
      <c r="S53" s="44">
        <v>2756</v>
      </c>
      <c r="T53" s="44">
        <v>917928</v>
      </c>
      <c r="U53" s="44">
        <v>543246</v>
      </c>
      <c r="V53" s="44">
        <v>0</v>
      </c>
      <c r="W53" s="44">
        <v>1103674</v>
      </c>
      <c r="X53" s="44">
        <v>516889</v>
      </c>
      <c r="Y53" s="44">
        <v>1354788</v>
      </c>
      <c r="Z53" s="44">
        <v>842486</v>
      </c>
      <c r="AA53" s="44">
        <v>309406</v>
      </c>
      <c r="AB53" s="44">
        <v>8336</v>
      </c>
      <c r="AC53" s="44">
        <v>13320821</v>
      </c>
      <c r="AD53" s="44">
        <v>942706</v>
      </c>
      <c r="AE53" s="44">
        <v>1491248</v>
      </c>
      <c r="AF53" s="44">
        <v>983291</v>
      </c>
      <c r="AG53" s="44">
        <v>16738066</v>
      </c>
      <c r="AH53" s="44">
        <v>1127</v>
      </c>
      <c r="AI53" s="44">
        <v>15107</v>
      </c>
      <c r="AJ53" s="44">
        <v>14852</v>
      </c>
      <c r="AK53" s="44">
        <v>149567</v>
      </c>
      <c r="AL53" s="44">
        <v>62678</v>
      </c>
      <c r="AM53" s="44">
        <v>0.45200000000000001</v>
      </c>
      <c r="AN53" s="44">
        <v>0.52195402981443617</v>
      </c>
      <c r="AO53" s="44">
        <v>0.13400000000000001</v>
      </c>
      <c r="AP53" s="44">
        <v>0.65595402981443618</v>
      </c>
      <c r="AQ53" s="44">
        <v>0.82440000000000002</v>
      </c>
      <c r="AR53" s="44">
        <v>16.399999999999999</v>
      </c>
    </row>
    <row r="54" spans="1:44">
      <c r="A54" t="s">
        <v>1461</v>
      </c>
      <c r="B54" t="s">
        <v>1462</v>
      </c>
      <c r="D54" t="s">
        <v>1639</v>
      </c>
      <c r="E54" s="44">
        <v>452848</v>
      </c>
      <c r="F54" s="44">
        <v>8147077</v>
      </c>
      <c r="G54" s="44">
        <v>1118969</v>
      </c>
      <c r="H54" s="126">
        <v>9266046</v>
      </c>
      <c r="I54" s="127">
        <v>5544632</v>
      </c>
      <c r="J54" s="128">
        <v>365906</v>
      </c>
      <c r="K54" s="130">
        <v>15176584</v>
      </c>
      <c r="L54" s="44">
        <v>153816</v>
      </c>
      <c r="M54" s="44">
        <v>369087</v>
      </c>
      <c r="N54" s="44">
        <v>4516701</v>
      </c>
      <c r="O54" s="44">
        <v>181594</v>
      </c>
      <c r="P54" s="44">
        <v>332746</v>
      </c>
      <c r="Q54" s="44">
        <v>1373027</v>
      </c>
      <c r="R54" s="44">
        <v>0</v>
      </c>
      <c r="S54" s="44">
        <v>13564</v>
      </c>
      <c r="T54" s="44">
        <v>1028926</v>
      </c>
      <c r="U54" s="44">
        <v>573832</v>
      </c>
      <c r="V54" s="44">
        <v>11079</v>
      </c>
      <c r="W54" s="44">
        <v>1124003</v>
      </c>
      <c r="X54" s="44">
        <v>425940</v>
      </c>
      <c r="Y54" s="44">
        <v>1926946</v>
      </c>
      <c r="Z54" s="44">
        <v>843463</v>
      </c>
      <c r="AA54" s="44">
        <v>125695</v>
      </c>
      <c r="AB54" s="44">
        <v>0</v>
      </c>
      <c r="AC54" s="44">
        <v>13000419</v>
      </c>
      <c r="AD54" s="44">
        <v>748120</v>
      </c>
      <c r="AE54" s="44">
        <v>900000</v>
      </c>
      <c r="AF54" s="44">
        <v>657773</v>
      </c>
      <c r="AG54" s="44">
        <v>15306312</v>
      </c>
      <c r="AH54" s="44">
        <v>961</v>
      </c>
      <c r="AI54" s="44">
        <v>15792</v>
      </c>
      <c r="AJ54" s="44">
        <v>15927</v>
      </c>
      <c r="AK54" s="44">
        <v>282635</v>
      </c>
      <c r="AL54" s="44">
        <v>77079</v>
      </c>
      <c r="AM54" s="44">
        <v>0.68500000000000005</v>
      </c>
      <c r="AN54" s="44">
        <v>0.52399232421239028</v>
      </c>
      <c r="AO54" s="44">
        <v>0.17599999999999999</v>
      </c>
      <c r="AP54" s="44">
        <v>0.69999232421239022</v>
      </c>
      <c r="AQ54" s="44">
        <v>0.82430000000000003</v>
      </c>
      <c r="AR54" s="44">
        <v>15.12</v>
      </c>
    </row>
    <row r="55" spans="1:44">
      <c r="A55" t="s">
        <v>1463</v>
      </c>
      <c r="B55" t="s">
        <v>1464</v>
      </c>
      <c r="D55" t="s">
        <v>1639</v>
      </c>
      <c r="E55" s="44">
        <v>943097</v>
      </c>
      <c r="F55" s="44">
        <v>10201769</v>
      </c>
      <c r="G55" s="44">
        <v>1572876</v>
      </c>
      <c r="H55" s="126">
        <v>11774645</v>
      </c>
      <c r="I55" s="127">
        <v>3815937</v>
      </c>
      <c r="J55" s="128">
        <v>628042</v>
      </c>
      <c r="K55" s="130">
        <v>16218624</v>
      </c>
      <c r="L55" s="44">
        <v>96650</v>
      </c>
      <c r="M55" s="44">
        <v>403356</v>
      </c>
      <c r="N55" s="44">
        <v>5025838</v>
      </c>
      <c r="O55" s="44">
        <v>220607</v>
      </c>
      <c r="P55" s="44">
        <v>301526</v>
      </c>
      <c r="Q55" s="44">
        <v>2031509</v>
      </c>
      <c r="R55" s="44">
        <v>0</v>
      </c>
      <c r="S55" s="44">
        <v>0</v>
      </c>
      <c r="T55" s="44">
        <v>704737</v>
      </c>
      <c r="U55" s="44">
        <v>480050</v>
      </c>
      <c r="V55" s="44">
        <v>0</v>
      </c>
      <c r="W55" s="44">
        <v>815622</v>
      </c>
      <c r="X55" s="44">
        <v>545893</v>
      </c>
      <c r="Y55" s="44">
        <v>1760158</v>
      </c>
      <c r="Z55" s="44">
        <v>797436</v>
      </c>
      <c r="AA55" s="44">
        <v>364380</v>
      </c>
      <c r="AB55" s="44">
        <v>196558</v>
      </c>
      <c r="AC55" s="44">
        <v>13744320</v>
      </c>
      <c r="AD55" s="44">
        <v>778462</v>
      </c>
      <c r="AE55" s="44">
        <v>978199</v>
      </c>
      <c r="AF55" s="44">
        <v>524830</v>
      </c>
      <c r="AG55" s="44">
        <v>16025811</v>
      </c>
      <c r="AH55" s="44">
        <v>1127</v>
      </c>
      <c r="AI55" s="44">
        <v>14391</v>
      </c>
      <c r="AJ55" s="44">
        <v>14220</v>
      </c>
      <c r="AK55" s="44">
        <v>142187</v>
      </c>
      <c r="AL55" s="44">
        <v>64473</v>
      </c>
      <c r="AM55" s="44">
        <v>0.45</v>
      </c>
      <c r="AN55" s="44">
        <v>0.54688446032465998</v>
      </c>
      <c r="AO55" s="44">
        <v>0.16600000000000001</v>
      </c>
      <c r="AP55" s="44">
        <v>0.71288446032466002</v>
      </c>
      <c r="AQ55" s="44">
        <v>0.84299999999999997</v>
      </c>
      <c r="AR55" s="44">
        <v>17.45</v>
      </c>
    </row>
    <row r="56" spans="1:44">
      <c r="A56" t="s">
        <v>1465</v>
      </c>
      <c r="B56" t="s">
        <v>1466</v>
      </c>
      <c r="D56" t="s">
        <v>1639</v>
      </c>
      <c r="E56" s="44">
        <v>793019</v>
      </c>
      <c r="F56" s="44">
        <v>9891577</v>
      </c>
      <c r="G56" s="44">
        <v>1064154</v>
      </c>
      <c r="H56" s="126">
        <v>10955731</v>
      </c>
      <c r="I56" s="127">
        <v>5062930</v>
      </c>
      <c r="J56" s="128">
        <v>790154</v>
      </c>
      <c r="K56" s="130">
        <v>16808815</v>
      </c>
      <c r="L56" s="44">
        <v>97248</v>
      </c>
      <c r="M56" s="44">
        <v>484278</v>
      </c>
      <c r="N56" s="44">
        <v>5369276</v>
      </c>
      <c r="O56" s="44">
        <v>98540</v>
      </c>
      <c r="P56" s="44">
        <v>341032</v>
      </c>
      <c r="Q56" s="44">
        <v>2350259</v>
      </c>
      <c r="R56" s="44">
        <v>20290</v>
      </c>
      <c r="S56" s="44">
        <v>0</v>
      </c>
      <c r="T56" s="44">
        <v>675932</v>
      </c>
      <c r="U56" s="44">
        <v>639619</v>
      </c>
      <c r="V56" s="44">
        <v>250</v>
      </c>
      <c r="W56" s="44">
        <v>945049</v>
      </c>
      <c r="X56" s="44">
        <v>502053</v>
      </c>
      <c r="Y56" s="44">
        <v>1732400</v>
      </c>
      <c r="Z56" s="44">
        <v>782358</v>
      </c>
      <c r="AA56" s="44">
        <v>298986</v>
      </c>
      <c r="AB56" s="44">
        <v>0</v>
      </c>
      <c r="AC56" s="44">
        <v>14337570</v>
      </c>
      <c r="AD56" s="44">
        <v>1099068</v>
      </c>
      <c r="AE56" s="44">
        <v>940716</v>
      </c>
      <c r="AF56" s="44">
        <v>346890</v>
      </c>
      <c r="AG56" s="44">
        <v>16724244</v>
      </c>
      <c r="AH56" s="44">
        <v>1076</v>
      </c>
      <c r="AI56" s="44">
        <v>15622</v>
      </c>
      <c r="AJ56" s="44">
        <v>15543</v>
      </c>
      <c r="AK56" s="44">
        <v>212823</v>
      </c>
      <c r="AL56" s="44">
        <v>69616</v>
      </c>
      <c r="AM56" s="44">
        <v>0.56299999999999994</v>
      </c>
      <c r="AN56" s="44">
        <v>0.56773555803180098</v>
      </c>
      <c r="AO56" s="44">
        <v>0.14499999999999999</v>
      </c>
      <c r="AP56" s="44">
        <v>0.712735558031801</v>
      </c>
      <c r="AQ56" s="44">
        <v>0.83160000000000001</v>
      </c>
      <c r="AR56" s="44">
        <v>14.46</v>
      </c>
    </row>
    <row r="57" spans="1:44">
      <c r="A57" t="s">
        <v>1467</v>
      </c>
      <c r="B57" t="s">
        <v>1468</v>
      </c>
      <c r="D57" t="s">
        <v>1639</v>
      </c>
      <c r="E57" s="44">
        <v>1062831</v>
      </c>
      <c r="F57" s="44">
        <v>9556341</v>
      </c>
      <c r="G57" s="44">
        <v>1436872</v>
      </c>
      <c r="H57" s="126">
        <v>10993213</v>
      </c>
      <c r="I57" s="127">
        <v>5978679</v>
      </c>
      <c r="J57" s="128">
        <v>489084</v>
      </c>
      <c r="K57" s="130">
        <v>17460976</v>
      </c>
      <c r="L57" s="44">
        <v>118155</v>
      </c>
      <c r="M57" s="44">
        <v>411645</v>
      </c>
      <c r="N57" s="44">
        <v>5237598</v>
      </c>
      <c r="O57" s="44">
        <v>273347</v>
      </c>
      <c r="P57" s="44">
        <v>287133</v>
      </c>
      <c r="Q57" s="44">
        <v>1564847</v>
      </c>
      <c r="R57" s="44">
        <v>0</v>
      </c>
      <c r="S57" s="44">
        <v>0</v>
      </c>
      <c r="T57" s="44">
        <v>681022</v>
      </c>
      <c r="U57" s="44">
        <v>566003</v>
      </c>
      <c r="V57" s="44">
        <v>0</v>
      </c>
      <c r="W57" s="44">
        <v>1232263</v>
      </c>
      <c r="X57" s="44">
        <v>540250</v>
      </c>
      <c r="Y57" s="44">
        <v>1676310</v>
      </c>
      <c r="Z57" s="44">
        <v>848219</v>
      </c>
      <c r="AA57" s="44">
        <v>409176</v>
      </c>
      <c r="AB57" s="44">
        <v>0</v>
      </c>
      <c r="AC57" s="44">
        <v>13845968</v>
      </c>
      <c r="AD57" s="44">
        <v>868294</v>
      </c>
      <c r="AE57" s="44">
        <v>1055000</v>
      </c>
      <c r="AF57" s="44">
        <v>718384</v>
      </c>
      <c r="AG57" s="44">
        <v>16487646</v>
      </c>
      <c r="AH57" s="44">
        <v>1001</v>
      </c>
      <c r="AI57" s="44">
        <v>17444</v>
      </c>
      <c r="AJ57" s="44">
        <v>16471</v>
      </c>
      <c r="AK57" s="44">
        <v>208715</v>
      </c>
      <c r="AL57" s="44">
        <v>69140</v>
      </c>
      <c r="AM57" s="44">
        <v>0.55600000000000005</v>
      </c>
      <c r="AN57" s="44">
        <v>0.52220614149527467</v>
      </c>
      <c r="AO57" s="44">
        <v>0.154</v>
      </c>
      <c r="AP57" s="44">
        <v>0.67620614149527469</v>
      </c>
      <c r="AQ57" s="44">
        <v>0.80479999999999996</v>
      </c>
      <c r="AR57" s="44">
        <v>17.41</v>
      </c>
    </row>
    <row r="58" spans="1:44">
      <c r="A58" t="s">
        <v>1469</v>
      </c>
      <c r="B58" t="s">
        <v>1470</v>
      </c>
      <c r="D58" t="s">
        <v>1639</v>
      </c>
      <c r="E58" s="44">
        <v>1907125</v>
      </c>
      <c r="F58" s="44">
        <v>10291810</v>
      </c>
      <c r="G58" s="44">
        <v>2331904</v>
      </c>
      <c r="H58" s="126">
        <v>12623714</v>
      </c>
      <c r="I58" s="127">
        <v>9891527</v>
      </c>
      <c r="J58" s="128">
        <v>600660</v>
      </c>
      <c r="K58" s="130">
        <v>23115901</v>
      </c>
      <c r="L58" s="44">
        <v>104279</v>
      </c>
      <c r="M58" s="44">
        <v>458443</v>
      </c>
      <c r="N58" s="44">
        <v>6916252</v>
      </c>
      <c r="O58" s="44">
        <v>481701</v>
      </c>
      <c r="P58" s="44">
        <v>572311</v>
      </c>
      <c r="Q58" s="44">
        <v>1617264</v>
      </c>
      <c r="R58" s="44">
        <v>46541</v>
      </c>
      <c r="S58" s="44">
        <v>2831</v>
      </c>
      <c r="T58" s="44">
        <v>1382855</v>
      </c>
      <c r="U58" s="44">
        <v>725097</v>
      </c>
      <c r="V58" s="44">
        <v>5384</v>
      </c>
      <c r="W58" s="44">
        <v>1305427</v>
      </c>
      <c r="X58" s="44">
        <v>676544</v>
      </c>
      <c r="Y58" s="44">
        <v>2317595</v>
      </c>
      <c r="Z58" s="44">
        <v>1222888</v>
      </c>
      <c r="AA58" s="44">
        <v>718290</v>
      </c>
      <c r="AB58" s="44">
        <v>0</v>
      </c>
      <c r="AC58" s="44">
        <v>18553702</v>
      </c>
      <c r="AD58" s="44">
        <v>753707</v>
      </c>
      <c r="AE58" s="44">
        <v>1490155</v>
      </c>
      <c r="AF58" s="44">
        <v>1437705</v>
      </c>
      <c r="AG58" s="44">
        <v>22235269</v>
      </c>
      <c r="AH58" s="44">
        <v>1659</v>
      </c>
      <c r="AI58" s="44">
        <v>13934</v>
      </c>
      <c r="AJ58" s="44">
        <v>13403</v>
      </c>
      <c r="AK58" s="44">
        <v>243842</v>
      </c>
      <c r="AL58" s="44">
        <v>89402</v>
      </c>
      <c r="AM58" s="44">
        <v>0.68500000000000005</v>
      </c>
      <c r="AN58" s="44">
        <v>0.52820822630929265</v>
      </c>
      <c r="AO58" s="44">
        <v>0.16400000000000001</v>
      </c>
      <c r="AP58" s="44">
        <v>0.69220822630929268</v>
      </c>
      <c r="AQ58" s="44">
        <v>0.8286</v>
      </c>
      <c r="AR58" s="44">
        <v>19.78</v>
      </c>
    </row>
    <row r="59" spans="1:44">
      <c r="A59" t="s">
        <v>1471</v>
      </c>
      <c r="B59" t="s">
        <v>1472</v>
      </c>
      <c r="D59" t="s">
        <v>1639</v>
      </c>
      <c r="E59" s="44">
        <v>608014</v>
      </c>
      <c r="F59" s="44">
        <v>8241588</v>
      </c>
      <c r="G59" s="44">
        <v>1211124</v>
      </c>
      <c r="H59" s="126">
        <v>9452712</v>
      </c>
      <c r="I59" s="127">
        <v>3223315</v>
      </c>
      <c r="J59" s="128">
        <v>356282</v>
      </c>
      <c r="K59" s="130">
        <v>13032309</v>
      </c>
      <c r="L59" s="44">
        <v>65251</v>
      </c>
      <c r="M59" s="44">
        <v>304354</v>
      </c>
      <c r="N59" s="44">
        <v>3840173</v>
      </c>
      <c r="O59" s="44">
        <v>126807</v>
      </c>
      <c r="P59" s="44">
        <v>162384</v>
      </c>
      <c r="Q59" s="44">
        <v>849742</v>
      </c>
      <c r="R59" s="44">
        <v>80139</v>
      </c>
      <c r="S59" s="44">
        <v>108161</v>
      </c>
      <c r="T59" s="44">
        <v>722635</v>
      </c>
      <c r="U59" s="44">
        <v>379836</v>
      </c>
      <c r="V59" s="44">
        <v>6500</v>
      </c>
      <c r="W59" s="44">
        <v>1151462</v>
      </c>
      <c r="X59" s="44">
        <v>360548</v>
      </c>
      <c r="Y59" s="44">
        <v>1021215</v>
      </c>
      <c r="Z59" s="44">
        <v>698798</v>
      </c>
      <c r="AA59" s="44">
        <v>352220</v>
      </c>
      <c r="AB59" s="44">
        <v>0</v>
      </c>
      <c r="AC59" s="44">
        <v>10230225</v>
      </c>
      <c r="AD59" s="44">
        <v>545696</v>
      </c>
      <c r="AE59" s="44">
        <v>883478</v>
      </c>
      <c r="AF59" s="44">
        <v>384163</v>
      </c>
      <c r="AG59" s="44">
        <v>12043562</v>
      </c>
      <c r="AH59" s="44">
        <v>927</v>
      </c>
      <c r="AI59" s="44">
        <v>14059</v>
      </c>
      <c r="AJ59" s="44">
        <v>12992</v>
      </c>
      <c r="AK59" s="44">
        <v>135860</v>
      </c>
      <c r="AL59" s="44">
        <v>57372</v>
      </c>
      <c r="AM59" s="44">
        <v>0.41199999999999998</v>
      </c>
      <c r="AN59" s="44">
        <v>0.5205998856484485</v>
      </c>
      <c r="AO59" s="44">
        <v>0.14000000000000001</v>
      </c>
      <c r="AP59" s="44">
        <v>0.66059988564844851</v>
      </c>
      <c r="AQ59" s="44">
        <v>0.77559999999999996</v>
      </c>
      <c r="AR59" s="44">
        <v>19.329999999999998</v>
      </c>
    </row>
    <row r="60" spans="1:44">
      <c r="A60" t="s">
        <v>1473</v>
      </c>
      <c r="B60" t="s">
        <v>1474</v>
      </c>
      <c r="D60" t="s">
        <v>1639</v>
      </c>
      <c r="E60" s="44">
        <v>914324</v>
      </c>
      <c r="F60" s="44">
        <v>11610583</v>
      </c>
      <c r="G60" s="44">
        <v>1218810</v>
      </c>
      <c r="H60" s="126">
        <v>12829393</v>
      </c>
      <c r="I60" s="127">
        <v>3316078</v>
      </c>
      <c r="J60" s="128">
        <v>803025</v>
      </c>
      <c r="K60" s="130">
        <v>16948496</v>
      </c>
      <c r="L60" s="44">
        <v>86159</v>
      </c>
      <c r="M60" s="44">
        <v>357426</v>
      </c>
      <c r="N60" s="44">
        <v>6565105</v>
      </c>
      <c r="O60" s="44">
        <v>257287</v>
      </c>
      <c r="P60" s="44">
        <v>387753</v>
      </c>
      <c r="Q60" s="44">
        <v>990317</v>
      </c>
      <c r="R60" s="44">
        <v>74674</v>
      </c>
      <c r="S60" s="44">
        <v>0</v>
      </c>
      <c r="T60" s="44">
        <v>1293989</v>
      </c>
      <c r="U60" s="44">
        <v>637472</v>
      </c>
      <c r="V60" s="44">
        <v>0</v>
      </c>
      <c r="W60" s="44">
        <v>916372</v>
      </c>
      <c r="X60" s="44">
        <v>629658</v>
      </c>
      <c r="Y60" s="44">
        <v>1908582</v>
      </c>
      <c r="Z60" s="44">
        <v>1001130</v>
      </c>
      <c r="AA60" s="44">
        <v>367700</v>
      </c>
      <c r="AB60" s="44">
        <v>250000</v>
      </c>
      <c r="AC60" s="44">
        <v>15723624</v>
      </c>
      <c r="AD60" s="44">
        <v>1121765</v>
      </c>
      <c r="AE60" s="44">
        <v>695281</v>
      </c>
      <c r="AF60" s="44">
        <v>267332</v>
      </c>
      <c r="AG60" s="44">
        <v>17808002</v>
      </c>
      <c r="AH60" s="44">
        <v>1261</v>
      </c>
      <c r="AI60" s="44">
        <v>13441</v>
      </c>
      <c r="AJ60" s="44">
        <v>14122</v>
      </c>
      <c r="AK60" s="44">
        <v>136444</v>
      </c>
      <c r="AL60" s="44">
        <v>54809</v>
      </c>
      <c r="AM60" s="44">
        <v>0.40200000000000002</v>
      </c>
      <c r="AN60" s="44">
        <v>0.57314666743635811</v>
      </c>
      <c r="AO60" s="44">
        <v>0.16800000000000001</v>
      </c>
      <c r="AP60" s="44">
        <v>0.74114666743635815</v>
      </c>
      <c r="AQ60" s="44">
        <v>0.85229999999999995</v>
      </c>
      <c r="AR60" s="44">
        <v>14.11</v>
      </c>
    </row>
    <row r="61" spans="1:44">
      <c r="A61" t="s">
        <v>1475</v>
      </c>
      <c r="B61" t="s">
        <v>1476</v>
      </c>
      <c r="D61" t="s">
        <v>1639</v>
      </c>
      <c r="E61" s="44">
        <v>933254</v>
      </c>
      <c r="F61" s="44">
        <v>6055830</v>
      </c>
      <c r="G61" s="44">
        <v>617598</v>
      </c>
      <c r="H61" s="126">
        <v>6673428</v>
      </c>
      <c r="I61" s="127">
        <v>10691903</v>
      </c>
      <c r="J61" s="128">
        <v>419903</v>
      </c>
      <c r="K61" s="130">
        <v>17785234</v>
      </c>
      <c r="L61" s="44">
        <v>57368</v>
      </c>
      <c r="M61" s="44">
        <v>440726</v>
      </c>
      <c r="N61" s="44">
        <v>4992738</v>
      </c>
      <c r="O61" s="44">
        <v>303556</v>
      </c>
      <c r="P61" s="44">
        <v>225765</v>
      </c>
      <c r="Q61" s="44">
        <v>1664295</v>
      </c>
      <c r="R61" s="44">
        <v>2205</v>
      </c>
      <c r="S61" s="44">
        <v>0</v>
      </c>
      <c r="T61" s="44">
        <v>869786</v>
      </c>
      <c r="U61" s="44">
        <v>831375</v>
      </c>
      <c r="V61" s="44">
        <v>23390</v>
      </c>
      <c r="W61" s="44">
        <v>1502826</v>
      </c>
      <c r="X61" s="44">
        <v>447686</v>
      </c>
      <c r="Y61" s="44">
        <v>1305221</v>
      </c>
      <c r="Z61" s="44">
        <v>977153</v>
      </c>
      <c r="AA61" s="44">
        <v>239854</v>
      </c>
      <c r="AB61" s="44">
        <v>0</v>
      </c>
      <c r="AC61" s="44">
        <v>13883944</v>
      </c>
      <c r="AD61" s="44">
        <v>972644</v>
      </c>
      <c r="AE61" s="44">
        <v>5367000</v>
      </c>
      <c r="AF61" s="44">
        <v>1167206</v>
      </c>
      <c r="AG61" s="44">
        <v>21390794</v>
      </c>
      <c r="AH61" s="44">
        <v>897</v>
      </c>
      <c r="AI61" s="44">
        <v>19827</v>
      </c>
      <c r="AJ61" s="44">
        <v>23847</v>
      </c>
      <c r="AK61" s="44">
        <v>818613</v>
      </c>
      <c r="AL61" s="44">
        <v>82509</v>
      </c>
      <c r="AM61" s="44">
        <v>1.4080000000000001</v>
      </c>
      <c r="AN61" s="44">
        <v>0.41558625640544244</v>
      </c>
      <c r="AO61" s="44">
        <v>0.1</v>
      </c>
      <c r="AP61" s="44">
        <v>0.51558625640544242</v>
      </c>
      <c r="AQ61" s="44">
        <v>0.79400000000000004</v>
      </c>
      <c r="AR61" s="44">
        <v>10.57</v>
      </c>
    </row>
    <row r="62" spans="1:44">
      <c r="A62" t="s">
        <v>1477</v>
      </c>
      <c r="B62" t="s">
        <v>1478</v>
      </c>
      <c r="D62" t="s">
        <v>1639</v>
      </c>
      <c r="E62" s="44">
        <v>1361930</v>
      </c>
      <c r="F62" s="44">
        <v>8307042</v>
      </c>
      <c r="G62" s="44">
        <v>916988</v>
      </c>
      <c r="H62" s="126">
        <v>9224030</v>
      </c>
      <c r="I62" s="127">
        <v>2767179</v>
      </c>
      <c r="J62" s="128">
        <v>1296308</v>
      </c>
      <c r="K62" s="130">
        <v>13287517</v>
      </c>
      <c r="L62" s="44">
        <v>72431</v>
      </c>
      <c r="M62" s="44">
        <v>369006</v>
      </c>
      <c r="N62" s="44">
        <v>3735090</v>
      </c>
      <c r="O62" s="44">
        <v>281403</v>
      </c>
      <c r="P62" s="44">
        <v>155745</v>
      </c>
      <c r="Q62" s="44">
        <v>1246807</v>
      </c>
      <c r="R62" s="44">
        <v>46709</v>
      </c>
      <c r="S62" s="44">
        <v>14470</v>
      </c>
      <c r="T62" s="44">
        <v>758603</v>
      </c>
      <c r="U62" s="44">
        <v>902676</v>
      </c>
      <c r="V62" s="44">
        <v>6819</v>
      </c>
      <c r="W62" s="44">
        <v>1012699</v>
      </c>
      <c r="X62" s="44">
        <v>325909</v>
      </c>
      <c r="Y62" s="44">
        <v>885594</v>
      </c>
      <c r="Z62" s="44">
        <v>824725</v>
      </c>
      <c r="AA62" s="44">
        <v>206976</v>
      </c>
      <c r="AB62" s="44">
        <v>15000</v>
      </c>
      <c r="AC62" s="44">
        <v>10860662</v>
      </c>
      <c r="AD62" s="44">
        <v>736423</v>
      </c>
      <c r="AE62" s="44">
        <v>806300</v>
      </c>
      <c r="AF62" s="44">
        <v>379121</v>
      </c>
      <c r="AG62" s="44">
        <v>12782506</v>
      </c>
      <c r="AH62" s="44">
        <v>715</v>
      </c>
      <c r="AI62" s="44">
        <v>18584</v>
      </c>
      <c r="AJ62" s="44">
        <v>17878</v>
      </c>
      <c r="AK62" s="44">
        <v>139598</v>
      </c>
      <c r="AL62" s="44">
        <v>47526</v>
      </c>
      <c r="AM62" s="44">
        <v>0.377</v>
      </c>
      <c r="AN62" s="44">
        <v>0.55869349875525187</v>
      </c>
      <c r="AO62" s="44">
        <v>0.127</v>
      </c>
      <c r="AP62" s="44">
        <v>0.68569349875525187</v>
      </c>
      <c r="AQ62" s="44">
        <v>0.80559999999999998</v>
      </c>
      <c r="AR62" s="44">
        <v>20.239999999999998</v>
      </c>
    </row>
    <row r="63" spans="1:44">
      <c r="A63" t="s">
        <v>1479</v>
      </c>
      <c r="B63" t="s">
        <v>1480</v>
      </c>
      <c r="D63" t="s">
        <v>1639</v>
      </c>
      <c r="E63" s="44">
        <v>655947</v>
      </c>
      <c r="F63" s="44">
        <v>5060425</v>
      </c>
      <c r="G63" s="44">
        <v>464582</v>
      </c>
      <c r="H63" s="126">
        <v>5525007</v>
      </c>
      <c r="I63" s="127">
        <v>3407424</v>
      </c>
      <c r="J63" s="128">
        <v>291948</v>
      </c>
      <c r="K63" s="130">
        <v>9224379</v>
      </c>
      <c r="L63" s="44">
        <v>42399</v>
      </c>
      <c r="M63" s="44">
        <v>233076</v>
      </c>
      <c r="N63" s="44">
        <v>2675010</v>
      </c>
      <c r="O63" s="44">
        <v>144315</v>
      </c>
      <c r="P63" s="44">
        <v>119838</v>
      </c>
      <c r="Q63" s="44">
        <v>412133</v>
      </c>
      <c r="R63" s="44">
        <v>0</v>
      </c>
      <c r="S63" s="44">
        <v>1518</v>
      </c>
      <c r="T63" s="44">
        <v>467969</v>
      </c>
      <c r="U63" s="44">
        <v>509485</v>
      </c>
      <c r="V63" s="44">
        <v>1667</v>
      </c>
      <c r="W63" s="44">
        <v>669009</v>
      </c>
      <c r="X63" s="44">
        <v>302916</v>
      </c>
      <c r="Y63" s="44">
        <v>1000142</v>
      </c>
      <c r="Z63" s="44">
        <v>479475</v>
      </c>
      <c r="AA63" s="44">
        <v>213179</v>
      </c>
      <c r="AB63" s="44">
        <v>176525</v>
      </c>
      <c r="AC63" s="44">
        <v>7448656</v>
      </c>
      <c r="AD63" s="44">
        <v>326063</v>
      </c>
      <c r="AE63" s="44">
        <v>662000</v>
      </c>
      <c r="AF63" s="44">
        <v>608214</v>
      </c>
      <c r="AG63" s="44">
        <v>9044933</v>
      </c>
      <c r="AH63" s="44">
        <v>460</v>
      </c>
      <c r="AI63" s="44">
        <v>20053</v>
      </c>
      <c r="AJ63" s="44">
        <v>19663</v>
      </c>
      <c r="AK63" s="44">
        <v>297430</v>
      </c>
      <c r="AL63" s="44">
        <v>61702</v>
      </c>
      <c r="AM63" s="44">
        <v>0.64200000000000002</v>
      </c>
      <c r="AN63" s="44">
        <v>0.47875069942474974</v>
      </c>
      <c r="AO63" s="44">
        <v>0.16500000000000001</v>
      </c>
      <c r="AP63" s="44">
        <v>0.64375069942474972</v>
      </c>
      <c r="AQ63" s="44">
        <v>0.79890000000000005</v>
      </c>
      <c r="AR63" s="44">
        <v>14.97</v>
      </c>
    </row>
    <row r="64" spans="1:44">
      <c r="A64" t="s">
        <v>1481</v>
      </c>
      <c r="B64" t="s">
        <v>1482</v>
      </c>
      <c r="D64" t="s">
        <v>1639</v>
      </c>
      <c r="E64" s="44">
        <v>2649644</v>
      </c>
      <c r="F64" s="44">
        <v>18181650</v>
      </c>
      <c r="G64" s="44">
        <v>3096341</v>
      </c>
      <c r="H64" s="126">
        <v>21277991</v>
      </c>
      <c r="I64" s="127">
        <v>11798433</v>
      </c>
      <c r="J64" s="128">
        <v>6013076</v>
      </c>
      <c r="K64" s="130">
        <v>39089500</v>
      </c>
      <c r="L64" s="44">
        <v>120198</v>
      </c>
      <c r="M64" s="44">
        <v>527141</v>
      </c>
      <c r="N64" s="44">
        <v>14527821</v>
      </c>
      <c r="O64" s="44">
        <v>718717</v>
      </c>
      <c r="P64" s="44">
        <v>673524</v>
      </c>
      <c r="Q64" s="44">
        <v>1969195</v>
      </c>
      <c r="R64" s="44">
        <v>426028</v>
      </c>
      <c r="S64" s="44">
        <v>0</v>
      </c>
      <c r="T64" s="44">
        <v>2426150</v>
      </c>
      <c r="U64" s="44">
        <v>3754839</v>
      </c>
      <c r="V64" s="44">
        <v>9633</v>
      </c>
      <c r="W64" s="44">
        <v>2322196</v>
      </c>
      <c r="X64" s="44">
        <v>1376084</v>
      </c>
      <c r="Y64" s="44">
        <v>2274866</v>
      </c>
      <c r="Z64" s="44">
        <v>3318257</v>
      </c>
      <c r="AA64" s="44">
        <v>950243</v>
      </c>
      <c r="AB64" s="44">
        <v>0</v>
      </c>
      <c r="AC64" s="44">
        <v>35394892</v>
      </c>
      <c r="AD64" s="44">
        <v>871106</v>
      </c>
      <c r="AE64" s="44">
        <v>801430</v>
      </c>
      <c r="AF64" s="44">
        <v>309491</v>
      </c>
      <c r="AG64" s="44">
        <v>37376919</v>
      </c>
      <c r="AH64" s="44">
        <v>2211</v>
      </c>
      <c r="AI64" s="44">
        <v>17680</v>
      </c>
      <c r="AJ64" s="44">
        <v>16905</v>
      </c>
      <c r="AK64" s="44">
        <v>151134</v>
      </c>
      <c r="AL64" s="44">
        <v>58775</v>
      </c>
      <c r="AM64" s="44">
        <v>0.438</v>
      </c>
      <c r="AN64" s="44">
        <v>0.65538505193539365</v>
      </c>
      <c r="AO64" s="44">
        <v>0.17100000000000001</v>
      </c>
      <c r="AP64" s="44">
        <v>0.82638505193539369</v>
      </c>
      <c r="AQ64" s="44">
        <v>0.87139999999999995</v>
      </c>
      <c r="AR64" s="44">
        <v>28.68</v>
      </c>
    </row>
    <row r="65" spans="1:44">
      <c r="A65" t="s">
        <v>1483</v>
      </c>
      <c r="B65" t="s">
        <v>1484</v>
      </c>
      <c r="D65" t="s">
        <v>1639</v>
      </c>
      <c r="E65" s="44">
        <v>702283</v>
      </c>
      <c r="F65" s="44">
        <v>4508949</v>
      </c>
      <c r="G65" s="44">
        <v>984251</v>
      </c>
      <c r="H65" s="126">
        <v>5493200</v>
      </c>
      <c r="I65" s="127">
        <v>5664908</v>
      </c>
      <c r="J65" s="128">
        <v>377566</v>
      </c>
      <c r="K65" s="130">
        <v>11535674</v>
      </c>
      <c r="L65" s="44">
        <v>35159</v>
      </c>
      <c r="M65" s="44">
        <v>353174</v>
      </c>
      <c r="N65" s="44">
        <v>3746067</v>
      </c>
      <c r="O65" s="44">
        <v>104022</v>
      </c>
      <c r="P65" s="44">
        <v>242937</v>
      </c>
      <c r="Q65" s="44">
        <v>788247</v>
      </c>
      <c r="R65" s="44">
        <v>19574</v>
      </c>
      <c r="S65" s="44">
        <v>8019</v>
      </c>
      <c r="T65" s="44">
        <v>679146</v>
      </c>
      <c r="U65" s="44">
        <v>535995</v>
      </c>
      <c r="V65" s="44">
        <v>0</v>
      </c>
      <c r="W65" s="44">
        <v>1004888</v>
      </c>
      <c r="X65" s="44">
        <v>383008</v>
      </c>
      <c r="Y65" s="44">
        <v>717709</v>
      </c>
      <c r="Z65" s="44">
        <v>662247</v>
      </c>
      <c r="AA65" s="44">
        <v>236351</v>
      </c>
      <c r="AB65" s="44">
        <v>83000</v>
      </c>
      <c r="AC65" s="44">
        <v>9599543</v>
      </c>
      <c r="AD65" s="44">
        <v>533717</v>
      </c>
      <c r="AE65" s="44">
        <v>798645</v>
      </c>
      <c r="AF65" s="44">
        <v>347462</v>
      </c>
      <c r="AG65" s="44">
        <v>11279367</v>
      </c>
      <c r="AH65" s="44">
        <v>829</v>
      </c>
      <c r="AI65" s="44">
        <v>13915</v>
      </c>
      <c r="AJ65" s="44">
        <v>13606</v>
      </c>
      <c r="AK65" s="44">
        <v>315273</v>
      </c>
      <c r="AL65" s="44">
        <v>101520</v>
      </c>
      <c r="AM65" s="44">
        <v>0.82799999999999996</v>
      </c>
      <c r="AN65" s="44">
        <v>0.54293889009906315</v>
      </c>
      <c r="AO65" s="44">
        <v>0.125</v>
      </c>
      <c r="AP65" s="44">
        <v>0.66793889009906315</v>
      </c>
      <c r="AQ65" s="44">
        <v>0.79100000000000004</v>
      </c>
      <c r="AR65" s="44">
        <v>15.4</v>
      </c>
    </row>
    <row r="66" spans="1:44">
      <c r="A66" t="s">
        <v>1485</v>
      </c>
      <c r="B66" t="s">
        <v>1486</v>
      </c>
      <c r="D66" t="s">
        <v>1639</v>
      </c>
      <c r="E66" s="44">
        <v>4016180</v>
      </c>
      <c r="F66" s="44">
        <v>10068961</v>
      </c>
      <c r="G66" s="44">
        <v>1622287</v>
      </c>
      <c r="H66" s="126">
        <v>11691248</v>
      </c>
      <c r="I66" s="127">
        <v>5849185</v>
      </c>
      <c r="J66" s="128">
        <v>728718</v>
      </c>
      <c r="K66" s="130">
        <v>18269151</v>
      </c>
      <c r="L66" s="44">
        <v>82848</v>
      </c>
      <c r="M66" s="44">
        <v>225596</v>
      </c>
      <c r="N66" s="44">
        <v>5481700</v>
      </c>
      <c r="O66" s="44">
        <v>273941</v>
      </c>
      <c r="P66" s="44">
        <v>338585</v>
      </c>
      <c r="Q66" s="44">
        <v>1442546</v>
      </c>
      <c r="R66" s="44">
        <v>33565</v>
      </c>
      <c r="S66" s="44">
        <v>188531</v>
      </c>
      <c r="T66" s="44">
        <v>980479</v>
      </c>
      <c r="U66" s="44">
        <v>720715</v>
      </c>
      <c r="V66" s="44">
        <v>0</v>
      </c>
      <c r="W66" s="44">
        <v>1146139</v>
      </c>
      <c r="X66" s="44">
        <v>519542</v>
      </c>
      <c r="Y66" s="44">
        <v>1371202</v>
      </c>
      <c r="Z66" s="44">
        <v>1079714</v>
      </c>
      <c r="AA66" s="44">
        <v>389641</v>
      </c>
      <c r="AB66" s="44">
        <v>1500000</v>
      </c>
      <c r="AC66" s="44">
        <v>15774744</v>
      </c>
      <c r="AD66" s="44">
        <v>830211</v>
      </c>
      <c r="AE66" s="44">
        <v>1070000</v>
      </c>
      <c r="AF66" s="44">
        <v>672033</v>
      </c>
      <c r="AG66" s="44">
        <v>18346988</v>
      </c>
      <c r="AH66" s="44">
        <v>1372</v>
      </c>
      <c r="AI66" s="44">
        <v>13316</v>
      </c>
      <c r="AJ66" s="44">
        <v>13372</v>
      </c>
      <c r="AK66" s="44">
        <v>183902</v>
      </c>
      <c r="AL66" s="44">
        <v>61514</v>
      </c>
      <c r="AM66" s="44">
        <v>0.49199999999999999</v>
      </c>
      <c r="AN66" s="44">
        <v>0.51561934852739866</v>
      </c>
      <c r="AO66" s="44">
        <v>0.13400000000000001</v>
      </c>
      <c r="AP66" s="44">
        <v>0.64961934852739867</v>
      </c>
      <c r="AQ66" s="44">
        <v>0.83430000000000004</v>
      </c>
      <c r="AR66" s="44">
        <v>19.21</v>
      </c>
    </row>
    <row r="67" spans="1:44">
      <c r="A67" t="s">
        <v>1487</v>
      </c>
      <c r="B67" t="s">
        <v>1488</v>
      </c>
      <c r="D67" t="s">
        <v>1639</v>
      </c>
      <c r="E67" s="44">
        <v>1329904</v>
      </c>
      <c r="F67" s="44">
        <v>11042041</v>
      </c>
      <c r="G67" s="44">
        <v>1301117</v>
      </c>
      <c r="H67" s="126">
        <v>12343158</v>
      </c>
      <c r="I67" s="127">
        <v>7000284</v>
      </c>
      <c r="J67" s="128">
        <v>961501</v>
      </c>
      <c r="K67" s="130">
        <v>20304943</v>
      </c>
      <c r="L67" s="44">
        <v>79924</v>
      </c>
      <c r="M67" s="44">
        <v>415781</v>
      </c>
      <c r="N67" s="44">
        <v>6025145</v>
      </c>
      <c r="O67" s="44">
        <v>390118</v>
      </c>
      <c r="P67" s="44">
        <v>356744</v>
      </c>
      <c r="Q67" s="44">
        <v>1714216</v>
      </c>
      <c r="R67" s="44">
        <v>60595</v>
      </c>
      <c r="S67" s="44">
        <v>0</v>
      </c>
      <c r="T67" s="44">
        <v>956219</v>
      </c>
      <c r="U67" s="44">
        <v>1046087</v>
      </c>
      <c r="V67" s="44">
        <v>2000</v>
      </c>
      <c r="W67" s="44">
        <v>884090</v>
      </c>
      <c r="X67" s="44">
        <v>571999</v>
      </c>
      <c r="Y67" s="44">
        <v>1171148</v>
      </c>
      <c r="Z67" s="44">
        <v>942547</v>
      </c>
      <c r="AA67" s="44">
        <v>458456</v>
      </c>
      <c r="AB67" s="44">
        <v>3694</v>
      </c>
      <c r="AC67" s="44">
        <v>15078763</v>
      </c>
      <c r="AD67" s="44">
        <v>1094523</v>
      </c>
      <c r="AE67" s="44">
        <v>803933</v>
      </c>
      <c r="AF67" s="44">
        <v>286377</v>
      </c>
      <c r="AG67" s="44">
        <v>17263596</v>
      </c>
      <c r="AH67" s="44">
        <v>1156</v>
      </c>
      <c r="AI67" s="44">
        <v>17565</v>
      </c>
      <c r="AJ67" s="44">
        <v>14934</v>
      </c>
      <c r="AK67" s="44">
        <v>162414</v>
      </c>
      <c r="AL67" s="44">
        <v>56592</v>
      </c>
      <c r="AM67" s="44">
        <v>0.44400000000000001</v>
      </c>
      <c r="AN67" s="44">
        <v>0.61106179732194843</v>
      </c>
      <c r="AO67" s="44">
        <v>0.13100000000000001</v>
      </c>
      <c r="AP67" s="44">
        <v>0.74206179732194844</v>
      </c>
      <c r="AQ67" s="44">
        <v>0.84909999999999997</v>
      </c>
      <c r="AR67" s="44">
        <v>26.25</v>
      </c>
    </row>
    <row r="68" spans="1:44">
      <c r="A68" t="s">
        <v>1489</v>
      </c>
      <c r="B68" t="s">
        <v>1490</v>
      </c>
      <c r="D68" t="s">
        <v>1639</v>
      </c>
      <c r="E68" s="44">
        <v>552054</v>
      </c>
      <c r="F68" s="44">
        <v>5089795</v>
      </c>
      <c r="G68" s="44">
        <v>830464</v>
      </c>
      <c r="H68" s="126">
        <v>5920259</v>
      </c>
      <c r="I68" s="127">
        <v>2560673</v>
      </c>
      <c r="J68" s="128">
        <v>400155</v>
      </c>
      <c r="K68" s="130">
        <v>8881087</v>
      </c>
      <c r="L68" s="44">
        <v>153118</v>
      </c>
      <c r="M68" s="44">
        <v>167616</v>
      </c>
      <c r="N68" s="44">
        <v>2774489</v>
      </c>
      <c r="O68" s="44">
        <v>94720</v>
      </c>
      <c r="P68" s="44">
        <v>137128</v>
      </c>
      <c r="Q68" s="44">
        <v>865661</v>
      </c>
      <c r="R68" s="44">
        <v>0</v>
      </c>
      <c r="S68" s="44">
        <v>0</v>
      </c>
      <c r="T68" s="44">
        <v>430143</v>
      </c>
      <c r="U68" s="44">
        <v>434433</v>
      </c>
      <c r="V68" s="44">
        <v>2000</v>
      </c>
      <c r="W68" s="44">
        <v>608169</v>
      </c>
      <c r="X68" s="44">
        <v>259658</v>
      </c>
      <c r="Y68" s="44">
        <v>484773</v>
      </c>
      <c r="Z68" s="44">
        <v>479095</v>
      </c>
      <c r="AA68" s="44">
        <v>235411</v>
      </c>
      <c r="AB68" s="44">
        <v>15000</v>
      </c>
      <c r="AC68" s="44">
        <v>7141414</v>
      </c>
      <c r="AD68" s="44">
        <v>559680</v>
      </c>
      <c r="AE68" s="44">
        <v>325000</v>
      </c>
      <c r="AF68" s="44">
        <v>69961</v>
      </c>
      <c r="AG68" s="44">
        <v>8096055</v>
      </c>
      <c r="AH68" s="44">
        <v>610</v>
      </c>
      <c r="AI68" s="44">
        <v>14559</v>
      </c>
      <c r="AJ68" s="44">
        <v>13272</v>
      </c>
      <c r="AK68" s="44">
        <v>190395</v>
      </c>
      <c r="AL68" s="44">
        <v>64918</v>
      </c>
      <c r="AM68" s="44">
        <v>0.51500000000000001</v>
      </c>
      <c r="AN68" s="44">
        <v>0.58504716185846073</v>
      </c>
      <c r="AO68" s="44">
        <v>0.11700000000000001</v>
      </c>
      <c r="AP68" s="44">
        <v>0.70204716185846072</v>
      </c>
      <c r="AQ68" s="44">
        <v>0.79600000000000004</v>
      </c>
      <c r="AR68" s="44">
        <v>15.31</v>
      </c>
    </row>
    <row r="69" spans="1:44">
      <c r="A69" t="s">
        <v>1491</v>
      </c>
      <c r="B69" t="s">
        <v>1492</v>
      </c>
      <c r="D69" t="s">
        <v>1639</v>
      </c>
      <c r="E69" s="44">
        <v>737156</v>
      </c>
      <c r="F69" s="44">
        <v>7347882</v>
      </c>
      <c r="G69" s="44">
        <v>778736</v>
      </c>
      <c r="H69" s="126">
        <v>8126618</v>
      </c>
      <c r="I69" s="127">
        <v>2569508</v>
      </c>
      <c r="J69" s="128">
        <v>811193</v>
      </c>
      <c r="K69" s="130">
        <v>11507319</v>
      </c>
      <c r="L69" s="44">
        <v>38000</v>
      </c>
      <c r="M69" s="44">
        <v>403895</v>
      </c>
      <c r="N69" s="44">
        <v>3798369</v>
      </c>
      <c r="O69" s="44">
        <v>87248</v>
      </c>
      <c r="P69" s="44">
        <v>132014</v>
      </c>
      <c r="Q69" s="44">
        <v>887095</v>
      </c>
      <c r="R69" s="44">
        <v>35123</v>
      </c>
      <c r="S69" s="44">
        <v>0</v>
      </c>
      <c r="T69" s="44">
        <v>555161</v>
      </c>
      <c r="U69" s="44">
        <v>653789</v>
      </c>
      <c r="V69" s="44">
        <v>11133</v>
      </c>
      <c r="W69" s="44">
        <v>868313</v>
      </c>
      <c r="X69" s="44">
        <v>357345</v>
      </c>
      <c r="Y69" s="44">
        <v>1026668</v>
      </c>
      <c r="Z69" s="44">
        <v>599064</v>
      </c>
      <c r="AA69" s="44">
        <v>219811</v>
      </c>
      <c r="AB69" s="44">
        <v>0</v>
      </c>
      <c r="AC69" s="44">
        <v>9673028</v>
      </c>
      <c r="AD69" s="44">
        <v>354603</v>
      </c>
      <c r="AE69" s="44">
        <v>860200</v>
      </c>
      <c r="AF69" s="44">
        <v>523282</v>
      </c>
      <c r="AG69" s="44">
        <v>11411113</v>
      </c>
      <c r="AH69" s="44">
        <v>702</v>
      </c>
      <c r="AI69" s="44">
        <v>16392</v>
      </c>
      <c r="AJ69" s="44">
        <v>16255</v>
      </c>
      <c r="AK69" s="44">
        <v>149654</v>
      </c>
      <c r="AL69" s="44">
        <v>56683</v>
      </c>
      <c r="AM69" s="44">
        <v>0.42700000000000005</v>
      </c>
      <c r="AN69" s="44">
        <v>0.53884305588771231</v>
      </c>
      <c r="AO69" s="44">
        <v>0.14499999999999999</v>
      </c>
      <c r="AP69" s="44">
        <v>0.68384305588771233</v>
      </c>
      <c r="AQ69" s="44">
        <v>0.80600000000000005</v>
      </c>
      <c r="AR69" s="44">
        <v>17.91</v>
      </c>
    </row>
    <row r="70" spans="1:44">
      <c r="A70" t="s">
        <v>1493</v>
      </c>
      <c r="B70" t="s">
        <v>1494</v>
      </c>
      <c r="D70" t="s">
        <v>1639</v>
      </c>
      <c r="E70" s="44">
        <v>1464396</v>
      </c>
      <c r="F70" s="44">
        <v>45291726</v>
      </c>
      <c r="G70" s="44">
        <v>4295586</v>
      </c>
      <c r="H70" s="126">
        <v>49587312</v>
      </c>
      <c r="I70" s="127">
        <v>13552232</v>
      </c>
      <c r="J70" s="128">
        <v>8050322</v>
      </c>
      <c r="K70" s="130">
        <v>71189866</v>
      </c>
      <c r="L70" s="44">
        <v>207400</v>
      </c>
      <c r="M70" s="44">
        <v>881175</v>
      </c>
      <c r="N70" s="44">
        <v>24837944</v>
      </c>
      <c r="O70" s="44">
        <v>1348948</v>
      </c>
      <c r="P70" s="44">
        <v>2080147</v>
      </c>
      <c r="Q70" s="44">
        <v>3137750</v>
      </c>
      <c r="R70" s="44">
        <v>1576525</v>
      </c>
      <c r="S70" s="44">
        <v>0</v>
      </c>
      <c r="T70" s="44">
        <v>6379963</v>
      </c>
      <c r="U70" s="44">
        <v>6018494</v>
      </c>
      <c r="V70" s="44">
        <v>0</v>
      </c>
      <c r="W70" s="44">
        <v>4491320</v>
      </c>
      <c r="X70" s="44">
        <v>2409502</v>
      </c>
      <c r="Y70" s="44">
        <v>5666284</v>
      </c>
      <c r="Z70" s="44">
        <v>4734794</v>
      </c>
      <c r="AA70" s="44">
        <v>696819</v>
      </c>
      <c r="AB70" s="44">
        <v>86647</v>
      </c>
      <c r="AC70" s="44">
        <v>64553712</v>
      </c>
      <c r="AD70" s="44">
        <v>1052609</v>
      </c>
      <c r="AE70" s="44">
        <v>4165567</v>
      </c>
      <c r="AF70" s="44">
        <v>2336737</v>
      </c>
      <c r="AG70" s="44">
        <v>72108625</v>
      </c>
      <c r="AH70" s="44">
        <v>4928</v>
      </c>
      <c r="AI70" s="44">
        <v>14446</v>
      </c>
      <c r="AJ70" s="44">
        <v>14632</v>
      </c>
      <c r="AK70" s="44">
        <v>100949</v>
      </c>
      <c r="AL70" s="44">
        <v>53972</v>
      </c>
      <c r="AM70" s="44">
        <v>0.35299999999999998</v>
      </c>
      <c r="AN70" s="44">
        <v>0.62932514661040895</v>
      </c>
      <c r="AO70" s="44">
        <v>0.159</v>
      </c>
      <c r="AP70" s="44">
        <v>0.78832514661040898</v>
      </c>
      <c r="AQ70" s="44">
        <v>0.877</v>
      </c>
      <c r="AR70" s="44">
        <v>19.12</v>
      </c>
    </row>
    <row r="71" spans="1:44">
      <c r="A71" t="s">
        <v>1495</v>
      </c>
      <c r="B71" t="s">
        <v>1496</v>
      </c>
      <c r="D71" t="s">
        <v>1639</v>
      </c>
      <c r="E71" s="44">
        <v>2673914</v>
      </c>
      <c r="F71" s="44">
        <v>12607699</v>
      </c>
      <c r="G71" s="44">
        <v>2276008</v>
      </c>
      <c r="H71" s="126">
        <v>14883707</v>
      </c>
      <c r="I71" s="127">
        <v>10244936</v>
      </c>
      <c r="J71" s="128">
        <v>1307045</v>
      </c>
      <c r="K71" s="130">
        <v>26435688</v>
      </c>
      <c r="L71" s="44">
        <v>65980</v>
      </c>
      <c r="M71" s="44">
        <v>396577</v>
      </c>
      <c r="N71" s="44">
        <v>9301504</v>
      </c>
      <c r="O71" s="44">
        <v>423549</v>
      </c>
      <c r="P71" s="44">
        <v>431737</v>
      </c>
      <c r="Q71" s="44">
        <v>1417004</v>
      </c>
      <c r="R71" s="44">
        <v>0</v>
      </c>
      <c r="S71" s="44">
        <v>0</v>
      </c>
      <c r="T71" s="44">
        <v>1747194</v>
      </c>
      <c r="U71" s="44">
        <v>1096817</v>
      </c>
      <c r="V71" s="44">
        <v>59254</v>
      </c>
      <c r="W71" s="44">
        <v>1955431</v>
      </c>
      <c r="X71" s="44">
        <v>1085117</v>
      </c>
      <c r="Y71" s="44">
        <v>2029916</v>
      </c>
      <c r="Z71" s="44">
        <v>1269078</v>
      </c>
      <c r="AA71" s="44">
        <v>959385</v>
      </c>
      <c r="AB71" s="44">
        <v>0</v>
      </c>
      <c r="AC71" s="44">
        <v>22238543</v>
      </c>
      <c r="AD71" s="44">
        <v>1098595</v>
      </c>
      <c r="AE71" s="44">
        <v>1849000</v>
      </c>
      <c r="AF71" s="44">
        <v>1306124</v>
      </c>
      <c r="AG71" s="44">
        <v>26492262</v>
      </c>
      <c r="AH71" s="44">
        <v>1756</v>
      </c>
      <c r="AI71" s="44">
        <v>15054</v>
      </c>
      <c r="AJ71" s="44">
        <v>15087</v>
      </c>
      <c r="AK71" s="44">
        <v>246385</v>
      </c>
      <c r="AL71" s="44">
        <v>87234</v>
      </c>
      <c r="AM71" s="44">
        <v>0.68</v>
      </c>
      <c r="AN71" s="44">
        <v>0.54422702749957708</v>
      </c>
      <c r="AO71" s="44">
        <v>0.154</v>
      </c>
      <c r="AP71" s="44">
        <v>0.6982270274995771</v>
      </c>
      <c r="AQ71" s="44">
        <v>0.83130000000000004</v>
      </c>
      <c r="AR71" s="44">
        <v>17.809999999999999</v>
      </c>
    </row>
    <row r="72" spans="1:44">
      <c r="A72" t="s">
        <v>1497</v>
      </c>
      <c r="B72" t="s">
        <v>1498</v>
      </c>
      <c r="D72" t="s">
        <v>1639</v>
      </c>
      <c r="E72" s="44">
        <v>823323</v>
      </c>
      <c r="F72" s="44">
        <v>9167010</v>
      </c>
      <c r="G72" s="44">
        <v>1041079</v>
      </c>
      <c r="H72" s="126">
        <v>10208089</v>
      </c>
      <c r="I72" s="127">
        <v>2617317</v>
      </c>
      <c r="J72" s="128">
        <v>472643</v>
      </c>
      <c r="K72" s="130">
        <v>13298049</v>
      </c>
      <c r="L72" s="44">
        <v>149830</v>
      </c>
      <c r="M72" s="44">
        <v>306398</v>
      </c>
      <c r="N72" s="44">
        <v>4322848</v>
      </c>
      <c r="O72" s="44">
        <v>137412</v>
      </c>
      <c r="P72" s="44">
        <v>133534</v>
      </c>
      <c r="Q72" s="44">
        <v>1246634</v>
      </c>
      <c r="R72" s="44">
        <v>100621</v>
      </c>
      <c r="S72" s="44">
        <v>4225</v>
      </c>
      <c r="T72" s="44">
        <v>689658</v>
      </c>
      <c r="U72" s="44">
        <v>540929</v>
      </c>
      <c r="V72" s="44">
        <v>3056</v>
      </c>
      <c r="W72" s="44">
        <v>926289</v>
      </c>
      <c r="X72" s="44">
        <v>413479</v>
      </c>
      <c r="Y72" s="44">
        <v>1369677</v>
      </c>
      <c r="Z72" s="44">
        <v>619970</v>
      </c>
      <c r="AA72" s="44">
        <v>253154</v>
      </c>
      <c r="AB72" s="44">
        <v>0</v>
      </c>
      <c r="AC72" s="44">
        <v>11217714</v>
      </c>
      <c r="AD72" s="44">
        <v>398166</v>
      </c>
      <c r="AE72" s="44">
        <v>1255697</v>
      </c>
      <c r="AF72" s="44">
        <v>730823</v>
      </c>
      <c r="AG72" s="44">
        <v>13602400</v>
      </c>
      <c r="AH72" s="44">
        <v>711</v>
      </c>
      <c r="AI72" s="44">
        <v>18703</v>
      </c>
      <c r="AJ72" s="44">
        <v>19131</v>
      </c>
      <c r="AK72" s="44">
        <v>138030</v>
      </c>
      <c r="AL72" s="44">
        <v>51019</v>
      </c>
      <c r="AM72" s="44">
        <v>0.38900000000000001</v>
      </c>
      <c r="AN72" s="44">
        <v>0.52754374228077394</v>
      </c>
      <c r="AO72" s="44">
        <v>0.151</v>
      </c>
      <c r="AP72" s="44">
        <v>0.67854374228077396</v>
      </c>
      <c r="AQ72" s="44">
        <v>0.82130000000000003</v>
      </c>
      <c r="AR72" s="44">
        <v>18.93</v>
      </c>
    </row>
    <row r="73" spans="1:44">
      <c r="A73" t="s">
        <v>1499</v>
      </c>
      <c r="B73" t="s">
        <v>1500</v>
      </c>
      <c r="D73" t="s">
        <v>1639</v>
      </c>
      <c r="E73" s="44">
        <v>1240297</v>
      </c>
      <c r="F73" s="44">
        <v>5569180</v>
      </c>
      <c r="G73" s="44">
        <v>636003</v>
      </c>
      <c r="H73" s="126">
        <v>6205183</v>
      </c>
      <c r="I73" s="127">
        <v>1847133</v>
      </c>
      <c r="J73" s="128">
        <v>263585</v>
      </c>
      <c r="K73" s="130">
        <v>8315901</v>
      </c>
      <c r="L73" s="44">
        <v>80104</v>
      </c>
      <c r="M73" s="44">
        <v>245223</v>
      </c>
      <c r="N73" s="44">
        <v>2220273</v>
      </c>
      <c r="O73" s="44">
        <v>206664</v>
      </c>
      <c r="P73" s="44">
        <v>163672</v>
      </c>
      <c r="Q73" s="44">
        <v>912656</v>
      </c>
      <c r="R73" s="44">
        <v>42590</v>
      </c>
      <c r="S73" s="44">
        <v>0</v>
      </c>
      <c r="T73" s="44">
        <v>290609</v>
      </c>
      <c r="U73" s="44">
        <v>245284</v>
      </c>
      <c r="V73" s="44">
        <v>0</v>
      </c>
      <c r="W73" s="44">
        <v>405618</v>
      </c>
      <c r="X73" s="44">
        <v>242990</v>
      </c>
      <c r="Y73" s="44">
        <v>680321</v>
      </c>
      <c r="Z73" s="44">
        <v>443063</v>
      </c>
      <c r="AA73" s="44">
        <v>207708</v>
      </c>
      <c r="AB73" s="44">
        <v>0</v>
      </c>
      <c r="AC73" s="44">
        <v>6386775</v>
      </c>
      <c r="AD73" s="44">
        <v>535586</v>
      </c>
      <c r="AE73" s="44">
        <v>415503</v>
      </c>
      <c r="AF73" s="44">
        <v>391665</v>
      </c>
      <c r="AG73" s="44">
        <v>7729529</v>
      </c>
      <c r="AH73" s="44">
        <v>386</v>
      </c>
      <c r="AI73" s="44">
        <v>21544</v>
      </c>
      <c r="AJ73" s="44">
        <v>20025</v>
      </c>
      <c r="AK73" s="44">
        <v>109589</v>
      </c>
      <c r="AL73" s="44">
        <v>44038</v>
      </c>
      <c r="AM73" s="44">
        <v>0.32299999999999995</v>
      </c>
      <c r="AN73" s="44">
        <v>0.52807202094720129</v>
      </c>
      <c r="AO73" s="44">
        <v>0.14499999999999999</v>
      </c>
      <c r="AP73" s="44">
        <v>0.67307202094720131</v>
      </c>
      <c r="AQ73" s="44">
        <v>0.81369999999999998</v>
      </c>
      <c r="AR73" s="44">
        <v>27.94</v>
      </c>
    </row>
    <row r="74" spans="1:44">
      <c r="A74" t="s">
        <v>1501</v>
      </c>
      <c r="B74" t="s">
        <v>1502</v>
      </c>
      <c r="D74" t="s">
        <v>1639</v>
      </c>
      <c r="E74" s="44">
        <v>889197</v>
      </c>
      <c r="F74" s="44">
        <v>4960989</v>
      </c>
      <c r="G74" s="44">
        <v>501408</v>
      </c>
      <c r="H74" s="126">
        <v>5462397</v>
      </c>
      <c r="I74" s="127">
        <v>1811622</v>
      </c>
      <c r="J74" s="128">
        <v>468984</v>
      </c>
      <c r="K74" s="130">
        <v>7743003</v>
      </c>
      <c r="L74" s="44">
        <v>85900</v>
      </c>
      <c r="M74" s="44">
        <v>193138</v>
      </c>
      <c r="N74" s="44">
        <v>2264158</v>
      </c>
      <c r="O74" s="44">
        <v>91864</v>
      </c>
      <c r="P74" s="44">
        <v>70904</v>
      </c>
      <c r="Q74" s="44">
        <v>1046934</v>
      </c>
      <c r="R74" s="44">
        <v>0</v>
      </c>
      <c r="S74" s="44">
        <v>0</v>
      </c>
      <c r="T74" s="44">
        <v>521851</v>
      </c>
      <c r="U74" s="44">
        <v>572052</v>
      </c>
      <c r="V74" s="44">
        <v>2000</v>
      </c>
      <c r="W74" s="44">
        <v>438406</v>
      </c>
      <c r="X74" s="44">
        <v>190546</v>
      </c>
      <c r="Y74" s="44">
        <v>560643</v>
      </c>
      <c r="Z74" s="44">
        <v>429819</v>
      </c>
      <c r="AA74" s="44">
        <v>162831</v>
      </c>
      <c r="AB74" s="44">
        <v>20000</v>
      </c>
      <c r="AC74" s="44">
        <v>6651046</v>
      </c>
      <c r="AD74" s="44">
        <v>335384</v>
      </c>
      <c r="AE74" s="44">
        <v>382311</v>
      </c>
      <c r="AF74" s="44">
        <v>122630</v>
      </c>
      <c r="AG74" s="44">
        <v>7491371</v>
      </c>
      <c r="AH74" s="44">
        <v>514</v>
      </c>
      <c r="AI74" s="44">
        <v>15064</v>
      </c>
      <c r="AJ74" s="44">
        <v>14575</v>
      </c>
      <c r="AK74" s="44">
        <v>169553</v>
      </c>
      <c r="AL74" s="44">
        <v>51831</v>
      </c>
      <c r="AM74" s="44">
        <v>0.433</v>
      </c>
      <c r="AN74" s="44">
        <v>0.60973658893679139</v>
      </c>
      <c r="AO74" s="44">
        <v>0.13100000000000001</v>
      </c>
      <c r="AP74" s="44">
        <v>0.7407365889367914</v>
      </c>
      <c r="AQ74" s="44">
        <v>0.83440000000000003</v>
      </c>
      <c r="AR74" s="44">
        <v>16.059999999999999</v>
      </c>
    </row>
    <row r="75" spans="1:44">
      <c r="A75" t="s">
        <v>1503</v>
      </c>
      <c r="B75" t="s">
        <v>1504</v>
      </c>
      <c r="D75" t="s">
        <v>1639</v>
      </c>
      <c r="E75" s="44">
        <v>2266568</v>
      </c>
      <c r="F75" s="44">
        <v>7507738</v>
      </c>
      <c r="G75" s="44">
        <v>1234691</v>
      </c>
      <c r="H75" s="126">
        <v>8742429</v>
      </c>
      <c r="I75" s="127">
        <v>4645519</v>
      </c>
      <c r="J75" s="128">
        <v>418829</v>
      </c>
      <c r="K75" s="130">
        <v>13806777</v>
      </c>
      <c r="L75" s="44">
        <v>71918</v>
      </c>
      <c r="M75" s="44">
        <v>428824</v>
      </c>
      <c r="N75" s="44">
        <v>4906743</v>
      </c>
      <c r="O75" s="44">
        <v>145167</v>
      </c>
      <c r="P75" s="44">
        <v>156447</v>
      </c>
      <c r="Q75" s="44">
        <v>1274035</v>
      </c>
      <c r="R75" s="44">
        <v>36459</v>
      </c>
      <c r="S75" s="44">
        <v>0</v>
      </c>
      <c r="T75" s="44">
        <v>718670</v>
      </c>
      <c r="U75" s="44">
        <v>334185</v>
      </c>
      <c r="V75" s="44">
        <v>11000</v>
      </c>
      <c r="W75" s="44">
        <v>786522</v>
      </c>
      <c r="X75" s="44">
        <v>3789</v>
      </c>
      <c r="Y75" s="44">
        <v>1335144</v>
      </c>
      <c r="Z75" s="44">
        <v>763058</v>
      </c>
      <c r="AA75" s="44">
        <v>261473</v>
      </c>
      <c r="AB75" s="44">
        <v>0</v>
      </c>
      <c r="AC75" s="44">
        <v>11233434</v>
      </c>
      <c r="AD75" s="44">
        <v>553569</v>
      </c>
      <c r="AE75" s="44">
        <v>870000</v>
      </c>
      <c r="AF75" s="44">
        <v>173000</v>
      </c>
      <c r="AG75" s="44">
        <v>12830003</v>
      </c>
      <c r="AH75" s="44">
        <v>828</v>
      </c>
      <c r="AI75" s="44">
        <v>16675</v>
      </c>
      <c r="AJ75" s="44">
        <v>15495</v>
      </c>
      <c r="AK75" s="44">
        <v>204440</v>
      </c>
      <c r="AL75" s="44">
        <v>59263</v>
      </c>
      <c r="AM75" s="44">
        <v>0.51</v>
      </c>
      <c r="AN75" s="44">
        <v>0.5901562143048602</v>
      </c>
      <c r="AO75" s="44">
        <v>0.13700000000000001</v>
      </c>
      <c r="AP75" s="44">
        <v>0.72715621430486022</v>
      </c>
      <c r="AQ75" s="44">
        <v>0.83009999999999995</v>
      </c>
      <c r="AR75" s="44">
        <v>20.16</v>
      </c>
    </row>
    <row r="76" spans="1:44">
      <c r="A76" t="s">
        <v>1505</v>
      </c>
      <c r="B76" t="s">
        <v>1506</v>
      </c>
      <c r="D76" t="s">
        <v>1639</v>
      </c>
      <c r="E76" s="44">
        <v>1013099</v>
      </c>
      <c r="F76" s="44">
        <v>64878853</v>
      </c>
      <c r="G76" s="44">
        <v>8668420</v>
      </c>
      <c r="H76" s="126">
        <v>73547273</v>
      </c>
      <c r="I76" s="127">
        <v>25741476</v>
      </c>
      <c r="J76" s="128">
        <v>8148300</v>
      </c>
      <c r="K76" s="130">
        <v>107437049</v>
      </c>
      <c r="L76" s="44">
        <v>315570</v>
      </c>
      <c r="M76" s="44">
        <v>2282192</v>
      </c>
      <c r="N76" s="44">
        <v>30171366</v>
      </c>
      <c r="O76" s="44">
        <v>1097174</v>
      </c>
      <c r="P76" s="44">
        <v>3082779</v>
      </c>
      <c r="Q76" s="44">
        <v>10608112</v>
      </c>
      <c r="R76" s="44">
        <v>415789</v>
      </c>
      <c r="S76" s="44">
        <v>301566</v>
      </c>
      <c r="T76" s="44">
        <v>6854356</v>
      </c>
      <c r="U76" s="44">
        <v>4008002</v>
      </c>
      <c r="V76" s="44">
        <v>458092</v>
      </c>
      <c r="W76" s="44">
        <v>7187200</v>
      </c>
      <c r="X76" s="44">
        <v>2625721</v>
      </c>
      <c r="Y76" s="44">
        <v>14325202</v>
      </c>
      <c r="Z76" s="44">
        <v>6836042</v>
      </c>
      <c r="AA76" s="44">
        <v>4552125</v>
      </c>
      <c r="AB76" s="44">
        <v>293380</v>
      </c>
      <c r="AC76" s="44">
        <v>95414668</v>
      </c>
      <c r="AD76" s="44">
        <v>2522774</v>
      </c>
      <c r="AE76" s="44">
        <v>5630000</v>
      </c>
      <c r="AF76" s="44">
        <v>3444186</v>
      </c>
      <c r="AG76" s="44">
        <v>107011628</v>
      </c>
      <c r="AH76" s="44">
        <v>7180</v>
      </c>
      <c r="AI76" s="44">
        <v>14963</v>
      </c>
      <c r="AJ76" s="44">
        <v>14904</v>
      </c>
      <c r="AK76" s="44">
        <v>138268</v>
      </c>
      <c r="AL76" s="44">
        <v>69040</v>
      </c>
      <c r="AM76" s="44">
        <v>0.46299999999999997</v>
      </c>
      <c r="AN76" s="44">
        <v>0.52834579808467175</v>
      </c>
      <c r="AO76" s="44">
        <v>0.189</v>
      </c>
      <c r="AP76" s="44">
        <v>0.7173457980846718</v>
      </c>
      <c r="AQ76" s="44">
        <v>0.80479999999999996</v>
      </c>
      <c r="AR76" s="44">
        <v>20.29</v>
      </c>
    </row>
    <row r="77" spans="1:44">
      <c r="A77" t="s">
        <v>1507</v>
      </c>
      <c r="B77" t="s">
        <v>1508</v>
      </c>
      <c r="D77" t="s">
        <v>1639</v>
      </c>
      <c r="E77" s="44">
        <v>2877512</v>
      </c>
      <c r="F77" s="44">
        <v>26526543</v>
      </c>
      <c r="G77" s="44">
        <v>5510756</v>
      </c>
      <c r="H77" s="126">
        <v>32037299</v>
      </c>
      <c r="I77" s="127">
        <v>27970776</v>
      </c>
      <c r="J77" s="128">
        <v>1718658</v>
      </c>
      <c r="K77" s="130">
        <v>61726733</v>
      </c>
      <c r="L77" s="44">
        <v>187189</v>
      </c>
      <c r="M77" s="44">
        <v>1195290</v>
      </c>
      <c r="N77" s="44">
        <v>17650820</v>
      </c>
      <c r="O77" s="44">
        <v>934506</v>
      </c>
      <c r="P77" s="44">
        <v>1373412</v>
      </c>
      <c r="Q77" s="44">
        <v>4955360</v>
      </c>
      <c r="R77" s="44">
        <v>103257</v>
      </c>
      <c r="S77" s="44">
        <v>121701</v>
      </c>
      <c r="T77" s="44">
        <v>3471171</v>
      </c>
      <c r="U77" s="44">
        <v>2026665</v>
      </c>
      <c r="V77" s="44">
        <v>0</v>
      </c>
      <c r="W77" s="44">
        <v>4217646</v>
      </c>
      <c r="X77" s="44">
        <v>1824654</v>
      </c>
      <c r="Y77" s="44">
        <v>8716138</v>
      </c>
      <c r="Z77" s="44">
        <v>2876993</v>
      </c>
      <c r="AA77" s="44">
        <v>3144809</v>
      </c>
      <c r="AB77" s="44">
        <v>2250000</v>
      </c>
      <c r="AC77" s="44">
        <v>55049611</v>
      </c>
      <c r="AD77" s="44">
        <v>2619060</v>
      </c>
      <c r="AE77" s="44">
        <v>1870800</v>
      </c>
      <c r="AF77" s="44">
        <v>859051</v>
      </c>
      <c r="AG77" s="44">
        <v>60398522</v>
      </c>
      <c r="AH77" s="44">
        <v>4387</v>
      </c>
      <c r="AI77" s="44">
        <v>14070</v>
      </c>
      <c r="AJ77" s="44">
        <v>13768</v>
      </c>
      <c r="AK77" s="44">
        <v>250942</v>
      </c>
      <c r="AL77" s="44">
        <v>93785</v>
      </c>
      <c r="AM77" s="44">
        <v>0.71199999999999997</v>
      </c>
      <c r="AN77" s="44">
        <v>0.50724572366191345</v>
      </c>
      <c r="AO77" s="44">
        <v>0.185</v>
      </c>
      <c r="AP77" s="44">
        <v>0.6922457236619135</v>
      </c>
      <c r="AQ77" s="44">
        <v>0.79190000000000005</v>
      </c>
      <c r="AR77" s="44">
        <v>20.190000000000001</v>
      </c>
    </row>
    <row r="78" spans="1:44">
      <c r="A78" t="s">
        <v>1509</v>
      </c>
      <c r="B78" t="s">
        <v>1510</v>
      </c>
      <c r="D78" t="s">
        <v>1639</v>
      </c>
      <c r="E78" s="44">
        <v>915131</v>
      </c>
      <c r="F78" s="44">
        <v>10002833</v>
      </c>
      <c r="G78" s="44">
        <v>1482150</v>
      </c>
      <c r="H78" s="126">
        <v>11484983</v>
      </c>
      <c r="I78" s="127">
        <v>5770052</v>
      </c>
      <c r="J78" s="128">
        <v>1023688</v>
      </c>
      <c r="K78" s="130">
        <v>18278723</v>
      </c>
      <c r="L78" s="44">
        <v>61206</v>
      </c>
      <c r="M78" s="44">
        <v>464870</v>
      </c>
      <c r="N78" s="44">
        <v>4734189</v>
      </c>
      <c r="O78" s="44">
        <v>115978</v>
      </c>
      <c r="P78" s="44">
        <v>291937</v>
      </c>
      <c r="Q78" s="44">
        <v>2661877</v>
      </c>
      <c r="R78" s="44">
        <v>21449</v>
      </c>
      <c r="S78" s="44">
        <v>0</v>
      </c>
      <c r="T78" s="44">
        <v>784252</v>
      </c>
      <c r="U78" s="44">
        <v>724743</v>
      </c>
      <c r="V78" s="44">
        <v>0</v>
      </c>
      <c r="W78" s="44">
        <v>1062747</v>
      </c>
      <c r="X78" s="44">
        <v>422795</v>
      </c>
      <c r="Y78" s="44">
        <v>1919560</v>
      </c>
      <c r="Z78" s="44">
        <v>873427</v>
      </c>
      <c r="AA78" s="44">
        <v>751995</v>
      </c>
      <c r="AB78" s="44">
        <v>23155</v>
      </c>
      <c r="AC78" s="44">
        <v>14914180</v>
      </c>
      <c r="AD78" s="44">
        <v>368119</v>
      </c>
      <c r="AE78" s="44">
        <v>1333439</v>
      </c>
      <c r="AF78" s="44">
        <v>467064</v>
      </c>
      <c r="AG78" s="44">
        <v>17082802</v>
      </c>
      <c r="AH78" s="44">
        <v>1171</v>
      </c>
      <c r="AI78" s="44">
        <v>15609</v>
      </c>
      <c r="AJ78" s="44">
        <v>14588</v>
      </c>
      <c r="AK78" s="44">
        <v>176395</v>
      </c>
      <c r="AL78" s="44">
        <v>66844</v>
      </c>
      <c r="AM78" s="44">
        <v>0.504</v>
      </c>
      <c r="AN78" s="44">
        <v>0.54642236092182062</v>
      </c>
      <c r="AO78" s="44">
        <v>0.161</v>
      </c>
      <c r="AP78" s="44">
        <v>0.70742236092182065</v>
      </c>
      <c r="AQ78" s="44">
        <v>0.81120000000000003</v>
      </c>
      <c r="AR78" s="44">
        <v>20.76</v>
      </c>
    </row>
    <row r="79" spans="1:44">
      <c r="A79" t="s">
        <v>1511</v>
      </c>
      <c r="B79" t="s">
        <v>1512</v>
      </c>
      <c r="D79" t="s">
        <v>1639</v>
      </c>
      <c r="E79" s="44">
        <v>1505877</v>
      </c>
      <c r="F79" s="44">
        <v>9078035</v>
      </c>
      <c r="G79" s="44">
        <v>972692</v>
      </c>
      <c r="H79" s="126">
        <v>10050727</v>
      </c>
      <c r="I79" s="127">
        <v>3153272</v>
      </c>
      <c r="J79" s="128">
        <v>709999</v>
      </c>
      <c r="K79" s="130">
        <v>13913998</v>
      </c>
      <c r="L79" s="44">
        <v>62034</v>
      </c>
      <c r="M79" s="44">
        <v>373449</v>
      </c>
      <c r="N79" s="44">
        <v>3482462</v>
      </c>
      <c r="O79" s="44">
        <v>105017</v>
      </c>
      <c r="P79" s="44">
        <v>144679</v>
      </c>
      <c r="Q79" s="44">
        <v>714262</v>
      </c>
      <c r="R79" s="44">
        <v>71646</v>
      </c>
      <c r="S79" s="44">
        <v>0</v>
      </c>
      <c r="T79" s="44">
        <v>1106894</v>
      </c>
      <c r="U79" s="44">
        <v>525051</v>
      </c>
      <c r="V79" s="44">
        <v>23338</v>
      </c>
      <c r="W79" s="44">
        <v>894335</v>
      </c>
      <c r="X79" s="44">
        <v>388855</v>
      </c>
      <c r="Y79" s="44">
        <v>1566882</v>
      </c>
      <c r="Z79" s="44">
        <v>647446</v>
      </c>
      <c r="AA79" s="44">
        <v>390635</v>
      </c>
      <c r="AB79" s="44">
        <v>0</v>
      </c>
      <c r="AC79" s="44">
        <v>10496985</v>
      </c>
      <c r="AD79" s="44">
        <v>579930</v>
      </c>
      <c r="AE79" s="44">
        <v>1537642</v>
      </c>
      <c r="AF79" s="44">
        <v>509454</v>
      </c>
      <c r="AG79" s="44">
        <v>13124011</v>
      </c>
      <c r="AH79" s="44">
        <v>727</v>
      </c>
      <c r="AI79" s="44">
        <v>19139</v>
      </c>
      <c r="AJ79" s="44">
        <v>18052</v>
      </c>
      <c r="AK79" s="44">
        <v>155493</v>
      </c>
      <c r="AL79" s="44">
        <v>59135</v>
      </c>
      <c r="AM79" s="44">
        <v>0.44500000000000001</v>
      </c>
      <c r="AN79" s="44">
        <v>0.46860757736335334</v>
      </c>
      <c r="AO79" s="44">
        <v>0.17299999999999999</v>
      </c>
      <c r="AP79" s="44">
        <v>0.64160757736335339</v>
      </c>
      <c r="AQ79" s="44">
        <v>0.80020000000000002</v>
      </c>
      <c r="AR79" s="44">
        <v>20.07</v>
      </c>
    </row>
    <row r="80" spans="1:44">
      <c r="A80" t="s">
        <v>1513</v>
      </c>
      <c r="B80" t="s">
        <v>1514</v>
      </c>
      <c r="D80" t="s">
        <v>1639</v>
      </c>
      <c r="E80" s="44">
        <v>458258</v>
      </c>
      <c r="F80" s="44">
        <v>8853365</v>
      </c>
      <c r="G80" s="44">
        <v>1354977</v>
      </c>
      <c r="H80" s="126">
        <v>10208342</v>
      </c>
      <c r="I80" s="127">
        <v>3921264</v>
      </c>
      <c r="J80" s="128">
        <v>671267</v>
      </c>
      <c r="K80" s="130">
        <v>14800873</v>
      </c>
      <c r="L80" s="44">
        <v>42361</v>
      </c>
      <c r="M80" s="44">
        <v>409823</v>
      </c>
      <c r="N80" s="44">
        <v>4648860</v>
      </c>
      <c r="O80" s="44">
        <v>206301</v>
      </c>
      <c r="P80" s="44">
        <v>313499</v>
      </c>
      <c r="Q80" s="44">
        <v>1761538</v>
      </c>
      <c r="R80" s="44">
        <v>106877</v>
      </c>
      <c r="S80" s="44">
        <v>0</v>
      </c>
      <c r="T80" s="44">
        <v>925593</v>
      </c>
      <c r="U80" s="44">
        <v>375269</v>
      </c>
      <c r="V80" s="44">
        <v>0</v>
      </c>
      <c r="W80" s="44">
        <v>1096767</v>
      </c>
      <c r="X80" s="44">
        <v>524770</v>
      </c>
      <c r="Y80" s="44">
        <v>1435736</v>
      </c>
      <c r="Z80" s="44">
        <v>715831</v>
      </c>
      <c r="AA80" s="44">
        <v>549983</v>
      </c>
      <c r="AB80" s="44">
        <v>0</v>
      </c>
      <c r="AC80" s="44">
        <v>13113208</v>
      </c>
      <c r="AD80" s="44">
        <v>566832</v>
      </c>
      <c r="AE80" s="44">
        <v>682813</v>
      </c>
      <c r="AF80" s="44">
        <v>353363</v>
      </c>
      <c r="AG80" s="44">
        <v>14716216</v>
      </c>
      <c r="AH80" s="44">
        <v>1008</v>
      </c>
      <c r="AI80" s="44">
        <v>14683</v>
      </c>
      <c r="AJ80" s="44">
        <v>14599</v>
      </c>
      <c r="AK80" s="44">
        <v>155633</v>
      </c>
      <c r="AL80" s="44">
        <v>66044</v>
      </c>
      <c r="AM80" s="44">
        <v>0.47400000000000003</v>
      </c>
      <c r="AN80" s="44">
        <v>0.56658158591855401</v>
      </c>
      <c r="AO80" s="44">
        <v>0.153</v>
      </c>
      <c r="AP80" s="44">
        <v>0.71958158591855403</v>
      </c>
      <c r="AQ80" s="44">
        <v>0.80620000000000003</v>
      </c>
      <c r="AR80" s="44">
        <v>19.28</v>
      </c>
    </row>
    <row r="81" spans="1:44">
      <c r="A81" t="s">
        <v>1515</v>
      </c>
      <c r="B81" t="s">
        <v>1516</v>
      </c>
      <c r="D81" t="s">
        <v>1639</v>
      </c>
      <c r="E81" s="44">
        <v>1110324</v>
      </c>
      <c r="F81" s="44">
        <v>12132689</v>
      </c>
      <c r="G81" s="44">
        <v>1477261</v>
      </c>
      <c r="H81" s="126">
        <v>13609950</v>
      </c>
      <c r="I81" s="127">
        <v>5154635</v>
      </c>
      <c r="J81" s="128">
        <v>872902</v>
      </c>
      <c r="K81" s="130">
        <v>19637487</v>
      </c>
      <c r="L81" s="44">
        <v>47756</v>
      </c>
      <c r="M81" s="44">
        <v>473926</v>
      </c>
      <c r="N81" s="44">
        <v>5868588</v>
      </c>
      <c r="O81" s="44">
        <v>386199</v>
      </c>
      <c r="P81" s="44">
        <v>272052</v>
      </c>
      <c r="Q81" s="44">
        <v>2081277</v>
      </c>
      <c r="R81" s="44">
        <v>42688</v>
      </c>
      <c r="S81" s="44">
        <v>186313</v>
      </c>
      <c r="T81" s="44">
        <v>951246</v>
      </c>
      <c r="U81" s="44">
        <v>483291</v>
      </c>
      <c r="V81" s="44">
        <v>9390</v>
      </c>
      <c r="W81" s="44">
        <v>1210467</v>
      </c>
      <c r="X81" s="44">
        <v>566919</v>
      </c>
      <c r="Y81" s="44">
        <v>2384815</v>
      </c>
      <c r="Z81" s="44">
        <v>1048697</v>
      </c>
      <c r="AA81" s="44">
        <v>675858</v>
      </c>
      <c r="AB81" s="44">
        <v>0</v>
      </c>
      <c r="AC81" s="44">
        <v>16689482</v>
      </c>
      <c r="AD81" s="44">
        <v>864790</v>
      </c>
      <c r="AE81" s="44">
        <v>1430936</v>
      </c>
      <c r="AF81" s="44">
        <v>589408</v>
      </c>
      <c r="AG81" s="44">
        <v>19574616</v>
      </c>
      <c r="AH81" s="44">
        <v>1355</v>
      </c>
      <c r="AI81" s="44">
        <v>14493</v>
      </c>
      <c r="AJ81" s="44">
        <v>14446</v>
      </c>
      <c r="AK81" s="44">
        <v>140246</v>
      </c>
      <c r="AL81" s="44">
        <v>58025</v>
      </c>
      <c r="AM81" s="44">
        <v>0.42099999999999999</v>
      </c>
      <c r="AN81" s="44">
        <v>0.52474357606810784</v>
      </c>
      <c r="AO81" s="44">
        <v>0.17499999999999999</v>
      </c>
      <c r="AP81" s="44">
        <v>0.69974357606810789</v>
      </c>
      <c r="AQ81" s="44">
        <v>0.82020000000000004</v>
      </c>
      <c r="AR81" s="44">
        <v>19.07</v>
      </c>
    </row>
    <row r="82" spans="1:44">
      <c r="A82" t="s">
        <v>1517</v>
      </c>
      <c r="B82" t="s">
        <v>1518</v>
      </c>
      <c r="D82" t="s">
        <v>1639</v>
      </c>
      <c r="E82" s="44">
        <v>1314088</v>
      </c>
      <c r="F82" s="44">
        <v>12887384</v>
      </c>
      <c r="G82" s="44">
        <v>936374</v>
      </c>
      <c r="H82" s="126">
        <v>13823758</v>
      </c>
      <c r="I82" s="127">
        <v>3292607</v>
      </c>
      <c r="J82" s="128">
        <v>1222069</v>
      </c>
      <c r="K82" s="130">
        <v>18338434</v>
      </c>
      <c r="L82" s="44">
        <v>97394</v>
      </c>
      <c r="M82" s="44">
        <v>425039</v>
      </c>
      <c r="N82" s="44">
        <v>4131602</v>
      </c>
      <c r="O82" s="44">
        <v>234173</v>
      </c>
      <c r="P82" s="44">
        <v>398810</v>
      </c>
      <c r="Q82" s="44">
        <v>1330576</v>
      </c>
      <c r="R82" s="44">
        <v>2977</v>
      </c>
      <c r="S82" s="44">
        <v>715</v>
      </c>
      <c r="T82" s="44">
        <v>1198190</v>
      </c>
      <c r="U82" s="44">
        <v>831933</v>
      </c>
      <c r="V82" s="44">
        <v>98843</v>
      </c>
      <c r="W82" s="44">
        <v>961715</v>
      </c>
      <c r="X82" s="44">
        <v>510096</v>
      </c>
      <c r="Y82" s="44">
        <v>2454607</v>
      </c>
      <c r="Z82" s="44">
        <v>822048</v>
      </c>
      <c r="AA82" s="44">
        <v>544130</v>
      </c>
      <c r="AB82" s="44">
        <v>0</v>
      </c>
      <c r="AC82" s="44">
        <v>14042848</v>
      </c>
      <c r="AD82" s="44">
        <v>703196</v>
      </c>
      <c r="AE82" s="44">
        <v>2303836</v>
      </c>
      <c r="AF82" s="44">
        <v>1134569</v>
      </c>
      <c r="AG82" s="44">
        <v>18184449</v>
      </c>
      <c r="AH82" s="44">
        <v>1027</v>
      </c>
      <c r="AI82" s="44">
        <v>17856</v>
      </c>
      <c r="AJ82" s="44">
        <v>17706</v>
      </c>
      <c r="AK82" s="44">
        <v>128697</v>
      </c>
      <c r="AL82" s="44">
        <v>45008</v>
      </c>
      <c r="AM82" s="44">
        <v>0.35199999999999998</v>
      </c>
      <c r="AN82" s="44">
        <v>0.44702899713925892</v>
      </c>
      <c r="AO82" s="44">
        <v>0.17599999999999999</v>
      </c>
      <c r="AP82" s="44">
        <v>0.62302899713925886</v>
      </c>
      <c r="AQ82" s="44">
        <v>0.80679999999999996</v>
      </c>
      <c r="AR82" s="44">
        <v>17.079999999999998</v>
      </c>
    </row>
    <row r="83" spans="1:44">
      <c r="A83" t="s">
        <v>1519</v>
      </c>
      <c r="B83" t="s">
        <v>1520</v>
      </c>
      <c r="D83" t="s">
        <v>1639</v>
      </c>
      <c r="E83" s="44">
        <v>3933679</v>
      </c>
      <c r="F83" s="44">
        <v>18083384</v>
      </c>
      <c r="G83" s="44">
        <v>2557093</v>
      </c>
      <c r="H83" s="126">
        <v>20640477</v>
      </c>
      <c r="I83" s="127">
        <v>8807881</v>
      </c>
      <c r="J83" s="128">
        <v>2267219</v>
      </c>
      <c r="K83" s="130">
        <v>31715577</v>
      </c>
      <c r="L83" s="44">
        <v>103120</v>
      </c>
      <c r="M83" s="44">
        <v>663588</v>
      </c>
      <c r="N83" s="44">
        <v>9570478</v>
      </c>
      <c r="O83" s="44">
        <v>487099</v>
      </c>
      <c r="P83" s="44">
        <v>605268</v>
      </c>
      <c r="Q83" s="44">
        <v>2640571</v>
      </c>
      <c r="R83" s="44">
        <v>226646</v>
      </c>
      <c r="S83" s="44">
        <v>0</v>
      </c>
      <c r="T83" s="44">
        <v>2155952</v>
      </c>
      <c r="U83" s="44">
        <v>1006712</v>
      </c>
      <c r="V83" s="44">
        <v>27354</v>
      </c>
      <c r="W83" s="44">
        <v>1956985</v>
      </c>
      <c r="X83" s="44">
        <v>886576</v>
      </c>
      <c r="Y83" s="44">
        <v>3477748</v>
      </c>
      <c r="Z83" s="44">
        <v>1944821</v>
      </c>
      <c r="AA83" s="44">
        <v>1139757</v>
      </c>
      <c r="AB83" s="44">
        <v>600000</v>
      </c>
      <c r="AC83" s="44">
        <v>27492675</v>
      </c>
      <c r="AD83" s="44">
        <v>1055648</v>
      </c>
      <c r="AE83" s="44">
        <v>1342449</v>
      </c>
      <c r="AF83" s="44">
        <v>631294</v>
      </c>
      <c r="AG83" s="44">
        <v>30522066</v>
      </c>
      <c r="AH83" s="44">
        <v>2224</v>
      </c>
      <c r="AI83" s="44">
        <v>14261</v>
      </c>
      <c r="AJ83" s="44">
        <v>13724</v>
      </c>
      <c r="AK83" s="44">
        <v>137831</v>
      </c>
      <c r="AL83" s="44">
        <v>70856</v>
      </c>
      <c r="AM83" s="44">
        <v>0.47</v>
      </c>
      <c r="AN83" s="44">
        <v>0.54690681816886189</v>
      </c>
      <c r="AO83" s="44">
        <v>0.17899999999999999</v>
      </c>
      <c r="AP83" s="44">
        <v>0.72590681816886193</v>
      </c>
      <c r="AQ83" s="44">
        <v>0.82220000000000004</v>
      </c>
      <c r="AR83" s="44">
        <v>19.79</v>
      </c>
    </row>
    <row r="84" spans="1:44">
      <c r="A84" t="s">
        <v>1521</v>
      </c>
      <c r="B84" t="s">
        <v>1522</v>
      </c>
      <c r="D84" t="s">
        <v>1639</v>
      </c>
      <c r="E84" s="44">
        <v>501246</v>
      </c>
      <c r="F84" s="44">
        <v>4765229</v>
      </c>
      <c r="G84" s="44">
        <v>457636</v>
      </c>
      <c r="H84" s="126">
        <v>5222865</v>
      </c>
      <c r="I84" s="127">
        <v>2405921</v>
      </c>
      <c r="J84" s="128">
        <v>690139</v>
      </c>
      <c r="K84" s="130">
        <v>8318925</v>
      </c>
      <c r="L84" s="44">
        <v>50628</v>
      </c>
      <c r="M84" s="44">
        <v>343009</v>
      </c>
      <c r="N84" s="44">
        <v>2315229</v>
      </c>
      <c r="O84" s="44">
        <v>38524</v>
      </c>
      <c r="P84" s="44">
        <v>107706</v>
      </c>
      <c r="Q84" s="44">
        <v>806810</v>
      </c>
      <c r="R84" s="44">
        <v>24412</v>
      </c>
      <c r="S84" s="44">
        <v>0</v>
      </c>
      <c r="T84" s="44">
        <v>432584</v>
      </c>
      <c r="U84" s="44">
        <v>309428</v>
      </c>
      <c r="V84" s="44">
        <v>2000</v>
      </c>
      <c r="W84" s="44">
        <v>508330</v>
      </c>
      <c r="X84" s="44">
        <v>238856</v>
      </c>
      <c r="Y84" s="44">
        <v>1040756</v>
      </c>
      <c r="Z84" s="44">
        <v>489369</v>
      </c>
      <c r="AA84" s="44">
        <v>348842</v>
      </c>
      <c r="AB84" s="44">
        <v>50992</v>
      </c>
      <c r="AC84" s="44">
        <v>7107475</v>
      </c>
      <c r="AD84" s="44">
        <v>467839</v>
      </c>
      <c r="AE84" s="44">
        <v>266400</v>
      </c>
      <c r="AF84" s="44">
        <v>83644</v>
      </c>
      <c r="AG84" s="44">
        <v>7925358</v>
      </c>
      <c r="AH84" s="44">
        <v>443</v>
      </c>
      <c r="AI84" s="44">
        <v>18779</v>
      </c>
      <c r="AJ84" s="44">
        <v>17890</v>
      </c>
      <c r="AK84" s="44">
        <v>181317</v>
      </c>
      <c r="AL84" s="44">
        <v>47915</v>
      </c>
      <c r="AM84" s="44">
        <v>0.433</v>
      </c>
      <c r="AN84" s="44">
        <v>0.5090865295927326</v>
      </c>
      <c r="AO84" s="44">
        <v>0.17699999999999999</v>
      </c>
      <c r="AP84" s="44">
        <v>0.68608652959273253</v>
      </c>
      <c r="AQ84" s="44">
        <v>0.76429999999999998</v>
      </c>
      <c r="AR84" s="44">
        <v>19.510000000000002</v>
      </c>
    </row>
    <row r="85" spans="1:44">
      <c r="A85" t="s">
        <v>1523</v>
      </c>
      <c r="B85" t="s">
        <v>1524</v>
      </c>
      <c r="D85" t="s">
        <v>1639</v>
      </c>
      <c r="E85" s="44">
        <v>332508</v>
      </c>
      <c r="F85" s="44">
        <v>10423744</v>
      </c>
      <c r="G85" s="44">
        <v>1123228</v>
      </c>
      <c r="H85" s="126">
        <v>11546972</v>
      </c>
      <c r="I85" s="127">
        <v>3156055</v>
      </c>
      <c r="J85" s="128">
        <v>540489</v>
      </c>
      <c r="K85" s="130">
        <v>15243516</v>
      </c>
      <c r="L85" s="44">
        <v>51293</v>
      </c>
      <c r="M85" s="44">
        <v>450939</v>
      </c>
      <c r="N85" s="44">
        <v>4799511</v>
      </c>
      <c r="O85" s="44">
        <v>295484</v>
      </c>
      <c r="P85" s="44">
        <v>210441</v>
      </c>
      <c r="Q85" s="44">
        <v>1608131</v>
      </c>
      <c r="R85" s="44">
        <v>55392</v>
      </c>
      <c r="S85" s="44">
        <v>7709</v>
      </c>
      <c r="T85" s="44">
        <v>797181</v>
      </c>
      <c r="U85" s="44">
        <v>538386</v>
      </c>
      <c r="V85" s="44">
        <v>0</v>
      </c>
      <c r="W85" s="44">
        <v>854641</v>
      </c>
      <c r="X85" s="44">
        <v>470785</v>
      </c>
      <c r="Y85" s="44">
        <v>2169974</v>
      </c>
      <c r="Z85" s="44">
        <v>712476</v>
      </c>
      <c r="AA85" s="44">
        <v>376972</v>
      </c>
      <c r="AB85" s="44">
        <v>224093</v>
      </c>
      <c r="AC85" s="44">
        <v>13623408</v>
      </c>
      <c r="AD85" s="44">
        <v>558487</v>
      </c>
      <c r="AE85" s="44">
        <v>1227521</v>
      </c>
      <c r="AF85" s="44">
        <v>705528</v>
      </c>
      <c r="AG85" s="44">
        <v>16114944</v>
      </c>
      <c r="AH85" s="44">
        <v>957</v>
      </c>
      <c r="AI85" s="44">
        <v>15928</v>
      </c>
      <c r="AJ85" s="44">
        <v>16839</v>
      </c>
      <c r="AK85" s="44">
        <v>141442</v>
      </c>
      <c r="AL85" s="44">
        <v>56752</v>
      </c>
      <c r="AM85" s="44">
        <v>0.41700000000000004</v>
      </c>
      <c r="AN85" s="44">
        <v>0.51580911481913927</v>
      </c>
      <c r="AO85" s="44">
        <v>0.18099999999999999</v>
      </c>
      <c r="AP85" s="44">
        <v>0.69680911481913932</v>
      </c>
      <c r="AQ85" s="44">
        <v>0.83689999999999998</v>
      </c>
      <c r="AR85" s="44">
        <v>17.57</v>
      </c>
    </row>
    <row r="86" spans="1:44">
      <c r="A86" t="s">
        <v>1525</v>
      </c>
      <c r="B86" t="s">
        <v>1526</v>
      </c>
      <c r="D86" t="s">
        <v>1639</v>
      </c>
      <c r="E86" s="44">
        <v>1247826</v>
      </c>
      <c r="F86" s="44">
        <v>16962633</v>
      </c>
      <c r="G86" s="44">
        <v>1580347</v>
      </c>
      <c r="H86" s="126">
        <v>18542980</v>
      </c>
      <c r="I86" s="127">
        <v>5339610</v>
      </c>
      <c r="J86" s="128">
        <v>1306257</v>
      </c>
      <c r="K86" s="130">
        <v>25188847</v>
      </c>
      <c r="L86" s="44">
        <v>60992</v>
      </c>
      <c r="M86" s="44">
        <v>503791</v>
      </c>
      <c r="N86" s="44">
        <v>8378212</v>
      </c>
      <c r="O86" s="44">
        <v>311795</v>
      </c>
      <c r="P86" s="44">
        <v>472749</v>
      </c>
      <c r="Q86" s="44">
        <v>2125980</v>
      </c>
      <c r="R86" s="44">
        <v>459</v>
      </c>
      <c r="S86" s="44">
        <v>0</v>
      </c>
      <c r="T86" s="44">
        <v>2138175</v>
      </c>
      <c r="U86" s="44">
        <v>836819</v>
      </c>
      <c r="V86" s="44">
        <v>13960</v>
      </c>
      <c r="W86" s="44">
        <v>1366875</v>
      </c>
      <c r="X86" s="44">
        <v>849115</v>
      </c>
      <c r="Y86" s="44">
        <v>2291996</v>
      </c>
      <c r="Z86" s="44">
        <v>1493234</v>
      </c>
      <c r="AA86" s="44">
        <v>774130</v>
      </c>
      <c r="AB86" s="44">
        <v>0</v>
      </c>
      <c r="AC86" s="44">
        <v>21618282</v>
      </c>
      <c r="AD86" s="44">
        <v>1172684</v>
      </c>
      <c r="AE86" s="44">
        <v>1300000</v>
      </c>
      <c r="AF86" s="44">
        <v>651411</v>
      </c>
      <c r="AG86" s="44">
        <v>24742377</v>
      </c>
      <c r="AH86" s="44">
        <v>1623</v>
      </c>
      <c r="AI86" s="44">
        <v>15520</v>
      </c>
      <c r="AJ86" s="44">
        <v>15245</v>
      </c>
      <c r="AK86" s="44">
        <v>113573</v>
      </c>
      <c r="AL86" s="44">
        <v>47784</v>
      </c>
      <c r="AM86" s="44">
        <v>0.34399999999999997</v>
      </c>
      <c r="AN86" s="44">
        <v>0.57650843328432022</v>
      </c>
      <c r="AO86" s="44">
        <v>0.158</v>
      </c>
      <c r="AP86" s="44">
        <v>0.73450843328432025</v>
      </c>
      <c r="AQ86" s="44">
        <v>0.84009999999999996</v>
      </c>
      <c r="AR86" s="44">
        <v>18.34</v>
      </c>
    </row>
    <row r="87" spans="1:44">
      <c r="A87" t="s">
        <v>1527</v>
      </c>
      <c r="B87" t="s">
        <v>1528</v>
      </c>
      <c r="D87" t="s">
        <v>1639</v>
      </c>
      <c r="E87" s="44">
        <v>827595</v>
      </c>
      <c r="F87" s="44">
        <v>12670986</v>
      </c>
      <c r="G87" s="44">
        <v>1808906</v>
      </c>
      <c r="H87" s="126">
        <v>14479892</v>
      </c>
      <c r="I87" s="127">
        <v>8422923</v>
      </c>
      <c r="J87" s="128">
        <v>1276949</v>
      </c>
      <c r="K87" s="130">
        <v>24179764</v>
      </c>
      <c r="L87" s="44">
        <v>134580</v>
      </c>
      <c r="M87" s="44">
        <v>378777</v>
      </c>
      <c r="N87" s="44">
        <v>7716409</v>
      </c>
      <c r="O87" s="44">
        <v>336911</v>
      </c>
      <c r="P87" s="44">
        <v>468935</v>
      </c>
      <c r="Q87" s="44">
        <v>2063668</v>
      </c>
      <c r="R87" s="44">
        <v>7473</v>
      </c>
      <c r="S87" s="44">
        <v>0</v>
      </c>
      <c r="T87" s="44">
        <v>1099961</v>
      </c>
      <c r="U87" s="44">
        <v>601582</v>
      </c>
      <c r="V87" s="44">
        <v>27000</v>
      </c>
      <c r="W87" s="44">
        <v>1466333</v>
      </c>
      <c r="X87" s="44">
        <v>773579</v>
      </c>
      <c r="Y87" s="44">
        <v>3638486</v>
      </c>
      <c r="Z87" s="44">
        <v>1368406</v>
      </c>
      <c r="AA87" s="44">
        <v>548412</v>
      </c>
      <c r="AB87" s="44">
        <v>155000</v>
      </c>
      <c r="AC87" s="44">
        <v>20785512</v>
      </c>
      <c r="AD87" s="44">
        <v>1370252</v>
      </c>
      <c r="AE87" s="44">
        <v>1079224</v>
      </c>
      <c r="AF87" s="44">
        <v>577442</v>
      </c>
      <c r="AG87" s="44">
        <v>23812430</v>
      </c>
      <c r="AH87" s="44">
        <v>1314</v>
      </c>
      <c r="AI87" s="44">
        <v>18402</v>
      </c>
      <c r="AJ87" s="44">
        <v>18122</v>
      </c>
      <c r="AK87" s="44">
        <v>230789</v>
      </c>
      <c r="AL87" s="44">
        <v>66496</v>
      </c>
      <c r="AM87" s="44">
        <v>0.57299999999999995</v>
      </c>
      <c r="AN87" s="44">
        <v>0.51632441544185115</v>
      </c>
      <c r="AO87" s="44">
        <v>0.20200000000000001</v>
      </c>
      <c r="AP87" s="44">
        <v>0.71832441544185111</v>
      </c>
      <c r="AQ87" s="44">
        <v>0.82950000000000002</v>
      </c>
      <c r="AR87" s="44">
        <v>16.73</v>
      </c>
    </row>
    <row r="88" spans="1:44">
      <c r="A88" t="s">
        <v>1529</v>
      </c>
      <c r="B88" t="s">
        <v>1530</v>
      </c>
      <c r="D88" t="s">
        <v>1639</v>
      </c>
      <c r="E88" s="44">
        <v>6184563</v>
      </c>
      <c r="F88" s="44">
        <v>15512432</v>
      </c>
      <c r="G88" s="44">
        <v>2373212</v>
      </c>
      <c r="H88" s="126">
        <v>17885644</v>
      </c>
      <c r="I88" s="127">
        <v>15282814</v>
      </c>
      <c r="J88" s="128">
        <v>1415832</v>
      </c>
      <c r="K88" s="130">
        <v>34584290</v>
      </c>
      <c r="L88" s="44">
        <v>169536</v>
      </c>
      <c r="M88" s="44">
        <v>509723</v>
      </c>
      <c r="N88" s="44">
        <v>10623355</v>
      </c>
      <c r="O88" s="44">
        <v>593680</v>
      </c>
      <c r="P88" s="44">
        <v>649280</v>
      </c>
      <c r="Q88" s="44">
        <v>2695162</v>
      </c>
      <c r="R88" s="44">
        <v>59479</v>
      </c>
      <c r="S88" s="44">
        <v>0</v>
      </c>
      <c r="T88" s="44">
        <v>1535672</v>
      </c>
      <c r="U88" s="44">
        <v>1384127</v>
      </c>
      <c r="V88" s="44">
        <v>12593</v>
      </c>
      <c r="W88" s="44">
        <v>2744470</v>
      </c>
      <c r="X88" s="44">
        <v>1017031</v>
      </c>
      <c r="Y88" s="44">
        <v>4305211</v>
      </c>
      <c r="Z88" s="44">
        <v>1768195</v>
      </c>
      <c r="AA88" s="44">
        <v>395892</v>
      </c>
      <c r="AB88" s="44">
        <v>0</v>
      </c>
      <c r="AC88" s="44">
        <v>28463406</v>
      </c>
      <c r="AD88" s="44">
        <v>1482387</v>
      </c>
      <c r="AE88" s="44">
        <v>2117847</v>
      </c>
      <c r="AF88" s="44">
        <v>1058646</v>
      </c>
      <c r="AG88" s="44">
        <v>33122286</v>
      </c>
      <c r="AH88" s="44">
        <v>2162</v>
      </c>
      <c r="AI88" s="44">
        <v>15996</v>
      </c>
      <c r="AJ88" s="44">
        <v>15320</v>
      </c>
      <c r="AK88" s="44">
        <v>250743</v>
      </c>
      <c r="AL88" s="44">
        <v>76110</v>
      </c>
      <c r="AM88" s="44">
        <v>0.64</v>
      </c>
      <c r="AN88" s="44">
        <v>0.52957561564440325</v>
      </c>
      <c r="AO88" s="44">
        <v>0.18</v>
      </c>
      <c r="AP88" s="44">
        <v>0.7095756156444033</v>
      </c>
      <c r="AQ88" s="44">
        <v>0.82540000000000002</v>
      </c>
      <c r="AR88" s="44">
        <v>18.8</v>
      </c>
    </row>
    <row r="89" spans="1:44">
      <c r="A89" t="s">
        <v>1531</v>
      </c>
      <c r="B89" t="s">
        <v>1532</v>
      </c>
      <c r="D89" t="s">
        <v>1639</v>
      </c>
      <c r="E89" s="44">
        <v>1170590</v>
      </c>
      <c r="F89" s="44">
        <v>13080200</v>
      </c>
      <c r="G89" s="44">
        <v>2033279</v>
      </c>
      <c r="H89" s="126">
        <v>15113479</v>
      </c>
      <c r="I89" s="127">
        <v>9074144</v>
      </c>
      <c r="J89" s="128">
        <v>1072996</v>
      </c>
      <c r="K89" s="130">
        <v>25260619</v>
      </c>
      <c r="L89" s="44">
        <v>116268</v>
      </c>
      <c r="M89" s="44">
        <v>436517</v>
      </c>
      <c r="N89" s="44">
        <v>7602321</v>
      </c>
      <c r="O89" s="44">
        <v>277614</v>
      </c>
      <c r="P89" s="44">
        <v>327585</v>
      </c>
      <c r="Q89" s="44">
        <v>3008258</v>
      </c>
      <c r="R89" s="44">
        <v>118651</v>
      </c>
      <c r="S89" s="44">
        <v>0</v>
      </c>
      <c r="T89" s="44">
        <v>988334</v>
      </c>
      <c r="U89" s="44">
        <v>741269</v>
      </c>
      <c r="V89" s="44">
        <v>0</v>
      </c>
      <c r="W89" s="44">
        <v>1329832</v>
      </c>
      <c r="X89" s="44">
        <v>719422</v>
      </c>
      <c r="Y89" s="44">
        <v>3553040</v>
      </c>
      <c r="Z89" s="44">
        <v>1255238</v>
      </c>
      <c r="AA89" s="44">
        <v>343699</v>
      </c>
      <c r="AB89" s="44">
        <v>725428</v>
      </c>
      <c r="AC89" s="44">
        <v>21543476</v>
      </c>
      <c r="AD89" s="44">
        <v>1251766</v>
      </c>
      <c r="AE89" s="44">
        <v>1537034</v>
      </c>
      <c r="AF89" s="44">
        <v>309032</v>
      </c>
      <c r="AG89" s="44">
        <v>24641308</v>
      </c>
      <c r="AH89" s="44">
        <v>1681</v>
      </c>
      <c r="AI89" s="44">
        <v>15027</v>
      </c>
      <c r="AJ89" s="44">
        <v>14659</v>
      </c>
      <c r="AK89" s="44">
        <v>175597</v>
      </c>
      <c r="AL89" s="44">
        <v>71374</v>
      </c>
      <c r="AM89" s="44">
        <v>0.52100000000000002</v>
      </c>
      <c r="AN89" s="44">
        <v>0.53016796023977297</v>
      </c>
      <c r="AO89" s="44">
        <v>0.188</v>
      </c>
      <c r="AP89" s="44">
        <v>0.71816796023977303</v>
      </c>
      <c r="AQ89" s="44">
        <v>0.84930000000000005</v>
      </c>
      <c r="AR89" s="44">
        <v>21.91</v>
      </c>
    </row>
    <row r="90" spans="1:44">
      <c r="A90" t="s">
        <v>1533</v>
      </c>
      <c r="B90" t="s">
        <v>1534</v>
      </c>
      <c r="D90" t="s">
        <v>1639</v>
      </c>
      <c r="E90" s="44">
        <v>947485</v>
      </c>
      <c r="F90" s="44">
        <v>3905315</v>
      </c>
      <c r="G90" s="44">
        <v>682581</v>
      </c>
      <c r="H90" s="126">
        <v>4587896</v>
      </c>
      <c r="I90" s="127">
        <v>3758902</v>
      </c>
      <c r="J90" s="128">
        <v>223968</v>
      </c>
      <c r="K90" s="130">
        <v>8570766</v>
      </c>
      <c r="L90" s="44">
        <v>43648</v>
      </c>
      <c r="M90" s="44">
        <v>124425</v>
      </c>
      <c r="N90" s="44">
        <v>2406078</v>
      </c>
      <c r="O90" s="44">
        <v>100680</v>
      </c>
      <c r="P90" s="44">
        <v>151288</v>
      </c>
      <c r="Q90" s="44">
        <v>744116</v>
      </c>
      <c r="R90" s="44">
        <v>95021</v>
      </c>
      <c r="S90" s="44">
        <v>0</v>
      </c>
      <c r="T90" s="44">
        <v>376232</v>
      </c>
      <c r="U90" s="44">
        <v>205958</v>
      </c>
      <c r="V90" s="44">
        <v>3139</v>
      </c>
      <c r="W90" s="44">
        <v>580733</v>
      </c>
      <c r="X90" s="44">
        <v>237152</v>
      </c>
      <c r="Y90" s="44">
        <v>1336213</v>
      </c>
      <c r="Z90" s="44">
        <v>384098</v>
      </c>
      <c r="AA90" s="44">
        <v>150459</v>
      </c>
      <c r="AB90" s="44">
        <v>0</v>
      </c>
      <c r="AC90" s="44">
        <v>6939240</v>
      </c>
      <c r="AD90" s="44">
        <v>494589</v>
      </c>
      <c r="AE90" s="44">
        <v>454000</v>
      </c>
      <c r="AF90" s="44">
        <v>198594</v>
      </c>
      <c r="AG90" s="44">
        <v>8086423</v>
      </c>
      <c r="AH90" s="44">
        <v>584</v>
      </c>
      <c r="AI90" s="44">
        <v>14676</v>
      </c>
      <c r="AJ90" s="44">
        <v>13847</v>
      </c>
      <c r="AK90" s="44">
        <v>224648</v>
      </c>
      <c r="AL90" s="44">
        <v>79131</v>
      </c>
      <c r="AM90" s="44">
        <v>0.61699999999999999</v>
      </c>
      <c r="AN90" s="44">
        <v>0.50447187835709317</v>
      </c>
      <c r="AO90" s="44">
        <v>0.20200000000000001</v>
      </c>
      <c r="AP90" s="44">
        <v>0.70647187835709313</v>
      </c>
      <c r="AQ90" s="44">
        <v>0.8206</v>
      </c>
      <c r="AR90" s="44">
        <v>21.5</v>
      </c>
    </row>
    <row r="91" spans="1:44">
      <c r="A91" t="s">
        <v>1535</v>
      </c>
      <c r="B91" t="s">
        <v>1536</v>
      </c>
      <c r="D91" t="s">
        <v>1639</v>
      </c>
      <c r="E91" s="44">
        <v>3315675</v>
      </c>
      <c r="F91" s="44">
        <v>11451271</v>
      </c>
      <c r="G91" s="44">
        <v>796258</v>
      </c>
      <c r="H91" s="126">
        <v>12247529</v>
      </c>
      <c r="I91" s="127">
        <v>3466021</v>
      </c>
      <c r="J91" s="128">
        <v>753787</v>
      </c>
      <c r="K91" s="130">
        <v>16467337</v>
      </c>
      <c r="L91" s="44">
        <v>59455</v>
      </c>
      <c r="M91" s="44">
        <v>424117</v>
      </c>
      <c r="N91" s="44">
        <v>5235762</v>
      </c>
      <c r="O91" s="44">
        <v>294850</v>
      </c>
      <c r="P91" s="44">
        <v>342995</v>
      </c>
      <c r="Q91" s="44">
        <v>2169898</v>
      </c>
      <c r="R91" s="44">
        <v>0</v>
      </c>
      <c r="S91" s="44">
        <v>133285</v>
      </c>
      <c r="T91" s="44">
        <v>640982</v>
      </c>
      <c r="U91" s="44">
        <v>541875</v>
      </c>
      <c r="V91" s="44">
        <v>1438</v>
      </c>
      <c r="W91" s="44">
        <v>1134723</v>
      </c>
      <c r="X91" s="44">
        <v>477456</v>
      </c>
      <c r="Y91" s="44">
        <v>2130734</v>
      </c>
      <c r="Z91" s="44">
        <v>851031</v>
      </c>
      <c r="AA91" s="44">
        <v>237124</v>
      </c>
      <c r="AB91" s="44">
        <v>121125</v>
      </c>
      <c r="AC91" s="44">
        <v>14796850</v>
      </c>
      <c r="AD91" s="44">
        <v>1218901</v>
      </c>
      <c r="AE91" s="44">
        <v>500000</v>
      </c>
      <c r="AF91" s="44">
        <v>245581</v>
      </c>
      <c r="AG91" s="44">
        <v>16761332</v>
      </c>
      <c r="AH91" s="44">
        <v>1062</v>
      </c>
      <c r="AI91" s="44">
        <v>15506</v>
      </c>
      <c r="AJ91" s="44">
        <v>15783</v>
      </c>
      <c r="AK91" s="44">
        <v>175996</v>
      </c>
      <c r="AL91" s="44">
        <v>55918</v>
      </c>
      <c r="AM91" s="44">
        <v>0.45900000000000002</v>
      </c>
      <c r="AN91" s="44">
        <v>0.55840711227484785</v>
      </c>
      <c r="AO91" s="44">
        <v>0.17100000000000001</v>
      </c>
      <c r="AP91" s="44">
        <v>0.72940711227484789</v>
      </c>
      <c r="AQ91" s="44">
        <v>0.83260000000000001</v>
      </c>
      <c r="AR91" s="44">
        <v>12.1</v>
      </c>
    </row>
    <row r="92" spans="1:44">
      <c r="A92" t="s">
        <v>1537</v>
      </c>
      <c r="B92" t="s">
        <v>1538</v>
      </c>
      <c r="D92" t="s">
        <v>1639</v>
      </c>
      <c r="E92" s="44">
        <v>5212280</v>
      </c>
      <c r="F92" s="44">
        <v>21890912</v>
      </c>
      <c r="G92" s="44">
        <v>2307633</v>
      </c>
      <c r="H92" s="126">
        <v>24198545</v>
      </c>
      <c r="I92" s="127">
        <v>11579663</v>
      </c>
      <c r="J92" s="128">
        <v>1825745</v>
      </c>
      <c r="K92" s="130">
        <v>37603953</v>
      </c>
      <c r="L92" s="44">
        <v>136011</v>
      </c>
      <c r="M92" s="44">
        <v>569764</v>
      </c>
      <c r="N92" s="44">
        <v>11875430</v>
      </c>
      <c r="O92" s="44">
        <v>672099</v>
      </c>
      <c r="P92" s="44">
        <v>694958</v>
      </c>
      <c r="Q92" s="44">
        <v>2722192</v>
      </c>
      <c r="R92" s="44">
        <v>50710</v>
      </c>
      <c r="S92" s="44">
        <v>72745</v>
      </c>
      <c r="T92" s="44">
        <v>1619291</v>
      </c>
      <c r="U92" s="44">
        <v>1308060</v>
      </c>
      <c r="V92" s="44">
        <v>0</v>
      </c>
      <c r="W92" s="44">
        <v>1844936</v>
      </c>
      <c r="X92" s="44">
        <v>1013483</v>
      </c>
      <c r="Y92" s="44">
        <v>5514272</v>
      </c>
      <c r="Z92" s="44">
        <v>1997275</v>
      </c>
      <c r="AA92" s="44">
        <v>565450</v>
      </c>
      <c r="AB92" s="44">
        <v>30693</v>
      </c>
      <c r="AC92" s="44">
        <v>30687369</v>
      </c>
      <c r="AD92" s="44">
        <v>1520706</v>
      </c>
      <c r="AE92" s="44">
        <v>2448177</v>
      </c>
      <c r="AF92" s="44">
        <v>1442943</v>
      </c>
      <c r="AG92" s="44">
        <v>36099195</v>
      </c>
      <c r="AH92" s="44">
        <v>2212</v>
      </c>
      <c r="AI92" s="44">
        <v>17000</v>
      </c>
      <c r="AJ92" s="44">
        <v>16320</v>
      </c>
      <c r="AK92" s="44">
        <v>173044</v>
      </c>
      <c r="AL92" s="44">
        <v>71899</v>
      </c>
      <c r="AM92" s="44">
        <v>0.52100000000000002</v>
      </c>
      <c r="AN92" s="44">
        <v>0.52675648307393008</v>
      </c>
      <c r="AO92" s="44">
        <v>0.2</v>
      </c>
      <c r="AP92" s="44">
        <v>0.72675648307393015</v>
      </c>
      <c r="AQ92" s="44">
        <v>0.85419999999999996</v>
      </c>
      <c r="AR92" s="44">
        <v>18.989999999999998</v>
      </c>
    </row>
    <row r="93" spans="1:44">
      <c r="A93" t="s">
        <v>1539</v>
      </c>
      <c r="B93" t="s">
        <v>1540</v>
      </c>
      <c r="D93" t="s">
        <v>1639</v>
      </c>
      <c r="E93" s="44">
        <v>1827244</v>
      </c>
      <c r="F93" s="44">
        <v>15915061</v>
      </c>
      <c r="G93" s="44">
        <v>2402961</v>
      </c>
      <c r="H93" s="126">
        <v>18318022</v>
      </c>
      <c r="I93" s="127">
        <v>15455530</v>
      </c>
      <c r="J93" s="128">
        <v>1430815</v>
      </c>
      <c r="K93" s="130">
        <v>35204367</v>
      </c>
      <c r="L93" s="44">
        <v>171322</v>
      </c>
      <c r="M93" s="44">
        <v>868044</v>
      </c>
      <c r="N93" s="44">
        <v>13164918</v>
      </c>
      <c r="O93" s="44">
        <v>789606</v>
      </c>
      <c r="P93" s="44">
        <v>820502</v>
      </c>
      <c r="Q93" s="44">
        <v>2950231</v>
      </c>
      <c r="R93" s="44">
        <v>17395</v>
      </c>
      <c r="S93" s="44">
        <v>44251</v>
      </c>
      <c r="T93" s="44">
        <v>1951494</v>
      </c>
      <c r="U93" s="44">
        <v>1212379</v>
      </c>
      <c r="V93" s="44">
        <v>4155</v>
      </c>
      <c r="W93" s="44">
        <v>2030116</v>
      </c>
      <c r="X93" s="44">
        <v>1224194</v>
      </c>
      <c r="Y93" s="44">
        <v>3893597</v>
      </c>
      <c r="Z93" s="44">
        <v>1788917</v>
      </c>
      <c r="AA93" s="44">
        <v>410525</v>
      </c>
      <c r="AB93" s="44">
        <v>0</v>
      </c>
      <c r="AC93" s="44">
        <v>31341646</v>
      </c>
      <c r="AD93" s="44">
        <v>438186</v>
      </c>
      <c r="AE93" s="44">
        <v>1350000</v>
      </c>
      <c r="AF93" s="44">
        <v>902863</v>
      </c>
      <c r="AG93" s="44">
        <v>34032695</v>
      </c>
      <c r="AH93" s="44">
        <v>1967</v>
      </c>
      <c r="AI93" s="44">
        <v>17897</v>
      </c>
      <c r="AJ93" s="44">
        <v>17302</v>
      </c>
      <c r="AK93" s="44">
        <v>257854</v>
      </c>
      <c r="AL93" s="44">
        <v>98727</v>
      </c>
      <c r="AM93" s="44">
        <v>0.74199999999999999</v>
      </c>
      <c r="AN93" s="44">
        <v>0.61560731525963486</v>
      </c>
      <c r="AO93" s="44">
        <v>0.184</v>
      </c>
      <c r="AP93" s="44">
        <v>0.7996073152596348</v>
      </c>
      <c r="AQ93" s="44">
        <v>0.8679</v>
      </c>
      <c r="AR93" s="44">
        <v>22.49</v>
      </c>
    </row>
    <row r="94" spans="1:44">
      <c r="A94" t="s">
        <v>1541</v>
      </c>
      <c r="B94" t="s">
        <v>1542</v>
      </c>
      <c r="D94" t="s">
        <v>1639</v>
      </c>
      <c r="E94" s="44">
        <v>2751730</v>
      </c>
      <c r="F94" s="44">
        <v>15564836</v>
      </c>
      <c r="G94" s="44">
        <v>2362063</v>
      </c>
      <c r="H94" s="126">
        <v>17926899</v>
      </c>
      <c r="I94" s="127">
        <v>8728783</v>
      </c>
      <c r="J94" s="128">
        <v>1430506</v>
      </c>
      <c r="K94" s="130">
        <v>28086188</v>
      </c>
      <c r="L94" s="44">
        <v>106141</v>
      </c>
      <c r="M94" s="44">
        <v>454577</v>
      </c>
      <c r="N94" s="44">
        <v>8440312</v>
      </c>
      <c r="O94" s="44">
        <v>661904</v>
      </c>
      <c r="P94" s="44">
        <v>545621</v>
      </c>
      <c r="Q94" s="44">
        <v>3472861</v>
      </c>
      <c r="R94" s="44">
        <v>8180</v>
      </c>
      <c r="S94" s="44">
        <v>411876</v>
      </c>
      <c r="T94" s="44">
        <v>1380955</v>
      </c>
      <c r="U94" s="44">
        <v>979216</v>
      </c>
      <c r="V94" s="44">
        <v>0</v>
      </c>
      <c r="W94" s="44">
        <v>1606387</v>
      </c>
      <c r="X94" s="44">
        <v>838551</v>
      </c>
      <c r="Y94" s="44">
        <v>3257660</v>
      </c>
      <c r="Z94" s="44">
        <v>1336185</v>
      </c>
      <c r="AA94" s="44">
        <v>403922</v>
      </c>
      <c r="AB94" s="44">
        <v>0</v>
      </c>
      <c r="AC94" s="44">
        <v>23904348</v>
      </c>
      <c r="AD94" s="44">
        <v>1619812</v>
      </c>
      <c r="AE94" s="44">
        <v>1075000</v>
      </c>
      <c r="AF94" s="44">
        <v>354477</v>
      </c>
      <c r="AG94" s="44">
        <v>26953637</v>
      </c>
      <c r="AH94" s="44">
        <v>1885</v>
      </c>
      <c r="AI94" s="44">
        <v>14900</v>
      </c>
      <c r="AJ94" s="44">
        <v>14299</v>
      </c>
      <c r="AK94" s="44">
        <v>169571</v>
      </c>
      <c r="AL94" s="44">
        <v>64972</v>
      </c>
      <c r="AM94" s="44">
        <v>0.48699999999999999</v>
      </c>
      <c r="AN94" s="44">
        <v>0.58993615592582183</v>
      </c>
      <c r="AO94" s="44">
        <v>0.17199999999999999</v>
      </c>
      <c r="AP94" s="44">
        <v>0.76193615592582176</v>
      </c>
      <c r="AQ94" s="44">
        <v>0.8589</v>
      </c>
      <c r="AR94" s="44">
        <v>19.25</v>
      </c>
    </row>
    <row r="95" spans="1:44">
      <c r="A95" t="s">
        <v>1543</v>
      </c>
      <c r="B95" t="s">
        <v>1544</v>
      </c>
      <c r="D95" t="s">
        <v>1639</v>
      </c>
      <c r="E95" s="44">
        <v>1263239</v>
      </c>
      <c r="F95" s="44">
        <v>10839259</v>
      </c>
      <c r="G95" s="44">
        <v>1490430</v>
      </c>
      <c r="H95" s="126">
        <v>12329689</v>
      </c>
      <c r="I95" s="127">
        <v>18216903</v>
      </c>
      <c r="J95" s="128">
        <v>1087389</v>
      </c>
      <c r="K95" s="130">
        <v>31633981</v>
      </c>
      <c r="L95" s="44">
        <v>199609</v>
      </c>
      <c r="M95" s="44">
        <v>705363</v>
      </c>
      <c r="N95" s="44">
        <v>9264010</v>
      </c>
      <c r="O95" s="44">
        <v>548336</v>
      </c>
      <c r="P95" s="44">
        <v>385349</v>
      </c>
      <c r="Q95" s="44">
        <v>1625548</v>
      </c>
      <c r="R95" s="44">
        <v>499582</v>
      </c>
      <c r="S95" s="44">
        <v>61844</v>
      </c>
      <c r="T95" s="44">
        <v>1418022</v>
      </c>
      <c r="U95" s="44">
        <v>1204020</v>
      </c>
      <c r="V95" s="44">
        <v>205147</v>
      </c>
      <c r="W95" s="44">
        <v>2502556</v>
      </c>
      <c r="X95" s="44">
        <v>838694</v>
      </c>
      <c r="Y95" s="44">
        <v>4466396</v>
      </c>
      <c r="Z95" s="44">
        <v>1468443</v>
      </c>
      <c r="AA95" s="44">
        <v>466644</v>
      </c>
      <c r="AB95" s="44">
        <v>0</v>
      </c>
      <c r="AC95" s="44">
        <v>25859563</v>
      </c>
      <c r="AD95" s="44">
        <v>2133631</v>
      </c>
      <c r="AE95" s="44">
        <v>1500000</v>
      </c>
      <c r="AF95" s="44">
        <v>1468994</v>
      </c>
      <c r="AG95" s="44">
        <v>30962188</v>
      </c>
      <c r="AH95" s="44">
        <v>1716</v>
      </c>
      <c r="AI95" s="44">
        <v>18435</v>
      </c>
      <c r="AJ95" s="44">
        <v>18043</v>
      </c>
      <c r="AK95" s="44">
        <v>480076</v>
      </c>
      <c r="AL95" s="44">
        <v>84163</v>
      </c>
      <c r="AM95" s="44">
        <v>0.97299999999999998</v>
      </c>
      <c r="AN95" s="44">
        <v>0.48467863446859766</v>
      </c>
      <c r="AO95" s="44">
        <v>0.17299999999999999</v>
      </c>
      <c r="AP95" s="44">
        <v>0.65767863446859764</v>
      </c>
      <c r="AQ95" s="44">
        <v>0.78269999999999995</v>
      </c>
      <c r="AR95" s="44">
        <v>12.48</v>
      </c>
    </row>
    <row r="96" spans="1:44">
      <c r="A96" t="s">
        <v>1545</v>
      </c>
      <c r="B96" t="s">
        <v>1546</v>
      </c>
      <c r="D96" t="s">
        <v>1639</v>
      </c>
      <c r="E96" s="44">
        <v>2053144</v>
      </c>
      <c r="F96" s="44">
        <v>5033553</v>
      </c>
      <c r="G96" s="44">
        <v>762327</v>
      </c>
      <c r="H96" s="126">
        <v>5795880</v>
      </c>
      <c r="I96" s="127">
        <v>6392717</v>
      </c>
      <c r="J96" s="128">
        <v>285441</v>
      </c>
      <c r="K96" s="130">
        <v>12474038</v>
      </c>
      <c r="L96" s="44">
        <v>85593</v>
      </c>
      <c r="M96" s="44">
        <v>331623</v>
      </c>
      <c r="N96" s="44">
        <v>3725047</v>
      </c>
      <c r="O96" s="44">
        <v>179720</v>
      </c>
      <c r="P96" s="44">
        <v>175492</v>
      </c>
      <c r="Q96" s="44">
        <v>625766</v>
      </c>
      <c r="R96" s="44">
        <v>18198</v>
      </c>
      <c r="S96" s="44">
        <v>127214</v>
      </c>
      <c r="T96" s="44">
        <v>640361</v>
      </c>
      <c r="U96" s="44">
        <v>815508</v>
      </c>
      <c r="V96" s="44">
        <v>0</v>
      </c>
      <c r="W96" s="44">
        <v>939512</v>
      </c>
      <c r="X96" s="44">
        <v>341971</v>
      </c>
      <c r="Y96" s="44">
        <v>2197390</v>
      </c>
      <c r="Z96" s="44">
        <v>520440</v>
      </c>
      <c r="AA96" s="44">
        <v>165058</v>
      </c>
      <c r="AB96" s="44">
        <v>100000</v>
      </c>
      <c r="AC96" s="44">
        <v>10988893</v>
      </c>
      <c r="AD96" s="44">
        <v>652206</v>
      </c>
      <c r="AE96" s="44">
        <v>760000</v>
      </c>
      <c r="AF96" s="44">
        <v>410038</v>
      </c>
      <c r="AG96" s="44">
        <v>12811137</v>
      </c>
      <c r="AH96" s="44">
        <v>755</v>
      </c>
      <c r="AI96" s="44">
        <v>16522</v>
      </c>
      <c r="AJ96" s="44">
        <v>16968</v>
      </c>
      <c r="AK96" s="44">
        <v>414428</v>
      </c>
      <c r="AL96" s="44">
        <v>93992</v>
      </c>
      <c r="AM96" s="44">
        <v>0.92700000000000005</v>
      </c>
      <c r="AN96" s="44">
        <v>0.49232991576001411</v>
      </c>
      <c r="AO96" s="44">
        <v>0.21299999999999999</v>
      </c>
      <c r="AP96" s="44">
        <v>0.70532991576001414</v>
      </c>
      <c r="AQ96" s="44">
        <v>0.82950000000000002</v>
      </c>
      <c r="AR96" s="44">
        <v>12.73</v>
      </c>
    </row>
    <row r="97" spans="1:44">
      <c r="A97" t="s">
        <v>1547</v>
      </c>
      <c r="B97" t="s">
        <v>1548</v>
      </c>
      <c r="D97" t="s">
        <v>1639</v>
      </c>
      <c r="E97" s="44">
        <v>1635679</v>
      </c>
      <c r="F97" s="44">
        <v>6488807</v>
      </c>
      <c r="G97" s="44">
        <v>1516483</v>
      </c>
      <c r="H97" s="126">
        <v>8005290</v>
      </c>
      <c r="I97" s="127">
        <v>15874048</v>
      </c>
      <c r="J97" s="128">
        <v>575290</v>
      </c>
      <c r="K97" s="130">
        <v>24454628</v>
      </c>
      <c r="L97" s="44">
        <v>191610</v>
      </c>
      <c r="M97" s="44">
        <v>521385</v>
      </c>
      <c r="N97" s="44">
        <v>7455619</v>
      </c>
      <c r="O97" s="44">
        <v>444686</v>
      </c>
      <c r="P97" s="44">
        <v>566753</v>
      </c>
      <c r="Q97" s="44">
        <v>960787</v>
      </c>
      <c r="R97" s="44">
        <v>52082</v>
      </c>
      <c r="S97" s="44">
        <v>148277</v>
      </c>
      <c r="T97" s="44">
        <v>1185559</v>
      </c>
      <c r="U97" s="44">
        <v>1009320</v>
      </c>
      <c r="V97" s="44">
        <v>0</v>
      </c>
      <c r="W97" s="44">
        <v>1885222</v>
      </c>
      <c r="X97" s="44">
        <v>760228</v>
      </c>
      <c r="Y97" s="44">
        <v>2773353</v>
      </c>
      <c r="Z97" s="44">
        <v>1229641</v>
      </c>
      <c r="AA97" s="44">
        <v>409536</v>
      </c>
      <c r="AB97" s="44">
        <v>28000</v>
      </c>
      <c r="AC97" s="44">
        <v>19622058</v>
      </c>
      <c r="AD97" s="44">
        <v>1598911</v>
      </c>
      <c r="AE97" s="44">
        <v>1251912</v>
      </c>
      <c r="AF97" s="44">
        <v>559704</v>
      </c>
      <c r="AG97" s="44">
        <v>23032585</v>
      </c>
      <c r="AH97" s="44">
        <v>1420</v>
      </c>
      <c r="AI97" s="44">
        <v>17222</v>
      </c>
      <c r="AJ97" s="44">
        <v>16220</v>
      </c>
      <c r="AK97" s="44">
        <v>482212</v>
      </c>
      <c r="AL97" s="44">
        <v>126127</v>
      </c>
      <c r="AM97" s="44">
        <v>1.147</v>
      </c>
      <c r="AN97" s="44">
        <v>0.51331984664335328</v>
      </c>
      <c r="AO97" s="44">
        <v>0.16800000000000001</v>
      </c>
      <c r="AP97" s="44">
        <v>0.68131984664335332</v>
      </c>
      <c r="AQ97" s="44">
        <v>0.79920000000000002</v>
      </c>
      <c r="AR97" s="44">
        <v>14.13</v>
      </c>
    </row>
    <row r="98" spans="1:44">
      <c r="A98" t="s">
        <v>1549</v>
      </c>
      <c r="B98" t="s">
        <v>1550</v>
      </c>
      <c r="D98" t="s">
        <v>1639</v>
      </c>
      <c r="E98" s="44">
        <v>1504359</v>
      </c>
      <c r="F98" s="44">
        <v>16084899</v>
      </c>
      <c r="G98" s="44">
        <v>2190036</v>
      </c>
      <c r="H98" s="126">
        <v>18274935</v>
      </c>
      <c r="I98" s="127">
        <v>15255238</v>
      </c>
      <c r="J98" s="128">
        <v>3595903</v>
      </c>
      <c r="K98" s="130">
        <v>37126076</v>
      </c>
      <c r="L98" s="44">
        <v>214414</v>
      </c>
      <c r="M98" s="44">
        <v>611312</v>
      </c>
      <c r="N98" s="44">
        <v>12246016</v>
      </c>
      <c r="O98" s="44">
        <v>646658</v>
      </c>
      <c r="P98" s="44">
        <v>925610</v>
      </c>
      <c r="Q98" s="44">
        <v>1831516</v>
      </c>
      <c r="R98" s="44">
        <v>68642</v>
      </c>
      <c r="S98" s="44">
        <v>913949</v>
      </c>
      <c r="T98" s="44">
        <v>2575342</v>
      </c>
      <c r="U98" s="44">
        <v>1818661</v>
      </c>
      <c r="V98" s="44">
        <v>25595</v>
      </c>
      <c r="W98" s="44">
        <v>2669267</v>
      </c>
      <c r="X98" s="44">
        <v>1242502</v>
      </c>
      <c r="Y98" s="44">
        <v>5485043</v>
      </c>
      <c r="Z98" s="44">
        <v>2026939</v>
      </c>
      <c r="AA98" s="44">
        <v>446423</v>
      </c>
      <c r="AB98" s="44">
        <v>0</v>
      </c>
      <c r="AC98" s="44">
        <v>33747889</v>
      </c>
      <c r="AD98" s="44">
        <v>1653688</v>
      </c>
      <c r="AE98" s="44">
        <v>616057</v>
      </c>
      <c r="AF98" s="44">
        <v>340461</v>
      </c>
      <c r="AG98" s="44">
        <v>36358095</v>
      </c>
      <c r="AH98" s="44">
        <v>2116</v>
      </c>
      <c r="AI98" s="44">
        <v>17545</v>
      </c>
      <c r="AJ98" s="44">
        <v>17182</v>
      </c>
      <c r="AK98" s="44">
        <v>256391</v>
      </c>
      <c r="AL98" s="44">
        <v>82502</v>
      </c>
      <c r="AM98" s="44">
        <v>0.67300000000000004</v>
      </c>
      <c r="AN98" s="44">
        <v>0.57831396281900904</v>
      </c>
      <c r="AO98" s="44">
        <v>0.218</v>
      </c>
      <c r="AP98" s="44">
        <v>0.79631396281900901</v>
      </c>
      <c r="AQ98" s="44">
        <v>0.85780000000000001</v>
      </c>
      <c r="AR98" s="44">
        <v>16.579999999999998</v>
      </c>
    </row>
    <row r="99" spans="1:44">
      <c r="A99" t="s">
        <v>1551</v>
      </c>
      <c r="B99" t="s">
        <v>1552</v>
      </c>
      <c r="D99" t="s">
        <v>1639</v>
      </c>
      <c r="E99" s="44">
        <v>2313418</v>
      </c>
      <c r="F99" s="44">
        <v>13311083</v>
      </c>
      <c r="G99" s="44">
        <v>2566126</v>
      </c>
      <c r="H99" s="126">
        <v>15877209</v>
      </c>
      <c r="I99" s="127">
        <v>15000146</v>
      </c>
      <c r="J99" s="128">
        <v>864817</v>
      </c>
      <c r="K99" s="130">
        <v>31742172</v>
      </c>
      <c r="L99" s="44">
        <v>156237</v>
      </c>
      <c r="M99" s="44">
        <v>588256</v>
      </c>
      <c r="N99" s="44">
        <v>10504585</v>
      </c>
      <c r="O99" s="44">
        <v>717135</v>
      </c>
      <c r="P99" s="44">
        <v>627693</v>
      </c>
      <c r="Q99" s="44">
        <v>1725423</v>
      </c>
      <c r="R99" s="44">
        <v>37290</v>
      </c>
      <c r="S99" s="44">
        <v>753416</v>
      </c>
      <c r="T99" s="44">
        <v>988328</v>
      </c>
      <c r="U99" s="44">
        <v>1185905</v>
      </c>
      <c r="V99" s="44">
        <v>0</v>
      </c>
      <c r="W99" s="44">
        <v>2462263</v>
      </c>
      <c r="X99" s="44">
        <v>1031865</v>
      </c>
      <c r="Y99" s="44">
        <v>3680442</v>
      </c>
      <c r="Z99" s="44">
        <v>1728086</v>
      </c>
      <c r="AA99" s="44">
        <v>459444</v>
      </c>
      <c r="AB99" s="44">
        <v>167403</v>
      </c>
      <c r="AC99" s="44">
        <v>26813771</v>
      </c>
      <c r="AD99" s="44">
        <v>1591805</v>
      </c>
      <c r="AE99" s="44">
        <v>1757146</v>
      </c>
      <c r="AF99" s="44">
        <v>641925</v>
      </c>
      <c r="AG99" s="44">
        <v>30804647</v>
      </c>
      <c r="AH99" s="44">
        <v>2198</v>
      </c>
      <c r="AI99" s="44">
        <v>14441</v>
      </c>
      <c r="AJ99" s="44">
        <v>14015</v>
      </c>
      <c r="AK99" s="44">
        <v>251685</v>
      </c>
      <c r="AL99" s="44">
        <v>98397</v>
      </c>
      <c r="AM99" s="44">
        <v>0.73199999999999998</v>
      </c>
      <c r="AN99" s="44">
        <v>0.53692467243659703</v>
      </c>
      <c r="AO99" s="44">
        <v>0.17199999999999999</v>
      </c>
      <c r="AP99" s="44">
        <v>0.70892467243659696</v>
      </c>
      <c r="AQ99" s="44">
        <v>0.81679999999999997</v>
      </c>
      <c r="AR99" s="44">
        <v>15.51</v>
      </c>
    </row>
    <row r="100" spans="1:44">
      <c r="A100" t="s">
        <v>1553</v>
      </c>
      <c r="B100" t="s">
        <v>1554</v>
      </c>
      <c r="D100" t="s">
        <v>1639</v>
      </c>
      <c r="E100" s="44">
        <v>478112</v>
      </c>
      <c r="F100" s="44">
        <v>3656384</v>
      </c>
      <c r="G100" s="44">
        <v>665540</v>
      </c>
      <c r="H100" s="126">
        <v>4321924</v>
      </c>
      <c r="I100" s="127">
        <v>7405885</v>
      </c>
      <c r="J100" s="128">
        <v>390828</v>
      </c>
      <c r="K100" s="130">
        <v>12118637</v>
      </c>
      <c r="L100" s="44">
        <v>105124</v>
      </c>
      <c r="M100" s="44">
        <v>309376</v>
      </c>
      <c r="N100" s="44">
        <v>3364438</v>
      </c>
      <c r="O100" s="44">
        <v>97516</v>
      </c>
      <c r="P100" s="44">
        <v>168507</v>
      </c>
      <c r="Q100" s="44">
        <v>835179</v>
      </c>
      <c r="R100" s="44">
        <v>192046</v>
      </c>
      <c r="S100" s="44">
        <v>218546</v>
      </c>
      <c r="T100" s="44">
        <v>499148</v>
      </c>
      <c r="U100" s="44">
        <v>504111</v>
      </c>
      <c r="V100" s="44">
        <v>8249</v>
      </c>
      <c r="W100" s="44">
        <v>830633</v>
      </c>
      <c r="X100" s="44">
        <v>338589</v>
      </c>
      <c r="Y100" s="44">
        <v>1841855</v>
      </c>
      <c r="Z100" s="44">
        <v>633007</v>
      </c>
      <c r="AA100" s="44">
        <v>107944</v>
      </c>
      <c r="AB100" s="44">
        <v>0</v>
      </c>
      <c r="AC100" s="44">
        <v>10054268</v>
      </c>
      <c r="AD100" s="44">
        <v>935533</v>
      </c>
      <c r="AE100" s="44">
        <v>658936</v>
      </c>
      <c r="AF100" s="44">
        <v>367583</v>
      </c>
      <c r="AG100" s="44">
        <v>12016320</v>
      </c>
      <c r="AH100" s="44">
        <v>634</v>
      </c>
      <c r="AI100" s="44">
        <v>19115</v>
      </c>
      <c r="AJ100" s="44">
        <v>18953</v>
      </c>
      <c r="AK100" s="44">
        <v>555028</v>
      </c>
      <c r="AL100" s="44">
        <v>111655</v>
      </c>
      <c r="AM100" s="44">
        <v>1.1839999999999999</v>
      </c>
      <c r="AN100" s="44">
        <v>0.48929214601475329</v>
      </c>
      <c r="AO100" s="44">
        <v>0.18099999999999999</v>
      </c>
      <c r="AP100" s="44">
        <v>0.67029214601475329</v>
      </c>
      <c r="AQ100" s="44">
        <v>0.79730000000000001</v>
      </c>
      <c r="AR100" s="44">
        <v>14.71</v>
      </c>
    </row>
    <row r="101" spans="1:44">
      <c r="A101" t="s">
        <v>1555</v>
      </c>
      <c r="B101" t="s">
        <v>1556</v>
      </c>
      <c r="D101" t="s">
        <v>1639</v>
      </c>
      <c r="E101" s="44">
        <v>437236</v>
      </c>
      <c r="F101" s="44">
        <v>7419125</v>
      </c>
      <c r="G101" s="44">
        <v>599366</v>
      </c>
      <c r="H101" s="126">
        <v>8018491</v>
      </c>
      <c r="I101" s="127">
        <v>2528425</v>
      </c>
      <c r="J101" s="128">
        <v>579032</v>
      </c>
      <c r="K101" s="130">
        <v>11125948</v>
      </c>
      <c r="L101" s="44">
        <v>59532</v>
      </c>
      <c r="M101" s="44">
        <v>327542</v>
      </c>
      <c r="N101" s="44">
        <v>3748982</v>
      </c>
      <c r="O101" s="44">
        <v>320750</v>
      </c>
      <c r="P101" s="44">
        <v>153279</v>
      </c>
      <c r="Q101" s="44">
        <v>1579671</v>
      </c>
      <c r="R101" s="44">
        <v>56954</v>
      </c>
      <c r="S101" s="44">
        <v>0</v>
      </c>
      <c r="T101" s="44">
        <v>548813</v>
      </c>
      <c r="U101" s="44">
        <v>362307</v>
      </c>
      <c r="V101" s="44">
        <v>0</v>
      </c>
      <c r="W101" s="44">
        <v>688314</v>
      </c>
      <c r="X101" s="44">
        <v>398575</v>
      </c>
      <c r="Y101" s="44">
        <v>1338554</v>
      </c>
      <c r="Z101" s="44">
        <v>534047</v>
      </c>
      <c r="AA101" s="44">
        <v>94450</v>
      </c>
      <c r="AB101" s="44">
        <v>194000</v>
      </c>
      <c r="AC101" s="44">
        <v>10405770</v>
      </c>
      <c r="AD101" s="44">
        <v>469119</v>
      </c>
      <c r="AE101" s="44">
        <v>362994</v>
      </c>
      <c r="AF101" s="44">
        <v>34944</v>
      </c>
      <c r="AG101" s="44">
        <v>11272827</v>
      </c>
      <c r="AH101" s="44">
        <v>651</v>
      </c>
      <c r="AI101" s="44">
        <v>17091</v>
      </c>
      <c r="AJ101" s="44">
        <v>17316</v>
      </c>
      <c r="AK101" s="44">
        <v>147819</v>
      </c>
      <c r="AL101" s="44">
        <v>50529</v>
      </c>
      <c r="AM101" s="44">
        <v>0.4</v>
      </c>
      <c r="AN101" s="44">
        <v>0.60062626704020206</v>
      </c>
      <c r="AO101" s="44">
        <v>0.17899999999999999</v>
      </c>
      <c r="AP101" s="44">
        <v>0.7796262670402021</v>
      </c>
      <c r="AQ101" s="44">
        <v>0.85570000000000002</v>
      </c>
      <c r="AR101" s="44">
        <v>17.39</v>
      </c>
    </row>
    <row r="102" spans="1:44">
      <c r="A102" t="s">
        <v>1557</v>
      </c>
      <c r="B102" t="s">
        <v>1558</v>
      </c>
      <c r="D102" t="s">
        <v>1639</v>
      </c>
      <c r="E102" s="44">
        <v>1512283</v>
      </c>
      <c r="F102" s="44">
        <v>20642023</v>
      </c>
      <c r="G102" s="44">
        <v>2987952</v>
      </c>
      <c r="H102" s="126">
        <v>23629975</v>
      </c>
      <c r="I102" s="127">
        <v>11675562</v>
      </c>
      <c r="J102" s="128">
        <v>2398456</v>
      </c>
      <c r="K102" s="130">
        <v>37703993</v>
      </c>
      <c r="L102" s="44">
        <v>72737</v>
      </c>
      <c r="M102" s="44">
        <v>620529</v>
      </c>
      <c r="N102" s="44">
        <v>12891836</v>
      </c>
      <c r="O102" s="44">
        <v>1003250</v>
      </c>
      <c r="P102" s="44">
        <v>1168644</v>
      </c>
      <c r="Q102" s="44">
        <v>3121131</v>
      </c>
      <c r="R102" s="44">
        <v>276230</v>
      </c>
      <c r="S102" s="44">
        <v>118835</v>
      </c>
      <c r="T102" s="44">
        <v>2611587</v>
      </c>
      <c r="U102" s="44">
        <v>2063193</v>
      </c>
      <c r="V102" s="44">
        <v>137000</v>
      </c>
      <c r="W102" s="44">
        <v>2799552</v>
      </c>
      <c r="X102" s="44">
        <v>1265448</v>
      </c>
      <c r="Y102" s="44">
        <v>4161027</v>
      </c>
      <c r="Z102" s="44">
        <v>2200573</v>
      </c>
      <c r="AA102" s="44">
        <v>668324</v>
      </c>
      <c r="AB102" s="44">
        <v>33973</v>
      </c>
      <c r="AC102" s="44">
        <v>35213869</v>
      </c>
      <c r="AD102" s="44">
        <v>1081131</v>
      </c>
      <c r="AE102" s="44">
        <v>1242000</v>
      </c>
      <c r="AF102" s="44">
        <v>412243</v>
      </c>
      <c r="AG102" s="44">
        <v>37949243</v>
      </c>
      <c r="AH102" s="44">
        <v>2919</v>
      </c>
      <c r="AI102" s="44">
        <v>12917</v>
      </c>
      <c r="AJ102" s="44">
        <v>13001</v>
      </c>
      <c r="AK102" s="44">
        <v>173262</v>
      </c>
      <c r="AL102" s="44">
        <v>79346</v>
      </c>
      <c r="AM102" s="44">
        <v>0.55100000000000005</v>
      </c>
      <c r="AN102" s="44">
        <v>0.61278445000866022</v>
      </c>
      <c r="AO102" s="44">
        <v>0.17799999999999999</v>
      </c>
      <c r="AP102" s="44">
        <v>0.79078445000866027</v>
      </c>
      <c r="AQ102" s="44">
        <v>0.85140000000000005</v>
      </c>
      <c r="AR102" s="44">
        <v>16.59</v>
      </c>
    </row>
    <row r="103" spans="1:44">
      <c r="A103" t="s">
        <v>1559</v>
      </c>
      <c r="B103" t="s">
        <v>1560</v>
      </c>
      <c r="D103" t="s">
        <v>1639</v>
      </c>
      <c r="E103" s="44">
        <v>79646</v>
      </c>
      <c r="F103" s="44">
        <v>5762079</v>
      </c>
      <c r="G103" s="44">
        <v>706365</v>
      </c>
      <c r="H103" s="126">
        <v>6468444</v>
      </c>
      <c r="I103" s="127">
        <v>1988722</v>
      </c>
      <c r="J103" s="128">
        <v>671539</v>
      </c>
      <c r="K103" s="130">
        <v>9128705</v>
      </c>
      <c r="L103" s="44">
        <v>57148</v>
      </c>
      <c r="M103" s="44">
        <v>339477</v>
      </c>
      <c r="N103" s="44">
        <v>3220887</v>
      </c>
      <c r="O103" s="44">
        <v>119813</v>
      </c>
      <c r="P103" s="44">
        <v>152376</v>
      </c>
      <c r="Q103" s="44">
        <v>773356</v>
      </c>
      <c r="R103" s="44">
        <v>11051</v>
      </c>
      <c r="S103" s="44">
        <v>0</v>
      </c>
      <c r="T103" s="44">
        <v>468869</v>
      </c>
      <c r="U103" s="44">
        <v>447719</v>
      </c>
      <c r="V103" s="44">
        <v>500</v>
      </c>
      <c r="W103" s="44">
        <v>708302</v>
      </c>
      <c r="X103" s="44">
        <v>300458</v>
      </c>
      <c r="Y103" s="44">
        <v>1039911</v>
      </c>
      <c r="Z103" s="44">
        <v>484561</v>
      </c>
      <c r="AA103" s="44">
        <v>87525</v>
      </c>
      <c r="AB103" s="44">
        <v>0</v>
      </c>
      <c r="AC103" s="44">
        <v>8211953</v>
      </c>
      <c r="AD103" s="44">
        <v>313932</v>
      </c>
      <c r="AE103" s="44">
        <v>530000</v>
      </c>
      <c r="AF103" s="44">
        <v>264913</v>
      </c>
      <c r="AG103" s="44">
        <v>9320798</v>
      </c>
      <c r="AH103" s="44">
        <v>579</v>
      </c>
      <c r="AI103" s="44">
        <v>15766</v>
      </c>
      <c r="AJ103" s="44">
        <v>16098</v>
      </c>
      <c r="AK103" s="44">
        <v>152277</v>
      </c>
      <c r="AL103" s="44">
        <v>66294</v>
      </c>
      <c r="AM103" s="44">
        <v>0.47100000000000003</v>
      </c>
      <c r="AN103" s="44">
        <v>0.55725604181101229</v>
      </c>
      <c r="AO103" s="44">
        <v>0.16300000000000001</v>
      </c>
      <c r="AP103" s="44">
        <v>0.72025604181101233</v>
      </c>
      <c r="AQ103" s="44">
        <v>0.81699999999999995</v>
      </c>
      <c r="AR103" s="44">
        <v>15.65</v>
      </c>
    </row>
    <row r="104" spans="1:44">
      <c r="A104" t="s">
        <v>1561</v>
      </c>
      <c r="B104" t="s">
        <v>1562</v>
      </c>
      <c r="D104" t="s">
        <v>1639</v>
      </c>
      <c r="E104" s="44">
        <v>948268</v>
      </c>
      <c r="F104" s="44">
        <v>18193692</v>
      </c>
      <c r="G104" s="44">
        <v>2761549</v>
      </c>
      <c r="H104" s="126">
        <v>20955241</v>
      </c>
      <c r="I104" s="127">
        <v>11947092</v>
      </c>
      <c r="J104" s="128">
        <v>1183733</v>
      </c>
      <c r="K104" s="130">
        <v>34086066</v>
      </c>
      <c r="L104" s="44">
        <v>168018</v>
      </c>
      <c r="M104" s="44">
        <v>547149</v>
      </c>
      <c r="N104" s="44">
        <v>11256154</v>
      </c>
      <c r="O104" s="44">
        <v>478318</v>
      </c>
      <c r="P104" s="44">
        <v>936432</v>
      </c>
      <c r="Q104" s="44">
        <v>2665035</v>
      </c>
      <c r="R104" s="44">
        <v>7479</v>
      </c>
      <c r="S104" s="44">
        <v>188204</v>
      </c>
      <c r="T104" s="44">
        <v>1892578</v>
      </c>
      <c r="U104" s="44">
        <v>1136928</v>
      </c>
      <c r="V104" s="44">
        <v>0</v>
      </c>
      <c r="W104" s="44">
        <v>2236218</v>
      </c>
      <c r="X104" s="44">
        <v>1058518</v>
      </c>
      <c r="Y104" s="44">
        <v>3578229</v>
      </c>
      <c r="Z104" s="44">
        <v>1654539</v>
      </c>
      <c r="AA104" s="44">
        <v>511899</v>
      </c>
      <c r="AB104" s="44">
        <v>0</v>
      </c>
      <c r="AC104" s="44">
        <v>28315698</v>
      </c>
      <c r="AD104" s="44">
        <v>1337653</v>
      </c>
      <c r="AE104" s="44">
        <v>1780000</v>
      </c>
      <c r="AF104" s="44">
        <v>1147704</v>
      </c>
      <c r="AG104" s="44">
        <v>32581055</v>
      </c>
      <c r="AH104" s="44">
        <v>2286</v>
      </c>
      <c r="AI104" s="44">
        <v>14911</v>
      </c>
      <c r="AJ104" s="44">
        <v>14252</v>
      </c>
      <c r="AK104" s="44">
        <v>180017</v>
      </c>
      <c r="AL104" s="44">
        <v>77634</v>
      </c>
      <c r="AM104" s="44">
        <v>0.55299999999999994</v>
      </c>
      <c r="AN104" s="44">
        <v>0.56969082185951314</v>
      </c>
      <c r="AO104" s="44">
        <v>0.16800000000000001</v>
      </c>
      <c r="AP104" s="44">
        <v>0.73769082185951318</v>
      </c>
      <c r="AQ104" s="44">
        <v>0.8488</v>
      </c>
      <c r="AR104" s="44">
        <v>19.309999999999999</v>
      </c>
    </row>
    <row r="105" spans="1:44">
      <c r="A105" t="s">
        <v>1563</v>
      </c>
      <c r="B105" t="s">
        <v>1564</v>
      </c>
      <c r="D105" t="s">
        <v>1639</v>
      </c>
      <c r="E105" s="44">
        <v>728447</v>
      </c>
      <c r="F105" s="44">
        <v>8674701</v>
      </c>
      <c r="G105" s="44">
        <v>958730</v>
      </c>
      <c r="H105" s="126">
        <v>9633431</v>
      </c>
      <c r="I105" s="127">
        <v>3088747</v>
      </c>
      <c r="J105" s="128">
        <v>755766</v>
      </c>
      <c r="K105" s="130">
        <v>13477944</v>
      </c>
      <c r="L105" s="44">
        <v>70601</v>
      </c>
      <c r="M105" s="44">
        <v>279122</v>
      </c>
      <c r="N105" s="44">
        <v>4100205</v>
      </c>
      <c r="O105" s="44">
        <v>110826</v>
      </c>
      <c r="P105" s="44">
        <v>303570</v>
      </c>
      <c r="Q105" s="44">
        <v>1499057</v>
      </c>
      <c r="R105" s="44">
        <v>-135815</v>
      </c>
      <c r="S105" s="44">
        <v>0</v>
      </c>
      <c r="T105" s="44">
        <v>706689</v>
      </c>
      <c r="U105" s="44">
        <v>698912</v>
      </c>
      <c r="V105" s="44">
        <v>0</v>
      </c>
      <c r="W105" s="44">
        <v>621727</v>
      </c>
      <c r="X105" s="44">
        <v>409830</v>
      </c>
      <c r="Y105" s="44">
        <v>780888</v>
      </c>
      <c r="Z105" s="44">
        <v>661579</v>
      </c>
      <c r="AA105" s="44">
        <v>212823</v>
      </c>
      <c r="AB105" s="44">
        <v>0</v>
      </c>
      <c r="AC105" s="44">
        <v>10320014</v>
      </c>
      <c r="AD105" s="44">
        <v>473151</v>
      </c>
      <c r="AE105" s="44">
        <v>701169</v>
      </c>
      <c r="AF105" s="44">
        <v>319645</v>
      </c>
      <c r="AG105" s="44">
        <v>11813979</v>
      </c>
      <c r="AH105" s="44">
        <v>976</v>
      </c>
      <c r="AI105" s="44">
        <v>13809</v>
      </c>
      <c r="AJ105" s="44">
        <v>12104</v>
      </c>
      <c r="AK105" s="44">
        <v>110085</v>
      </c>
      <c r="AL105" s="44">
        <v>46899</v>
      </c>
      <c r="AM105" s="44">
        <v>0.33599999999999997</v>
      </c>
      <c r="AN105" s="44">
        <v>0.61651066080276595</v>
      </c>
      <c r="AO105" s="44">
        <v>0.13600000000000001</v>
      </c>
      <c r="AP105" s="44">
        <v>0.75251066080276596</v>
      </c>
      <c r="AQ105" s="44">
        <v>0.86280000000000001</v>
      </c>
      <c r="AR105" s="44">
        <v>19.43</v>
      </c>
    </row>
    <row r="106" spans="1:44">
      <c r="A106" t="s">
        <v>1565</v>
      </c>
      <c r="B106" t="s">
        <v>1566</v>
      </c>
      <c r="D106" t="s">
        <v>1639</v>
      </c>
      <c r="E106" s="44">
        <v>998826</v>
      </c>
      <c r="F106" s="44">
        <v>727839</v>
      </c>
      <c r="G106" s="44">
        <v>192798</v>
      </c>
      <c r="H106" s="126">
        <v>920637</v>
      </c>
      <c r="I106" s="127">
        <v>2286901</v>
      </c>
      <c r="J106" s="128">
        <v>195120</v>
      </c>
      <c r="K106" s="130">
        <v>3402658</v>
      </c>
      <c r="L106" s="44">
        <v>11112</v>
      </c>
      <c r="M106" s="44">
        <v>201789</v>
      </c>
      <c r="N106" s="44">
        <v>1060805</v>
      </c>
      <c r="O106" s="44">
        <v>71164</v>
      </c>
      <c r="P106" s="44">
        <v>500</v>
      </c>
      <c r="Q106" s="44">
        <v>318012</v>
      </c>
      <c r="R106" s="44">
        <v>0</v>
      </c>
      <c r="S106" s="44">
        <v>0</v>
      </c>
      <c r="T106" s="44">
        <v>117698</v>
      </c>
      <c r="U106" s="44">
        <v>146488</v>
      </c>
      <c r="V106" s="44">
        <v>0</v>
      </c>
      <c r="W106" s="44">
        <v>228030</v>
      </c>
      <c r="X106" s="44">
        <v>92226</v>
      </c>
      <c r="Y106" s="44">
        <v>392640</v>
      </c>
      <c r="Z106" s="44">
        <v>162240</v>
      </c>
      <c r="AA106" s="44">
        <v>85544</v>
      </c>
      <c r="AB106" s="44">
        <v>25000</v>
      </c>
      <c r="AC106" s="44">
        <v>2913248</v>
      </c>
      <c r="AD106" s="44">
        <v>216401</v>
      </c>
      <c r="AE106" s="44">
        <v>10000</v>
      </c>
      <c r="AF106" s="44">
        <v>6555</v>
      </c>
      <c r="AG106" s="44">
        <v>3146204</v>
      </c>
      <c r="AH106" s="44">
        <v>148</v>
      </c>
      <c r="AI106" s="44">
        <v>22991</v>
      </c>
      <c r="AJ106" s="44">
        <v>21258</v>
      </c>
      <c r="AK106" s="44">
        <v>926937</v>
      </c>
      <c r="AL106" s="44">
        <v>138284</v>
      </c>
      <c r="AM106" s="44">
        <v>1.7789999999999999</v>
      </c>
      <c r="AN106" s="44">
        <v>0.54499549298138328</v>
      </c>
      <c r="AO106" s="44">
        <v>0.16300000000000001</v>
      </c>
      <c r="AP106" s="44">
        <v>0.70799549298138331</v>
      </c>
      <c r="AQ106" s="44">
        <v>0.76449999999999996</v>
      </c>
      <c r="AR106" s="44">
        <v>10.09</v>
      </c>
    </row>
    <row r="107" spans="1:44">
      <c r="A107" t="s">
        <v>1567</v>
      </c>
      <c r="B107" t="s">
        <v>1568</v>
      </c>
      <c r="D107" t="s">
        <v>1639</v>
      </c>
      <c r="E107" s="44">
        <v>353551</v>
      </c>
      <c r="F107" s="44">
        <v>1386662</v>
      </c>
      <c r="G107" s="44">
        <v>294199</v>
      </c>
      <c r="H107" s="126">
        <v>1680861</v>
      </c>
      <c r="I107" s="127">
        <v>6647239</v>
      </c>
      <c r="J107" s="128">
        <v>263723</v>
      </c>
      <c r="K107" s="130">
        <v>8591823</v>
      </c>
      <c r="L107" s="44">
        <v>120365</v>
      </c>
      <c r="M107" s="44">
        <v>359053</v>
      </c>
      <c r="N107" s="44">
        <v>2038056</v>
      </c>
      <c r="O107" s="44">
        <v>118522</v>
      </c>
      <c r="P107" s="44">
        <v>125584</v>
      </c>
      <c r="Q107" s="44">
        <v>825384</v>
      </c>
      <c r="R107" s="44">
        <v>0</v>
      </c>
      <c r="S107" s="44">
        <v>14518</v>
      </c>
      <c r="T107" s="44">
        <v>416109</v>
      </c>
      <c r="U107" s="44">
        <v>334611</v>
      </c>
      <c r="V107" s="44">
        <v>5193</v>
      </c>
      <c r="W107" s="44">
        <v>528956</v>
      </c>
      <c r="X107" s="44">
        <v>239451</v>
      </c>
      <c r="Y107" s="44">
        <v>1165056</v>
      </c>
      <c r="Z107" s="44">
        <v>381532</v>
      </c>
      <c r="AA107" s="44">
        <v>192112</v>
      </c>
      <c r="AB107" s="44">
        <v>5000</v>
      </c>
      <c r="AC107" s="44">
        <v>6869502</v>
      </c>
      <c r="AD107" s="44">
        <v>480047</v>
      </c>
      <c r="AE107" s="44">
        <v>175000</v>
      </c>
      <c r="AF107" s="44">
        <v>44875</v>
      </c>
      <c r="AG107" s="44">
        <v>7569424</v>
      </c>
      <c r="AH107" s="44">
        <v>345</v>
      </c>
      <c r="AI107" s="44">
        <v>24904</v>
      </c>
      <c r="AJ107" s="44">
        <v>21940</v>
      </c>
      <c r="AK107" s="44">
        <v>1000770</v>
      </c>
      <c r="AL107" s="44">
        <v>49435</v>
      </c>
      <c r="AM107" s="44">
        <v>1.5109999999999999</v>
      </c>
      <c r="AN107" s="44">
        <v>0.51163523142579936</v>
      </c>
      <c r="AO107" s="44">
        <v>0.183</v>
      </c>
      <c r="AP107" s="44">
        <v>0.6946352314257993</v>
      </c>
      <c r="AQ107" s="44">
        <v>0.76519999999999999</v>
      </c>
      <c r="AR107" s="44">
        <v>11.73</v>
      </c>
    </row>
    <row r="108" spans="1:44">
      <c r="A108" t="s">
        <v>1569</v>
      </c>
      <c r="B108" t="s">
        <v>1570</v>
      </c>
      <c r="D108" t="s">
        <v>1639</v>
      </c>
      <c r="E108" s="44">
        <v>1045188</v>
      </c>
      <c r="F108" s="44">
        <v>4282836</v>
      </c>
      <c r="G108" s="44">
        <v>476726</v>
      </c>
      <c r="H108" s="126">
        <v>4759562</v>
      </c>
      <c r="I108" s="127">
        <v>2237391</v>
      </c>
      <c r="J108" s="128">
        <v>884648</v>
      </c>
      <c r="K108" s="130">
        <v>7881601</v>
      </c>
      <c r="L108" s="44">
        <v>48671</v>
      </c>
      <c r="M108" s="44">
        <v>251982</v>
      </c>
      <c r="N108" s="44">
        <v>2140246</v>
      </c>
      <c r="O108" s="44">
        <v>109308</v>
      </c>
      <c r="P108" s="44">
        <v>82000</v>
      </c>
      <c r="Q108" s="44">
        <v>731502</v>
      </c>
      <c r="R108" s="44">
        <v>234619</v>
      </c>
      <c r="S108" s="44">
        <v>65286</v>
      </c>
      <c r="T108" s="44">
        <v>397738</v>
      </c>
      <c r="U108" s="44">
        <v>336298</v>
      </c>
      <c r="V108" s="44">
        <v>0</v>
      </c>
      <c r="W108" s="44">
        <v>408563</v>
      </c>
      <c r="X108" s="44">
        <v>188251</v>
      </c>
      <c r="Y108" s="44">
        <v>631876</v>
      </c>
      <c r="Z108" s="44">
        <v>428847</v>
      </c>
      <c r="AA108" s="44">
        <v>239525</v>
      </c>
      <c r="AB108" s="44">
        <v>2370</v>
      </c>
      <c r="AC108" s="44">
        <v>6297082</v>
      </c>
      <c r="AD108" s="44">
        <v>401042</v>
      </c>
      <c r="AE108" s="44">
        <v>401468</v>
      </c>
      <c r="AF108" s="44">
        <v>161055</v>
      </c>
      <c r="AG108" s="44">
        <v>7260647</v>
      </c>
      <c r="AH108" s="44">
        <v>441</v>
      </c>
      <c r="AI108" s="44">
        <v>17872</v>
      </c>
      <c r="AJ108" s="44">
        <v>16464</v>
      </c>
      <c r="AK108" s="44">
        <v>249604</v>
      </c>
      <c r="AL108" s="44">
        <v>67213</v>
      </c>
      <c r="AM108" s="44">
        <v>0.60099999999999998</v>
      </c>
      <c r="AN108" s="44">
        <v>0.56427436838617828</v>
      </c>
      <c r="AO108" s="44">
        <v>0.14499999999999999</v>
      </c>
      <c r="AP108" s="44">
        <v>0.7092743683861783</v>
      </c>
      <c r="AQ108" s="44">
        <v>0.81069999999999998</v>
      </c>
      <c r="AR108" s="44">
        <v>12.54</v>
      </c>
    </row>
    <row r="109" spans="1:44">
      <c r="A109" t="s">
        <v>1571</v>
      </c>
      <c r="B109" t="s">
        <v>1572</v>
      </c>
      <c r="D109" t="s">
        <v>1639</v>
      </c>
      <c r="E109" s="44">
        <v>452471</v>
      </c>
      <c r="F109" s="44">
        <v>8560367</v>
      </c>
      <c r="G109" s="44">
        <v>1146609</v>
      </c>
      <c r="H109" s="126">
        <v>9706976</v>
      </c>
      <c r="I109" s="127">
        <v>7486474</v>
      </c>
      <c r="J109" s="128">
        <v>599619</v>
      </c>
      <c r="K109" s="130">
        <v>17793069</v>
      </c>
      <c r="L109" s="44">
        <v>110231</v>
      </c>
      <c r="M109" s="44">
        <v>477474</v>
      </c>
      <c r="N109" s="44">
        <v>4333152</v>
      </c>
      <c r="O109" s="44">
        <v>278241</v>
      </c>
      <c r="P109" s="44">
        <v>203574</v>
      </c>
      <c r="Q109" s="44">
        <v>1625280</v>
      </c>
      <c r="R109" s="44">
        <v>71494</v>
      </c>
      <c r="S109" s="44">
        <v>72079</v>
      </c>
      <c r="T109" s="44">
        <v>1327565</v>
      </c>
      <c r="U109" s="44">
        <v>438711</v>
      </c>
      <c r="V109" s="44">
        <v>0</v>
      </c>
      <c r="W109" s="44">
        <v>1231941</v>
      </c>
      <c r="X109" s="44">
        <v>441393</v>
      </c>
      <c r="Y109" s="44">
        <v>2215960</v>
      </c>
      <c r="Z109" s="44">
        <v>815067</v>
      </c>
      <c r="AA109" s="44">
        <v>306310</v>
      </c>
      <c r="AB109" s="44">
        <v>0</v>
      </c>
      <c r="AC109" s="44">
        <v>13948472</v>
      </c>
      <c r="AD109" s="44">
        <v>1211351</v>
      </c>
      <c r="AE109" s="44">
        <v>1447000</v>
      </c>
      <c r="AF109" s="44">
        <v>616899</v>
      </c>
      <c r="AG109" s="44">
        <v>17223722</v>
      </c>
      <c r="AH109" s="44">
        <v>890</v>
      </c>
      <c r="AI109" s="44">
        <v>19992</v>
      </c>
      <c r="AJ109" s="44">
        <v>19352</v>
      </c>
      <c r="AK109" s="44">
        <v>370303</v>
      </c>
      <c r="AL109" s="44">
        <v>82817</v>
      </c>
      <c r="AM109" s="44">
        <v>0.82299999999999995</v>
      </c>
      <c r="AN109" s="44">
        <v>0.4848020654304569</v>
      </c>
      <c r="AO109" s="44">
        <v>0.16500000000000001</v>
      </c>
      <c r="AP109" s="44">
        <v>0.64980206543045693</v>
      </c>
      <c r="AQ109" s="44">
        <v>0.80149999999999999</v>
      </c>
      <c r="AR109" s="44">
        <v>15.59</v>
      </c>
    </row>
    <row r="110" spans="1:44">
      <c r="A110" t="s">
        <v>1573</v>
      </c>
      <c r="B110" t="s">
        <v>1574</v>
      </c>
      <c r="D110" t="s">
        <v>1639</v>
      </c>
      <c r="E110" s="44">
        <v>548158</v>
      </c>
      <c r="F110" s="44">
        <v>2974441</v>
      </c>
      <c r="G110" s="44">
        <v>338548</v>
      </c>
      <c r="H110" s="126">
        <v>3312989</v>
      </c>
      <c r="I110" s="127">
        <v>1859969</v>
      </c>
      <c r="J110" s="128">
        <v>240955</v>
      </c>
      <c r="K110" s="130">
        <v>5413913</v>
      </c>
      <c r="L110" s="44">
        <v>87658</v>
      </c>
      <c r="M110" s="44">
        <v>309588</v>
      </c>
      <c r="N110" s="44">
        <v>1531213</v>
      </c>
      <c r="O110" s="44">
        <v>49698</v>
      </c>
      <c r="P110" s="44">
        <v>73569</v>
      </c>
      <c r="Q110" s="44">
        <v>581831</v>
      </c>
      <c r="R110" s="44">
        <v>13517</v>
      </c>
      <c r="S110" s="44">
        <v>29166</v>
      </c>
      <c r="T110" s="44">
        <v>364843</v>
      </c>
      <c r="U110" s="44">
        <v>178802</v>
      </c>
      <c r="V110" s="44">
        <v>2000</v>
      </c>
      <c r="W110" s="44">
        <v>388566</v>
      </c>
      <c r="X110" s="44">
        <v>160095</v>
      </c>
      <c r="Y110" s="44">
        <v>626469</v>
      </c>
      <c r="Z110" s="44">
        <v>292361</v>
      </c>
      <c r="AA110" s="44">
        <v>123408</v>
      </c>
      <c r="AB110" s="44">
        <v>0</v>
      </c>
      <c r="AC110" s="44">
        <v>4812784</v>
      </c>
      <c r="AD110" s="44">
        <v>414868</v>
      </c>
      <c r="AE110" s="44">
        <v>101000</v>
      </c>
      <c r="AF110" s="44">
        <v>18795</v>
      </c>
      <c r="AG110" s="44">
        <v>5347447</v>
      </c>
      <c r="AH110" s="44">
        <v>326</v>
      </c>
      <c r="AI110" s="44">
        <v>16607</v>
      </c>
      <c r="AJ110" s="44">
        <v>16403</v>
      </c>
      <c r="AK110" s="44">
        <v>286994</v>
      </c>
      <c r="AL110" s="44">
        <v>70908</v>
      </c>
      <c r="AM110" s="44">
        <v>0.66599999999999993</v>
      </c>
      <c r="AN110" s="44">
        <v>0.52784796184048199</v>
      </c>
      <c r="AO110" s="44">
        <v>0.154</v>
      </c>
      <c r="AP110" s="44">
        <v>0.68184796184048202</v>
      </c>
      <c r="AQ110" s="44">
        <v>0.75690000000000002</v>
      </c>
      <c r="AR110" s="44">
        <v>13.58</v>
      </c>
    </row>
    <row r="111" spans="1:44">
      <c r="A111" t="s">
        <v>1575</v>
      </c>
      <c r="B111" t="s">
        <v>1576</v>
      </c>
      <c r="D111" t="s">
        <v>1639</v>
      </c>
      <c r="E111" s="44">
        <v>934160</v>
      </c>
      <c r="F111" s="44">
        <v>5068153</v>
      </c>
      <c r="G111" s="44">
        <v>511477</v>
      </c>
      <c r="H111" s="126">
        <v>5579630</v>
      </c>
      <c r="I111" s="127">
        <v>3683627</v>
      </c>
      <c r="J111" s="128">
        <v>321610</v>
      </c>
      <c r="K111" s="130">
        <v>9584867</v>
      </c>
      <c r="L111" s="44">
        <v>90162</v>
      </c>
      <c r="M111" s="44">
        <v>389163</v>
      </c>
      <c r="N111" s="44">
        <v>2502440</v>
      </c>
      <c r="O111" s="44">
        <v>152308</v>
      </c>
      <c r="P111" s="44">
        <v>192033</v>
      </c>
      <c r="Q111" s="44">
        <v>751316</v>
      </c>
      <c r="R111" s="44">
        <v>10992</v>
      </c>
      <c r="S111" s="44">
        <v>108065</v>
      </c>
      <c r="T111" s="44">
        <v>677368</v>
      </c>
      <c r="U111" s="44">
        <v>287886</v>
      </c>
      <c r="V111" s="44">
        <v>1500</v>
      </c>
      <c r="W111" s="44">
        <v>620576</v>
      </c>
      <c r="X111" s="44">
        <v>257397</v>
      </c>
      <c r="Y111" s="44">
        <v>1267079</v>
      </c>
      <c r="Z111" s="44">
        <v>471176</v>
      </c>
      <c r="AA111" s="44">
        <v>261941</v>
      </c>
      <c r="AB111" s="44">
        <v>60000</v>
      </c>
      <c r="AC111" s="44">
        <v>8101402</v>
      </c>
      <c r="AD111" s="44">
        <v>1201108</v>
      </c>
      <c r="AE111" s="44">
        <v>270000</v>
      </c>
      <c r="AF111" s="44">
        <v>69350</v>
      </c>
      <c r="AG111" s="44">
        <v>9641860</v>
      </c>
      <c r="AH111" s="44">
        <v>511</v>
      </c>
      <c r="AI111" s="44">
        <v>18757</v>
      </c>
      <c r="AJ111" s="44">
        <v>18869</v>
      </c>
      <c r="AK111" s="44">
        <v>291462</v>
      </c>
      <c r="AL111" s="44">
        <v>54487</v>
      </c>
      <c r="AM111" s="44">
        <v>0.60399999999999998</v>
      </c>
      <c r="AN111" s="44">
        <v>0.48563326992924599</v>
      </c>
      <c r="AO111" s="44">
        <v>0.16600000000000001</v>
      </c>
      <c r="AP111" s="44">
        <v>0.65163326992924597</v>
      </c>
      <c r="AQ111" s="44">
        <v>0.77510000000000001</v>
      </c>
      <c r="AR111" s="44">
        <v>18.8</v>
      </c>
    </row>
    <row r="112" spans="1:44">
      <c r="A112" t="s">
        <v>1577</v>
      </c>
      <c r="B112" t="s">
        <v>1578</v>
      </c>
      <c r="D112" t="s">
        <v>1639</v>
      </c>
      <c r="E112" s="44">
        <v>1444905</v>
      </c>
      <c r="F112" s="44">
        <v>3039245</v>
      </c>
      <c r="G112" s="44">
        <v>415476</v>
      </c>
      <c r="H112" s="126">
        <v>3454721</v>
      </c>
      <c r="I112" s="127">
        <v>5822358</v>
      </c>
      <c r="J112" s="128">
        <v>449187</v>
      </c>
      <c r="K112" s="130">
        <v>9726266</v>
      </c>
      <c r="L112" s="44">
        <v>124072</v>
      </c>
      <c r="M112" s="44">
        <v>145779</v>
      </c>
      <c r="N112" s="44">
        <v>2543821</v>
      </c>
      <c r="O112" s="44">
        <v>124884</v>
      </c>
      <c r="P112" s="44">
        <v>77000</v>
      </c>
      <c r="Q112" s="44">
        <v>1153166</v>
      </c>
      <c r="R112" s="44">
        <v>132499</v>
      </c>
      <c r="S112" s="44">
        <v>33015</v>
      </c>
      <c r="T112" s="44">
        <v>485183</v>
      </c>
      <c r="U112" s="44">
        <v>366792</v>
      </c>
      <c r="V112" s="44">
        <v>4600</v>
      </c>
      <c r="W112" s="44">
        <v>488999</v>
      </c>
      <c r="X112" s="44">
        <v>249179</v>
      </c>
      <c r="Y112" s="44">
        <v>1087255</v>
      </c>
      <c r="Z112" s="44">
        <v>521798</v>
      </c>
      <c r="AA112" s="44">
        <v>248286</v>
      </c>
      <c r="AB112" s="44">
        <v>320000</v>
      </c>
      <c r="AC112" s="44">
        <v>8106328</v>
      </c>
      <c r="AD112" s="44">
        <v>449680</v>
      </c>
      <c r="AE112" s="44">
        <v>635000</v>
      </c>
      <c r="AF112" s="44">
        <v>524209</v>
      </c>
      <c r="AG112" s="44">
        <v>9715217</v>
      </c>
      <c r="AH112" s="44">
        <v>490</v>
      </c>
      <c r="AI112" s="44">
        <v>19850</v>
      </c>
      <c r="AJ112" s="44">
        <v>19827</v>
      </c>
      <c r="AK112" s="44">
        <v>757092</v>
      </c>
      <c r="AL112" s="44">
        <v>78109</v>
      </c>
      <c r="AM112" s="44">
        <v>1.31</v>
      </c>
      <c r="AN112" s="44">
        <v>0.50604736878239565</v>
      </c>
      <c r="AO112" s="44">
        <v>0.16</v>
      </c>
      <c r="AP112" s="44">
        <v>0.66604736878239568</v>
      </c>
      <c r="AQ112" s="44">
        <v>0.8216</v>
      </c>
      <c r="AR112" s="44">
        <v>10.62</v>
      </c>
    </row>
    <row r="113" spans="1:44">
      <c r="A113" t="s">
        <v>1579</v>
      </c>
      <c r="B113" t="s">
        <v>1580</v>
      </c>
      <c r="D113" t="s">
        <v>1639</v>
      </c>
      <c r="E113" s="44">
        <v>419831</v>
      </c>
      <c r="F113" s="44">
        <v>3187770</v>
      </c>
      <c r="G113" s="44">
        <v>575587</v>
      </c>
      <c r="H113" s="126">
        <v>3763357</v>
      </c>
      <c r="I113" s="127">
        <v>5037274</v>
      </c>
      <c r="J113" s="128">
        <v>308122</v>
      </c>
      <c r="K113" s="130">
        <v>9108753</v>
      </c>
      <c r="L113" s="44">
        <v>129831</v>
      </c>
      <c r="M113" s="44">
        <v>260725</v>
      </c>
      <c r="N113" s="44">
        <v>2432082</v>
      </c>
      <c r="O113" s="44">
        <v>83566</v>
      </c>
      <c r="P113" s="44">
        <v>83326</v>
      </c>
      <c r="Q113" s="44">
        <v>982946</v>
      </c>
      <c r="R113" s="44">
        <v>21536</v>
      </c>
      <c r="S113" s="44">
        <v>33340</v>
      </c>
      <c r="T113" s="44">
        <v>354127</v>
      </c>
      <c r="U113" s="44">
        <v>425719</v>
      </c>
      <c r="V113" s="44">
        <v>19715</v>
      </c>
      <c r="W113" s="44">
        <v>442733</v>
      </c>
      <c r="X113" s="44">
        <v>208163</v>
      </c>
      <c r="Y113" s="44">
        <v>1309405</v>
      </c>
      <c r="Z113" s="44">
        <v>397773</v>
      </c>
      <c r="AA113" s="44">
        <v>139687</v>
      </c>
      <c r="AB113" s="44">
        <v>9204</v>
      </c>
      <c r="AC113" s="44">
        <v>7333878</v>
      </c>
      <c r="AD113" s="44">
        <v>423442</v>
      </c>
      <c r="AE113" s="44">
        <v>500000</v>
      </c>
      <c r="AF113" s="44">
        <v>302818</v>
      </c>
      <c r="AG113" s="44">
        <v>8560138</v>
      </c>
      <c r="AH113" s="44">
        <v>385</v>
      </c>
      <c r="AI113" s="44">
        <v>23659</v>
      </c>
      <c r="AJ113" s="44">
        <v>22234</v>
      </c>
      <c r="AK113" s="44">
        <v>561849</v>
      </c>
      <c r="AL113" s="44">
        <v>78191</v>
      </c>
      <c r="AM113" s="44">
        <v>1.0549999999999999</v>
      </c>
      <c r="AN113" s="44">
        <v>0.51595453250870493</v>
      </c>
      <c r="AO113" s="44">
        <v>0.18099999999999999</v>
      </c>
      <c r="AP113" s="44">
        <v>0.69695453250870498</v>
      </c>
      <c r="AQ113" s="44">
        <v>0.81299999999999994</v>
      </c>
      <c r="AR113" s="44">
        <v>15.18</v>
      </c>
    </row>
    <row r="114" spans="1:44">
      <c r="A114" t="s">
        <v>1581</v>
      </c>
      <c r="B114" t="s">
        <v>1582</v>
      </c>
      <c r="D114" t="s">
        <v>1639</v>
      </c>
      <c r="E114" s="44">
        <v>1854838</v>
      </c>
      <c r="F114" s="44">
        <v>13412668</v>
      </c>
      <c r="G114" s="44">
        <v>1556329</v>
      </c>
      <c r="H114" s="126">
        <v>14968997</v>
      </c>
      <c r="I114" s="127">
        <v>5769897</v>
      </c>
      <c r="J114" s="128">
        <v>699153</v>
      </c>
      <c r="K114" s="130">
        <v>21438047</v>
      </c>
      <c r="L114" s="44">
        <v>124863</v>
      </c>
      <c r="M114" s="44">
        <v>496080</v>
      </c>
      <c r="N114" s="44">
        <v>6146376</v>
      </c>
      <c r="O114" s="44">
        <v>314387</v>
      </c>
      <c r="P114" s="44">
        <v>291985</v>
      </c>
      <c r="Q114" s="44">
        <v>2502266</v>
      </c>
      <c r="R114" s="44">
        <v>117107</v>
      </c>
      <c r="S114" s="44">
        <v>163627</v>
      </c>
      <c r="T114" s="44">
        <v>1201093</v>
      </c>
      <c r="U114" s="44">
        <v>586142</v>
      </c>
      <c r="V114" s="44">
        <v>831</v>
      </c>
      <c r="W114" s="44">
        <v>1640083</v>
      </c>
      <c r="X114" s="44">
        <v>539736</v>
      </c>
      <c r="Y114" s="44">
        <v>1941963</v>
      </c>
      <c r="Z114" s="44">
        <v>1114124</v>
      </c>
      <c r="AA114" s="44">
        <v>541487</v>
      </c>
      <c r="AB114" s="44">
        <v>82000</v>
      </c>
      <c r="AC114" s="44">
        <v>17804150</v>
      </c>
      <c r="AD114" s="44">
        <v>804826</v>
      </c>
      <c r="AE114" s="44">
        <v>1710000</v>
      </c>
      <c r="AF114" s="44">
        <v>1335206</v>
      </c>
      <c r="AG114" s="44">
        <v>21654182</v>
      </c>
      <c r="AH114" s="44">
        <v>1204</v>
      </c>
      <c r="AI114" s="44">
        <v>17806</v>
      </c>
      <c r="AJ114" s="44">
        <v>17985</v>
      </c>
      <c r="AK114" s="44">
        <v>163396</v>
      </c>
      <c r="AL114" s="44">
        <v>59383</v>
      </c>
      <c r="AM114" s="44">
        <v>0.45599999999999996</v>
      </c>
      <c r="AN114" s="44">
        <v>0.52290051870811838</v>
      </c>
      <c r="AO114" s="44">
        <v>0.13800000000000001</v>
      </c>
      <c r="AP114" s="44">
        <v>0.66090051870811839</v>
      </c>
      <c r="AQ114" s="44">
        <v>0.80679999999999996</v>
      </c>
      <c r="AR114" s="44">
        <v>18.16</v>
      </c>
    </row>
    <row r="115" spans="1:44">
      <c r="A115" t="s">
        <v>1583</v>
      </c>
      <c r="B115" t="s">
        <v>1584</v>
      </c>
      <c r="D115" t="s">
        <v>1639</v>
      </c>
      <c r="E115" s="44">
        <v>1528819</v>
      </c>
      <c r="F115" s="44">
        <v>4418287</v>
      </c>
      <c r="G115" s="44">
        <v>624435</v>
      </c>
      <c r="H115" s="126">
        <v>5042722</v>
      </c>
      <c r="I115" s="127">
        <v>3045788</v>
      </c>
      <c r="J115" s="128">
        <v>576995</v>
      </c>
      <c r="K115" s="130">
        <v>8665505</v>
      </c>
      <c r="L115" s="44">
        <v>34689</v>
      </c>
      <c r="M115" s="44">
        <v>240358</v>
      </c>
      <c r="N115" s="44">
        <v>2201804</v>
      </c>
      <c r="O115" s="44">
        <v>46903</v>
      </c>
      <c r="P115" s="44">
        <v>80500</v>
      </c>
      <c r="Q115" s="44">
        <v>1218222</v>
      </c>
      <c r="R115" s="44">
        <v>65019</v>
      </c>
      <c r="S115" s="44">
        <v>2239</v>
      </c>
      <c r="T115" s="44">
        <v>494934</v>
      </c>
      <c r="U115" s="44">
        <v>233050</v>
      </c>
      <c r="V115" s="44">
        <v>189759</v>
      </c>
      <c r="W115" s="44">
        <v>419627</v>
      </c>
      <c r="X115" s="44">
        <v>186046</v>
      </c>
      <c r="Y115" s="44">
        <v>1391352</v>
      </c>
      <c r="Z115" s="44">
        <v>412749</v>
      </c>
      <c r="AA115" s="44">
        <v>245449</v>
      </c>
      <c r="AB115" s="44">
        <v>239384</v>
      </c>
      <c r="AC115" s="44">
        <v>7702084</v>
      </c>
      <c r="AD115" s="44">
        <v>392941</v>
      </c>
      <c r="AE115" s="44">
        <v>370000</v>
      </c>
      <c r="AF115" s="44">
        <v>176156</v>
      </c>
      <c r="AG115" s="44">
        <v>8641181</v>
      </c>
      <c r="AH115" s="44">
        <v>458</v>
      </c>
      <c r="AI115" s="44">
        <v>18920</v>
      </c>
      <c r="AJ115" s="44">
        <v>18867</v>
      </c>
      <c r="AK115" s="44">
        <v>204126</v>
      </c>
      <c r="AL115" s="44">
        <v>60693</v>
      </c>
      <c r="AM115" s="44">
        <v>0.51600000000000001</v>
      </c>
      <c r="AN115" s="44">
        <v>0.50255526414734286</v>
      </c>
      <c r="AO115" s="44">
        <v>0.187</v>
      </c>
      <c r="AP115" s="44">
        <v>0.68955526414734281</v>
      </c>
      <c r="AQ115" s="44">
        <v>0.79510000000000003</v>
      </c>
      <c r="AR115" s="44">
        <v>19.38</v>
      </c>
    </row>
    <row r="116" spans="1:44">
      <c r="A116" t="s">
        <v>1585</v>
      </c>
      <c r="B116" t="s">
        <v>1586</v>
      </c>
      <c r="D116" t="s">
        <v>1639</v>
      </c>
      <c r="E116" s="44">
        <v>559093</v>
      </c>
      <c r="F116" s="44">
        <v>3924400</v>
      </c>
      <c r="G116" s="44">
        <v>469951</v>
      </c>
      <c r="H116" s="126">
        <v>4394351</v>
      </c>
      <c r="I116" s="127">
        <v>3349900</v>
      </c>
      <c r="J116" s="128">
        <v>288075</v>
      </c>
      <c r="K116" s="130">
        <v>8032326</v>
      </c>
      <c r="L116" s="44">
        <v>76860</v>
      </c>
      <c r="M116" s="44">
        <v>303240</v>
      </c>
      <c r="N116" s="44">
        <v>2346434</v>
      </c>
      <c r="O116" s="44">
        <v>95163</v>
      </c>
      <c r="P116" s="44">
        <v>0</v>
      </c>
      <c r="Q116" s="44">
        <v>828957</v>
      </c>
      <c r="R116" s="44">
        <v>56202</v>
      </c>
      <c r="S116" s="44">
        <v>260</v>
      </c>
      <c r="T116" s="44">
        <v>236385</v>
      </c>
      <c r="U116" s="44">
        <v>191415</v>
      </c>
      <c r="V116" s="44">
        <v>0</v>
      </c>
      <c r="W116" s="44">
        <v>371459</v>
      </c>
      <c r="X116" s="44">
        <v>215880</v>
      </c>
      <c r="Y116" s="44">
        <v>1119995</v>
      </c>
      <c r="Z116" s="44">
        <v>293579</v>
      </c>
      <c r="AA116" s="44">
        <v>270453</v>
      </c>
      <c r="AB116" s="44">
        <v>545575</v>
      </c>
      <c r="AC116" s="44">
        <v>6951857</v>
      </c>
      <c r="AD116" s="44">
        <v>523610</v>
      </c>
      <c r="AE116" s="44">
        <v>360000</v>
      </c>
      <c r="AF116" s="44">
        <v>176178</v>
      </c>
      <c r="AG116" s="44">
        <v>8011645</v>
      </c>
      <c r="AH116" s="44">
        <v>366</v>
      </c>
      <c r="AI116" s="44">
        <v>21946</v>
      </c>
      <c r="AJ116" s="44">
        <v>21890</v>
      </c>
      <c r="AK116" s="44">
        <v>315636</v>
      </c>
      <c r="AL116" s="44">
        <v>60266</v>
      </c>
      <c r="AM116" s="44">
        <v>0.65900000000000003</v>
      </c>
      <c r="AN116" s="44">
        <v>0.46866979253324381</v>
      </c>
      <c r="AO116" s="44">
        <v>0.16</v>
      </c>
      <c r="AP116" s="44">
        <v>0.62866979253324384</v>
      </c>
      <c r="AQ116" s="44">
        <v>0.78149999999999997</v>
      </c>
      <c r="AR116" s="44">
        <v>15.91</v>
      </c>
    </row>
    <row r="117" spans="1:44">
      <c r="A117" t="s">
        <v>1587</v>
      </c>
      <c r="B117" t="s">
        <v>1588</v>
      </c>
      <c r="D117" t="s">
        <v>1639</v>
      </c>
      <c r="E117" s="44">
        <v>1928041</v>
      </c>
      <c r="F117" s="44">
        <v>10509334</v>
      </c>
      <c r="G117" s="44">
        <v>939399</v>
      </c>
      <c r="H117" s="126">
        <v>11448733</v>
      </c>
      <c r="I117" s="127">
        <v>6760429</v>
      </c>
      <c r="J117" s="128">
        <v>1251633</v>
      </c>
      <c r="K117" s="130">
        <v>19460795</v>
      </c>
      <c r="L117" s="44">
        <v>89979</v>
      </c>
      <c r="M117" s="44">
        <v>411768</v>
      </c>
      <c r="N117" s="44">
        <v>4741798</v>
      </c>
      <c r="O117" s="44">
        <v>282966</v>
      </c>
      <c r="P117" s="44">
        <v>310511</v>
      </c>
      <c r="Q117" s="44">
        <v>1330684</v>
      </c>
      <c r="R117" s="44">
        <v>91784</v>
      </c>
      <c r="S117" s="44">
        <v>0</v>
      </c>
      <c r="T117" s="44">
        <v>1087189</v>
      </c>
      <c r="U117" s="44">
        <v>504911</v>
      </c>
      <c r="V117" s="44">
        <v>0</v>
      </c>
      <c r="W117" s="44">
        <v>3145187</v>
      </c>
      <c r="X117" s="44">
        <v>540481</v>
      </c>
      <c r="Y117" s="44">
        <v>2221007</v>
      </c>
      <c r="Z117" s="44">
        <v>909165</v>
      </c>
      <c r="AA117" s="44">
        <v>438350</v>
      </c>
      <c r="AB117" s="44">
        <v>0</v>
      </c>
      <c r="AC117" s="44">
        <v>16105780</v>
      </c>
      <c r="AD117" s="44">
        <v>474350</v>
      </c>
      <c r="AE117" s="44">
        <v>1493970</v>
      </c>
      <c r="AF117" s="44">
        <v>466880</v>
      </c>
      <c r="AG117" s="44">
        <v>18540980</v>
      </c>
      <c r="AH117" s="44">
        <v>1081</v>
      </c>
      <c r="AI117" s="44">
        <v>18003</v>
      </c>
      <c r="AJ117" s="44">
        <v>17152</v>
      </c>
      <c r="AK117" s="44">
        <v>212752</v>
      </c>
      <c r="AL117" s="44">
        <v>55545</v>
      </c>
      <c r="AM117" s="44">
        <v>0.50600000000000001</v>
      </c>
      <c r="AN117" s="44">
        <v>0.45034528919183342</v>
      </c>
      <c r="AO117" s="44">
        <v>0.16500000000000001</v>
      </c>
      <c r="AP117" s="44">
        <v>0.6153452891918334</v>
      </c>
      <c r="AQ117" s="44">
        <v>0.70689999999999997</v>
      </c>
      <c r="AR117" s="44">
        <v>17.25</v>
      </c>
    </row>
    <row r="118" spans="1:44">
      <c r="A118" t="s">
        <v>1589</v>
      </c>
      <c r="B118" t="s">
        <v>1590</v>
      </c>
      <c r="D118" t="s">
        <v>1639</v>
      </c>
      <c r="E118" s="44">
        <v>4477607</v>
      </c>
      <c r="F118" s="44">
        <v>22778150</v>
      </c>
      <c r="G118" s="44">
        <v>3728524</v>
      </c>
      <c r="H118" s="126">
        <v>26506674</v>
      </c>
      <c r="I118" s="127">
        <v>24156668</v>
      </c>
      <c r="J118" s="128">
        <v>2030644</v>
      </c>
      <c r="K118" s="130">
        <v>52693986</v>
      </c>
      <c r="L118" s="44">
        <v>195813</v>
      </c>
      <c r="M118" s="44">
        <v>614731</v>
      </c>
      <c r="N118" s="44">
        <v>15126762</v>
      </c>
      <c r="O118" s="44">
        <v>1217508</v>
      </c>
      <c r="P118" s="44">
        <v>1680678</v>
      </c>
      <c r="Q118" s="44">
        <v>3421798</v>
      </c>
      <c r="R118" s="44">
        <v>120858</v>
      </c>
      <c r="S118" s="44">
        <v>1317076</v>
      </c>
      <c r="T118" s="44">
        <v>2968407</v>
      </c>
      <c r="U118" s="44">
        <v>2953509</v>
      </c>
      <c r="V118" s="44">
        <v>109451</v>
      </c>
      <c r="W118" s="44">
        <v>2954633</v>
      </c>
      <c r="X118" s="44">
        <v>1627502</v>
      </c>
      <c r="Y118" s="44">
        <v>3938344</v>
      </c>
      <c r="Z118" s="44">
        <v>2711610</v>
      </c>
      <c r="AA118" s="44">
        <v>759731</v>
      </c>
      <c r="AB118" s="44">
        <v>60949</v>
      </c>
      <c r="AC118" s="44">
        <v>41779360</v>
      </c>
      <c r="AD118" s="44">
        <v>1855322</v>
      </c>
      <c r="AE118" s="44">
        <v>1410000</v>
      </c>
      <c r="AF118" s="44">
        <v>2707033</v>
      </c>
      <c r="AG118" s="44">
        <v>47751715</v>
      </c>
      <c r="AH118" s="44">
        <v>3457</v>
      </c>
      <c r="AI118" s="44">
        <v>15243</v>
      </c>
      <c r="AJ118" s="44">
        <v>13813</v>
      </c>
      <c r="AK118" s="44">
        <v>299356</v>
      </c>
      <c r="AL118" s="44">
        <v>91598</v>
      </c>
      <c r="AM118" s="44">
        <v>0.76700000000000002</v>
      </c>
      <c r="AN118" s="44">
        <v>0.60325783063498351</v>
      </c>
      <c r="AO118" s="44">
        <v>0.151</v>
      </c>
      <c r="AP118" s="44">
        <v>0.75425783063498353</v>
      </c>
      <c r="AQ118" s="44">
        <v>0.8619</v>
      </c>
      <c r="AR118" s="44">
        <v>13.81</v>
      </c>
    </row>
    <row r="119" spans="1:44">
      <c r="A119" t="s">
        <v>1591</v>
      </c>
      <c r="B119" t="s">
        <v>1592</v>
      </c>
      <c r="D119" t="s">
        <v>1639</v>
      </c>
      <c r="E119" s="44">
        <v>1294114</v>
      </c>
      <c r="F119" s="44">
        <v>10315964</v>
      </c>
      <c r="G119" s="44">
        <v>1885914</v>
      </c>
      <c r="H119" s="126">
        <v>12201878</v>
      </c>
      <c r="I119" s="127">
        <v>13288967</v>
      </c>
      <c r="J119" s="128">
        <v>699194</v>
      </c>
      <c r="K119" s="130">
        <v>26190039</v>
      </c>
      <c r="L119" s="44">
        <v>131615</v>
      </c>
      <c r="M119" s="44">
        <v>493206</v>
      </c>
      <c r="N119" s="44">
        <v>8490853</v>
      </c>
      <c r="O119" s="44">
        <v>631925</v>
      </c>
      <c r="P119" s="44">
        <v>592667</v>
      </c>
      <c r="Q119" s="44">
        <v>1400016</v>
      </c>
      <c r="R119" s="44">
        <v>100776</v>
      </c>
      <c r="S119" s="44">
        <v>519791</v>
      </c>
      <c r="T119" s="44">
        <v>1450671</v>
      </c>
      <c r="U119" s="44">
        <v>853832</v>
      </c>
      <c r="V119" s="44">
        <v>0</v>
      </c>
      <c r="W119" s="44">
        <v>1873081</v>
      </c>
      <c r="X119" s="44">
        <v>874823</v>
      </c>
      <c r="Y119" s="44">
        <v>2117484</v>
      </c>
      <c r="Z119" s="44">
        <v>1351206</v>
      </c>
      <c r="AA119" s="44">
        <v>349637</v>
      </c>
      <c r="AB119" s="44">
        <v>1120000</v>
      </c>
      <c r="AC119" s="44">
        <v>22351583</v>
      </c>
      <c r="AD119" s="44">
        <v>1748818</v>
      </c>
      <c r="AE119" s="44">
        <v>1432000</v>
      </c>
      <c r="AF119" s="44">
        <v>536874</v>
      </c>
      <c r="AG119" s="44">
        <v>26069275</v>
      </c>
      <c r="AH119" s="44">
        <v>1706</v>
      </c>
      <c r="AI119" s="44">
        <v>15352</v>
      </c>
      <c r="AJ119" s="44">
        <v>15281</v>
      </c>
      <c r="AK119" s="44">
        <v>299912</v>
      </c>
      <c r="AL119" s="44">
        <v>82225</v>
      </c>
      <c r="AM119" s="44">
        <v>0.72900000000000009</v>
      </c>
      <c r="AN119" s="44">
        <v>0.53858540369841512</v>
      </c>
      <c r="AO119" s="44">
        <v>0.14799999999999999</v>
      </c>
      <c r="AP119" s="44">
        <v>0.68658540369841514</v>
      </c>
      <c r="AQ119" s="44">
        <v>0.8417</v>
      </c>
      <c r="AR119" s="44">
        <v>14.33</v>
      </c>
    </row>
    <row r="120" spans="1:44">
      <c r="A120" t="s">
        <v>1593</v>
      </c>
      <c r="B120" t="s">
        <v>1594</v>
      </c>
      <c r="D120" t="s">
        <v>1639</v>
      </c>
      <c r="E120" s="44">
        <v>6400727</v>
      </c>
      <c r="F120" s="44">
        <v>21996781</v>
      </c>
      <c r="G120" s="44">
        <v>7170155</v>
      </c>
      <c r="H120" s="126">
        <v>29166936</v>
      </c>
      <c r="I120" s="127">
        <v>42032476</v>
      </c>
      <c r="J120" s="128">
        <v>2224348</v>
      </c>
      <c r="K120" s="130">
        <v>73423760</v>
      </c>
      <c r="L120" s="44">
        <v>335120</v>
      </c>
      <c r="M120" s="44">
        <v>825395</v>
      </c>
      <c r="N120" s="44">
        <v>23448797</v>
      </c>
      <c r="O120" s="44">
        <v>1191035</v>
      </c>
      <c r="P120" s="44">
        <v>1680038</v>
      </c>
      <c r="Q120" s="44">
        <v>5569235</v>
      </c>
      <c r="R120" s="44">
        <v>-83414</v>
      </c>
      <c r="S120" s="44">
        <v>1362613</v>
      </c>
      <c r="T120" s="44">
        <v>3329609</v>
      </c>
      <c r="U120" s="44">
        <v>2448074</v>
      </c>
      <c r="V120" s="44">
        <v>0</v>
      </c>
      <c r="W120" s="44">
        <v>4386553</v>
      </c>
      <c r="X120" s="44">
        <v>2338979</v>
      </c>
      <c r="Y120" s="44">
        <v>8039981</v>
      </c>
      <c r="Z120" s="44">
        <v>3746282</v>
      </c>
      <c r="AA120" s="44">
        <v>1117128</v>
      </c>
      <c r="AB120" s="44">
        <v>446048</v>
      </c>
      <c r="AC120" s="44">
        <v>60181473</v>
      </c>
      <c r="AD120" s="44">
        <v>4127422</v>
      </c>
      <c r="AE120" s="44">
        <v>2156693</v>
      </c>
      <c r="AF120" s="44">
        <v>1176724</v>
      </c>
      <c r="AG120" s="44">
        <v>67642312</v>
      </c>
      <c r="AH120" s="44">
        <v>4517</v>
      </c>
      <c r="AI120" s="44">
        <v>16255</v>
      </c>
      <c r="AJ120" s="44">
        <v>14975</v>
      </c>
      <c r="AK120" s="44">
        <v>364816</v>
      </c>
      <c r="AL120" s="44">
        <v>102442</v>
      </c>
      <c r="AM120" s="44">
        <v>0.89700000000000002</v>
      </c>
      <c r="AN120" s="44">
        <v>0.57576368767525277</v>
      </c>
      <c r="AO120" s="44">
        <v>0.17399999999999999</v>
      </c>
      <c r="AP120" s="44">
        <v>0.7497636876752527</v>
      </c>
      <c r="AQ120" s="44">
        <v>0.84340000000000004</v>
      </c>
      <c r="AR120" s="44">
        <v>16.14</v>
      </c>
    </row>
    <row r="121" spans="1:44">
      <c r="A121" t="s">
        <v>1323</v>
      </c>
      <c r="B121" t="s">
        <v>1324</v>
      </c>
      <c r="D121" t="s">
        <v>1639</v>
      </c>
      <c r="E121" s="44">
        <v>2275785</v>
      </c>
      <c r="F121" s="44">
        <v>6430519</v>
      </c>
      <c r="G121" s="44">
        <v>1042284</v>
      </c>
      <c r="H121" s="126">
        <v>7472803</v>
      </c>
      <c r="I121" s="127">
        <v>10493716</v>
      </c>
      <c r="J121" s="128">
        <v>448442</v>
      </c>
      <c r="K121" s="130">
        <v>18414961</v>
      </c>
      <c r="L121" s="44">
        <v>116543</v>
      </c>
      <c r="M121" s="44">
        <v>392027</v>
      </c>
      <c r="N121" s="44">
        <v>5258838</v>
      </c>
      <c r="O121" s="44">
        <v>269122</v>
      </c>
      <c r="P121" s="44">
        <v>288040</v>
      </c>
      <c r="Q121" s="44">
        <v>1127956</v>
      </c>
      <c r="R121" s="44">
        <v>46182</v>
      </c>
      <c r="S121" s="44">
        <v>227622</v>
      </c>
      <c r="T121" s="44">
        <v>1053878</v>
      </c>
      <c r="U121" s="44">
        <v>642342</v>
      </c>
      <c r="V121" s="44">
        <v>0</v>
      </c>
      <c r="W121" s="44">
        <v>1253253</v>
      </c>
      <c r="X121" s="44">
        <v>546007</v>
      </c>
      <c r="Y121" s="44">
        <v>3093101</v>
      </c>
      <c r="Z121" s="44">
        <v>1154075</v>
      </c>
      <c r="AA121" s="44">
        <v>155321</v>
      </c>
      <c r="AB121" s="44">
        <v>10328</v>
      </c>
      <c r="AC121" s="44">
        <v>15634635</v>
      </c>
      <c r="AD121" s="44">
        <v>979803</v>
      </c>
      <c r="AE121" s="44">
        <v>956172</v>
      </c>
      <c r="AF121" s="44">
        <v>692559</v>
      </c>
      <c r="AG121" s="44">
        <v>18263169</v>
      </c>
      <c r="AH121" s="44">
        <v>887</v>
      </c>
      <c r="AI121" s="44">
        <v>20761</v>
      </c>
      <c r="AJ121" s="44">
        <v>20590</v>
      </c>
      <c r="AK121" s="44">
        <v>574448</v>
      </c>
      <c r="AL121" s="44">
        <v>110726</v>
      </c>
      <c r="AM121" s="44">
        <v>1.2050000000000001</v>
      </c>
      <c r="AN121" s="44">
        <v>0.48808506344107094</v>
      </c>
      <c r="AO121" s="44">
        <v>0.214</v>
      </c>
      <c r="AP121" s="44">
        <v>0.70208506344107091</v>
      </c>
      <c r="AQ121" s="44">
        <v>0.8196</v>
      </c>
      <c r="AR121" s="44">
        <v>14.12</v>
      </c>
    </row>
    <row r="122" spans="1:44">
      <c r="A122" t="s">
        <v>1325</v>
      </c>
      <c r="B122" t="s">
        <v>1326</v>
      </c>
      <c r="D122" t="s">
        <v>1639</v>
      </c>
      <c r="E122" s="44">
        <v>424966</v>
      </c>
      <c r="F122" s="44">
        <v>5052074</v>
      </c>
      <c r="G122" s="44">
        <v>1954400</v>
      </c>
      <c r="H122" s="126">
        <v>7006474</v>
      </c>
      <c r="I122" s="127">
        <v>22042340</v>
      </c>
      <c r="J122" s="128">
        <v>364800</v>
      </c>
      <c r="K122" s="130">
        <v>29413614</v>
      </c>
      <c r="L122" s="44">
        <v>187099</v>
      </c>
      <c r="M122" s="44">
        <v>711309</v>
      </c>
      <c r="N122" s="44">
        <v>9682231</v>
      </c>
      <c r="O122" s="44">
        <v>727202</v>
      </c>
      <c r="P122" s="44">
        <v>737553</v>
      </c>
      <c r="Q122" s="44">
        <v>1792022</v>
      </c>
      <c r="R122" s="44">
        <v>141877</v>
      </c>
      <c r="S122" s="44">
        <v>780067</v>
      </c>
      <c r="T122" s="44">
        <v>1694880</v>
      </c>
      <c r="U122" s="44">
        <v>842388</v>
      </c>
      <c r="V122" s="44">
        <v>0</v>
      </c>
      <c r="W122" s="44">
        <v>1989909</v>
      </c>
      <c r="X122" s="44">
        <v>984232</v>
      </c>
      <c r="Y122" s="44">
        <v>3153988</v>
      </c>
      <c r="Z122" s="44">
        <v>1700005</v>
      </c>
      <c r="AA122" s="44">
        <v>341050</v>
      </c>
      <c r="AB122" s="44">
        <v>53422</v>
      </c>
      <c r="AC122" s="44">
        <v>25519234</v>
      </c>
      <c r="AD122" s="44">
        <v>1903537</v>
      </c>
      <c r="AE122" s="44">
        <v>1315956</v>
      </c>
      <c r="AF122" s="44">
        <v>721979</v>
      </c>
      <c r="AG122" s="44">
        <v>29460706</v>
      </c>
      <c r="AH122" s="44">
        <v>1508</v>
      </c>
      <c r="AI122" s="44">
        <v>19505</v>
      </c>
      <c r="AJ122" s="44">
        <v>19536</v>
      </c>
      <c r="AK122" s="44">
        <v>636578</v>
      </c>
      <c r="AL122" s="44">
        <v>141002</v>
      </c>
      <c r="AM122" s="44">
        <v>1.41</v>
      </c>
      <c r="AN122" s="44">
        <v>0.55661327328679766</v>
      </c>
      <c r="AO122" s="44">
        <v>0.16200000000000001</v>
      </c>
      <c r="AP122" s="44">
        <v>0.71861327328679769</v>
      </c>
      <c r="AQ122" s="44">
        <v>0.82830000000000004</v>
      </c>
      <c r="AR122" s="44">
        <v>15.69</v>
      </c>
    </row>
    <row r="123" spans="1:44">
      <c r="A123" t="s">
        <v>1327</v>
      </c>
      <c r="B123" t="s">
        <v>1328</v>
      </c>
      <c r="D123" t="s">
        <v>1639</v>
      </c>
      <c r="E123" s="44">
        <v>2066571</v>
      </c>
      <c r="F123" s="44">
        <v>7198170</v>
      </c>
      <c r="G123" s="44">
        <v>1268538</v>
      </c>
      <c r="H123" s="126">
        <v>8466708</v>
      </c>
      <c r="I123" s="127">
        <v>13505044</v>
      </c>
      <c r="J123" s="128">
        <v>606457</v>
      </c>
      <c r="K123" s="130">
        <v>22578209</v>
      </c>
      <c r="L123" s="44">
        <v>143106</v>
      </c>
      <c r="M123" s="44">
        <v>374644</v>
      </c>
      <c r="N123" s="44">
        <v>7523810</v>
      </c>
      <c r="O123" s="44">
        <v>334104</v>
      </c>
      <c r="P123" s="44">
        <v>556192</v>
      </c>
      <c r="Q123" s="44">
        <v>1972776</v>
      </c>
      <c r="R123" s="44">
        <v>86486</v>
      </c>
      <c r="S123" s="44">
        <v>412915</v>
      </c>
      <c r="T123" s="44">
        <v>1377808</v>
      </c>
      <c r="U123" s="44">
        <v>868700</v>
      </c>
      <c r="V123" s="44">
        <v>0</v>
      </c>
      <c r="W123" s="44">
        <v>1343187</v>
      </c>
      <c r="X123" s="44">
        <v>766800</v>
      </c>
      <c r="Y123" s="44">
        <v>2736574</v>
      </c>
      <c r="Z123" s="44">
        <v>1635089</v>
      </c>
      <c r="AA123" s="44">
        <v>301266</v>
      </c>
      <c r="AB123" s="44">
        <v>540000</v>
      </c>
      <c r="AC123" s="44">
        <v>20973457</v>
      </c>
      <c r="AD123" s="44">
        <v>1636825</v>
      </c>
      <c r="AE123" s="44">
        <v>0</v>
      </c>
      <c r="AF123" s="44">
        <v>0</v>
      </c>
      <c r="AG123" s="44">
        <v>22610282</v>
      </c>
      <c r="AH123" s="44">
        <v>1285</v>
      </c>
      <c r="AI123" s="44">
        <v>17571</v>
      </c>
      <c r="AJ123" s="44">
        <v>17596</v>
      </c>
      <c r="AK123" s="44">
        <v>540328</v>
      </c>
      <c r="AL123" s="44">
        <v>101524</v>
      </c>
      <c r="AM123" s="44">
        <v>1.1219999999999999</v>
      </c>
      <c r="AN123" s="44">
        <v>0.58083269372757051</v>
      </c>
      <c r="AO123" s="44">
        <v>0.188</v>
      </c>
      <c r="AP123" s="44">
        <v>0.76883269372757046</v>
      </c>
      <c r="AQ123" s="44">
        <v>0.84960000000000002</v>
      </c>
      <c r="AR123" s="44">
        <v>9.8800000000000008</v>
      </c>
    </row>
    <row r="124" spans="1:44">
      <c r="A124" t="s">
        <v>1329</v>
      </c>
      <c r="B124" t="s">
        <v>1330</v>
      </c>
      <c r="D124" t="s">
        <v>1639</v>
      </c>
      <c r="E124" s="44">
        <v>2629451</v>
      </c>
      <c r="F124" s="44">
        <v>47562468</v>
      </c>
      <c r="G124" s="44">
        <v>2929966</v>
      </c>
      <c r="H124" s="126">
        <v>50492434</v>
      </c>
      <c r="I124" s="127">
        <v>20346600</v>
      </c>
      <c r="J124" s="128">
        <v>6267079</v>
      </c>
      <c r="K124" s="130">
        <v>77106113</v>
      </c>
      <c r="L124" s="44">
        <v>343327</v>
      </c>
      <c r="M124" s="44">
        <v>1136876</v>
      </c>
      <c r="N124" s="44">
        <v>28731973</v>
      </c>
      <c r="O124" s="44">
        <v>1439663</v>
      </c>
      <c r="P124" s="44">
        <v>2473337</v>
      </c>
      <c r="Q124" s="44">
        <v>3390353</v>
      </c>
      <c r="R124" s="44">
        <v>1333177</v>
      </c>
      <c r="S124" s="44">
        <v>1459021</v>
      </c>
      <c r="T124" s="44">
        <v>6012610</v>
      </c>
      <c r="U124" s="44">
        <v>4640550</v>
      </c>
      <c r="V124" s="44">
        <v>48355</v>
      </c>
      <c r="W124" s="44">
        <v>3540126</v>
      </c>
      <c r="X124" s="44">
        <v>2540402</v>
      </c>
      <c r="Y124" s="44">
        <v>8579621</v>
      </c>
      <c r="Z124" s="44">
        <v>6111012</v>
      </c>
      <c r="AA124" s="44">
        <v>1144921</v>
      </c>
      <c r="AB124" s="44">
        <v>12841</v>
      </c>
      <c r="AC124" s="44">
        <v>72938165</v>
      </c>
      <c r="AD124" s="44">
        <v>1990678</v>
      </c>
      <c r="AE124" s="44">
        <v>515000</v>
      </c>
      <c r="AF124" s="44">
        <v>1391442</v>
      </c>
      <c r="AG124" s="44">
        <v>76835285</v>
      </c>
      <c r="AH124" s="44">
        <v>4676</v>
      </c>
      <c r="AI124" s="44">
        <v>16490</v>
      </c>
      <c r="AJ124" s="44">
        <v>16432</v>
      </c>
      <c r="AK124" s="44">
        <v>198164</v>
      </c>
      <c r="AL124" s="44">
        <v>75326</v>
      </c>
      <c r="AM124" s="44">
        <v>0.56800000000000006</v>
      </c>
      <c r="AN124" s="44">
        <v>0.64398386756813619</v>
      </c>
      <c r="AO124" s="44">
        <v>0.20599999999999999</v>
      </c>
      <c r="AP124" s="44">
        <v>0.84998386756813615</v>
      </c>
      <c r="AQ124" s="44">
        <v>0.89370000000000005</v>
      </c>
      <c r="AR124" s="44">
        <v>12.62</v>
      </c>
    </row>
    <row r="125" spans="1:44">
      <c r="A125" t="s">
        <v>1331</v>
      </c>
      <c r="B125" t="s">
        <v>1332</v>
      </c>
      <c r="D125" t="s">
        <v>1639</v>
      </c>
      <c r="E125" s="44">
        <v>3399964</v>
      </c>
      <c r="F125" s="44">
        <v>39669450</v>
      </c>
      <c r="G125" s="44">
        <v>11778230</v>
      </c>
      <c r="H125" s="126">
        <v>51447680</v>
      </c>
      <c r="I125" s="127">
        <v>92207632</v>
      </c>
      <c r="J125" s="128">
        <v>2959105</v>
      </c>
      <c r="K125" s="130">
        <v>146614417</v>
      </c>
      <c r="L125" s="44">
        <v>649510</v>
      </c>
      <c r="M125" s="44">
        <v>1698594</v>
      </c>
      <c r="N125" s="44">
        <v>51015008</v>
      </c>
      <c r="O125" s="44">
        <v>2275642</v>
      </c>
      <c r="P125" s="44">
        <v>3822104</v>
      </c>
      <c r="Q125" s="44">
        <v>10158931</v>
      </c>
      <c r="R125" s="44">
        <v>64020</v>
      </c>
      <c r="S125" s="44">
        <v>2654116</v>
      </c>
      <c r="T125" s="44">
        <v>5762249</v>
      </c>
      <c r="U125" s="44">
        <v>6147132</v>
      </c>
      <c r="V125" s="44">
        <v>0</v>
      </c>
      <c r="W125" s="44">
        <v>9171062</v>
      </c>
      <c r="X125" s="44">
        <v>4783174</v>
      </c>
      <c r="Y125" s="44">
        <v>17890195</v>
      </c>
      <c r="Z125" s="44">
        <v>10244452</v>
      </c>
      <c r="AA125" s="44">
        <v>2535266</v>
      </c>
      <c r="AB125" s="44">
        <v>0</v>
      </c>
      <c r="AC125" s="44">
        <v>128871455</v>
      </c>
      <c r="AD125" s="44">
        <v>9440999</v>
      </c>
      <c r="AE125" s="44">
        <v>5020000</v>
      </c>
      <c r="AF125" s="44">
        <v>3861858</v>
      </c>
      <c r="AG125" s="44">
        <v>147194312</v>
      </c>
      <c r="AH125" s="44">
        <v>10073</v>
      </c>
      <c r="AI125" s="44">
        <v>14555</v>
      </c>
      <c r="AJ125" s="44">
        <v>14613</v>
      </c>
      <c r="AK125" s="44">
        <v>376366</v>
      </c>
      <c r="AL125" s="44">
        <v>107707</v>
      </c>
      <c r="AM125" s="44">
        <v>0.93399999999999994</v>
      </c>
      <c r="AN125" s="44">
        <v>0.55640194846659563</v>
      </c>
      <c r="AO125" s="44">
        <v>0.182</v>
      </c>
      <c r="AP125" s="44">
        <v>0.73840194846659557</v>
      </c>
      <c r="AQ125" s="44">
        <v>0.84370000000000001</v>
      </c>
      <c r="AR125" s="44">
        <v>15.89</v>
      </c>
    </row>
    <row r="126" spans="1:44">
      <c r="A126" t="s">
        <v>1333</v>
      </c>
      <c r="B126" t="s">
        <v>1334</v>
      </c>
      <c r="D126" t="s">
        <v>1639</v>
      </c>
      <c r="E126" s="44">
        <v>2178331</v>
      </c>
      <c r="F126" s="44">
        <v>5601644</v>
      </c>
      <c r="G126" s="44">
        <v>2388990</v>
      </c>
      <c r="H126" s="126">
        <v>7990634</v>
      </c>
      <c r="I126" s="127">
        <v>23426426</v>
      </c>
      <c r="J126" s="128">
        <v>441439</v>
      </c>
      <c r="K126" s="130">
        <v>31858499</v>
      </c>
      <c r="L126" s="44">
        <v>207748</v>
      </c>
      <c r="M126" s="44">
        <v>713189</v>
      </c>
      <c r="N126" s="44">
        <v>10821145</v>
      </c>
      <c r="O126" s="44">
        <v>857344</v>
      </c>
      <c r="P126" s="44">
        <v>867295</v>
      </c>
      <c r="Q126" s="44">
        <v>2062942</v>
      </c>
      <c r="R126" s="44">
        <v>1290</v>
      </c>
      <c r="S126" s="44">
        <v>463098</v>
      </c>
      <c r="T126" s="44">
        <v>2142775</v>
      </c>
      <c r="U126" s="44">
        <v>1458638</v>
      </c>
      <c r="V126" s="44">
        <v>0</v>
      </c>
      <c r="W126" s="44">
        <v>2179374</v>
      </c>
      <c r="X126" s="44">
        <v>1150168</v>
      </c>
      <c r="Y126" s="44">
        <v>3892038</v>
      </c>
      <c r="Z126" s="44">
        <v>1641099</v>
      </c>
      <c r="AA126" s="44">
        <v>628958</v>
      </c>
      <c r="AB126" s="44">
        <v>35000</v>
      </c>
      <c r="AC126" s="44">
        <v>29122101</v>
      </c>
      <c r="AD126" s="44">
        <v>1303928</v>
      </c>
      <c r="AE126" s="44">
        <v>475088</v>
      </c>
      <c r="AF126" s="44">
        <v>415660</v>
      </c>
      <c r="AG126" s="44">
        <v>31316777</v>
      </c>
      <c r="AH126" s="44">
        <v>1805</v>
      </c>
      <c r="AI126" s="44">
        <v>17650</v>
      </c>
      <c r="AJ126" s="44">
        <v>17350</v>
      </c>
      <c r="AK126" s="44">
        <v>451444</v>
      </c>
      <c r="AL126" s="44">
        <v>106643</v>
      </c>
      <c r="AM126" s="44">
        <v>1.0269999999999999</v>
      </c>
      <c r="AN126" s="44">
        <v>0.59631062928346679</v>
      </c>
      <c r="AO126" s="44">
        <v>0.188</v>
      </c>
      <c r="AP126" s="44">
        <v>0.78431062928346673</v>
      </c>
      <c r="AQ126" s="44">
        <v>0.84289999999999998</v>
      </c>
      <c r="AR126" s="44">
        <v>20.55</v>
      </c>
    </row>
    <row r="127" spans="1:44">
      <c r="A127" t="s">
        <v>1335</v>
      </c>
      <c r="B127" t="s">
        <v>1336</v>
      </c>
      <c r="D127" t="s">
        <v>1639</v>
      </c>
      <c r="E127" s="44">
        <v>2337541</v>
      </c>
      <c r="F127" s="44">
        <v>14399306</v>
      </c>
      <c r="G127" s="44">
        <v>2796067</v>
      </c>
      <c r="H127" s="126">
        <v>17195373</v>
      </c>
      <c r="I127" s="127">
        <v>20605575</v>
      </c>
      <c r="J127" s="128">
        <v>862432</v>
      </c>
      <c r="K127" s="130">
        <v>38663380</v>
      </c>
      <c r="L127" s="44">
        <v>226053</v>
      </c>
      <c r="M127" s="44">
        <v>557306</v>
      </c>
      <c r="N127" s="44">
        <v>13436883</v>
      </c>
      <c r="O127" s="44">
        <v>380051</v>
      </c>
      <c r="P127" s="44">
        <v>1058837</v>
      </c>
      <c r="Q127" s="44">
        <v>1654300</v>
      </c>
      <c r="R127" s="44">
        <v>44590</v>
      </c>
      <c r="S127" s="44">
        <v>1079025</v>
      </c>
      <c r="T127" s="44">
        <v>2423921</v>
      </c>
      <c r="U127" s="44">
        <v>1718315</v>
      </c>
      <c r="V127" s="44">
        <v>0</v>
      </c>
      <c r="W127" s="44">
        <v>2459664</v>
      </c>
      <c r="X127" s="44">
        <v>1291301</v>
      </c>
      <c r="Y127" s="44">
        <v>4587472</v>
      </c>
      <c r="Z127" s="44">
        <v>2352838</v>
      </c>
      <c r="AA127" s="44">
        <v>374432</v>
      </c>
      <c r="AB127" s="44">
        <v>625000</v>
      </c>
      <c r="AC127" s="44">
        <v>34269988</v>
      </c>
      <c r="AD127" s="44">
        <v>1764590</v>
      </c>
      <c r="AE127" s="44">
        <v>1670000</v>
      </c>
      <c r="AF127" s="44">
        <v>994606</v>
      </c>
      <c r="AG127" s="44">
        <v>38699184</v>
      </c>
      <c r="AH127" s="44">
        <v>2335</v>
      </c>
      <c r="AI127" s="44">
        <v>16558</v>
      </c>
      <c r="AJ127" s="44">
        <v>16574</v>
      </c>
      <c r="AK127" s="44">
        <v>339403</v>
      </c>
      <c r="AL127" s="44">
        <v>89031</v>
      </c>
      <c r="AM127" s="44">
        <v>0.80899999999999994</v>
      </c>
      <c r="AN127" s="44">
        <v>0.56321399438293063</v>
      </c>
      <c r="AO127" s="44">
        <v>0.185</v>
      </c>
      <c r="AP127" s="44">
        <v>0.74821399438293068</v>
      </c>
      <c r="AQ127" s="44">
        <v>0.85929999999999995</v>
      </c>
      <c r="AR127" s="44">
        <v>14.43</v>
      </c>
    </row>
    <row r="128" spans="1:44">
      <c r="A128" t="s">
        <v>1337</v>
      </c>
      <c r="B128" t="s">
        <v>1338</v>
      </c>
      <c r="D128" t="s">
        <v>1639</v>
      </c>
      <c r="E128" s="44">
        <v>1466894</v>
      </c>
      <c r="F128" s="44">
        <v>3241069</v>
      </c>
      <c r="G128" s="44">
        <v>1936106</v>
      </c>
      <c r="H128" s="126">
        <v>5177175</v>
      </c>
      <c r="I128" s="127">
        <v>18646110</v>
      </c>
      <c r="J128" s="128">
        <v>527799</v>
      </c>
      <c r="K128" s="130">
        <v>24351084</v>
      </c>
      <c r="L128" s="44">
        <v>98097</v>
      </c>
      <c r="M128" s="44">
        <v>562076</v>
      </c>
      <c r="N128" s="44">
        <v>7891450</v>
      </c>
      <c r="O128" s="44">
        <v>459384</v>
      </c>
      <c r="P128" s="44">
        <v>519171</v>
      </c>
      <c r="Q128" s="44">
        <v>1220761</v>
      </c>
      <c r="R128" s="44">
        <v>9076</v>
      </c>
      <c r="S128" s="44">
        <v>243575</v>
      </c>
      <c r="T128" s="44">
        <v>1469475</v>
      </c>
      <c r="U128" s="44">
        <v>981839</v>
      </c>
      <c r="V128" s="44">
        <v>0</v>
      </c>
      <c r="W128" s="44">
        <v>1483315</v>
      </c>
      <c r="X128" s="44">
        <v>815624</v>
      </c>
      <c r="Y128" s="44">
        <v>2179943</v>
      </c>
      <c r="Z128" s="44">
        <v>1398082</v>
      </c>
      <c r="AA128" s="44">
        <v>464484</v>
      </c>
      <c r="AB128" s="44">
        <v>11801</v>
      </c>
      <c r="AC128" s="44">
        <v>19808153</v>
      </c>
      <c r="AD128" s="44">
        <v>1312634</v>
      </c>
      <c r="AE128" s="44">
        <v>986526</v>
      </c>
      <c r="AF128" s="44">
        <v>1143140</v>
      </c>
      <c r="AG128" s="44">
        <v>23250453</v>
      </c>
      <c r="AH128" s="44">
        <v>1248</v>
      </c>
      <c r="AI128" s="44">
        <v>19512</v>
      </c>
      <c r="AJ128" s="44">
        <v>18630</v>
      </c>
      <c r="AK128" s="44">
        <v>769448</v>
      </c>
      <c r="AL128" s="44">
        <v>215369</v>
      </c>
      <c r="AM128" s="44">
        <v>1.89</v>
      </c>
      <c r="AN128" s="44">
        <v>0.55030028877286818</v>
      </c>
      <c r="AO128" s="44">
        <v>0.16700000000000001</v>
      </c>
      <c r="AP128" s="44">
        <v>0.71730028877286822</v>
      </c>
      <c r="AQ128" s="44">
        <v>0.84209999999999996</v>
      </c>
      <c r="AR128" s="44">
        <v>12.64</v>
      </c>
    </row>
    <row r="129" spans="1:44">
      <c r="A129" t="s">
        <v>1339</v>
      </c>
      <c r="B129" t="s">
        <v>1340</v>
      </c>
      <c r="D129" t="s">
        <v>1639</v>
      </c>
      <c r="E129" s="44">
        <v>3891017</v>
      </c>
      <c r="F129" s="44">
        <v>42513256</v>
      </c>
      <c r="G129" s="44">
        <v>11700881</v>
      </c>
      <c r="H129" s="126">
        <v>54214137</v>
      </c>
      <c r="I129" s="127">
        <v>101073561</v>
      </c>
      <c r="J129" s="128">
        <v>3668230</v>
      </c>
      <c r="K129" s="130">
        <v>158955928</v>
      </c>
      <c r="L129" s="44">
        <v>496937</v>
      </c>
      <c r="M129" s="44">
        <v>1865695</v>
      </c>
      <c r="N129" s="44">
        <v>53153526</v>
      </c>
      <c r="O129" s="44">
        <v>4617162</v>
      </c>
      <c r="P129" s="44">
        <v>4168625</v>
      </c>
      <c r="Q129" s="44">
        <v>6228188</v>
      </c>
      <c r="R129" s="44">
        <v>64499</v>
      </c>
      <c r="S129" s="44">
        <v>3051691</v>
      </c>
      <c r="T129" s="44">
        <v>8020212</v>
      </c>
      <c r="U129" s="44">
        <v>4748281</v>
      </c>
      <c r="V129" s="44">
        <v>0</v>
      </c>
      <c r="W129" s="44">
        <v>9632344</v>
      </c>
      <c r="X129" s="44">
        <v>5098345</v>
      </c>
      <c r="Y129" s="44">
        <v>23525222</v>
      </c>
      <c r="Z129" s="44">
        <v>15805485</v>
      </c>
      <c r="AA129" s="44">
        <v>3136509</v>
      </c>
      <c r="AB129" s="44">
        <v>524079</v>
      </c>
      <c r="AC129" s="44">
        <v>144136800</v>
      </c>
      <c r="AD129" s="44">
        <v>10181730</v>
      </c>
      <c r="AE129" s="44">
        <v>2385000</v>
      </c>
      <c r="AF129" s="44">
        <v>1223458</v>
      </c>
      <c r="AG129" s="44">
        <v>157926988</v>
      </c>
      <c r="AH129" s="44">
        <v>12171</v>
      </c>
      <c r="AI129" s="44">
        <v>13060</v>
      </c>
      <c r="AJ129" s="44">
        <v>12976</v>
      </c>
      <c r="AK129" s="44">
        <v>443527</v>
      </c>
      <c r="AL129" s="44">
        <v>121192</v>
      </c>
      <c r="AM129" s="44">
        <v>1.077</v>
      </c>
      <c r="AN129" s="44">
        <v>0.53222178846341328</v>
      </c>
      <c r="AO129" s="44">
        <v>0.23100000000000001</v>
      </c>
      <c r="AP129" s="44">
        <v>0.76322178846341326</v>
      </c>
      <c r="AQ129" s="44">
        <v>0.83940000000000003</v>
      </c>
      <c r="AR129" s="44">
        <v>12.2</v>
      </c>
    </row>
    <row r="130" spans="1:44">
      <c r="A130" t="s">
        <v>1341</v>
      </c>
      <c r="B130" t="s">
        <v>1342</v>
      </c>
      <c r="D130" t="s">
        <v>1639</v>
      </c>
      <c r="E130" s="44">
        <v>1338256</v>
      </c>
      <c r="F130" s="44">
        <v>2713194</v>
      </c>
      <c r="G130" s="44">
        <v>1145211</v>
      </c>
      <c r="H130" s="126">
        <v>3858405</v>
      </c>
      <c r="I130" s="127">
        <v>19282223</v>
      </c>
      <c r="J130" s="128">
        <v>454502</v>
      </c>
      <c r="K130" s="130">
        <v>23595130</v>
      </c>
      <c r="L130" s="44">
        <v>133763</v>
      </c>
      <c r="M130" s="44">
        <v>494447</v>
      </c>
      <c r="N130" s="44">
        <v>6172054</v>
      </c>
      <c r="O130" s="44">
        <v>432862</v>
      </c>
      <c r="P130" s="44">
        <v>380781</v>
      </c>
      <c r="Q130" s="44">
        <v>1515200</v>
      </c>
      <c r="R130" s="44">
        <v>0</v>
      </c>
      <c r="S130" s="44">
        <v>2143955</v>
      </c>
      <c r="T130" s="44">
        <v>802804</v>
      </c>
      <c r="U130" s="44">
        <v>678755</v>
      </c>
      <c r="V130" s="44">
        <v>0</v>
      </c>
      <c r="W130" s="44">
        <v>1273207</v>
      </c>
      <c r="X130" s="44">
        <v>629279</v>
      </c>
      <c r="Y130" s="44">
        <v>2803208</v>
      </c>
      <c r="Z130" s="44">
        <v>847655</v>
      </c>
      <c r="AA130" s="44">
        <v>299366</v>
      </c>
      <c r="AB130" s="44">
        <v>88495</v>
      </c>
      <c r="AC130" s="44">
        <v>18695831</v>
      </c>
      <c r="AD130" s="44">
        <v>2292362</v>
      </c>
      <c r="AE130" s="44">
        <v>755000</v>
      </c>
      <c r="AF130" s="44">
        <v>980874</v>
      </c>
      <c r="AG130" s="44">
        <v>22724067</v>
      </c>
      <c r="AH130" s="44">
        <v>1193</v>
      </c>
      <c r="AI130" s="44">
        <v>19778</v>
      </c>
      <c r="AJ130" s="44">
        <v>19048</v>
      </c>
      <c r="AK130" s="44">
        <v>834445</v>
      </c>
      <c r="AL130" s="44">
        <v>164890</v>
      </c>
      <c r="AM130" s="44">
        <v>1.7669999999999999</v>
      </c>
      <c r="AN130" s="44">
        <v>0.53363735461614337</v>
      </c>
      <c r="AO130" s="44">
        <v>0.16600000000000001</v>
      </c>
      <c r="AP130" s="44">
        <v>0.6996373546161434</v>
      </c>
      <c r="AQ130" s="44">
        <v>0.85019999999999996</v>
      </c>
      <c r="AR130" s="44">
        <v>12.28</v>
      </c>
    </row>
    <row r="131" spans="1:44">
      <c r="A131" t="s">
        <v>1343</v>
      </c>
      <c r="B131" t="s">
        <v>1344</v>
      </c>
      <c r="D131" t="s">
        <v>1639</v>
      </c>
      <c r="E131" s="44">
        <v>1770706</v>
      </c>
      <c r="F131" s="44">
        <v>14127640</v>
      </c>
      <c r="G131" s="44">
        <v>2436939</v>
      </c>
      <c r="H131" s="126">
        <v>16564579</v>
      </c>
      <c r="I131" s="127">
        <v>11114806</v>
      </c>
      <c r="J131" s="128">
        <v>824200</v>
      </c>
      <c r="K131" s="130">
        <v>28503585</v>
      </c>
      <c r="L131" s="44">
        <v>137958</v>
      </c>
      <c r="M131" s="44">
        <v>600452</v>
      </c>
      <c r="N131" s="44">
        <v>9397426</v>
      </c>
      <c r="O131" s="44">
        <v>513293</v>
      </c>
      <c r="P131" s="44">
        <v>692224</v>
      </c>
      <c r="Q131" s="44">
        <v>1827076</v>
      </c>
      <c r="R131" s="44">
        <v>0</v>
      </c>
      <c r="S131" s="44">
        <v>428603</v>
      </c>
      <c r="T131" s="44">
        <v>1673000</v>
      </c>
      <c r="U131" s="44">
        <v>1069632</v>
      </c>
      <c r="V131" s="44">
        <v>0</v>
      </c>
      <c r="W131" s="44">
        <v>2065381</v>
      </c>
      <c r="X131" s="44">
        <v>928626</v>
      </c>
      <c r="Y131" s="44">
        <v>1969056</v>
      </c>
      <c r="Z131" s="44">
        <v>2145096</v>
      </c>
      <c r="AA131" s="44">
        <v>605046</v>
      </c>
      <c r="AB131" s="44">
        <v>0</v>
      </c>
      <c r="AC131" s="44">
        <v>24052869</v>
      </c>
      <c r="AD131" s="44">
        <v>1664708</v>
      </c>
      <c r="AE131" s="44">
        <v>2064007</v>
      </c>
      <c r="AF131" s="44">
        <v>814049</v>
      </c>
      <c r="AG131" s="44">
        <v>28595633</v>
      </c>
      <c r="AH131" s="44">
        <v>2034</v>
      </c>
      <c r="AI131" s="44">
        <v>14014</v>
      </c>
      <c r="AJ131" s="44">
        <v>14059</v>
      </c>
      <c r="AK131" s="44">
        <v>213886</v>
      </c>
      <c r="AL131" s="44">
        <v>85911</v>
      </c>
      <c r="AM131" s="44">
        <v>0.63100000000000001</v>
      </c>
      <c r="AN131" s="44">
        <v>0.54558169773685372</v>
      </c>
      <c r="AO131" s="44">
        <v>0.14199999999999999</v>
      </c>
      <c r="AP131" s="44">
        <v>0.68758169773685374</v>
      </c>
      <c r="AQ131" s="44">
        <v>0.8175</v>
      </c>
      <c r="AR131" s="44">
        <v>18.059999999999999</v>
      </c>
    </row>
    <row r="132" spans="1:44">
      <c r="A132" t="s">
        <v>2042</v>
      </c>
      <c r="B132" t="s">
        <v>1345</v>
      </c>
      <c r="D132" t="s">
        <v>1639</v>
      </c>
      <c r="E132" s="44">
        <v>1211166</v>
      </c>
      <c r="F132" s="44">
        <v>9094320</v>
      </c>
      <c r="G132" s="44">
        <v>4895211</v>
      </c>
      <c r="H132" s="126">
        <v>13989531</v>
      </c>
      <c r="I132" s="127">
        <v>24799252</v>
      </c>
      <c r="J132" s="128">
        <v>1797448</v>
      </c>
      <c r="K132" s="130">
        <v>40586231</v>
      </c>
      <c r="L132" s="44">
        <v>205920</v>
      </c>
      <c r="M132" s="44">
        <v>859526</v>
      </c>
      <c r="N132" s="44">
        <v>14284417</v>
      </c>
      <c r="O132" s="44">
        <v>1369596</v>
      </c>
      <c r="P132" s="44">
        <v>1050646</v>
      </c>
      <c r="Q132" s="44">
        <v>976853</v>
      </c>
      <c r="R132" s="44">
        <v>1108213</v>
      </c>
      <c r="S132" s="44">
        <v>0</v>
      </c>
      <c r="T132" s="44">
        <v>3570232</v>
      </c>
      <c r="U132" s="44">
        <v>1759599</v>
      </c>
      <c r="V132" s="44">
        <v>4621</v>
      </c>
      <c r="W132" s="44">
        <v>3320121</v>
      </c>
      <c r="X132" s="44">
        <v>1479629</v>
      </c>
      <c r="Y132" s="44">
        <v>2965756</v>
      </c>
      <c r="Z132" s="44">
        <v>2503301</v>
      </c>
      <c r="AA132" s="44">
        <v>689233</v>
      </c>
      <c r="AB132" s="44">
        <v>0</v>
      </c>
      <c r="AC132" s="44">
        <v>36147663</v>
      </c>
      <c r="AD132" s="44">
        <v>2229377</v>
      </c>
      <c r="AE132" s="44">
        <v>1400000</v>
      </c>
      <c r="AF132" s="44">
        <v>672666</v>
      </c>
      <c r="AG132" s="44">
        <v>40449706</v>
      </c>
      <c r="AH132" s="44">
        <v>3173</v>
      </c>
      <c r="AI132" s="44">
        <v>12791</v>
      </c>
      <c r="AJ132" s="44">
        <v>12748</v>
      </c>
      <c r="AK132" s="44">
        <v>293413</v>
      </c>
      <c r="AL132" s="44">
        <v>187260</v>
      </c>
      <c r="AM132" s="44">
        <v>1.151</v>
      </c>
      <c r="AN132" s="44">
        <v>0.59628507559486343</v>
      </c>
      <c r="AO132" s="44">
        <v>0.153</v>
      </c>
      <c r="AP132" s="44">
        <v>0.74928507559486346</v>
      </c>
      <c r="AQ132" s="44">
        <v>0.83320000000000005</v>
      </c>
      <c r="AR132" s="44">
        <v>20.14</v>
      </c>
    </row>
    <row r="133" spans="1:44">
      <c r="A133" t="s">
        <v>2044</v>
      </c>
      <c r="B133" t="s">
        <v>1346</v>
      </c>
      <c r="D133" t="s">
        <v>1639</v>
      </c>
      <c r="E133" s="44">
        <v>7307000</v>
      </c>
      <c r="F133" s="44">
        <v>31384175</v>
      </c>
      <c r="G133" s="44">
        <v>13627036</v>
      </c>
      <c r="H133" s="126">
        <v>45011211</v>
      </c>
      <c r="I133" s="127">
        <v>100316210</v>
      </c>
      <c r="J133" s="128">
        <v>3953782</v>
      </c>
      <c r="K133" s="130">
        <v>149281203</v>
      </c>
      <c r="L133" s="44">
        <v>369565</v>
      </c>
      <c r="M133" s="44">
        <v>1494677</v>
      </c>
      <c r="N133" s="44">
        <v>52715098</v>
      </c>
      <c r="O133" s="44">
        <v>2492892</v>
      </c>
      <c r="P133" s="44">
        <v>2846598</v>
      </c>
      <c r="Q133" s="44">
        <v>4779485</v>
      </c>
      <c r="R133" s="44">
        <v>2665414</v>
      </c>
      <c r="S133" s="44">
        <v>0</v>
      </c>
      <c r="T133" s="44">
        <v>10338658</v>
      </c>
      <c r="U133" s="44">
        <v>4630874</v>
      </c>
      <c r="V133" s="44">
        <v>93</v>
      </c>
      <c r="W133" s="44">
        <v>11654726</v>
      </c>
      <c r="X133" s="44">
        <v>5371020</v>
      </c>
      <c r="Y133" s="44">
        <v>11548868</v>
      </c>
      <c r="Z133" s="44">
        <v>8045438</v>
      </c>
      <c r="AA133" s="44">
        <v>3297597</v>
      </c>
      <c r="AB133" s="44">
        <v>1206844</v>
      </c>
      <c r="AC133" s="44">
        <v>123457847</v>
      </c>
      <c r="AD133" s="44">
        <v>7081013</v>
      </c>
      <c r="AE133" s="44">
        <v>5629409</v>
      </c>
      <c r="AF133" s="44">
        <v>1628289</v>
      </c>
      <c r="AG133" s="44">
        <v>137796558</v>
      </c>
      <c r="AH133" s="44">
        <v>10826</v>
      </c>
      <c r="AI133" s="44">
        <v>13789</v>
      </c>
      <c r="AJ133" s="44">
        <v>12728</v>
      </c>
      <c r="AK133" s="44">
        <v>330908</v>
      </c>
      <c r="AL133" s="44">
        <v>170380</v>
      </c>
      <c r="AM133" s="44">
        <v>1.131</v>
      </c>
      <c r="AN133" s="44">
        <v>0.58396973166775323</v>
      </c>
      <c r="AO133" s="44">
        <v>0.159</v>
      </c>
      <c r="AP133" s="44">
        <v>0.74296973166775326</v>
      </c>
      <c r="AQ133" s="44">
        <v>0.83389999999999997</v>
      </c>
      <c r="AR133" s="44">
        <v>21.25</v>
      </c>
    </row>
    <row r="134" spans="1:44">
      <c r="A134" t="s">
        <v>2040</v>
      </c>
      <c r="B134" t="s">
        <v>1347</v>
      </c>
      <c r="D134" t="s">
        <v>1639</v>
      </c>
      <c r="E134" s="44">
        <v>3449624</v>
      </c>
      <c r="F134" s="44">
        <v>20732445</v>
      </c>
      <c r="G134" s="44">
        <v>3976974</v>
      </c>
      <c r="H134" s="126">
        <v>24709419</v>
      </c>
      <c r="I134" s="127">
        <v>34620584</v>
      </c>
      <c r="J134" s="128">
        <v>2002298</v>
      </c>
      <c r="K134" s="130">
        <v>61332301</v>
      </c>
      <c r="L134" s="44">
        <v>171766</v>
      </c>
      <c r="M134" s="44">
        <v>1104387</v>
      </c>
      <c r="N134" s="44">
        <v>20653574</v>
      </c>
      <c r="O134" s="44">
        <v>1355068</v>
      </c>
      <c r="P134" s="44">
        <v>1144209</v>
      </c>
      <c r="Q134" s="44">
        <v>1366109</v>
      </c>
      <c r="R134" s="44">
        <v>82906</v>
      </c>
      <c r="S134" s="44">
        <v>498199</v>
      </c>
      <c r="T134" s="44">
        <v>4369817</v>
      </c>
      <c r="U134" s="44">
        <v>2339224</v>
      </c>
      <c r="V134" s="44">
        <v>24372</v>
      </c>
      <c r="W134" s="44">
        <v>4599606</v>
      </c>
      <c r="X134" s="44">
        <v>2029578</v>
      </c>
      <c r="Y134" s="44">
        <v>3457473</v>
      </c>
      <c r="Z134" s="44">
        <v>3595805</v>
      </c>
      <c r="AA134" s="44">
        <v>1838655</v>
      </c>
      <c r="AB134" s="44">
        <v>32418</v>
      </c>
      <c r="AC134" s="44">
        <v>48663166</v>
      </c>
      <c r="AD134" s="44">
        <v>3395857</v>
      </c>
      <c r="AE134" s="44">
        <v>3672000</v>
      </c>
      <c r="AF134" s="44">
        <v>2058786</v>
      </c>
      <c r="AG134" s="44">
        <v>57789809</v>
      </c>
      <c r="AH134" s="44">
        <v>3811</v>
      </c>
      <c r="AI134" s="44">
        <v>16093</v>
      </c>
      <c r="AJ134" s="44">
        <v>15164</v>
      </c>
      <c r="AK134" s="44">
        <v>329907</v>
      </c>
      <c r="AL134" s="44">
        <v>96055</v>
      </c>
      <c r="AM134" s="44">
        <v>0.82499999999999996</v>
      </c>
      <c r="AN134" s="44">
        <v>0.5504276022092407</v>
      </c>
      <c r="AO134" s="44">
        <v>0.129</v>
      </c>
      <c r="AP134" s="44">
        <v>0.6794276022092407</v>
      </c>
      <c r="AQ134" s="44">
        <v>0.80659999999999998</v>
      </c>
      <c r="AR134" s="44">
        <v>20.68</v>
      </c>
    </row>
    <row r="135" spans="1:44">
      <c r="A135" t="s">
        <v>1348</v>
      </c>
      <c r="B135" t="s">
        <v>1349</v>
      </c>
      <c r="D135" t="s">
        <v>1639</v>
      </c>
      <c r="E135" s="44">
        <v>1576855</v>
      </c>
      <c r="F135" s="44">
        <v>6791086</v>
      </c>
      <c r="G135" s="44">
        <v>2106722</v>
      </c>
      <c r="H135" s="126">
        <v>8897808</v>
      </c>
      <c r="I135" s="127">
        <v>16285420</v>
      </c>
      <c r="J135" s="128">
        <v>634959</v>
      </c>
      <c r="K135" s="130">
        <v>25818187</v>
      </c>
      <c r="L135" s="44">
        <v>102660</v>
      </c>
      <c r="M135" s="44">
        <v>607403</v>
      </c>
      <c r="N135" s="44">
        <v>8385808</v>
      </c>
      <c r="O135" s="44">
        <v>344039</v>
      </c>
      <c r="P135" s="44">
        <v>860242</v>
      </c>
      <c r="Q135" s="44">
        <v>2070263</v>
      </c>
      <c r="R135" s="44">
        <v>99653</v>
      </c>
      <c r="S135" s="44">
        <v>187274</v>
      </c>
      <c r="T135" s="44">
        <v>1709227</v>
      </c>
      <c r="U135" s="44">
        <v>1241177</v>
      </c>
      <c r="V135" s="44">
        <v>0</v>
      </c>
      <c r="W135" s="44">
        <v>1862815</v>
      </c>
      <c r="X135" s="44">
        <v>819380</v>
      </c>
      <c r="Y135" s="44">
        <v>1929132</v>
      </c>
      <c r="Z135" s="44">
        <v>1263853</v>
      </c>
      <c r="AA135" s="44">
        <v>515451</v>
      </c>
      <c r="AB135" s="44">
        <v>780230</v>
      </c>
      <c r="AC135" s="44">
        <v>22778607</v>
      </c>
      <c r="AD135" s="44">
        <v>1403478</v>
      </c>
      <c r="AE135" s="44">
        <v>875000</v>
      </c>
      <c r="AF135" s="44">
        <v>442475</v>
      </c>
      <c r="AG135" s="44">
        <v>25499560</v>
      </c>
      <c r="AH135" s="44">
        <v>1983</v>
      </c>
      <c r="AI135" s="44">
        <v>13020</v>
      </c>
      <c r="AJ135" s="44">
        <v>12859</v>
      </c>
      <c r="AK135" s="44">
        <v>351465</v>
      </c>
      <c r="AL135" s="44">
        <v>142925</v>
      </c>
      <c r="AM135" s="44">
        <v>1.0449999999999999</v>
      </c>
      <c r="AN135" s="44">
        <v>0.58423294362726264</v>
      </c>
      <c r="AO135" s="44">
        <v>0.13800000000000001</v>
      </c>
      <c r="AP135" s="44">
        <v>0.72223294362726265</v>
      </c>
      <c r="AQ135" s="44">
        <v>0.8367</v>
      </c>
      <c r="AR135" s="44">
        <v>17.059999999999999</v>
      </c>
    </row>
    <row r="136" spans="1:44" s="1" customFormat="1">
      <c r="A136" s="1" t="s">
        <v>2151</v>
      </c>
      <c r="B136" s="1" t="s">
        <v>1350</v>
      </c>
      <c r="D136" s="1" t="s">
        <v>1639</v>
      </c>
      <c r="E136" s="44">
        <v>0</v>
      </c>
      <c r="F136" s="44">
        <v>530568572</v>
      </c>
      <c r="G136" s="44">
        <v>17890144</v>
      </c>
      <c r="H136" s="68">
        <v>548458716</v>
      </c>
      <c r="I136" s="68">
        <v>106159756</v>
      </c>
      <c r="J136" s="68">
        <v>69637969</v>
      </c>
      <c r="K136" s="130">
        <v>724256441</v>
      </c>
      <c r="L136" s="44">
        <v>1124485</v>
      </c>
      <c r="M136" s="44">
        <v>5482736</v>
      </c>
      <c r="N136" s="44">
        <v>185554106</v>
      </c>
      <c r="O136" s="44">
        <v>10873081</v>
      </c>
      <c r="P136" s="44">
        <v>15060223</v>
      </c>
      <c r="Q136" s="44">
        <v>3072955</v>
      </c>
      <c r="R136" s="44">
        <v>2295289</v>
      </c>
      <c r="S136" s="44">
        <v>28002901</v>
      </c>
      <c r="T136" s="44">
        <v>39012192</v>
      </c>
      <c r="U136" s="44">
        <v>102207761</v>
      </c>
      <c r="V136" s="44">
        <v>21681</v>
      </c>
      <c r="W136" s="44">
        <v>55838435</v>
      </c>
      <c r="X136" s="44">
        <v>16402756</v>
      </c>
      <c r="Y136" s="44">
        <v>60734147</v>
      </c>
      <c r="Z136" s="44">
        <v>56613619</v>
      </c>
      <c r="AA136" s="44">
        <v>5294874</v>
      </c>
      <c r="AB136" s="44">
        <v>1678959</v>
      </c>
      <c r="AC136" s="44">
        <v>589270200</v>
      </c>
      <c r="AD136" s="44">
        <v>43516340</v>
      </c>
      <c r="AE136" s="44">
        <v>26052460</v>
      </c>
      <c r="AF136" s="44">
        <v>32325277</v>
      </c>
      <c r="AG136" s="44">
        <v>691164277</v>
      </c>
      <c r="AH136" s="44">
        <v>42877</v>
      </c>
      <c r="AI136" s="44">
        <v>16891</v>
      </c>
      <c r="AJ136" s="44">
        <v>16120</v>
      </c>
      <c r="AK136" s="44">
        <v>105740</v>
      </c>
      <c r="AL136" s="44">
        <v>57899</v>
      </c>
      <c r="AM136" s="44">
        <v>0.375</v>
      </c>
      <c r="AN136" s="44">
        <v>0.55859152570178339</v>
      </c>
      <c r="AO136" s="44">
        <v>0.17599999999999999</v>
      </c>
      <c r="AP136" s="44">
        <v>0.73459152570178343</v>
      </c>
      <c r="AQ136" s="44">
        <v>0.86329999999999996</v>
      </c>
      <c r="AR136" s="44">
        <v>18.98</v>
      </c>
    </row>
    <row r="137" spans="1:44">
      <c r="A137" t="s">
        <v>2153</v>
      </c>
      <c r="B137" t="s">
        <v>1351</v>
      </c>
      <c r="D137" t="s">
        <v>1639</v>
      </c>
      <c r="E137" s="44">
        <v>1936853</v>
      </c>
      <c r="F137" s="44">
        <v>10365531</v>
      </c>
      <c r="G137" s="44">
        <v>3711781</v>
      </c>
      <c r="H137" s="126">
        <v>14077312</v>
      </c>
      <c r="I137" s="127">
        <v>20024407</v>
      </c>
      <c r="J137" s="128">
        <v>969839</v>
      </c>
      <c r="K137" s="130">
        <v>35071558</v>
      </c>
      <c r="L137" s="44">
        <v>201028</v>
      </c>
      <c r="M137" s="44">
        <v>497002</v>
      </c>
      <c r="N137" s="44">
        <v>10266466</v>
      </c>
      <c r="O137" s="44">
        <v>871003</v>
      </c>
      <c r="P137" s="44">
        <v>905826</v>
      </c>
      <c r="Q137" s="44">
        <v>1862000</v>
      </c>
      <c r="R137" s="44">
        <v>214495</v>
      </c>
      <c r="S137" s="44">
        <v>1174470</v>
      </c>
      <c r="T137" s="44">
        <v>2322654</v>
      </c>
      <c r="U137" s="44">
        <v>1768541</v>
      </c>
      <c r="V137" s="44">
        <v>0</v>
      </c>
      <c r="W137" s="44">
        <v>2391571</v>
      </c>
      <c r="X137" s="44">
        <v>1060974</v>
      </c>
      <c r="Y137" s="44">
        <v>2234419</v>
      </c>
      <c r="Z137" s="44">
        <v>1947088</v>
      </c>
      <c r="AA137" s="44">
        <v>1042040</v>
      </c>
      <c r="AB137" s="44">
        <v>227761</v>
      </c>
      <c r="AC137" s="44">
        <v>28987338</v>
      </c>
      <c r="AD137" s="44">
        <v>2436448</v>
      </c>
      <c r="AE137" s="44">
        <v>1830000</v>
      </c>
      <c r="AF137" s="44">
        <v>857950</v>
      </c>
      <c r="AG137" s="44">
        <v>34111736</v>
      </c>
      <c r="AH137" s="44">
        <v>2453</v>
      </c>
      <c r="AI137" s="44">
        <v>14297</v>
      </c>
      <c r="AJ137" s="44">
        <v>13906</v>
      </c>
      <c r="AK137" s="44">
        <v>357325</v>
      </c>
      <c r="AL137" s="44">
        <v>116837</v>
      </c>
      <c r="AM137" s="44">
        <v>0.94599999999999995</v>
      </c>
      <c r="AN137" s="44">
        <v>0.5682928303619611</v>
      </c>
      <c r="AO137" s="44">
        <v>0.13900000000000001</v>
      </c>
      <c r="AP137" s="44">
        <v>0.70729283036196111</v>
      </c>
      <c r="AQ137" s="44">
        <v>0.83809999999999996</v>
      </c>
      <c r="AR137" s="44">
        <v>18.27</v>
      </c>
    </row>
    <row r="138" spans="1:44">
      <c r="A138" t="s">
        <v>2155</v>
      </c>
      <c r="B138" t="s">
        <v>1352</v>
      </c>
      <c r="D138" t="s">
        <v>1639</v>
      </c>
      <c r="E138" s="44">
        <v>1296509</v>
      </c>
      <c r="F138" s="44">
        <v>13566225</v>
      </c>
      <c r="G138" s="44">
        <v>3918316</v>
      </c>
      <c r="H138" s="126">
        <v>17484541</v>
      </c>
      <c r="I138" s="127">
        <v>15346079</v>
      </c>
      <c r="J138" s="128">
        <v>1178633</v>
      </c>
      <c r="K138" s="130">
        <v>34009253</v>
      </c>
      <c r="L138" s="44">
        <v>243832</v>
      </c>
      <c r="M138" s="44">
        <v>847730</v>
      </c>
      <c r="N138" s="44">
        <v>12191146</v>
      </c>
      <c r="O138" s="44">
        <v>685421</v>
      </c>
      <c r="P138" s="44">
        <v>632423</v>
      </c>
      <c r="Q138" s="44">
        <v>1758704</v>
      </c>
      <c r="R138" s="44">
        <v>795715</v>
      </c>
      <c r="S138" s="44">
        <v>0</v>
      </c>
      <c r="T138" s="44">
        <v>2112249</v>
      </c>
      <c r="U138" s="44">
        <v>1612434</v>
      </c>
      <c r="V138" s="44">
        <v>25578</v>
      </c>
      <c r="W138" s="44">
        <v>2612393</v>
      </c>
      <c r="X138" s="44">
        <v>1172459</v>
      </c>
      <c r="Y138" s="44">
        <v>2278769</v>
      </c>
      <c r="Z138" s="44">
        <v>2074180</v>
      </c>
      <c r="AA138" s="44">
        <v>956664</v>
      </c>
      <c r="AB138" s="44">
        <v>0</v>
      </c>
      <c r="AC138" s="44">
        <v>29999697</v>
      </c>
      <c r="AD138" s="44">
        <v>1658507</v>
      </c>
      <c r="AE138" s="44">
        <v>1245000</v>
      </c>
      <c r="AF138" s="44">
        <v>411803</v>
      </c>
      <c r="AG138" s="44">
        <v>33315007</v>
      </c>
      <c r="AH138" s="44">
        <v>2427</v>
      </c>
      <c r="AI138" s="44">
        <v>14013</v>
      </c>
      <c r="AJ138" s="44">
        <v>13727</v>
      </c>
      <c r="AK138" s="44">
        <v>247828</v>
      </c>
      <c r="AL138" s="44">
        <v>84167</v>
      </c>
      <c r="AM138" s="44">
        <v>0.66900000000000004</v>
      </c>
      <c r="AN138" s="44">
        <v>0.59396931839155853</v>
      </c>
      <c r="AO138" s="44">
        <v>0.14599999999999999</v>
      </c>
      <c r="AP138" s="44">
        <v>0.73996931839155855</v>
      </c>
      <c r="AQ138" s="44">
        <v>0.81720000000000004</v>
      </c>
      <c r="AR138" s="44">
        <v>18.82</v>
      </c>
    </row>
    <row r="139" spans="1:44">
      <c r="A139" t="s">
        <v>2024</v>
      </c>
      <c r="B139" t="s">
        <v>1353</v>
      </c>
      <c r="D139" t="s">
        <v>1639</v>
      </c>
      <c r="E139" s="44">
        <v>2316077</v>
      </c>
      <c r="F139" s="44">
        <v>11026359</v>
      </c>
      <c r="G139" s="44">
        <v>3276196</v>
      </c>
      <c r="H139" s="126">
        <v>14302555</v>
      </c>
      <c r="I139" s="127">
        <v>8978444</v>
      </c>
      <c r="J139" s="128">
        <v>785905</v>
      </c>
      <c r="K139" s="130">
        <v>24066904</v>
      </c>
      <c r="L139" s="44">
        <v>87856</v>
      </c>
      <c r="M139" s="44">
        <v>458897</v>
      </c>
      <c r="N139" s="44">
        <v>7582228</v>
      </c>
      <c r="O139" s="44">
        <v>265253</v>
      </c>
      <c r="P139" s="44">
        <v>564023</v>
      </c>
      <c r="Q139" s="44">
        <v>2190352</v>
      </c>
      <c r="R139" s="44">
        <v>32729</v>
      </c>
      <c r="S139" s="44">
        <v>827136</v>
      </c>
      <c r="T139" s="44">
        <v>1109130</v>
      </c>
      <c r="U139" s="44">
        <v>1082003</v>
      </c>
      <c r="V139" s="44">
        <v>0</v>
      </c>
      <c r="W139" s="44">
        <v>1662465</v>
      </c>
      <c r="X139" s="44">
        <v>712194</v>
      </c>
      <c r="Y139" s="44">
        <v>1512120</v>
      </c>
      <c r="Z139" s="44">
        <v>1115539</v>
      </c>
      <c r="AA139" s="44">
        <v>505906</v>
      </c>
      <c r="AB139" s="44">
        <v>0</v>
      </c>
      <c r="AC139" s="44">
        <v>19707831</v>
      </c>
      <c r="AD139" s="44">
        <v>1117895</v>
      </c>
      <c r="AE139" s="44">
        <v>1714515</v>
      </c>
      <c r="AF139" s="44">
        <v>1072493</v>
      </c>
      <c r="AG139" s="44">
        <v>23612734</v>
      </c>
      <c r="AH139" s="44">
        <v>1521</v>
      </c>
      <c r="AI139" s="44">
        <v>15823</v>
      </c>
      <c r="AJ139" s="44">
        <v>15524</v>
      </c>
      <c r="AK139" s="44">
        <v>159458</v>
      </c>
      <c r="AL139" s="44">
        <v>72106</v>
      </c>
      <c r="AM139" s="44">
        <v>0.504</v>
      </c>
      <c r="AN139" s="44">
        <v>0.57819878036994787</v>
      </c>
      <c r="AO139" s="44">
        <v>0.125</v>
      </c>
      <c r="AP139" s="44">
        <v>0.70319878036994787</v>
      </c>
      <c r="AQ139" s="44">
        <v>0.8427</v>
      </c>
      <c r="AR139" s="44">
        <v>22.97</v>
      </c>
    </row>
    <row r="140" spans="1:44">
      <c r="A140" t="s">
        <v>2046</v>
      </c>
      <c r="B140" t="s">
        <v>1354</v>
      </c>
      <c r="D140" t="s">
        <v>1639</v>
      </c>
      <c r="E140" s="44">
        <v>3407510</v>
      </c>
      <c r="F140" s="44">
        <v>15730091</v>
      </c>
      <c r="G140" s="44">
        <v>3615959</v>
      </c>
      <c r="H140" s="126">
        <v>19346050</v>
      </c>
      <c r="I140" s="127">
        <v>14905431</v>
      </c>
      <c r="J140" s="128">
        <v>858037</v>
      </c>
      <c r="K140" s="130">
        <v>35109518</v>
      </c>
      <c r="L140" s="44">
        <v>341512</v>
      </c>
      <c r="M140" s="44">
        <v>770203</v>
      </c>
      <c r="N140" s="44">
        <v>10749618</v>
      </c>
      <c r="O140" s="44">
        <v>676767</v>
      </c>
      <c r="P140" s="44">
        <v>890412</v>
      </c>
      <c r="Q140" s="44">
        <v>2679979</v>
      </c>
      <c r="R140" s="44">
        <v>109148</v>
      </c>
      <c r="S140" s="44">
        <v>819760</v>
      </c>
      <c r="T140" s="44">
        <v>1673998</v>
      </c>
      <c r="U140" s="44">
        <v>1117491</v>
      </c>
      <c r="V140" s="44">
        <v>0</v>
      </c>
      <c r="W140" s="44">
        <v>2274759</v>
      </c>
      <c r="X140" s="44">
        <v>1046536</v>
      </c>
      <c r="Y140" s="44">
        <v>3945635</v>
      </c>
      <c r="Z140" s="44">
        <v>1845015</v>
      </c>
      <c r="AA140" s="44">
        <v>762988</v>
      </c>
      <c r="AB140" s="44">
        <v>792203</v>
      </c>
      <c r="AC140" s="44">
        <v>30496024</v>
      </c>
      <c r="AD140" s="44">
        <v>2118774</v>
      </c>
      <c r="AE140" s="44">
        <v>1082627</v>
      </c>
      <c r="AF140" s="44">
        <v>344943</v>
      </c>
      <c r="AG140" s="44">
        <v>34042368</v>
      </c>
      <c r="AH140" s="44">
        <v>2310</v>
      </c>
      <c r="AI140" s="44">
        <v>15199</v>
      </c>
      <c r="AJ140" s="44">
        <v>14737</v>
      </c>
      <c r="AK140" s="44">
        <v>220320</v>
      </c>
      <c r="AL140" s="44">
        <v>104778</v>
      </c>
      <c r="AM140" s="44">
        <v>0.71799999999999997</v>
      </c>
      <c r="AN140" s="44">
        <v>0.54981994789551658</v>
      </c>
      <c r="AO140" s="44">
        <v>0.16500000000000001</v>
      </c>
      <c r="AP140" s="44">
        <v>0.71481994789551662</v>
      </c>
      <c r="AQ140" s="44">
        <v>0.81789999999999996</v>
      </c>
      <c r="AR140" s="44">
        <v>22.55</v>
      </c>
    </row>
    <row r="141" spans="1:44">
      <c r="A141" t="s">
        <v>2038</v>
      </c>
      <c r="B141" t="s">
        <v>1355</v>
      </c>
      <c r="D141" t="s">
        <v>1639</v>
      </c>
      <c r="E141" s="44">
        <v>3801257</v>
      </c>
      <c r="F141" s="44">
        <v>10784914</v>
      </c>
      <c r="G141" s="44">
        <v>4392204</v>
      </c>
      <c r="H141" s="126">
        <v>15177118</v>
      </c>
      <c r="I141" s="127">
        <v>10773943</v>
      </c>
      <c r="J141" s="128">
        <v>696313</v>
      </c>
      <c r="K141" s="130">
        <v>26647374</v>
      </c>
      <c r="L141" s="44">
        <v>122981</v>
      </c>
      <c r="M141" s="44">
        <v>490715</v>
      </c>
      <c r="N141" s="44">
        <v>7977013</v>
      </c>
      <c r="O141" s="44">
        <v>332820</v>
      </c>
      <c r="P141" s="44">
        <v>368225</v>
      </c>
      <c r="Q141" s="44">
        <v>2596188</v>
      </c>
      <c r="R141" s="44">
        <v>72844</v>
      </c>
      <c r="S141" s="44">
        <v>856606</v>
      </c>
      <c r="T141" s="44">
        <v>1843429</v>
      </c>
      <c r="U141" s="44">
        <v>905333</v>
      </c>
      <c r="V141" s="44">
        <v>0</v>
      </c>
      <c r="W141" s="44">
        <v>1930785</v>
      </c>
      <c r="X141" s="44">
        <v>1163941</v>
      </c>
      <c r="Y141" s="44">
        <v>1473621</v>
      </c>
      <c r="Z141" s="44">
        <v>1292443</v>
      </c>
      <c r="AA141" s="44">
        <v>535879</v>
      </c>
      <c r="AB141" s="44">
        <v>0</v>
      </c>
      <c r="AC141" s="44">
        <v>21962823</v>
      </c>
      <c r="AD141" s="44">
        <v>1173676</v>
      </c>
      <c r="AE141" s="44">
        <v>1993339</v>
      </c>
      <c r="AF141" s="44">
        <v>939198</v>
      </c>
      <c r="AG141" s="44">
        <v>26069036</v>
      </c>
      <c r="AH141" s="44">
        <v>1680</v>
      </c>
      <c r="AI141" s="44">
        <v>15862</v>
      </c>
      <c r="AJ141" s="44">
        <v>15517</v>
      </c>
      <c r="AK141" s="44">
        <v>214180</v>
      </c>
      <c r="AL141" s="44">
        <v>72994</v>
      </c>
      <c r="AM141" s="44">
        <v>0.57899999999999996</v>
      </c>
      <c r="AN141" s="44">
        <v>0.5735715735710365</v>
      </c>
      <c r="AO141" s="44">
        <v>0.13400000000000001</v>
      </c>
      <c r="AP141" s="44">
        <v>0.70757157357103651</v>
      </c>
      <c r="AQ141" s="44">
        <v>0.83879999999999999</v>
      </c>
      <c r="AR141" s="44">
        <v>26.47</v>
      </c>
    </row>
    <row r="142" spans="1:44">
      <c r="A142" t="s">
        <v>2057</v>
      </c>
      <c r="B142" t="s">
        <v>1356</v>
      </c>
      <c r="D142" t="s">
        <v>1639</v>
      </c>
      <c r="E142" s="44">
        <v>6032122</v>
      </c>
      <c r="F142" s="44">
        <v>18855122</v>
      </c>
      <c r="G142" s="44">
        <v>4200371</v>
      </c>
      <c r="H142" s="126">
        <v>23055493</v>
      </c>
      <c r="I142" s="127">
        <v>40243820</v>
      </c>
      <c r="J142" s="128">
        <v>1352966</v>
      </c>
      <c r="K142" s="130">
        <v>64652279</v>
      </c>
      <c r="L142" s="44">
        <v>108709</v>
      </c>
      <c r="M142" s="44">
        <v>1027018</v>
      </c>
      <c r="N142" s="44">
        <v>22029884</v>
      </c>
      <c r="O142" s="44">
        <v>1128163</v>
      </c>
      <c r="P142" s="44">
        <v>1367323</v>
      </c>
      <c r="Q142" s="44">
        <v>1896940</v>
      </c>
      <c r="R142" s="44">
        <v>0</v>
      </c>
      <c r="S142" s="44">
        <v>1396535</v>
      </c>
      <c r="T142" s="44">
        <v>3804406</v>
      </c>
      <c r="U142" s="44">
        <v>3049953</v>
      </c>
      <c r="V142" s="44">
        <v>0</v>
      </c>
      <c r="W142" s="44">
        <v>4402539</v>
      </c>
      <c r="X142" s="44">
        <v>2130733</v>
      </c>
      <c r="Y142" s="44">
        <v>5262699</v>
      </c>
      <c r="Z142" s="44">
        <v>3905827</v>
      </c>
      <c r="AA142" s="44">
        <v>1189071</v>
      </c>
      <c r="AB142" s="44">
        <v>0</v>
      </c>
      <c r="AC142" s="44">
        <v>52699800</v>
      </c>
      <c r="AD142" s="44">
        <v>3158873</v>
      </c>
      <c r="AE142" s="44">
        <v>3171250</v>
      </c>
      <c r="AF142" s="44">
        <v>3405721</v>
      </c>
      <c r="AG142" s="44">
        <v>62435644</v>
      </c>
      <c r="AH142" s="44">
        <v>5201</v>
      </c>
      <c r="AI142" s="44">
        <v>12431</v>
      </c>
      <c r="AJ142" s="44">
        <v>12005</v>
      </c>
      <c r="AK142" s="44">
        <v>300154</v>
      </c>
      <c r="AL142" s="44">
        <v>129312</v>
      </c>
      <c r="AM142" s="44">
        <v>0.92200000000000004</v>
      </c>
      <c r="AN142" s="44">
        <v>0.5553430985672223</v>
      </c>
      <c r="AO142" s="44">
        <v>0.152</v>
      </c>
      <c r="AP142" s="44">
        <v>0.70734309856722233</v>
      </c>
      <c r="AQ142" s="44">
        <v>0.83850000000000002</v>
      </c>
      <c r="AR142" s="44">
        <v>18.850000000000001</v>
      </c>
    </row>
    <row r="143" spans="1:44">
      <c r="A143" t="s">
        <v>2026</v>
      </c>
      <c r="B143" t="s">
        <v>1357</v>
      </c>
      <c r="D143" t="s">
        <v>1639</v>
      </c>
      <c r="E143" s="44">
        <v>1378020</v>
      </c>
      <c r="F143" s="44">
        <v>15368139</v>
      </c>
      <c r="G143" s="44">
        <v>2735408</v>
      </c>
      <c r="H143" s="126">
        <v>18103547</v>
      </c>
      <c r="I143" s="127">
        <v>14097564</v>
      </c>
      <c r="J143" s="128">
        <v>1058885</v>
      </c>
      <c r="K143" s="130">
        <v>33259996</v>
      </c>
      <c r="L143" s="44">
        <v>468616</v>
      </c>
      <c r="M143" s="44">
        <v>607301</v>
      </c>
      <c r="N143" s="44">
        <v>10072859</v>
      </c>
      <c r="O143" s="44">
        <v>486638</v>
      </c>
      <c r="P143" s="44">
        <v>765904</v>
      </c>
      <c r="Q143" s="44">
        <v>2895190</v>
      </c>
      <c r="R143" s="44">
        <v>286596</v>
      </c>
      <c r="S143" s="44">
        <v>316568</v>
      </c>
      <c r="T143" s="44">
        <v>2035765</v>
      </c>
      <c r="U143" s="44">
        <v>1150829</v>
      </c>
      <c r="V143" s="44">
        <v>1873</v>
      </c>
      <c r="W143" s="44">
        <v>1998585</v>
      </c>
      <c r="X143" s="44">
        <v>1016807</v>
      </c>
      <c r="Y143" s="44">
        <v>2794398</v>
      </c>
      <c r="Z143" s="44">
        <v>1735461</v>
      </c>
      <c r="AA143" s="44">
        <v>716636</v>
      </c>
      <c r="AB143" s="44">
        <v>0</v>
      </c>
      <c r="AC143" s="44">
        <v>27350026</v>
      </c>
      <c r="AD143" s="44">
        <v>2044855</v>
      </c>
      <c r="AE143" s="44">
        <v>1328268</v>
      </c>
      <c r="AF143" s="44">
        <v>581762</v>
      </c>
      <c r="AG143" s="44">
        <v>31304911</v>
      </c>
      <c r="AH143" s="44">
        <v>2259</v>
      </c>
      <c r="AI143" s="44">
        <v>14723</v>
      </c>
      <c r="AJ143" s="44">
        <v>13858</v>
      </c>
      <c r="AK143" s="44">
        <v>226671</v>
      </c>
      <c r="AL143" s="44">
        <v>81500</v>
      </c>
      <c r="AM143" s="44">
        <v>0.63</v>
      </c>
      <c r="AN143" s="44">
        <v>0.57532024288457484</v>
      </c>
      <c r="AO143" s="44">
        <v>0.14799999999999999</v>
      </c>
      <c r="AP143" s="44">
        <v>0.72332024288457486</v>
      </c>
      <c r="AQ143" s="44">
        <v>0.82569999999999999</v>
      </c>
      <c r="AR143" s="44">
        <v>19.68</v>
      </c>
    </row>
    <row r="144" spans="1:44">
      <c r="A144" t="s">
        <v>1358</v>
      </c>
      <c r="B144" t="s">
        <v>1359</v>
      </c>
      <c r="D144" t="s">
        <v>1639</v>
      </c>
      <c r="E144" s="44">
        <v>1684424</v>
      </c>
      <c r="F144" s="44">
        <v>9761145</v>
      </c>
      <c r="G144" s="44">
        <v>1921514</v>
      </c>
      <c r="H144" s="126">
        <v>11682659</v>
      </c>
      <c r="I144" s="127">
        <v>10188796</v>
      </c>
      <c r="J144" s="128">
        <v>534474</v>
      </c>
      <c r="K144" s="130">
        <v>22405929</v>
      </c>
      <c r="L144" s="44">
        <v>164481</v>
      </c>
      <c r="M144" s="44">
        <v>416818</v>
      </c>
      <c r="N144" s="44">
        <v>6884706</v>
      </c>
      <c r="O144" s="44">
        <v>388146</v>
      </c>
      <c r="P144" s="44">
        <v>418784</v>
      </c>
      <c r="Q144" s="44">
        <v>1575522</v>
      </c>
      <c r="R144" s="44">
        <v>1580</v>
      </c>
      <c r="S144" s="44">
        <v>199273</v>
      </c>
      <c r="T144" s="44">
        <v>1393143</v>
      </c>
      <c r="U144" s="44">
        <v>737744</v>
      </c>
      <c r="V144" s="44">
        <v>0</v>
      </c>
      <c r="W144" s="44">
        <v>1489207</v>
      </c>
      <c r="X144" s="44">
        <v>697215</v>
      </c>
      <c r="Y144" s="44">
        <v>1818920</v>
      </c>
      <c r="Z144" s="44">
        <v>1294142</v>
      </c>
      <c r="AA144" s="44">
        <v>783457</v>
      </c>
      <c r="AB144" s="44">
        <v>21732</v>
      </c>
      <c r="AC144" s="44">
        <v>18284870</v>
      </c>
      <c r="AD144" s="44">
        <v>1555299</v>
      </c>
      <c r="AE144" s="44">
        <v>1389243</v>
      </c>
      <c r="AF144" s="44">
        <v>434781</v>
      </c>
      <c r="AG144" s="44">
        <v>21664193</v>
      </c>
      <c r="AH144" s="44">
        <v>1802</v>
      </c>
      <c r="AI144" s="44">
        <v>12434</v>
      </c>
      <c r="AJ144" s="44">
        <v>12022</v>
      </c>
      <c r="AK144" s="44">
        <v>236333</v>
      </c>
      <c r="AL144" s="44">
        <v>91467</v>
      </c>
      <c r="AM144" s="44">
        <v>0.68399999999999994</v>
      </c>
      <c r="AN144" s="44">
        <v>0.53539487946770048</v>
      </c>
      <c r="AO144" s="44">
        <v>0.14199999999999999</v>
      </c>
      <c r="AP144" s="44">
        <v>0.67739487946770049</v>
      </c>
      <c r="AQ144" s="44">
        <v>0.80220000000000002</v>
      </c>
      <c r="AR144" s="44">
        <v>17.78</v>
      </c>
    </row>
    <row r="145" spans="1:44">
      <c r="A145" t="s">
        <v>1360</v>
      </c>
      <c r="B145" t="s">
        <v>1361</v>
      </c>
      <c r="D145" t="s">
        <v>1639</v>
      </c>
      <c r="E145" s="44">
        <v>2636640</v>
      </c>
      <c r="F145" s="44">
        <v>12983444</v>
      </c>
      <c r="G145" s="44">
        <v>3043822</v>
      </c>
      <c r="H145" s="126">
        <v>16027266</v>
      </c>
      <c r="I145" s="127">
        <v>19859193</v>
      </c>
      <c r="J145" s="128">
        <v>845950</v>
      </c>
      <c r="K145" s="130">
        <v>36732409</v>
      </c>
      <c r="L145" s="44">
        <v>182425</v>
      </c>
      <c r="M145" s="44">
        <v>562543</v>
      </c>
      <c r="N145" s="44">
        <v>11201918</v>
      </c>
      <c r="O145" s="44">
        <v>568529</v>
      </c>
      <c r="P145" s="44">
        <v>928164</v>
      </c>
      <c r="Q145" s="44">
        <v>2308709</v>
      </c>
      <c r="R145" s="44">
        <v>191644</v>
      </c>
      <c r="S145" s="44">
        <v>213521</v>
      </c>
      <c r="T145" s="44">
        <v>2355358</v>
      </c>
      <c r="U145" s="44">
        <v>1396946</v>
      </c>
      <c r="V145" s="44">
        <v>0</v>
      </c>
      <c r="W145" s="44">
        <v>2637602</v>
      </c>
      <c r="X145" s="44">
        <v>1150707</v>
      </c>
      <c r="Y145" s="44">
        <v>3461394</v>
      </c>
      <c r="Z145" s="44">
        <v>2720755</v>
      </c>
      <c r="AA145" s="44">
        <v>1034934</v>
      </c>
      <c r="AB145" s="44">
        <v>220638</v>
      </c>
      <c r="AC145" s="44">
        <v>31135787</v>
      </c>
      <c r="AD145" s="44">
        <v>2013150</v>
      </c>
      <c r="AE145" s="44">
        <v>1530000</v>
      </c>
      <c r="AF145" s="44">
        <v>379228</v>
      </c>
      <c r="AG145" s="44">
        <v>35058165</v>
      </c>
      <c r="AH145" s="44">
        <v>2888</v>
      </c>
      <c r="AI145" s="44">
        <v>12719</v>
      </c>
      <c r="AJ145" s="44">
        <v>12139</v>
      </c>
      <c r="AK145" s="44">
        <v>305122</v>
      </c>
      <c r="AL145" s="44">
        <v>110778</v>
      </c>
      <c r="AM145" s="44">
        <v>0.85299999999999998</v>
      </c>
      <c r="AN145" s="44">
        <v>0.54665693426909256</v>
      </c>
      <c r="AO145" s="44">
        <v>0.17199999999999999</v>
      </c>
      <c r="AP145" s="44">
        <v>0.7186569342690925</v>
      </c>
      <c r="AQ145" s="44">
        <v>0.81399999999999995</v>
      </c>
      <c r="AR145" s="44">
        <v>16.02</v>
      </c>
    </row>
    <row r="146" spans="1:44">
      <c r="A146" t="s">
        <v>1362</v>
      </c>
      <c r="B146" t="s">
        <v>1363</v>
      </c>
      <c r="D146" t="s">
        <v>1639</v>
      </c>
      <c r="E146" s="44">
        <v>2438130</v>
      </c>
      <c r="F146" s="44">
        <v>28023008</v>
      </c>
      <c r="G146" s="44">
        <v>3617646</v>
      </c>
      <c r="H146" s="126">
        <v>31640654</v>
      </c>
      <c r="I146" s="127">
        <v>16666763</v>
      </c>
      <c r="J146" s="128">
        <v>1493747</v>
      </c>
      <c r="K146" s="130">
        <v>49801164</v>
      </c>
      <c r="L146" s="44">
        <v>99624</v>
      </c>
      <c r="M146" s="44">
        <v>871582</v>
      </c>
      <c r="N146" s="44">
        <v>15838020</v>
      </c>
      <c r="O146" s="44">
        <v>907314</v>
      </c>
      <c r="P146" s="44">
        <v>933175</v>
      </c>
      <c r="Q146" s="44">
        <v>1925624</v>
      </c>
      <c r="R146" s="44">
        <v>49216</v>
      </c>
      <c r="S146" s="44">
        <v>630724</v>
      </c>
      <c r="T146" s="44">
        <v>3521738</v>
      </c>
      <c r="U146" s="44">
        <v>1644696</v>
      </c>
      <c r="V146" s="44">
        <v>0</v>
      </c>
      <c r="W146" s="44">
        <v>3129804</v>
      </c>
      <c r="X146" s="44">
        <v>1637820</v>
      </c>
      <c r="Y146" s="44">
        <v>5242979</v>
      </c>
      <c r="Z146" s="44">
        <v>3007904</v>
      </c>
      <c r="AA146" s="44">
        <v>1102509</v>
      </c>
      <c r="AB146" s="44">
        <v>-1</v>
      </c>
      <c r="AC146" s="44">
        <v>40542728</v>
      </c>
      <c r="AD146" s="44">
        <v>2741497</v>
      </c>
      <c r="AE146" s="44">
        <v>3409999</v>
      </c>
      <c r="AF146" s="44">
        <v>1364910</v>
      </c>
      <c r="AG146" s="44">
        <v>48059134</v>
      </c>
      <c r="AH146" s="44">
        <v>3016</v>
      </c>
      <c r="AI146" s="44">
        <v>16512</v>
      </c>
      <c r="AJ146" s="44">
        <v>15935</v>
      </c>
      <c r="AK146" s="44">
        <v>183058</v>
      </c>
      <c r="AL146" s="44">
        <v>76227</v>
      </c>
      <c r="AM146" s="44">
        <v>0.55099999999999993</v>
      </c>
      <c r="AN146" s="44">
        <v>0.52956649198048389</v>
      </c>
      <c r="AO146" s="44">
        <v>0.16700000000000001</v>
      </c>
      <c r="AP146" s="44">
        <v>0.69656649198048393</v>
      </c>
      <c r="AQ146" s="44">
        <v>0.82509999999999994</v>
      </c>
      <c r="AR146" s="44">
        <v>21.93</v>
      </c>
    </row>
    <row r="147" spans="1:44">
      <c r="A147" t="s">
        <v>2059</v>
      </c>
      <c r="B147" t="s">
        <v>1364</v>
      </c>
      <c r="D147" t="s">
        <v>1639</v>
      </c>
      <c r="E147" s="44">
        <v>3435462</v>
      </c>
      <c r="F147" s="44">
        <v>15323546</v>
      </c>
      <c r="G147" s="44">
        <v>4333162</v>
      </c>
      <c r="H147" s="126">
        <v>19656708</v>
      </c>
      <c r="I147" s="127">
        <v>25671987</v>
      </c>
      <c r="J147" s="128">
        <v>1072864</v>
      </c>
      <c r="K147" s="130">
        <v>46401559</v>
      </c>
      <c r="L147" s="44">
        <v>130998</v>
      </c>
      <c r="M147" s="44">
        <v>676134</v>
      </c>
      <c r="N147" s="44">
        <v>15334438</v>
      </c>
      <c r="O147" s="44">
        <v>881264</v>
      </c>
      <c r="P147" s="44">
        <v>834862</v>
      </c>
      <c r="Q147" s="44">
        <v>1927094</v>
      </c>
      <c r="R147" s="44">
        <v>2890</v>
      </c>
      <c r="S147" s="44">
        <v>886347</v>
      </c>
      <c r="T147" s="44">
        <v>2707075</v>
      </c>
      <c r="U147" s="44">
        <v>1995585</v>
      </c>
      <c r="V147" s="44">
        <v>71833</v>
      </c>
      <c r="W147" s="44">
        <v>3012320</v>
      </c>
      <c r="X147" s="44">
        <v>1986133</v>
      </c>
      <c r="Y147" s="44">
        <v>3912321</v>
      </c>
      <c r="Z147" s="44">
        <v>2805897</v>
      </c>
      <c r="AA147" s="44">
        <v>1002519</v>
      </c>
      <c r="AB147" s="44">
        <v>0</v>
      </c>
      <c r="AC147" s="44">
        <v>38167710</v>
      </c>
      <c r="AD147" s="44">
        <v>2066376</v>
      </c>
      <c r="AE147" s="44">
        <v>2094190</v>
      </c>
      <c r="AF147" s="44">
        <v>799128</v>
      </c>
      <c r="AG147" s="44">
        <v>43127404</v>
      </c>
      <c r="AH147" s="44">
        <v>3257</v>
      </c>
      <c r="AI147" s="44">
        <v>14247</v>
      </c>
      <c r="AJ147" s="44">
        <v>13241</v>
      </c>
      <c r="AK147" s="44">
        <v>252948</v>
      </c>
      <c r="AL147" s="44">
        <v>118674</v>
      </c>
      <c r="AM147" s="44">
        <v>0.81699999999999995</v>
      </c>
      <c r="AN147" s="44">
        <v>0.56969705387321712</v>
      </c>
      <c r="AO147" s="44">
        <v>0.16900000000000001</v>
      </c>
      <c r="AP147" s="44">
        <v>0.73869705387321716</v>
      </c>
      <c r="AQ147" s="44">
        <v>0.8347</v>
      </c>
      <c r="AR147" s="44">
        <v>21.97</v>
      </c>
    </row>
    <row r="148" spans="1:44">
      <c r="A148" t="s">
        <v>2048</v>
      </c>
      <c r="B148" t="s">
        <v>1365</v>
      </c>
      <c r="D148" t="s">
        <v>1639</v>
      </c>
      <c r="E148" s="44">
        <v>-1973201</v>
      </c>
      <c r="F148" s="44">
        <v>19656825</v>
      </c>
      <c r="G148" s="44">
        <v>4132323</v>
      </c>
      <c r="H148" s="126">
        <v>23789148</v>
      </c>
      <c r="I148" s="127">
        <v>23374025</v>
      </c>
      <c r="J148" s="128">
        <v>1273699</v>
      </c>
      <c r="K148" s="130">
        <v>48436872</v>
      </c>
      <c r="L148" s="44">
        <v>147906</v>
      </c>
      <c r="M148" s="44">
        <v>719891</v>
      </c>
      <c r="N148" s="44">
        <v>19072158</v>
      </c>
      <c r="O148" s="44">
        <v>824378</v>
      </c>
      <c r="P148" s="44">
        <v>1472965</v>
      </c>
      <c r="Q148" s="44">
        <v>2563215</v>
      </c>
      <c r="R148" s="44">
        <v>332150</v>
      </c>
      <c r="S148" s="44">
        <v>819117</v>
      </c>
      <c r="T148" s="44">
        <v>4346631</v>
      </c>
      <c r="U148" s="44">
        <v>1440385</v>
      </c>
      <c r="V148" s="44">
        <v>0</v>
      </c>
      <c r="W148" s="44">
        <v>3294137</v>
      </c>
      <c r="X148" s="44">
        <v>2577971</v>
      </c>
      <c r="Y148" s="44">
        <v>3142998</v>
      </c>
      <c r="Z148" s="44">
        <v>3218160</v>
      </c>
      <c r="AA148" s="44">
        <v>751352</v>
      </c>
      <c r="AB148" s="44">
        <v>0</v>
      </c>
      <c r="AC148" s="44">
        <v>44723414</v>
      </c>
      <c r="AD148" s="44">
        <v>3607853</v>
      </c>
      <c r="AE148" s="44">
        <v>1420000</v>
      </c>
      <c r="AF148" s="44">
        <v>542057</v>
      </c>
      <c r="AG148" s="44">
        <v>50293324</v>
      </c>
      <c r="AH148" s="44">
        <v>4068</v>
      </c>
      <c r="AI148" s="44">
        <v>11907</v>
      </c>
      <c r="AJ148" s="44">
        <v>12363</v>
      </c>
      <c r="AK148" s="44">
        <v>252221</v>
      </c>
      <c r="AL148" s="44">
        <v>115349</v>
      </c>
      <c r="AM148" s="44">
        <v>0.80200000000000005</v>
      </c>
      <c r="AN148" s="44">
        <v>0.61381902297807955</v>
      </c>
      <c r="AO148" s="44">
        <v>0.16</v>
      </c>
      <c r="AP148" s="44">
        <v>0.77381902297807958</v>
      </c>
      <c r="AQ148" s="44">
        <v>0.86919999999999997</v>
      </c>
      <c r="AR148" s="44">
        <v>17.05</v>
      </c>
    </row>
    <row r="149" spans="1:44">
      <c r="A149" t="s">
        <v>2028</v>
      </c>
      <c r="B149" t="s">
        <v>1366</v>
      </c>
      <c r="D149" t="s">
        <v>1639</v>
      </c>
      <c r="E149" s="44">
        <v>3182940</v>
      </c>
      <c r="F149" s="44">
        <v>26014096</v>
      </c>
      <c r="G149" s="44">
        <v>5512281</v>
      </c>
      <c r="H149" s="126">
        <v>31526377</v>
      </c>
      <c r="I149" s="127">
        <v>31148015</v>
      </c>
      <c r="J149" s="128">
        <v>2003723</v>
      </c>
      <c r="K149" s="130">
        <v>64678115</v>
      </c>
      <c r="L149" s="44">
        <v>214380</v>
      </c>
      <c r="M149" s="44">
        <v>1184192</v>
      </c>
      <c r="N149" s="44">
        <v>23262888</v>
      </c>
      <c r="O149" s="44">
        <v>1313849</v>
      </c>
      <c r="P149" s="44">
        <v>1118379</v>
      </c>
      <c r="Q149" s="44">
        <v>4662896</v>
      </c>
      <c r="R149" s="44">
        <v>20725</v>
      </c>
      <c r="S149" s="44">
        <v>1529067</v>
      </c>
      <c r="T149" s="44">
        <v>4530664</v>
      </c>
      <c r="U149" s="44">
        <v>2741282</v>
      </c>
      <c r="V149" s="44">
        <v>0</v>
      </c>
      <c r="W149" s="44">
        <v>4287151</v>
      </c>
      <c r="X149" s="44">
        <v>2204531</v>
      </c>
      <c r="Y149" s="44">
        <v>4535202</v>
      </c>
      <c r="Z149" s="44">
        <v>4558720</v>
      </c>
      <c r="AA149" s="44">
        <v>880867</v>
      </c>
      <c r="AB149" s="44">
        <v>80000</v>
      </c>
      <c r="AC149" s="44">
        <v>57124793</v>
      </c>
      <c r="AD149" s="44">
        <v>3141317</v>
      </c>
      <c r="AE149" s="44">
        <v>1208489</v>
      </c>
      <c r="AF149" s="44">
        <v>811199</v>
      </c>
      <c r="AG149" s="44">
        <v>62285798</v>
      </c>
      <c r="AH149" s="44">
        <v>5603</v>
      </c>
      <c r="AI149" s="44">
        <v>11543</v>
      </c>
      <c r="AJ149" s="44">
        <v>11117</v>
      </c>
      <c r="AK149" s="44">
        <v>242311</v>
      </c>
      <c r="AL149" s="44">
        <v>97339</v>
      </c>
      <c r="AM149" s="44">
        <v>0.71499999999999997</v>
      </c>
      <c r="AN149" s="44">
        <v>0.62903183804436447</v>
      </c>
      <c r="AO149" s="44">
        <v>0.151</v>
      </c>
      <c r="AP149" s="44">
        <v>0.78003183804436449</v>
      </c>
      <c r="AQ149" s="44">
        <v>0.8508</v>
      </c>
      <c r="AR149" s="44">
        <v>16.88</v>
      </c>
    </row>
    <row r="150" spans="1:44">
      <c r="A150" t="s">
        <v>2052</v>
      </c>
      <c r="B150" t="s">
        <v>1367</v>
      </c>
      <c r="D150" t="s">
        <v>1639</v>
      </c>
      <c r="E150" s="44">
        <v>2311707</v>
      </c>
      <c r="F150" s="44">
        <v>9552137</v>
      </c>
      <c r="G150" s="44">
        <v>1213127</v>
      </c>
      <c r="H150" s="126">
        <v>10765264</v>
      </c>
      <c r="I150" s="127">
        <v>7590329</v>
      </c>
      <c r="J150" s="128">
        <v>487718</v>
      </c>
      <c r="K150" s="130">
        <v>18843311</v>
      </c>
      <c r="L150" s="44">
        <v>77235</v>
      </c>
      <c r="M150" s="44">
        <v>330443</v>
      </c>
      <c r="N150" s="44">
        <v>5430928</v>
      </c>
      <c r="O150" s="44">
        <v>232825</v>
      </c>
      <c r="P150" s="44">
        <v>257011</v>
      </c>
      <c r="Q150" s="44">
        <v>1625454</v>
      </c>
      <c r="R150" s="44">
        <v>160674</v>
      </c>
      <c r="S150" s="44">
        <v>65676</v>
      </c>
      <c r="T150" s="44">
        <v>1005191</v>
      </c>
      <c r="U150" s="44">
        <v>699860</v>
      </c>
      <c r="V150" s="44">
        <v>0</v>
      </c>
      <c r="W150" s="44">
        <v>1198089</v>
      </c>
      <c r="X150" s="44">
        <v>533787</v>
      </c>
      <c r="Y150" s="44">
        <v>1067204</v>
      </c>
      <c r="Z150" s="44">
        <v>957628</v>
      </c>
      <c r="AA150" s="44">
        <v>772542</v>
      </c>
      <c r="AB150" s="44">
        <v>0</v>
      </c>
      <c r="AC150" s="44">
        <v>14414547</v>
      </c>
      <c r="AD150" s="44">
        <v>1136770</v>
      </c>
      <c r="AE150" s="44">
        <v>1359014</v>
      </c>
      <c r="AF150" s="44">
        <v>629485</v>
      </c>
      <c r="AG150" s="44">
        <v>17539816</v>
      </c>
      <c r="AH150" s="44">
        <v>1260</v>
      </c>
      <c r="AI150" s="44">
        <v>14955</v>
      </c>
      <c r="AJ150" s="44">
        <v>13920</v>
      </c>
      <c r="AK150" s="44">
        <v>250561</v>
      </c>
      <c r="AL150" s="44">
        <v>85778</v>
      </c>
      <c r="AM150" s="44">
        <v>0.67900000000000005</v>
      </c>
      <c r="AN150" s="44">
        <v>0.54034882692041919</v>
      </c>
      <c r="AO150" s="44">
        <v>0.11899999999999999</v>
      </c>
      <c r="AP150" s="44">
        <v>0.65934882692041918</v>
      </c>
      <c r="AQ150" s="44">
        <v>0.79979999999999996</v>
      </c>
      <c r="AR150" s="44">
        <v>18.09</v>
      </c>
    </row>
    <row r="151" spans="1:44">
      <c r="A151" t="s">
        <v>2030</v>
      </c>
      <c r="B151" t="s">
        <v>1368</v>
      </c>
      <c r="D151" t="s">
        <v>1639</v>
      </c>
      <c r="E151" s="44">
        <v>2545811</v>
      </c>
      <c r="F151" s="44">
        <v>23990753</v>
      </c>
      <c r="G151" s="44">
        <v>1230518</v>
      </c>
      <c r="H151" s="126">
        <v>25221271</v>
      </c>
      <c r="I151" s="127">
        <v>9174947</v>
      </c>
      <c r="J151" s="128">
        <v>3817387</v>
      </c>
      <c r="K151" s="130">
        <v>38213605</v>
      </c>
      <c r="L151" s="44">
        <v>282459</v>
      </c>
      <c r="M151" s="44">
        <v>572818</v>
      </c>
      <c r="N151" s="44">
        <v>11241378</v>
      </c>
      <c r="O151" s="44">
        <v>314364</v>
      </c>
      <c r="P151" s="44">
        <v>433310</v>
      </c>
      <c r="Q151" s="44">
        <v>3511920</v>
      </c>
      <c r="R151" s="44">
        <v>347676</v>
      </c>
      <c r="S151" s="44">
        <v>752426</v>
      </c>
      <c r="T151" s="44">
        <v>2457977</v>
      </c>
      <c r="U151" s="44">
        <v>4432749</v>
      </c>
      <c r="V151" s="44">
        <v>0</v>
      </c>
      <c r="W151" s="44">
        <v>2513076</v>
      </c>
      <c r="X151" s="44">
        <v>1526325</v>
      </c>
      <c r="Y151" s="44">
        <v>2539836</v>
      </c>
      <c r="Z151" s="44">
        <v>2412984</v>
      </c>
      <c r="AA151" s="44">
        <v>787227</v>
      </c>
      <c r="AB151" s="44">
        <v>119665</v>
      </c>
      <c r="AC151" s="44">
        <v>34246190</v>
      </c>
      <c r="AD151" s="44">
        <v>2473649</v>
      </c>
      <c r="AE151" s="44">
        <v>413492</v>
      </c>
      <c r="AF151" s="44">
        <v>765520</v>
      </c>
      <c r="AG151" s="44">
        <v>37898851</v>
      </c>
      <c r="AH151" s="44">
        <v>2348</v>
      </c>
      <c r="AI151" s="44">
        <v>16275</v>
      </c>
      <c r="AJ151" s="44">
        <v>16141</v>
      </c>
      <c r="AK151" s="44">
        <v>155850</v>
      </c>
      <c r="AL151" s="44">
        <v>68988</v>
      </c>
      <c r="AM151" s="44">
        <v>0.48599999999999999</v>
      </c>
      <c r="AN151" s="44">
        <v>0.61985520352582724</v>
      </c>
      <c r="AO151" s="44">
        <v>0.151</v>
      </c>
      <c r="AP151" s="44">
        <v>0.77085520352582726</v>
      </c>
      <c r="AQ151" s="44">
        <v>0.85119999999999996</v>
      </c>
      <c r="AR151" s="44">
        <v>19.39</v>
      </c>
    </row>
    <row r="152" spans="1:44">
      <c r="A152" t="s">
        <v>2050</v>
      </c>
      <c r="B152" t="s">
        <v>1369</v>
      </c>
      <c r="D152" t="s">
        <v>1639</v>
      </c>
      <c r="E152" s="44">
        <v>6139220</v>
      </c>
      <c r="F152" s="44">
        <v>24384783</v>
      </c>
      <c r="G152" s="44">
        <v>6816878</v>
      </c>
      <c r="H152" s="126">
        <v>31201661</v>
      </c>
      <c r="I152" s="127">
        <v>40292822</v>
      </c>
      <c r="J152" s="128">
        <v>2541096</v>
      </c>
      <c r="K152" s="130">
        <v>74035579</v>
      </c>
      <c r="L152" s="44">
        <v>194476</v>
      </c>
      <c r="M152" s="44">
        <v>883439</v>
      </c>
      <c r="N152" s="44">
        <v>21319250</v>
      </c>
      <c r="O152" s="44">
        <v>1382854</v>
      </c>
      <c r="P152" s="44">
        <v>1716994</v>
      </c>
      <c r="Q152" s="44">
        <v>4306288</v>
      </c>
      <c r="R152" s="44">
        <v>115221</v>
      </c>
      <c r="S152" s="44">
        <v>1122630</v>
      </c>
      <c r="T152" s="44">
        <v>5565943</v>
      </c>
      <c r="U152" s="44">
        <v>3154302</v>
      </c>
      <c r="V152" s="44">
        <v>0</v>
      </c>
      <c r="W152" s="44">
        <v>6207203</v>
      </c>
      <c r="X152" s="44">
        <v>2122426</v>
      </c>
      <c r="Y152" s="44">
        <v>5655609</v>
      </c>
      <c r="Z152" s="44">
        <v>4925552</v>
      </c>
      <c r="AA152" s="44">
        <v>1969372</v>
      </c>
      <c r="AB152" s="44">
        <v>105090</v>
      </c>
      <c r="AC152" s="44">
        <v>60746649</v>
      </c>
      <c r="AD152" s="44">
        <v>4356561</v>
      </c>
      <c r="AE152" s="44">
        <v>2902000</v>
      </c>
      <c r="AF152" s="44">
        <v>1998973</v>
      </c>
      <c r="AG152" s="44">
        <v>70004183</v>
      </c>
      <c r="AH152" s="44">
        <v>6422</v>
      </c>
      <c r="AI152" s="44">
        <v>11528</v>
      </c>
      <c r="AJ152" s="44">
        <v>10901</v>
      </c>
      <c r="AK152" s="44">
        <v>256284</v>
      </c>
      <c r="AL152" s="44">
        <v>104024</v>
      </c>
      <c r="AM152" s="44">
        <v>0.76200000000000001</v>
      </c>
      <c r="AN152" s="44">
        <v>0.55258815033953046</v>
      </c>
      <c r="AO152" s="44">
        <v>0.14599999999999999</v>
      </c>
      <c r="AP152" s="44">
        <v>0.69858815033953048</v>
      </c>
      <c r="AQ152" s="44">
        <v>0.80659999999999998</v>
      </c>
      <c r="AR152" s="44">
        <v>18.239999999999998</v>
      </c>
    </row>
    <row r="153" spans="1:44">
      <c r="A153" t="s">
        <v>1370</v>
      </c>
      <c r="B153" t="s">
        <v>1371</v>
      </c>
      <c r="D153" t="s">
        <v>1639</v>
      </c>
      <c r="E153" s="44">
        <v>2344538</v>
      </c>
      <c r="F153" s="44">
        <v>12938971</v>
      </c>
      <c r="G153" s="44">
        <v>1452084</v>
      </c>
      <c r="H153" s="126">
        <v>14391055</v>
      </c>
      <c r="I153" s="127">
        <v>9275686</v>
      </c>
      <c r="J153" s="128">
        <v>808092</v>
      </c>
      <c r="K153" s="130">
        <v>24474833</v>
      </c>
      <c r="L153" s="44">
        <v>108103</v>
      </c>
      <c r="M153" s="44">
        <v>582006</v>
      </c>
      <c r="N153" s="44">
        <v>7468706</v>
      </c>
      <c r="O153" s="44">
        <v>415590</v>
      </c>
      <c r="P153" s="44">
        <v>519170</v>
      </c>
      <c r="Q153" s="44">
        <v>1840955</v>
      </c>
      <c r="R153" s="44">
        <v>425531</v>
      </c>
      <c r="S153" s="44">
        <v>0</v>
      </c>
      <c r="T153" s="44">
        <v>1617773</v>
      </c>
      <c r="U153" s="44">
        <v>756814</v>
      </c>
      <c r="V153" s="44">
        <v>0</v>
      </c>
      <c r="W153" s="44">
        <v>1382079</v>
      </c>
      <c r="X153" s="44">
        <v>968247</v>
      </c>
      <c r="Y153" s="44">
        <v>1687315</v>
      </c>
      <c r="Z153" s="44">
        <v>1350440</v>
      </c>
      <c r="AA153" s="44">
        <v>553928</v>
      </c>
      <c r="AB153" s="44">
        <v>0</v>
      </c>
      <c r="AC153" s="44">
        <v>19676657</v>
      </c>
      <c r="AD153" s="44">
        <v>1075127</v>
      </c>
      <c r="AE153" s="44">
        <v>1956773</v>
      </c>
      <c r="AF153" s="44">
        <v>1197922</v>
      </c>
      <c r="AG153" s="44">
        <v>23906479</v>
      </c>
      <c r="AH153" s="44">
        <v>1735</v>
      </c>
      <c r="AI153" s="44">
        <v>14107</v>
      </c>
      <c r="AJ153" s="44">
        <v>13779</v>
      </c>
      <c r="AK153" s="44">
        <v>181004</v>
      </c>
      <c r="AL153" s="44">
        <v>77062</v>
      </c>
      <c r="AM153" s="44">
        <v>0.55200000000000005</v>
      </c>
      <c r="AN153" s="44">
        <v>0.54564869213906408</v>
      </c>
      <c r="AO153" s="44">
        <v>0.13900000000000001</v>
      </c>
      <c r="AP153" s="44">
        <v>0.6846486921390641</v>
      </c>
      <c r="AQ153" s="44">
        <v>0.82830000000000004</v>
      </c>
      <c r="AR153" s="44">
        <v>21.34</v>
      </c>
    </row>
    <row r="154" spans="1:44">
      <c r="A154" t="s">
        <v>1372</v>
      </c>
      <c r="B154" t="s">
        <v>1373</v>
      </c>
      <c r="D154" t="s">
        <v>1639</v>
      </c>
      <c r="E154" s="44">
        <v>1259572</v>
      </c>
      <c r="F154" s="44">
        <v>6601479</v>
      </c>
      <c r="G154" s="44">
        <v>919084</v>
      </c>
      <c r="H154" s="126">
        <v>7520563</v>
      </c>
      <c r="I154" s="127">
        <v>5247909</v>
      </c>
      <c r="J154" s="128">
        <v>346314</v>
      </c>
      <c r="K154" s="130">
        <v>13114786</v>
      </c>
      <c r="L154" s="44">
        <v>96188</v>
      </c>
      <c r="M154" s="44">
        <v>355998</v>
      </c>
      <c r="N154" s="44">
        <v>3405873</v>
      </c>
      <c r="O154" s="44">
        <v>184613</v>
      </c>
      <c r="P154" s="44">
        <v>169422</v>
      </c>
      <c r="Q154" s="44">
        <v>1547128</v>
      </c>
      <c r="R154" s="44">
        <v>51664</v>
      </c>
      <c r="S154" s="44">
        <v>226902</v>
      </c>
      <c r="T154" s="44">
        <v>703530</v>
      </c>
      <c r="U154" s="44">
        <v>410272</v>
      </c>
      <c r="V154" s="44">
        <v>0</v>
      </c>
      <c r="W154" s="44">
        <v>945646</v>
      </c>
      <c r="X154" s="44">
        <v>380186</v>
      </c>
      <c r="Y154" s="44">
        <v>550965</v>
      </c>
      <c r="Z154" s="44">
        <v>632668</v>
      </c>
      <c r="AA154" s="44">
        <v>311429</v>
      </c>
      <c r="AB154" s="44">
        <v>0</v>
      </c>
      <c r="AC154" s="44">
        <v>9972484</v>
      </c>
      <c r="AD154" s="44">
        <v>910355</v>
      </c>
      <c r="AE154" s="44">
        <v>715000</v>
      </c>
      <c r="AF154" s="44">
        <v>381100</v>
      </c>
      <c r="AG154" s="44">
        <v>11978939</v>
      </c>
      <c r="AH154" s="44">
        <v>709</v>
      </c>
      <c r="AI154" s="44">
        <v>18498</v>
      </c>
      <c r="AJ154" s="44">
        <v>16896</v>
      </c>
      <c r="AK154" s="44">
        <v>204267</v>
      </c>
      <c r="AL154" s="44">
        <v>74838</v>
      </c>
      <c r="AM154" s="44">
        <v>0.57400000000000007</v>
      </c>
      <c r="AN154" s="44">
        <v>0.55926522373976528</v>
      </c>
      <c r="AO154" s="44">
        <v>0.106</v>
      </c>
      <c r="AP154" s="44">
        <v>0.66526522373976527</v>
      </c>
      <c r="AQ154" s="44">
        <v>0.79779999999999995</v>
      </c>
      <c r="AR154" s="44">
        <v>27.49</v>
      </c>
    </row>
    <row r="155" spans="1:44">
      <c r="A155" t="s">
        <v>2034</v>
      </c>
      <c r="B155" t="s">
        <v>1374</v>
      </c>
      <c r="D155" t="s">
        <v>1639</v>
      </c>
      <c r="E155" s="44">
        <v>3355966</v>
      </c>
      <c r="F155" s="44">
        <v>20971658</v>
      </c>
      <c r="G155" s="44">
        <v>5499520</v>
      </c>
      <c r="H155" s="126">
        <v>26471178</v>
      </c>
      <c r="I155" s="127">
        <v>42646984</v>
      </c>
      <c r="J155" s="128">
        <v>1399615</v>
      </c>
      <c r="K155" s="130">
        <v>70517777</v>
      </c>
      <c r="L155" s="44">
        <v>147954</v>
      </c>
      <c r="M155" s="44">
        <v>1001298</v>
      </c>
      <c r="N155" s="44">
        <v>25326322</v>
      </c>
      <c r="O155" s="44">
        <v>1379942</v>
      </c>
      <c r="P155" s="44">
        <v>1271859</v>
      </c>
      <c r="Q155" s="44">
        <v>6331042</v>
      </c>
      <c r="R155" s="44">
        <v>561240</v>
      </c>
      <c r="S155" s="44">
        <v>700822</v>
      </c>
      <c r="T155" s="44">
        <v>6068912</v>
      </c>
      <c r="U155" s="44">
        <v>2186415</v>
      </c>
      <c r="V155" s="44">
        <v>0</v>
      </c>
      <c r="W155" s="44">
        <v>4508643</v>
      </c>
      <c r="X155" s="44">
        <v>3157004</v>
      </c>
      <c r="Y155" s="44">
        <v>4287425</v>
      </c>
      <c r="Z155" s="44">
        <v>4235611</v>
      </c>
      <c r="AA155" s="44">
        <v>981048</v>
      </c>
      <c r="AB155" s="44">
        <v>135000</v>
      </c>
      <c r="AC155" s="44">
        <v>62280537</v>
      </c>
      <c r="AD155" s="44">
        <v>3465558</v>
      </c>
      <c r="AE155" s="44">
        <v>2533021</v>
      </c>
      <c r="AF155" s="44">
        <v>850377</v>
      </c>
      <c r="AG155" s="44">
        <v>69129493</v>
      </c>
      <c r="AH155" s="44">
        <v>5327</v>
      </c>
      <c r="AI155" s="44">
        <v>13238</v>
      </c>
      <c r="AJ155" s="44">
        <v>12977</v>
      </c>
      <c r="AK155" s="44">
        <v>306927</v>
      </c>
      <c r="AL155" s="44">
        <v>140772</v>
      </c>
      <c r="AM155" s="44">
        <v>0.97799999999999998</v>
      </c>
      <c r="AN155" s="44">
        <v>0.63397765697486019</v>
      </c>
      <c r="AO155" s="44">
        <v>0.14599999999999999</v>
      </c>
      <c r="AP155" s="44">
        <v>0.77997765697486021</v>
      </c>
      <c r="AQ155" s="44">
        <v>0.86609999999999998</v>
      </c>
      <c r="AR155" s="44">
        <v>18.32</v>
      </c>
    </row>
    <row r="156" spans="1:44">
      <c r="A156" t="s">
        <v>2061</v>
      </c>
      <c r="B156" t="s">
        <v>1375</v>
      </c>
      <c r="D156" t="s">
        <v>1639</v>
      </c>
      <c r="E156" s="44">
        <v>674620</v>
      </c>
      <c r="F156" s="44">
        <v>16385950</v>
      </c>
      <c r="G156" s="44">
        <v>3303236</v>
      </c>
      <c r="H156" s="126">
        <v>19689186</v>
      </c>
      <c r="I156" s="127">
        <v>9272181</v>
      </c>
      <c r="J156" s="128">
        <v>837549</v>
      </c>
      <c r="K156" s="130">
        <v>29798916</v>
      </c>
      <c r="L156" s="44">
        <v>191162</v>
      </c>
      <c r="M156" s="44">
        <v>507529</v>
      </c>
      <c r="N156" s="44">
        <v>9828845</v>
      </c>
      <c r="O156" s="44">
        <v>580428</v>
      </c>
      <c r="P156" s="44">
        <v>936438</v>
      </c>
      <c r="Q156" s="44">
        <v>2131875</v>
      </c>
      <c r="R156" s="44">
        <v>18547</v>
      </c>
      <c r="S156" s="44">
        <v>807248</v>
      </c>
      <c r="T156" s="44">
        <v>1372369</v>
      </c>
      <c r="U156" s="44">
        <v>1204043</v>
      </c>
      <c r="V156" s="44">
        <v>67782</v>
      </c>
      <c r="W156" s="44">
        <v>2407228</v>
      </c>
      <c r="X156" s="44">
        <v>1027902</v>
      </c>
      <c r="Y156" s="44">
        <v>2626053</v>
      </c>
      <c r="Z156" s="44">
        <v>1501233</v>
      </c>
      <c r="AA156" s="44">
        <v>717389</v>
      </c>
      <c r="AB156" s="44">
        <v>0</v>
      </c>
      <c r="AC156" s="44">
        <v>25926071</v>
      </c>
      <c r="AD156" s="44">
        <v>808044</v>
      </c>
      <c r="AE156" s="44">
        <v>1667204</v>
      </c>
      <c r="AF156" s="44">
        <v>1110763</v>
      </c>
      <c r="AG156" s="44">
        <v>29512082</v>
      </c>
      <c r="AH156" s="44">
        <v>2137</v>
      </c>
      <c r="AI156" s="44">
        <v>13944</v>
      </c>
      <c r="AJ156" s="44">
        <v>13810</v>
      </c>
      <c r="AK156" s="44">
        <v>171274</v>
      </c>
      <c r="AL156" s="44">
        <v>88430</v>
      </c>
      <c r="AM156" s="44">
        <v>0.58699999999999997</v>
      </c>
      <c r="AN156" s="44">
        <v>0.57196212046307005</v>
      </c>
      <c r="AO156" s="44">
        <v>0.154</v>
      </c>
      <c r="AP156" s="44">
        <v>0.72596212046307007</v>
      </c>
      <c r="AQ156" s="44">
        <v>0.82650000000000001</v>
      </c>
      <c r="AR156" s="44">
        <v>17.690000000000001</v>
      </c>
    </row>
    <row r="157" spans="1:44">
      <c r="A157" t="s">
        <v>2036</v>
      </c>
      <c r="B157" t="s">
        <v>1376</v>
      </c>
      <c r="D157" t="s">
        <v>1639</v>
      </c>
      <c r="E157" s="44">
        <v>17690633</v>
      </c>
      <c r="F157" s="44">
        <v>44024269</v>
      </c>
      <c r="G157" s="44">
        <v>16207434</v>
      </c>
      <c r="H157" s="126">
        <v>60231703</v>
      </c>
      <c r="I157" s="127">
        <v>64805311</v>
      </c>
      <c r="J157" s="128">
        <v>3935232</v>
      </c>
      <c r="K157" s="130">
        <v>128972246</v>
      </c>
      <c r="L157" s="44">
        <v>283534</v>
      </c>
      <c r="M157" s="44">
        <v>1568218</v>
      </c>
      <c r="N157" s="44">
        <v>43577740</v>
      </c>
      <c r="O157" s="44">
        <v>2521676</v>
      </c>
      <c r="P157" s="44">
        <v>3006129</v>
      </c>
      <c r="Q157" s="44">
        <v>8675368</v>
      </c>
      <c r="R157" s="44">
        <v>254839</v>
      </c>
      <c r="S157" s="44">
        <v>2136274</v>
      </c>
      <c r="T157" s="44">
        <v>10772862</v>
      </c>
      <c r="U157" s="44">
        <v>6022702</v>
      </c>
      <c r="V157" s="44">
        <v>482328</v>
      </c>
      <c r="W157" s="44">
        <v>10128967</v>
      </c>
      <c r="X157" s="44">
        <v>4204486</v>
      </c>
      <c r="Y157" s="44">
        <v>9931388</v>
      </c>
      <c r="Z157" s="44">
        <v>9089387</v>
      </c>
      <c r="AA157" s="44">
        <v>1503916</v>
      </c>
      <c r="AB157" s="44">
        <v>40000</v>
      </c>
      <c r="AC157" s="44">
        <v>114199814</v>
      </c>
      <c r="AD157" s="44">
        <v>4915119</v>
      </c>
      <c r="AE157" s="44">
        <v>4058599</v>
      </c>
      <c r="AF157" s="44">
        <v>2764340</v>
      </c>
      <c r="AG157" s="44">
        <v>125937872</v>
      </c>
      <c r="AH157" s="44">
        <v>8947</v>
      </c>
      <c r="AI157" s="44">
        <v>14415</v>
      </c>
      <c r="AJ157" s="44">
        <v>14076</v>
      </c>
      <c r="AK157" s="44">
        <v>242513</v>
      </c>
      <c r="AL157" s="44">
        <v>101396</v>
      </c>
      <c r="AM157" s="44">
        <v>0.73299999999999998</v>
      </c>
      <c r="AN157" s="44">
        <v>0.61115523692507678</v>
      </c>
      <c r="AO157" s="44">
        <v>0.156</v>
      </c>
      <c r="AP157" s="44">
        <v>0.76715523692507681</v>
      </c>
      <c r="AQ157" s="44">
        <v>0.84640000000000004</v>
      </c>
      <c r="AR157" s="44">
        <v>22.22</v>
      </c>
    </row>
    <row r="158" spans="1:44">
      <c r="A158" t="s">
        <v>2032</v>
      </c>
      <c r="B158" t="s">
        <v>1377</v>
      </c>
      <c r="D158" t="s">
        <v>1639</v>
      </c>
      <c r="E158" s="44">
        <v>4849503</v>
      </c>
      <c r="F158" s="44">
        <v>39794714</v>
      </c>
      <c r="G158" s="44">
        <v>10861426</v>
      </c>
      <c r="H158" s="126">
        <v>50656140</v>
      </c>
      <c r="I158" s="127">
        <v>43978096</v>
      </c>
      <c r="J158" s="128">
        <v>2675080</v>
      </c>
      <c r="K158" s="130">
        <v>97309316</v>
      </c>
      <c r="L158" s="44">
        <v>457332</v>
      </c>
      <c r="M158" s="44">
        <v>1513997</v>
      </c>
      <c r="N158" s="44">
        <v>34154962</v>
      </c>
      <c r="O158" s="44">
        <v>1936914</v>
      </c>
      <c r="P158" s="44">
        <v>2325957</v>
      </c>
      <c r="Q158" s="44">
        <v>4229026</v>
      </c>
      <c r="R158" s="44">
        <v>1909129</v>
      </c>
      <c r="S158" s="44">
        <v>0</v>
      </c>
      <c r="T158" s="44">
        <v>7283984</v>
      </c>
      <c r="U158" s="44">
        <v>4760773</v>
      </c>
      <c r="V158" s="44">
        <v>0</v>
      </c>
      <c r="W158" s="44">
        <v>6320915</v>
      </c>
      <c r="X158" s="44">
        <v>3296415</v>
      </c>
      <c r="Y158" s="44">
        <v>7241698</v>
      </c>
      <c r="Z158" s="44">
        <v>6443089</v>
      </c>
      <c r="AA158" s="44">
        <v>2046643</v>
      </c>
      <c r="AB158" s="44">
        <v>0</v>
      </c>
      <c r="AC158" s="44">
        <v>83920834</v>
      </c>
      <c r="AD158" s="44">
        <v>6080014</v>
      </c>
      <c r="AE158" s="44">
        <v>2452962</v>
      </c>
      <c r="AF158" s="44">
        <v>1290906</v>
      </c>
      <c r="AG158" s="44">
        <v>93744716</v>
      </c>
      <c r="AH158" s="44">
        <v>7697</v>
      </c>
      <c r="AI158" s="44">
        <v>12642</v>
      </c>
      <c r="AJ158" s="44">
        <v>12179</v>
      </c>
      <c r="AK158" s="44">
        <v>236811</v>
      </c>
      <c r="AL158" s="44">
        <v>96254</v>
      </c>
      <c r="AM158" s="44">
        <v>0.70399999999999996</v>
      </c>
      <c r="AN158" s="44">
        <v>0.60377531038656085</v>
      </c>
      <c r="AO158" s="44">
        <v>0.153</v>
      </c>
      <c r="AP158" s="44">
        <v>0.75677531038656087</v>
      </c>
      <c r="AQ158" s="44">
        <v>0.84119999999999995</v>
      </c>
      <c r="AR158" s="44">
        <v>18.27</v>
      </c>
    </row>
    <row r="159" spans="1:44">
      <c r="A159" t="s">
        <v>1378</v>
      </c>
      <c r="B159" t="s">
        <v>1379</v>
      </c>
      <c r="D159" t="s">
        <v>1639</v>
      </c>
      <c r="E159" s="44">
        <v>804621</v>
      </c>
      <c r="F159" s="44">
        <v>4136579</v>
      </c>
      <c r="G159" s="44">
        <v>284693</v>
      </c>
      <c r="H159" s="126">
        <v>4421272</v>
      </c>
      <c r="I159" s="127">
        <v>1099588</v>
      </c>
      <c r="J159" s="128">
        <v>492543</v>
      </c>
      <c r="K159" s="130">
        <v>6013403</v>
      </c>
      <c r="L159" s="44">
        <v>93086</v>
      </c>
      <c r="M159" s="44">
        <v>159587</v>
      </c>
      <c r="N159" s="44">
        <v>1802560</v>
      </c>
      <c r="O159" s="44">
        <v>86610</v>
      </c>
      <c r="P159" s="44">
        <v>77480</v>
      </c>
      <c r="Q159" s="44">
        <v>963886</v>
      </c>
      <c r="R159" s="44">
        <v>0</v>
      </c>
      <c r="S159" s="44">
        <v>0</v>
      </c>
      <c r="T159" s="44">
        <v>155009</v>
      </c>
      <c r="U159" s="44">
        <v>335460</v>
      </c>
      <c r="V159" s="44">
        <v>0</v>
      </c>
      <c r="W159" s="44">
        <v>425910</v>
      </c>
      <c r="X159" s="44">
        <v>171597</v>
      </c>
      <c r="Y159" s="44">
        <v>987525</v>
      </c>
      <c r="Z159" s="44">
        <v>282795</v>
      </c>
      <c r="AA159" s="44">
        <v>116956</v>
      </c>
      <c r="AB159" s="44">
        <v>101693</v>
      </c>
      <c r="AC159" s="44">
        <v>5760154</v>
      </c>
      <c r="AD159" s="44">
        <v>311633</v>
      </c>
      <c r="AE159" s="44">
        <v>165000</v>
      </c>
      <c r="AF159" s="44">
        <v>83924</v>
      </c>
      <c r="AG159" s="44">
        <v>6320711</v>
      </c>
      <c r="AH159" s="44">
        <v>297</v>
      </c>
      <c r="AI159" s="44">
        <v>20247</v>
      </c>
      <c r="AJ159" s="44">
        <v>21282</v>
      </c>
      <c r="AK159" s="44">
        <v>174149</v>
      </c>
      <c r="AL159" s="44">
        <v>57709</v>
      </c>
      <c r="AM159" s="44">
        <v>0.46299999999999997</v>
      </c>
      <c r="AN159" s="44">
        <v>0.54123737028951335</v>
      </c>
      <c r="AO159" s="44">
        <v>0.188</v>
      </c>
      <c r="AP159" s="44">
        <v>0.72923737028951341</v>
      </c>
      <c r="AQ159" s="44">
        <v>0.81410000000000005</v>
      </c>
      <c r="AR159" s="44">
        <v>11.78</v>
      </c>
    </row>
    <row r="160" spans="1:44">
      <c r="A160" t="s">
        <v>1380</v>
      </c>
      <c r="B160" t="s">
        <v>1381</v>
      </c>
      <c r="D160" t="s">
        <v>1639</v>
      </c>
      <c r="E160" s="44">
        <v>1538905</v>
      </c>
      <c r="F160" s="44">
        <v>3501115</v>
      </c>
      <c r="G160" s="44">
        <v>426775</v>
      </c>
      <c r="H160" s="126">
        <v>3927890</v>
      </c>
      <c r="I160" s="127">
        <v>2929119</v>
      </c>
      <c r="J160" s="128">
        <v>286735</v>
      </c>
      <c r="K160" s="130">
        <v>7143744</v>
      </c>
      <c r="L160" s="44">
        <v>72163</v>
      </c>
      <c r="M160" s="44">
        <v>188034</v>
      </c>
      <c r="N160" s="44">
        <v>1856674</v>
      </c>
      <c r="O160" s="44">
        <v>117784</v>
      </c>
      <c r="P160" s="44">
        <v>96775</v>
      </c>
      <c r="Q160" s="44">
        <v>815335</v>
      </c>
      <c r="R160" s="44">
        <v>137441</v>
      </c>
      <c r="S160" s="44">
        <v>0</v>
      </c>
      <c r="T160" s="44">
        <v>309314</v>
      </c>
      <c r="U160" s="44">
        <v>333452</v>
      </c>
      <c r="V160" s="44">
        <v>0</v>
      </c>
      <c r="W160" s="44">
        <v>390824</v>
      </c>
      <c r="X160" s="44">
        <v>217041</v>
      </c>
      <c r="Y160" s="44">
        <v>1089769</v>
      </c>
      <c r="Z160" s="44">
        <v>267184</v>
      </c>
      <c r="AA160" s="44">
        <v>193421</v>
      </c>
      <c r="AB160" s="44">
        <v>0</v>
      </c>
      <c r="AC160" s="44">
        <v>6085211</v>
      </c>
      <c r="AD160" s="44">
        <v>375789</v>
      </c>
      <c r="AE160" s="44">
        <v>530000</v>
      </c>
      <c r="AF160" s="44">
        <v>234355</v>
      </c>
      <c r="AG160" s="44">
        <v>7225355</v>
      </c>
      <c r="AH160" s="44">
        <v>415</v>
      </c>
      <c r="AI160" s="44">
        <v>17214</v>
      </c>
      <c r="AJ160" s="44">
        <v>17410</v>
      </c>
      <c r="AK160" s="44">
        <v>278920</v>
      </c>
      <c r="AL160" s="44">
        <v>58646</v>
      </c>
      <c r="AM160" s="44">
        <v>0.60399999999999998</v>
      </c>
      <c r="AN160" s="44">
        <v>0.50748717537062193</v>
      </c>
      <c r="AO160" s="44">
        <v>0.17299999999999999</v>
      </c>
      <c r="AP160" s="44">
        <v>0.68048717537062187</v>
      </c>
      <c r="AQ160" s="44">
        <v>0.80389999999999995</v>
      </c>
      <c r="AR160" s="44">
        <v>16.670000000000002</v>
      </c>
    </row>
    <row r="161" spans="1:44">
      <c r="A161" t="s">
        <v>1382</v>
      </c>
      <c r="B161" t="s">
        <v>1383</v>
      </c>
      <c r="D161" t="s">
        <v>1639</v>
      </c>
      <c r="E161" s="44">
        <v>444196</v>
      </c>
      <c r="F161" s="44">
        <v>463569</v>
      </c>
      <c r="G161" s="44">
        <v>154621</v>
      </c>
      <c r="H161" s="126">
        <v>618190</v>
      </c>
      <c r="I161" s="127">
        <v>4018602</v>
      </c>
      <c r="J161" s="128">
        <v>97009</v>
      </c>
      <c r="K161" s="130">
        <v>4733801</v>
      </c>
      <c r="L161" s="44">
        <v>85255</v>
      </c>
      <c r="M161" s="44">
        <v>169809</v>
      </c>
      <c r="N161" s="44">
        <v>1588881</v>
      </c>
      <c r="O161" s="44">
        <v>21398</v>
      </c>
      <c r="P161" s="44">
        <v>0</v>
      </c>
      <c r="Q161" s="44">
        <v>325938</v>
      </c>
      <c r="R161" s="44">
        <v>0</v>
      </c>
      <c r="S161" s="44">
        <v>0</v>
      </c>
      <c r="T161" s="44">
        <v>162549</v>
      </c>
      <c r="U161" s="44">
        <v>261583</v>
      </c>
      <c r="V161" s="44">
        <v>2000</v>
      </c>
      <c r="W161" s="44">
        <v>309655</v>
      </c>
      <c r="X161" s="44">
        <v>171980</v>
      </c>
      <c r="Y161" s="44">
        <v>474891</v>
      </c>
      <c r="Z161" s="44">
        <v>226242</v>
      </c>
      <c r="AA161" s="44">
        <v>52122</v>
      </c>
      <c r="AB161" s="44">
        <v>18000</v>
      </c>
      <c r="AC161" s="44">
        <v>3870303</v>
      </c>
      <c r="AD161" s="44">
        <v>206614</v>
      </c>
      <c r="AE161" s="44">
        <v>303600</v>
      </c>
      <c r="AF161" s="44">
        <v>213213</v>
      </c>
      <c r="AG161" s="44">
        <v>4593730</v>
      </c>
      <c r="AH161" s="44">
        <v>185</v>
      </c>
      <c r="AI161" s="44">
        <v>25588</v>
      </c>
      <c r="AJ161" s="44">
        <v>24831</v>
      </c>
      <c r="AK161" s="44">
        <v>1354532</v>
      </c>
      <c r="AL161" s="44">
        <v>117253</v>
      </c>
      <c r="AM161" s="44">
        <v>2.2530000000000001</v>
      </c>
      <c r="AN161" s="44">
        <v>0.51381970642593278</v>
      </c>
      <c r="AO161" s="44">
        <v>0.151</v>
      </c>
      <c r="AP161" s="44">
        <v>0.6648197064259328</v>
      </c>
      <c r="AQ161" s="44">
        <v>0.78890000000000005</v>
      </c>
      <c r="AR161" s="44">
        <v>10.9</v>
      </c>
    </row>
    <row r="162" spans="1:44">
      <c r="A162" t="s">
        <v>1384</v>
      </c>
      <c r="B162" t="s">
        <v>1385</v>
      </c>
      <c r="D162" t="s">
        <v>1639</v>
      </c>
      <c r="E162" s="44">
        <v>679885</v>
      </c>
      <c r="F162" s="44">
        <v>968382</v>
      </c>
      <c r="G162" s="44">
        <v>219991</v>
      </c>
      <c r="H162" s="126">
        <v>1188373</v>
      </c>
      <c r="I162" s="127">
        <v>3477287</v>
      </c>
      <c r="J162" s="128">
        <v>102920</v>
      </c>
      <c r="K162" s="130">
        <v>4768580</v>
      </c>
      <c r="L162" s="44">
        <v>44809</v>
      </c>
      <c r="M162" s="44">
        <v>214144</v>
      </c>
      <c r="N162" s="44">
        <v>1440518</v>
      </c>
      <c r="O162" s="44">
        <v>141136</v>
      </c>
      <c r="P162" s="44">
        <v>75000</v>
      </c>
      <c r="Q162" s="44">
        <v>134034</v>
      </c>
      <c r="R162" s="44">
        <v>0</v>
      </c>
      <c r="S162" s="44">
        <v>41248</v>
      </c>
      <c r="T162" s="44">
        <v>134381</v>
      </c>
      <c r="U162" s="44">
        <v>149494</v>
      </c>
      <c r="V162" s="44">
        <v>2955</v>
      </c>
      <c r="W162" s="44">
        <v>307918</v>
      </c>
      <c r="X162" s="44">
        <v>156915</v>
      </c>
      <c r="Y162" s="44">
        <v>641333</v>
      </c>
      <c r="Z162" s="44">
        <v>278106</v>
      </c>
      <c r="AA162" s="44">
        <v>46803</v>
      </c>
      <c r="AB162" s="44">
        <v>90000</v>
      </c>
      <c r="AC162" s="44">
        <v>3898794</v>
      </c>
      <c r="AD162" s="44">
        <v>164577</v>
      </c>
      <c r="AE162" s="44">
        <v>225000</v>
      </c>
      <c r="AF162" s="44">
        <v>31500</v>
      </c>
      <c r="AG162" s="44">
        <v>4319871</v>
      </c>
      <c r="AH162" s="44">
        <v>134</v>
      </c>
      <c r="AI162" s="44">
        <v>35586</v>
      </c>
      <c r="AJ162" s="44">
        <v>32238</v>
      </c>
      <c r="AK162" s="44">
        <v>949228</v>
      </c>
      <c r="AL162" s="44">
        <v>65038</v>
      </c>
      <c r="AM162" s="44">
        <v>1.5070000000000001</v>
      </c>
      <c r="AN162" s="44">
        <v>0.48978569035973529</v>
      </c>
      <c r="AO162" s="44">
        <v>0.20399999999999999</v>
      </c>
      <c r="AP162" s="44">
        <v>0.69378569035973525</v>
      </c>
      <c r="AQ162" s="44">
        <v>0.76819999999999999</v>
      </c>
      <c r="AR162" s="44">
        <v>17.57</v>
      </c>
    </row>
    <row r="163" spans="1:44">
      <c r="A163" t="s">
        <v>1386</v>
      </c>
      <c r="B163" t="s">
        <v>1387</v>
      </c>
      <c r="D163" t="s">
        <v>1639</v>
      </c>
      <c r="E163" s="44">
        <v>39570</v>
      </c>
      <c r="F163" s="44">
        <v>8382343</v>
      </c>
      <c r="G163" s="44">
        <v>1042098</v>
      </c>
      <c r="H163" s="126">
        <v>9424441</v>
      </c>
      <c r="I163" s="127">
        <v>2394822</v>
      </c>
      <c r="J163" s="128">
        <v>751833</v>
      </c>
      <c r="K163" s="130">
        <v>12571096</v>
      </c>
      <c r="L163" s="44">
        <v>103862</v>
      </c>
      <c r="M163" s="44">
        <v>275101</v>
      </c>
      <c r="N163" s="44">
        <v>3955513</v>
      </c>
      <c r="O163" s="44">
        <v>137142</v>
      </c>
      <c r="P163" s="44">
        <v>211699</v>
      </c>
      <c r="Q163" s="44">
        <v>782699</v>
      </c>
      <c r="R163" s="44">
        <v>3158</v>
      </c>
      <c r="S163" s="44">
        <v>0</v>
      </c>
      <c r="T163" s="44">
        <v>634308</v>
      </c>
      <c r="U163" s="44">
        <v>521459</v>
      </c>
      <c r="V163" s="44">
        <v>2500</v>
      </c>
      <c r="W163" s="44">
        <v>576584</v>
      </c>
      <c r="X163" s="44">
        <v>380387</v>
      </c>
      <c r="Y163" s="44">
        <v>1959982</v>
      </c>
      <c r="Z163" s="44">
        <v>739471</v>
      </c>
      <c r="AA163" s="44">
        <v>358521</v>
      </c>
      <c r="AB163" s="44">
        <v>0</v>
      </c>
      <c r="AC163" s="44">
        <v>10642386</v>
      </c>
      <c r="AD163" s="44">
        <v>559186</v>
      </c>
      <c r="AE163" s="44">
        <v>614229</v>
      </c>
      <c r="AF163" s="44">
        <v>605074</v>
      </c>
      <c r="AG163" s="44">
        <v>12420875</v>
      </c>
      <c r="AH163" s="44">
        <v>769</v>
      </c>
      <c r="AI163" s="44">
        <v>16347</v>
      </c>
      <c r="AJ163" s="44">
        <v>16152</v>
      </c>
      <c r="AK163" s="44">
        <v>140704</v>
      </c>
      <c r="AL163" s="44">
        <v>56464</v>
      </c>
      <c r="AM163" s="44">
        <v>0.41499999999999998</v>
      </c>
      <c r="AN163" s="44">
        <v>0.5028613523604416</v>
      </c>
      <c r="AO163" s="44">
        <v>0.21199999999999999</v>
      </c>
      <c r="AP163" s="44">
        <v>0.71486135236044157</v>
      </c>
      <c r="AQ163" s="44">
        <v>0.83460000000000001</v>
      </c>
      <c r="AR163" s="44">
        <v>15.87</v>
      </c>
    </row>
    <row r="164" spans="1:44">
      <c r="A164" t="s">
        <v>1388</v>
      </c>
      <c r="B164" t="s">
        <v>1389</v>
      </c>
      <c r="D164" t="s">
        <v>1639</v>
      </c>
      <c r="E164" s="44">
        <v>505208</v>
      </c>
      <c r="F164" s="44">
        <v>665604</v>
      </c>
      <c r="G164" s="44">
        <v>19868</v>
      </c>
      <c r="H164" s="126">
        <v>685472</v>
      </c>
      <c r="I164" s="127">
        <v>3269998</v>
      </c>
      <c r="J164" s="128">
        <v>55723</v>
      </c>
      <c r="K164" s="130">
        <v>4011193</v>
      </c>
      <c r="L164" s="44">
        <v>95153</v>
      </c>
      <c r="M164" s="44">
        <v>163610</v>
      </c>
      <c r="N164" s="44">
        <v>903016</v>
      </c>
      <c r="O164" s="44">
        <v>17802</v>
      </c>
      <c r="P164" s="44">
        <v>3843</v>
      </c>
      <c r="Q164" s="44">
        <v>224677</v>
      </c>
      <c r="R164" s="44">
        <v>0</v>
      </c>
      <c r="S164" s="44">
        <v>0</v>
      </c>
      <c r="T164" s="44">
        <v>258303</v>
      </c>
      <c r="U164" s="44">
        <v>120684</v>
      </c>
      <c r="V164" s="44">
        <v>3723</v>
      </c>
      <c r="W164" s="44">
        <v>376087</v>
      </c>
      <c r="X164" s="44">
        <v>150907</v>
      </c>
      <c r="Y164" s="44">
        <v>729130</v>
      </c>
      <c r="Z164" s="44">
        <v>179623</v>
      </c>
      <c r="AA164" s="44">
        <v>15676</v>
      </c>
      <c r="AB164" s="44">
        <v>357000</v>
      </c>
      <c r="AC164" s="44">
        <v>3599234</v>
      </c>
      <c r="AD164" s="44">
        <v>178116</v>
      </c>
      <c r="AE164" s="44">
        <v>155000</v>
      </c>
      <c r="AF164" s="44">
        <v>121699</v>
      </c>
      <c r="AG164" s="44">
        <v>4054049</v>
      </c>
      <c r="AH164" s="44">
        <v>58</v>
      </c>
      <c r="AI164" s="44">
        <v>69159</v>
      </c>
      <c r="AJ164" s="44">
        <v>69897</v>
      </c>
      <c r="AK164" s="44">
        <v>3079242</v>
      </c>
      <c r="AL164" s="44">
        <v>91753</v>
      </c>
      <c r="AM164" s="44">
        <v>4.4039999999999999</v>
      </c>
      <c r="AN164" s="44">
        <v>0.37698730331083813</v>
      </c>
      <c r="AO164" s="44">
        <v>0.19700000000000001</v>
      </c>
      <c r="AP164" s="44">
        <v>0.57398730331083814</v>
      </c>
      <c r="AQ164" s="44">
        <v>0.69989999999999997</v>
      </c>
      <c r="AR164" s="44">
        <v>11.89</v>
      </c>
    </row>
    <row r="165" spans="1:44">
      <c r="A165" t="s">
        <v>1390</v>
      </c>
      <c r="B165" t="s">
        <v>1391</v>
      </c>
      <c r="D165" t="s">
        <v>1639</v>
      </c>
      <c r="E165" s="44">
        <v>179618</v>
      </c>
      <c r="F165" s="44">
        <v>2314054</v>
      </c>
      <c r="G165" s="44">
        <v>559018</v>
      </c>
      <c r="H165" s="126">
        <v>2873072</v>
      </c>
      <c r="I165" s="127">
        <v>11245320</v>
      </c>
      <c r="J165" s="128">
        <v>625340</v>
      </c>
      <c r="K165" s="130">
        <v>14743732</v>
      </c>
      <c r="L165" s="44">
        <v>62864</v>
      </c>
      <c r="M165" s="44">
        <v>404389</v>
      </c>
      <c r="N165" s="44">
        <v>5114607</v>
      </c>
      <c r="O165" s="44">
        <v>285722</v>
      </c>
      <c r="P165" s="44">
        <v>193305</v>
      </c>
      <c r="Q165" s="44">
        <v>756721</v>
      </c>
      <c r="R165" s="44">
        <v>54196</v>
      </c>
      <c r="S165" s="44">
        <v>0</v>
      </c>
      <c r="T165" s="44">
        <v>765946</v>
      </c>
      <c r="U165" s="44">
        <v>838622</v>
      </c>
      <c r="V165" s="44">
        <v>0</v>
      </c>
      <c r="W165" s="44">
        <v>827632</v>
      </c>
      <c r="X165" s="44">
        <v>505454</v>
      </c>
      <c r="Y165" s="44">
        <v>1803343</v>
      </c>
      <c r="Z165" s="44">
        <v>815456</v>
      </c>
      <c r="AA165" s="44">
        <v>215255</v>
      </c>
      <c r="AB165" s="44">
        <v>342000</v>
      </c>
      <c r="AC165" s="44">
        <v>12985512</v>
      </c>
      <c r="AD165" s="44">
        <v>730054</v>
      </c>
      <c r="AE165" s="44">
        <v>635038</v>
      </c>
      <c r="AF165" s="44">
        <v>409866</v>
      </c>
      <c r="AG165" s="44">
        <v>14760470</v>
      </c>
      <c r="AH165" s="44">
        <v>792</v>
      </c>
      <c r="AI165" s="44">
        <v>18616</v>
      </c>
      <c r="AJ165" s="44">
        <v>18637</v>
      </c>
      <c r="AK165" s="44">
        <v>876506</v>
      </c>
      <c r="AL165" s="44">
        <v>114538</v>
      </c>
      <c r="AM165" s="44">
        <v>1.6159999999999999</v>
      </c>
      <c r="AN165" s="44">
        <v>0.54260596037931041</v>
      </c>
      <c r="AO165" s="44">
        <v>0.17899999999999999</v>
      </c>
      <c r="AP165" s="44">
        <v>0.72160596037931035</v>
      </c>
      <c r="AQ165" s="44">
        <v>0.83879999999999999</v>
      </c>
      <c r="AR165" s="44">
        <v>8.3000000000000007</v>
      </c>
    </row>
    <row r="166" spans="1:44">
      <c r="A166" t="s">
        <v>1392</v>
      </c>
      <c r="B166" t="s">
        <v>1393</v>
      </c>
      <c r="D166" t="s">
        <v>1639</v>
      </c>
      <c r="E166" s="44">
        <v>537293</v>
      </c>
      <c r="F166" s="44">
        <v>862806</v>
      </c>
      <c r="G166" s="44">
        <v>239275</v>
      </c>
      <c r="H166" s="126">
        <v>1102081</v>
      </c>
      <c r="I166" s="127">
        <v>4324494</v>
      </c>
      <c r="J166" s="128">
        <v>233354</v>
      </c>
      <c r="K166" s="130">
        <v>5659929</v>
      </c>
      <c r="L166" s="44">
        <v>71367</v>
      </c>
      <c r="M166" s="44">
        <v>193556</v>
      </c>
      <c r="N166" s="44">
        <v>1780814</v>
      </c>
      <c r="O166" s="44">
        <v>48031</v>
      </c>
      <c r="P166" s="44">
        <v>31916</v>
      </c>
      <c r="Q166" s="44">
        <v>408636</v>
      </c>
      <c r="R166" s="44">
        <v>0</v>
      </c>
      <c r="S166" s="44">
        <v>112496</v>
      </c>
      <c r="T166" s="44">
        <v>287627</v>
      </c>
      <c r="U166" s="44">
        <v>289992</v>
      </c>
      <c r="V166" s="44">
        <v>2000</v>
      </c>
      <c r="W166" s="44">
        <v>432979</v>
      </c>
      <c r="X166" s="44">
        <v>174825</v>
      </c>
      <c r="Y166" s="44">
        <v>801197</v>
      </c>
      <c r="Z166" s="44">
        <v>265116</v>
      </c>
      <c r="AA166" s="44">
        <v>56221</v>
      </c>
      <c r="AB166" s="44">
        <v>14680</v>
      </c>
      <c r="AC166" s="44">
        <v>4971453</v>
      </c>
      <c r="AD166" s="44">
        <v>355050</v>
      </c>
      <c r="AE166" s="44">
        <v>135500</v>
      </c>
      <c r="AF166" s="44">
        <v>10489</v>
      </c>
      <c r="AG166" s="44">
        <v>5472492</v>
      </c>
      <c r="AH166" s="44">
        <v>275</v>
      </c>
      <c r="AI166" s="44">
        <v>20582</v>
      </c>
      <c r="AJ166" s="44">
        <v>19900</v>
      </c>
      <c r="AK166" s="44">
        <v>1105913</v>
      </c>
      <c r="AL166" s="44">
        <v>74907</v>
      </c>
      <c r="AM166" s="44">
        <v>1.7529999999999999</v>
      </c>
      <c r="AN166" s="44">
        <v>0.54079786685846232</v>
      </c>
      <c r="AO166" s="44">
        <v>0.18099999999999999</v>
      </c>
      <c r="AP166" s="44">
        <v>0.72179786685846237</v>
      </c>
      <c r="AQ166" s="44">
        <v>0.79490000000000005</v>
      </c>
      <c r="AR166" s="44">
        <v>7.95</v>
      </c>
    </row>
    <row r="167" spans="1:44">
      <c r="A167" t="s">
        <v>1394</v>
      </c>
      <c r="B167" t="s">
        <v>1395</v>
      </c>
      <c r="D167" t="s">
        <v>1639</v>
      </c>
      <c r="E167" s="44">
        <v>610173</v>
      </c>
      <c r="F167" s="44">
        <v>5485507</v>
      </c>
      <c r="G167" s="44">
        <v>626461</v>
      </c>
      <c r="H167" s="126">
        <v>6111968</v>
      </c>
      <c r="I167" s="127">
        <v>8924931</v>
      </c>
      <c r="J167" s="128">
        <v>1421469</v>
      </c>
      <c r="K167" s="130">
        <v>16458368</v>
      </c>
      <c r="L167" s="44">
        <v>74036</v>
      </c>
      <c r="M167" s="44">
        <v>391688</v>
      </c>
      <c r="N167" s="44">
        <v>5512321</v>
      </c>
      <c r="O167" s="44">
        <v>295879</v>
      </c>
      <c r="P167" s="44">
        <v>320527</v>
      </c>
      <c r="Q167" s="44">
        <v>739780</v>
      </c>
      <c r="R167" s="44">
        <v>0</v>
      </c>
      <c r="S167" s="44">
        <v>10426</v>
      </c>
      <c r="T167" s="44">
        <v>1260590</v>
      </c>
      <c r="U167" s="44">
        <v>1056257</v>
      </c>
      <c r="V167" s="44">
        <v>0</v>
      </c>
      <c r="W167" s="44">
        <v>1303994</v>
      </c>
      <c r="X167" s="44">
        <v>645072</v>
      </c>
      <c r="Y167" s="44">
        <v>2315686</v>
      </c>
      <c r="Z167" s="44">
        <v>997353</v>
      </c>
      <c r="AA167" s="44">
        <v>211668</v>
      </c>
      <c r="AB167" s="44">
        <v>0</v>
      </c>
      <c r="AC167" s="44">
        <v>15135277</v>
      </c>
      <c r="AD167" s="44">
        <v>688796</v>
      </c>
      <c r="AE167" s="44">
        <v>443400</v>
      </c>
      <c r="AF167" s="44">
        <v>408121</v>
      </c>
      <c r="AG167" s="44">
        <v>16675594</v>
      </c>
      <c r="AH167" s="44">
        <v>957</v>
      </c>
      <c r="AI167" s="44">
        <v>17198</v>
      </c>
      <c r="AJ167" s="44">
        <v>17425</v>
      </c>
      <c r="AK167" s="44">
        <v>522984</v>
      </c>
      <c r="AL167" s="44">
        <v>67151</v>
      </c>
      <c r="AM167" s="44">
        <v>0.95900000000000007</v>
      </c>
      <c r="AN167" s="44">
        <v>0.55145142056109064</v>
      </c>
      <c r="AO167" s="44">
        <v>0.20599999999999999</v>
      </c>
      <c r="AP167" s="44">
        <v>0.7574514205610906</v>
      </c>
      <c r="AQ167" s="44">
        <v>0.83409999999999995</v>
      </c>
      <c r="AR167" s="44">
        <v>10.52</v>
      </c>
    </row>
    <row r="168" spans="1:44">
      <c r="A168" t="s">
        <v>1396</v>
      </c>
      <c r="B168" t="s">
        <v>1397</v>
      </c>
      <c r="D168" t="s">
        <v>1639</v>
      </c>
      <c r="E168" s="44">
        <v>142723</v>
      </c>
      <c r="F168" s="44">
        <v>1854218</v>
      </c>
      <c r="G168" s="44">
        <v>296263</v>
      </c>
      <c r="H168" s="126">
        <v>2150481</v>
      </c>
      <c r="I168" s="127">
        <v>2578836</v>
      </c>
      <c r="J168" s="128">
        <v>375600</v>
      </c>
      <c r="K168" s="130">
        <v>5104917</v>
      </c>
      <c r="L168" s="44">
        <v>80889</v>
      </c>
      <c r="M168" s="44">
        <v>171088</v>
      </c>
      <c r="N168" s="44">
        <v>1403070</v>
      </c>
      <c r="O168" s="44">
        <v>95607</v>
      </c>
      <c r="P168" s="44">
        <v>178352</v>
      </c>
      <c r="Q168" s="44">
        <v>357685</v>
      </c>
      <c r="R168" s="44">
        <v>0</v>
      </c>
      <c r="S168" s="44">
        <v>0</v>
      </c>
      <c r="T168" s="44">
        <v>229800</v>
      </c>
      <c r="U168" s="44">
        <v>228724</v>
      </c>
      <c r="V168" s="44">
        <v>0</v>
      </c>
      <c r="W168" s="44">
        <v>273471</v>
      </c>
      <c r="X168" s="44">
        <v>223980</v>
      </c>
      <c r="Y168" s="44">
        <v>677727</v>
      </c>
      <c r="Z168" s="44">
        <v>335308</v>
      </c>
      <c r="AA168" s="44">
        <v>56980</v>
      </c>
      <c r="AB168" s="44">
        <v>10000</v>
      </c>
      <c r="AC168" s="44">
        <v>4322681</v>
      </c>
      <c r="AD168" s="44">
        <v>191369</v>
      </c>
      <c r="AE168" s="44">
        <v>261163</v>
      </c>
      <c r="AF168" s="44">
        <v>145687</v>
      </c>
      <c r="AG168" s="44">
        <v>4920900</v>
      </c>
      <c r="AH168" s="44">
        <v>322</v>
      </c>
      <c r="AI168" s="44">
        <v>15854</v>
      </c>
      <c r="AJ168" s="44">
        <v>15282</v>
      </c>
      <c r="AK168" s="44">
        <v>506079</v>
      </c>
      <c r="AL168" s="44">
        <v>87015</v>
      </c>
      <c r="AM168" s="44">
        <v>1.0190000000000001</v>
      </c>
      <c r="AN168" s="44">
        <v>0.50666300879920345</v>
      </c>
      <c r="AO168" s="44">
        <v>0.20300000000000001</v>
      </c>
      <c r="AP168" s="44">
        <v>0.70966300879920352</v>
      </c>
      <c r="AQ168" s="44">
        <v>0.80789999999999995</v>
      </c>
      <c r="AR168" s="44">
        <v>15.8</v>
      </c>
    </row>
    <row r="169" spans="1:44">
      <c r="A169" t="s">
        <v>1398</v>
      </c>
      <c r="B169" t="s">
        <v>1399</v>
      </c>
      <c r="D169" t="s">
        <v>1639</v>
      </c>
      <c r="E169" s="44">
        <v>485600</v>
      </c>
      <c r="F169" s="44">
        <v>2184037</v>
      </c>
      <c r="G169" s="44">
        <v>541951</v>
      </c>
      <c r="H169" s="126">
        <v>2725988</v>
      </c>
      <c r="I169" s="127">
        <v>4418048</v>
      </c>
      <c r="J169" s="128">
        <v>214227</v>
      </c>
      <c r="K169" s="130">
        <v>7358263</v>
      </c>
      <c r="L169" s="44">
        <v>29683</v>
      </c>
      <c r="M169" s="44">
        <v>249886</v>
      </c>
      <c r="N169" s="44">
        <v>2038393</v>
      </c>
      <c r="O169" s="44">
        <v>94944</v>
      </c>
      <c r="P169" s="44">
        <v>5500</v>
      </c>
      <c r="Q169" s="44">
        <v>404358</v>
      </c>
      <c r="R169" s="44">
        <v>0</v>
      </c>
      <c r="S169" s="44">
        <v>0</v>
      </c>
      <c r="T169" s="44">
        <v>229763</v>
      </c>
      <c r="U169" s="44">
        <v>375716</v>
      </c>
      <c r="V169" s="44">
        <v>0</v>
      </c>
      <c r="W169" s="44">
        <v>444222</v>
      </c>
      <c r="X169" s="44">
        <v>196870</v>
      </c>
      <c r="Y169" s="44">
        <v>959607</v>
      </c>
      <c r="Z169" s="44">
        <v>281235</v>
      </c>
      <c r="AA169" s="44">
        <v>105235</v>
      </c>
      <c r="AB169" s="44">
        <v>17500</v>
      </c>
      <c r="AC169" s="44">
        <v>5432912</v>
      </c>
      <c r="AD169" s="44">
        <v>316594</v>
      </c>
      <c r="AE169" s="44">
        <v>270000</v>
      </c>
      <c r="AF169" s="44">
        <v>550753</v>
      </c>
      <c r="AG169" s="44">
        <v>6570259</v>
      </c>
      <c r="AH169" s="44">
        <v>350</v>
      </c>
      <c r="AI169" s="44">
        <v>21024</v>
      </c>
      <c r="AJ169" s="44">
        <v>18772</v>
      </c>
      <c r="AK169" s="44">
        <v>509872</v>
      </c>
      <c r="AL169" s="44">
        <v>73029</v>
      </c>
      <c r="AM169" s="44">
        <v>0.96599999999999997</v>
      </c>
      <c r="AN169" s="44">
        <v>0.47923133623803871</v>
      </c>
      <c r="AO169" s="44">
        <v>0.17699999999999999</v>
      </c>
      <c r="AP169" s="44">
        <v>0.65623133623803875</v>
      </c>
      <c r="AQ169" s="44">
        <v>0.79359999999999997</v>
      </c>
      <c r="AR169" s="44">
        <v>15.65</v>
      </c>
    </row>
    <row r="170" spans="1:44">
      <c r="A170" t="s">
        <v>1400</v>
      </c>
      <c r="B170" t="s">
        <v>1401</v>
      </c>
      <c r="D170" t="s">
        <v>1639</v>
      </c>
      <c r="E170" s="44">
        <v>674516</v>
      </c>
      <c r="F170" s="44">
        <v>7914998</v>
      </c>
      <c r="G170" s="44">
        <v>884957</v>
      </c>
      <c r="H170" s="126">
        <v>8799955</v>
      </c>
      <c r="I170" s="127">
        <v>5305991</v>
      </c>
      <c r="J170" s="128">
        <v>704908</v>
      </c>
      <c r="K170" s="130">
        <v>14810854</v>
      </c>
      <c r="L170" s="44">
        <v>70183</v>
      </c>
      <c r="M170" s="44">
        <v>359797</v>
      </c>
      <c r="N170" s="44">
        <v>4853837</v>
      </c>
      <c r="O170" s="44">
        <v>245330</v>
      </c>
      <c r="P170" s="44">
        <v>255555</v>
      </c>
      <c r="Q170" s="44">
        <v>1409740</v>
      </c>
      <c r="R170" s="44">
        <v>0</v>
      </c>
      <c r="S170" s="44">
        <v>4109</v>
      </c>
      <c r="T170" s="44">
        <v>737818</v>
      </c>
      <c r="U170" s="44">
        <v>851063</v>
      </c>
      <c r="V170" s="44">
        <v>0</v>
      </c>
      <c r="W170" s="44">
        <v>787186</v>
      </c>
      <c r="X170" s="44">
        <v>514366</v>
      </c>
      <c r="Y170" s="44">
        <v>1947347</v>
      </c>
      <c r="Z170" s="44">
        <v>736752</v>
      </c>
      <c r="AA170" s="44">
        <v>256498</v>
      </c>
      <c r="AB170" s="44">
        <v>8455</v>
      </c>
      <c r="AC170" s="44">
        <v>13038036</v>
      </c>
      <c r="AD170" s="44">
        <v>517461</v>
      </c>
      <c r="AE170" s="44">
        <v>935000</v>
      </c>
      <c r="AF170" s="44">
        <v>390735</v>
      </c>
      <c r="AG170" s="44">
        <v>14881232</v>
      </c>
      <c r="AH170" s="44">
        <v>1029</v>
      </c>
      <c r="AI170" s="44">
        <v>14393</v>
      </c>
      <c r="AJ170" s="44">
        <v>14462</v>
      </c>
      <c r="AK170" s="44">
        <v>260110</v>
      </c>
      <c r="AL170" s="44">
        <v>63624</v>
      </c>
      <c r="AM170" s="44">
        <v>0.60099999999999998</v>
      </c>
      <c r="AN170" s="44">
        <v>0.56161022151929352</v>
      </c>
      <c r="AO170" s="44">
        <v>0.187</v>
      </c>
      <c r="AP170" s="44">
        <v>0.74861022151929357</v>
      </c>
      <c r="AQ170" s="44">
        <v>0.85450000000000004</v>
      </c>
      <c r="AR170" s="44">
        <v>12.58</v>
      </c>
    </row>
    <row r="171" spans="1:44">
      <c r="A171" t="s">
        <v>1402</v>
      </c>
      <c r="B171" t="s">
        <v>1403</v>
      </c>
      <c r="D171" t="s">
        <v>1639</v>
      </c>
      <c r="E171" s="44">
        <v>942461</v>
      </c>
      <c r="F171" s="44">
        <v>6093879</v>
      </c>
      <c r="G171" s="44">
        <v>702178</v>
      </c>
      <c r="H171" s="126">
        <v>6796057</v>
      </c>
      <c r="I171" s="127">
        <v>2338882</v>
      </c>
      <c r="J171" s="128">
        <v>444130</v>
      </c>
      <c r="K171" s="130">
        <v>9579069</v>
      </c>
      <c r="L171" s="44">
        <v>70106</v>
      </c>
      <c r="M171" s="44">
        <v>232089</v>
      </c>
      <c r="N171" s="44">
        <v>2552047</v>
      </c>
      <c r="O171" s="44">
        <v>77754</v>
      </c>
      <c r="P171" s="44">
        <v>145010</v>
      </c>
      <c r="Q171" s="44">
        <v>1268873</v>
      </c>
      <c r="R171" s="44">
        <v>0</v>
      </c>
      <c r="S171" s="44">
        <v>0</v>
      </c>
      <c r="T171" s="44">
        <v>368200</v>
      </c>
      <c r="U171" s="44">
        <v>324961</v>
      </c>
      <c r="V171" s="44">
        <v>0</v>
      </c>
      <c r="W171" s="44">
        <v>631089</v>
      </c>
      <c r="X171" s="44">
        <v>241104</v>
      </c>
      <c r="Y171" s="44">
        <v>1050170</v>
      </c>
      <c r="Z171" s="44">
        <v>474521</v>
      </c>
      <c r="AA171" s="44">
        <v>308795</v>
      </c>
      <c r="AB171" s="44">
        <v>40617</v>
      </c>
      <c r="AC171" s="44">
        <v>7785336</v>
      </c>
      <c r="AD171" s="44">
        <v>432294</v>
      </c>
      <c r="AE171" s="44">
        <v>774215</v>
      </c>
      <c r="AF171" s="44">
        <v>345685</v>
      </c>
      <c r="AG171" s="44">
        <v>9337530</v>
      </c>
      <c r="AH171" s="44">
        <v>612</v>
      </c>
      <c r="AI171" s="44">
        <v>15652</v>
      </c>
      <c r="AJ171" s="44">
        <v>15257</v>
      </c>
      <c r="AK171" s="44">
        <v>148912</v>
      </c>
      <c r="AL171" s="44">
        <v>53257</v>
      </c>
      <c r="AM171" s="44">
        <v>0.41200000000000003</v>
      </c>
      <c r="AN171" s="44">
        <v>0.50729100736490274</v>
      </c>
      <c r="AO171" s="44">
        <v>0.14899999999999999</v>
      </c>
      <c r="AP171" s="44">
        <v>0.65629100736490276</v>
      </c>
      <c r="AQ171" s="44">
        <v>0.78759999999999997</v>
      </c>
      <c r="AR171" s="44">
        <v>16.989999999999998</v>
      </c>
    </row>
    <row r="172" spans="1:44">
      <c r="A172" t="s">
        <v>1404</v>
      </c>
      <c r="B172" t="s">
        <v>1405</v>
      </c>
      <c r="D172" t="s">
        <v>1639</v>
      </c>
      <c r="E172" s="44">
        <v>3932314</v>
      </c>
      <c r="F172" s="44">
        <v>23185681</v>
      </c>
      <c r="G172" s="44">
        <v>576473</v>
      </c>
      <c r="H172" s="126">
        <v>23762154</v>
      </c>
      <c r="I172" s="127">
        <v>4429236</v>
      </c>
      <c r="J172" s="128">
        <v>2629441</v>
      </c>
      <c r="K172" s="130">
        <v>30820831</v>
      </c>
      <c r="L172" s="44">
        <v>135315</v>
      </c>
      <c r="M172" s="44">
        <v>450884</v>
      </c>
      <c r="N172" s="44">
        <v>8292104</v>
      </c>
      <c r="O172" s="44">
        <v>509870</v>
      </c>
      <c r="P172" s="44">
        <v>503572</v>
      </c>
      <c r="Q172" s="44">
        <v>3170724</v>
      </c>
      <c r="R172" s="44">
        <v>0</v>
      </c>
      <c r="S172" s="44">
        <v>64445</v>
      </c>
      <c r="T172" s="44">
        <v>1719932</v>
      </c>
      <c r="U172" s="44">
        <v>1380521</v>
      </c>
      <c r="V172" s="44">
        <v>11330</v>
      </c>
      <c r="W172" s="44">
        <v>2192341</v>
      </c>
      <c r="X172" s="44">
        <v>694581</v>
      </c>
      <c r="Y172" s="44">
        <v>4041450</v>
      </c>
      <c r="Z172" s="44">
        <v>2049020</v>
      </c>
      <c r="AA172" s="44">
        <v>473552</v>
      </c>
      <c r="AB172" s="44">
        <v>515976</v>
      </c>
      <c r="AC172" s="44">
        <v>26205617</v>
      </c>
      <c r="AD172" s="44">
        <v>1380019</v>
      </c>
      <c r="AE172" s="44">
        <v>827434</v>
      </c>
      <c r="AF172" s="44">
        <v>581194</v>
      </c>
      <c r="AG172" s="44">
        <v>28994264</v>
      </c>
      <c r="AH172" s="44">
        <v>1545</v>
      </c>
      <c r="AI172" s="44">
        <v>19949</v>
      </c>
      <c r="AJ172" s="44">
        <v>18767</v>
      </c>
      <c r="AK172" s="44">
        <v>54202</v>
      </c>
      <c r="AL172" s="44">
        <v>28859</v>
      </c>
      <c r="AM172" s="44">
        <v>0.188</v>
      </c>
      <c r="AN172" s="44">
        <v>0.53945732162747773</v>
      </c>
      <c r="AO172" s="44">
        <v>0.19900000000000001</v>
      </c>
      <c r="AP172" s="44">
        <v>0.73845732162747768</v>
      </c>
      <c r="AQ172" s="44">
        <v>0.82679999999999998</v>
      </c>
      <c r="AR172" s="44">
        <v>38.43</v>
      </c>
    </row>
    <row r="173" spans="1:44">
      <c r="A173" t="s">
        <v>1406</v>
      </c>
      <c r="B173" t="s">
        <v>1407</v>
      </c>
      <c r="D173" t="s">
        <v>1639</v>
      </c>
      <c r="E173" s="44">
        <v>1657114</v>
      </c>
      <c r="F173" s="44">
        <v>8026768</v>
      </c>
      <c r="G173" s="44">
        <v>1221766</v>
      </c>
      <c r="H173" s="126">
        <v>9248534</v>
      </c>
      <c r="I173" s="127">
        <v>15451960</v>
      </c>
      <c r="J173" s="128">
        <v>694375</v>
      </c>
      <c r="K173" s="130">
        <v>25394869</v>
      </c>
      <c r="L173" s="44">
        <v>133819</v>
      </c>
      <c r="M173" s="44">
        <v>615883</v>
      </c>
      <c r="N173" s="44">
        <v>8740454</v>
      </c>
      <c r="O173" s="44">
        <v>1066224</v>
      </c>
      <c r="P173" s="44">
        <v>300427</v>
      </c>
      <c r="Q173" s="44">
        <v>746482</v>
      </c>
      <c r="R173" s="44">
        <v>0</v>
      </c>
      <c r="S173" s="44">
        <v>0</v>
      </c>
      <c r="T173" s="44">
        <v>1130145</v>
      </c>
      <c r="U173" s="44">
        <v>1282197</v>
      </c>
      <c r="V173" s="44">
        <v>0</v>
      </c>
      <c r="W173" s="44">
        <v>1929905</v>
      </c>
      <c r="X173" s="44">
        <v>975000</v>
      </c>
      <c r="Y173" s="44">
        <v>3614205</v>
      </c>
      <c r="Z173" s="44">
        <v>1530166</v>
      </c>
      <c r="AA173" s="44">
        <v>489232</v>
      </c>
      <c r="AB173" s="44">
        <v>25000</v>
      </c>
      <c r="AC173" s="44">
        <v>22579139</v>
      </c>
      <c r="AD173" s="44">
        <v>1287698</v>
      </c>
      <c r="AE173" s="44">
        <v>736769</v>
      </c>
      <c r="AF173" s="44">
        <v>281553</v>
      </c>
      <c r="AG173" s="44">
        <v>24885159</v>
      </c>
      <c r="AH173" s="44">
        <v>1519</v>
      </c>
      <c r="AI173" s="44">
        <v>16718</v>
      </c>
      <c r="AJ173" s="44">
        <v>16383</v>
      </c>
      <c r="AK173" s="44">
        <v>538340</v>
      </c>
      <c r="AL173" s="44">
        <v>81757</v>
      </c>
      <c r="AM173" s="44">
        <v>1.0389999999999999</v>
      </c>
      <c r="AN173" s="44">
        <v>0.5330859650123192</v>
      </c>
      <c r="AO173" s="44">
        <v>0.21</v>
      </c>
      <c r="AP173" s="44">
        <v>0.74308596501231916</v>
      </c>
      <c r="AQ173" s="44">
        <v>0.81840000000000002</v>
      </c>
      <c r="AR173" s="44">
        <v>10.98</v>
      </c>
    </row>
    <row r="174" spans="1:44">
      <c r="A174" t="s">
        <v>1408</v>
      </c>
      <c r="B174" t="s">
        <v>1409</v>
      </c>
      <c r="D174" t="s">
        <v>1639</v>
      </c>
      <c r="E174" s="44">
        <v>2608974</v>
      </c>
      <c r="F174" s="44">
        <v>24481589</v>
      </c>
      <c r="G174" s="44">
        <v>2786666</v>
      </c>
      <c r="H174" s="126">
        <v>27268255</v>
      </c>
      <c r="I174" s="127">
        <v>9858134</v>
      </c>
      <c r="J174" s="128">
        <v>2660051</v>
      </c>
      <c r="K174" s="130">
        <v>39786440</v>
      </c>
      <c r="L174" s="44">
        <v>125779</v>
      </c>
      <c r="M174" s="44">
        <v>543839</v>
      </c>
      <c r="N174" s="44">
        <v>11159487</v>
      </c>
      <c r="O174" s="44">
        <v>643786</v>
      </c>
      <c r="P174" s="44">
        <v>856707</v>
      </c>
      <c r="Q174" s="44">
        <v>3915962</v>
      </c>
      <c r="R174" s="44">
        <v>64253</v>
      </c>
      <c r="S174" s="44">
        <v>120093</v>
      </c>
      <c r="T174" s="44">
        <v>2647812</v>
      </c>
      <c r="U174" s="44">
        <v>1249740</v>
      </c>
      <c r="V174" s="44">
        <v>119694</v>
      </c>
      <c r="W174" s="44">
        <v>2674935</v>
      </c>
      <c r="X174" s="44">
        <v>1072095</v>
      </c>
      <c r="Y174" s="44">
        <v>4904332</v>
      </c>
      <c r="Z174" s="44">
        <v>2487359</v>
      </c>
      <c r="AA174" s="44">
        <v>720453</v>
      </c>
      <c r="AB174" s="44">
        <v>650342</v>
      </c>
      <c r="AC174" s="44">
        <v>33956668</v>
      </c>
      <c r="AD174" s="44">
        <v>1252599</v>
      </c>
      <c r="AE174" s="44">
        <v>2237470</v>
      </c>
      <c r="AF174" s="44">
        <v>1140536</v>
      </c>
      <c r="AG174" s="44">
        <v>38587273</v>
      </c>
      <c r="AH174" s="44">
        <v>2490</v>
      </c>
      <c r="AI174" s="44">
        <v>15978</v>
      </c>
      <c r="AJ174" s="44">
        <v>15497</v>
      </c>
      <c r="AK174" s="44">
        <v>157673</v>
      </c>
      <c r="AL174" s="44">
        <v>63173</v>
      </c>
      <c r="AM174" s="44">
        <v>0.46500000000000002</v>
      </c>
      <c r="AN174" s="44">
        <v>0.53535371623695716</v>
      </c>
      <c r="AO174" s="44">
        <v>0.188</v>
      </c>
      <c r="AP174" s="44">
        <v>0.72335371623695721</v>
      </c>
      <c r="AQ174" s="44">
        <v>0.83689999999999998</v>
      </c>
      <c r="AR174" s="44">
        <v>17.45</v>
      </c>
    </row>
    <row r="175" spans="1:44">
      <c r="A175" t="s">
        <v>1410</v>
      </c>
      <c r="B175" t="s">
        <v>1411</v>
      </c>
      <c r="D175" t="s">
        <v>1639</v>
      </c>
      <c r="E175" s="44">
        <v>1388005</v>
      </c>
      <c r="F175" s="44">
        <v>10629529</v>
      </c>
      <c r="G175" s="44">
        <v>831701</v>
      </c>
      <c r="H175" s="126">
        <v>11461230</v>
      </c>
      <c r="I175" s="127">
        <v>1830874</v>
      </c>
      <c r="J175" s="128">
        <v>1124521</v>
      </c>
      <c r="K175" s="130">
        <v>14416625</v>
      </c>
      <c r="L175" s="44">
        <v>33781</v>
      </c>
      <c r="M175" s="44">
        <v>402581</v>
      </c>
      <c r="N175" s="44">
        <v>3941443</v>
      </c>
      <c r="O175" s="44">
        <v>142154</v>
      </c>
      <c r="P175" s="44">
        <v>127577</v>
      </c>
      <c r="Q175" s="44">
        <v>2269290</v>
      </c>
      <c r="R175" s="44">
        <v>1173</v>
      </c>
      <c r="S175" s="44">
        <v>0</v>
      </c>
      <c r="T175" s="44">
        <v>502918</v>
      </c>
      <c r="U175" s="44">
        <v>479452</v>
      </c>
      <c r="V175" s="44">
        <v>16157</v>
      </c>
      <c r="W175" s="44">
        <v>838668</v>
      </c>
      <c r="X175" s="44">
        <v>333178</v>
      </c>
      <c r="Y175" s="44">
        <v>1446742</v>
      </c>
      <c r="Z175" s="44">
        <v>775024</v>
      </c>
      <c r="AA175" s="44">
        <v>258408</v>
      </c>
      <c r="AB175" s="44">
        <v>230000</v>
      </c>
      <c r="AC175" s="44">
        <v>11798546</v>
      </c>
      <c r="AD175" s="44">
        <v>697196</v>
      </c>
      <c r="AE175" s="44">
        <v>911492</v>
      </c>
      <c r="AF175" s="44">
        <v>730824</v>
      </c>
      <c r="AG175" s="44">
        <v>14138058</v>
      </c>
      <c r="AH175" s="44">
        <v>860</v>
      </c>
      <c r="AI175" s="44">
        <v>16764</v>
      </c>
      <c r="AJ175" s="44">
        <v>16440</v>
      </c>
      <c r="AK175" s="44">
        <v>95323</v>
      </c>
      <c r="AL175" s="44">
        <v>46761</v>
      </c>
      <c r="AM175" s="44">
        <v>0.315</v>
      </c>
      <c r="AN175" s="44">
        <v>0.52793721740284272</v>
      </c>
      <c r="AO175" s="44">
        <v>0.15</v>
      </c>
      <c r="AP175" s="44">
        <v>0.67793721740284274</v>
      </c>
      <c r="AQ175" s="44">
        <v>0.8256</v>
      </c>
      <c r="AR175" s="44">
        <v>16.53</v>
      </c>
    </row>
    <row r="176" spans="1:44">
      <c r="A176" t="s">
        <v>1412</v>
      </c>
      <c r="B176" t="s">
        <v>1413</v>
      </c>
      <c r="D176" t="s">
        <v>1639</v>
      </c>
      <c r="E176" s="44">
        <v>498992</v>
      </c>
      <c r="F176" s="44">
        <v>4136656</v>
      </c>
      <c r="G176" s="44">
        <v>355863</v>
      </c>
      <c r="H176" s="126">
        <v>4492519</v>
      </c>
      <c r="I176" s="127">
        <v>1913875</v>
      </c>
      <c r="J176" s="128">
        <v>652582</v>
      </c>
      <c r="K176" s="130">
        <v>7058976</v>
      </c>
      <c r="L176" s="44">
        <v>36237</v>
      </c>
      <c r="M176" s="44">
        <v>266485</v>
      </c>
      <c r="N176" s="44">
        <v>1657530</v>
      </c>
      <c r="O176" s="44">
        <v>48238</v>
      </c>
      <c r="P176" s="44">
        <v>105002</v>
      </c>
      <c r="Q176" s="44">
        <v>1298221</v>
      </c>
      <c r="R176" s="44">
        <v>0</v>
      </c>
      <c r="S176" s="44">
        <v>0</v>
      </c>
      <c r="T176" s="44">
        <v>355475</v>
      </c>
      <c r="U176" s="44">
        <v>295156</v>
      </c>
      <c r="V176" s="44">
        <v>8477</v>
      </c>
      <c r="W176" s="44">
        <v>452433</v>
      </c>
      <c r="X176" s="44">
        <v>146010</v>
      </c>
      <c r="Y176" s="44">
        <v>609640</v>
      </c>
      <c r="Z176" s="44">
        <v>382324</v>
      </c>
      <c r="AA176" s="44">
        <v>165193</v>
      </c>
      <c r="AB176" s="44">
        <v>75000</v>
      </c>
      <c r="AC176" s="44">
        <v>5901421</v>
      </c>
      <c r="AD176" s="44">
        <v>256523</v>
      </c>
      <c r="AE176" s="44">
        <v>393530</v>
      </c>
      <c r="AF176" s="44">
        <v>374965</v>
      </c>
      <c r="AG176" s="44">
        <v>6926439</v>
      </c>
      <c r="AH176" s="44">
        <v>343</v>
      </c>
      <c r="AI176" s="44">
        <v>20580</v>
      </c>
      <c r="AJ176" s="44">
        <v>20194</v>
      </c>
      <c r="AK176" s="44">
        <v>224328</v>
      </c>
      <c r="AL176" s="44">
        <v>49096</v>
      </c>
      <c r="AM176" s="44">
        <v>0.49399999999999999</v>
      </c>
      <c r="AN176" s="44">
        <v>0.54279291277956832</v>
      </c>
      <c r="AO176" s="44">
        <v>0.13500000000000001</v>
      </c>
      <c r="AP176" s="44">
        <v>0.67779291277956832</v>
      </c>
      <c r="AQ176" s="44">
        <v>0.79800000000000004</v>
      </c>
      <c r="AR176" s="44">
        <v>16.04</v>
      </c>
    </row>
    <row r="177" spans="1:44">
      <c r="A177" t="s">
        <v>1414</v>
      </c>
      <c r="B177" t="s">
        <v>1415</v>
      </c>
      <c r="D177" t="s">
        <v>1639</v>
      </c>
      <c r="E177" s="44">
        <v>1701519</v>
      </c>
      <c r="F177" s="44">
        <v>1395427</v>
      </c>
      <c r="G177" s="44">
        <v>291069</v>
      </c>
      <c r="H177" s="126">
        <v>1686496</v>
      </c>
      <c r="I177" s="127">
        <v>2004628</v>
      </c>
      <c r="J177" s="128">
        <v>99152</v>
      </c>
      <c r="K177" s="130">
        <v>3790276</v>
      </c>
      <c r="L177" s="44">
        <v>71463</v>
      </c>
      <c r="M177" s="44">
        <v>94693</v>
      </c>
      <c r="N177" s="44">
        <v>1007290</v>
      </c>
      <c r="O177" s="44">
        <v>13912</v>
      </c>
      <c r="P177" s="44">
        <v>33574</v>
      </c>
      <c r="Q177" s="44">
        <v>415613</v>
      </c>
      <c r="R177" s="44">
        <v>185977</v>
      </c>
      <c r="S177" s="44">
        <v>0</v>
      </c>
      <c r="T177" s="44">
        <v>85633</v>
      </c>
      <c r="U177" s="44">
        <v>71491</v>
      </c>
      <c r="V177" s="44">
        <v>7815</v>
      </c>
      <c r="W177" s="44">
        <v>226712</v>
      </c>
      <c r="X177" s="44">
        <v>94025</v>
      </c>
      <c r="Y177" s="44">
        <v>310231</v>
      </c>
      <c r="Z177" s="44">
        <v>159405</v>
      </c>
      <c r="AA177" s="44">
        <v>88566</v>
      </c>
      <c r="AB177" s="44">
        <v>54434</v>
      </c>
      <c r="AC177" s="44">
        <v>2920834</v>
      </c>
      <c r="AD177" s="44">
        <v>208532</v>
      </c>
      <c r="AE177" s="44">
        <v>175114</v>
      </c>
      <c r="AF177" s="44">
        <v>47162</v>
      </c>
      <c r="AG177" s="44">
        <v>3351642</v>
      </c>
      <c r="AH177" s="44">
        <v>227</v>
      </c>
      <c r="AI177" s="44">
        <v>16697</v>
      </c>
      <c r="AJ177" s="44">
        <v>14765</v>
      </c>
      <c r="AK177" s="44">
        <v>404500</v>
      </c>
      <c r="AL177" s="44">
        <v>67312</v>
      </c>
      <c r="AM177" s="44">
        <v>0.80500000000000005</v>
      </c>
      <c r="AN177" s="44">
        <v>0.54107509095541828</v>
      </c>
      <c r="AO177" s="44">
        <v>0.129</v>
      </c>
      <c r="AP177" s="44">
        <v>0.67007509095541828</v>
      </c>
      <c r="AQ177" s="44">
        <v>0.75309999999999999</v>
      </c>
      <c r="AR177" s="44">
        <v>13.4</v>
      </c>
    </row>
    <row r="178" spans="1:44">
      <c r="A178" t="s">
        <v>1416</v>
      </c>
      <c r="B178" t="s">
        <v>1417</v>
      </c>
      <c r="D178" t="s">
        <v>1639</v>
      </c>
      <c r="E178" s="44">
        <v>1707161</v>
      </c>
      <c r="F178" s="44">
        <v>28591024</v>
      </c>
      <c r="G178" s="44">
        <v>3334587</v>
      </c>
      <c r="H178" s="126">
        <v>31925611</v>
      </c>
      <c r="I178" s="127">
        <v>10987441</v>
      </c>
      <c r="J178" s="128">
        <v>5026715</v>
      </c>
      <c r="K178" s="130">
        <v>47939767</v>
      </c>
      <c r="L178" s="44">
        <v>92170</v>
      </c>
      <c r="M178" s="44">
        <v>638460</v>
      </c>
      <c r="N178" s="44">
        <v>15143553</v>
      </c>
      <c r="O178" s="44">
        <v>648309</v>
      </c>
      <c r="P178" s="44">
        <v>1254977</v>
      </c>
      <c r="Q178" s="44">
        <v>3527828</v>
      </c>
      <c r="R178" s="44">
        <v>142551</v>
      </c>
      <c r="S178" s="44">
        <v>247702</v>
      </c>
      <c r="T178" s="44">
        <v>3022671</v>
      </c>
      <c r="U178" s="44">
        <v>2020672</v>
      </c>
      <c r="V178" s="44">
        <v>0</v>
      </c>
      <c r="W178" s="44">
        <v>3098013</v>
      </c>
      <c r="X178" s="44">
        <v>1360424</v>
      </c>
      <c r="Y178" s="44">
        <v>6266846</v>
      </c>
      <c r="Z178" s="44">
        <v>2747413</v>
      </c>
      <c r="AA178" s="44">
        <v>1226242</v>
      </c>
      <c r="AB178" s="44">
        <v>28756</v>
      </c>
      <c r="AC178" s="44">
        <v>41466587</v>
      </c>
      <c r="AD178" s="44">
        <v>1332197</v>
      </c>
      <c r="AE178" s="44">
        <v>910209</v>
      </c>
      <c r="AF178" s="44">
        <v>2673234</v>
      </c>
      <c r="AG178" s="44">
        <v>46382227</v>
      </c>
      <c r="AH178" s="44">
        <v>3514</v>
      </c>
      <c r="AI178" s="44">
        <v>13643</v>
      </c>
      <c r="AJ178" s="44">
        <v>13199</v>
      </c>
      <c r="AK178" s="44">
        <v>112396</v>
      </c>
      <c r="AL178" s="44">
        <v>72993</v>
      </c>
      <c r="AM178" s="44">
        <v>0.44599999999999995</v>
      </c>
      <c r="AN178" s="44">
        <v>0.56073769377222871</v>
      </c>
      <c r="AO178" s="44">
        <v>0.2</v>
      </c>
      <c r="AP178" s="44">
        <v>0.76073769377222877</v>
      </c>
      <c r="AQ178" s="44">
        <v>0.8508</v>
      </c>
      <c r="AR178" s="44">
        <v>21.43</v>
      </c>
    </row>
    <row r="179" spans="1:44">
      <c r="A179" t="s">
        <v>1418</v>
      </c>
      <c r="B179" t="s">
        <v>1419</v>
      </c>
      <c r="D179" t="s">
        <v>1639</v>
      </c>
      <c r="E179" s="44">
        <v>4911416</v>
      </c>
      <c r="F179" s="44">
        <v>16498015</v>
      </c>
      <c r="G179" s="44">
        <v>1924451</v>
      </c>
      <c r="H179" s="126">
        <v>18422466</v>
      </c>
      <c r="I179" s="127">
        <v>7022161</v>
      </c>
      <c r="J179" s="128">
        <v>1269037</v>
      </c>
      <c r="K179" s="130">
        <v>26713664</v>
      </c>
      <c r="L179" s="44">
        <v>199101</v>
      </c>
      <c r="M179" s="44">
        <v>404524</v>
      </c>
      <c r="N179" s="44">
        <v>7830640</v>
      </c>
      <c r="O179" s="44">
        <v>259878</v>
      </c>
      <c r="P179" s="44">
        <v>575924</v>
      </c>
      <c r="Q179" s="44">
        <v>3334917</v>
      </c>
      <c r="R179" s="44">
        <v>116137</v>
      </c>
      <c r="S179" s="44">
        <v>0</v>
      </c>
      <c r="T179" s="44">
        <v>1246931</v>
      </c>
      <c r="U179" s="44">
        <v>1164617</v>
      </c>
      <c r="V179" s="44">
        <v>8485</v>
      </c>
      <c r="W179" s="44">
        <v>1781512</v>
      </c>
      <c r="X179" s="44">
        <v>733746</v>
      </c>
      <c r="Y179" s="44">
        <v>3477513</v>
      </c>
      <c r="Z179" s="44">
        <v>1386535</v>
      </c>
      <c r="AA179" s="44">
        <v>645227</v>
      </c>
      <c r="AB179" s="44">
        <v>337386</v>
      </c>
      <c r="AC179" s="44">
        <v>23503073</v>
      </c>
      <c r="AD179" s="44">
        <v>753909</v>
      </c>
      <c r="AE179" s="44">
        <v>921204</v>
      </c>
      <c r="AF179" s="44">
        <v>291090</v>
      </c>
      <c r="AG179" s="44">
        <v>25469276</v>
      </c>
      <c r="AH179" s="44">
        <v>2034</v>
      </c>
      <c r="AI179" s="44">
        <v>13134</v>
      </c>
      <c r="AJ179" s="44">
        <v>12522</v>
      </c>
      <c r="AK179" s="44">
        <v>140842</v>
      </c>
      <c r="AL179" s="44">
        <v>68087</v>
      </c>
      <c r="AM179" s="44">
        <v>0.46300000000000002</v>
      </c>
      <c r="AN179" s="44">
        <v>0.57045374984353703</v>
      </c>
      <c r="AO179" s="44">
        <v>0.187</v>
      </c>
      <c r="AP179" s="44">
        <v>0.75745374984353697</v>
      </c>
      <c r="AQ179" s="44">
        <v>0.82289999999999996</v>
      </c>
      <c r="AR179" s="44">
        <v>19.16</v>
      </c>
    </row>
    <row r="180" spans="1:44">
      <c r="A180" t="s">
        <v>1420</v>
      </c>
      <c r="B180" t="s">
        <v>1421</v>
      </c>
      <c r="D180" t="s">
        <v>1639</v>
      </c>
      <c r="E180" s="44">
        <v>1446539</v>
      </c>
      <c r="F180" s="44">
        <v>8822517</v>
      </c>
      <c r="G180" s="44">
        <v>1348047</v>
      </c>
      <c r="H180" s="126">
        <v>10170564</v>
      </c>
      <c r="I180" s="127">
        <v>4693050</v>
      </c>
      <c r="J180" s="128">
        <v>648706</v>
      </c>
      <c r="K180" s="130">
        <v>15512320</v>
      </c>
      <c r="L180" s="44">
        <v>215235</v>
      </c>
      <c r="M180" s="44">
        <v>150886</v>
      </c>
      <c r="N180" s="44">
        <v>4659376</v>
      </c>
      <c r="O180" s="44">
        <v>323268</v>
      </c>
      <c r="P180" s="44">
        <v>227200</v>
      </c>
      <c r="Q180" s="44">
        <v>761679</v>
      </c>
      <c r="R180" s="44">
        <v>8661</v>
      </c>
      <c r="S180" s="44">
        <v>139521</v>
      </c>
      <c r="T180" s="44">
        <v>737566</v>
      </c>
      <c r="U180" s="44">
        <v>545571</v>
      </c>
      <c r="V180" s="44">
        <v>3115</v>
      </c>
      <c r="W180" s="44">
        <v>986399</v>
      </c>
      <c r="X180" s="44">
        <v>438804</v>
      </c>
      <c r="Y180" s="44">
        <v>2154742</v>
      </c>
      <c r="Z180" s="44">
        <v>792679</v>
      </c>
      <c r="AA180" s="44">
        <v>301461</v>
      </c>
      <c r="AB180" s="44">
        <v>100000</v>
      </c>
      <c r="AC180" s="44">
        <v>12546163</v>
      </c>
      <c r="AD180" s="44">
        <v>691897</v>
      </c>
      <c r="AE180" s="44">
        <v>1298464</v>
      </c>
      <c r="AF180" s="44">
        <v>502164</v>
      </c>
      <c r="AG180" s="44">
        <v>15038688</v>
      </c>
      <c r="AH180" s="44">
        <v>1128</v>
      </c>
      <c r="AI180" s="44">
        <v>13752</v>
      </c>
      <c r="AJ180" s="44">
        <v>13332</v>
      </c>
      <c r="AK180" s="44">
        <v>180437</v>
      </c>
      <c r="AL180" s="44">
        <v>70909</v>
      </c>
      <c r="AM180" s="44">
        <v>0.52699999999999991</v>
      </c>
      <c r="AN180" s="44">
        <v>0.49225318059660522</v>
      </c>
      <c r="AO180" s="44">
        <v>0.189</v>
      </c>
      <c r="AP180" s="44">
        <v>0.68125318059660522</v>
      </c>
      <c r="AQ180" s="44">
        <v>0.8226</v>
      </c>
      <c r="AR180" s="44">
        <v>13.39</v>
      </c>
    </row>
    <row r="181" spans="1:44">
      <c r="A181" t="s">
        <v>1422</v>
      </c>
      <c r="B181" t="s">
        <v>1423</v>
      </c>
      <c r="D181" t="s">
        <v>1639</v>
      </c>
      <c r="E181" s="44">
        <v>882095</v>
      </c>
      <c r="F181" s="44">
        <v>3516363</v>
      </c>
      <c r="G181" s="44">
        <v>519867</v>
      </c>
      <c r="H181" s="126">
        <v>4036230</v>
      </c>
      <c r="I181" s="127">
        <v>4826568</v>
      </c>
      <c r="J181" s="128">
        <v>406598</v>
      </c>
      <c r="K181" s="130">
        <v>9269396</v>
      </c>
      <c r="L181" s="44">
        <v>31812</v>
      </c>
      <c r="M181" s="44">
        <v>345750</v>
      </c>
      <c r="N181" s="44">
        <v>2569962</v>
      </c>
      <c r="O181" s="44">
        <v>76845</v>
      </c>
      <c r="P181" s="44">
        <v>124514</v>
      </c>
      <c r="Q181" s="44">
        <v>727587</v>
      </c>
      <c r="R181" s="44">
        <v>8979</v>
      </c>
      <c r="S181" s="44">
        <v>47047</v>
      </c>
      <c r="T181" s="44">
        <v>490093</v>
      </c>
      <c r="U181" s="44">
        <v>333331</v>
      </c>
      <c r="V181" s="44">
        <v>3350</v>
      </c>
      <c r="W181" s="44">
        <v>609550</v>
      </c>
      <c r="X181" s="44">
        <v>215527</v>
      </c>
      <c r="Y181" s="44">
        <v>1463304</v>
      </c>
      <c r="Z181" s="44">
        <v>475589</v>
      </c>
      <c r="AA181" s="44">
        <v>126908</v>
      </c>
      <c r="AB181" s="44">
        <v>58745</v>
      </c>
      <c r="AC181" s="44">
        <v>7708893</v>
      </c>
      <c r="AD181" s="44">
        <v>462559</v>
      </c>
      <c r="AE181" s="44">
        <v>300000</v>
      </c>
      <c r="AF181" s="44">
        <v>115413</v>
      </c>
      <c r="AG181" s="44">
        <v>8586865</v>
      </c>
      <c r="AH181" s="44">
        <v>528</v>
      </c>
      <c r="AI181" s="44">
        <v>17556</v>
      </c>
      <c r="AJ181" s="44">
        <v>16263</v>
      </c>
      <c r="AK181" s="44">
        <v>445346</v>
      </c>
      <c r="AL181" s="44">
        <v>78309</v>
      </c>
      <c r="AM181" s="44">
        <v>0.90300000000000002</v>
      </c>
      <c r="AN181" s="44">
        <v>0.5098901636394656</v>
      </c>
      <c r="AO181" s="44">
        <v>0.19800000000000001</v>
      </c>
      <c r="AP181" s="44">
        <v>0.70789016363946566</v>
      </c>
      <c r="AQ181" s="44">
        <v>0.78849999999999998</v>
      </c>
      <c r="AR181" s="44">
        <v>13.11</v>
      </c>
    </row>
    <row r="182" spans="1:44">
      <c r="A182" t="s">
        <v>1424</v>
      </c>
      <c r="B182" t="s">
        <v>1425</v>
      </c>
      <c r="D182" t="s">
        <v>1639</v>
      </c>
      <c r="E182" s="44">
        <v>892257</v>
      </c>
      <c r="F182" s="44">
        <v>4823551</v>
      </c>
      <c r="G182" s="44">
        <v>500000</v>
      </c>
      <c r="H182" s="126">
        <v>5323551</v>
      </c>
      <c r="I182" s="127">
        <v>1937731</v>
      </c>
      <c r="J182" s="128">
        <v>410089</v>
      </c>
      <c r="K182" s="130">
        <v>7671371</v>
      </c>
      <c r="L182" s="44">
        <v>67114</v>
      </c>
      <c r="M182" s="44">
        <v>235203</v>
      </c>
      <c r="N182" s="44">
        <v>2264090</v>
      </c>
      <c r="O182" s="44">
        <v>40700</v>
      </c>
      <c r="P182" s="44">
        <v>77578</v>
      </c>
      <c r="Q182" s="44">
        <v>897580</v>
      </c>
      <c r="R182" s="44">
        <v>32772</v>
      </c>
      <c r="S182" s="44">
        <v>0</v>
      </c>
      <c r="T182" s="44">
        <v>407572</v>
      </c>
      <c r="U182" s="44">
        <v>313665</v>
      </c>
      <c r="V182" s="44">
        <v>0</v>
      </c>
      <c r="W182" s="44">
        <v>507278</v>
      </c>
      <c r="X182" s="44">
        <v>226635</v>
      </c>
      <c r="Y182" s="44">
        <v>870100</v>
      </c>
      <c r="Z182" s="44">
        <v>343294</v>
      </c>
      <c r="AA182" s="44">
        <v>113957</v>
      </c>
      <c r="AB182" s="44">
        <v>400000</v>
      </c>
      <c r="AC182" s="44">
        <v>6797538</v>
      </c>
      <c r="AD182" s="44">
        <v>568316</v>
      </c>
      <c r="AE182" s="44">
        <v>350000</v>
      </c>
      <c r="AF182" s="44">
        <v>147501</v>
      </c>
      <c r="AG182" s="44">
        <v>7863355</v>
      </c>
      <c r="AH182" s="44">
        <v>463</v>
      </c>
      <c r="AI182" s="44">
        <v>16569</v>
      </c>
      <c r="AJ182" s="44">
        <v>16983</v>
      </c>
      <c r="AK182" s="44">
        <v>165284</v>
      </c>
      <c r="AL182" s="44">
        <v>50732</v>
      </c>
      <c r="AM182" s="44">
        <v>0.42399999999999999</v>
      </c>
      <c r="AN182" s="44">
        <v>0.51300710701729735</v>
      </c>
      <c r="AO182" s="44">
        <v>0.15</v>
      </c>
      <c r="AP182" s="44">
        <v>0.66300710701729737</v>
      </c>
      <c r="AQ182" s="44">
        <v>0.8145</v>
      </c>
      <c r="AR182" s="44">
        <v>17.350000000000001</v>
      </c>
    </row>
    <row r="183" spans="1:44">
      <c r="A183" t="s">
        <v>1426</v>
      </c>
      <c r="B183" t="s">
        <v>1427</v>
      </c>
      <c r="D183" t="s">
        <v>1639</v>
      </c>
      <c r="E183" s="44">
        <v>639178</v>
      </c>
      <c r="F183" s="44">
        <v>15182308</v>
      </c>
      <c r="G183" s="44">
        <v>1691883</v>
      </c>
      <c r="H183" s="126">
        <v>16874191</v>
      </c>
      <c r="I183" s="127">
        <v>7444809</v>
      </c>
      <c r="J183" s="128">
        <v>757481</v>
      </c>
      <c r="K183" s="130">
        <v>25076481</v>
      </c>
      <c r="L183" s="44">
        <v>173926</v>
      </c>
      <c r="M183" s="44">
        <v>274820</v>
      </c>
      <c r="N183" s="44">
        <v>7491031</v>
      </c>
      <c r="O183" s="44">
        <v>334760</v>
      </c>
      <c r="P183" s="44">
        <v>501139</v>
      </c>
      <c r="Q183" s="44">
        <v>2114489</v>
      </c>
      <c r="R183" s="44">
        <v>49399</v>
      </c>
      <c r="S183" s="44">
        <v>0</v>
      </c>
      <c r="T183" s="44">
        <v>1603989</v>
      </c>
      <c r="U183" s="44">
        <v>793444</v>
      </c>
      <c r="V183" s="44">
        <v>4000</v>
      </c>
      <c r="W183" s="44">
        <v>1680403</v>
      </c>
      <c r="X183" s="44">
        <v>808260</v>
      </c>
      <c r="Y183" s="44">
        <v>2428275</v>
      </c>
      <c r="Z183" s="44">
        <v>1376248</v>
      </c>
      <c r="AA183" s="44">
        <v>597895</v>
      </c>
      <c r="AB183" s="44">
        <v>1697</v>
      </c>
      <c r="AC183" s="44">
        <v>20233775</v>
      </c>
      <c r="AD183" s="44">
        <v>1295558</v>
      </c>
      <c r="AE183" s="44">
        <v>2328907</v>
      </c>
      <c r="AF183" s="44">
        <v>1486320</v>
      </c>
      <c r="AG183" s="44">
        <v>25344560</v>
      </c>
      <c r="AH183" s="44">
        <v>1992</v>
      </c>
      <c r="AI183" s="44">
        <v>12589</v>
      </c>
      <c r="AJ183" s="44">
        <v>12723</v>
      </c>
      <c r="AK183" s="44">
        <v>186324</v>
      </c>
      <c r="AL183" s="44">
        <v>72774</v>
      </c>
      <c r="AM183" s="44">
        <v>0.54099999999999993</v>
      </c>
      <c r="AN183" s="44">
        <v>0.50852139472928315</v>
      </c>
      <c r="AO183" s="44">
        <v>0.157</v>
      </c>
      <c r="AP183" s="44">
        <v>0.66552139472928318</v>
      </c>
      <c r="AQ183" s="44">
        <v>0.83279999999999998</v>
      </c>
      <c r="AR183" s="44">
        <v>12.12</v>
      </c>
    </row>
    <row r="184" spans="1:44">
      <c r="A184" t="s">
        <v>1428</v>
      </c>
      <c r="B184" t="s">
        <v>1429</v>
      </c>
      <c r="D184" t="s">
        <v>1639</v>
      </c>
      <c r="E184" s="44">
        <v>731961</v>
      </c>
      <c r="F184" s="44">
        <v>9271194</v>
      </c>
      <c r="G184" s="44">
        <v>1334129</v>
      </c>
      <c r="H184" s="126">
        <v>10605323</v>
      </c>
      <c r="I184" s="127">
        <v>4840617</v>
      </c>
      <c r="J184" s="128">
        <v>458893</v>
      </c>
      <c r="K184" s="130">
        <v>15904833</v>
      </c>
      <c r="L184" s="44">
        <v>65867</v>
      </c>
      <c r="M184" s="44">
        <v>343642</v>
      </c>
      <c r="N184" s="44">
        <v>4443506</v>
      </c>
      <c r="O184" s="44">
        <v>236162</v>
      </c>
      <c r="P184" s="44">
        <v>279629</v>
      </c>
      <c r="Q184" s="44">
        <v>1159028</v>
      </c>
      <c r="R184" s="44">
        <v>156445</v>
      </c>
      <c r="S184" s="44">
        <v>58780</v>
      </c>
      <c r="T184" s="44">
        <v>1029584</v>
      </c>
      <c r="U184" s="44">
        <v>504203</v>
      </c>
      <c r="V184" s="44">
        <v>0</v>
      </c>
      <c r="W184" s="44">
        <v>981313</v>
      </c>
      <c r="X184" s="44">
        <v>445567</v>
      </c>
      <c r="Y184" s="44">
        <v>1490642</v>
      </c>
      <c r="Z184" s="44">
        <v>774504</v>
      </c>
      <c r="AA184" s="44">
        <v>515926</v>
      </c>
      <c r="AB184" s="44">
        <v>285000</v>
      </c>
      <c r="AC184" s="44">
        <v>12769798</v>
      </c>
      <c r="AD184" s="44">
        <v>675605</v>
      </c>
      <c r="AE184" s="44">
        <v>1197991</v>
      </c>
      <c r="AF184" s="44">
        <v>551724</v>
      </c>
      <c r="AG184" s="44">
        <v>15195118</v>
      </c>
      <c r="AH184" s="44">
        <v>977</v>
      </c>
      <c r="AI184" s="44">
        <v>16279</v>
      </c>
      <c r="AJ184" s="44">
        <v>15553</v>
      </c>
      <c r="AK184" s="44">
        <v>144860</v>
      </c>
      <c r="AL184" s="44">
        <v>62638</v>
      </c>
      <c r="AM184" s="44">
        <v>0.44600000000000001</v>
      </c>
      <c r="AN184" s="44">
        <v>0.51775425501796035</v>
      </c>
      <c r="AO184" s="44">
        <v>0.14699999999999999</v>
      </c>
      <c r="AP184" s="44">
        <v>0.66475425501796037</v>
      </c>
      <c r="AQ184" s="44">
        <v>0.80710000000000004</v>
      </c>
      <c r="AR184" s="44">
        <v>22.35</v>
      </c>
    </row>
    <row r="185" spans="1:44">
      <c r="A185" t="s">
        <v>1430</v>
      </c>
      <c r="B185" t="s">
        <v>1431</v>
      </c>
      <c r="D185" t="s">
        <v>1639</v>
      </c>
      <c r="E185" s="44">
        <v>1817410</v>
      </c>
      <c r="F185" s="44">
        <v>16731642</v>
      </c>
      <c r="G185" s="44">
        <v>3851796</v>
      </c>
      <c r="H185" s="126">
        <v>20583438</v>
      </c>
      <c r="I185" s="127">
        <v>21616832</v>
      </c>
      <c r="J185" s="128">
        <v>2027508</v>
      </c>
      <c r="K185" s="130">
        <v>44227778</v>
      </c>
      <c r="L185" s="44">
        <v>94780</v>
      </c>
      <c r="M185" s="44">
        <v>838827</v>
      </c>
      <c r="N185" s="44">
        <v>13643863</v>
      </c>
      <c r="O185" s="44">
        <v>984018</v>
      </c>
      <c r="P185" s="44">
        <v>856903</v>
      </c>
      <c r="Q185" s="44">
        <v>4236509</v>
      </c>
      <c r="R185" s="44">
        <v>146862</v>
      </c>
      <c r="S185" s="44">
        <v>210197</v>
      </c>
      <c r="T185" s="44">
        <v>3227083</v>
      </c>
      <c r="U185" s="44">
        <v>1824935</v>
      </c>
      <c r="V185" s="44">
        <v>0</v>
      </c>
      <c r="W185" s="44">
        <v>2793187</v>
      </c>
      <c r="X185" s="44">
        <v>1316261</v>
      </c>
      <c r="Y185" s="44">
        <v>4931264</v>
      </c>
      <c r="Z185" s="44">
        <v>2181292</v>
      </c>
      <c r="AA185" s="44">
        <v>580919</v>
      </c>
      <c r="AB185" s="44">
        <v>0</v>
      </c>
      <c r="AC185" s="44">
        <v>37866900</v>
      </c>
      <c r="AD185" s="44">
        <v>906881</v>
      </c>
      <c r="AE185" s="44">
        <v>2385000</v>
      </c>
      <c r="AF185" s="44">
        <v>1059663</v>
      </c>
      <c r="AG185" s="44">
        <v>42218444</v>
      </c>
      <c r="AH185" s="44">
        <v>2494</v>
      </c>
      <c r="AI185" s="44">
        <v>17734</v>
      </c>
      <c r="AJ185" s="44">
        <v>16928</v>
      </c>
      <c r="AK185" s="44">
        <v>201979</v>
      </c>
      <c r="AL185" s="44">
        <v>86439</v>
      </c>
      <c r="AM185" s="44">
        <v>0.61799999999999999</v>
      </c>
      <c r="AN185" s="44">
        <v>0.59524623882396044</v>
      </c>
      <c r="AO185" s="44">
        <v>0.17899999999999999</v>
      </c>
      <c r="AP185" s="44">
        <v>0.77424623882396038</v>
      </c>
      <c r="AQ185" s="44">
        <v>0.86270000000000002</v>
      </c>
      <c r="AR185" s="44">
        <v>30.65</v>
      </c>
    </row>
    <row r="186" spans="1:44">
      <c r="A186" t="s">
        <v>1432</v>
      </c>
      <c r="B186" t="s">
        <v>1433</v>
      </c>
      <c r="D186" t="s">
        <v>1639</v>
      </c>
      <c r="E186" s="44">
        <v>684465</v>
      </c>
      <c r="F186" s="44">
        <v>10003975</v>
      </c>
      <c r="G186" s="44">
        <v>1715906</v>
      </c>
      <c r="H186" s="126">
        <v>11719881</v>
      </c>
      <c r="I186" s="127">
        <v>5975791</v>
      </c>
      <c r="J186" s="128">
        <v>659507</v>
      </c>
      <c r="K186" s="130">
        <v>18355179</v>
      </c>
      <c r="L186" s="44">
        <v>81963</v>
      </c>
      <c r="M186" s="44">
        <v>367674</v>
      </c>
      <c r="N186" s="44">
        <v>5312566</v>
      </c>
      <c r="O186" s="44">
        <v>300004</v>
      </c>
      <c r="P186" s="44">
        <v>476545</v>
      </c>
      <c r="Q186" s="44">
        <v>1920589</v>
      </c>
      <c r="R186" s="44">
        <v>143318</v>
      </c>
      <c r="S186" s="44">
        <v>118647</v>
      </c>
      <c r="T186" s="44">
        <v>1033692</v>
      </c>
      <c r="U186" s="44">
        <v>690448</v>
      </c>
      <c r="V186" s="44">
        <v>29370</v>
      </c>
      <c r="W186" s="44">
        <v>1311722</v>
      </c>
      <c r="X186" s="44">
        <v>631991</v>
      </c>
      <c r="Y186" s="44">
        <v>1455618</v>
      </c>
      <c r="Z186" s="44">
        <v>983305</v>
      </c>
      <c r="AA186" s="44">
        <v>300138</v>
      </c>
      <c r="AB186" s="44">
        <v>0</v>
      </c>
      <c r="AC186" s="44">
        <v>15157590</v>
      </c>
      <c r="AD186" s="44">
        <v>910753</v>
      </c>
      <c r="AE186" s="44">
        <v>1461400</v>
      </c>
      <c r="AF186" s="44">
        <v>429323</v>
      </c>
      <c r="AG186" s="44">
        <v>17959066</v>
      </c>
      <c r="AH186" s="44">
        <v>1195</v>
      </c>
      <c r="AI186" s="44">
        <v>15360</v>
      </c>
      <c r="AJ186" s="44">
        <v>15029</v>
      </c>
      <c r="AK186" s="44">
        <v>173499</v>
      </c>
      <c r="AL186" s="44">
        <v>78371</v>
      </c>
      <c r="AM186" s="44">
        <v>0.54700000000000004</v>
      </c>
      <c r="AN186" s="44">
        <v>0.55658846623760949</v>
      </c>
      <c r="AO186" s="44">
        <v>0.14099999999999999</v>
      </c>
      <c r="AP186" s="44">
        <v>0.69758846623760951</v>
      </c>
      <c r="AQ186" s="44">
        <v>0.8246</v>
      </c>
      <c r="AR186" s="44">
        <v>21.51</v>
      </c>
    </row>
    <row r="187" spans="1:44">
      <c r="A187" t="s">
        <v>1434</v>
      </c>
      <c r="B187" t="s">
        <v>1435</v>
      </c>
      <c r="D187" t="s">
        <v>1639</v>
      </c>
      <c r="E187" s="44">
        <v>856899</v>
      </c>
      <c r="F187" s="44">
        <v>5248233</v>
      </c>
      <c r="G187" s="44">
        <v>900614</v>
      </c>
      <c r="H187" s="126">
        <v>6148847</v>
      </c>
      <c r="I187" s="127">
        <v>2887121</v>
      </c>
      <c r="J187" s="128">
        <v>407652</v>
      </c>
      <c r="K187" s="130">
        <v>9443620</v>
      </c>
      <c r="L187" s="44">
        <v>49958</v>
      </c>
      <c r="M187" s="44">
        <v>311210</v>
      </c>
      <c r="N187" s="44">
        <v>2925237</v>
      </c>
      <c r="O187" s="44">
        <v>220555</v>
      </c>
      <c r="P187" s="44">
        <v>149900</v>
      </c>
      <c r="Q187" s="44">
        <v>547969</v>
      </c>
      <c r="R187" s="44">
        <v>19041</v>
      </c>
      <c r="S187" s="44">
        <v>0</v>
      </c>
      <c r="T187" s="44">
        <v>348019</v>
      </c>
      <c r="U187" s="44">
        <v>343325</v>
      </c>
      <c r="V187" s="44">
        <v>0</v>
      </c>
      <c r="W187" s="44">
        <v>572533</v>
      </c>
      <c r="X187" s="44">
        <v>306290</v>
      </c>
      <c r="Y187" s="44">
        <v>762805</v>
      </c>
      <c r="Z187" s="44">
        <v>429464</v>
      </c>
      <c r="AA187" s="44">
        <v>108827</v>
      </c>
      <c r="AB187" s="44">
        <v>0</v>
      </c>
      <c r="AC187" s="44">
        <v>7095133</v>
      </c>
      <c r="AD187" s="44">
        <v>423030</v>
      </c>
      <c r="AE187" s="44">
        <v>1046017</v>
      </c>
      <c r="AF187" s="44">
        <v>400546</v>
      </c>
      <c r="AG187" s="44">
        <v>8964726</v>
      </c>
      <c r="AH187" s="44">
        <v>548</v>
      </c>
      <c r="AI187" s="44">
        <v>17233</v>
      </c>
      <c r="AJ187" s="44">
        <v>16359</v>
      </c>
      <c r="AK187" s="44">
        <v>146627</v>
      </c>
      <c r="AL187" s="44">
        <v>65307</v>
      </c>
      <c r="AM187" s="44">
        <v>0.45900000000000002</v>
      </c>
      <c r="AN187" s="44">
        <v>0.50799611722656113</v>
      </c>
      <c r="AO187" s="44">
        <v>0.14699999999999999</v>
      </c>
      <c r="AP187" s="44">
        <v>0.65499611722656115</v>
      </c>
      <c r="AQ187" s="44">
        <v>0.82720000000000005</v>
      </c>
      <c r="AR187" s="44">
        <v>27.34</v>
      </c>
    </row>
    <row r="188" spans="1:44">
      <c r="A188" t="s">
        <v>1436</v>
      </c>
      <c r="B188" t="s">
        <v>1437</v>
      </c>
      <c r="D188" t="s">
        <v>1639</v>
      </c>
      <c r="E188" s="44">
        <v>804877</v>
      </c>
      <c r="F188" s="44">
        <v>10337022</v>
      </c>
      <c r="G188" s="44">
        <v>2007274</v>
      </c>
      <c r="H188" s="126">
        <v>12344296</v>
      </c>
      <c r="I188" s="127">
        <v>7362371</v>
      </c>
      <c r="J188" s="128">
        <v>660246</v>
      </c>
      <c r="K188" s="130">
        <v>20366913</v>
      </c>
      <c r="L188" s="44">
        <v>205401</v>
      </c>
      <c r="M188" s="44">
        <v>301988</v>
      </c>
      <c r="N188" s="44">
        <v>6126300</v>
      </c>
      <c r="O188" s="44">
        <v>238465</v>
      </c>
      <c r="P188" s="44">
        <v>397526</v>
      </c>
      <c r="Q188" s="44">
        <v>1694164</v>
      </c>
      <c r="R188" s="44">
        <v>16017</v>
      </c>
      <c r="S188" s="44">
        <v>118422</v>
      </c>
      <c r="T188" s="44">
        <v>1461660</v>
      </c>
      <c r="U188" s="44">
        <v>903965</v>
      </c>
      <c r="V188" s="44">
        <v>0</v>
      </c>
      <c r="W188" s="44">
        <v>1416262</v>
      </c>
      <c r="X188" s="44">
        <v>660539</v>
      </c>
      <c r="Y188" s="44">
        <v>1395632</v>
      </c>
      <c r="Z188" s="44">
        <v>1139740</v>
      </c>
      <c r="AA188" s="44">
        <v>686308</v>
      </c>
      <c r="AB188" s="44">
        <v>0</v>
      </c>
      <c r="AC188" s="44">
        <v>16762389</v>
      </c>
      <c r="AD188" s="44">
        <v>985035</v>
      </c>
      <c r="AE188" s="44">
        <v>1433198</v>
      </c>
      <c r="AF188" s="44">
        <v>1088216</v>
      </c>
      <c r="AG188" s="44">
        <v>20268838</v>
      </c>
      <c r="AH188" s="44">
        <v>1397</v>
      </c>
      <c r="AI188" s="44">
        <v>14579</v>
      </c>
      <c r="AJ188" s="44">
        <v>14509</v>
      </c>
      <c r="AK188" s="44">
        <v>166098</v>
      </c>
      <c r="AL188" s="44">
        <v>80094</v>
      </c>
      <c r="AM188" s="44">
        <v>0.54500000000000004</v>
      </c>
      <c r="AN188" s="44">
        <v>0.54055979923466757</v>
      </c>
      <c r="AO188" s="44">
        <v>0.129</v>
      </c>
      <c r="AP188" s="44">
        <v>0.66955979923466757</v>
      </c>
      <c r="AQ188" s="44">
        <v>0.80989999999999995</v>
      </c>
      <c r="AR188" s="44">
        <v>22.66</v>
      </c>
    </row>
    <row r="189" spans="1:44">
      <c r="A189" t="s">
        <v>1438</v>
      </c>
      <c r="B189" t="s">
        <v>1439</v>
      </c>
      <c r="D189" t="s">
        <v>1639</v>
      </c>
      <c r="E189" s="44">
        <v>522468</v>
      </c>
      <c r="F189" s="44">
        <v>9137827</v>
      </c>
      <c r="G189" s="44">
        <v>1307398</v>
      </c>
      <c r="H189" s="126">
        <v>10445225</v>
      </c>
      <c r="I189" s="127">
        <v>3373121</v>
      </c>
      <c r="J189" s="128">
        <v>578838</v>
      </c>
      <c r="K189" s="130">
        <v>14397184</v>
      </c>
      <c r="L189" s="44">
        <v>80587</v>
      </c>
      <c r="M189" s="44">
        <v>210530</v>
      </c>
      <c r="N189" s="44">
        <v>4987571</v>
      </c>
      <c r="O189" s="44">
        <v>245368</v>
      </c>
      <c r="P189" s="44">
        <v>334322</v>
      </c>
      <c r="Q189" s="44">
        <v>1306673</v>
      </c>
      <c r="R189" s="44">
        <v>162742</v>
      </c>
      <c r="S189" s="44">
        <v>81421</v>
      </c>
      <c r="T189" s="44">
        <v>756876</v>
      </c>
      <c r="U189" s="44">
        <v>709308</v>
      </c>
      <c r="V189" s="44">
        <v>0</v>
      </c>
      <c r="W189" s="44">
        <v>1175334</v>
      </c>
      <c r="X189" s="44">
        <v>444845</v>
      </c>
      <c r="Y189" s="44">
        <v>1754614</v>
      </c>
      <c r="Z189" s="44">
        <v>798959</v>
      </c>
      <c r="AA189" s="44">
        <v>203549</v>
      </c>
      <c r="AB189" s="44">
        <v>0</v>
      </c>
      <c r="AC189" s="44">
        <v>13252699</v>
      </c>
      <c r="AD189" s="44">
        <v>696256</v>
      </c>
      <c r="AE189" s="44">
        <v>869183</v>
      </c>
      <c r="AF189" s="44">
        <v>257416</v>
      </c>
      <c r="AG189" s="44">
        <v>15075554</v>
      </c>
      <c r="AH189" s="44">
        <v>1052</v>
      </c>
      <c r="AI189" s="44">
        <v>13686</v>
      </c>
      <c r="AJ189" s="44">
        <v>14330</v>
      </c>
      <c r="AK189" s="44">
        <v>126568</v>
      </c>
      <c r="AL189" s="44">
        <v>58374</v>
      </c>
      <c r="AM189" s="44">
        <v>0.40400000000000003</v>
      </c>
      <c r="AN189" s="44">
        <v>0.56941728310614659</v>
      </c>
      <c r="AO189" s="44">
        <v>0.16800000000000001</v>
      </c>
      <c r="AP189" s="44">
        <v>0.73741728310614663</v>
      </c>
      <c r="AQ189" s="44">
        <v>0.83660000000000001</v>
      </c>
      <c r="AR189" s="44">
        <v>18.38</v>
      </c>
    </row>
    <row r="190" spans="1:44">
      <c r="A190" t="s">
        <v>1440</v>
      </c>
      <c r="B190" t="s">
        <v>1441</v>
      </c>
      <c r="D190" t="s">
        <v>1639</v>
      </c>
      <c r="E190" s="44">
        <v>1113886</v>
      </c>
      <c r="F190" s="44">
        <v>9233898</v>
      </c>
      <c r="G190" s="44">
        <v>1156477</v>
      </c>
      <c r="H190" s="126">
        <v>10390375</v>
      </c>
      <c r="I190" s="127">
        <v>4257611</v>
      </c>
      <c r="J190" s="128">
        <v>511162</v>
      </c>
      <c r="K190" s="130">
        <v>15159148</v>
      </c>
      <c r="L190" s="44">
        <v>79370</v>
      </c>
      <c r="M190" s="44">
        <v>346790</v>
      </c>
      <c r="N190" s="44">
        <v>4328588</v>
      </c>
      <c r="O190" s="44">
        <v>250933</v>
      </c>
      <c r="P190" s="44">
        <v>315388</v>
      </c>
      <c r="Q190" s="44">
        <v>857262</v>
      </c>
      <c r="R190" s="44">
        <v>26593</v>
      </c>
      <c r="S190" s="44">
        <v>86473</v>
      </c>
      <c r="T190" s="44">
        <v>867510</v>
      </c>
      <c r="U190" s="44">
        <v>435541</v>
      </c>
      <c r="V190" s="44">
        <v>0</v>
      </c>
      <c r="W190" s="44">
        <v>1113924</v>
      </c>
      <c r="X190" s="44">
        <v>569604</v>
      </c>
      <c r="Y190" s="44">
        <v>1095137</v>
      </c>
      <c r="Z190" s="44">
        <v>690482</v>
      </c>
      <c r="AA190" s="44">
        <v>571589</v>
      </c>
      <c r="AB190" s="44">
        <v>0</v>
      </c>
      <c r="AC190" s="44">
        <v>11635184</v>
      </c>
      <c r="AD190" s="44">
        <v>745387</v>
      </c>
      <c r="AE190" s="44">
        <v>1340013</v>
      </c>
      <c r="AF190" s="44">
        <v>820087</v>
      </c>
      <c r="AG190" s="44">
        <v>14540671</v>
      </c>
      <c r="AH190" s="44">
        <v>895</v>
      </c>
      <c r="AI190" s="44">
        <v>16938</v>
      </c>
      <c r="AJ190" s="44">
        <v>16247</v>
      </c>
      <c r="AK190" s="44">
        <v>167665</v>
      </c>
      <c r="AL190" s="44">
        <v>68135</v>
      </c>
      <c r="AM190" s="44">
        <v>0.498</v>
      </c>
      <c r="AN190" s="44">
        <v>0.4929819263498913</v>
      </c>
      <c r="AO190" s="44">
        <v>0.13200000000000001</v>
      </c>
      <c r="AP190" s="44">
        <v>0.62498192634989125</v>
      </c>
      <c r="AQ190" s="44">
        <v>0.78</v>
      </c>
      <c r="AR190" s="44">
        <v>21.83</v>
      </c>
    </row>
    <row r="191" spans="1:44">
      <c r="A191" t="s">
        <v>1442</v>
      </c>
      <c r="B191" t="s">
        <v>1443</v>
      </c>
      <c r="D191" t="s">
        <v>1639</v>
      </c>
      <c r="E191" s="44">
        <v>1240158</v>
      </c>
      <c r="F191" s="44">
        <v>9177693</v>
      </c>
      <c r="G191" s="44">
        <v>1613861</v>
      </c>
      <c r="H191" s="126">
        <v>10791554</v>
      </c>
      <c r="I191" s="127">
        <v>6418823</v>
      </c>
      <c r="J191" s="128">
        <v>992205</v>
      </c>
      <c r="K191" s="130">
        <v>18202582</v>
      </c>
      <c r="L191" s="44">
        <v>41572</v>
      </c>
      <c r="M191" s="44">
        <v>389047</v>
      </c>
      <c r="N191" s="44">
        <v>6018980</v>
      </c>
      <c r="O191" s="44">
        <v>183350</v>
      </c>
      <c r="P191" s="44">
        <v>278374</v>
      </c>
      <c r="Q191" s="44">
        <v>835703</v>
      </c>
      <c r="R191" s="44">
        <v>46069</v>
      </c>
      <c r="S191" s="44">
        <v>0</v>
      </c>
      <c r="T191" s="44">
        <v>1156704</v>
      </c>
      <c r="U191" s="44">
        <v>747308</v>
      </c>
      <c r="V191" s="44">
        <v>0</v>
      </c>
      <c r="W191" s="44">
        <v>1213556</v>
      </c>
      <c r="X191" s="44">
        <v>595245</v>
      </c>
      <c r="Y191" s="44">
        <v>1879446</v>
      </c>
      <c r="Z191" s="44">
        <v>947162</v>
      </c>
      <c r="AA191" s="44">
        <v>686436</v>
      </c>
      <c r="AB191" s="44">
        <v>0</v>
      </c>
      <c r="AC191" s="44">
        <v>15018952</v>
      </c>
      <c r="AD191" s="44">
        <v>986076</v>
      </c>
      <c r="AE191" s="44">
        <v>260070</v>
      </c>
      <c r="AF191" s="44">
        <v>17759</v>
      </c>
      <c r="AG191" s="44">
        <v>16282857</v>
      </c>
      <c r="AH191" s="44">
        <v>1212</v>
      </c>
      <c r="AI191" s="44">
        <v>15019</v>
      </c>
      <c r="AJ191" s="44">
        <v>13435</v>
      </c>
      <c r="AK191" s="44">
        <v>180015</v>
      </c>
      <c r="AL191" s="44">
        <v>64093</v>
      </c>
      <c r="AM191" s="44">
        <v>0.498</v>
      </c>
      <c r="AN191" s="44">
        <v>0.56909472336457911</v>
      </c>
      <c r="AO191" s="44">
        <v>0.17399999999999999</v>
      </c>
      <c r="AP191" s="44">
        <v>0.74309472336457905</v>
      </c>
      <c r="AQ191" s="44">
        <v>0.80549999999999999</v>
      </c>
      <c r="AR191" s="44">
        <v>20.329999999999998</v>
      </c>
    </row>
    <row r="192" spans="1:44">
      <c r="A192" t="s">
        <v>1444</v>
      </c>
      <c r="B192" t="s">
        <v>1445</v>
      </c>
      <c r="D192" t="s">
        <v>1639</v>
      </c>
      <c r="E192" s="44">
        <v>1566205</v>
      </c>
      <c r="F192" s="44">
        <v>11601083</v>
      </c>
      <c r="G192" s="44">
        <v>1613708</v>
      </c>
      <c r="H192" s="126">
        <v>13214791</v>
      </c>
      <c r="I192" s="127">
        <v>9323706</v>
      </c>
      <c r="J192" s="128">
        <v>879002</v>
      </c>
      <c r="K192" s="130">
        <v>23417499</v>
      </c>
      <c r="L192" s="44">
        <v>133537</v>
      </c>
      <c r="M192" s="44">
        <v>447517</v>
      </c>
      <c r="N192" s="44">
        <v>7350655</v>
      </c>
      <c r="O192" s="44">
        <v>331412</v>
      </c>
      <c r="P192" s="44">
        <v>652950</v>
      </c>
      <c r="Q192" s="44">
        <v>1342245</v>
      </c>
      <c r="R192" s="44">
        <v>88729</v>
      </c>
      <c r="S192" s="44">
        <v>435157</v>
      </c>
      <c r="T192" s="44">
        <v>1303347</v>
      </c>
      <c r="U192" s="44">
        <v>889274</v>
      </c>
      <c r="V192" s="44">
        <v>0</v>
      </c>
      <c r="W192" s="44">
        <v>1394839</v>
      </c>
      <c r="X192" s="44">
        <v>1073064</v>
      </c>
      <c r="Y192" s="44">
        <v>2406283</v>
      </c>
      <c r="Z192" s="44">
        <v>1332140</v>
      </c>
      <c r="AA192" s="44">
        <v>464884</v>
      </c>
      <c r="AB192" s="44">
        <v>11069</v>
      </c>
      <c r="AC192" s="44">
        <v>19657102</v>
      </c>
      <c r="AD192" s="44">
        <v>1664739</v>
      </c>
      <c r="AE192" s="44">
        <v>1568000</v>
      </c>
      <c r="AF192" s="44">
        <v>537987</v>
      </c>
      <c r="AG192" s="44">
        <v>23427828</v>
      </c>
      <c r="AH192" s="44">
        <v>1748</v>
      </c>
      <c r="AI192" s="44">
        <v>13397</v>
      </c>
      <c r="AJ192" s="44">
        <v>13403</v>
      </c>
      <c r="AK192" s="44">
        <v>247413</v>
      </c>
      <c r="AL192" s="44">
        <v>58600</v>
      </c>
      <c r="AM192" s="44">
        <v>0.56299999999999994</v>
      </c>
      <c r="AN192" s="44">
        <v>0.52901912204579959</v>
      </c>
      <c r="AO192" s="44">
        <v>0.17599999999999999</v>
      </c>
      <c r="AP192" s="44">
        <v>0.70501912204579953</v>
      </c>
      <c r="AQ192" s="44">
        <v>0.83909999999999996</v>
      </c>
      <c r="AR192" s="44">
        <v>14.35</v>
      </c>
    </row>
    <row r="193" spans="1:44">
      <c r="A193" t="s">
        <v>1446</v>
      </c>
      <c r="B193" t="s">
        <v>1447</v>
      </c>
      <c r="D193" t="s">
        <v>1639</v>
      </c>
      <c r="E193" s="44">
        <v>4109433</v>
      </c>
      <c r="F193" s="44">
        <v>12204084</v>
      </c>
      <c r="G193" s="44">
        <v>2234951</v>
      </c>
      <c r="H193" s="126">
        <v>14439035</v>
      </c>
      <c r="I193" s="127">
        <v>16084869</v>
      </c>
      <c r="J193" s="128">
        <v>2119400</v>
      </c>
      <c r="K193" s="130">
        <v>32643304</v>
      </c>
      <c r="L193" s="44">
        <v>101605</v>
      </c>
      <c r="M193" s="44">
        <v>582065</v>
      </c>
      <c r="N193" s="44">
        <v>9760658</v>
      </c>
      <c r="O193" s="44">
        <v>647230</v>
      </c>
      <c r="P193" s="44">
        <v>651431</v>
      </c>
      <c r="Q193" s="44">
        <v>1841098</v>
      </c>
      <c r="R193" s="44">
        <v>232008</v>
      </c>
      <c r="S193" s="44">
        <v>541851</v>
      </c>
      <c r="T193" s="44">
        <v>2014766</v>
      </c>
      <c r="U193" s="44">
        <v>2350339</v>
      </c>
      <c r="V193" s="44">
        <v>44530</v>
      </c>
      <c r="W193" s="44">
        <v>1677582</v>
      </c>
      <c r="X193" s="44">
        <v>984688</v>
      </c>
      <c r="Y193" s="44">
        <v>2987752</v>
      </c>
      <c r="Z193" s="44">
        <v>1694427</v>
      </c>
      <c r="AA193" s="44">
        <v>688662</v>
      </c>
      <c r="AB193" s="44">
        <v>0</v>
      </c>
      <c r="AC193" s="44">
        <v>26800692</v>
      </c>
      <c r="AD193" s="44">
        <v>2053291</v>
      </c>
      <c r="AE193" s="44">
        <v>634956</v>
      </c>
      <c r="AF193" s="44">
        <v>1384479</v>
      </c>
      <c r="AG193" s="44">
        <v>30873418</v>
      </c>
      <c r="AH193" s="44">
        <v>1841</v>
      </c>
      <c r="AI193" s="44">
        <v>17731</v>
      </c>
      <c r="AJ193" s="44">
        <v>16770</v>
      </c>
      <c r="AK193" s="44">
        <v>287566</v>
      </c>
      <c r="AL193" s="44">
        <v>81586</v>
      </c>
      <c r="AM193" s="44">
        <v>0.71</v>
      </c>
      <c r="AN193" s="44">
        <v>0.58430138833348477</v>
      </c>
      <c r="AO193" s="44">
        <v>0.16800000000000001</v>
      </c>
      <c r="AP193" s="44">
        <v>0.75230138833348481</v>
      </c>
      <c r="AQ193" s="44">
        <v>0.86550000000000005</v>
      </c>
      <c r="AR193" s="44">
        <v>20.88</v>
      </c>
    </row>
    <row r="194" spans="1:44">
      <c r="A194" t="s">
        <v>1448</v>
      </c>
      <c r="B194" t="s">
        <v>1449</v>
      </c>
      <c r="D194" t="s">
        <v>1639</v>
      </c>
      <c r="E194" s="44">
        <v>1673032</v>
      </c>
      <c r="F194" s="44">
        <v>7942243</v>
      </c>
      <c r="G194" s="44">
        <v>1802073</v>
      </c>
      <c r="H194" s="126">
        <v>9744316</v>
      </c>
      <c r="I194" s="127">
        <v>12311900</v>
      </c>
      <c r="J194" s="128">
        <v>799082</v>
      </c>
      <c r="K194" s="130">
        <v>22855298</v>
      </c>
      <c r="L194" s="44">
        <v>101346</v>
      </c>
      <c r="M194" s="44">
        <v>443520</v>
      </c>
      <c r="N194" s="44">
        <v>7108577</v>
      </c>
      <c r="O194" s="44">
        <v>644316</v>
      </c>
      <c r="P194" s="44">
        <v>504766</v>
      </c>
      <c r="Q194" s="44">
        <v>1035110</v>
      </c>
      <c r="R194" s="44">
        <v>108927</v>
      </c>
      <c r="S194" s="44">
        <v>6646</v>
      </c>
      <c r="T194" s="44">
        <v>1664923</v>
      </c>
      <c r="U194" s="44">
        <v>1018114</v>
      </c>
      <c r="V194" s="44">
        <v>0</v>
      </c>
      <c r="W194" s="44">
        <v>1432040</v>
      </c>
      <c r="X194" s="44">
        <v>794063</v>
      </c>
      <c r="Y194" s="44">
        <v>2246402</v>
      </c>
      <c r="Z194" s="44">
        <v>1100922</v>
      </c>
      <c r="AA194" s="44">
        <v>550990</v>
      </c>
      <c r="AB194" s="44">
        <v>99600</v>
      </c>
      <c r="AC194" s="44">
        <v>18860262</v>
      </c>
      <c r="AD194" s="44">
        <v>1373779</v>
      </c>
      <c r="AE194" s="44">
        <v>1234454</v>
      </c>
      <c r="AF194" s="44">
        <v>659825</v>
      </c>
      <c r="AG194" s="44">
        <v>22128320</v>
      </c>
      <c r="AH194" s="44">
        <v>1586</v>
      </c>
      <c r="AI194" s="44">
        <v>14411</v>
      </c>
      <c r="AJ194" s="44">
        <v>13952</v>
      </c>
      <c r="AK194" s="44">
        <v>309046</v>
      </c>
      <c r="AL194" s="44">
        <v>89345</v>
      </c>
      <c r="AM194" s="44">
        <v>0.77</v>
      </c>
      <c r="AN194" s="44">
        <v>0.54642101162672996</v>
      </c>
      <c r="AO194" s="44">
        <v>0.16600000000000001</v>
      </c>
      <c r="AP194" s="44">
        <v>0.71242101162672999</v>
      </c>
      <c r="AQ194" s="44">
        <v>0.83919999999999995</v>
      </c>
      <c r="AR194" s="44">
        <v>18.670000000000002</v>
      </c>
    </row>
    <row r="195" spans="1:44">
      <c r="A195" t="s">
        <v>1450</v>
      </c>
      <c r="B195" t="s">
        <v>1451</v>
      </c>
      <c r="D195" t="s">
        <v>1639</v>
      </c>
      <c r="E195" s="44">
        <v>1078859</v>
      </c>
      <c r="F195" s="44">
        <v>9345925</v>
      </c>
      <c r="G195" s="44">
        <v>1982365</v>
      </c>
      <c r="H195" s="126">
        <v>11328290</v>
      </c>
      <c r="I195" s="127">
        <v>11067322</v>
      </c>
      <c r="J195" s="128">
        <v>770855</v>
      </c>
      <c r="K195" s="130">
        <v>23166467</v>
      </c>
      <c r="L195" s="44">
        <v>224031</v>
      </c>
      <c r="M195" s="44">
        <v>491509</v>
      </c>
      <c r="N195" s="44">
        <v>7660433</v>
      </c>
      <c r="O195" s="44">
        <v>418083</v>
      </c>
      <c r="P195" s="44">
        <v>376024</v>
      </c>
      <c r="Q195" s="44">
        <v>980651</v>
      </c>
      <c r="R195" s="44">
        <v>30446</v>
      </c>
      <c r="S195" s="44">
        <v>761646</v>
      </c>
      <c r="T195" s="44">
        <v>1266094</v>
      </c>
      <c r="U195" s="44">
        <v>658915</v>
      </c>
      <c r="V195" s="44">
        <v>7325</v>
      </c>
      <c r="W195" s="44">
        <v>1564878</v>
      </c>
      <c r="X195" s="44">
        <v>736826</v>
      </c>
      <c r="Y195" s="44">
        <v>2507699</v>
      </c>
      <c r="Z195" s="44">
        <v>1436782</v>
      </c>
      <c r="AA195" s="44">
        <v>418106</v>
      </c>
      <c r="AB195" s="44">
        <v>376500</v>
      </c>
      <c r="AC195" s="44">
        <v>19915948</v>
      </c>
      <c r="AD195" s="44">
        <v>1494404</v>
      </c>
      <c r="AE195" s="44">
        <v>990000</v>
      </c>
      <c r="AF195" s="44">
        <v>431003</v>
      </c>
      <c r="AG195" s="44">
        <v>22831355</v>
      </c>
      <c r="AH195" s="44">
        <v>1465</v>
      </c>
      <c r="AI195" s="44">
        <v>15813</v>
      </c>
      <c r="AJ195" s="44">
        <v>15585</v>
      </c>
      <c r="AK195" s="44">
        <v>293480</v>
      </c>
      <c r="AL195" s="44">
        <v>76796</v>
      </c>
      <c r="AM195" s="44">
        <v>0.69799999999999995</v>
      </c>
      <c r="AN195" s="44">
        <v>0.53226328441741633</v>
      </c>
      <c r="AO195" s="44">
        <v>0.17100000000000001</v>
      </c>
      <c r="AP195" s="44">
        <v>0.70326328441741637</v>
      </c>
      <c r="AQ195" s="44">
        <v>0.82050000000000001</v>
      </c>
      <c r="AR195" s="44">
        <v>18.190000000000001</v>
      </c>
    </row>
    <row r="196" spans="1:44">
      <c r="A196" t="s">
        <v>1452</v>
      </c>
      <c r="B196" t="s">
        <v>1453</v>
      </c>
      <c r="D196" t="s">
        <v>1639</v>
      </c>
      <c r="E196" s="44">
        <v>1868518</v>
      </c>
      <c r="F196" s="44">
        <v>2170293</v>
      </c>
      <c r="G196" s="44">
        <v>468783</v>
      </c>
      <c r="H196" s="126">
        <v>2639076</v>
      </c>
      <c r="I196" s="127">
        <v>8713009</v>
      </c>
      <c r="J196" s="128">
        <v>499154</v>
      </c>
      <c r="K196" s="130">
        <v>11851239</v>
      </c>
      <c r="L196" s="44">
        <v>149480</v>
      </c>
      <c r="M196" s="44">
        <v>306301</v>
      </c>
      <c r="N196" s="44">
        <v>2931074</v>
      </c>
      <c r="O196" s="44">
        <v>178075</v>
      </c>
      <c r="P196" s="44">
        <v>190604</v>
      </c>
      <c r="Q196" s="44">
        <v>740071</v>
      </c>
      <c r="R196" s="44">
        <v>226610</v>
      </c>
      <c r="S196" s="44">
        <v>39912</v>
      </c>
      <c r="T196" s="44">
        <v>801716</v>
      </c>
      <c r="U196" s="44">
        <v>436757</v>
      </c>
      <c r="V196" s="44">
        <v>0</v>
      </c>
      <c r="W196" s="44">
        <v>629733</v>
      </c>
      <c r="X196" s="44">
        <v>312942</v>
      </c>
      <c r="Y196" s="44">
        <v>1434937</v>
      </c>
      <c r="Z196" s="44">
        <v>560957</v>
      </c>
      <c r="AA196" s="44">
        <v>179637</v>
      </c>
      <c r="AB196" s="44">
        <v>96000</v>
      </c>
      <c r="AC196" s="44">
        <v>9214806</v>
      </c>
      <c r="AD196" s="44">
        <v>676628</v>
      </c>
      <c r="AE196" s="44">
        <v>500000</v>
      </c>
      <c r="AF196" s="44">
        <v>274131</v>
      </c>
      <c r="AG196" s="44">
        <v>10665565</v>
      </c>
      <c r="AH196" s="44">
        <v>540</v>
      </c>
      <c r="AI196" s="44">
        <v>21947</v>
      </c>
      <c r="AJ196" s="44">
        <v>19751</v>
      </c>
      <c r="AK196" s="44">
        <v>779671</v>
      </c>
      <c r="AL196" s="44">
        <v>78252</v>
      </c>
      <c r="AM196" s="44">
        <v>1.34</v>
      </c>
      <c r="AN196" s="44">
        <v>0.51988047515532465</v>
      </c>
      <c r="AO196" s="44">
        <v>0.17899999999999999</v>
      </c>
      <c r="AP196" s="44">
        <v>0.69888047515532459</v>
      </c>
      <c r="AQ196" s="44">
        <v>0.80379999999999996</v>
      </c>
      <c r="AR196" s="44">
        <v>12.41</v>
      </c>
    </row>
    <row r="197" spans="1:44">
      <c r="A197" t="s">
        <v>1454</v>
      </c>
      <c r="B197" t="s">
        <v>1455</v>
      </c>
      <c r="D197" t="s">
        <v>1639</v>
      </c>
      <c r="E197" s="44">
        <v>1010153</v>
      </c>
      <c r="F197" s="44">
        <v>1364577</v>
      </c>
      <c r="G197" s="44">
        <v>339761</v>
      </c>
      <c r="H197" s="126">
        <v>1704338</v>
      </c>
      <c r="I197" s="127">
        <v>7867938</v>
      </c>
      <c r="J197" s="128">
        <v>325576</v>
      </c>
      <c r="K197" s="130">
        <v>9897852</v>
      </c>
      <c r="L197" s="44">
        <v>96319</v>
      </c>
      <c r="M197" s="44">
        <v>322526</v>
      </c>
      <c r="N197" s="44">
        <v>2535944</v>
      </c>
      <c r="O197" s="44">
        <v>112892</v>
      </c>
      <c r="P197" s="44">
        <v>89083</v>
      </c>
      <c r="Q197" s="44">
        <v>641767</v>
      </c>
      <c r="R197" s="44">
        <v>42048</v>
      </c>
      <c r="S197" s="44">
        <v>94293</v>
      </c>
      <c r="T197" s="44">
        <v>639354</v>
      </c>
      <c r="U197" s="44">
        <v>435057</v>
      </c>
      <c r="V197" s="44">
        <v>0</v>
      </c>
      <c r="W197" s="44">
        <v>639755</v>
      </c>
      <c r="X197" s="44">
        <v>276240</v>
      </c>
      <c r="Y197" s="44">
        <v>1504857</v>
      </c>
      <c r="Z197" s="44">
        <v>485796</v>
      </c>
      <c r="AA197" s="44">
        <v>144479</v>
      </c>
      <c r="AB197" s="44">
        <v>0</v>
      </c>
      <c r="AC197" s="44">
        <v>8060410</v>
      </c>
      <c r="AD197" s="44">
        <v>610565</v>
      </c>
      <c r="AE197" s="44">
        <v>585000</v>
      </c>
      <c r="AF197" s="44">
        <v>57393</v>
      </c>
      <c r="AG197" s="44">
        <v>9313368</v>
      </c>
      <c r="AH197" s="44">
        <v>447</v>
      </c>
      <c r="AI197" s="44">
        <v>22143</v>
      </c>
      <c r="AJ197" s="44">
        <v>20835</v>
      </c>
      <c r="AK197" s="44">
        <v>1069977</v>
      </c>
      <c r="AL197" s="44">
        <v>81736</v>
      </c>
      <c r="AM197" s="44">
        <v>1.734</v>
      </c>
      <c r="AN197" s="44">
        <v>0.49288699855948997</v>
      </c>
      <c r="AO197" s="44">
        <v>0.193</v>
      </c>
      <c r="AP197" s="44">
        <v>0.68588699855948998</v>
      </c>
      <c r="AQ197" s="44">
        <v>0.79079999999999995</v>
      </c>
      <c r="AR197" s="44">
        <v>9.6999999999999993</v>
      </c>
    </row>
    <row r="198" spans="1:44">
      <c r="A198" t="s">
        <v>1456</v>
      </c>
      <c r="B198" t="s">
        <v>1191</v>
      </c>
      <c r="D198" t="s">
        <v>1639</v>
      </c>
      <c r="E198" s="44">
        <v>686741</v>
      </c>
      <c r="F198" s="44">
        <v>522768</v>
      </c>
      <c r="G198" s="44">
        <v>176955</v>
      </c>
      <c r="H198" s="126">
        <v>699723</v>
      </c>
      <c r="I198" s="127">
        <v>4296814</v>
      </c>
      <c r="J198" s="128">
        <v>141579</v>
      </c>
      <c r="K198" s="130">
        <v>5138116</v>
      </c>
      <c r="L198" s="44">
        <v>63887</v>
      </c>
      <c r="M198" s="44">
        <v>208691</v>
      </c>
      <c r="N198" s="44">
        <v>1610897</v>
      </c>
      <c r="O198" s="44">
        <v>0</v>
      </c>
      <c r="P198" s="44">
        <v>76660</v>
      </c>
      <c r="Q198" s="44">
        <v>471174</v>
      </c>
      <c r="R198" s="44">
        <v>0</v>
      </c>
      <c r="S198" s="44">
        <v>111253</v>
      </c>
      <c r="T198" s="44">
        <v>212110</v>
      </c>
      <c r="U198" s="44">
        <v>209231</v>
      </c>
      <c r="V198" s="44">
        <v>0</v>
      </c>
      <c r="W198" s="44">
        <v>263799</v>
      </c>
      <c r="X198" s="44">
        <v>159650</v>
      </c>
      <c r="Y198" s="44">
        <v>593849</v>
      </c>
      <c r="Z198" s="44">
        <v>241944</v>
      </c>
      <c r="AA198" s="44">
        <v>74184</v>
      </c>
      <c r="AB198" s="44">
        <v>190000</v>
      </c>
      <c r="AC198" s="44">
        <v>4487329</v>
      </c>
      <c r="AD198" s="44">
        <v>270162</v>
      </c>
      <c r="AE198" s="44">
        <v>176500</v>
      </c>
      <c r="AF198" s="44">
        <v>40361</v>
      </c>
      <c r="AG198" s="44">
        <v>4974352</v>
      </c>
      <c r="AH198" s="44">
        <v>167</v>
      </c>
      <c r="AI198" s="44">
        <v>30767</v>
      </c>
      <c r="AJ198" s="44">
        <v>29787</v>
      </c>
      <c r="AK198" s="44">
        <v>1622989</v>
      </c>
      <c r="AL198" s="44">
        <v>88488</v>
      </c>
      <c r="AM198" s="44">
        <v>2.4860000000000002</v>
      </c>
      <c r="AN198" s="44">
        <v>0.5410403204276657</v>
      </c>
      <c r="AO198" s="44">
        <v>0.159</v>
      </c>
      <c r="AP198" s="44">
        <v>0.70004032042766573</v>
      </c>
      <c r="AQ198" s="44">
        <v>0.79530000000000001</v>
      </c>
      <c r="AR198" s="44">
        <v>8.9600000000000009</v>
      </c>
    </row>
    <row r="199" spans="1:44">
      <c r="A199" t="s">
        <v>1192</v>
      </c>
      <c r="B199" t="s">
        <v>1193</v>
      </c>
      <c r="D199" t="s">
        <v>1639</v>
      </c>
      <c r="E199" s="44">
        <v>696035</v>
      </c>
      <c r="F199" s="44">
        <v>428824</v>
      </c>
      <c r="G199" s="44">
        <v>106567</v>
      </c>
      <c r="H199" s="126">
        <v>535391</v>
      </c>
      <c r="I199" s="127">
        <v>3070678</v>
      </c>
      <c r="J199" s="128">
        <v>45200</v>
      </c>
      <c r="K199" s="130">
        <v>3651269</v>
      </c>
      <c r="L199" s="44">
        <v>94467</v>
      </c>
      <c r="M199" s="44">
        <v>209880</v>
      </c>
      <c r="N199" s="44">
        <v>951955</v>
      </c>
      <c r="O199" s="44">
        <v>24016</v>
      </c>
      <c r="P199" s="44">
        <v>0</v>
      </c>
      <c r="Q199" s="44">
        <v>267914</v>
      </c>
      <c r="R199" s="44">
        <v>121752</v>
      </c>
      <c r="S199" s="44">
        <v>900</v>
      </c>
      <c r="T199" s="44">
        <v>92221</v>
      </c>
      <c r="U199" s="44">
        <v>104637</v>
      </c>
      <c r="V199" s="44">
        <v>4477</v>
      </c>
      <c r="W199" s="44">
        <v>231654</v>
      </c>
      <c r="X199" s="44">
        <v>104631</v>
      </c>
      <c r="Y199" s="44">
        <v>218400</v>
      </c>
      <c r="Z199" s="44">
        <v>184325</v>
      </c>
      <c r="AA199" s="44">
        <v>26569</v>
      </c>
      <c r="AB199" s="44">
        <v>103527</v>
      </c>
      <c r="AC199" s="44">
        <v>2741325</v>
      </c>
      <c r="AD199" s="44">
        <v>311560</v>
      </c>
      <c r="AE199" s="44">
        <v>224148</v>
      </c>
      <c r="AF199" s="44">
        <v>281174</v>
      </c>
      <c r="AG199" s="44">
        <v>3558207</v>
      </c>
      <c r="AH199" s="44">
        <v>102</v>
      </c>
      <c r="AI199" s="44">
        <v>35797</v>
      </c>
      <c r="AJ199" s="44">
        <v>34884</v>
      </c>
      <c r="AK199" s="44">
        <v>2486676</v>
      </c>
      <c r="AL199" s="44">
        <v>135463</v>
      </c>
      <c r="AM199" s="44">
        <v>3.8090000000000002</v>
      </c>
      <c r="AN199" s="44">
        <v>0.43937719193964825</v>
      </c>
      <c r="AO199" s="44">
        <v>9.5000000000000001E-2</v>
      </c>
      <c r="AP199" s="44">
        <v>0.53437719193964828</v>
      </c>
      <c r="AQ199" s="44">
        <v>0.68479999999999996</v>
      </c>
      <c r="AR199" s="44">
        <v>8.92</v>
      </c>
    </row>
    <row r="200" spans="1:44">
      <c r="A200" t="s">
        <v>1194</v>
      </c>
      <c r="B200" t="s">
        <v>1195</v>
      </c>
      <c r="D200" t="s">
        <v>1639</v>
      </c>
      <c r="E200" s="44">
        <v>1189825</v>
      </c>
      <c r="F200" s="44">
        <v>264060</v>
      </c>
      <c r="G200" s="44">
        <v>76997</v>
      </c>
      <c r="H200" s="126">
        <v>341057</v>
      </c>
      <c r="I200" s="127">
        <v>3266306</v>
      </c>
      <c r="J200" s="128">
        <v>71774</v>
      </c>
      <c r="K200" s="130">
        <v>3679137</v>
      </c>
      <c r="L200" s="44">
        <v>34457</v>
      </c>
      <c r="M200" s="44">
        <v>182860</v>
      </c>
      <c r="N200" s="44">
        <v>1070664</v>
      </c>
      <c r="O200" s="44">
        <v>32017</v>
      </c>
      <c r="P200" s="44">
        <v>25000</v>
      </c>
      <c r="Q200" s="44">
        <v>70967</v>
      </c>
      <c r="R200" s="44">
        <v>350</v>
      </c>
      <c r="S200" s="44">
        <v>0</v>
      </c>
      <c r="T200" s="44">
        <v>71487</v>
      </c>
      <c r="U200" s="44">
        <v>152352</v>
      </c>
      <c r="V200" s="44">
        <v>0</v>
      </c>
      <c r="W200" s="44">
        <v>271873</v>
      </c>
      <c r="X200" s="44">
        <v>100721</v>
      </c>
      <c r="Y200" s="44">
        <v>507231</v>
      </c>
      <c r="Z200" s="44">
        <v>152553</v>
      </c>
      <c r="AA200" s="44">
        <v>57904</v>
      </c>
      <c r="AB200" s="44">
        <v>332395</v>
      </c>
      <c r="AC200" s="44">
        <v>3062831</v>
      </c>
      <c r="AD200" s="44">
        <v>168529</v>
      </c>
      <c r="AE200" s="44">
        <v>0</v>
      </c>
      <c r="AF200" s="44">
        <v>0</v>
      </c>
      <c r="AG200" s="44">
        <v>3231360</v>
      </c>
      <c r="AH200" s="44">
        <v>72</v>
      </c>
      <c r="AI200" s="44">
        <v>51099</v>
      </c>
      <c r="AJ200" s="44">
        <v>44880</v>
      </c>
      <c r="AK200" s="44">
        <v>4565896</v>
      </c>
      <c r="AL200" s="44">
        <v>149073</v>
      </c>
      <c r="AM200" s="44">
        <v>6.5839999999999996</v>
      </c>
      <c r="AN200" s="44">
        <v>0.44032141265597147</v>
      </c>
      <c r="AO200" s="44">
        <v>0.187</v>
      </c>
      <c r="AP200" s="44">
        <v>0.62732141265597141</v>
      </c>
      <c r="AQ200" s="44">
        <v>0.72060000000000002</v>
      </c>
      <c r="AR200" s="44">
        <v>7.38</v>
      </c>
    </row>
    <row r="201" spans="1:44">
      <c r="A201" t="s">
        <v>1196</v>
      </c>
      <c r="B201" t="s">
        <v>1197</v>
      </c>
      <c r="D201" t="s">
        <v>1639</v>
      </c>
      <c r="E201" s="44">
        <v>265449</v>
      </c>
      <c r="F201" s="44">
        <v>883775</v>
      </c>
      <c r="G201" s="44">
        <v>139097</v>
      </c>
      <c r="H201" s="126">
        <v>1022872</v>
      </c>
      <c r="I201" s="127">
        <v>3415239</v>
      </c>
      <c r="J201" s="128">
        <v>133666</v>
      </c>
      <c r="K201" s="130">
        <v>4571777</v>
      </c>
      <c r="L201" s="44">
        <v>57790</v>
      </c>
      <c r="M201" s="44">
        <v>148963</v>
      </c>
      <c r="N201" s="44">
        <v>1457864</v>
      </c>
      <c r="O201" s="44">
        <v>93120</v>
      </c>
      <c r="P201" s="44">
        <v>6891</v>
      </c>
      <c r="Q201" s="44">
        <v>288133</v>
      </c>
      <c r="R201" s="44">
        <v>0</v>
      </c>
      <c r="S201" s="44">
        <v>5412</v>
      </c>
      <c r="T201" s="44">
        <v>224465</v>
      </c>
      <c r="U201" s="44">
        <v>110030</v>
      </c>
      <c r="V201" s="44">
        <v>0</v>
      </c>
      <c r="W201" s="44">
        <v>204776</v>
      </c>
      <c r="X201" s="44">
        <v>142145</v>
      </c>
      <c r="Y201" s="44">
        <v>589013</v>
      </c>
      <c r="Z201" s="44">
        <v>206792</v>
      </c>
      <c r="AA201" s="44">
        <v>148327</v>
      </c>
      <c r="AB201" s="44">
        <v>98400</v>
      </c>
      <c r="AC201" s="44">
        <v>3782121</v>
      </c>
      <c r="AD201" s="44">
        <v>305908</v>
      </c>
      <c r="AE201" s="44">
        <v>125000</v>
      </c>
      <c r="AF201" s="44">
        <v>117081</v>
      </c>
      <c r="AG201" s="44">
        <v>4330110</v>
      </c>
      <c r="AH201" s="44">
        <v>177</v>
      </c>
      <c r="AI201" s="44">
        <v>25829</v>
      </c>
      <c r="AJ201" s="44">
        <v>24464</v>
      </c>
      <c r="AK201" s="44">
        <v>1285083</v>
      </c>
      <c r="AL201" s="44">
        <v>70222</v>
      </c>
      <c r="AM201" s="44">
        <v>1.9690000000000001</v>
      </c>
      <c r="AN201" s="44">
        <v>0.50481742958031084</v>
      </c>
      <c r="AO201" s="44">
        <v>0.17899999999999999</v>
      </c>
      <c r="AP201" s="44">
        <v>0.68381742958031078</v>
      </c>
      <c r="AQ201" s="44">
        <v>0.78290000000000004</v>
      </c>
      <c r="AR201" s="44">
        <v>13.12</v>
      </c>
    </row>
    <row r="202" spans="1:44">
      <c r="A202" t="s">
        <v>1198</v>
      </c>
      <c r="B202" t="s">
        <v>1199</v>
      </c>
      <c r="D202" t="s">
        <v>1639</v>
      </c>
      <c r="E202" s="44">
        <v>760285</v>
      </c>
      <c r="F202" s="44">
        <v>7994405</v>
      </c>
      <c r="G202" s="44">
        <v>969033</v>
      </c>
      <c r="H202" s="126">
        <v>8963438</v>
      </c>
      <c r="I202" s="127">
        <v>3310966</v>
      </c>
      <c r="J202" s="128">
        <v>509894</v>
      </c>
      <c r="K202" s="130">
        <v>12784298</v>
      </c>
      <c r="L202" s="44">
        <v>83432</v>
      </c>
      <c r="M202" s="44">
        <v>396399</v>
      </c>
      <c r="N202" s="44">
        <v>3823009</v>
      </c>
      <c r="O202" s="44">
        <v>213757</v>
      </c>
      <c r="P202" s="44">
        <v>158346</v>
      </c>
      <c r="Q202" s="44">
        <v>1127224</v>
      </c>
      <c r="R202" s="44">
        <v>83646</v>
      </c>
      <c r="S202" s="44">
        <v>0</v>
      </c>
      <c r="T202" s="44">
        <v>653557</v>
      </c>
      <c r="U202" s="44">
        <v>365476</v>
      </c>
      <c r="V202" s="44">
        <v>0</v>
      </c>
      <c r="W202" s="44">
        <v>818488</v>
      </c>
      <c r="X202" s="44">
        <v>362432</v>
      </c>
      <c r="Y202" s="44">
        <v>1721468</v>
      </c>
      <c r="Z202" s="44">
        <v>855299</v>
      </c>
      <c r="AA202" s="44">
        <v>161121</v>
      </c>
      <c r="AB202" s="44">
        <v>123008</v>
      </c>
      <c r="AC202" s="44">
        <v>10946662</v>
      </c>
      <c r="AD202" s="44">
        <v>634075</v>
      </c>
      <c r="AE202" s="44">
        <v>669579</v>
      </c>
      <c r="AF202" s="44">
        <v>117893</v>
      </c>
      <c r="AG202" s="44">
        <v>12368209</v>
      </c>
      <c r="AH202" s="44">
        <v>892</v>
      </c>
      <c r="AI202" s="44">
        <v>14332</v>
      </c>
      <c r="AJ202" s="44">
        <v>13866</v>
      </c>
      <c r="AK202" s="44">
        <v>153780</v>
      </c>
      <c r="AL202" s="44">
        <v>57081</v>
      </c>
      <c r="AM202" s="44">
        <v>0.435</v>
      </c>
      <c r="AN202" s="44">
        <v>0.51947820416035984</v>
      </c>
      <c r="AO202" s="44">
        <v>0.19500000000000001</v>
      </c>
      <c r="AP202" s="44">
        <v>0.7144782041603599</v>
      </c>
      <c r="AQ202" s="44">
        <v>0.8135</v>
      </c>
      <c r="AR202" s="44">
        <v>17.27</v>
      </c>
    </row>
    <row r="203" spans="1:44">
      <c r="A203" t="s">
        <v>1200</v>
      </c>
      <c r="B203" t="s">
        <v>1201</v>
      </c>
      <c r="D203" t="s">
        <v>1639</v>
      </c>
      <c r="E203" s="44">
        <v>674379</v>
      </c>
      <c r="F203" s="44">
        <v>8743623</v>
      </c>
      <c r="G203" s="44">
        <v>1675484</v>
      </c>
      <c r="H203" s="126">
        <v>10419107</v>
      </c>
      <c r="I203" s="127">
        <v>4351508</v>
      </c>
      <c r="J203" s="128">
        <v>697542</v>
      </c>
      <c r="K203" s="130">
        <v>15468157</v>
      </c>
      <c r="L203" s="44">
        <v>59679</v>
      </c>
      <c r="M203" s="44">
        <v>339860</v>
      </c>
      <c r="N203" s="44">
        <v>4957168</v>
      </c>
      <c r="O203" s="44">
        <v>127567</v>
      </c>
      <c r="P203" s="44">
        <v>361689</v>
      </c>
      <c r="Q203" s="44">
        <v>1682055</v>
      </c>
      <c r="R203" s="44">
        <v>19164</v>
      </c>
      <c r="S203" s="44">
        <v>157448</v>
      </c>
      <c r="T203" s="44">
        <v>540040</v>
      </c>
      <c r="U203" s="44">
        <v>400383</v>
      </c>
      <c r="V203" s="44">
        <v>0</v>
      </c>
      <c r="W203" s="44">
        <v>1193987</v>
      </c>
      <c r="X203" s="44">
        <v>481659</v>
      </c>
      <c r="Y203" s="44">
        <v>1457271</v>
      </c>
      <c r="Z203" s="44">
        <v>640111</v>
      </c>
      <c r="AA203" s="44">
        <v>286121</v>
      </c>
      <c r="AB203" s="44">
        <v>0</v>
      </c>
      <c r="AC203" s="44">
        <v>12704202</v>
      </c>
      <c r="AD203" s="44">
        <v>761758</v>
      </c>
      <c r="AE203" s="44">
        <v>1100000</v>
      </c>
      <c r="AF203" s="44">
        <v>699903</v>
      </c>
      <c r="AG203" s="44">
        <v>15265863</v>
      </c>
      <c r="AH203" s="44">
        <v>1190</v>
      </c>
      <c r="AI203" s="44">
        <v>12998</v>
      </c>
      <c r="AJ203" s="44">
        <v>12828</v>
      </c>
      <c r="AK203" s="44">
        <v>181212</v>
      </c>
      <c r="AL203" s="44">
        <v>75383</v>
      </c>
      <c r="AM203" s="44">
        <v>0.54600000000000004</v>
      </c>
      <c r="AN203" s="44">
        <v>0.54012760366053336</v>
      </c>
      <c r="AO203" s="44">
        <v>0.14899999999999999</v>
      </c>
      <c r="AP203" s="44">
        <v>0.68912760366053338</v>
      </c>
      <c r="AQ203" s="44">
        <v>0.82830000000000004</v>
      </c>
      <c r="AR203" s="44">
        <v>17.07</v>
      </c>
    </row>
    <row r="204" spans="1:44">
      <c r="A204" t="s">
        <v>1202</v>
      </c>
      <c r="B204" t="s">
        <v>1203</v>
      </c>
      <c r="D204" t="s">
        <v>1639</v>
      </c>
      <c r="E204" s="44">
        <v>2516061</v>
      </c>
      <c r="F204" s="44">
        <v>17306258</v>
      </c>
      <c r="G204" s="44">
        <v>1324421</v>
      </c>
      <c r="H204" s="126">
        <v>18630679</v>
      </c>
      <c r="I204" s="127">
        <v>3082528</v>
      </c>
      <c r="J204" s="128">
        <v>1660360</v>
      </c>
      <c r="K204" s="130">
        <v>23373567</v>
      </c>
      <c r="L204" s="44">
        <v>137918</v>
      </c>
      <c r="M204" s="44">
        <v>444595</v>
      </c>
      <c r="N204" s="44">
        <v>6973514</v>
      </c>
      <c r="O204" s="44">
        <v>162443</v>
      </c>
      <c r="P204" s="44">
        <v>290509</v>
      </c>
      <c r="Q204" s="44">
        <v>2068385</v>
      </c>
      <c r="R204" s="44">
        <v>116004</v>
      </c>
      <c r="S204" s="44">
        <v>0</v>
      </c>
      <c r="T204" s="44">
        <v>1083346</v>
      </c>
      <c r="U204" s="44">
        <v>861514</v>
      </c>
      <c r="V204" s="44">
        <v>0</v>
      </c>
      <c r="W204" s="44">
        <v>1069085</v>
      </c>
      <c r="X204" s="44">
        <v>673757</v>
      </c>
      <c r="Y204" s="44">
        <v>2141164</v>
      </c>
      <c r="Z204" s="44">
        <v>1052621</v>
      </c>
      <c r="AA204" s="44">
        <v>407591</v>
      </c>
      <c r="AB204" s="44">
        <v>400000</v>
      </c>
      <c r="AC204" s="44">
        <v>17882446</v>
      </c>
      <c r="AD204" s="44">
        <v>555651</v>
      </c>
      <c r="AE204" s="44">
        <v>1810000</v>
      </c>
      <c r="AF204" s="44">
        <v>1209095</v>
      </c>
      <c r="AG204" s="44">
        <v>21457192</v>
      </c>
      <c r="AH204" s="44">
        <v>1782</v>
      </c>
      <c r="AI204" s="44">
        <v>13116</v>
      </c>
      <c r="AJ204" s="44">
        <v>12041</v>
      </c>
      <c r="AK204" s="44">
        <v>104118</v>
      </c>
      <c r="AL204" s="44">
        <v>59191</v>
      </c>
      <c r="AM204" s="44">
        <v>0.378</v>
      </c>
      <c r="AN204" s="44">
        <v>0.53854740172898674</v>
      </c>
      <c r="AO204" s="44">
        <v>0.161</v>
      </c>
      <c r="AP204" s="44">
        <v>0.69954740172898677</v>
      </c>
      <c r="AQ204" s="44">
        <v>0.85809999999999997</v>
      </c>
      <c r="AR204" s="44">
        <v>13.46</v>
      </c>
    </row>
    <row r="205" spans="1:44">
      <c r="A205" t="s">
        <v>1204</v>
      </c>
      <c r="B205" t="s">
        <v>1205</v>
      </c>
      <c r="D205" t="s">
        <v>1639</v>
      </c>
      <c r="E205" s="44">
        <v>607443</v>
      </c>
      <c r="F205" s="44">
        <v>8471890</v>
      </c>
      <c r="G205" s="44">
        <v>1106903</v>
      </c>
      <c r="H205" s="126">
        <v>9578793</v>
      </c>
      <c r="I205" s="127">
        <v>2469308</v>
      </c>
      <c r="J205" s="128">
        <v>958762</v>
      </c>
      <c r="K205" s="130">
        <v>13006863</v>
      </c>
      <c r="L205" s="44">
        <v>60325</v>
      </c>
      <c r="M205" s="44">
        <v>303849</v>
      </c>
      <c r="N205" s="44">
        <v>4208835</v>
      </c>
      <c r="O205" s="44">
        <v>174804</v>
      </c>
      <c r="P205" s="44">
        <v>180289</v>
      </c>
      <c r="Q205" s="44">
        <v>868812</v>
      </c>
      <c r="R205" s="44">
        <v>48026</v>
      </c>
      <c r="S205" s="44">
        <v>0</v>
      </c>
      <c r="T205" s="44">
        <v>855263</v>
      </c>
      <c r="U205" s="44">
        <v>830720</v>
      </c>
      <c r="V205" s="44">
        <v>7127</v>
      </c>
      <c r="W205" s="44">
        <v>894304</v>
      </c>
      <c r="X205" s="44">
        <v>402083</v>
      </c>
      <c r="Y205" s="44">
        <v>1524278</v>
      </c>
      <c r="Z205" s="44">
        <v>781956</v>
      </c>
      <c r="AA205" s="44">
        <v>314809</v>
      </c>
      <c r="AB205" s="44">
        <v>0</v>
      </c>
      <c r="AC205" s="44">
        <v>11455480</v>
      </c>
      <c r="AD205" s="44">
        <v>367894</v>
      </c>
      <c r="AE205" s="44">
        <v>800000</v>
      </c>
      <c r="AF205" s="44">
        <v>408823</v>
      </c>
      <c r="AG205" s="44">
        <v>13032197</v>
      </c>
      <c r="AH205" s="44">
        <v>984</v>
      </c>
      <c r="AI205" s="44">
        <v>13218</v>
      </c>
      <c r="AJ205" s="44">
        <v>13244</v>
      </c>
      <c r="AK205" s="44">
        <v>133573</v>
      </c>
      <c r="AL205" s="44">
        <v>64216</v>
      </c>
      <c r="AM205" s="44">
        <v>0.437</v>
      </c>
      <c r="AN205" s="44">
        <v>0.5499263861649728</v>
      </c>
      <c r="AO205" s="44">
        <v>0.18</v>
      </c>
      <c r="AP205" s="44">
        <v>0.72992638616497274</v>
      </c>
      <c r="AQ205" s="44">
        <v>0.83020000000000005</v>
      </c>
      <c r="AR205" s="44">
        <v>15.37</v>
      </c>
    </row>
    <row r="206" spans="1:44">
      <c r="A206" t="s">
        <v>1206</v>
      </c>
      <c r="B206" t="s">
        <v>1207</v>
      </c>
      <c r="D206" t="s">
        <v>1639</v>
      </c>
      <c r="E206" s="44">
        <v>759641</v>
      </c>
      <c r="F206" s="44">
        <v>9324751</v>
      </c>
      <c r="G206" s="44">
        <v>1951392</v>
      </c>
      <c r="H206" s="126">
        <v>11276143</v>
      </c>
      <c r="I206" s="127">
        <v>4864803</v>
      </c>
      <c r="J206" s="128">
        <v>626623</v>
      </c>
      <c r="K206" s="130">
        <v>16767569</v>
      </c>
      <c r="L206" s="44">
        <v>59726</v>
      </c>
      <c r="M206" s="44">
        <v>311803</v>
      </c>
      <c r="N206" s="44">
        <v>4770115</v>
      </c>
      <c r="O206" s="44">
        <v>219518</v>
      </c>
      <c r="P206" s="44">
        <v>316870</v>
      </c>
      <c r="Q206" s="44">
        <v>1575664</v>
      </c>
      <c r="R206" s="44">
        <v>144994</v>
      </c>
      <c r="S206" s="44">
        <v>0</v>
      </c>
      <c r="T206" s="44">
        <v>1048434</v>
      </c>
      <c r="U206" s="44">
        <v>638216</v>
      </c>
      <c r="V206" s="44">
        <v>0</v>
      </c>
      <c r="W206" s="44">
        <v>1121489</v>
      </c>
      <c r="X206" s="44">
        <v>475132</v>
      </c>
      <c r="Y206" s="44">
        <v>1924040</v>
      </c>
      <c r="Z206" s="44">
        <v>813135</v>
      </c>
      <c r="AA206" s="44">
        <v>388145</v>
      </c>
      <c r="AB206" s="44">
        <v>0</v>
      </c>
      <c r="AC206" s="44">
        <v>13807281</v>
      </c>
      <c r="AD206" s="44">
        <v>510369</v>
      </c>
      <c r="AE206" s="44">
        <v>1305200</v>
      </c>
      <c r="AF206" s="44">
        <v>937878</v>
      </c>
      <c r="AG206" s="44">
        <v>16560728</v>
      </c>
      <c r="AH206" s="44">
        <v>1301</v>
      </c>
      <c r="AI206" s="44">
        <v>12888</v>
      </c>
      <c r="AJ206" s="44">
        <v>12729</v>
      </c>
      <c r="AK206" s="44">
        <v>164593</v>
      </c>
      <c r="AL206" s="44">
        <v>75193</v>
      </c>
      <c r="AM206" s="44">
        <v>0.52300000000000002</v>
      </c>
      <c r="AN206" s="44">
        <v>0.5261731851401702</v>
      </c>
      <c r="AO206" s="44">
        <v>0.16800000000000001</v>
      </c>
      <c r="AP206" s="44">
        <v>0.69417318514017023</v>
      </c>
      <c r="AQ206" s="44">
        <v>0.83130000000000004</v>
      </c>
      <c r="AR206" s="44">
        <v>18.3</v>
      </c>
    </row>
    <row r="207" spans="1:44">
      <c r="A207" t="s">
        <v>1208</v>
      </c>
      <c r="B207" t="s">
        <v>1209</v>
      </c>
      <c r="D207" t="s">
        <v>1639</v>
      </c>
      <c r="E207" s="44">
        <v>272452</v>
      </c>
      <c r="F207" s="44">
        <v>10653808</v>
      </c>
      <c r="G207" s="44">
        <v>1787460</v>
      </c>
      <c r="H207" s="126">
        <v>12441268</v>
      </c>
      <c r="I207" s="127">
        <v>5223782</v>
      </c>
      <c r="J207" s="128">
        <v>1491324</v>
      </c>
      <c r="K207" s="130">
        <v>19156374</v>
      </c>
      <c r="L207" s="44">
        <v>41045</v>
      </c>
      <c r="M207" s="44">
        <v>361616</v>
      </c>
      <c r="N207" s="44">
        <v>5915045</v>
      </c>
      <c r="O207" s="44">
        <v>214865</v>
      </c>
      <c r="P207" s="44">
        <v>322567</v>
      </c>
      <c r="Q207" s="44">
        <v>1075906</v>
      </c>
      <c r="R207" s="44">
        <v>14914</v>
      </c>
      <c r="S207" s="44">
        <v>53503</v>
      </c>
      <c r="T207" s="44">
        <v>1062309</v>
      </c>
      <c r="U207" s="44">
        <v>842545</v>
      </c>
      <c r="V207" s="44">
        <v>0</v>
      </c>
      <c r="W207" s="44">
        <v>1549533</v>
      </c>
      <c r="X207" s="44">
        <v>450729</v>
      </c>
      <c r="Y207" s="44">
        <v>2357540</v>
      </c>
      <c r="Z207" s="44">
        <v>1055832</v>
      </c>
      <c r="AA207" s="44">
        <v>269312</v>
      </c>
      <c r="AB207" s="44">
        <v>53696</v>
      </c>
      <c r="AC207" s="44">
        <v>15640957</v>
      </c>
      <c r="AD207" s="44">
        <v>787500</v>
      </c>
      <c r="AE207" s="44">
        <v>1745745</v>
      </c>
      <c r="AF207" s="44">
        <v>874652</v>
      </c>
      <c r="AG207" s="44">
        <v>19048854</v>
      </c>
      <c r="AH207" s="44">
        <v>1194</v>
      </c>
      <c r="AI207" s="44">
        <v>16044</v>
      </c>
      <c r="AJ207" s="44">
        <v>15954</v>
      </c>
      <c r="AK207" s="44">
        <v>177625</v>
      </c>
      <c r="AL207" s="44">
        <v>87780</v>
      </c>
      <c r="AM207" s="44">
        <v>0.59199999999999997</v>
      </c>
      <c r="AN207" s="44">
        <v>0.49880449501056601</v>
      </c>
      <c r="AO207" s="44">
        <v>0.17899999999999999</v>
      </c>
      <c r="AP207" s="44">
        <v>0.67780449501056594</v>
      </c>
      <c r="AQ207" s="44">
        <v>0.82869999999999999</v>
      </c>
      <c r="AR207" s="44">
        <v>20.079999999999998</v>
      </c>
    </row>
    <row r="208" spans="1:44">
      <c r="A208" t="s">
        <v>1210</v>
      </c>
      <c r="B208" t="s">
        <v>1211</v>
      </c>
      <c r="D208" t="s">
        <v>1639</v>
      </c>
      <c r="E208" s="44">
        <v>1909715</v>
      </c>
      <c r="F208" s="44">
        <v>9452419</v>
      </c>
      <c r="G208" s="44">
        <v>853820</v>
      </c>
      <c r="H208" s="126">
        <v>10306239</v>
      </c>
      <c r="I208" s="127">
        <v>3225736</v>
      </c>
      <c r="J208" s="128">
        <v>941281</v>
      </c>
      <c r="K208" s="130">
        <v>14473256</v>
      </c>
      <c r="L208" s="44">
        <v>72687</v>
      </c>
      <c r="M208" s="44">
        <v>303802</v>
      </c>
      <c r="N208" s="44">
        <v>4716735</v>
      </c>
      <c r="O208" s="44">
        <v>174162</v>
      </c>
      <c r="P208" s="44">
        <v>172147</v>
      </c>
      <c r="Q208" s="44">
        <v>1573627</v>
      </c>
      <c r="R208" s="44">
        <v>0</v>
      </c>
      <c r="S208" s="44">
        <v>0</v>
      </c>
      <c r="T208" s="44">
        <v>728738</v>
      </c>
      <c r="U208" s="44">
        <v>627728</v>
      </c>
      <c r="V208" s="44">
        <v>0</v>
      </c>
      <c r="W208" s="44">
        <v>717571</v>
      </c>
      <c r="X208" s="44">
        <v>500660</v>
      </c>
      <c r="Y208" s="44">
        <v>1307039</v>
      </c>
      <c r="Z208" s="44">
        <v>808023</v>
      </c>
      <c r="AA208" s="44">
        <v>226315</v>
      </c>
      <c r="AB208" s="44">
        <v>0</v>
      </c>
      <c r="AC208" s="44">
        <v>11929234</v>
      </c>
      <c r="AD208" s="44">
        <v>865318</v>
      </c>
      <c r="AE208" s="44">
        <v>590000</v>
      </c>
      <c r="AF208" s="44">
        <v>217941</v>
      </c>
      <c r="AG208" s="44">
        <v>13602493</v>
      </c>
      <c r="AH208" s="44">
        <v>955</v>
      </c>
      <c r="AI208" s="44">
        <v>15155</v>
      </c>
      <c r="AJ208" s="44">
        <v>14243</v>
      </c>
      <c r="AK208" s="44">
        <v>180588</v>
      </c>
      <c r="AL208" s="44">
        <v>53380</v>
      </c>
      <c r="AM208" s="44">
        <v>0.45500000000000002</v>
      </c>
      <c r="AN208" s="44">
        <v>0.58762294529392511</v>
      </c>
      <c r="AO208" s="44">
        <v>0.16500000000000001</v>
      </c>
      <c r="AP208" s="44">
        <v>0.75262294529392515</v>
      </c>
      <c r="AQ208" s="44">
        <v>0.8579</v>
      </c>
      <c r="AR208" s="44">
        <v>14.7</v>
      </c>
    </row>
    <row r="209" spans="1:44">
      <c r="A209" t="s">
        <v>1212</v>
      </c>
      <c r="B209" t="s">
        <v>1213</v>
      </c>
      <c r="D209" t="s">
        <v>1639</v>
      </c>
      <c r="E209" s="44">
        <v>2119635</v>
      </c>
      <c r="F209" s="44">
        <v>4930439</v>
      </c>
      <c r="G209" s="44">
        <v>697438</v>
      </c>
      <c r="H209" s="126">
        <v>5627877</v>
      </c>
      <c r="I209" s="127">
        <v>5276756</v>
      </c>
      <c r="J209" s="128">
        <v>536825</v>
      </c>
      <c r="K209" s="130">
        <v>11441458</v>
      </c>
      <c r="L209" s="44">
        <v>34115</v>
      </c>
      <c r="M209" s="44">
        <v>376050</v>
      </c>
      <c r="N209" s="44">
        <v>3286943</v>
      </c>
      <c r="O209" s="44">
        <v>160306</v>
      </c>
      <c r="P209" s="44">
        <v>159362</v>
      </c>
      <c r="Q209" s="44">
        <v>1320424</v>
      </c>
      <c r="R209" s="44">
        <v>0</v>
      </c>
      <c r="S209" s="44">
        <v>0</v>
      </c>
      <c r="T209" s="44">
        <v>628733</v>
      </c>
      <c r="U209" s="44">
        <v>640649</v>
      </c>
      <c r="V209" s="44">
        <v>0</v>
      </c>
      <c r="W209" s="44">
        <v>624916</v>
      </c>
      <c r="X209" s="44">
        <v>336019</v>
      </c>
      <c r="Y209" s="44">
        <v>1172164</v>
      </c>
      <c r="Z209" s="44">
        <v>679166</v>
      </c>
      <c r="AA209" s="44">
        <v>201869</v>
      </c>
      <c r="AB209" s="44">
        <v>0</v>
      </c>
      <c r="AC209" s="44">
        <v>9620716</v>
      </c>
      <c r="AD209" s="44">
        <v>965247</v>
      </c>
      <c r="AE209" s="44">
        <v>260000</v>
      </c>
      <c r="AF209" s="44">
        <v>123443</v>
      </c>
      <c r="AG209" s="44">
        <v>10969406</v>
      </c>
      <c r="AH209" s="44">
        <v>753</v>
      </c>
      <c r="AI209" s="44">
        <v>15194</v>
      </c>
      <c r="AJ209" s="44">
        <v>14568</v>
      </c>
      <c r="AK209" s="44">
        <v>352750</v>
      </c>
      <c r="AL209" s="44">
        <v>59368</v>
      </c>
      <c r="AM209" s="44">
        <v>0.70399999999999996</v>
      </c>
      <c r="AN209" s="44">
        <v>0.56488172650369584</v>
      </c>
      <c r="AO209" s="44">
        <v>0.154</v>
      </c>
      <c r="AP209" s="44">
        <v>0.71888172650369586</v>
      </c>
      <c r="AQ209" s="44">
        <v>0.81969999999999998</v>
      </c>
      <c r="AR209" s="44">
        <v>14.64</v>
      </c>
    </row>
    <row r="210" spans="1:44">
      <c r="A210" t="s">
        <v>1214</v>
      </c>
      <c r="B210" t="s">
        <v>1215</v>
      </c>
      <c r="D210" t="s">
        <v>1639</v>
      </c>
      <c r="E210" s="44">
        <v>116075</v>
      </c>
      <c r="F210" s="44">
        <v>3198938</v>
      </c>
      <c r="G210" s="44">
        <v>314262</v>
      </c>
      <c r="H210" s="126">
        <v>3513200</v>
      </c>
      <c r="I210" s="127">
        <v>1236331</v>
      </c>
      <c r="J210" s="128">
        <v>270097</v>
      </c>
      <c r="K210" s="130">
        <v>5019628</v>
      </c>
      <c r="L210" s="44">
        <v>62499</v>
      </c>
      <c r="M210" s="44">
        <v>233382</v>
      </c>
      <c r="N210" s="44">
        <v>1081650</v>
      </c>
      <c r="O210" s="44">
        <v>53636</v>
      </c>
      <c r="P210" s="44">
        <v>104577</v>
      </c>
      <c r="Q210" s="44">
        <v>557542</v>
      </c>
      <c r="R210" s="44">
        <v>0</v>
      </c>
      <c r="S210" s="44">
        <v>0</v>
      </c>
      <c r="T210" s="44">
        <v>180624</v>
      </c>
      <c r="U210" s="44">
        <v>249666</v>
      </c>
      <c r="V210" s="44">
        <v>88426</v>
      </c>
      <c r="W210" s="44">
        <v>363709</v>
      </c>
      <c r="X210" s="44">
        <v>131795</v>
      </c>
      <c r="Y210" s="44">
        <v>551833</v>
      </c>
      <c r="Z210" s="44">
        <v>240174</v>
      </c>
      <c r="AA210" s="44">
        <v>67359</v>
      </c>
      <c r="AB210" s="44">
        <v>149948</v>
      </c>
      <c r="AC210" s="44">
        <v>4116820</v>
      </c>
      <c r="AD210" s="44">
        <v>307756</v>
      </c>
      <c r="AE210" s="44">
        <v>666811</v>
      </c>
      <c r="AF210" s="44">
        <v>291273</v>
      </c>
      <c r="AG210" s="44">
        <v>5382660</v>
      </c>
      <c r="AH210" s="44">
        <v>278</v>
      </c>
      <c r="AI210" s="44">
        <v>18056</v>
      </c>
      <c r="AJ210" s="44">
        <v>19362</v>
      </c>
      <c r="AK210" s="44">
        <v>200975</v>
      </c>
      <c r="AL210" s="44">
        <v>53218</v>
      </c>
      <c r="AM210" s="44">
        <v>0.48</v>
      </c>
      <c r="AN210" s="44">
        <v>0.41386507786113186</v>
      </c>
      <c r="AO210" s="44">
        <v>0.13</v>
      </c>
      <c r="AP210" s="44">
        <v>0.54386507786113181</v>
      </c>
      <c r="AQ210" s="44">
        <v>0.73550000000000004</v>
      </c>
      <c r="AR210" s="44">
        <v>17.489999999999998</v>
      </c>
    </row>
    <row r="211" spans="1:44">
      <c r="A211" t="s">
        <v>1216</v>
      </c>
      <c r="B211" t="s">
        <v>1217</v>
      </c>
      <c r="D211" t="s">
        <v>1639</v>
      </c>
      <c r="E211" s="44">
        <v>606071</v>
      </c>
      <c r="F211" s="44">
        <v>794452</v>
      </c>
      <c r="G211" s="44">
        <v>203289</v>
      </c>
      <c r="H211" s="126">
        <v>997741</v>
      </c>
      <c r="I211" s="127">
        <v>8063526</v>
      </c>
      <c r="J211" s="128">
        <v>205012</v>
      </c>
      <c r="K211" s="130">
        <v>9266279</v>
      </c>
      <c r="L211" s="44">
        <v>83382</v>
      </c>
      <c r="M211" s="44">
        <v>403441</v>
      </c>
      <c r="N211" s="44">
        <v>2527073</v>
      </c>
      <c r="O211" s="44">
        <v>114695</v>
      </c>
      <c r="P211" s="44">
        <v>159077</v>
      </c>
      <c r="Q211" s="44">
        <v>503580</v>
      </c>
      <c r="R211" s="44">
        <v>0</v>
      </c>
      <c r="S211" s="44">
        <v>68310</v>
      </c>
      <c r="T211" s="44">
        <v>437706</v>
      </c>
      <c r="U211" s="44">
        <v>313777</v>
      </c>
      <c r="V211" s="44">
        <v>8653</v>
      </c>
      <c r="W211" s="44">
        <v>730078</v>
      </c>
      <c r="X211" s="44">
        <v>244553</v>
      </c>
      <c r="Y211" s="44">
        <v>802730</v>
      </c>
      <c r="Z211" s="44">
        <v>402893</v>
      </c>
      <c r="AA211" s="44">
        <v>138560</v>
      </c>
      <c r="AB211" s="44">
        <v>100000</v>
      </c>
      <c r="AC211" s="44">
        <v>7038508</v>
      </c>
      <c r="AD211" s="44">
        <v>627016</v>
      </c>
      <c r="AE211" s="44">
        <v>875000</v>
      </c>
      <c r="AF211" s="44">
        <v>193800</v>
      </c>
      <c r="AG211" s="44">
        <v>8734324</v>
      </c>
      <c r="AH211" s="44">
        <v>319</v>
      </c>
      <c r="AI211" s="44">
        <v>29048</v>
      </c>
      <c r="AJ211" s="44">
        <v>27380</v>
      </c>
      <c r="AK211" s="44">
        <v>2458227</v>
      </c>
      <c r="AL211" s="44">
        <v>83962</v>
      </c>
      <c r="AM211" s="44">
        <v>3.5589999999999997</v>
      </c>
      <c r="AN211" s="44">
        <v>0.4721851399146631</v>
      </c>
      <c r="AO211" s="44">
        <v>0.13200000000000001</v>
      </c>
      <c r="AP211" s="44">
        <v>0.60418513991466316</v>
      </c>
      <c r="AQ211" s="44">
        <v>0.76</v>
      </c>
      <c r="AR211" s="44">
        <v>5.31</v>
      </c>
    </row>
    <row r="212" spans="1:44">
      <c r="A212" t="s">
        <v>1218</v>
      </c>
      <c r="B212" t="s">
        <v>1219</v>
      </c>
      <c r="D212" t="s">
        <v>1639</v>
      </c>
      <c r="E212" s="44">
        <v>1201071</v>
      </c>
      <c r="F212" s="44">
        <v>13263843</v>
      </c>
      <c r="G212" s="44">
        <v>1479090</v>
      </c>
      <c r="H212" s="126">
        <v>14742933</v>
      </c>
      <c r="I212" s="127">
        <v>4138972</v>
      </c>
      <c r="J212" s="128">
        <v>849998</v>
      </c>
      <c r="K212" s="130">
        <v>19731903</v>
      </c>
      <c r="L212" s="44">
        <v>65584</v>
      </c>
      <c r="M212" s="44">
        <v>401090</v>
      </c>
      <c r="N212" s="44">
        <v>6099489</v>
      </c>
      <c r="O212" s="44">
        <v>272334</v>
      </c>
      <c r="P212" s="44">
        <v>336605</v>
      </c>
      <c r="Q212" s="44">
        <v>2538510</v>
      </c>
      <c r="R212" s="44">
        <v>23190</v>
      </c>
      <c r="S212" s="44">
        <v>2391</v>
      </c>
      <c r="T212" s="44">
        <v>912124</v>
      </c>
      <c r="U212" s="44">
        <v>860750</v>
      </c>
      <c r="V212" s="44">
        <v>0</v>
      </c>
      <c r="W212" s="44">
        <v>1479759</v>
      </c>
      <c r="X212" s="44">
        <v>610575</v>
      </c>
      <c r="Y212" s="44">
        <v>2928670</v>
      </c>
      <c r="Z212" s="44">
        <v>898087</v>
      </c>
      <c r="AA212" s="44">
        <v>524339</v>
      </c>
      <c r="AB212" s="44">
        <v>0</v>
      </c>
      <c r="AC212" s="44">
        <v>17953497</v>
      </c>
      <c r="AD212" s="44">
        <v>1417225</v>
      </c>
      <c r="AE212" s="44">
        <v>715000</v>
      </c>
      <c r="AF212" s="44">
        <v>302998</v>
      </c>
      <c r="AG212" s="44">
        <v>20388720</v>
      </c>
      <c r="AH212" s="44">
        <v>1395</v>
      </c>
      <c r="AI212" s="44">
        <v>14145</v>
      </c>
      <c r="AJ212" s="44">
        <v>14616</v>
      </c>
      <c r="AK212" s="44">
        <v>126540</v>
      </c>
      <c r="AL212" s="44">
        <v>54914</v>
      </c>
      <c r="AM212" s="44">
        <v>0.39</v>
      </c>
      <c r="AN212" s="44">
        <v>0.54174038389854784</v>
      </c>
      <c r="AO212" s="44">
        <v>0.18099999999999999</v>
      </c>
      <c r="AP212" s="44">
        <v>0.72274038389854778</v>
      </c>
      <c r="AQ212" s="44">
        <v>0.82</v>
      </c>
      <c r="AR212" s="44">
        <v>16.579999999999998</v>
      </c>
    </row>
    <row r="213" spans="1:44">
      <c r="A213" t="s">
        <v>1220</v>
      </c>
      <c r="B213" t="s">
        <v>1221</v>
      </c>
      <c r="D213" t="s">
        <v>1639</v>
      </c>
      <c r="E213" s="44">
        <v>994330</v>
      </c>
      <c r="F213" s="44">
        <v>16829918</v>
      </c>
      <c r="G213" s="44">
        <v>1424351</v>
      </c>
      <c r="H213" s="126">
        <v>18254269</v>
      </c>
      <c r="I213" s="127">
        <v>4689267</v>
      </c>
      <c r="J213" s="128">
        <v>1204495</v>
      </c>
      <c r="K213" s="130">
        <v>24148031</v>
      </c>
      <c r="L213" s="44">
        <v>91311</v>
      </c>
      <c r="M213" s="44">
        <v>408088</v>
      </c>
      <c r="N213" s="44">
        <v>8006554</v>
      </c>
      <c r="O213" s="44">
        <v>253880</v>
      </c>
      <c r="P213" s="44">
        <v>467833</v>
      </c>
      <c r="Q213" s="44">
        <v>1307819</v>
      </c>
      <c r="R213" s="44">
        <v>0</v>
      </c>
      <c r="S213" s="44">
        <v>150851</v>
      </c>
      <c r="T213" s="44">
        <v>1879879</v>
      </c>
      <c r="U213" s="44">
        <v>771782</v>
      </c>
      <c r="V213" s="44">
        <v>0</v>
      </c>
      <c r="W213" s="44">
        <v>1812440</v>
      </c>
      <c r="X213" s="44">
        <v>729348</v>
      </c>
      <c r="Y213" s="44">
        <v>3038527</v>
      </c>
      <c r="Z213" s="44">
        <v>1431402</v>
      </c>
      <c r="AA213" s="44">
        <v>284442</v>
      </c>
      <c r="AB213" s="44">
        <v>0</v>
      </c>
      <c r="AC213" s="44">
        <v>20634156</v>
      </c>
      <c r="AD213" s="44">
        <v>1580344</v>
      </c>
      <c r="AE213" s="44">
        <v>1051878</v>
      </c>
      <c r="AF213" s="44">
        <v>945183</v>
      </c>
      <c r="AG213" s="44">
        <v>24211561</v>
      </c>
      <c r="AH213" s="44">
        <v>2041</v>
      </c>
      <c r="AI213" s="44">
        <v>11831</v>
      </c>
      <c r="AJ213" s="44">
        <v>11863</v>
      </c>
      <c r="AK213" s="44">
        <v>130046</v>
      </c>
      <c r="AL213" s="44">
        <v>60741</v>
      </c>
      <c r="AM213" s="44">
        <v>0.41900000000000004</v>
      </c>
      <c r="AN213" s="44">
        <v>0.53026725538266617</v>
      </c>
      <c r="AO213" s="44">
        <v>0.18</v>
      </c>
      <c r="AP213" s="44">
        <v>0.71026725538266611</v>
      </c>
      <c r="AQ213" s="44">
        <v>0.83289999999999997</v>
      </c>
      <c r="AR213" s="44">
        <v>13.14</v>
      </c>
    </row>
    <row r="214" spans="1:44">
      <c r="A214" t="s">
        <v>1222</v>
      </c>
      <c r="B214" t="s">
        <v>1223</v>
      </c>
      <c r="D214" t="s">
        <v>1639</v>
      </c>
      <c r="E214" s="44">
        <v>1312087</v>
      </c>
      <c r="F214" s="44">
        <v>3850579</v>
      </c>
      <c r="G214" s="44">
        <v>569587</v>
      </c>
      <c r="H214" s="126">
        <v>4420166</v>
      </c>
      <c r="I214" s="127">
        <v>4960341</v>
      </c>
      <c r="J214" s="128">
        <v>410199</v>
      </c>
      <c r="K214" s="130">
        <v>9790706</v>
      </c>
      <c r="L214" s="44">
        <v>29661</v>
      </c>
      <c r="M214" s="44">
        <v>254558</v>
      </c>
      <c r="N214" s="44">
        <v>3125727</v>
      </c>
      <c r="O214" s="44">
        <v>152616</v>
      </c>
      <c r="P214" s="44">
        <v>99316</v>
      </c>
      <c r="Q214" s="44">
        <v>1103688</v>
      </c>
      <c r="R214" s="44">
        <v>19458</v>
      </c>
      <c r="S214" s="44">
        <v>2225</v>
      </c>
      <c r="T214" s="44">
        <v>369596</v>
      </c>
      <c r="U214" s="44">
        <v>340886</v>
      </c>
      <c r="V214" s="44">
        <v>450</v>
      </c>
      <c r="W214" s="44">
        <v>546455</v>
      </c>
      <c r="X214" s="44">
        <v>288230</v>
      </c>
      <c r="Y214" s="44">
        <v>1217423</v>
      </c>
      <c r="Z214" s="44">
        <v>527245</v>
      </c>
      <c r="AA214" s="44">
        <v>204491</v>
      </c>
      <c r="AB214" s="44">
        <v>502</v>
      </c>
      <c r="AC214" s="44">
        <v>8282527</v>
      </c>
      <c r="AD214" s="44">
        <v>554687</v>
      </c>
      <c r="AE214" s="44">
        <v>352000</v>
      </c>
      <c r="AF214" s="44">
        <v>127116</v>
      </c>
      <c r="AG214" s="44">
        <v>9316330</v>
      </c>
      <c r="AH214" s="44">
        <v>673</v>
      </c>
      <c r="AI214" s="44">
        <v>14548</v>
      </c>
      <c r="AJ214" s="44">
        <v>13843</v>
      </c>
      <c r="AK214" s="44">
        <v>393406</v>
      </c>
      <c r="AL214" s="44">
        <v>73426</v>
      </c>
      <c r="AM214" s="44">
        <v>0.81499999999999995</v>
      </c>
      <c r="AN214" s="44">
        <v>0.55961006104335076</v>
      </c>
      <c r="AO214" s="44">
        <v>0.183</v>
      </c>
      <c r="AP214" s="44">
        <v>0.74261006104335081</v>
      </c>
      <c r="AQ214" s="44">
        <v>0.83489999999999998</v>
      </c>
      <c r="AR214" s="44">
        <v>13.05</v>
      </c>
    </row>
    <row r="215" spans="1:44">
      <c r="A215" t="s">
        <v>1224</v>
      </c>
      <c r="B215" t="s">
        <v>1225</v>
      </c>
      <c r="D215" t="s">
        <v>1639</v>
      </c>
      <c r="E215" s="44">
        <v>4227887</v>
      </c>
      <c r="F215" s="44">
        <v>36568876</v>
      </c>
      <c r="G215" s="44">
        <v>451704</v>
      </c>
      <c r="H215" s="126">
        <v>37020580</v>
      </c>
      <c r="I215" s="127">
        <v>3085383</v>
      </c>
      <c r="J215" s="128">
        <v>9611258</v>
      </c>
      <c r="K215" s="130">
        <v>49717221</v>
      </c>
      <c r="L215" s="44">
        <v>130487</v>
      </c>
      <c r="M215" s="44">
        <v>672406</v>
      </c>
      <c r="N215" s="44">
        <v>15697905</v>
      </c>
      <c r="O215" s="44">
        <v>874295</v>
      </c>
      <c r="P215" s="44">
        <v>1224031</v>
      </c>
      <c r="Q215" s="44">
        <v>5166048</v>
      </c>
      <c r="R215" s="44">
        <v>3295</v>
      </c>
      <c r="S215" s="44">
        <v>66374</v>
      </c>
      <c r="T215" s="44">
        <v>3187993</v>
      </c>
      <c r="U215" s="44">
        <v>1315090</v>
      </c>
      <c r="V215" s="44">
        <v>0</v>
      </c>
      <c r="W215" s="44">
        <v>4293118</v>
      </c>
      <c r="X215" s="44">
        <v>1479054</v>
      </c>
      <c r="Y215" s="44">
        <v>4990930</v>
      </c>
      <c r="Z215" s="44">
        <v>2733123</v>
      </c>
      <c r="AA215" s="44">
        <v>1461464</v>
      </c>
      <c r="AB215" s="44">
        <v>98817</v>
      </c>
      <c r="AC215" s="44">
        <v>43394430</v>
      </c>
      <c r="AD215" s="44">
        <v>2908239</v>
      </c>
      <c r="AE215" s="44">
        <v>2024789</v>
      </c>
      <c r="AF215" s="44">
        <v>1438946</v>
      </c>
      <c r="AG215" s="44">
        <v>49766404</v>
      </c>
      <c r="AH215" s="44">
        <v>3506</v>
      </c>
      <c r="AI215" s="44">
        <v>14181</v>
      </c>
      <c r="AJ215" s="44">
        <v>14195</v>
      </c>
      <c r="AK215" s="44">
        <v>67052</v>
      </c>
      <c r="AL215" s="44">
        <v>27556</v>
      </c>
      <c r="AM215" s="44">
        <v>0.2</v>
      </c>
      <c r="AN215" s="44">
        <v>0.55328552571329048</v>
      </c>
      <c r="AO215" s="44">
        <v>0.16400000000000001</v>
      </c>
      <c r="AP215" s="44">
        <v>0.71728552571329052</v>
      </c>
      <c r="AQ215" s="44">
        <v>0.82320000000000004</v>
      </c>
      <c r="AR215" s="44">
        <v>9.26</v>
      </c>
    </row>
    <row r="216" spans="1:44">
      <c r="A216" t="s">
        <v>1226</v>
      </c>
      <c r="B216" t="s">
        <v>1227</v>
      </c>
      <c r="D216" t="s">
        <v>1639</v>
      </c>
      <c r="E216" s="44">
        <v>1914911</v>
      </c>
      <c r="F216" s="44">
        <v>11538390</v>
      </c>
      <c r="G216" s="44">
        <v>1084040</v>
      </c>
      <c r="H216" s="126">
        <v>12622430</v>
      </c>
      <c r="I216" s="127">
        <v>4947721</v>
      </c>
      <c r="J216" s="128">
        <v>812687</v>
      </c>
      <c r="K216" s="130">
        <v>18382838</v>
      </c>
      <c r="L216" s="44">
        <v>88032</v>
      </c>
      <c r="M216" s="44">
        <v>307737</v>
      </c>
      <c r="N216" s="44">
        <v>5859545</v>
      </c>
      <c r="O216" s="44">
        <v>353296</v>
      </c>
      <c r="P216" s="44">
        <v>332003</v>
      </c>
      <c r="Q216" s="44">
        <v>1857528</v>
      </c>
      <c r="R216" s="44">
        <v>24358</v>
      </c>
      <c r="S216" s="44">
        <v>0</v>
      </c>
      <c r="T216" s="44">
        <v>941938</v>
      </c>
      <c r="U216" s="44">
        <v>437086</v>
      </c>
      <c r="V216" s="44">
        <v>0</v>
      </c>
      <c r="W216" s="44">
        <v>1206283</v>
      </c>
      <c r="X216" s="44">
        <v>559255</v>
      </c>
      <c r="Y216" s="44">
        <v>2089945</v>
      </c>
      <c r="Z216" s="44">
        <v>1028425</v>
      </c>
      <c r="AA216" s="44">
        <v>379938</v>
      </c>
      <c r="AB216" s="44">
        <v>187715</v>
      </c>
      <c r="AC216" s="44">
        <v>15653084</v>
      </c>
      <c r="AD216" s="44">
        <v>850310</v>
      </c>
      <c r="AE216" s="44">
        <v>1175000</v>
      </c>
      <c r="AF216" s="44">
        <v>495405</v>
      </c>
      <c r="AG216" s="44">
        <v>18173799</v>
      </c>
      <c r="AH216" s="44">
        <v>1631</v>
      </c>
      <c r="AI216" s="44">
        <v>11271</v>
      </c>
      <c r="AJ216" s="44">
        <v>11143</v>
      </c>
      <c r="AK216" s="44">
        <v>191698</v>
      </c>
      <c r="AL216" s="44">
        <v>63197</v>
      </c>
      <c r="AM216" s="44">
        <v>0.50900000000000001</v>
      </c>
      <c r="AN216" s="44">
        <v>0.53955444318493895</v>
      </c>
      <c r="AO216" s="44">
        <v>0.17199999999999999</v>
      </c>
      <c r="AP216" s="44">
        <v>0.71155444318493899</v>
      </c>
      <c r="AQ216" s="44">
        <v>0.83530000000000004</v>
      </c>
      <c r="AR216" s="44">
        <v>11.99</v>
      </c>
    </row>
    <row r="217" spans="1:44">
      <c r="A217" t="s">
        <v>1228</v>
      </c>
      <c r="B217" t="s">
        <v>1229</v>
      </c>
      <c r="D217" t="s">
        <v>1639</v>
      </c>
      <c r="E217" s="44">
        <v>1079598</v>
      </c>
      <c r="F217" s="44">
        <v>7376490</v>
      </c>
      <c r="G217" s="44">
        <v>1146450</v>
      </c>
      <c r="H217" s="126">
        <v>8522940</v>
      </c>
      <c r="I217" s="127">
        <v>7851239</v>
      </c>
      <c r="J217" s="128">
        <v>576365</v>
      </c>
      <c r="K217" s="130">
        <v>16950544</v>
      </c>
      <c r="L217" s="44">
        <v>74566</v>
      </c>
      <c r="M217" s="44">
        <v>429708</v>
      </c>
      <c r="N217" s="44">
        <v>5836339</v>
      </c>
      <c r="O217" s="44">
        <v>263942</v>
      </c>
      <c r="P217" s="44">
        <v>336815</v>
      </c>
      <c r="Q217" s="44">
        <v>1435747</v>
      </c>
      <c r="R217" s="44">
        <v>0</v>
      </c>
      <c r="S217" s="44">
        <v>48945</v>
      </c>
      <c r="T217" s="44">
        <v>1039800</v>
      </c>
      <c r="U217" s="44">
        <v>564666</v>
      </c>
      <c r="V217" s="44">
        <v>12200</v>
      </c>
      <c r="W217" s="44">
        <v>1351626</v>
      </c>
      <c r="X217" s="44">
        <v>595666</v>
      </c>
      <c r="Y217" s="44">
        <v>2073485</v>
      </c>
      <c r="Z217" s="44">
        <v>1021017</v>
      </c>
      <c r="AA217" s="44">
        <v>211254</v>
      </c>
      <c r="AB217" s="44">
        <v>710874</v>
      </c>
      <c r="AC217" s="44">
        <v>16006650</v>
      </c>
      <c r="AD217" s="44">
        <v>861763</v>
      </c>
      <c r="AE217" s="44">
        <v>560000</v>
      </c>
      <c r="AF217" s="44">
        <v>243527</v>
      </c>
      <c r="AG217" s="44">
        <v>17671940</v>
      </c>
      <c r="AH217" s="44">
        <v>1199</v>
      </c>
      <c r="AI217" s="44">
        <v>14137</v>
      </c>
      <c r="AJ217" s="44">
        <v>14739</v>
      </c>
      <c r="AK217" s="44">
        <v>361254</v>
      </c>
      <c r="AL217" s="44">
        <v>67634</v>
      </c>
      <c r="AM217" s="44">
        <v>0.749</v>
      </c>
      <c r="AN217" s="44">
        <v>0.5390610198993433</v>
      </c>
      <c r="AO217" s="44">
        <v>0.17599999999999999</v>
      </c>
      <c r="AP217" s="44">
        <v>0.71506101989934323</v>
      </c>
      <c r="AQ217" s="44">
        <v>0.82499999999999996</v>
      </c>
      <c r="AR217" s="44">
        <v>13.34</v>
      </c>
    </row>
    <row r="218" spans="1:44">
      <c r="A218" t="s">
        <v>1230</v>
      </c>
      <c r="B218" t="s">
        <v>1231</v>
      </c>
      <c r="D218" t="s">
        <v>1639</v>
      </c>
      <c r="E218" s="44">
        <v>1195689</v>
      </c>
      <c r="F218" s="44">
        <v>4309417</v>
      </c>
      <c r="G218" s="44">
        <v>382626</v>
      </c>
      <c r="H218" s="126">
        <v>4692043</v>
      </c>
      <c r="I218" s="127">
        <v>3266679</v>
      </c>
      <c r="J218" s="128">
        <v>413926</v>
      </c>
      <c r="K218" s="130">
        <v>8372648</v>
      </c>
      <c r="L218" s="44">
        <v>77431</v>
      </c>
      <c r="M218" s="44">
        <v>207689</v>
      </c>
      <c r="N218" s="44">
        <v>2493626</v>
      </c>
      <c r="O218" s="44">
        <v>40106</v>
      </c>
      <c r="P218" s="44">
        <v>94090</v>
      </c>
      <c r="Q218" s="44">
        <v>974097</v>
      </c>
      <c r="R218" s="44">
        <v>0</v>
      </c>
      <c r="S218" s="44">
        <v>0</v>
      </c>
      <c r="T218" s="44">
        <v>231596</v>
      </c>
      <c r="U218" s="44">
        <v>466727</v>
      </c>
      <c r="V218" s="44">
        <v>0</v>
      </c>
      <c r="W218" s="44">
        <v>454295</v>
      </c>
      <c r="X218" s="44">
        <v>232003</v>
      </c>
      <c r="Y218" s="44">
        <v>722921</v>
      </c>
      <c r="Z218" s="44">
        <v>357570</v>
      </c>
      <c r="AA218" s="44">
        <v>172963</v>
      </c>
      <c r="AB218" s="44">
        <v>23484</v>
      </c>
      <c r="AC218" s="44">
        <v>6548598</v>
      </c>
      <c r="AD218" s="44">
        <v>360950</v>
      </c>
      <c r="AE218" s="44">
        <v>744000</v>
      </c>
      <c r="AF218" s="44">
        <v>219865</v>
      </c>
      <c r="AG218" s="44">
        <v>7873413</v>
      </c>
      <c r="AH218" s="44">
        <v>556</v>
      </c>
      <c r="AI218" s="44">
        <v>15059</v>
      </c>
      <c r="AJ218" s="44">
        <v>14161</v>
      </c>
      <c r="AK218" s="44">
        <v>389801</v>
      </c>
      <c r="AL218" s="44">
        <v>60763</v>
      </c>
      <c r="AM218" s="44">
        <v>0.75800000000000001</v>
      </c>
      <c r="AN218" s="44">
        <v>0.54617254296199125</v>
      </c>
      <c r="AO218" s="44">
        <v>0.154</v>
      </c>
      <c r="AP218" s="44">
        <v>0.70017254296199127</v>
      </c>
      <c r="AQ218" s="44">
        <v>0.84179999999999999</v>
      </c>
      <c r="AR218" s="44">
        <v>11.03</v>
      </c>
    </row>
    <row r="219" spans="1:44">
      <c r="A219" t="s">
        <v>1232</v>
      </c>
      <c r="B219" t="s">
        <v>1233</v>
      </c>
      <c r="D219" t="s">
        <v>1639</v>
      </c>
      <c r="E219" s="44">
        <v>456358</v>
      </c>
      <c r="F219" s="44">
        <v>3565395</v>
      </c>
      <c r="G219" s="44">
        <v>489776</v>
      </c>
      <c r="H219" s="126">
        <v>4055171</v>
      </c>
      <c r="I219" s="127">
        <v>2667565</v>
      </c>
      <c r="J219" s="128">
        <v>353383</v>
      </c>
      <c r="K219" s="130">
        <v>7076119</v>
      </c>
      <c r="L219" s="44">
        <v>47183</v>
      </c>
      <c r="M219" s="44">
        <v>236689</v>
      </c>
      <c r="N219" s="44">
        <v>2293270</v>
      </c>
      <c r="O219" s="44">
        <v>44122</v>
      </c>
      <c r="P219" s="44">
        <v>67658</v>
      </c>
      <c r="Q219" s="44">
        <v>663227</v>
      </c>
      <c r="R219" s="44">
        <v>0</v>
      </c>
      <c r="S219" s="44">
        <v>0</v>
      </c>
      <c r="T219" s="44">
        <v>427826</v>
      </c>
      <c r="U219" s="44">
        <v>254637</v>
      </c>
      <c r="V219" s="44">
        <v>0</v>
      </c>
      <c r="W219" s="44">
        <v>384624</v>
      </c>
      <c r="X219" s="44">
        <v>285591</v>
      </c>
      <c r="Y219" s="44">
        <v>845044</v>
      </c>
      <c r="Z219" s="44">
        <v>363107</v>
      </c>
      <c r="AA219" s="44">
        <v>82673</v>
      </c>
      <c r="AB219" s="44">
        <v>0</v>
      </c>
      <c r="AC219" s="44">
        <v>5995651</v>
      </c>
      <c r="AD219" s="44">
        <v>290207</v>
      </c>
      <c r="AE219" s="44">
        <v>474177</v>
      </c>
      <c r="AF219" s="44">
        <v>295351</v>
      </c>
      <c r="AG219" s="44">
        <v>7055386</v>
      </c>
      <c r="AH219" s="44">
        <v>486</v>
      </c>
      <c r="AI219" s="44">
        <v>14560</v>
      </c>
      <c r="AJ219" s="44">
        <v>14517</v>
      </c>
      <c r="AK219" s="44">
        <v>293542</v>
      </c>
      <c r="AL219" s="44">
        <v>99205</v>
      </c>
      <c r="AM219" s="44">
        <v>0.79099999999999993</v>
      </c>
      <c r="AN219" s="44">
        <v>0.5316137203549175</v>
      </c>
      <c r="AO219" s="44">
        <v>0.17799999999999999</v>
      </c>
      <c r="AP219" s="44">
        <v>0.70961372035491754</v>
      </c>
      <c r="AQ219" s="44">
        <v>0.83479999999999999</v>
      </c>
      <c r="AR219" s="44">
        <v>16.54</v>
      </c>
    </row>
    <row r="220" spans="1:44">
      <c r="A220" t="s">
        <v>1234</v>
      </c>
      <c r="B220" t="s">
        <v>1235</v>
      </c>
      <c r="D220" t="s">
        <v>1639</v>
      </c>
      <c r="E220" s="44">
        <v>652585</v>
      </c>
      <c r="F220" s="44">
        <v>2610791</v>
      </c>
      <c r="G220" s="44">
        <v>427988</v>
      </c>
      <c r="H220" s="126">
        <v>3038779</v>
      </c>
      <c r="I220" s="127">
        <v>2600249</v>
      </c>
      <c r="J220" s="128">
        <v>306814</v>
      </c>
      <c r="K220" s="130">
        <v>5945842</v>
      </c>
      <c r="L220" s="44">
        <v>41565</v>
      </c>
      <c r="M220" s="44">
        <v>205582</v>
      </c>
      <c r="N220" s="44">
        <v>1779693</v>
      </c>
      <c r="O220" s="44">
        <v>103309</v>
      </c>
      <c r="P220" s="44">
        <v>124249</v>
      </c>
      <c r="Q220" s="44">
        <v>521904</v>
      </c>
      <c r="R220" s="44">
        <v>0</v>
      </c>
      <c r="S220" s="44">
        <v>10949</v>
      </c>
      <c r="T220" s="44">
        <v>247310</v>
      </c>
      <c r="U220" s="44">
        <v>229119</v>
      </c>
      <c r="V220" s="44">
        <v>0</v>
      </c>
      <c r="W220" s="44">
        <v>384094</v>
      </c>
      <c r="X220" s="44">
        <v>176943</v>
      </c>
      <c r="Y220" s="44">
        <v>722326</v>
      </c>
      <c r="Z220" s="44">
        <v>299012</v>
      </c>
      <c r="AA220" s="44">
        <v>66866</v>
      </c>
      <c r="AB220" s="44">
        <v>0</v>
      </c>
      <c r="AC220" s="44">
        <v>4912921</v>
      </c>
      <c r="AD220" s="44">
        <v>247837</v>
      </c>
      <c r="AE220" s="44">
        <v>271001</v>
      </c>
      <c r="AF220" s="44">
        <v>200658</v>
      </c>
      <c r="AG220" s="44">
        <v>5632417</v>
      </c>
      <c r="AH220" s="44">
        <v>364</v>
      </c>
      <c r="AI220" s="44">
        <v>16335</v>
      </c>
      <c r="AJ220" s="44">
        <v>15474</v>
      </c>
      <c r="AK220" s="44">
        <v>374182</v>
      </c>
      <c r="AL220" s="44">
        <v>71910</v>
      </c>
      <c r="AM220" s="44">
        <v>0.78400000000000003</v>
      </c>
      <c r="AN220" s="44">
        <v>0.5355663474490614</v>
      </c>
      <c r="AO220" s="44">
        <v>0.17399999999999999</v>
      </c>
      <c r="AP220" s="44">
        <v>0.70956634744906144</v>
      </c>
      <c r="AQ220" s="44">
        <v>0.81359999999999999</v>
      </c>
      <c r="AR220" s="44">
        <v>13.44</v>
      </c>
    </row>
    <row r="221" spans="1:44">
      <c r="A221" t="s">
        <v>1236</v>
      </c>
      <c r="B221" t="s">
        <v>1237</v>
      </c>
      <c r="D221" t="s">
        <v>1639</v>
      </c>
      <c r="E221" s="44">
        <v>1112631</v>
      </c>
      <c r="F221" s="44">
        <v>4522016</v>
      </c>
      <c r="G221" s="44">
        <v>328081</v>
      </c>
      <c r="H221" s="126">
        <v>4850097</v>
      </c>
      <c r="I221" s="127">
        <v>2922968</v>
      </c>
      <c r="J221" s="128">
        <v>405108</v>
      </c>
      <c r="K221" s="130">
        <v>8178173</v>
      </c>
      <c r="L221" s="44">
        <v>62171</v>
      </c>
      <c r="M221" s="44">
        <v>297378</v>
      </c>
      <c r="N221" s="44">
        <v>2280642</v>
      </c>
      <c r="O221" s="44">
        <v>64367</v>
      </c>
      <c r="P221" s="44">
        <v>129444</v>
      </c>
      <c r="Q221" s="44">
        <v>1052447</v>
      </c>
      <c r="R221" s="44">
        <v>35350</v>
      </c>
      <c r="S221" s="44">
        <v>17037</v>
      </c>
      <c r="T221" s="44">
        <v>193725</v>
      </c>
      <c r="U221" s="44">
        <v>319743</v>
      </c>
      <c r="V221" s="44">
        <v>0</v>
      </c>
      <c r="W221" s="44">
        <v>497667</v>
      </c>
      <c r="X221" s="44">
        <v>219160</v>
      </c>
      <c r="Y221" s="44">
        <v>881929</v>
      </c>
      <c r="Z221" s="44">
        <v>399465</v>
      </c>
      <c r="AA221" s="44">
        <v>301171</v>
      </c>
      <c r="AB221" s="44">
        <v>0</v>
      </c>
      <c r="AC221" s="44">
        <v>6751696</v>
      </c>
      <c r="AD221" s="44">
        <v>624151</v>
      </c>
      <c r="AE221" s="44">
        <v>315000</v>
      </c>
      <c r="AF221" s="44">
        <v>87985</v>
      </c>
      <c r="AG221" s="44">
        <v>7778832</v>
      </c>
      <c r="AH221" s="44">
        <v>567</v>
      </c>
      <c r="AI221" s="44">
        <v>14424</v>
      </c>
      <c r="AJ221" s="44">
        <v>13719</v>
      </c>
      <c r="AK221" s="44">
        <v>307953</v>
      </c>
      <c r="AL221" s="44">
        <v>52437</v>
      </c>
      <c r="AM221" s="44">
        <v>0.61699999999999999</v>
      </c>
      <c r="AN221" s="44">
        <v>0.52614004261822345</v>
      </c>
      <c r="AO221" s="44">
        <v>0.152</v>
      </c>
      <c r="AP221" s="44">
        <v>0.67814004261822347</v>
      </c>
      <c r="AQ221" s="44">
        <v>0.78039999999999998</v>
      </c>
      <c r="AR221" s="44">
        <v>12.42</v>
      </c>
    </row>
    <row r="222" spans="1:44">
      <c r="A222" t="s">
        <v>1238</v>
      </c>
      <c r="B222" t="s">
        <v>1239</v>
      </c>
      <c r="D222" t="s">
        <v>1639</v>
      </c>
      <c r="E222" s="44">
        <v>9197647</v>
      </c>
      <c r="F222" s="44">
        <v>31221908</v>
      </c>
      <c r="G222" s="44">
        <v>2359097</v>
      </c>
      <c r="H222" s="126">
        <v>33581005</v>
      </c>
      <c r="I222" s="127">
        <v>14963916</v>
      </c>
      <c r="J222" s="128">
        <v>4858932</v>
      </c>
      <c r="K222" s="130">
        <v>53403853</v>
      </c>
      <c r="L222" s="44">
        <v>128865</v>
      </c>
      <c r="M222" s="44">
        <v>618671</v>
      </c>
      <c r="N222" s="44">
        <v>17308463</v>
      </c>
      <c r="O222" s="44">
        <v>577648</v>
      </c>
      <c r="P222" s="44">
        <v>1156621</v>
      </c>
      <c r="Q222" s="44">
        <v>4758015</v>
      </c>
      <c r="R222" s="44">
        <v>253244</v>
      </c>
      <c r="S222" s="44">
        <v>65857</v>
      </c>
      <c r="T222" s="44">
        <v>3522782</v>
      </c>
      <c r="U222" s="44">
        <v>2603831</v>
      </c>
      <c r="V222" s="44">
        <v>0</v>
      </c>
      <c r="W222" s="44">
        <v>3876680</v>
      </c>
      <c r="X222" s="44">
        <v>1540165</v>
      </c>
      <c r="Y222" s="44">
        <v>6376326</v>
      </c>
      <c r="Z222" s="44">
        <v>3180310</v>
      </c>
      <c r="AA222" s="44">
        <v>692001</v>
      </c>
      <c r="AB222" s="44">
        <v>9765</v>
      </c>
      <c r="AC222" s="44">
        <v>46669244</v>
      </c>
      <c r="AD222" s="44">
        <v>3145458</v>
      </c>
      <c r="AE222" s="44">
        <v>815000</v>
      </c>
      <c r="AF222" s="44">
        <v>1283656</v>
      </c>
      <c r="AG222" s="44">
        <v>51913358</v>
      </c>
      <c r="AH222" s="44">
        <v>4498</v>
      </c>
      <c r="AI222" s="44">
        <v>11873</v>
      </c>
      <c r="AJ222" s="44">
        <v>11541</v>
      </c>
      <c r="AK222" s="44">
        <v>156316</v>
      </c>
      <c r="AL222" s="44">
        <v>66643</v>
      </c>
      <c r="AM222" s="44">
        <v>0.47699999999999998</v>
      </c>
      <c r="AN222" s="44">
        <v>0.58263349097933526</v>
      </c>
      <c r="AO222" s="44">
        <v>0.193</v>
      </c>
      <c r="AP222" s="44">
        <v>0.77563349097933521</v>
      </c>
      <c r="AQ222" s="44">
        <v>0.86150000000000004</v>
      </c>
      <c r="AR222" s="44">
        <v>15.91</v>
      </c>
    </row>
    <row r="223" spans="1:44">
      <c r="A223" t="s">
        <v>1240</v>
      </c>
      <c r="B223" t="s">
        <v>1241</v>
      </c>
      <c r="D223" t="s">
        <v>1639</v>
      </c>
      <c r="E223" s="44">
        <v>5998555</v>
      </c>
      <c r="F223" s="44">
        <v>28124863</v>
      </c>
      <c r="G223" s="44">
        <v>2022162</v>
      </c>
      <c r="H223" s="126">
        <v>30147025</v>
      </c>
      <c r="I223" s="127">
        <v>7836488</v>
      </c>
      <c r="J223" s="128">
        <v>4414398</v>
      </c>
      <c r="K223" s="130">
        <v>42397911</v>
      </c>
      <c r="L223" s="44">
        <v>143727</v>
      </c>
      <c r="M223" s="44">
        <v>596564</v>
      </c>
      <c r="N223" s="44">
        <v>13823641</v>
      </c>
      <c r="O223" s="44">
        <v>489584</v>
      </c>
      <c r="P223" s="44">
        <v>744364</v>
      </c>
      <c r="Q223" s="44">
        <v>2943783</v>
      </c>
      <c r="R223" s="44">
        <v>98243</v>
      </c>
      <c r="S223" s="44">
        <v>0</v>
      </c>
      <c r="T223" s="44">
        <v>2392006</v>
      </c>
      <c r="U223" s="44">
        <v>1759197</v>
      </c>
      <c r="V223" s="44">
        <v>42923</v>
      </c>
      <c r="W223" s="44">
        <v>3055490</v>
      </c>
      <c r="X223" s="44">
        <v>1352958</v>
      </c>
      <c r="Y223" s="44">
        <v>4962982</v>
      </c>
      <c r="Z223" s="44">
        <v>2294184</v>
      </c>
      <c r="AA223" s="44">
        <v>692203</v>
      </c>
      <c r="AB223" s="44">
        <v>0</v>
      </c>
      <c r="AC223" s="44">
        <v>35391849</v>
      </c>
      <c r="AD223" s="44">
        <v>2289858</v>
      </c>
      <c r="AE223" s="44">
        <v>2869575</v>
      </c>
      <c r="AF223" s="44">
        <v>1739342</v>
      </c>
      <c r="AG223" s="44">
        <v>42290624</v>
      </c>
      <c r="AH223" s="44">
        <v>3052</v>
      </c>
      <c r="AI223" s="44">
        <v>13892</v>
      </c>
      <c r="AJ223" s="44">
        <v>13857</v>
      </c>
      <c r="AK223" s="44">
        <v>103333</v>
      </c>
      <c r="AL223" s="44">
        <v>40941</v>
      </c>
      <c r="AM223" s="44">
        <v>0.30300000000000005</v>
      </c>
      <c r="AN223" s="44">
        <v>0.52614068782716472</v>
      </c>
      <c r="AO223" s="44">
        <v>0.16800000000000001</v>
      </c>
      <c r="AP223" s="44">
        <v>0.69414068782716476</v>
      </c>
      <c r="AQ223" s="44">
        <v>0.82930000000000004</v>
      </c>
      <c r="AR223" s="44">
        <v>18.170000000000002</v>
      </c>
    </row>
    <row r="224" spans="1:44">
      <c r="A224" t="s">
        <v>1242</v>
      </c>
      <c r="B224" t="s">
        <v>1243</v>
      </c>
      <c r="D224" t="s">
        <v>1639</v>
      </c>
      <c r="E224" s="44">
        <v>347317</v>
      </c>
      <c r="F224" s="44">
        <v>5743990</v>
      </c>
      <c r="G224" s="44">
        <v>338766</v>
      </c>
      <c r="H224" s="126">
        <v>6082756</v>
      </c>
      <c r="I224" s="127">
        <v>1121695</v>
      </c>
      <c r="J224" s="128">
        <v>575219</v>
      </c>
      <c r="K224" s="130">
        <v>7779670</v>
      </c>
      <c r="L224" s="44">
        <v>79403</v>
      </c>
      <c r="M224" s="44">
        <v>223454</v>
      </c>
      <c r="N224" s="44">
        <v>2349657</v>
      </c>
      <c r="O224" s="44">
        <v>102726</v>
      </c>
      <c r="P224" s="44">
        <v>81900</v>
      </c>
      <c r="Q224" s="44">
        <v>797909</v>
      </c>
      <c r="R224" s="44">
        <v>0</v>
      </c>
      <c r="S224" s="44">
        <v>24531</v>
      </c>
      <c r="T224" s="44">
        <v>476124</v>
      </c>
      <c r="U224" s="44">
        <v>433647</v>
      </c>
      <c r="V224" s="44">
        <v>0</v>
      </c>
      <c r="W224" s="44">
        <v>429145</v>
      </c>
      <c r="X224" s="44">
        <v>247332</v>
      </c>
      <c r="Y224" s="44">
        <v>810629</v>
      </c>
      <c r="Z224" s="44">
        <v>397197</v>
      </c>
      <c r="AA224" s="44">
        <v>181882</v>
      </c>
      <c r="AB224" s="44">
        <v>0</v>
      </c>
      <c r="AC224" s="44">
        <v>6635536</v>
      </c>
      <c r="AD224" s="44">
        <v>470889</v>
      </c>
      <c r="AE224" s="44">
        <v>397720</v>
      </c>
      <c r="AF224" s="44">
        <v>291134</v>
      </c>
      <c r="AG224" s="44">
        <v>7795279</v>
      </c>
      <c r="AH224" s="44">
        <v>593</v>
      </c>
      <c r="AI224" s="44">
        <v>13119</v>
      </c>
      <c r="AJ224" s="44">
        <v>13145</v>
      </c>
      <c r="AK224" s="44">
        <v>118268</v>
      </c>
      <c r="AL224" s="44">
        <v>47654</v>
      </c>
      <c r="AM224" s="44">
        <v>0.34899999999999998</v>
      </c>
      <c r="AN224" s="44">
        <v>0.54731767778933893</v>
      </c>
      <c r="AO224" s="44">
        <v>0.15</v>
      </c>
      <c r="AP224" s="44">
        <v>0.69731767778933895</v>
      </c>
      <c r="AQ224" s="44">
        <v>0.81940000000000002</v>
      </c>
      <c r="AR224" s="44">
        <v>11.9</v>
      </c>
    </row>
    <row r="225" spans="1:44">
      <c r="A225" t="s">
        <v>1244</v>
      </c>
      <c r="B225" t="s">
        <v>1245</v>
      </c>
      <c r="D225" t="s">
        <v>1639</v>
      </c>
      <c r="E225" s="44">
        <v>708886</v>
      </c>
      <c r="F225" s="44">
        <v>4603108</v>
      </c>
      <c r="G225" s="44">
        <v>526131</v>
      </c>
      <c r="H225" s="126">
        <v>5129239</v>
      </c>
      <c r="I225" s="127">
        <v>2670248</v>
      </c>
      <c r="J225" s="128">
        <v>228125</v>
      </c>
      <c r="K225" s="130">
        <v>8027612</v>
      </c>
      <c r="L225" s="44">
        <v>34062</v>
      </c>
      <c r="M225" s="44">
        <v>290935</v>
      </c>
      <c r="N225" s="44">
        <v>2201912</v>
      </c>
      <c r="O225" s="44">
        <v>50685</v>
      </c>
      <c r="P225" s="44">
        <v>76116</v>
      </c>
      <c r="Q225" s="44">
        <v>770469</v>
      </c>
      <c r="R225" s="44">
        <v>21716</v>
      </c>
      <c r="S225" s="44">
        <v>16767</v>
      </c>
      <c r="T225" s="44">
        <v>322466</v>
      </c>
      <c r="U225" s="44">
        <v>326002</v>
      </c>
      <c r="V225" s="44">
        <v>1500</v>
      </c>
      <c r="W225" s="44">
        <v>480993</v>
      </c>
      <c r="X225" s="44">
        <v>217922</v>
      </c>
      <c r="Y225" s="44">
        <v>1122373</v>
      </c>
      <c r="Z225" s="44">
        <v>386416</v>
      </c>
      <c r="AA225" s="44">
        <v>123800</v>
      </c>
      <c r="AB225" s="44">
        <v>0</v>
      </c>
      <c r="AC225" s="44">
        <v>6444134</v>
      </c>
      <c r="AD225" s="44">
        <v>482043</v>
      </c>
      <c r="AE225" s="44">
        <v>556410</v>
      </c>
      <c r="AF225" s="44">
        <v>207999</v>
      </c>
      <c r="AG225" s="44">
        <v>7690586</v>
      </c>
      <c r="AH225" s="44">
        <v>418</v>
      </c>
      <c r="AI225" s="44">
        <v>19205</v>
      </c>
      <c r="AJ225" s="44">
        <v>18399</v>
      </c>
      <c r="AK225" s="44">
        <v>225661</v>
      </c>
      <c r="AL225" s="44">
        <v>55701</v>
      </c>
      <c r="AM225" s="44">
        <v>0.52300000000000002</v>
      </c>
      <c r="AN225" s="44">
        <v>0.4923074782597841</v>
      </c>
      <c r="AO225" s="44">
        <v>0.189</v>
      </c>
      <c r="AP225" s="44">
        <v>0.68130747825978411</v>
      </c>
      <c r="AQ225" s="44">
        <v>0.81230000000000002</v>
      </c>
      <c r="AR225" s="44">
        <v>21.7</v>
      </c>
    </row>
    <row r="226" spans="1:44">
      <c r="A226" t="s">
        <v>1246</v>
      </c>
      <c r="B226" t="s">
        <v>1247</v>
      </c>
      <c r="D226" t="s">
        <v>1639</v>
      </c>
      <c r="E226" s="44">
        <v>2219181</v>
      </c>
      <c r="F226" s="44">
        <v>12308534</v>
      </c>
      <c r="G226" s="44">
        <v>1057091</v>
      </c>
      <c r="H226" s="126">
        <v>13365625</v>
      </c>
      <c r="I226" s="127">
        <v>6485184</v>
      </c>
      <c r="J226" s="128">
        <v>1098576</v>
      </c>
      <c r="K226" s="130">
        <v>20949385</v>
      </c>
      <c r="L226" s="44">
        <v>63635</v>
      </c>
      <c r="M226" s="44">
        <v>374165</v>
      </c>
      <c r="N226" s="44">
        <v>5865844</v>
      </c>
      <c r="O226" s="44">
        <v>135090</v>
      </c>
      <c r="P226" s="44">
        <v>443126</v>
      </c>
      <c r="Q226" s="44">
        <v>1846017</v>
      </c>
      <c r="R226" s="44">
        <v>19399</v>
      </c>
      <c r="S226" s="44">
        <v>0</v>
      </c>
      <c r="T226" s="44">
        <v>985230</v>
      </c>
      <c r="U226" s="44">
        <v>662439</v>
      </c>
      <c r="V226" s="44">
        <v>30865</v>
      </c>
      <c r="W226" s="44">
        <v>1451759</v>
      </c>
      <c r="X226" s="44">
        <v>526613</v>
      </c>
      <c r="Y226" s="44">
        <v>1667775</v>
      </c>
      <c r="Z226" s="44">
        <v>1027010</v>
      </c>
      <c r="AA226" s="44">
        <v>382834</v>
      </c>
      <c r="AB226" s="44">
        <v>0</v>
      </c>
      <c r="AC226" s="44">
        <v>15481801</v>
      </c>
      <c r="AD226" s="44">
        <v>895329</v>
      </c>
      <c r="AE226" s="44">
        <v>1500000</v>
      </c>
      <c r="AF226" s="44">
        <v>539884</v>
      </c>
      <c r="AG226" s="44">
        <v>18417014</v>
      </c>
      <c r="AH226" s="44">
        <v>1484</v>
      </c>
      <c r="AI226" s="44">
        <v>14117</v>
      </c>
      <c r="AJ226" s="44">
        <v>12410</v>
      </c>
      <c r="AK226" s="44">
        <v>147890</v>
      </c>
      <c r="AL226" s="44">
        <v>62742</v>
      </c>
      <c r="AM226" s="44">
        <v>0.45</v>
      </c>
      <c r="AN226" s="44">
        <v>0.54064926051530393</v>
      </c>
      <c r="AO226" s="44">
        <v>0.14699999999999999</v>
      </c>
      <c r="AP226" s="44">
        <v>0.68764926051530395</v>
      </c>
      <c r="AQ226" s="44">
        <v>0.8175</v>
      </c>
      <c r="AR226" s="44">
        <v>23.17</v>
      </c>
    </row>
    <row r="227" spans="1:44">
      <c r="A227" t="s">
        <v>1248</v>
      </c>
      <c r="B227" t="s">
        <v>1249</v>
      </c>
      <c r="D227" t="s">
        <v>1639</v>
      </c>
      <c r="E227" s="44">
        <v>1461663</v>
      </c>
      <c r="F227" s="44">
        <v>13154707</v>
      </c>
      <c r="G227" s="44">
        <v>1128908</v>
      </c>
      <c r="H227" s="126">
        <v>14283615</v>
      </c>
      <c r="I227" s="127">
        <v>5885334</v>
      </c>
      <c r="J227" s="128">
        <v>964150</v>
      </c>
      <c r="K227" s="130">
        <v>21133099</v>
      </c>
      <c r="L227" s="44">
        <v>55408</v>
      </c>
      <c r="M227" s="44">
        <v>453170</v>
      </c>
      <c r="N227" s="44">
        <v>5255434</v>
      </c>
      <c r="O227" s="44">
        <v>211764</v>
      </c>
      <c r="P227" s="44">
        <v>405249</v>
      </c>
      <c r="Q227" s="44">
        <v>3468013</v>
      </c>
      <c r="R227" s="44">
        <v>0</v>
      </c>
      <c r="S227" s="44">
        <v>0</v>
      </c>
      <c r="T227" s="44">
        <v>1116336</v>
      </c>
      <c r="U227" s="44">
        <v>585473</v>
      </c>
      <c r="V227" s="44">
        <v>0</v>
      </c>
      <c r="W227" s="44">
        <v>1747664</v>
      </c>
      <c r="X227" s="44">
        <v>629931</v>
      </c>
      <c r="Y227" s="44">
        <v>1911376</v>
      </c>
      <c r="Z227" s="44">
        <v>995420</v>
      </c>
      <c r="AA227" s="44">
        <v>283481</v>
      </c>
      <c r="AB227" s="44">
        <v>50000</v>
      </c>
      <c r="AC227" s="44">
        <v>17168719</v>
      </c>
      <c r="AD227" s="44">
        <v>987928</v>
      </c>
      <c r="AE227" s="44">
        <v>1983860</v>
      </c>
      <c r="AF227" s="44">
        <v>688546</v>
      </c>
      <c r="AG227" s="44">
        <v>20829053</v>
      </c>
      <c r="AH227" s="44">
        <v>1150</v>
      </c>
      <c r="AI227" s="44">
        <v>18377</v>
      </c>
      <c r="AJ227" s="44">
        <v>18112</v>
      </c>
      <c r="AK227" s="44">
        <v>218662</v>
      </c>
      <c r="AL227" s="44">
        <v>50189</v>
      </c>
      <c r="AM227" s="44">
        <v>0.49199999999999999</v>
      </c>
      <c r="AN227" s="44">
        <v>0.53013783199841102</v>
      </c>
      <c r="AO227" s="44">
        <v>0.13700000000000001</v>
      </c>
      <c r="AP227" s="44">
        <v>0.66713783199841103</v>
      </c>
      <c r="AQ227" s="44">
        <v>0.80879999999999996</v>
      </c>
      <c r="AR227" s="44">
        <v>15.9</v>
      </c>
    </row>
    <row r="228" spans="1:44">
      <c r="A228" t="s">
        <v>1250</v>
      </c>
      <c r="B228" t="s">
        <v>1251</v>
      </c>
      <c r="D228" t="s">
        <v>1639</v>
      </c>
      <c r="E228" s="44">
        <v>2089204</v>
      </c>
      <c r="F228" s="44">
        <v>9142854</v>
      </c>
      <c r="G228" s="44">
        <v>717845</v>
      </c>
      <c r="H228" s="126">
        <v>9860699</v>
      </c>
      <c r="I228" s="127">
        <v>3657578</v>
      </c>
      <c r="J228" s="128">
        <v>557212</v>
      </c>
      <c r="K228" s="130">
        <v>14075489</v>
      </c>
      <c r="L228" s="44">
        <v>212104</v>
      </c>
      <c r="M228" s="44">
        <v>339630</v>
      </c>
      <c r="N228" s="44">
        <v>3681945</v>
      </c>
      <c r="O228" s="44">
        <v>126642</v>
      </c>
      <c r="P228" s="44">
        <v>161951</v>
      </c>
      <c r="Q228" s="44">
        <v>2033599</v>
      </c>
      <c r="R228" s="44">
        <v>9860</v>
      </c>
      <c r="S228" s="44">
        <v>19863</v>
      </c>
      <c r="T228" s="44">
        <v>711513</v>
      </c>
      <c r="U228" s="44">
        <v>595577</v>
      </c>
      <c r="V228" s="44">
        <v>0</v>
      </c>
      <c r="W228" s="44">
        <v>984065</v>
      </c>
      <c r="X228" s="44">
        <v>373561</v>
      </c>
      <c r="Y228" s="44">
        <v>1316455</v>
      </c>
      <c r="Z228" s="44">
        <v>641248</v>
      </c>
      <c r="AA228" s="44">
        <v>304753</v>
      </c>
      <c r="AB228" s="44">
        <v>38000</v>
      </c>
      <c r="AC228" s="44">
        <v>11550766</v>
      </c>
      <c r="AD228" s="44">
        <v>918574</v>
      </c>
      <c r="AE228" s="44">
        <v>1165354</v>
      </c>
      <c r="AF228" s="44">
        <v>511160</v>
      </c>
      <c r="AG228" s="44">
        <v>14145854</v>
      </c>
      <c r="AH228" s="44">
        <v>963</v>
      </c>
      <c r="AI228" s="44">
        <v>14616</v>
      </c>
      <c r="AJ228" s="44">
        <v>14689</v>
      </c>
      <c r="AK228" s="44">
        <v>230606</v>
      </c>
      <c r="AL228" s="44">
        <v>53391</v>
      </c>
      <c r="AM228" s="44">
        <v>0.52</v>
      </c>
      <c r="AN228" s="44">
        <v>0.51894710633942642</v>
      </c>
      <c r="AO228" s="44">
        <v>0.13</v>
      </c>
      <c r="AP228" s="44">
        <v>0.64894710633942643</v>
      </c>
      <c r="AQ228" s="44">
        <v>0.79500000000000004</v>
      </c>
      <c r="AR228" s="44">
        <v>11.86</v>
      </c>
    </row>
    <row r="229" spans="1:44">
      <c r="A229" t="s">
        <v>1252</v>
      </c>
      <c r="B229" t="s">
        <v>1253</v>
      </c>
      <c r="D229" t="s">
        <v>1639</v>
      </c>
      <c r="E229" s="44">
        <v>647728</v>
      </c>
      <c r="F229" s="44">
        <v>7752829</v>
      </c>
      <c r="G229" s="44">
        <v>1294547</v>
      </c>
      <c r="H229" s="126">
        <v>9047376</v>
      </c>
      <c r="I229" s="127">
        <v>7195042</v>
      </c>
      <c r="J229" s="128">
        <v>535447</v>
      </c>
      <c r="K229" s="130">
        <v>16777865</v>
      </c>
      <c r="L229" s="44">
        <v>160699</v>
      </c>
      <c r="M229" s="44">
        <v>368103</v>
      </c>
      <c r="N229" s="44">
        <v>4875173</v>
      </c>
      <c r="O229" s="44">
        <v>214532</v>
      </c>
      <c r="P229" s="44">
        <v>353427</v>
      </c>
      <c r="Q229" s="44">
        <v>1199061</v>
      </c>
      <c r="R229" s="44">
        <v>24168</v>
      </c>
      <c r="S229" s="44">
        <v>184087</v>
      </c>
      <c r="T229" s="44">
        <v>1053511</v>
      </c>
      <c r="U229" s="44">
        <v>614370</v>
      </c>
      <c r="V229" s="44">
        <v>9253</v>
      </c>
      <c r="W229" s="44">
        <v>1254422</v>
      </c>
      <c r="X229" s="44">
        <v>513618</v>
      </c>
      <c r="Y229" s="44">
        <v>1095799</v>
      </c>
      <c r="Z229" s="44">
        <v>723779</v>
      </c>
      <c r="AA229" s="44">
        <v>342415</v>
      </c>
      <c r="AB229" s="44">
        <v>10000</v>
      </c>
      <c r="AC229" s="44">
        <v>12996417</v>
      </c>
      <c r="AD229" s="44">
        <v>711385</v>
      </c>
      <c r="AE229" s="44">
        <v>1394833</v>
      </c>
      <c r="AF229" s="44">
        <v>850232</v>
      </c>
      <c r="AG229" s="44">
        <v>15952867</v>
      </c>
      <c r="AH229" s="44">
        <v>1029</v>
      </c>
      <c r="AI229" s="44">
        <v>16305</v>
      </c>
      <c r="AJ229" s="44">
        <v>15503</v>
      </c>
      <c r="AK229" s="44">
        <v>216591</v>
      </c>
      <c r="AL229" s="44">
        <v>93630</v>
      </c>
      <c r="AM229" s="44">
        <v>0.66700000000000004</v>
      </c>
      <c r="AN229" s="44">
        <v>0.53396853368112451</v>
      </c>
      <c r="AO229" s="44">
        <v>0.13</v>
      </c>
      <c r="AP229" s="44">
        <v>0.66396853368112452</v>
      </c>
      <c r="AQ229" s="44">
        <v>0.81399999999999995</v>
      </c>
      <c r="AR229" s="44">
        <v>22.27</v>
      </c>
    </row>
    <row r="230" spans="1:44">
      <c r="A230" t="s">
        <v>1254</v>
      </c>
      <c r="B230" t="s">
        <v>1255</v>
      </c>
      <c r="D230" t="s">
        <v>1639</v>
      </c>
      <c r="E230" s="44">
        <v>842588</v>
      </c>
      <c r="F230" s="44">
        <v>7526907</v>
      </c>
      <c r="G230" s="44">
        <v>1301554</v>
      </c>
      <c r="H230" s="126">
        <v>8828461</v>
      </c>
      <c r="I230" s="127">
        <v>5857931</v>
      </c>
      <c r="J230" s="128">
        <v>366461</v>
      </c>
      <c r="K230" s="130">
        <v>15052853</v>
      </c>
      <c r="L230" s="44">
        <v>64225</v>
      </c>
      <c r="M230" s="44">
        <v>334825</v>
      </c>
      <c r="N230" s="44">
        <v>5159776</v>
      </c>
      <c r="O230" s="44">
        <v>264374</v>
      </c>
      <c r="P230" s="44">
        <v>284687</v>
      </c>
      <c r="Q230" s="44">
        <v>1147587</v>
      </c>
      <c r="R230" s="44">
        <v>10822</v>
      </c>
      <c r="S230" s="44">
        <v>141669</v>
      </c>
      <c r="T230" s="44">
        <v>797622</v>
      </c>
      <c r="U230" s="44">
        <v>694539</v>
      </c>
      <c r="V230" s="44">
        <v>9886</v>
      </c>
      <c r="W230" s="44">
        <v>1025802</v>
      </c>
      <c r="X230" s="44">
        <v>518259</v>
      </c>
      <c r="Y230" s="44">
        <v>982251</v>
      </c>
      <c r="Z230" s="44">
        <v>816868</v>
      </c>
      <c r="AA230" s="44">
        <v>312218</v>
      </c>
      <c r="AB230" s="44">
        <v>0</v>
      </c>
      <c r="AC230" s="44">
        <v>12565410</v>
      </c>
      <c r="AD230" s="44">
        <v>736579</v>
      </c>
      <c r="AE230" s="44">
        <v>720000</v>
      </c>
      <c r="AF230" s="44">
        <v>561798</v>
      </c>
      <c r="AG230" s="44">
        <v>14583787</v>
      </c>
      <c r="AH230" s="44">
        <v>1096</v>
      </c>
      <c r="AI230" s="44">
        <v>13734</v>
      </c>
      <c r="AJ230" s="44">
        <v>13306</v>
      </c>
      <c r="AK230" s="44">
        <v>193357</v>
      </c>
      <c r="AL230" s="44">
        <v>80339</v>
      </c>
      <c r="AM230" s="44">
        <v>0.58099999999999996</v>
      </c>
      <c r="AN230" s="44">
        <v>0.58291279213005509</v>
      </c>
      <c r="AO230" s="44">
        <v>0.13600000000000001</v>
      </c>
      <c r="AP230" s="44">
        <v>0.7189127921300551</v>
      </c>
      <c r="AQ230" s="44">
        <v>0.83430000000000004</v>
      </c>
      <c r="AR230" s="44">
        <v>20.5</v>
      </c>
    </row>
    <row r="231" spans="1:44">
      <c r="A231" t="s">
        <v>1256</v>
      </c>
      <c r="B231" t="s">
        <v>1257</v>
      </c>
      <c r="D231" t="s">
        <v>1639</v>
      </c>
      <c r="E231" s="44">
        <v>1105561</v>
      </c>
      <c r="F231" s="44">
        <v>5805901</v>
      </c>
      <c r="G231" s="44">
        <v>1140833</v>
      </c>
      <c r="H231" s="126">
        <v>6946734</v>
      </c>
      <c r="I231" s="127">
        <v>8071980</v>
      </c>
      <c r="J231" s="128">
        <v>467972</v>
      </c>
      <c r="K231" s="130">
        <v>15486686</v>
      </c>
      <c r="L231" s="44">
        <v>82064</v>
      </c>
      <c r="M231" s="44">
        <v>391293</v>
      </c>
      <c r="N231" s="44">
        <v>5478189</v>
      </c>
      <c r="O231" s="44">
        <v>158309</v>
      </c>
      <c r="P231" s="44">
        <v>386812</v>
      </c>
      <c r="Q231" s="44">
        <v>838053</v>
      </c>
      <c r="R231" s="44">
        <v>293833</v>
      </c>
      <c r="S231" s="44">
        <v>0</v>
      </c>
      <c r="T231" s="44">
        <v>921812</v>
      </c>
      <c r="U231" s="44">
        <v>599055</v>
      </c>
      <c r="V231" s="44">
        <v>0</v>
      </c>
      <c r="W231" s="44">
        <v>1062088</v>
      </c>
      <c r="X231" s="44">
        <v>554250</v>
      </c>
      <c r="Y231" s="44">
        <v>1035706</v>
      </c>
      <c r="Z231" s="44">
        <v>780424</v>
      </c>
      <c r="AA231" s="44">
        <v>488743</v>
      </c>
      <c r="AB231" s="44">
        <v>40000</v>
      </c>
      <c r="AC231" s="44">
        <v>13110631</v>
      </c>
      <c r="AD231" s="44">
        <v>672063</v>
      </c>
      <c r="AE231" s="44">
        <v>656500</v>
      </c>
      <c r="AF231" s="44">
        <v>724226</v>
      </c>
      <c r="AG231" s="44">
        <v>15163420</v>
      </c>
      <c r="AH231" s="44">
        <v>1018</v>
      </c>
      <c r="AI231" s="44">
        <v>15213</v>
      </c>
      <c r="AJ231" s="44">
        <v>14895</v>
      </c>
      <c r="AK231" s="44">
        <v>321947</v>
      </c>
      <c r="AL231" s="44">
        <v>101977</v>
      </c>
      <c r="AM231" s="44">
        <v>0.83899999999999997</v>
      </c>
      <c r="AN231" s="44">
        <v>0.57217059212235766</v>
      </c>
      <c r="AO231" s="44">
        <v>0.13400000000000001</v>
      </c>
      <c r="AP231" s="44">
        <v>0.70617059212235767</v>
      </c>
      <c r="AQ231" s="44">
        <v>0.81469999999999998</v>
      </c>
      <c r="AR231" s="44">
        <v>18.260000000000002</v>
      </c>
    </row>
    <row r="232" spans="1:44">
      <c r="A232" t="s">
        <v>1258</v>
      </c>
      <c r="B232" t="s">
        <v>1259</v>
      </c>
      <c r="D232" t="s">
        <v>1639</v>
      </c>
      <c r="E232" s="44">
        <v>1317446</v>
      </c>
      <c r="F232" s="44">
        <v>13742779</v>
      </c>
      <c r="G232" s="44">
        <v>2430823</v>
      </c>
      <c r="H232" s="126">
        <v>16173602</v>
      </c>
      <c r="I232" s="127">
        <v>11492955</v>
      </c>
      <c r="J232" s="128">
        <v>787613</v>
      </c>
      <c r="K232" s="130">
        <v>28454170</v>
      </c>
      <c r="L232" s="44">
        <v>100921</v>
      </c>
      <c r="M232" s="44">
        <v>588544</v>
      </c>
      <c r="N232" s="44">
        <v>9597150</v>
      </c>
      <c r="O232" s="44">
        <v>445711</v>
      </c>
      <c r="P232" s="44">
        <v>571253</v>
      </c>
      <c r="Q232" s="44">
        <v>899758</v>
      </c>
      <c r="R232" s="44">
        <v>0</v>
      </c>
      <c r="S232" s="44">
        <v>221127</v>
      </c>
      <c r="T232" s="44">
        <v>1947595</v>
      </c>
      <c r="U232" s="44">
        <v>1128930</v>
      </c>
      <c r="V232" s="44">
        <v>0</v>
      </c>
      <c r="W232" s="44">
        <v>2098310</v>
      </c>
      <c r="X232" s="44">
        <v>1013080</v>
      </c>
      <c r="Y232" s="44">
        <v>2687137</v>
      </c>
      <c r="Z232" s="44">
        <v>1451220</v>
      </c>
      <c r="AA232" s="44">
        <v>900235</v>
      </c>
      <c r="AB232" s="44">
        <v>1000</v>
      </c>
      <c r="AC232" s="44">
        <v>23651971</v>
      </c>
      <c r="AD232" s="44">
        <v>1340313</v>
      </c>
      <c r="AE232" s="44">
        <v>2120984</v>
      </c>
      <c r="AF232" s="44">
        <v>1292958</v>
      </c>
      <c r="AG232" s="44">
        <v>28406226</v>
      </c>
      <c r="AH232" s="44">
        <v>2036</v>
      </c>
      <c r="AI232" s="44">
        <v>13976</v>
      </c>
      <c r="AJ232" s="44">
        <v>13952</v>
      </c>
      <c r="AK232" s="44">
        <v>216972</v>
      </c>
      <c r="AL232" s="44">
        <v>81744</v>
      </c>
      <c r="AM232" s="44">
        <v>0.61799999999999999</v>
      </c>
      <c r="AN232" s="44">
        <v>0.52141822711682995</v>
      </c>
      <c r="AO232" s="44">
        <v>0.161</v>
      </c>
      <c r="AP232" s="44">
        <v>0.68241822711682998</v>
      </c>
      <c r="AQ232" s="44">
        <v>0.81899999999999995</v>
      </c>
      <c r="AR232" s="44">
        <v>19.68</v>
      </c>
    </row>
    <row r="233" spans="1:44">
      <c r="A233" t="s">
        <v>1260</v>
      </c>
      <c r="B233" t="s">
        <v>1261</v>
      </c>
      <c r="D233" t="s">
        <v>1639</v>
      </c>
      <c r="E233" s="44">
        <v>659720</v>
      </c>
      <c r="F233" s="44">
        <v>7484595</v>
      </c>
      <c r="G233" s="44">
        <v>815653</v>
      </c>
      <c r="H233" s="126">
        <v>8300248</v>
      </c>
      <c r="I233" s="127">
        <v>3125128</v>
      </c>
      <c r="J233" s="128">
        <v>998811</v>
      </c>
      <c r="K233" s="130">
        <v>12424187</v>
      </c>
      <c r="L233" s="44">
        <v>63607</v>
      </c>
      <c r="M233" s="44">
        <v>321856</v>
      </c>
      <c r="N233" s="44">
        <v>2775361</v>
      </c>
      <c r="O233" s="44">
        <v>42275</v>
      </c>
      <c r="P233" s="44">
        <v>232166</v>
      </c>
      <c r="Q233" s="44">
        <v>1295705</v>
      </c>
      <c r="R233" s="44">
        <v>44132</v>
      </c>
      <c r="S233" s="44">
        <v>137790</v>
      </c>
      <c r="T233" s="44">
        <v>594254</v>
      </c>
      <c r="U233" s="44">
        <v>689353</v>
      </c>
      <c r="V233" s="44">
        <v>0</v>
      </c>
      <c r="W233" s="44">
        <v>694337</v>
      </c>
      <c r="X233" s="44">
        <v>251289</v>
      </c>
      <c r="Y233" s="44">
        <v>836505</v>
      </c>
      <c r="Z233" s="44">
        <v>503271</v>
      </c>
      <c r="AA233" s="44">
        <v>190052</v>
      </c>
      <c r="AB233" s="44">
        <v>0</v>
      </c>
      <c r="AC233" s="44">
        <v>8671953</v>
      </c>
      <c r="AD233" s="44">
        <v>590307</v>
      </c>
      <c r="AE233" s="44">
        <v>1745000</v>
      </c>
      <c r="AF233" s="44">
        <v>856783</v>
      </c>
      <c r="AG233" s="44">
        <v>11864043</v>
      </c>
      <c r="AH233" s="44">
        <v>562</v>
      </c>
      <c r="AI233" s="44">
        <v>22107</v>
      </c>
      <c r="AJ233" s="44">
        <v>21110</v>
      </c>
      <c r="AK233" s="44">
        <v>169930</v>
      </c>
      <c r="AL233" s="44">
        <v>69441</v>
      </c>
      <c r="AM233" s="44">
        <v>0.50700000000000001</v>
      </c>
      <c r="AN233" s="44">
        <v>0.48980233803940193</v>
      </c>
      <c r="AO233" s="44">
        <v>0.11700000000000001</v>
      </c>
      <c r="AP233" s="44">
        <v>0.60680233803940198</v>
      </c>
      <c r="AQ233" s="44">
        <v>0.82889999999999997</v>
      </c>
      <c r="AR233" s="44">
        <v>22.95</v>
      </c>
    </row>
    <row r="234" spans="1:44">
      <c r="A234" t="s">
        <v>1262</v>
      </c>
      <c r="B234" t="s">
        <v>1263</v>
      </c>
      <c r="D234" t="s">
        <v>1639</v>
      </c>
      <c r="E234" s="44">
        <v>1216085</v>
      </c>
      <c r="F234" s="44">
        <v>17559599</v>
      </c>
      <c r="G234" s="44">
        <v>1805911</v>
      </c>
      <c r="H234" s="126">
        <v>19365510</v>
      </c>
      <c r="I234" s="127">
        <v>5474935</v>
      </c>
      <c r="J234" s="128">
        <v>1101981</v>
      </c>
      <c r="K234" s="130">
        <v>25942426</v>
      </c>
      <c r="L234" s="44">
        <v>169238</v>
      </c>
      <c r="M234" s="44">
        <v>443512</v>
      </c>
      <c r="N234" s="44">
        <v>7549565</v>
      </c>
      <c r="O234" s="44">
        <v>552072</v>
      </c>
      <c r="P234" s="44">
        <v>492226</v>
      </c>
      <c r="Q234" s="44">
        <v>1604961</v>
      </c>
      <c r="R234" s="44">
        <v>0</v>
      </c>
      <c r="S234" s="44">
        <v>341613</v>
      </c>
      <c r="T234" s="44">
        <v>1565169</v>
      </c>
      <c r="U234" s="44">
        <v>976208</v>
      </c>
      <c r="V234" s="44">
        <v>165669</v>
      </c>
      <c r="W234" s="44">
        <v>1468385</v>
      </c>
      <c r="X234" s="44">
        <v>713203</v>
      </c>
      <c r="Y234" s="44">
        <v>2295612</v>
      </c>
      <c r="Z234" s="44">
        <v>1412471</v>
      </c>
      <c r="AA234" s="44">
        <v>638101</v>
      </c>
      <c r="AB234" s="44">
        <v>336423</v>
      </c>
      <c r="AC234" s="44">
        <v>20724428</v>
      </c>
      <c r="AD234" s="44">
        <v>987189</v>
      </c>
      <c r="AE234" s="44">
        <v>2541784</v>
      </c>
      <c r="AF234" s="44">
        <v>1381452</v>
      </c>
      <c r="AG234" s="44">
        <v>25634853</v>
      </c>
      <c r="AH234" s="44">
        <v>1778</v>
      </c>
      <c r="AI234" s="44">
        <v>14591</v>
      </c>
      <c r="AJ234" s="44">
        <v>14418</v>
      </c>
      <c r="AK234" s="44">
        <v>153565</v>
      </c>
      <c r="AL234" s="44">
        <v>67238</v>
      </c>
      <c r="AM234" s="44">
        <v>0.47600000000000003</v>
      </c>
      <c r="AN234" s="44">
        <v>0.51031359532274279</v>
      </c>
      <c r="AO234" s="44">
        <v>0.14899999999999999</v>
      </c>
      <c r="AP234" s="44">
        <v>0.65931359532274281</v>
      </c>
      <c r="AQ234" s="44">
        <v>0.82840000000000003</v>
      </c>
      <c r="AR234" s="44">
        <v>15.49</v>
      </c>
    </row>
    <row r="235" spans="1:44">
      <c r="A235" t="s">
        <v>1264</v>
      </c>
      <c r="B235" t="s">
        <v>1265</v>
      </c>
      <c r="D235" t="s">
        <v>1639</v>
      </c>
      <c r="E235" s="44">
        <v>1030312</v>
      </c>
      <c r="F235" s="44">
        <v>11489307</v>
      </c>
      <c r="G235" s="44">
        <v>1225408</v>
      </c>
      <c r="H235" s="126">
        <v>12714715</v>
      </c>
      <c r="I235" s="127">
        <v>3502652</v>
      </c>
      <c r="J235" s="128">
        <v>867057</v>
      </c>
      <c r="K235" s="130">
        <v>17084424</v>
      </c>
      <c r="L235" s="44">
        <v>124353</v>
      </c>
      <c r="M235" s="44">
        <v>407731</v>
      </c>
      <c r="N235" s="44">
        <v>5089894</v>
      </c>
      <c r="O235" s="44">
        <v>273479</v>
      </c>
      <c r="P235" s="44">
        <v>253885</v>
      </c>
      <c r="Q235" s="44">
        <v>1174143</v>
      </c>
      <c r="R235" s="44">
        <v>0</v>
      </c>
      <c r="S235" s="44">
        <v>164101</v>
      </c>
      <c r="T235" s="44">
        <v>634004</v>
      </c>
      <c r="U235" s="44">
        <v>770665</v>
      </c>
      <c r="V235" s="44">
        <v>2340</v>
      </c>
      <c r="W235" s="44">
        <v>1264671</v>
      </c>
      <c r="X235" s="44">
        <v>499385</v>
      </c>
      <c r="Y235" s="44">
        <v>1291389</v>
      </c>
      <c r="Z235" s="44">
        <v>896793</v>
      </c>
      <c r="AA235" s="44">
        <v>620035</v>
      </c>
      <c r="AB235" s="44">
        <v>0</v>
      </c>
      <c r="AC235" s="44">
        <v>13466868</v>
      </c>
      <c r="AD235" s="44">
        <v>698355</v>
      </c>
      <c r="AE235" s="44">
        <v>1575294</v>
      </c>
      <c r="AF235" s="44">
        <v>1032139</v>
      </c>
      <c r="AG235" s="44">
        <v>16772656</v>
      </c>
      <c r="AH235" s="44">
        <v>915</v>
      </c>
      <c r="AI235" s="44">
        <v>18672</v>
      </c>
      <c r="AJ235" s="44">
        <v>18331</v>
      </c>
      <c r="AK235" s="44">
        <v>140407</v>
      </c>
      <c r="AL235" s="44">
        <v>61954</v>
      </c>
      <c r="AM235" s="44">
        <v>0.437</v>
      </c>
      <c r="AN235" s="44">
        <v>0.49844049743821134</v>
      </c>
      <c r="AO235" s="44">
        <v>0.13</v>
      </c>
      <c r="AP235" s="44">
        <v>0.6284404974382114</v>
      </c>
      <c r="AQ235" s="44">
        <v>0.7823</v>
      </c>
      <c r="AR235" s="44">
        <v>19.809999999999999</v>
      </c>
    </row>
    <row r="236" spans="1:44">
      <c r="A236" t="s">
        <v>1266</v>
      </c>
      <c r="B236" t="s">
        <v>1267</v>
      </c>
      <c r="D236" t="s">
        <v>1639</v>
      </c>
      <c r="E236" s="44">
        <v>1414556</v>
      </c>
      <c r="F236" s="44">
        <v>8294684</v>
      </c>
      <c r="G236" s="44">
        <v>1060273</v>
      </c>
      <c r="H236" s="126">
        <v>9354957</v>
      </c>
      <c r="I236" s="127">
        <v>4160440</v>
      </c>
      <c r="J236" s="128">
        <v>574464</v>
      </c>
      <c r="K236" s="130">
        <v>14089861</v>
      </c>
      <c r="L236" s="44">
        <v>52148</v>
      </c>
      <c r="M236" s="44">
        <v>354362</v>
      </c>
      <c r="N236" s="44">
        <v>4373189</v>
      </c>
      <c r="O236" s="44">
        <v>168562</v>
      </c>
      <c r="P236" s="44">
        <v>188283</v>
      </c>
      <c r="Q236" s="44">
        <v>861389</v>
      </c>
      <c r="R236" s="44">
        <v>0</v>
      </c>
      <c r="S236" s="44">
        <v>137757</v>
      </c>
      <c r="T236" s="44">
        <v>844376</v>
      </c>
      <c r="U236" s="44">
        <v>684453</v>
      </c>
      <c r="V236" s="44">
        <v>2210</v>
      </c>
      <c r="W236" s="44">
        <v>941952</v>
      </c>
      <c r="X236" s="44">
        <v>436241</v>
      </c>
      <c r="Y236" s="44">
        <v>1095414</v>
      </c>
      <c r="Z236" s="44">
        <v>842186</v>
      </c>
      <c r="AA236" s="44">
        <v>216652</v>
      </c>
      <c r="AB236" s="44">
        <v>0</v>
      </c>
      <c r="AC236" s="44">
        <v>11199174</v>
      </c>
      <c r="AD236" s="44">
        <v>671541</v>
      </c>
      <c r="AE236" s="44">
        <v>1243400</v>
      </c>
      <c r="AF236" s="44">
        <v>481983</v>
      </c>
      <c r="AG236" s="44">
        <v>13596098</v>
      </c>
      <c r="AH236" s="44">
        <v>940</v>
      </c>
      <c r="AI236" s="44">
        <v>14989</v>
      </c>
      <c r="AJ236" s="44">
        <v>14464</v>
      </c>
      <c r="AK236" s="44">
        <v>179003</v>
      </c>
      <c r="AL236" s="44">
        <v>69402</v>
      </c>
      <c r="AM236" s="44">
        <v>0.51800000000000002</v>
      </c>
      <c r="AN236" s="44">
        <v>0.53383029454480246</v>
      </c>
      <c r="AO236" s="44">
        <v>0.14199999999999999</v>
      </c>
      <c r="AP236" s="44">
        <v>0.67583029454480248</v>
      </c>
      <c r="AQ236" s="44">
        <v>0.82079999999999997</v>
      </c>
      <c r="AR236" s="44">
        <v>17.940000000000001</v>
      </c>
    </row>
    <row r="237" spans="1:44">
      <c r="A237" t="s">
        <v>1268</v>
      </c>
      <c r="B237" t="s">
        <v>1269</v>
      </c>
      <c r="D237" t="s">
        <v>1639</v>
      </c>
      <c r="E237" s="44">
        <v>773372</v>
      </c>
      <c r="F237" s="44">
        <v>3122924</v>
      </c>
      <c r="G237" s="44">
        <v>210403</v>
      </c>
      <c r="H237" s="126">
        <v>3333327</v>
      </c>
      <c r="I237" s="127">
        <v>853948</v>
      </c>
      <c r="J237" s="128">
        <v>471818</v>
      </c>
      <c r="K237" s="130">
        <v>4659093</v>
      </c>
      <c r="L237" s="44">
        <v>69608</v>
      </c>
      <c r="M237" s="44">
        <v>252500</v>
      </c>
      <c r="N237" s="44">
        <v>1193125</v>
      </c>
      <c r="O237" s="44">
        <v>81224</v>
      </c>
      <c r="P237" s="44">
        <v>0</v>
      </c>
      <c r="Q237" s="44">
        <v>1100544</v>
      </c>
      <c r="R237" s="44">
        <v>17916</v>
      </c>
      <c r="S237" s="44">
        <v>0</v>
      </c>
      <c r="T237" s="44">
        <v>217854</v>
      </c>
      <c r="U237" s="44">
        <v>275739</v>
      </c>
      <c r="V237" s="44">
        <v>0</v>
      </c>
      <c r="W237" s="44">
        <v>316894</v>
      </c>
      <c r="X237" s="44">
        <v>109601</v>
      </c>
      <c r="Y237" s="44">
        <v>385048</v>
      </c>
      <c r="Z237" s="44">
        <v>273083</v>
      </c>
      <c r="AA237" s="44">
        <v>52301</v>
      </c>
      <c r="AB237" s="44">
        <v>6000</v>
      </c>
      <c r="AC237" s="44">
        <v>4351437</v>
      </c>
      <c r="AD237" s="44">
        <v>404982</v>
      </c>
      <c r="AE237" s="44">
        <v>175000</v>
      </c>
      <c r="AF237" s="44">
        <v>82860</v>
      </c>
      <c r="AG237" s="44">
        <v>5014279</v>
      </c>
      <c r="AH237" s="44">
        <v>286</v>
      </c>
      <c r="AI237" s="44">
        <v>16291</v>
      </c>
      <c r="AJ237" s="44">
        <v>17532</v>
      </c>
      <c r="AK237" s="44">
        <v>142858</v>
      </c>
      <c r="AL237" s="44">
        <v>52308</v>
      </c>
      <c r="AM237" s="44">
        <v>0.4</v>
      </c>
      <c r="AN237" s="44">
        <v>0.57563649729103628</v>
      </c>
      <c r="AO237" s="44">
        <v>0.112</v>
      </c>
      <c r="AP237" s="44">
        <v>0.68763649729103626</v>
      </c>
      <c r="AQ237" s="44">
        <v>0.79200000000000004</v>
      </c>
      <c r="AR237" s="44">
        <v>16.809999999999999</v>
      </c>
    </row>
    <row r="238" spans="1:44">
      <c r="A238" t="s">
        <v>1270</v>
      </c>
      <c r="B238" t="s">
        <v>1271</v>
      </c>
      <c r="D238" t="s">
        <v>1639</v>
      </c>
      <c r="E238" s="44">
        <v>1443032</v>
      </c>
      <c r="F238" s="44">
        <v>8341338</v>
      </c>
      <c r="G238" s="44">
        <v>2030704</v>
      </c>
      <c r="H238" s="126">
        <v>10372042</v>
      </c>
      <c r="I238" s="127">
        <v>13265756</v>
      </c>
      <c r="J238" s="128">
        <v>557414</v>
      </c>
      <c r="K238" s="130">
        <v>24195212</v>
      </c>
      <c r="L238" s="44">
        <v>166966</v>
      </c>
      <c r="M238" s="44">
        <v>482167</v>
      </c>
      <c r="N238" s="44">
        <v>8073100</v>
      </c>
      <c r="O238" s="44">
        <v>373493</v>
      </c>
      <c r="P238" s="44">
        <v>459829</v>
      </c>
      <c r="Q238" s="44">
        <v>901195</v>
      </c>
      <c r="R238" s="44">
        <v>24128</v>
      </c>
      <c r="S238" s="44">
        <v>110173</v>
      </c>
      <c r="T238" s="44">
        <v>1280993</v>
      </c>
      <c r="U238" s="44">
        <v>965474</v>
      </c>
      <c r="V238" s="44">
        <v>5267</v>
      </c>
      <c r="W238" s="44">
        <v>1654414</v>
      </c>
      <c r="X238" s="44">
        <v>802460</v>
      </c>
      <c r="Y238" s="44">
        <v>3640742</v>
      </c>
      <c r="Z238" s="44">
        <v>1302509</v>
      </c>
      <c r="AA238" s="44">
        <v>331080</v>
      </c>
      <c r="AB238" s="44">
        <v>0</v>
      </c>
      <c r="AC238" s="44">
        <v>20573990</v>
      </c>
      <c r="AD238" s="44">
        <v>1119903</v>
      </c>
      <c r="AE238" s="44">
        <v>1112806</v>
      </c>
      <c r="AF238" s="44">
        <v>412039</v>
      </c>
      <c r="AG238" s="44">
        <v>23218738</v>
      </c>
      <c r="AH238" s="44">
        <v>1790</v>
      </c>
      <c r="AI238" s="44">
        <v>13517</v>
      </c>
      <c r="AJ238" s="44">
        <v>12971</v>
      </c>
      <c r="AK238" s="44">
        <v>287235</v>
      </c>
      <c r="AL238" s="44">
        <v>114218</v>
      </c>
      <c r="AM238" s="44">
        <v>0.84299999999999997</v>
      </c>
      <c r="AN238" s="44">
        <v>0.52493744492056371</v>
      </c>
      <c r="AO238" s="44">
        <v>0.20599999999999999</v>
      </c>
      <c r="AP238" s="44">
        <v>0.73093744492056367</v>
      </c>
      <c r="AQ238" s="44">
        <v>0.82440000000000002</v>
      </c>
      <c r="AR238" s="44">
        <v>17.600000000000001</v>
      </c>
    </row>
    <row r="239" spans="1:44">
      <c r="A239" t="s">
        <v>1272</v>
      </c>
      <c r="B239" t="s">
        <v>1273</v>
      </c>
      <c r="D239" t="s">
        <v>1639</v>
      </c>
      <c r="E239" s="44">
        <v>652950</v>
      </c>
      <c r="F239" s="44">
        <v>4616563</v>
      </c>
      <c r="G239" s="44">
        <v>594511</v>
      </c>
      <c r="H239" s="126">
        <v>5211074</v>
      </c>
      <c r="I239" s="127">
        <v>2661442</v>
      </c>
      <c r="J239" s="128">
        <v>331943</v>
      </c>
      <c r="K239" s="130">
        <v>8204459</v>
      </c>
      <c r="L239" s="44">
        <v>92454</v>
      </c>
      <c r="M239" s="44">
        <v>222876</v>
      </c>
      <c r="N239" s="44">
        <v>2546592</v>
      </c>
      <c r="O239" s="44">
        <v>123381</v>
      </c>
      <c r="P239" s="44">
        <v>123196</v>
      </c>
      <c r="Q239" s="44">
        <v>1033426</v>
      </c>
      <c r="R239" s="44">
        <v>0</v>
      </c>
      <c r="S239" s="44">
        <v>0</v>
      </c>
      <c r="T239" s="44">
        <v>516652</v>
      </c>
      <c r="U239" s="44">
        <v>296818</v>
      </c>
      <c r="V239" s="44">
        <v>21300</v>
      </c>
      <c r="W239" s="44">
        <v>442871</v>
      </c>
      <c r="X239" s="44">
        <v>274626</v>
      </c>
      <c r="Y239" s="44">
        <v>942475</v>
      </c>
      <c r="Z239" s="44">
        <v>683673</v>
      </c>
      <c r="AA239" s="44">
        <v>120653</v>
      </c>
      <c r="AB239" s="44">
        <v>155000</v>
      </c>
      <c r="AC239" s="44">
        <v>7595993</v>
      </c>
      <c r="AD239" s="44">
        <v>534768</v>
      </c>
      <c r="AE239" s="44">
        <v>246910</v>
      </c>
      <c r="AF239" s="44">
        <v>118867</v>
      </c>
      <c r="AG239" s="44">
        <v>8496538</v>
      </c>
      <c r="AH239" s="44">
        <v>500</v>
      </c>
      <c r="AI239" s="44">
        <v>16409</v>
      </c>
      <c r="AJ239" s="44">
        <v>16993</v>
      </c>
      <c r="AK239" s="44">
        <v>176637</v>
      </c>
      <c r="AL239" s="44">
        <v>52322</v>
      </c>
      <c r="AM239" s="44">
        <v>0.44500000000000001</v>
      </c>
      <c r="AN239" s="44">
        <v>0.54611242837965301</v>
      </c>
      <c r="AO239" s="44">
        <v>0.183</v>
      </c>
      <c r="AP239" s="44">
        <v>0.72911242837965307</v>
      </c>
      <c r="AQ239" s="44">
        <v>0.83209999999999995</v>
      </c>
      <c r="AR239" s="44">
        <v>21.69</v>
      </c>
    </row>
    <row r="240" spans="1:44">
      <c r="A240" t="s">
        <v>1274</v>
      </c>
      <c r="B240" t="s">
        <v>1275</v>
      </c>
      <c r="D240" t="s">
        <v>1639</v>
      </c>
      <c r="E240" s="44">
        <v>474109</v>
      </c>
      <c r="F240" s="44">
        <v>9030670</v>
      </c>
      <c r="G240" s="44">
        <v>791607</v>
      </c>
      <c r="H240" s="126">
        <v>9822277</v>
      </c>
      <c r="I240" s="127">
        <v>3104890</v>
      </c>
      <c r="J240" s="128">
        <v>641170</v>
      </c>
      <c r="K240" s="130">
        <v>13568337</v>
      </c>
      <c r="L240" s="44">
        <v>63021</v>
      </c>
      <c r="M240" s="44">
        <v>414627</v>
      </c>
      <c r="N240" s="44">
        <v>3238490</v>
      </c>
      <c r="O240" s="44">
        <v>173302</v>
      </c>
      <c r="P240" s="44">
        <v>227795</v>
      </c>
      <c r="Q240" s="44">
        <v>1662617</v>
      </c>
      <c r="R240" s="44">
        <v>8073</v>
      </c>
      <c r="S240" s="44">
        <v>56904</v>
      </c>
      <c r="T240" s="44">
        <v>847462</v>
      </c>
      <c r="U240" s="44">
        <v>491409</v>
      </c>
      <c r="V240" s="44">
        <v>0</v>
      </c>
      <c r="W240" s="44">
        <v>962310</v>
      </c>
      <c r="X240" s="44">
        <v>350329</v>
      </c>
      <c r="Y240" s="44">
        <v>1994008</v>
      </c>
      <c r="Z240" s="44">
        <v>675012</v>
      </c>
      <c r="AA240" s="44">
        <v>301455</v>
      </c>
      <c r="AB240" s="44">
        <v>35001</v>
      </c>
      <c r="AC240" s="44">
        <v>11501815</v>
      </c>
      <c r="AD240" s="44">
        <v>707995</v>
      </c>
      <c r="AE240" s="44">
        <v>860000</v>
      </c>
      <c r="AF240" s="44">
        <v>448199</v>
      </c>
      <c r="AG240" s="44">
        <v>13518009</v>
      </c>
      <c r="AH240" s="44">
        <v>839</v>
      </c>
      <c r="AI240" s="44">
        <v>16172</v>
      </c>
      <c r="AJ240" s="44">
        <v>16112</v>
      </c>
      <c r="AK240" s="44">
        <v>163141</v>
      </c>
      <c r="AL240" s="44">
        <v>59683</v>
      </c>
      <c r="AM240" s="44">
        <v>0.45799999999999996</v>
      </c>
      <c r="AN240" s="44">
        <v>0.49608281811322952</v>
      </c>
      <c r="AO240" s="44">
        <v>0.17899999999999999</v>
      </c>
      <c r="AP240" s="44">
        <v>0.67508281811322957</v>
      </c>
      <c r="AQ240" s="44">
        <v>0.79269999999999996</v>
      </c>
      <c r="AR240" s="44">
        <v>16.36</v>
      </c>
    </row>
    <row r="241" spans="1:44">
      <c r="A241" t="s">
        <v>1276</v>
      </c>
      <c r="B241" t="s">
        <v>1277</v>
      </c>
      <c r="D241" t="s">
        <v>1639</v>
      </c>
      <c r="E241" s="44">
        <v>346495</v>
      </c>
      <c r="F241" s="44">
        <v>4002867</v>
      </c>
      <c r="G241" s="44">
        <v>804630</v>
      </c>
      <c r="H241" s="126">
        <v>4807497</v>
      </c>
      <c r="I241" s="127">
        <v>4677385</v>
      </c>
      <c r="J241" s="128">
        <v>525907</v>
      </c>
      <c r="K241" s="130">
        <v>10010789</v>
      </c>
      <c r="L241" s="44">
        <v>44523</v>
      </c>
      <c r="M241" s="44">
        <v>344344</v>
      </c>
      <c r="N241" s="44">
        <v>3362208</v>
      </c>
      <c r="O241" s="44">
        <v>93587</v>
      </c>
      <c r="P241" s="44">
        <v>202636</v>
      </c>
      <c r="Q241" s="44">
        <v>1057833</v>
      </c>
      <c r="R241" s="44">
        <v>0</v>
      </c>
      <c r="S241" s="44">
        <v>0</v>
      </c>
      <c r="T241" s="44">
        <v>650301</v>
      </c>
      <c r="U241" s="44">
        <v>427400</v>
      </c>
      <c r="V241" s="44">
        <v>0</v>
      </c>
      <c r="W241" s="44">
        <v>640604</v>
      </c>
      <c r="X241" s="44">
        <v>327922</v>
      </c>
      <c r="Y241" s="44">
        <v>1489268</v>
      </c>
      <c r="Z241" s="44">
        <v>527629</v>
      </c>
      <c r="AA241" s="44">
        <v>183078</v>
      </c>
      <c r="AB241" s="44">
        <v>153006</v>
      </c>
      <c r="AC241" s="44">
        <v>9504339</v>
      </c>
      <c r="AD241" s="44">
        <v>421853</v>
      </c>
      <c r="AE241" s="44">
        <v>282712</v>
      </c>
      <c r="AF241" s="44">
        <v>102443</v>
      </c>
      <c r="AG241" s="44">
        <v>10311347</v>
      </c>
      <c r="AH241" s="44">
        <v>652</v>
      </c>
      <c r="AI241" s="44">
        <v>15354</v>
      </c>
      <c r="AJ241" s="44">
        <v>15815</v>
      </c>
      <c r="AK241" s="44">
        <v>243909</v>
      </c>
      <c r="AL241" s="44">
        <v>95773</v>
      </c>
      <c r="AM241" s="44">
        <v>0.71199999999999997</v>
      </c>
      <c r="AN241" s="44">
        <v>0.56190185433581086</v>
      </c>
      <c r="AO241" s="44">
        <v>0.19900000000000001</v>
      </c>
      <c r="AP241" s="44">
        <v>0.76090185433581081</v>
      </c>
      <c r="AQ241" s="44">
        <v>0.83799999999999997</v>
      </c>
      <c r="AR241" s="44">
        <v>17.39</v>
      </c>
    </row>
    <row r="242" spans="1:44">
      <c r="A242" t="s">
        <v>1278</v>
      </c>
      <c r="B242" t="s">
        <v>1279</v>
      </c>
      <c r="D242" t="s">
        <v>1639</v>
      </c>
      <c r="E242" s="44">
        <v>1011166</v>
      </c>
      <c r="F242" s="44">
        <v>11731677</v>
      </c>
      <c r="G242" s="44">
        <v>2146628</v>
      </c>
      <c r="H242" s="126">
        <v>13878305</v>
      </c>
      <c r="I242" s="127">
        <v>8131922</v>
      </c>
      <c r="J242" s="128">
        <v>862799</v>
      </c>
      <c r="K242" s="130">
        <v>22873026</v>
      </c>
      <c r="L242" s="44">
        <v>88747</v>
      </c>
      <c r="M242" s="44">
        <v>393593</v>
      </c>
      <c r="N242" s="44">
        <v>6739895</v>
      </c>
      <c r="O242" s="44">
        <v>183843</v>
      </c>
      <c r="P242" s="44">
        <v>462835</v>
      </c>
      <c r="Q242" s="44">
        <v>2645125</v>
      </c>
      <c r="R242" s="44">
        <v>13077</v>
      </c>
      <c r="S242" s="44">
        <v>0</v>
      </c>
      <c r="T242" s="44">
        <v>1151549</v>
      </c>
      <c r="U242" s="44">
        <v>701788</v>
      </c>
      <c r="V242" s="44">
        <v>10000</v>
      </c>
      <c r="W242" s="44">
        <v>1259813</v>
      </c>
      <c r="X242" s="44">
        <v>638781</v>
      </c>
      <c r="Y242" s="44">
        <v>2605463</v>
      </c>
      <c r="Z242" s="44">
        <v>1062458</v>
      </c>
      <c r="AA242" s="44">
        <v>449626</v>
      </c>
      <c r="AB242" s="44">
        <v>120003</v>
      </c>
      <c r="AC242" s="44">
        <v>18526596</v>
      </c>
      <c r="AD242" s="44">
        <v>1235560</v>
      </c>
      <c r="AE242" s="44">
        <v>1164504</v>
      </c>
      <c r="AF242" s="44">
        <v>528748</v>
      </c>
      <c r="AG242" s="44">
        <v>21455408</v>
      </c>
      <c r="AH242" s="44">
        <v>1673</v>
      </c>
      <c r="AI242" s="44">
        <v>13672</v>
      </c>
      <c r="AJ242" s="44">
        <v>12825</v>
      </c>
      <c r="AK242" s="44">
        <v>177820</v>
      </c>
      <c r="AL242" s="44">
        <v>73057</v>
      </c>
      <c r="AM242" s="44">
        <v>0.53100000000000003</v>
      </c>
      <c r="AN242" s="44">
        <v>0.55455072213029</v>
      </c>
      <c r="AO242" s="44">
        <v>0.17199999999999999</v>
      </c>
      <c r="AP242" s="44">
        <v>0.72655072213029004</v>
      </c>
      <c r="AQ242" s="44">
        <v>0.84570000000000001</v>
      </c>
      <c r="AR242" s="44">
        <v>21.13</v>
      </c>
    </row>
    <row r="243" spans="1:44">
      <c r="A243" t="s">
        <v>1280</v>
      </c>
      <c r="B243" t="s">
        <v>1281</v>
      </c>
      <c r="D243" t="s">
        <v>1639</v>
      </c>
      <c r="E243" s="44">
        <v>459192</v>
      </c>
      <c r="F243" s="44">
        <v>5024643</v>
      </c>
      <c r="G243" s="44">
        <v>644163</v>
      </c>
      <c r="H243" s="126">
        <v>5668806</v>
      </c>
      <c r="I243" s="127">
        <v>2182785</v>
      </c>
      <c r="J243" s="128">
        <v>608208</v>
      </c>
      <c r="K243" s="130">
        <v>8459799</v>
      </c>
      <c r="L243" s="44">
        <v>75509</v>
      </c>
      <c r="M243" s="44">
        <v>250039</v>
      </c>
      <c r="N243" s="44">
        <v>2265115</v>
      </c>
      <c r="O243" s="44">
        <v>51207</v>
      </c>
      <c r="P243" s="44">
        <v>115570</v>
      </c>
      <c r="Q243" s="44">
        <v>1450241</v>
      </c>
      <c r="R243" s="44">
        <v>14740</v>
      </c>
      <c r="S243" s="44">
        <v>0</v>
      </c>
      <c r="T243" s="44">
        <v>201589</v>
      </c>
      <c r="U243" s="44">
        <v>309518</v>
      </c>
      <c r="V243" s="44">
        <v>1700</v>
      </c>
      <c r="W243" s="44">
        <v>427238</v>
      </c>
      <c r="X243" s="44">
        <v>200504</v>
      </c>
      <c r="Y243" s="44">
        <v>1221145</v>
      </c>
      <c r="Z243" s="44">
        <v>455493</v>
      </c>
      <c r="AA243" s="44">
        <v>141526</v>
      </c>
      <c r="AB243" s="44">
        <v>14</v>
      </c>
      <c r="AC243" s="44">
        <v>7181148</v>
      </c>
      <c r="AD243" s="44">
        <v>421061</v>
      </c>
      <c r="AE243" s="44">
        <v>581578</v>
      </c>
      <c r="AF243" s="44">
        <v>312951</v>
      </c>
      <c r="AG243" s="44">
        <v>8496738</v>
      </c>
      <c r="AH243" s="44">
        <v>520</v>
      </c>
      <c r="AI243" s="44">
        <v>16269</v>
      </c>
      <c r="AJ243" s="44">
        <v>16340</v>
      </c>
      <c r="AK243" s="44">
        <v>151615</v>
      </c>
      <c r="AL243" s="44">
        <v>70795</v>
      </c>
      <c r="AM243" s="44">
        <v>0.48799999999999999</v>
      </c>
      <c r="AN243" s="44">
        <v>0.51878497371579535</v>
      </c>
      <c r="AO243" s="44">
        <v>0.18</v>
      </c>
      <c r="AP243" s="44">
        <v>0.6987849737157954</v>
      </c>
      <c r="AQ243" s="44">
        <v>0.82650000000000001</v>
      </c>
      <c r="AR243" s="44">
        <v>19.670000000000002</v>
      </c>
    </row>
    <row r="244" spans="1:44">
      <c r="A244" t="s">
        <v>1282</v>
      </c>
      <c r="B244" t="s">
        <v>1283</v>
      </c>
      <c r="D244" t="s">
        <v>1639</v>
      </c>
      <c r="E244" s="44">
        <v>2318950</v>
      </c>
      <c r="F244" s="44">
        <v>19401396</v>
      </c>
      <c r="G244" s="44">
        <v>2711316</v>
      </c>
      <c r="H244" s="126">
        <v>22112712</v>
      </c>
      <c r="I244" s="127">
        <v>10668366</v>
      </c>
      <c r="J244" s="128">
        <v>1536590</v>
      </c>
      <c r="K244" s="130">
        <v>34317668</v>
      </c>
      <c r="L244" s="44">
        <v>90392</v>
      </c>
      <c r="M244" s="44">
        <v>550521</v>
      </c>
      <c r="N244" s="44">
        <v>11308466</v>
      </c>
      <c r="O244" s="44">
        <v>263065</v>
      </c>
      <c r="P244" s="44">
        <v>971941</v>
      </c>
      <c r="Q244" s="44">
        <v>3349562</v>
      </c>
      <c r="R244" s="44">
        <v>303256</v>
      </c>
      <c r="S244" s="44">
        <v>18373</v>
      </c>
      <c r="T244" s="44">
        <v>1849112</v>
      </c>
      <c r="U244" s="44">
        <v>1348622</v>
      </c>
      <c r="V244" s="44">
        <v>0</v>
      </c>
      <c r="W244" s="44">
        <v>2224473</v>
      </c>
      <c r="X244" s="44">
        <v>1134072</v>
      </c>
      <c r="Y244" s="44">
        <v>5037000</v>
      </c>
      <c r="Z244" s="44">
        <v>1802625</v>
      </c>
      <c r="AA244" s="44">
        <v>594440</v>
      </c>
      <c r="AB244" s="44">
        <v>875000</v>
      </c>
      <c r="AC244" s="44">
        <v>31720920</v>
      </c>
      <c r="AD244" s="44">
        <v>1313915</v>
      </c>
      <c r="AE244" s="44">
        <v>1331288</v>
      </c>
      <c r="AF244" s="44">
        <v>1018084</v>
      </c>
      <c r="AG244" s="44">
        <v>35384207</v>
      </c>
      <c r="AH244" s="44">
        <v>2574</v>
      </c>
      <c r="AI244" s="44">
        <v>13332</v>
      </c>
      <c r="AJ244" s="44">
        <v>13747</v>
      </c>
      <c r="AK244" s="44">
        <v>168824</v>
      </c>
      <c r="AL244" s="44">
        <v>67672</v>
      </c>
      <c r="AM244" s="44">
        <v>0.497</v>
      </c>
      <c r="AN244" s="44">
        <v>0.5486175513273478</v>
      </c>
      <c r="AO244" s="44">
        <v>0.19600000000000001</v>
      </c>
      <c r="AP244" s="44">
        <v>0.74461755132734786</v>
      </c>
      <c r="AQ244" s="44">
        <v>0.85229999999999995</v>
      </c>
      <c r="AR244" s="44">
        <v>18.23</v>
      </c>
    </row>
    <row r="245" spans="1:44">
      <c r="A245" t="s">
        <v>1284</v>
      </c>
      <c r="B245" t="s">
        <v>1285</v>
      </c>
      <c r="D245" t="s">
        <v>1639</v>
      </c>
      <c r="E245" s="44">
        <v>354299</v>
      </c>
      <c r="F245" s="44">
        <v>6133784</v>
      </c>
      <c r="G245" s="44">
        <v>592573</v>
      </c>
      <c r="H245" s="126">
        <v>6726357</v>
      </c>
      <c r="I245" s="127">
        <v>2325043</v>
      </c>
      <c r="J245" s="128">
        <v>410097</v>
      </c>
      <c r="K245" s="130">
        <v>9461497</v>
      </c>
      <c r="L245" s="44">
        <v>61692</v>
      </c>
      <c r="M245" s="44">
        <v>332003</v>
      </c>
      <c r="N245" s="44">
        <v>1966178</v>
      </c>
      <c r="O245" s="44">
        <v>39486</v>
      </c>
      <c r="P245" s="44">
        <v>93241</v>
      </c>
      <c r="Q245" s="44">
        <v>1584716</v>
      </c>
      <c r="R245" s="44">
        <v>0</v>
      </c>
      <c r="S245" s="44">
        <v>0</v>
      </c>
      <c r="T245" s="44">
        <v>353882</v>
      </c>
      <c r="U245" s="44">
        <v>309494</v>
      </c>
      <c r="V245" s="44">
        <v>0</v>
      </c>
      <c r="W245" s="44">
        <v>615391</v>
      </c>
      <c r="X245" s="44">
        <v>188640</v>
      </c>
      <c r="Y245" s="44">
        <v>1057213</v>
      </c>
      <c r="Z245" s="44">
        <v>381433</v>
      </c>
      <c r="AA245" s="44">
        <v>139301</v>
      </c>
      <c r="AB245" s="44">
        <v>152080</v>
      </c>
      <c r="AC245" s="44">
        <v>7274750</v>
      </c>
      <c r="AD245" s="44">
        <v>644091</v>
      </c>
      <c r="AE245" s="44">
        <v>685225</v>
      </c>
      <c r="AF245" s="44">
        <v>304079</v>
      </c>
      <c r="AG245" s="44">
        <v>8908145</v>
      </c>
      <c r="AH245" s="44">
        <v>561</v>
      </c>
      <c r="AI245" s="44">
        <v>16865</v>
      </c>
      <c r="AJ245" s="44">
        <v>15879</v>
      </c>
      <c r="AK245" s="44">
        <v>126063</v>
      </c>
      <c r="AL245" s="44">
        <v>49911</v>
      </c>
      <c r="AM245" s="44">
        <v>0.36799999999999999</v>
      </c>
      <c r="AN245" s="44">
        <v>0.48798004522827143</v>
      </c>
      <c r="AO245" s="44">
        <v>0.14499999999999999</v>
      </c>
      <c r="AP245" s="44">
        <v>0.63298004522827145</v>
      </c>
      <c r="AQ245" s="44">
        <v>0.79139999999999999</v>
      </c>
      <c r="AR245" s="44">
        <v>26.28</v>
      </c>
    </row>
    <row r="246" spans="1:44">
      <c r="A246" t="s">
        <v>1286</v>
      </c>
      <c r="B246" t="s">
        <v>1287</v>
      </c>
      <c r="D246" t="s">
        <v>1639</v>
      </c>
      <c r="E246" s="44">
        <v>1402971</v>
      </c>
      <c r="F246" s="44">
        <v>18759345</v>
      </c>
      <c r="G246" s="44">
        <v>3555116</v>
      </c>
      <c r="H246" s="126">
        <v>22314461</v>
      </c>
      <c r="I246" s="127">
        <v>11413041</v>
      </c>
      <c r="J246" s="128">
        <v>1278643</v>
      </c>
      <c r="K246" s="130">
        <v>35006145</v>
      </c>
      <c r="L246" s="44">
        <v>178686</v>
      </c>
      <c r="M246" s="44">
        <v>630377</v>
      </c>
      <c r="N246" s="44">
        <v>9631896</v>
      </c>
      <c r="O246" s="44">
        <v>730810</v>
      </c>
      <c r="P246" s="44">
        <v>763114</v>
      </c>
      <c r="Q246" s="44">
        <v>1553087</v>
      </c>
      <c r="R246" s="44">
        <v>24098</v>
      </c>
      <c r="S246" s="44">
        <v>85824</v>
      </c>
      <c r="T246" s="44">
        <v>1790819</v>
      </c>
      <c r="U246" s="44">
        <v>1162106</v>
      </c>
      <c r="V246" s="44">
        <v>0</v>
      </c>
      <c r="W246" s="44">
        <v>2787393</v>
      </c>
      <c r="X246" s="44">
        <v>1014573</v>
      </c>
      <c r="Y246" s="44">
        <v>4489513</v>
      </c>
      <c r="Z246" s="44">
        <v>1924443</v>
      </c>
      <c r="AA246" s="44">
        <v>278313</v>
      </c>
      <c r="AB246" s="44">
        <v>0</v>
      </c>
      <c r="AC246" s="44">
        <v>27045052</v>
      </c>
      <c r="AD246" s="44">
        <v>1924709</v>
      </c>
      <c r="AE246" s="44">
        <v>2674411</v>
      </c>
      <c r="AF246" s="44">
        <v>1786828</v>
      </c>
      <c r="AG246" s="44">
        <v>33431000</v>
      </c>
      <c r="AH246" s="44">
        <v>2336</v>
      </c>
      <c r="AI246" s="44">
        <v>14986</v>
      </c>
      <c r="AJ246" s="44">
        <v>14311</v>
      </c>
      <c r="AK246" s="44">
        <v>168361</v>
      </c>
      <c r="AL246" s="44">
        <v>80216</v>
      </c>
      <c r="AM246" s="44">
        <v>0.54900000000000004</v>
      </c>
      <c r="AN246" s="44">
        <v>0.47087296222069336</v>
      </c>
      <c r="AO246" s="44">
        <v>0.17699999999999999</v>
      </c>
      <c r="AP246" s="44">
        <v>0.64787296222069335</v>
      </c>
      <c r="AQ246" s="44">
        <v>0.80100000000000005</v>
      </c>
      <c r="AR246" s="44">
        <v>19.64</v>
      </c>
    </row>
    <row r="247" spans="1:44">
      <c r="A247" t="s">
        <v>2085</v>
      </c>
      <c r="B247" t="s">
        <v>1288</v>
      </c>
      <c r="D247" t="s">
        <v>1639</v>
      </c>
      <c r="E247" s="44">
        <v>2555922</v>
      </c>
      <c r="F247" s="44">
        <v>10416428</v>
      </c>
      <c r="G247" s="44">
        <v>5358467</v>
      </c>
      <c r="H247" s="126">
        <v>15774895</v>
      </c>
      <c r="I247" s="127">
        <v>41072012</v>
      </c>
      <c r="J247" s="128">
        <v>1176811</v>
      </c>
      <c r="K247" s="130">
        <v>58023718</v>
      </c>
      <c r="L247" s="44">
        <v>200938</v>
      </c>
      <c r="M247" s="44">
        <v>1206365</v>
      </c>
      <c r="N247" s="44">
        <v>17257700</v>
      </c>
      <c r="O247" s="44">
        <v>2006845</v>
      </c>
      <c r="P247" s="44">
        <v>1470707</v>
      </c>
      <c r="Q247" s="44">
        <v>4518975</v>
      </c>
      <c r="R247" s="44">
        <v>237065</v>
      </c>
      <c r="S247" s="44">
        <v>469078</v>
      </c>
      <c r="T247" s="44">
        <v>4205240</v>
      </c>
      <c r="U247" s="44">
        <v>2289875</v>
      </c>
      <c r="V247" s="44">
        <v>0</v>
      </c>
      <c r="W247" s="44">
        <v>3698458</v>
      </c>
      <c r="X247" s="44">
        <v>1976529</v>
      </c>
      <c r="Y247" s="44">
        <v>6485578</v>
      </c>
      <c r="Z247" s="44">
        <v>2716404</v>
      </c>
      <c r="AA247" s="44">
        <v>996788</v>
      </c>
      <c r="AB247" s="44">
        <v>1287600</v>
      </c>
      <c r="AC247" s="44">
        <v>51024145</v>
      </c>
      <c r="AD247" s="44">
        <v>2604460</v>
      </c>
      <c r="AE247" s="44">
        <v>1655000</v>
      </c>
      <c r="AF247" s="44">
        <v>895075</v>
      </c>
      <c r="AG247" s="44">
        <v>56178680</v>
      </c>
      <c r="AH247" s="44">
        <v>3545</v>
      </c>
      <c r="AI247" s="44">
        <v>16368</v>
      </c>
      <c r="AJ247" s="44">
        <v>15847</v>
      </c>
      <c r="AK247" s="44">
        <v>351363</v>
      </c>
      <c r="AL247" s="44">
        <v>234846</v>
      </c>
      <c r="AM247" s="44">
        <v>1.423</v>
      </c>
      <c r="AN247" s="44">
        <v>0.57771889620760042</v>
      </c>
      <c r="AO247" s="44">
        <v>0.17899999999999999</v>
      </c>
      <c r="AP247" s="44">
        <v>0.75671889620760036</v>
      </c>
      <c r="AQ247" s="44">
        <v>0.85440000000000005</v>
      </c>
      <c r="AR247" s="44">
        <v>25.48</v>
      </c>
    </row>
    <row r="248" spans="1:44">
      <c r="A248" t="s">
        <v>2087</v>
      </c>
      <c r="B248" t="s">
        <v>1289</v>
      </c>
      <c r="D248" t="s">
        <v>1639</v>
      </c>
      <c r="E248" s="44">
        <v>3619993</v>
      </c>
      <c r="F248" s="44">
        <v>24588649</v>
      </c>
      <c r="G248" s="44">
        <v>9388167</v>
      </c>
      <c r="H248" s="126">
        <v>33976816</v>
      </c>
      <c r="I248" s="127">
        <v>40461099</v>
      </c>
      <c r="J248" s="128">
        <v>1861450</v>
      </c>
      <c r="K248" s="130">
        <v>76299365</v>
      </c>
      <c r="L248" s="44">
        <v>272333</v>
      </c>
      <c r="M248" s="44">
        <v>1213272</v>
      </c>
      <c r="N248" s="44">
        <v>22557910</v>
      </c>
      <c r="O248" s="44">
        <v>1854661</v>
      </c>
      <c r="P248" s="44">
        <v>1923642</v>
      </c>
      <c r="Q248" s="44">
        <v>8371419</v>
      </c>
      <c r="R248" s="44">
        <v>48327</v>
      </c>
      <c r="S248" s="44">
        <v>907526</v>
      </c>
      <c r="T248" s="44">
        <v>4537511</v>
      </c>
      <c r="U248" s="44">
        <v>2745981</v>
      </c>
      <c r="V248" s="44">
        <v>78075</v>
      </c>
      <c r="W248" s="44">
        <v>4765267</v>
      </c>
      <c r="X248" s="44">
        <v>2338888</v>
      </c>
      <c r="Y248" s="44">
        <v>8589548</v>
      </c>
      <c r="Z248" s="44">
        <v>4404558</v>
      </c>
      <c r="AA248" s="44">
        <v>1356683</v>
      </c>
      <c r="AB248" s="44">
        <v>0</v>
      </c>
      <c r="AC248" s="44">
        <v>65965601</v>
      </c>
      <c r="AD248" s="44">
        <v>3269152</v>
      </c>
      <c r="AE248" s="44">
        <v>1074559</v>
      </c>
      <c r="AF248" s="44">
        <v>1698380</v>
      </c>
      <c r="AG248" s="44">
        <v>72007692</v>
      </c>
      <c r="AH248" s="44">
        <v>4955</v>
      </c>
      <c r="AI248" s="44">
        <v>15398</v>
      </c>
      <c r="AJ248" s="44">
        <v>14532</v>
      </c>
      <c r="AK248" s="44">
        <v>241637</v>
      </c>
      <c r="AL248" s="44">
        <v>99220</v>
      </c>
      <c r="AM248" s="44">
        <v>0.72299999999999998</v>
      </c>
      <c r="AN248" s="44">
        <v>0.59642207390843749</v>
      </c>
      <c r="AO248" s="44">
        <v>0.17799999999999999</v>
      </c>
      <c r="AP248" s="44">
        <v>0.77442207390843754</v>
      </c>
      <c r="AQ248" s="44">
        <v>0.84470000000000001</v>
      </c>
      <c r="AR248" s="44">
        <v>24.99</v>
      </c>
    </row>
    <row r="249" spans="1:44">
      <c r="A249" t="s">
        <v>2069</v>
      </c>
      <c r="B249" t="s">
        <v>1290</v>
      </c>
      <c r="D249" t="s">
        <v>1639</v>
      </c>
      <c r="E249" s="44">
        <v>9753157</v>
      </c>
      <c r="F249" s="44">
        <v>72491099</v>
      </c>
      <c r="G249" s="44">
        <v>19814907</v>
      </c>
      <c r="H249" s="126">
        <v>92306006</v>
      </c>
      <c r="I249" s="127">
        <v>88852506</v>
      </c>
      <c r="J249" s="128">
        <v>8678016</v>
      </c>
      <c r="K249" s="130">
        <v>189836528</v>
      </c>
      <c r="L249" s="44">
        <v>939396</v>
      </c>
      <c r="M249" s="44">
        <v>2489611</v>
      </c>
      <c r="N249" s="44">
        <v>65388332</v>
      </c>
      <c r="O249" s="44">
        <v>3936511</v>
      </c>
      <c r="P249" s="44">
        <v>4828943</v>
      </c>
      <c r="Q249" s="44">
        <v>7036282</v>
      </c>
      <c r="R249" s="44">
        <v>134691</v>
      </c>
      <c r="S249" s="44">
        <v>1921405</v>
      </c>
      <c r="T249" s="44">
        <v>12083518</v>
      </c>
      <c r="U249" s="44">
        <v>7309306</v>
      </c>
      <c r="V249" s="44">
        <v>74243</v>
      </c>
      <c r="W249" s="44">
        <v>13357967</v>
      </c>
      <c r="X249" s="44">
        <v>6096156</v>
      </c>
      <c r="Y249" s="44">
        <v>14010429</v>
      </c>
      <c r="Z249" s="44">
        <v>13325819</v>
      </c>
      <c r="AA249" s="44">
        <v>5966236</v>
      </c>
      <c r="AB249" s="44">
        <v>2687080</v>
      </c>
      <c r="AC249" s="44">
        <v>161585925</v>
      </c>
      <c r="AD249" s="44">
        <v>10425793</v>
      </c>
      <c r="AE249" s="44">
        <v>8572829</v>
      </c>
      <c r="AF249" s="44">
        <v>6186180</v>
      </c>
      <c r="AG249" s="44">
        <v>186770727</v>
      </c>
      <c r="AH249" s="44">
        <v>13284</v>
      </c>
      <c r="AI249" s="44">
        <v>14291</v>
      </c>
      <c r="AJ249" s="44">
        <v>14060</v>
      </c>
      <c r="AK249" s="44">
        <v>228043</v>
      </c>
      <c r="AL249" s="44">
        <v>98575</v>
      </c>
      <c r="AM249" s="44">
        <v>0.70199999999999996</v>
      </c>
      <c r="AN249" s="44">
        <v>0.54954536853090474</v>
      </c>
      <c r="AO249" s="44">
        <v>0.151</v>
      </c>
      <c r="AP249" s="44">
        <v>0.70054536853090477</v>
      </c>
      <c r="AQ249" s="44">
        <v>0.82379999999999998</v>
      </c>
      <c r="AR249" s="44">
        <v>22.66</v>
      </c>
    </row>
    <row r="250" spans="1:44">
      <c r="A250" t="s">
        <v>2071</v>
      </c>
      <c r="B250" t="s">
        <v>1291</v>
      </c>
      <c r="D250" t="s">
        <v>1639</v>
      </c>
      <c r="E250" s="44">
        <v>2348252</v>
      </c>
      <c r="F250" s="44">
        <v>18254808</v>
      </c>
      <c r="G250" s="44">
        <v>9365639</v>
      </c>
      <c r="H250" s="126">
        <v>27620447</v>
      </c>
      <c r="I250" s="127">
        <v>28704750</v>
      </c>
      <c r="J250" s="128">
        <v>2128724</v>
      </c>
      <c r="K250" s="130">
        <v>58453921</v>
      </c>
      <c r="L250" s="44">
        <v>165932</v>
      </c>
      <c r="M250" s="44">
        <v>1365286</v>
      </c>
      <c r="N250" s="44">
        <v>12984672</v>
      </c>
      <c r="O250" s="44">
        <v>1346636</v>
      </c>
      <c r="P250" s="44">
        <v>1824610</v>
      </c>
      <c r="Q250" s="44">
        <v>6182764</v>
      </c>
      <c r="R250" s="44">
        <v>40346</v>
      </c>
      <c r="S250" s="44">
        <v>774256</v>
      </c>
      <c r="T250" s="44">
        <v>3226844</v>
      </c>
      <c r="U250" s="44">
        <v>2191059</v>
      </c>
      <c r="V250" s="44">
        <v>0</v>
      </c>
      <c r="W250" s="44">
        <v>3750969</v>
      </c>
      <c r="X250" s="44">
        <v>1412428</v>
      </c>
      <c r="Y250" s="44">
        <v>5253680</v>
      </c>
      <c r="Z250" s="44">
        <v>2487511</v>
      </c>
      <c r="AA250" s="44">
        <v>2236119</v>
      </c>
      <c r="AB250" s="44">
        <v>35898</v>
      </c>
      <c r="AC250" s="44">
        <v>45279010</v>
      </c>
      <c r="AD250" s="44">
        <v>3287900</v>
      </c>
      <c r="AE250" s="44">
        <v>1972634</v>
      </c>
      <c r="AF250" s="44">
        <v>1803016</v>
      </c>
      <c r="AG250" s="44">
        <v>52342560</v>
      </c>
      <c r="AH250" s="44">
        <v>3520</v>
      </c>
      <c r="AI250" s="44">
        <v>16606</v>
      </c>
      <c r="AJ250" s="44">
        <v>14870</v>
      </c>
      <c r="AK250" s="44">
        <v>283824</v>
      </c>
      <c r="AL250" s="44">
        <v>107176</v>
      </c>
      <c r="AM250" s="44">
        <v>0.81</v>
      </c>
      <c r="AN250" s="44">
        <v>0.54585001192146509</v>
      </c>
      <c r="AO250" s="44">
        <v>0.153</v>
      </c>
      <c r="AP250" s="44">
        <v>0.69885001192146512</v>
      </c>
      <c r="AQ250" s="44">
        <v>0.80759999999999998</v>
      </c>
      <c r="AR250" s="44">
        <v>25.48</v>
      </c>
    </row>
    <row r="251" spans="1:44">
      <c r="A251" t="s">
        <v>2073</v>
      </c>
      <c r="B251" t="s">
        <v>1292</v>
      </c>
      <c r="D251" t="s">
        <v>1639</v>
      </c>
      <c r="E251" s="44">
        <v>3481997</v>
      </c>
      <c r="F251" s="44">
        <v>21063560</v>
      </c>
      <c r="G251" s="44">
        <v>8601633</v>
      </c>
      <c r="H251" s="126">
        <v>29665193</v>
      </c>
      <c r="I251" s="127">
        <v>28242929</v>
      </c>
      <c r="J251" s="128">
        <v>1040190</v>
      </c>
      <c r="K251" s="130">
        <v>58948312</v>
      </c>
      <c r="L251" s="44">
        <v>132119</v>
      </c>
      <c r="M251" s="44">
        <v>1127090</v>
      </c>
      <c r="N251" s="44">
        <v>14345017</v>
      </c>
      <c r="O251" s="44">
        <v>1698738</v>
      </c>
      <c r="P251" s="44">
        <v>1545063</v>
      </c>
      <c r="Q251" s="44">
        <v>3367638</v>
      </c>
      <c r="R251" s="44">
        <v>564056</v>
      </c>
      <c r="S251" s="44">
        <v>236394</v>
      </c>
      <c r="T251" s="44">
        <v>4932000</v>
      </c>
      <c r="U251" s="44">
        <v>2883658</v>
      </c>
      <c r="V251" s="44">
        <v>0</v>
      </c>
      <c r="W251" s="44">
        <v>5517161</v>
      </c>
      <c r="X251" s="44">
        <v>1767592</v>
      </c>
      <c r="Y251" s="44">
        <v>5697649</v>
      </c>
      <c r="Z251" s="44">
        <v>3071018</v>
      </c>
      <c r="AA251" s="44">
        <v>1548286</v>
      </c>
      <c r="AB251" s="44">
        <v>465000</v>
      </c>
      <c r="AC251" s="44">
        <v>48898479</v>
      </c>
      <c r="AD251" s="44">
        <v>2365133</v>
      </c>
      <c r="AE251" s="44">
        <v>2775331</v>
      </c>
      <c r="AF251" s="44">
        <v>2008465</v>
      </c>
      <c r="AG251" s="44">
        <v>56047408</v>
      </c>
      <c r="AH251" s="44">
        <v>3971</v>
      </c>
      <c r="AI251" s="44">
        <v>14845</v>
      </c>
      <c r="AJ251" s="44">
        <v>14114</v>
      </c>
      <c r="AK251" s="44">
        <v>225030</v>
      </c>
      <c r="AL251" s="44">
        <v>103392</v>
      </c>
      <c r="AM251" s="44">
        <v>0.71799999999999997</v>
      </c>
      <c r="AN251" s="44">
        <v>0.52763481943714508</v>
      </c>
      <c r="AO251" s="44">
        <v>0.16400000000000001</v>
      </c>
      <c r="AP251" s="44">
        <v>0.69163481943714511</v>
      </c>
      <c r="AQ251" s="44">
        <v>0.79679999999999995</v>
      </c>
      <c r="AR251" s="44">
        <v>25.5</v>
      </c>
    </row>
    <row r="252" spans="1:44">
      <c r="A252" t="s">
        <v>1293</v>
      </c>
      <c r="B252" t="s">
        <v>1294</v>
      </c>
      <c r="D252" t="s">
        <v>1639</v>
      </c>
      <c r="E252" s="44">
        <v>1617981</v>
      </c>
      <c r="F252" s="44">
        <v>11960799</v>
      </c>
      <c r="G252" s="44">
        <v>3039745</v>
      </c>
      <c r="H252" s="126">
        <v>15000544</v>
      </c>
      <c r="I252" s="127">
        <v>21218814</v>
      </c>
      <c r="J252" s="128">
        <v>721402</v>
      </c>
      <c r="K252" s="130">
        <v>36940760</v>
      </c>
      <c r="L252" s="44">
        <v>113757</v>
      </c>
      <c r="M252" s="44">
        <v>878418</v>
      </c>
      <c r="N252" s="44">
        <v>11242794</v>
      </c>
      <c r="O252" s="44">
        <v>441503</v>
      </c>
      <c r="P252" s="44">
        <v>912410</v>
      </c>
      <c r="Q252" s="44">
        <v>2664059</v>
      </c>
      <c r="R252" s="44">
        <v>30955</v>
      </c>
      <c r="S252" s="44">
        <v>226005</v>
      </c>
      <c r="T252" s="44">
        <v>2398775</v>
      </c>
      <c r="U252" s="44">
        <v>1799630</v>
      </c>
      <c r="V252" s="44">
        <v>172305</v>
      </c>
      <c r="W252" s="44">
        <v>2392309</v>
      </c>
      <c r="X252" s="44">
        <v>1106925</v>
      </c>
      <c r="Y252" s="44">
        <v>4258617</v>
      </c>
      <c r="Z252" s="44">
        <v>1877134</v>
      </c>
      <c r="AA252" s="44">
        <v>482607</v>
      </c>
      <c r="AB252" s="44">
        <v>986181</v>
      </c>
      <c r="AC252" s="44">
        <v>31984384</v>
      </c>
      <c r="AD252" s="44">
        <v>1499704</v>
      </c>
      <c r="AE252" s="44">
        <v>1941648</v>
      </c>
      <c r="AF252" s="44">
        <v>996051</v>
      </c>
      <c r="AG252" s="44">
        <v>36421787</v>
      </c>
      <c r="AH252" s="44">
        <v>2704</v>
      </c>
      <c r="AI252" s="44">
        <v>13662</v>
      </c>
      <c r="AJ252" s="44">
        <v>13470</v>
      </c>
      <c r="AK252" s="44">
        <v>267666</v>
      </c>
      <c r="AL252" s="44">
        <v>116941</v>
      </c>
      <c r="AM252" s="44">
        <v>0.83</v>
      </c>
      <c r="AN252" s="44">
        <v>0.54132794198153977</v>
      </c>
      <c r="AO252" s="44">
        <v>0.16800000000000001</v>
      </c>
      <c r="AP252" s="44">
        <v>0.70932794198153981</v>
      </c>
      <c r="AQ252" s="44">
        <v>0.83320000000000005</v>
      </c>
      <c r="AR252" s="44">
        <v>21.95</v>
      </c>
    </row>
    <row r="253" spans="1:44">
      <c r="A253" t="s">
        <v>1295</v>
      </c>
      <c r="B253" t="s">
        <v>1296</v>
      </c>
      <c r="D253" t="s">
        <v>1639</v>
      </c>
      <c r="E253" s="44">
        <v>1908985</v>
      </c>
      <c r="F253" s="44">
        <v>25505193</v>
      </c>
      <c r="G253" s="44">
        <v>5797847</v>
      </c>
      <c r="H253" s="126">
        <v>31303040</v>
      </c>
      <c r="I253" s="127">
        <v>30188519</v>
      </c>
      <c r="J253" s="128">
        <v>1467491</v>
      </c>
      <c r="K253" s="130">
        <v>62959050</v>
      </c>
      <c r="L253" s="44">
        <v>144775</v>
      </c>
      <c r="M253" s="44">
        <v>996645</v>
      </c>
      <c r="N253" s="44">
        <v>19254223</v>
      </c>
      <c r="O253" s="44">
        <v>920662</v>
      </c>
      <c r="P253" s="44">
        <v>1540099</v>
      </c>
      <c r="Q253" s="44">
        <v>5332284</v>
      </c>
      <c r="R253" s="44">
        <v>0</v>
      </c>
      <c r="S253" s="44">
        <v>867389</v>
      </c>
      <c r="T253" s="44">
        <v>3777593</v>
      </c>
      <c r="U253" s="44">
        <v>2232915</v>
      </c>
      <c r="V253" s="44">
        <v>0</v>
      </c>
      <c r="W253" s="44">
        <v>3887452</v>
      </c>
      <c r="X253" s="44">
        <v>1830132</v>
      </c>
      <c r="Y253" s="44">
        <v>6645353</v>
      </c>
      <c r="Z253" s="44">
        <v>3417822</v>
      </c>
      <c r="AA253" s="44">
        <v>965774</v>
      </c>
      <c r="AB253" s="44">
        <v>1864000</v>
      </c>
      <c r="AC253" s="44">
        <v>53677118</v>
      </c>
      <c r="AD253" s="44">
        <v>3140388</v>
      </c>
      <c r="AE253" s="44">
        <v>3076000</v>
      </c>
      <c r="AF253" s="44">
        <v>2266689</v>
      </c>
      <c r="AG253" s="44">
        <v>62160195</v>
      </c>
      <c r="AH253" s="44">
        <v>4365</v>
      </c>
      <c r="AI253" s="44">
        <v>14424</v>
      </c>
      <c r="AJ253" s="44">
        <v>14241</v>
      </c>
      <c r="AK253" s="44">
        <v>205059</v>
      </c>
      <c r="AL253" s="44">
        <v>90207</v>
      </c>
      <c r="AM253" s="44">
        <v>0.63800000000000001</v>
      </c>
      <c r="AN253" s="44">
        <v>0.54576992559305837</v>
      </c>
      <c r="AO253" s="44">
        <v>0.16300000000000001</v>
      </c>
      <c r="AP253" s="44">
        <v>0.7087699255930584</v>
      </c>
      <c r="AQ253" s="44">
        <v>0.85</v>
      </c>
      <c r="AR253" s="44">
        <v>25.61</v>
      </c>
    </row>
    <row r="254" spans="1:44">
      <c r="A254" t="s">
        <v>2075</v>
      </c>
      <c r="B254" t="s">
        <v>1297</v>
      </c>
      <c r="D254" t="s">
        <v>1639</v>
      </c>
      <c r="E254" s="44">
        <v>2221200</v>
      </c>
      <c r="F254" s="44">
        <v>27581057</v>
      </c>
      <c r="G254" s="44">
        <v>6061519</v>
      </c>
      <c r="H254" s="126">
        <v>33642576</v>
      </c>
      <c r="I254" s="127">
        <v>28478393</v>
      </c>
      <c r="J254" s="128">
        <v>1474976</v>
      </c>
      <c r="K254" s="130">
        <v>63595945</v>
      </c>
      <c r="L254" s="44">
        <v>312038</v>
      </c>
      <c r="M254" s="44">
        <v>985994</v>
      </c>
      <c r="N254" s="44">
        <v>20020390</v>
      </c>
      <c r="O254" s="44">
        <v>689243</v>
      </c>
      <c r="P254" s="44">
        <v>1910509</v>
      </c>
      <c r="Q254" s="44">
        <v>3711310</v>
      </c>
      <c r="R254" s="44">
        <v>137691</v>
      </c>
      <c r="S254" s="44">
        <v>732520</v>
      </c>
      <c r="T254" s="44">
        <v>4431620</v>
      </c>
      <c r="U254" s="44">
        <v>2191809</v>
      </c>
      <c r="V254" s="44">
        <v>0</v>
      </c>
      <c r="W254" s="44">
        <v>3755060</v>
      </c>
      <c r="X254" s="44">
        <v>2616144</v>
      </c>
      <c r="Y254" s="44">
        <v>5990407</v>
      </c>
      <c r="Z254" s="44">
        <v>3924047</v>
      </c>
      <c r="AA254" s="44">
        <v>892134</v>
      </c>
      <c r="AB254" s="44">
        <v>0</v>
      </c>
      <c r="AC254" s="44">
        <v>52300916</v>
      </c>
      <c r="AD254" s="44">
        <v>2762073</v>
      </c>
      <c r="AE254" s="44">
        <v>4447493</v>
      </c>
      <c r="AF254" s="44">
        <v>2339184</v>
      </c>
      <c r="AG254" s="44">
        <v>61849666</v>
      </c>
      <c r="AH254" s="44">
        <v>4500</v>
      </c>
      <c r="AI254" s="44">
        <v>14132</v>
      </c>
      <c r="AJ254" s="44">
        <v>13744</v>
      </c>
      <c r="AK254" s="44">
        <v>202229</v>
      </c>
      <c r="AL254" s="44">
        <v>95228</v>
      </c>
      <c r="AM254" s="44">
        <v>0.65400000000000003</v>
      </c>
      <c r="AN254" s="44">
        <v>0.54689207214150515</v>
      </c>
      <c r="AO254" s="44">
        <v>0.17100000000000001</v>
      </c>
      <c r="AP254" s="44">
        <v>0.71789207214150519</v>
      </c>
      <c r="AQ254" s="44">
        <v>0.84850000000000003</v>
      </c>
      <c r="AR254" s="44">
        <v>23.44</v>
      </c>
    </row>
    <row r="255" spans="1:44">
      <c r="A255" t="s">
        <v>2089</v>
      </c>
      <c r="B255" t="s">
        <v>1298</v>
      </c>
      <c r="D255" t="s">
        <v>1639</v>
      </c>
      <c r="E255" s="44">
        <v>2613087</v>
      </c>
      <c r="F255" s="44">
        <v>18181110</v>
      </c>
      <c r="G255" s="44">
        <v>8444278</v>
      </c>
      <c r="H255" s="126">
        <v>26625388</v>
      </c>
      <c r="I255" s="127">
        <v>49495165</v>
      </c>
      <c r="J255" s="128">
        <v>1694818</v>
      </c>
      <c r="K255" s="130">
        <v>77815371</v>
      </c>
      <c r="L255" s="44">
        <v>314608</v>
      </c>
      <c r="M255" s="44">
        <v>1992096</v>
      </c>
      <c r="N255" s="44">
        <v>25166181</v>
      </c>
      <c r="O255" s="44">
        <v>1979984</v>
      </c>
      <c r="P255" s="44">
        <v>1997117</v>
      </c>
      <c r="Q255" s="44">
        <v>3597697</v>
      </c>
      <c r="R255" s="44">
        <v>905935</v>
      </c>
      <c r="S255" s="44">
        <v>0</v>
      </c>
      <c r="T255" s="44">
        <v>4189198</v>
      </c>
      <c r="U255" s="44">
        <v>3065870</v>
      </c>
      <c r="V255" s="44">
        <v>0</v>
      </c>
      <c r="W255" s="44">
        <v>4924146</v>
      </c>
      <c r="X255" s="44">
        <v>2589277</v>
      </c>
      <c r="Y255" s="44">
        <v>8799835</v>
      </c>
      <c r="Z255" s="44">
        <v>4462768</v>
      </c>
      <c r="AA255" s="44">
        <v>868406</v>
      </c>
      <c r="AB255" s="44">
        <v>14017459</v>
      </c>
      <c r="AC255" s="44">
        <v>78870577</v>
      </c>
      <c r="AD255" s="44">
        <v>2476472</v>
      </c>
      <c r="AE255" s="44">
        <v>1300000</v>
      </c>
      <c r="AF255" s="44">
        <v>273713</v>
      </c>
      <c r="AG255" s="44">
        <v>82920762</v>
      </c>
      <c r="AH255" s="44">
        <v>4676</v>
      </c>
      <c r="AI255" s="44">
        <v>16641</v>
      </c>
      <c r="AJ255" s="44">
        <v>17733</v>
      </c>
      <c r="AK255" s="44">
        <v>300293</v>
      </c>
      <c r="AL255" s="44">
        <v>147207</v>
      </c>
      <c r="AM255" s="44">
        <v>0.996</v>
      </c>
      <c r="AN255" s="44">
        <v>0.49326587230348895</v>
      </c>
      <c r="AO255" s="44">
        <v>0.16600000000000001</v>
      </c>
      <c r="AP255" s="44">
        <v>0.65926587230348899</v>
      </c>
      <c r="AQ255" s="44">
        <v>0.83950000000000002</v>
      </c>
      <c r="AR255" s="44">
        <v>25.52</v>
      </c>
    </row>
    <row r="256" spans="1:44">
      <c r="A256" t="s">
        <v>2091</v>
      </c>
      <c r="B256" t="s">
        <v>1299</v>
      </c>
      <c r="D256" t="s">
        <v>1639</v>
      </c>
      <c r="E256" s="44">
        <v>3563865</v>
      </c>
      <c r="F256" s="44">
        <v>30227185</v>
      </c>
      <c r="G256" s="44">
        <v>9770033</v>
      </c>
      <c r="H256" s="126">
        <v>39997218</v>
      </c>
      <c r="I256" s="127">
        <v>58618657</v>
      </c>
      <c r="J256" s="128">
        <v>2006622</v>
      </c>
      <c r="K256" s="130">
        <v>100622497</v>
      </c>
      <c r="L256" s="44">
        <v>214275</v>
      </c>
      <c r="M256" s="44">
        <v>1269473</v>
      </c>
      <c r="N256" s="44">
        <v>31330628</v>
      </c>
      <c r="O256" s="44">
        <v>2012371</v>
      </c>
      <c r="P256" s="44">
        <v>2314535</v>
      </c>
      <c r="Q256" s="44">
        <v>8718116</v>
      </c>
      <c r="R256" s="44">
        <v>0</v>
      </c>
      <c r="S256" s="44">
        <v>1052854</v>
      </c>
      <c r="T256" s="44">
        <v>5727626</v>
      </c>
      <c r="U256" s="44">
        <v>3657548</v>
      </c>
      <c r="V256" s="44">
        <v>9524</v>
      </c>
      <c r="W256" s="44">
        <v>4783990</v>
      </c>
      <c r="X256" s="44">
        <v>3012156</v>
      </c>
      <c r="Y256" s="44">
        <v>10846252</v>
      </c>
      <c r="Z256" s="44">
        <v>5275733</v>
      </c>
      <c r="AA256" s="44">
        <v>3207040</v>
      </c>
      <c r="AB256" s="44">
        <v>775000</v>
      </c>
      <c r="AC256" s="44">
        <v>84207121</v>
      </c>
      <c r="AD256" s="44">
        <v>3990397</v>
      </c>
      <c r="AE256" s="44">
        <v>2320000</v>
      </c>
      <c r="AF256" s="44">
        <v>1017784</v>
      </c>
      <c r="AG256" s="44">
        <v>91535302</v>
      </c>
      <c r="AH256" s="44">
        <v>6954</v>
      </c>
      <c r="AI256" s="44">
        <v>14470</v>
      </c>
      <c r="AJ256" s="44">
        <v>13163</v>
      </c>
      <c r="AK256" s="44">
        <v>278094</v>
      </c>
      <c r="AL256" s="44">
        <v>127671</v>
      </c>
      <c r="AM256" s="44">
        <v>0.88700000000000001</v>
      </c>
      <c r="AN256" s="44">
        <v>0.59882555475700516</v>
      </c>
      <c r="AO256" s="44">
        <v>0.18</v>
      </c>
      <c r="AP256" s="44">
        <v>0.7788255547570051</v>
      </c>
      <c r="AQ256" s="44">
        <v>0.85489999999999999</v>
      </c>
      <c r="AR256" s="44">
        <v>23.47</v>
      </c>
    </row>
    <row r="257" spans="1:44">
      <c r="A257" t="s">
        <v>2077</v>
      </c>
      <c r="B257" t="s">
        <v>1300</v>
      </c>
      <c r="D257" t="s">
        <v>1639</v>
      </c>
      <c r="E257" s="44">
        <v>1134190</v>
      </c>
      <c r="F257" s="44">
        <v>8949832</v>
      </c>
      <c r="G257" s="44">
        <v>2285903</v>
      </c>
      <c r="H257" s="126">
        <v>11235735</v>
      </c>
      <c r="I257" s="127">
        <v>12171379</v>
      </c>
      <c r="J257" s="128">
        <v>695470</v>
      </c>
      <c r="K257" s="130">
        <v>24102584</v>
      </c>
      <c r="L257" s="44">
        <v>145464</v>
      </c>
      <c r="M257" s="44">
        <v>918446</v>
      </c>
      <c r="N257" s="44">
        <v>5324113</v>
      </c>
      <c r="O257" s="44">
        <v>426156</v>
      </c>
      <c r="P257" s="44">
        <v>490823</v>
      </c>
      <c r="Q257" s="44">
        <v>3291660</v>
      </c>
      <c r="R257" s="44">
        <v>0</v>
      </c>
      <c r="S257" s="44">
        <v>0</v>
      </c>
      <c r="T257" s="44">
        <v>1045074</v>
      </c>
      <c r="U257" s="44">
        <v>1424360</v>
      </c>
      <c r="V257" s="44">
        <v>62523</v>
      </c>
      <c r="W257" s="44">
        <v>1886572</v>
      </c>
      <c r="X257" s="44">
        <v>671898</v>
      </c>
      <c r="Y257" s="44">
        <v>1934128</v>
      </c>
      <c r="Z257" s="44">
        <v>891532</v>
      </c>
      <c r="AA257" s="44">
        <v>640958</v>
      </c>
      <c r="AB257" s="44">
        <v>0</v>
      </c>
      <c r="AC257" s="44">
        <v>19153707</v>
      </c>
      <c r="AD257" s="44">
        <v>1311694</v>
      </c>
      <c r="AE257" s="44">
        <v>1662765</v>
      </c>
      <c r="AF257" s="44">
        <v>937243</v>
      </c>
      <c r="AG257" s="44">
        <v>23065409</v>
      </c>
      <c r="AH257" s="44">
        <v>1273</v>
      </c>
      <c r="AI257" s="44">
        <v>18934</v>
      </c>
      <c r="AJ257" s="44">
        <v>18119</v>
      </c>
      <c r="AK257" s="44">
        <v>263325</v>
      </c>
      <c r="AL257" s="44">
        <v>96647</v>
      </c>
      <c r="AM257" s="44">
        <v>0.74</v>
      </c>
      <c r="AN257" s="44">
        <v>0.52035435400256724</v>
      </c>
      <c r="AO257" s="44">
        <v>0.127</v>
      </c>
      <c r="AP257" s="44">
        <v>0.64735435400256724</v>
      </c>
      <c r="AQ257" s="44">
        <v>0.77910000000000001</v>
      </c>
      <c r="AR257" s="44">
        <v>27.47</v>
      </c>
    </row>
    <row r="258" spans="1:44">
      <c r="A258" t="s">
        <v>1301</v>
      </c>
      <c r="B258" t="s">
        <v>1302</v>
      </c>
      <c r="D258" t="s">
        <v>1639</v>
      </c>
      <c r="E258" s="44">
        <v>3256020</v>
      </c>
      <c r="F258" s="44">
        <v>16485165</v>
      </c>
      <c r="G258" s="44">
        <v>7688283</v>
      </c>
      <c r="H258" s="126">
        <v>24173448</v>
      </c>
      <c r="I258" s="127">
        <v>73309214</v>
      </c>
      <c r="J258" s="128">
        <v>1395834</v>
      </c>
      <c r="K258" s="130">
        <v>98878496</v>
      </c>
      <c r="L258" s="44">
        <v>153459</v>
      </c>
      <c r="M258" s="44">
        <v>1443013</v>
      </c>
      <c r="N258" s="44">
        <v>28890955</v>
      </c>
      <c r="O258" s="44">
        <v>2293272</v>
      </c>
      <c r="P258" s="44">
        <v>2232711</v>
      </c>
      <c r="Q258" s="44">
        <v>6697026</v>
      </c>
      <c r="R258" s="44">
        <v>29783</v>
      </c>
      <c r="S258" s="44">
        <v>557161</v>
      </c>
      <c r="T258" s="44">
        <v>7942816</v>
      </c>
      <c r="U258" s="44">
        <v>4146935</v>
      </c>
      <c r="V258" s="44">
        <v>0</v>
      </c>
      <c r="W258" s="44">
        <v>6861563</v>
      </c>
      <c r="X258" s="44">
        <v>2990734</v>
      </c>
      <c r="Y258" s="44">
        <v>11073365</v>
      </c>
      <c r="Z258" s="44">
        <v>5456609</v>
      </c>
      <c r="AA258" s="44">
        <v>1339869</v>
      </c>
      <c r="AB258" s="44">
        <v>252752</v>
      </c>
      <c r="AC258" s="44">
        <v>82362023</v>
      </c>
      <c r="AD258" s="44">
        <v>3661067</v>
      </c>
      <c r="AE258" s="44">
        <v>3696715</v>
      </c>
      <c r="AF258" s="44">
        <v>4827462</v>
      </c>
      <c r="AG258" s="44">
        <v>94547267</v>
      </c>
      <c r="AH258" s="44">
        <v>5862</v>
      </c>
      <c r="AI258" s="44">
        <v>16868</v>
      </c>
      <c r="AJ258" s="44">
        <v>16129</v>
      </c>
      <c r="AK258" s="44">
        <v>398842</v>
      </c>
      <c r="AL258" s="44">
        <v>225093</v>
      </c>
      <c r="AM258" s="44">
        <v>1.4450000000000001</v>
      </c>
      <c r="AN258" s="44">
        <v>0.55835203570717706</v>
      </c>
      <c r="AO258" s="44">
        <v>0.17699999999999999</v>
      </c>
      <c r="AP258" s="44">
        <v>0.735352035707177</v>
      </c>
      <c r="AQ258" s="44">
        <v>0.84630000000000005</v>
      </c>
      <c r="AR258" s="44">
        <v>24.02</v>
      </c>
    </row>
    <row r="259" spans="1:44">
      <c r="A259" t="s">
        <v>1303</v>
      </c>
      <c r="B259" t="s">
        <v>1304</v>
      </c>
      <c r="D259" t="s">
        <v>1639</v>
      </c>
      <c r="E259" s="44">
        <v>3514314</v>
      </c>
      <c r="F259" s="44">
        <v>28925697</v>
      </c>
      <c r="G259" s="44">
        <v>6118160</v>
      </c>
      <c r="H259" s="126">
        <v>35043857</v>
      </c>
      <c r="I259" s="127">
        <v>28577229</v>
      </c>
      <c r="J259" s="128">
        <v>1476887</v>
      </c>
      <c r="K259" s="130">
        <v>65097973</v>
      </c>
      <c r="L259" s="44">
        <v>332976</v>
      </c>
      <c r="M259" s="44">
        <v>1124127</v>
      </c>
      <c r="N259" s="44">
        <v>18032726</v>
      </c>
      <c r="O259" s="44">
        <v>1011515</v>
      </c>
      <c r="P259" s="44">
        <v>1695866</v>
      </c>
      <c r="Q259" s="44">
        <v>7863681</v>
      </c>
      <c r="R259" s="44">
        <v>3995</v>
      </c>
      <c r="S259" s="44">
        <v>363159</v>
      </c>
      <c r="T259" s="44">
        <v>3783875</v>
      </c>
      <c r="U259" s="44">
        <v>2350243</v>
      </c>
      <c r="V259" s="44">
        <v>52866</v>
      </c>
      <c r="W259" s="44">
        <v>3341259</v>
      </c>
      <c r="X259" s="44">
        <v>2039968</v>
      </c>
      <c r="Y259" s="44">
        <v>5184194</v>
      </c>
      <c r="Z259" s="44">
        <v>3347157</v>
      </c>
      <c r="AA259" s="44">
        <v>982357</v>
      </c>
      <c r="AB259" s="44">
        <v>160000</v>
      </c>
      <c r="AC259" s="44">
        <v>51669964</v>
      </c>
      <c r="AD259" s="44">
        <v>3160775</v>
      </c>
      <c r="AE259" s="44">
        <v>2836943</v>
      </c>
      <c r="AF259" s="44">
        <v>1331913</v>
      </c>
      <c r="AG259" s="44">
        <v>58999595</v>
      </c>
      <c r="AH259" s="44">
        <v>4400</v>
      </c>
      <c r="AI259" s="44">
        <v>14795</v>
      </c>
      <c r="AJ259" s="44">
        <v>13409</v>
      </c>
      <c r="AK259" s="44">
        <v>187416</v>
      </c>
      <c r="AL259" s="44">
        <v>90526</v>
      </c>
      <c r="AM259" s="44">
        <v>0.61599999999999999</v>
      </c>
      <c r="AN259" s="44">
        <v>0.59500510130620388</v>
      </c>
      <c r="AO259" s="44">
        <v>0.15</v>
      </c>
      <c r="AP259" s="44">
        <v>0.7450051013062039</v>
      </c>
      <c r="AQ259" s="44">
        <v>0.85329999999999995</v>
      </c>
      <c r="AR259" s="44">
        <v>25.93</v>
      </c>
    </row>
    <row r="260" spans="1:44">
      <c r="A260" t="s">
        <v>2079</v>
      </c>
      <c r="B260" t="s">
        <v>1305</v>
      </c>
      <c r="D260" t="s">
        <v>1639</v>
      </c>
      <c r="E260" s="44">
        <v>0</v>
      </c>
      <c r="F260" s="44">
        <v>395055583</v>
      </c>
      <c r="G260" s="44">
        <v>14366135</v>
      </c>
      <c r="H260" s="126">
        <v>409421718</v>
      </c>
      <c r="I260" s="127">
        <v>119686673</v>
      </c>
      <c r="J260" s="128">
        <v>59969468</v>
      </c>
      <c r="K260" s="130">
        <v>589077859</v>
      </c>
      <c r="L260" s="44">
        <v>2607669</v>
      </c>
      <c r="M260" s="44">
        <v>8307877</v>
      </c>
      <c r="N260" s="44">
        <v>183607783</v>
      </c>
      <c r="O260" s="44">
        <v>12908038</v>
      </c>
      <c r="P260" s="44">
        <v>22928732</v>
      </c>
      <c r="Q260" s="44">
        <v>6612535</v>
      </c>
      <c r="R260" s="44">
        <v>23561527</v>
      </c>
      <c r="S260" s="44">
        <v>104215</v>
      </c>
      <c r="T260" s="44">
        <v>47545647</v>
      </c>
      <c r="U260" s="44">
        <v>36074882</v>
      </c>
      <c r="V260" s="44">
        <v>4435003</v>
      </c>
      <c r="W260" s="44">
        <v>32314268</v>
      </c>
      <c r="X260" s="44">
        <v>15369602</v>
      </c>
      <c r="Y260" s="44">
        <v>40927642</v>
      </c>
      <c r="Z260" s="44">
        <v>50516109</v>
      </c>
      <c r="AA260" s="44">
        <v>13466967</v>
      </c>
      <c r="AB260" s="44">
        <v>6263016</v>
      </c>
      <c r="AC260" s="44">
        <v>507551512</v>
      </c>
      <c r="AD260" s="44">
        <v>47881403</v>
      </c>
      <c r="AE260" s="44">
        <v>19739667</v>
      </c>
      <c r="AF260" s="44">
        <v>8264944</v>
      </c>
      <c r="AG260" s="44">
        <v>583437526</v>
      </c>
      <c r="AH260" s="44">
        <v>35295</v>
      </c>
      <c r="AI260" s="44">
        <v>16690</v>
      </c>
      <c r="AJ260" s="44">
        <v>16530</v>
      </c>
      <c r="AK260" s="44">
        <v>106288</v>
      </c>
      <c r="AL260" s="44">
        <v>52142</v>
      </c>
      <c r="AM260" s="44">
        <v>0.35299999999999998</v>
      </c>
      <c r="AN260" s="44">
        <v>0.57134370715811655</v>
      </c>
      <c r="AO260" s="44">
        <v>0.16200000000000001</v>
      </c>
      <c r="AP260" s="44">
        <v>0.73334370715811659</v>
      </c>
      <c r="AQ260" s="44">
        <v>0.84570000000000001</v>
      </c>
      <c r="AR260" s="44">
        <v>23.41</v>
      </c>
    </row>
    <row r="261" spans="1:44">
      <c r="A261" t="s">
        <v>2081</v>
      </c>
      <c r="B261" t="s">
        <v>1306</v>
      </c>
      <c r="D261" t="s">
        <v>1639</v>
      </c>
      <c r="E261" s="44">
        <v>5877301</v>
      </c>
      <c r="F261" s="44">
        <v>25885158</v>
      </c>
      <c r="G261" s="44">
        <v>7379384</v>
      </c>
      <c r="H261" s="126">
        <v>33264542</v>
      </c>
      <c r="I261" s="127">
        <v>63267779</v>
      </c>
      <c r="J261" s="128">
        <v>2660464</v>
      </c>
      <c r="K261" s="130">
        <v>99192785</v>
      </c>
      <c r="L261" s="44">
        <v>232447</v>
      </c>
      <c r="M261" s="44">
        <v>1482273</v>
      </c>
      <c r="N261" s="44">
        <v>28001022</v>
      </c>
      <c r="O261" s="44">
        <v>2825310</v>
      </c>
      <c r="P261" s="44">
        <v>3106992</v>
      </c>
      <c r="Q261" s="44">
        <v>10821883</v>
      </c>
      <c r="R261" s="44">
        <v>68118</v>
      </c>
      <c r="S261" s="44">
        <v>1535813</v>
      </c>
      <c r="T261" s="44">
        <v>7541780</v>
      </c>
      <c r="U261" s="44">
        <v>3164656</v>
      </c>
      <c r="V261" s="44">
        <v>0</v>
      </c>
      <c r="W261" s="44">
        <v>6014348</v>
      </c>
      <c r="X261" s="44">
        <v>2975482</v>
      </c>
      <c r="Y261" s="44">
        <v>8403097</v>
      </c>
      <c r="Z261" s="44">
        <v>5762760</v>
      </c>
      <c r="AA261" s="44">
        <v>2020562</v>
      </c>
      <c r="AB261" s="44">
        <v>4238460</v>
      </c>
      <c r="AC261" s="44">
        <v>88195003</v>
      </c>
      <c r="AD261" s="44">
        <v>5317961</v>
      </c>
      <c r="AE261" s="44">
        <v>1120000</v>
      </c>
      <c r="AF261" s="44">
        <v>384613</v>
      </c>
      <c r="AG261" s="44">
        <v>95017577</v>
      </c>
      <c r="AH261" s="44">
        <v>5732</v>
      </c>
      <c r="AI261" s="44">
        <v>17305</v>
      </c>
      <c r="AJ261" s="44">
        <v>16577</v>
      </c>
      <c r="AK261" s="44">
        <v>388094</v>
      </c>
      <c r="AL261" s="44">
        <v>106747</v>
      </c>
      <c r="AM261" s="44">
        <v>0.94499999999999995</v>
      </c>
      <c r="AN261" s="44">
        <v>0.60057913284823083</v>
      </c>
      <c r="AO261" s="44">
        <v>0.155</v>
      </c>
      <c r="AP261" s="44">
        <v>0.75557913284823086</v>
      </c>
      <c r="AQ261" s="44">
        <v>0.85450000000000004</v>
      </c>
      <c r="AR261" s="44">
        <v>22.19</v>
      </c>
    </row>
    <row r="262" spans="1:44">
      <c r="A262" t="s">
        <v>1307</v>
      </c>
      <c r="B262" t="s">
        <v>1308</v>
      </c>
      <c r="D262" t="s">
        <v>1639</v>
      </c>
      <c r="E262" s="44">
        <v>2349206</v>
      </c>
      <c r="F262" s="44">
        <v>33008940</v>
      </c>
      <c r="G262" s="44">
        <v>4863231</v>
      </c>
      <c r="H262" s="126">
        <v>37872171</v>
      </c>
      <c r="I262" s="127">
        <v>26026780</v>
      </c>
      <c r="J262" s="128">
        <v>2736101</v>
      </c>
      <c r="K262" s="130">
        <v>66635052</v>
      </c>
      <c r="L262" s="44">
        <v>267854</v>
      </c>
      <c r="M262" s="44">
        <v>1140176</v>
      </c>
      <c r="N262" s="44">
        <v>17803571</v>
      </c>
      <c r="O262" s="44">
        <v>1319026</v>
      </c>
      <c r="P262" s="44">
        <v>1420505</v>
      </c>
      <c r="Q262" s="44">
        <v>5139700</v>
      </c>
      <c r="R262" s="44">
        <v>530856</v>
      </c>
      <c r="S262" s="44">
        <v>0</v>
      </c>
      <c r="T262" s="44">
        <v>4089206</v>
      </c>
      <c r="U262" s="44">
        <v>3131182</v>
      </c>
      <c r="V262" s="44">
        <v>0</v>
      </c>
      <c r="W262" s="44">
        <v>4369530</v>
      </c>
      <c r="X262" s="44">
        <v>2214347</v>
      </c>
      <c r="Y262" s="44">
        <v>6964710</v>
      </c>
      <c r="Z262" s="44">
        <v>3754031</v>
      </c>
      <c r="AA262" s="44">
        <v>1789093</v>
      </c>
      <c r="AB262" s="44">
        <v>260911</v>
      </c>
      <c r="AC262" s="44">
        <v>54194698</v>
      </c>
      <c r="AD262" s="44">
        <v>3835306</v>
      </c>
      <c r="AE262" s="44">
        <v>3632047</v>
      </c>
      <c r="AF262" s="44">
        <v>1506816</v>
      </c>
      <c r="AG262" s="44">
        <v>63168867</v>
      </c>
      <c r="AH262" s="44">
        <v>4306</v>
      </c>
      <c r="AI262" s="44">
        <v>15475</v>
      </c>
      <c r="AJ262" s="44">
        <v>14670</v>
      </c>
      <c r="AK262" s="44">
        <v>175502</v>
      </c>
      <c r="AL262" s="44">
        <v>74923</v>
      </c>
      <c r="AM262" s="44">
        <v>0.53600000000000003</v>
      </c>
      <c r="AN262" s="44">
        <v>0.52928044443159006</v>
      </c>
      <c r="AO262" s="44">
        <v>0.16300000000000001</v>
      </c>
      <c r="AP262" s="44">
        <v>0.69228044443159009</v>
      </c>
      <c r="AQ262" s="44">
        <v>0.80920000000000003</v>
      </c>
      <c r="AR262" s="44">
        <v>25.86</v>
      </c>
    </row>
    <row r="263" spans="1:44">
      <c r="A263" t="s">
        <v>2083</v>
      </c>
      <c r="B263" t="s">
        <v>1309</v>
      </c>
      <c r="D263" t="s">
        <v>1639</v>
      </c>
      <c r="E263" s="44">
        <v>5634612</v>
      </c>
      <c r="F263" s="44">
        <v>35486213</v>
      </c>
      <c r="G263" s="44">
        <v>12565429</v>
      </c>
      <c r="H263" s="126">
        <v>48051642</v>
      </c>
      <c r="I263" s="127">
        <v>77059082</v>
      </c>
      <c r="J263" s="128">
        <v>2629914</v>
      </c>
      <c r="K263" s="130">
        <v>127740638</v>
      </c>
      <c r="L263" s="44">
        <v>308755</v>
      </c>
      <c r="M263" s="44">
        <v>2304840</v>
      </c>
      <c r="N263" s="44">
        <v>40015860</v>
      </c>
      <c r="O263" s="44">
        <v>3051941</v>
      </c>
      <c r="P263" s="44">
        <v>3791127</v>
      </c>
      <c r="Q263" s="44">
        <v>9959106</v>
      </c>
      <c r="R263" s="44">
        <v>87780</v>
      </c>
      <c r="S263" s="44">
        <v>1216426</v>
      </c>
      <c r="T263" s="44">
        <v>9417837</v>
      </c>
      <c r="U263" s="44">
        <v>4703890</v>
      </c>
      <c r="V263" s="44">
        <v>447544</v>
      </c>
      <c r="W263" s="44">
        <v>8921708</v>
      </c>
      <c r="X263" s="44">
        <v>4425000</v>
      </c>
      <c r="Y263" s="44">
        <v>13702169</v>
      </c>
      <c r="Z263" s="44">
        <v>6785260</v>
      </c>
      <c r="AA263" s="44">
        <v>1607377</v>
      </c>
      <c r="AB263" s="44">
        <v>0</v>
      </c>
      <c r="AC263" s="44">
        <v>110746620</v>
      </c>
      <c r="AD263" s="44">
        <v>5447425</v>
      </c>
      <c r="AE263" s="44">
        <v>3793000</v>
      </c>
      <c r="AF263" s="44">
        <v>2263582</v>
      </c>
      <c r="AG263" s="44">
        <v>122250627</v>
      </c>
      <c r="AH263" s="44">
        <v>9123</v>
      </c>
      <c r="AI263" s="44">
        <v>14002</v>
      </c>
      <c r="AJ263" s="44">
        <v>13400</v>
      </c>
      <c r="AK263" s="44">
        <v>284710</v>
      </c>
      <c r="AL263" s="44">
        <v>119933</v>
      </c>
      <c r="AM263" s="44">
        <v>0.86399999999999999</v>
      </c>
      <c r="AN263" s="44">
        <v>0.5909496644135821</v>
      </c>
      <c r="AO263" s="44">
        <v>0.17499999999999999</v>
      </c>
      <c r="AP263" s="44">
        <v>0.76594966441358214</v>
      </c>
      <c r="AQ263" s="44">
        <v>0.8458</v>
      </c>
      <c r="AR263" s="44">
        <v>22.55</v>
      </c>
    </row>
    <row r="264" spans="1:44">
      <c r="A264" t="s">
        <v>1310</v>
      </c>
      <c r="B264" t="s">
        <v>1311</v>
      </c>
      <c r="D264" t="s">
        <v>1639</v>
      </c>
      <c r="E264" s="44">
        <v>680590</v>
      </c>
      <c r="F264" s="44">
        <v>5697838</v>
      </c>
      <c r="G264" s="44">
        <v>1610892</v>
      </c>
      <c r="H264" s="126">
        <v>7308730</v>
      </c>
      <c r="I264" s="127">
        <v>8361504</v>
      </c>
      <c r="J264" s="128">
        <v>457941</v>
      </c>
      <c r="K264" s="130">
        <v>16128175</v>
      </c>
      <c r="L264" s="44">
        <v>133426</v>
      </c>
      <c r="M264" s="44">
        <v>365759</v>
      </c>
      <c r="N264" s="44">
        <v>4583414</v>
      </c>
      <c r="O264" s="44">
        <v>335283</v>
      </c>
      <c r="P264" s="44">
        <v>371540</v>
      </c>
      <c r="Q264" s="44">
        <v>2157654</v>
      </c>
      <c r="R264" s="44">
        <v>6888</v>
      </c>
      <c r="S264" s="44">
        <v>308030</v>
      </c>
      <c r="T264" s="44">
        <v>1134410</v>
      </c>
      <c r="U264" s="44">
        <v>697550</v>
      </c>
      <c r="V264" s="44">
        <v>4750</v>
      </c>
      <c r="W264" s="44">
        <v>1168229</v>
      </c>
      <c r="X264" s="44">
        <v>478264</v>
      </c>
      <c r="Y264" s="44">
        <v>1534528</v>
      </c>
      <c r="Z264" s="44">
        <v>843956</v>
      </c>
      <c r="AA264" s="44">
        <v>153405</v>
      </c>
      <c r="AB264" s="44">
        <v>0</v>
      </c>
      <c r="AC264" s="44">
        <v>14277086</v>
      </c>
      <c r="AD264" s="44">
        <v>660745</v>
      </c>
      <c r="AE264" s="44">
        <v>340784</v>
      </c>
      <c r="AF264" s="44">
        <v>421219</v>
      </c>
      <c r="AG264" s="44">
        <v>15699834</v>
      </c>
      <c r="AH264" s="44">
        <v>804</v>
      </c>
      <c r="AI264" s="44">
        <v>20060</v>
      </c>
      <c r="AJ264" s="44">
        <v>19527</v>
      </c>
      <c r="AK264" s="44">
        <v>264773</v>
      </c>
      <c r="AL264" s="44">
        <v>107943</v>
      </c>
      <c r="AM264" s="44">
        <v>0.78899999999999992</v>
      </c>
      <c r="AN264" s="44">
        <v>0.61113824515596793</v>
      </c>
      <c r="AO264" s="44">
        <v>0.155</v>
      </c>
      <c r="AP264" s="44">
        <v>0.76613824515596796</v>
      </c>
      <c r="AQ264" s="44">
        <v>0.84199999999999997</v>
      </c>
      <c r="AR264" s="44">
        <v>27.06</v>
      </c>
    </row>
    <row r="265" spans="1:44">
      <c r="A265" t="s">
        <v>2020</v>
      </c>
      <c r="B265" t="s">
        <v>1312</v>
      </c>
      <c r="D265" t="s">
        <v>1639</v>
      </c>
      <c r="E265" s="44">
        <v>2772835</v>
      </c>
      <c r="F265" s="44">
        <v>27615612</v>
      </c>
      <c r="G265" s="44">
        <v>5231217</v>
      </c>
      <c r="H265" s="126">
        <v>32846829</v>
      </c>
      <c r="I265" s="127">
        <v>13772933</v>
      </c>
      <c r="J265" s="128">
        <v>2761776</v>
      </c>
      <c r="K265" s="130">
        <v>49381538</v>
      </c>
      <c r="L265" s="44">
        <v>107432</v>
      </c>
      <c r="M265" s="44">
        <v>674241</v>
      </c>
      <c r="N265" s="44">
        <v>16817122</v>
      </c>
      <c r="O265" s="44">
        <v>619707</v>
      </c>
      <c r="P265" s="44">
        <v>959578</v>
      </c>
      <c r="Q265" s="44">
        <v>2387515</v>
      </c>
      <c r="R265" s="44">
        <v>29834</v>
      </c>
      <c r="S265" s="44">
        <v>157051</v>
      </c>
      <c r="T265" s="44">
        <v>2797305</v>
      </c>
      <c r="U265" s="44">
        <v>2020012</v>
      </c>
      <c r="V265" s="44">
        <v>0</v>
      </c>
      <c r="W265" s="44">
        <v>3123781</v>
      </c>
      <c r="X265" s="44">
        <v>1452898</v>
      </c>
      <c r="Y265" s="44">
        <v>6106286</v>
      </c>
      <c r="Z265" s="44">
        <v>2578969</v>
      </c>
      <c r="AA265" s="44">
        <v>1563697</v>
      </c>
      <c r="AB265" s="44">
        <v>10296</v>
      </c>
      <c r="AC265" s="44">
        <v>41405724</v>
      </c>
      <c r="AD265" s="44">
        <v>2870058</v>
      </c>
      <c r="AE265" s="44">
        <v>1733101</v>
      </c>
      <c r="AF265" s="44">
        <v>1230168</v>
      </c>
      <c r="AG265" s="44">
        <v>47239051</v>
      </c>
      <c r="AH265" s="44">
        <v>3796</v>
      </c>
      <c r="AI265" s="44">
        <v>13009</v>
      </c>
      <c r="AJ265" s="44">
        <v>12444</v>
      </c>
      <c r="AK265" s="44">
        <v>149198</v>
      </c>
      <c r="AL265" s="44">
        <v>77823</v>
      </c>
      <c r="AM265" s="44">
        <v>0.51400000000000001</v>
      </c>
      <c r="AN265" s="44">
        <v>0.54590690232113259</v>
      </c>
      <c r="AO265" s="44">
        <v>0.192</v>
      </c>
      <c r="AP265" s="44">
        <v>0.73790690232113265</v>
      </c>
      <c r="AQ265" s="44">
        <v>0.84119999999999995</v>
      </c>
      <c r="AR265" s="44">
        <v>18.11</v>
      </c>
    </row>
    <row r="266" spans="1:44">
      <c r="A266" t="s">
        <v>1313</v>
      </c>
      <c r="B266" t="s">
        <v>1314</v>
      </c>
      <c r="D266" t="s">
        <v>1639</v>
      </c>
      <c r="E266" s="44">
        <v>-312751</v>
      </c>
      <c r="F266" s="44">
        <v>9816306</v>
      </c>
      <c r="G266" s="44">
        <v>1434168</v>
      </c>
      <c r="H266" s="126">
        <v>11250474</v>
      </c>
      <c r="I266" s="127">
        <v>4626801</v>
      </c>
      <c r="J266" s="128">
        <v>570268</v>
      </c>
      <c r="K266" s="130">
        <v>16447543</v>
      </c>
      <c r="L266" s="44">
        <v>60474</v>
      </c>
      <c r="M266" s="44">
        <v>419787</v>
      </c>
      <c r="N266" s="44">
        <v>5307252</v>
      </c>
      <c r="O266" s="44">
        <v>112862</v>
      </c>
      <c r="P266" s="44">
        <v>280855</v>
      </c>
      <c r="Q266" s="44">
        <v>1362584</v>
      </c>
      <c r="R266" s="44">
        <v>22536</v>
      </c>
      <c r="S266" s="44">
        <v>151366</v>
      </c>
      <c r="T266" s="44">
        <v>927712</v>
      </c>
      <c r="U266" s="44">
        <v>645795</v>
      </c>
      <c r="V266" s="44">
        <v>0</v>
      </c>
      <c r="W266" s="44">
        <v>1270084</v>
      </c>
      <c r="X266" s="44">
        <v>500841</v>
      </c>
      <c r="Y266" s="44">
        <v>1492972</v>
      </c>
      <c r="Z266" s="44">
        <v>799028</v>
      </c>
      <c r="AA266" s="44">
        <v>356448</v>
      </c>
      <c r="AB266" s="44">
        <v>155452</v>
      </c>
      <c r="AC266" s="44">
        <v>13866048</v>
      </c>
      <c r="AD266" s="44">
        <v>847557</v>
      </c>
      <c r="AE266" s="44">
        <v>781857</v>
      </c>
      <c r="AF266" s="44">
        <v>884166</v>
      </c>
      <c r="AG266" s="44">
        <v>16379628</v>
      </c>
      <c r="AH266" s="44">
        <v>1094</v>
      </c>
      <c r="AI266" s="44">
        <v>15034</v>
      </c>
      <c r="AJ266" s="44">
        <v>14972</v>
      </c>
      <c r="AK266" s="44">
        <v>159680</v>
      </c>
      <c r="AL266" s="44">
        <v>60540</v>
      </c>
      <c r="AM266" s="44">
        <v>0.45599999999999996</v>
      </c>
      <c r="AN266" s="44">
        <v>0.53792198455300699</v>
      </c>
      <c r="AO266" s="44">
        <v>0.14399999999999999</v>
      </c>
      <c r="AP266" s="44">
        <v>0.68192198455300701</v>
      </c>
      <c r="AQ266" s="44">
        <v>0.81059999999999999</v>
      </c>
      <c r="AR266" s="44">
        <v>19.27</v>
      </c>
    </row>
    <row r="267" spans="1:44">
      <c r="A267" t="s">
        <v>1315</v>
      </c>
      <c r="B267" t="s">
        <v>1316</v>
      </c>
      <c r="D267" t="s">
        <v>1639</v>
      </c>
      <c r="E267" s="44">
        <v>2575492</v>
      </c>
      <c r="F267" s="44">
        <v>14075963</v>
      </c>
      <c r="G267" s="44">
        <v>1913511</v>
      </c>
      <c r="H267" s="126">
        <v>15989474</v>
      </c>
      <c r="I267" s="127">
        <v>6982339</v>
      </c>
      <c r="J267" s="128">
        <v>1185542</v>
      </c>
      <c r="K267" s="130">
        <v>24157355</v>
      </c>
      <c r="L267" s="44">
        <v>55822</v>
      </c>
      <c r="M267" s="44">
        <v>495990</v>
      </c>
      <c r="N267" s="44">
        <v>7808109</v>
      </c>
      <c r="O267" s="44">
        <v>247564</v>
      </c>
      <c r="P267" s="44">
        <v>242538</v>
      </c>
      <c r="Q267" s="44">
        <v>2216928</v>
      </c>
      <c r="R267" s="44">
        <v>1558</v>
      </c>
      <c r="S267" s="44">
        <v>302593</v>
      </c>
      <c r="T267" s="44">
        <v>1036334</v>
      </c>
      <c r="U267" s="44">
        <v>800430</v>
      </c>
      <c r="V267" s="44">
        <v>16280</v>
      </c>
      <c r="W267" s="44">
        <v>1605800</v>
      </c>
      <c r="X267" s="44">
        <v>714298</v>
      </c>
      <c r="Y267" s="44">
        <v>2623880</v>
      </c>
      <c r="Z267" s="44">
        <v>1079331</v>
      </c>
      <c r="AA267" s="44">
        <v>871550</v>
      </c>
      <c r="AB267" s="44">
        <v>26221</v>
      </c>
      <c r="AC267" s="44">
        <v>20145226</v>
      </c>
      <c r="AD267" s="44">
        <v>1706458</v>
      </c>
      <c r="AE267" s="44">
        <v>1113810</v>
      </c>
      <c r="AF267" s="44">
        <v>1024213</v>
      </c>
      <c r="AG267" s="44">
        <v>23989707</v>
      </c>
      <c r="AH267" s="44">
        <v>1548</v>
      </c>
      <c r="AI267" s="44">
        <v>15606</v>
      </c>
      <c r="AJ267" s="44">
        <v>15497</v>
      </c>
      <c r="AK267" s="44">
        <v>164213</v>
      </c>
      <c r="AL267" s="44">
        <v>62202</v>
      </c>
      <c r="AM267" s="44">
        <v>0.46899999999999997</v>
      </c>
      <c r="AN267" s="44">
        <v>0.5275618414180715</v>
      </c>
      <c r="AO267" s="44">
        <v>0.16500000000000001</v>
      </c>
      <c r="AP267" s="44">
        <v>0.69256184141807153</v>
      </c>
      <c r="AQ267" s="44">
        <v>0.8246</v>
      </c>
      <c r="AR267" s="44">
        <v>20.21</v>
      </c>
    </row>
    <row r="268" spans="1:44">
      <c r="A268" t="s">
        <v>1317</v>
      </c>
      <c r="B268" t="s">
        <v>1318</v>
      </c>
      <c r="D268" t="s">
        <v>1639</v>
      </c>
      <c r="E268" s="44">
        <v>1803317</v>
      </c>
      <c r="F268" s="44">
        <v>9712111</v>
      </c>
      <c r="G268" s="44">
        <v>1658917</v>
      </c>
      <c r="H268" s="126">
        <v>11371028</v>
      </c>
      <c r="I268" s="127">
        <v>4073365</v>
      </c>
      <c r="J268" s="128">
        <v>925867</v>
      </c>
      <c r="K268" s="130">
        <v>16370260</v>
      </c>
      <c r="L268" s="44">
        <v>39451</v>
      </c>
      <c r="M268" s="44">
        <v>283665</v>
      </c>
      <c r="N268" s="44">
        <v>5387298</v>
      </c>
      <c r="O268" s="44">
        <v>383246</v>
      </c>
      <c r="P268" s="44">
        <v>212644</v>
      </c>
      <c r="Q268" s="44">
        <v>1014042</v>
      </c>
      <c r="R268" s="44">
        <v>27396</v>
      </c>
      <c r="S268" s="44">
        <v>103470</v>
      </c>
      <c r="T268" s="44">
        <v>914884</v>
      </c>
      <c r="U268" s="44">
        <v>582982</v>
      </c>
      <c r="V268" s="44">
        <v>1000</v>
      </c>
      <c r="W268" s="44">
        <v>1058055</v>
      </c>
      <c r="X268" s="44">
        <v>524514</v>
      </c>
      <c r="Y268" s="44">
        <v>2072481</v>
      </c>
      <c r="Z268" s="44">
        <v>960801</v>
      </c>
      <c r="AA268" s="44">
        <v>305519</v>
      </c>
      <c r="AB268" s="44">
        <v>64593</v>
      </c>
      <c r="AC268" s="44">
        <v>13936041</v>
      </c>
      <c r="AD268" s="44">
        <v>762573</v>
      </c>
      <c r="AE268" s="44">
        <v>685000</v>
      </c>
      <c r="AF268" s="44">
        <v>266198</v>
      </c>
      <c r="AG268" s="44">
        <v>15649812</v>
      </c>
      <c r="AH268" s="44">
        <v>1004</v>
      </c>
      <c r="AI268" s="44">
        <v>16305</v>
      </c>
      <c r="AJ268" s="44">
        <v>15587</v>
      </c>
      <c r="AK268" s="44">
        <v>119210</v>
      </c>
      <c r="AL268" s="44">
        <v>50963</v>
      </c>
      <c r="AM268" s="44">
        <v>0.36399999999999999</v>
      </c>
      <c r="AN268" s="44">
        <v>0.55118630179071804</v>
      </c>
      <c r="AO268" s="44">
        <v>0.191</v>
      </c>
      <c r="AP268" s="44">
        <v>0.74218630179071798</v>
      </c>
      <c r="AQ268" s="44">
        <v>0.83730000000000004</v>
      </c>
      <c r="AR268" s="44">
        <v>27.28</v>
      </c>
    </row>
    <row r="269" spans="1:44">
      <c r="A269" t="s">
        <v>1319</v>
      </c>
      <c r="B269" t="s">
        <v>1320</v>
      </c>
      <c r="D269" t="s">
        <v>1639</v>
      </c>
      <c r="E269" s="44">
        <v>1817190</v>
      </c>
      <c r="F269" s="44">
        <v>5363455</v>
      </c>
      <c r="G269" s="44">
        <v>653167</v>
      </c>
      <c r="H269" s="126">
        <v>6016622</v>
      </c>
      <c r="I269" s="127">
        <v>1934958</v>
      </c>
      <c r="J269" s="128">
        <v>682561</v>
      </c>
      <c r="K269" s="130">
        <v>8634141</v>
      </c>
      <c r="L269" s="44">
        <v>77291</v>
      </c>
      <c r="M269" s="44">
        <v>241963</v>
      </c>
      <c r="N269" s="44">
        <v>2337033</v>
      </c>
      <c r="O269" s="44">
        <v>43862</v>
      </c>
      <c r="P269" s="44">
        <v>115290</v>
      </c>
      <c r="Q269" s="44">
        <v>476153</v>
      </c>
      <c r="R269" s="44">
        <v>0</v>
      </c>
      <c r="S269" s="44">
        <v>0</v>
      </c>
      <c r="T269" s="44">
        <v>606736</v>
      </c>
      <c r="U269" s="44">
        <v>265618</v>
      </c>
      <c r="V269" s="44">
        <v>0</v>
      </c>
      <c r="W269" s="44">
        <v>550553</v>
      </c>
      <c r="X269" s="44">
        <v>238418</v>
      </c>
      <c r="Y269" s="44">
        <v>1047251</v>
      </c>
      <c r="Z269" s="44">
        <v>430704</v>
      </c>
      <c r="AA269" s="44">
        <v>168418</v>
      </c>
      <c r="AB269" s="44">
        <v>713</v>
      </c>
      <c r="AC269" s="44">
        <v>6600003</v>
      </c>
      <c r="AD269" s="44">
        <v>322029</v>
      </c>
      <c r="AE269" s="44">
        <v>620000</v>
      </c>
      <c r="AF269" s="44">
        <v>331363</v>
      </c>
      <c r="AG269" s="44">
        <v>7873395</v>
      </c>
      <c r="AH269" s="44">
        <v>541</v>
      </c>
      <c r="AI269" s="44">
        <v>15960</v>
      </c>
      <c r="AJ269" s="44">
        <v>14553</v>
      </c>
      <c r="AK269" s="44">
        <v>153738</v>
      </c>
      <c r="AL269" s="44">
        <v>55606</v>
      </c>
      <c r="AM269" s="44">
        <v>0.42900000000000005</v>
      </c>
      <c r="AN269" s="44">
        <v>0.48831438026416812</v>
      </c>
      <c r="AO269" s="44">
        <v>0.188</v>
      </c>
      <c r="AP269" s="44">
        <v>0.67631438026416812</v>
      </c>
      <c r="AQ269" s="44">
        <v>0.80720000000000003</v>
      </c>
      <c r="AR269" s="44">
        <v>18.16</v>
      </c>
    </row>
    <row r="270" spans="1:44">
      <c r="A270" t="s">
        <v>1321</v>
      </c>
      <c r="B270" t="s">
        <v>1322</v>
      </c>
      <c r="D270" t="s">
        <v>1639</v>
      </c>
      <c r="E270" s="44">
        <v>2579711</v>
      </c>
      <c r="F270" s="44">
        <v>7710522</v>
      </c>
      <c r="G270" s="44">
        <v>4944416</v>
      </c>
      <c r="H270" s="126">
        <v>12654938</v>
      </c>
      <c r="I270" s="127">
        <v>49623412</v>
      </c>
      <c r="J270" s="128">
        <v>1984680</v>
      </c>
      <c r="K270" s="130">
        <v>64263030</v>
      </c>
      <c r="L270" s="44">
        <v>322122</v>
      </c>
      <c r="M270" s="44">
        <v>1298814</v>
      </c>
      <c r="N270" s="44">
        <v>22322310</v>
      </c>
      <c r="O270" s="44">
        <v>1560937</v>
      </c>
      <c r="P270" s="44">
        <v>2769278</v>
      </c>
      <c r="Q270" s="44">
        <v>2857585</v>
      </c>
      <c r="R270" s="44">
        <v>1756385</v>
      </c>
      <c r="S270" s="44">
        <v>0</v>
      </c>
      <c r="T270" s="44">
        <v>4052602</v>
      </c>
      <c r="U270" s="44">
        <v>3299244</v>
      </c>
      <c r="V270" s="44">
        <v>1879</v>
      </c>
      <c r="W270" s="44">
        <v>4108790</v>
      </c>
      <c r="X270" s="44">
        <v>2430712</v>
      </c>
      <c r="Y270" s="44">
        <v>7060044</v>
      </c>
      <c r="Z270" s="44">
        <v>3541544</v>
      </c>
      <c r="AA270" s="44">
        <v>2600240</v>
      </c>
      <c r="AB270" s="44">
        <v>0</v>
      </c>
      <c r="AC270" s="44">
        <v>59982486</v>
      </c>
      <c r="AD270" s="44">
        <v>3412427</v>
      </c>
      <c r="AE270" s="44">
        <v>340000</v>
      </c>
      <c r="AF270" s="44">
        <v>8288</v>
      </c>
      <c r="AG270" s="44">
        <v>63743201</v>
      </c>
      <c r="AH270" s="44">
        <v>3006</v>
      </c>
      <c r="AI270" s="44">
        <v>21378</v>
      </c>
      <c r="AJ270" s="44">
        <v>21205</v>
      </c>
      <c r="AK270" s="44">
        <v>950760</v>
      </c>
      <c r="AL270" s="44">
        <v>219621</v>
      </c>
      <c r="AM270" s="44">
        <v>2.1440000000000001</v>
      </c>
      <c r="AN270" s="44">
        <v>0.60584251173705572</v>
      </c>
      <c r="AO270" s="44">
        <v>0.186</v>
      </c>
      <c r="AP270" s="44">
        <v>0.79184251173705578</v>
      </c>
      <c r="AQ270" s="44">
        <v>0.83709999999999996</v>
      </c>
      <c r="AR270" s="44">
        <v>12.24</v>
      </c>
    </row>
    <row r="271" spans="1:44">
      <c r="A271" t="s">
        <v>2093</v>
      </c>
      <c r="B271" t="s">
        <v>1059</v>
      </c>
      <c r="D271" t="s">
        <v>1639</v>
      </c>
      <c r="E271" s="44">
        <v>-3460676</v>
      </c>
      <c r="F271" s="44">
        <v>72182437</v>
      </c>
      <c r="G271" s="44">
        <v>5260322</v>
      </c>
      <c r="H271" s="126">
        <v>77442759</v>
      </c>
      <c r="I271" s="127">
        <v>55433882</v>
      </c>
      <c r="J271" s="128">
        <v>5741486</v>
      </c>
      <c r="K271" s="130">
        <v>138618127</v>
      </c>
      <c r="L271" s="44">
        <v>1037805</v>
      </c>
      <c r="M271" s="44">
        <v>1954838</v>
      </c>
      <c r="N271" s="44">
        <v>47840002</v>
      </c>
      <c r="O271" s="44">
        <v>5091935</v>
      </c>
      <c r="P271" s="44">
        <v>4605362</v>
      </c>
      <c r="Q271" s="44">
        <v>11915952</v>
      </c>
      <c r="R271" s="44">
        <v>886416</v>
      </c>
      <c r="S271" s="44">
        <v>2592283</v>
      </c>
      <c r="T271" s="44">
        <v>8631634</v>
      </c>
      <c r="U271" s="44">
        <v>7428747</v>
      </c>
      <c r="V271" s="44">
        <v>18394</v>
      </c>
      <c r="W271" s="44">
        <v>8856808</v>
      </c>
      <c r="X271" s="44">
        <v>5477832</v>
      </c>
      <c r="Y271" s="44">
        <v>13662080</v>
      </c>
      <c r="Z271" s="44">
        <v>9327259</v>
      </c>
      <c r="AA271" s="44">
        <v>2955615</v>
      </c>
      <c r="AB271" s="44">
        <v>0</v>
      </c>
      <c r="AC271" s="44">
        <v>132282962</v>
      </c>
      <c r="AD271" s="44">
        <v>7633044</v>
      </c>
      <c r="AE271" s="44">
        <v>275000</v>
      </c>
      <c r="AF271" s="44">
        <v>899006</v>
      </c>
      <c r="AG271" s="44">
        <v>141090012</v>
      </c>
      <c r="AH271" s="44">
        <v>6508</v>
      </c>
      <c r="AI271" s="44">
        <v>21300</v>
      </c>
      <c r="AJ271" s="44">
        <v>21679</v>
      </c>
      <c r="AK271" s="44">
        <v>247281</v>
      </c>
      <c r="AL271" s="44">
        <v>75441</v>
      </c>
      <c r="AM271" s="44">
        <v>0.63200000000000001</v>
      </c>
      <c r="AN271" s="44">
        <v>0.63074862450220781</v>
      </c>
      <c r="AO271" s="44">
        <v>0.188</v>
      </c>
      <c r="AP271" s="44">
        <v>0.81874862450220776</v>
      </c>
      <c r="AQ271" s="44">
        <v>0.87239999999999995</v>
      </c>
      <c r="AR271" s="44">
        <v>25</v>
      </c>
    </row>
    <row r="272" spans="1:44">
      <c r="A272" t="s">
        <v>2095</v>
      </c>
      <c r="B272" t="s">
        <v>1060</v>
      </c>
      <c r="D272" t="s">
        <v>1639</v>
      </c>
      <c r="E272" s="44">
        <v>5005832</v>
      </c>
      <c r="F272" s="44">
        <v>28564762</v>
      </c>
      <c r="G272" s="44">
        <v>6551860</v>
      </c>
      <c r="H272" s="126">
        <v>35116622</v>
      </c>
      <c r="I272" s="127">
        <v>107427338</v>
      </c>
      <c r="J272" s="128">
        <v>2501283</v>
      </c>
      <c r="K272" s="130">
        <v>145045243</v>
      </c>
      <c r="L272" s="44">
        <v>1250007</v>
      </c>
      <c r="M272" s="44">
        <v>3027728</v>
      </c>
      <c r="N272" s="44">
        <v>54102841</v>
      </c>
      <c r="O272" s="44">
        <v>3192669</v>
      </c>
      <c r="P272" s="44">
        <v>4621942</v>
      </c>
      <c r="Q272" s="44">
        <v>8200479</v>
      </c>
      <c r="R272" s="44">
        <v>838876</v>
      </c>
      <c r="S272" s="44">
        <v>0</v>
      </c>
      <c r="T272" s="44">
        <v>8827382</v>
      </c>
      <c r="U272" s="44">
        <v>9855156</v>
      </c>
      <c r="V272" s="44">
        <v>56653</v>
      </c>
      <c r="W272" s="44">
        <v>7781459</v>
      </c>
      <c r="X272" s="44">
        <v>5177260</v>
      </c>
      <c r="Y272" s="44">
        <v>9982393</v>
      </c>
      <c r="Z272" s="44">
        <v>7682946</v>
      </c>
      <c r="AA272" s="44">
        <v>2545288</v>
      </c>
      <c r="AB272" s="44">
        <v>2408886</v>
      </c>
      <c r="AC272" s="44">
        <v>129551965</v>
      </c>
      <c r="AD272" s="44">
        <v>9380269</v>
      </c>
      <c r="AE272" s="44">
        <v>2115000</v>
      </c>
      <c r="AF272" s="44">
        <v>692218</v>
      </c>
      <c r="AG272" s="44">
        <v>141739452</v>
      </c>
      <c r="AH272" s="44">
        <v>6425</v>
      </c>
      <c r="AI272" s="44">
        <v>22575</v>
      </c>
      <c r="AJ272" s="44">
        <v>22061</v>
      </c>
      <c r="AK272" s="44">
        <v>549195</v>
      </c>
      <c r="AL272" s="44">
        <v>82931</v>
      </c>
      <c r="AM272" s="44">
        <v>1.0580000000000001</v>
      </c>
      <c r="AN272" s="44">
        <v>0.63242339190079555</v>
      </c>
      <c r="AO272" s="44">
        <v>0.14899999999999999</v>
      </c>
      <c r="AP272" s="44">
        <v>0.78142339190079557</v>
      </c>
      <c r="AQ272" s="44">
        <v>0.86990000000000001</v>
      </c>
      <c r="AR272" s="44">
        <v>22.42</v>
      </c>
    </row>
    <row r="273" spans="1:44">
      <c r="A273" t="s">
        <v>1061</v>
      </c>
      <c r="B273" t="s">
        <v>1062</v>
      </c>
      <c r="D273" t="s">
        <v>1639</v>
      </c>
      <c r="E273" s="44">
        <v>24753370</v>
      </c>
      <c r="F273" s="44">
        <v>37175830</v>
      </c>
      <c r="G273" s="44">
        <v>17639538</v>
      </c>
      <c r="H273" s="126">
        <v>54815368</v>
      </c>
      <c r="I273" s="127">
        <v>98261900</v>
      </c>
      <c r="J273" s="128">
        <v>2723031</v>
      </c>
      <c r="K273" s="130">
        <v>155800299</v>
      </c>
      <c r="L273" s="44">
        <v>539743</v>
      </c>
      <c r="M273" s="44">
        <v>1828515</v>
      </c>
      <c r="N273" s="44">
        <v>62392153</v>
      </c>
      <c r="O273" s="44">
        <v>3294028</v>
      </c>
      <c r="P273" s="44">
        <v>3448106</v>
      </c>
      <c r="Q273" s="44">
        <v>8896554</v>
      </c>
      <c r="R273" s="44">
        <v>2740491</v>
      </c>
      <c r="S273" s="44">
        <v>190645</v>
      </c>
      <c r="T273" s="44">
        <v>6953628</v>
      </c>
      <c r="U273" s="44">
        <v>6715130</v>
      </c>
      <c r="V273" s="44">
        <v>303687</v>
      </c>
      <c r="W273" s="44">
        <v>9477166</v>
      </c>
      <c r="X273" s="44">
        <v>4918853</v>
      </c>
      <c r="Y273" s="44">
        <v>13400217</v>
      </c>
      <c r="Z273" s="44">
        <v>9279949</v>
      </c>
      <c r="AA273" s="44">
        <v>2923890</v>
      </c>
      <c r="AB273" s="44">
        <v>3335655</v>
      </c>
      <c r="AC273" s="44">
        <v>140638410</v>
      </c>
      <c r="AD273" s="44">
        <v>8919996</v>
      </c>
      <c r="AE273" s="44">
        <v>3016705</v>
      </c>
      <c r="AF273" s="44">
        <v>3613591</v>
      </c>
      <c r="AG273" s="44">
        <v>156188702</v>
      </c>
      <c r="AH273" s="44">
        <v>8330</v>
      </c>
      <c r="AI273" s="44">
        <v>18704</v>
      </c>
      <c r="AJ273" s="44">
        <v>18750</v>
      </c>
      <c r="AK273" s="44">
        <v>510128</v>
      </c>
      <c r="AL273" s="44">
        <v>131508</v>
      </c>
      <c r="AM273" s="44">
        <v>1.206</v>
      </c>
      <c r="AN273" s="44">
        <v>0.60587439288662504</v>
      </c>
      <c r="AO273" s="44">
        <v>0.159</v>
      </c>
      <c r="AP273" s="44">
        <v>0.76487439288662507</v>
      </c>
      <c r="AQ273" s="44">
        <v>0.86770000000000003</v>
      </c>
      <c r="AR273" s="44">
        <v>16.36</v>
      </c>
    </row>
    <row r="274" spans="1:44">
      <c r="A274" t="s">
        <v>1063</v>
      </c>
      <c r="B274" t="s">
        <v>1064</v>
      </c>
      <c r="D274" t="s">
        <v>1639</v>
      </c>
      <c r="E274" s="44">
        <v>3715574</v>
      </c>
      <c r="F274" s="44">
        <v>11052833</v>
      </c>
      <c r="G274" s="44">
        <v>9323677</v>
      </c>
      <c r="H274" s="126">
        <v>20376510</v>
      </c>
      <c r="I274" s="127">
        <v>18872281</v>
      </c>
      <c r="J274" s="128">
        <v>790556</v>
      </c>
      <c r="K274" s="130">
        <v>40039347</v>
      </c>
      <c r="L274" s="44">
        <v>227945</v>
      </c>
      <c r="M274" s="44">
        <v>844189</v>
      </c>
      <c r="N274" s="44">
        <v>16097371</v>
      </c>
      <c r="O274" s="44">
        <v>834282</v>
      </c>
      <c r="P274" s="44">
        <v>989235</v>
      </c>
      <c r="Q274" s="44">
        <v>996164</v>
      </c>
      <c r="R274" s="44">
        <v>129638</v>
      </c>
      <c r="S274" s="44">
        <v>454802</v>
      </c>
      <c r="T274" s="44">
        <v>2941893</v>
      </c>
      <c r="U274" s="44">
        <v>2235320</v>
      </c>
      <c r="V274" s="44">
        <v>0</v>
      </c>
      <c r="W274" s="44">
        <v>2239450</v>
      </c>
      <c r="X274" s="44">
        <v>1609335</v>
      </c>
      <c r="Y274" s="44">
        <v>3911790</v>
      </c>
      <c r="Z274" s="44">
        <v>2282209</v>
      </c>
      <c r="AA274" s="44">
        <v>524160</v>
      </c>
      <c r="AB274" s="44">
        <v>450636</v>
      </c>
      <c r="AC274" s="44">
        <v>36768419</v>
      </c>
      <c r="AD274" s="44">
        <v>1458276</v>
      </c>
      <c r="AE274" s="44">
        <v>361600</v>
      </c>
      <c r="AF274" s="44">
        <v>156135</v>
      </c>
      <c r="AG274" s="44">
        <v>38744430</v>
      </c>
      <c r="AH274" s="44">
        <v>2354</v>
      </c>
      <c r="AI274" s="44">
        <v>17009</v>
      </c>
      <c r="AJ274" s="44">
        <v>16459</v>
      </c>
      <c r="AK274" s="44">
        <v>463122</v>
      </c>
      <c r="AL274" s="44">
        <v>125459</v>
      </c>
      <c r="AM274" s="44">
        <v>1.1200000000000001</v>
      </c>
      <c r="AN274" s="44">
        <v>0.63696136451097618</v>
      </c>
      <c r="AO274" s="44">
        <v>0.183</v>
      </c>
      <c r="AP274" s="44">
        <v>0.81996136451097623</v>
      </c>
      <c r="AQ274" s="44">
        <v>0.87370000000000003</v>
      </c>
      <c r="AR274" s="44">
        <v>5.99</v>
      </c>
    </row>
    <row r="275" spans="1:44">
      <c r="A275" t="s">
        <v>1955</v>
      </c>
      <c r="B275" t="s">
        <v>1065</v>
      </c>
      <c r="D275" t="s">
        <v>1639</v>
      </c>
      <c r="E275" s="44">
        <v>6154727</v>
      </c>
      <c r="F275" s="44">
        <v>44454011</v>
      </c>
      <c r="G275" s="44">
        <v>22114896</v>
      </c>
      <c r="H275" s="126">
        <v>66568907</v>
      </c>
      <c r="I275" s="127">
        <v>92181258</v>
      </c>
      <c r="J275" s="128">
        <v>2838942</v>
      </c>
      <c r="K275" s="130">
        <v>161589107</v>
      </c>
      <c r="L275" s="44">
        <v>474687</v>
      </c>
      <c r="M275" s="44">
        <v>2260728</v>
      </c>
      <c r="N275" s="44">
        <v>68431736</v>
      </c>
      <c r="O275" s="44">
        <v>5717643</v>
      </c>
      <c r="P275" s="44">
        <v>2676313</v>
      </c>
      <c r="Q275" s="44">
        <v>5337630</v>
      </c>
      <c r="R275" s="44">
        <v>1673658</v>
      </c>
      <c r="S275" s="44">
        <v>0</v>
      </c>
      <c r="T275" s="44">
        <v>9184302</v>
      </c>
      <c r="U275" s="44">
        <v>9054820</v>
      </c>
      <c r="V275" s="44">
        <v>317569</v>
      </c>
      <c r="W275" s="44">
        <v>11757395</v>
      </c>
      <c r="X275" s="44">
        <v>6745969</v>
      </c>
      <c r="Y275" s="44">
        <v>12802826</v>
      </c>
      <c r="Z275" s="44">
        <v>10267462</v>
      </c>
      <c r="AA275" s="44">
        <v>1949003</v>
      </c>
      <c r="AB275" s="44">
        <v>3100000</v>
      </c>
      <c r="AC275" s="44">
        <v>151751741</v>
      </c>
      <c r="AD275" s="44">
        <v>7231536</v>
      </c>
      <c r="AE275" s="44">
        <v>2389147</v>
      </c>
      <c r="AF275" s="44">
        <v>1716513</v>
      </c>
      <c r="AG275" s="44">
        <v>163088937</v>
      </c>
      <c r="AH275" s="44">
        <v>7833</v>
      </c>
      <c r="AI275" s="44">
        <v>20629</v>
      </c>
      <c r="AJ275" s="44">
        <v>20821</v>
      </c>
      <c r="AK275" s="44">
        <v>405137</v>
      </c>
      <c r="AL275" s="44">
        <v>119822</v>
      </c>
      <c r="AM275" s="44">
        <v>1.0209999999999999</v>
      </c>
      <c r="AN275" s="44">
        <v>0.62589225166143547</v>
      </c>
      <c r="AO275" s="44">
        <v>0.16</v>
      </c>
      <c r="AP275" s="44">
        <v>0.7858922516614355</v>
      </c>
      <c r="AQ275" s="44">
        <v>0.86099999999999999</v>
      </c>
      <c r="AR275" s="44">
        <v>18.329999999999998</v>
      </c>
    </row>
    <row r="276" spans="1:44">
      <c r="A276" t="s">
        <v>1066</v>
      </c>
      <c r="B276" t="s">
        <v>1067</v>
      </c>
      <c r="D276" t="s">
        <v>1639</v>
      </c>
      <c r="E276" s="44">
        <v>2410198</v>
      </c>
      <c r="F276" s="44">
        <v>9014683</v>
      </c>
      <c r="G276" s="44">
        <v>5401154</v>
      </c>
      <c r="H276" s="126">
        <v>14415837</v>
      </c>
      <c r="I276" s="127">
        <v>31660018</v>
      </c>
      <c r="J276" s="128">
        <v>628407</v>
      </c>
      <c r="K276" s="130">
        <v>46704262</v>
      </c>
      <c r="L276" s="44">
        <v>300829</v>
      </c>
      <c r="M276" s="44">
        <v>777875</v>
      </c>
      <c r="N276" s="44">
        <v>17397960</v>
      </c>
      <c r="O276" s="44">
        <v>1197561</v>
      </c>
      <c r="P276" s="44">
        <v>1060099</v>
      </c>
      <c r="Q276" s="44">
        <v>1603949</v>
      </c>
      <c r="R276" s="44">
        <v>652151</v>
      </c>
      <c r="S276" s="44">
        <v>75147</v>
      </c>
      <c r="T276" s="44">
        <v>3751099</v>
      </c>
      <c r="U276" s="44">
        <v>2332504</v>
      </c>
      <c r="V276" s="44">
        <v>0</v>
      </c>
      <c r="W276" s="44">
        <v>3236077</v>
      </c>
      <c r="X276" s="44">
        <v>1685289</v>
      </c>
      <c r="Y276" s="44">
        <v>5550171</v>
      </c>
      <c r="Z276" s="44">
        <v>2392431</v>
      </c>
      <c r="AA276" s="44">
        <v>666281</v>
      </c>
      <c r="AB276" s="44">
        <v>19568</v>
      </c>
      <c r="AC276" s="44">
        <v>42698991</v>
      </c>
      <c r="AD276" s="44">
        <v>2443336</v>
      </c>
      <c r="AE276" s="44">
        <v>995000</v>
      </c>
      <c r="AF276" s="44">
        <v>339051</v>
      </c>
      <c r="AG276" s="44">
        <v>46476378</v>
      </c>
      <c r="AH276" s="44">
        <v>2623</v>
      </c>
      <c r="AI276" s="44">
        <v>17806</v>
      </c>
      <c r="AJ276" s="44">
        <v>17719</v>
      </c>
      <c r="AK276" s="44">
        <v>548030</v>
      </c>
      <c r="AL276" s="44">
        <v>161423</v>
      </c>
      <c r="AM276" s="44">
        <v>1.3780000000000001</v>
      </c>
      <c r="AN276" s="44">
        <v>0.60397283970794802</v>
      </c>
      <c r="AO276" s="44">
        <v>0.187</v>
      </c>
      <c r="AP276" s="44">
        <v>0.79097283970794807</v>
      </c>
      <c r="AQ276" s="44">
        <v>0.85899999999999999</v>
      </c>
      <c r="AR276" s="44">
        <v>13.99</v>
      </c>
    </row>
    <row r="277" spans="1:44">
      <c r="A277" t="s">
        <v>1068</v>
      </c>
      <c r="B277" t="s">
        <v>1069</v>
      </c>
      <c r="D277" t="s">
        <v>1639</v>
      </c>
      <c r="E277" s="44">
        <v>4624311</v>
      </c>
      <c r="F277" s="44">
        <v>3675687</v>
      </c>
      <c r="G277" s="44">
        <v>2306571</v>
      </c>
      <c r="H277" s="126">
        <v>5982258</v>
      </c>
      <c r="I277" s="127">
        <v>18604760</v>
      </c>
      <c r="J277" s="128">
        <v>394540</v>
      </c>
      <c r="K277" s="130">
        <v>24981558</v>
      </c>
      <c r="L277" s="44">
        <v>161539</v>
      </c>
      <c r="M277" s="44">
        <v>839898</v>
      </c>
      <c r="N277" s="44">
        <v>8921240</v>
      </c>
      <c r="O277" s="44">
        <v>337289</v>
      </c>
      <c r="P277" s="44">
        <v>439167</v>
      </c>
      <c r="Q277" s="44">
        <v>608694</v>
      </c>
      <c r="R277" s="44">
        <v>70864</v>
      </c>
      <c r="S277" s="44">
        <v>79301</v>
      </c>
      <c r="T277" s="44">
        <v>2274434</v>
      </c>
      <c r="U277" s="44">
        <v>1103261</v>
      </c>
      <c r="V277" s="44">
        <v>0</v>
      </c>
      <c r="W277" s="44">
        <v>1498372</v>
      </c>
      <c r="X277" s="44">
        <v>917393</v>
      </c>
      <c r="Y277" s="44">
        <v>2398838</v>
      </c>
      <c r="Z277" s="44">
        <v>1573074</v>
      </c>
      <c r="AA277" s="44">
        <v>258454</v>
      </c>
      <c r="AB277" s="44">
        <v>0</v>
      </c>
      <c r="AC277" s="44">
        <v>21481818</v>
      </c>
      <c r="AD277" s="44">
        <v>1377560</v>
      </c>
      <c r="AE277" s="44">
        <v>560000</v>
      </c>
      <c r="AF277" s="44">
        <v>347879</v>
      </c>
      <c r="AG277" s="44">
        <v>23767257</v>
      </c>
      <c r="AH277" s="44">
        <v>1210</v>
      </c>
      <c r="AI277" s="44">
        <v>20646</v>
      </c>
      <c r="AJ277" s="44">
        <v>19642</v>
      </c>
      <c r="AK277" s="44">
        <v>583178</v>
      </c>
      <c r="AL277" s="44">
        <v>180144</v>
      </c>
      <c r="AM277" s="44">
        <v>1.5009999999999999</v>
      </c>
      <c r="AN277" s="44">
        <v>0.58207179734708137</v>
      </c>
      <c r="AO277" s="44">
        <v>0.18099999999999999</v>
      </c>
      <c r="AP277" s="44">
        <v>0.7630717973470813</v>
      </c>
      <c r="AQ277" s="44">
        <v>0.84350000000000003</v>
      </c>
      <c r="AR277" s="44">
        <v>8.65</v>
      </c>
    </row>
    <row r="278" spans="1:44">
      <c r="A278" t="s">
        <v>1957</v>
      </c>
      <c r="B278" t="s">
        <v>1070</v>
      </c>
      <c r="D278" t="s">
        <v>1639</v>
      </c>
      <c r="E278" s="44">
        <v>-7861766</v>
      </c>
      <c r="F278" s="44">
        <v>43350919</v>
      </c>
      <c r="G278" s="44">
        <v>3303300</v>
      </c>
      <c r="H278" s="126">
        <v>46654219</v>
      </c>
      <c r="I278" s="127">
        <v>20814444</v>
      </c>
      <c r="J278" s="128">
        <v>4076574</v>
      </c>
      <c r="K278" s="130">
        <v>71545237</v>
      </c>
      <c r="L278" s="44">
        <v>353924</v>
      </c>
      <c r="M278" s="44">
        <v>1493400</v>
      </c>
      <c r="N278" s="44">
        <v>20608166</v>
      </c>
      <c r="O278" s="44">
        <v>1055326</v>
      </c>
      <c r="P278" s="44">
        <v>1770221</v>
      </c>
      <c r="Q278" s="44">
        <v>4922763</v>
      </c>
      <c r="R278" s="44">
        <v>807708</v>
      </c>
      <c r="S278" s="44">
        <v>1179922</v>
      </c>
      <c r="T278" s="44">
        <v>3881936</v>
      </c>
      <c r="U278" s="44">
        <v>5894760</v>
      </c>
      <c r="V278" s="44">
        <v>0</v>
      </c>
      <c r="W278" s="44">
        <v>3527186</v>
      </c>
      <c r="X278" s="44">
        <v>2356731</v>
      </c>
      <c r="Y278" s="44">
        <v>5858425</v>
      </c>
      <c r="Z278" s="44">
        <v>3222274</v>
      </c>
      <c r="AA278" s="44">
        <v>1119493</v>
      </c>
      <c r="AB278" s="44">
        <v>586882</v>
      </c>
      <c r="AC278" s="44">
        <v>58639117</v>
      </c>
      <c r="AD278" s="44">
        <v>3484720</v>
      </c>
      <c r="AE278" s="44">
        <v>2030000</v>
      </c>
      <c r="AF278" s="44">
        <v>4872663</v>
      </c>
      <c r="AG278" s="44">
        <v>69026500</v>
      </c>
      <c r="AH278" s="44">
        <v>2927</v>
      </c>
      <c r="AI278" s="44">
        <v>24443</v>
      </c>
      <c r="AJ278" s="44">
        <v>23583</v>
      </c>
      <c r="AK278" s="44">
        <v>244262</v>
      </c>
      <c r="AL278" s="44">
        <v>66506</v>
      </c>
      <c r="AM278" s="44">
        <v>0.59200000000000008</v>
      </c>
      <c r="AN278" s="44">
        <v>0.58123766959066447</v>
      </c>
      <c r="AO278" s="44">
        <v>0.15</v>
      </c>
      <c r="AP278" s="44">
        <v>0.7312376695906645</v>
      </c>
      <c r="AQ278" s="44">
        <v>0.85880000000000001</v>
      </c>
      <c r="AR278" s="44">
        <v>19.38</v>
      </c>
    </row>
    <row r="279" spans="1:44">
      <c r="A279" t="s">
        <v>1959</v>
      </c>
      <c r="B279" t="s">
        <v>1071</v>
      </c>
      <c r="D279" t="s">
        <v>1639</v>
      </c>
      <c r="E279" s="44">
        <v>13655312</v>
      </c>
      <c r="F279" s="44">
        <v>48842035</v>
      </c>
      <c r="G279" s="44">
        <v>9941262</v>
      </c>
      <c r="H279" s="126">
        <v>58783297</v>
      </c>
      <c r="I279" s="127">
        <v>68495817</v>
      </c>
      <c r="J279" s="128">
        <v>6327565</v>
      </c>
      <c r="K279" s="130">
        <v>133606679</v>
      </c>
      <c r="L279" s="44">
        <v>298974</v>
      </c>
      <c r="M279" s="44">
        <v>1551018</v>
      </c>
      <c r="N279" s="44">
        <v>44472712</v>
      </c>
      <c r="O279" s="44">
        <v>2885985</v>
      </c>
      <c r="P279" s="44">
        <v>11803890</v>
      </c>
      <c r="Q279" s="44">
        <v>7834369</v>
      </c>
      <c r="R279" s="44">
        <v>0</v>
      </c>
      <c r="S279" s="44">
        <v>1750133</v>
      </c>
      <c r="T279" s="44">
        <v>8105972</v>
      </c>
      <c r="U279" s="44">
        <v>6011953</v>
      </c>
      <c r="V279" s="44">
        <v>0</v>
      </c>
      <c r="W279" s="44">
        <v>6669682</v>
      </c>
      <c r="X279" s="44">
        <v>4738353</v>
      </c>
      <c r="Y279" s="44">
        <v>10016704</v>
      </c>
      <c r="Z279" s="44">
        <v>7138556</v>
      </c>
      <c r="AA279" s="44">
        <v>2626785</v>
      </c>
      <c r="AB279" s="44">
        <v>1650584</v>
      </c>
      <c r="AC279" s="44">
        <v>117555670</v>
      </c>
      <c r="AD279" s="44">
        <v>6437747</v>
      </c>
      <c r="AE279" s="44">
        <v>905000</v>
      </c>
      <c r="AF279" s="44">
        <v>1611536</v>
      </c>
      <c r="AG279" s="44">
        <v>126509953</v>
      </c>
      <c r="AH279" s="44">
        <v>6622</v>
      </c>
      <c r="AI279" s="44">
        <v>20176</v>
      </c>
      <c r="AJ279" s="44">
        <v>19104</v>
      </c>
      <c r="AK279" s="44">
        <v>327179</v>
      </c>
      <c r="AL279" s="44">
        <v>87559</v>
      </c>
      <c r="AM279" s="44">
        <v>0.78699999999999992</v>
      </c>
      <c r="AN279" s="44">
        <v>0.65500786329436067</v>
      </c>
      <c r="AO279" s="44">
        <v>0.159</v>
      </c>
      <c r="AP279" s="44">
        <v>0.8140078632943607</v>
      </c>
      <c r="AQ279" s="44">
        <v>0.8871</v>
      </c>
      <c r="AR279" s="44">
        <v>20.74</v>
      </c>
    </row>
    <row r="280" spans="1:44">
      <c r="A280" t="s">
        <v>1961</v>
      </c>
      <c r="B280" t="s">
        <v>1072</v>
      </c>
      <c r="D280" t="s">
        <v>1639</v>
      </c>
      <c r="E280" s="44">
        <v>4688820</v>
      </c>
      <c r="F280" s="44">
        <v>21888524</v>
      </c>
      <c r="G280" s="44">
        <v>12042907</v>
      </c>
      <c r="H280" s="126">
        <v>33931431</v>
      </c>
      <c r="I280" s="127">
        <v>66135583</v>
      </c>
      <c r="J280" s="128">
        <v>1790647</v>
      </c>
      <c r="K280" s="130">
        <v>101857661</v>
      </c>
      <c r="L280" s="44">
        <v>419079</v>
      </c>
      <c r="M280" s="44">
        <v>1930708</v>
      </c>
      <c r="N280" s="44">
        <v>39764642</v>
      </c>
      <c r="O280" s="44">
        <v>2166229</v>
      </c>
      <c r="P280" s="44">
        <v>3078573</v>
      </c>
      <c r="Q280" s="44">
        <v>5458618</v>
      </c>
      <c r="R280" s="44">
        <v>424698</v>
      </c>
      <c r="S280" s="44">
        <v>1787640</v>
      </c>
      <c r="T280" s="44">
        <v>7078250</v>
      </c>
      <c r="U280" s="44">
        <v>4117558</v>
      </c>
      <c r="V280" s="44">
        <v>44850</v>
      </c>
      <c r="W280" s="44">
        <v>7097611</v>
      </c>
      <c r="X280" s="44">
        <v>3929336</v>
      </c>
      <c r="Y280" s="44">
        <v>7700615</v>
      </c>
      <c r="Z280" s="44">
        <v>5769565</v>
      </c>
      <c r="AA280" s="44">
        <v>1176848</v>
      </c>
      <c r="AB280" s="44">
        <v>75000</v>
      </c>
      <c r="AC280" s="44">
        <v>92019820</v>
      </c>
      <c r="AD280" s="44">
        <v>4779787</v>
      </c>
      <c r="AE280" s="44">
        <v>2788255</v>
      </c>
      <c r="AF280" s="44">
        <v>1312131</v>
      </c>
      <c r="AG280" s="44">
        <v>100899993</v>
      </c>
      <c r="AH280" s="44">
        <v>5472</v>
      </c>
      <c r="AI280" s="44">
        <v>18614</v>
      </c>
      <c r="AJ280" s="44">
        <v>18439</v>
      </c>
      <c r="AK280" s="44">
        <v>490960</v>
      </c>
      <c r="AL280" s="44">
        <v>137478</v>
      </c>
      <c r="AM280" s="44">
        <v>1.206</v>
      </c>
      <c r="AN280" s="44">
        <v>0.63306454342370466</v>
      </c>
      <c r="AO280" s="44">
        <v>0.151</v>
      </c>
      <c r="AP280" s="44">
        <v>0.78406454342370469</v>
      </c>
      <c r="AQ280" s="44">
        <v>0.85940000000000005</v>
      </c>
      <c r="AR280" s="44">
        <v>17.54</v>
      </c>
    </row>
    <row r="281" spans="1:44">
      <c r="A281" t="s">
        <v>1073</v>
      </c>
      <c r="B281" t="s">
        <v>1074</v>
      </c>
      <c r="D281" t="s">
        <v>1639</v>
      </c>
      <c r="E281" s="44">
        <v>5899718</v>
      </c>
      <c r="F281" s="44">
        <v>16565659</v>
      </c>
      <c r="G281" s="44">
        <v>11416994</v>
      </c>
      <c r="H281" s="126">
        <v>27982653</v>
      </c>
      <c r="I281" s="127">
        <v>84496103</v>
      </c>
      <c r="J281" s="128">
        <v>1736342</v>
      </c>
      <c r="K281" s="130">
        <v>114215098</v>
      </c>
      <c r="L281" s="44">
        <v>293392</v>
      </c>
      <c r="M281" s="44">
        <v>1690180</v>
      </c>
      <c r="N281" s="44">
        <v>45294352</v>
      </c>
      <c r="O281" s="44">
        <v>3131522</v>
      </c>
      <c r="P281" s="44">
        <v>3196195</v>
      </c>
      <c r="Q281" s="44">
        <v>3373625</v>
      </c>
      <c r="R281" s="44">
        <v>0</v>
      </c>
      <c r="S281" s="44">
        <v>129199</v>
      </c>
      <c r="T281" s="44">
        <v>10407782</v>
      </c>
      <c r="U281" s="44">
        <v>5241074</v>
      </c>
      <c r="V281" s="44">
        <v>436223</v>
      </c>
      <c r="W281" s="44">
        <v>7461878</v>
      </c>
      <c r="X281" s="44">
        <v>4504541</v>
      </c>
      <c r="Y281" s="44">
        <v>8437609</v>
      </c>
      <c r="Z281" s="44">
        <v>6815411</v>
      </c>
      <c r="AA281" s="44">
        <v>1716265</v>
      </c>
      <c r="AB281" s="44">
        <v>273728</v>
      </c>
      <c r="AC281" s="44">
        <v>102402976</v>
      </c>
      <c r="AD281" s="44">
        <v>4648157</v>
      </c>
      <c r="AE281" s="44">
        <v>3310397</v>
      </c>
      <c r="AF281" s="44">
        <v>2102050</v>
      </c>
      <c r="AG281" s="44">
        <v>112463580</v>
      </c>
      <c r="AH281" s="44">
        <v>6346</v>
      </c>
      <c r="AI281" s="44">
        <v>17998</v>
      </c>
      <c r="AJ281" s="44">
        <v>17722</v>
      </c>
      <c r="AK281" s="44">
        <v>623275</v>
      </c>
      <c r="AL281" s="44">
        <v>147576</v>
      </c>
      <c r="AM281" s="44">
        <v>1.42</v>
      </c>
      <c r="AN281" s="44">
        <v>0.62930371770132165</v>
      </c>
      <c r="AO281" s="44">
        <v>0.159</v>
      </c>
      <c r="AP281" s="44">
        <v>0.78830371770132168</v>
      </c>
      <c r="AQ281" s="44">
        <v>0.8679</v>
      </c>
      <c r="AR281" s="44">
        <v>15.32</v>
      </c>
    </row>
    <row r="282" spans="1:44">
      <c r="A282" t="s">
        <v>1963</v>
      </c>
      <c r="B282" t="s">
        <v>1075</v>
      </c>
      <c r="D282" t="s">
        <v>1639</v>
      </c>
      <c r="E282" s="44">
        <v>2433186</v>
      </c>
      <c r="F282" s="44">
        <v>7568786</v>
      </c>
      <c r="G282" s="44">
        <v>5191888</v>
      </c>
      <c r="H282" s="126">
        <v>12760674</v>
      </c>
      <c r="I282" s="127">
        <v>26297606</v>
      </c>
      <c r="J282" s="128">
        <v>844762</v>
      </c>
      <c r="K282" s="130">
        <v>39903042</v>
      </c>
      <c r="L282" s="44">
        <v>265836</v>
      </c>
      <c r="M282" s="44">
        <v>921651</v>
      </c>
      <c r="N282" s="44">
        <v>13553360</v>
      </c>
      <c r="O282" s="44">
        <v>1326636</v>
      </c>
      <c r="P282" s="44">
        <v>1027413</v>
      </c>
      <c r="Q282" s="44">
        <v>2880518</v>
      </c>
      <c r="R282" s="44">
        <v>572350</v>
      </c>
      <c r="S282" s="44">
        <v>703282</v>
      </c>
      <c r="T282" s="44">
        <v>2606692</v>
      </c>
      <c r="U282" s="44">
        <v>2552520</v>
      </c>
      <c r="V282" s="44">
        <v>66421</v>
      </c>
      <c r="W282" s="44">
        <v>2437846</v>
      </c>
      <c r="X282" s="44">
        <v>1451227</v>
      </c>
      <c r="Y282" s="44">
        <v>2826074</v>
      </c>
      <c r="Z282" s="44">
        <v>2148080</v>
      </c>
      <c r="AA282" s="44">
        <v>416929</v>
      </c>
      <c r="AB282" s="44">
        <v>165000</v>
      </c>
      <c r="AC282" s="44">
        <v>35921835</v>
      </c>
      <c r="AD282" s="44">
        <v>2005315</v>
      </c>
      <c r="AE282" s="44">
        <v>136199</v>
      </c>
      <c r="AF282" s="44">
        <v>89031</v>
      </c>
      <c r="AG282" s="44">
        <v>38152380</v>
      </c>
      <c r="AH282" s="44">
        <v>1732</v>
      </c>
      <c r="AI282" s="44">
        <v>23039</v>
      </c>
      <c r="AJ282" s="44">
        <v>22028</v>
      </c>
      <c r="AK282" s="44">
        <v>656702</v>
      </c>
      <c r="AL282" s="44">
        <v>167100</v>
      </c>
      <c r="AM282" s="44">
        <v>1.544</v>
      </c>
      <c r="AN282" s="44">
        <v>0.66110609613345217</v>
      </c>
      <c r="AO282" s="44">
        <v>0.15</v>
      </c>
      <c r="AP282" s="44">
        <v>0.81110609613345219</v>
      </c>
      <c r="AQ282" s="44">
        <v>0.8609</v>
      </c>
      <c r="AR282" s="44">
        <v>15.6</v>
      </c>
    </row>
    <row r="283" spans="1:44">
      <c r="A283" t="s">
        <v>1076</v>
      </c>
      <c r="B283" t="s">
        <v>1077</v>
      </c>
      <c r="D283" t="s">
        <v>1639</v>
      </c>
      <c r="E283" s="44">
        <v>1877198</v>
      </c>
      <c r="F283" s="44">
        <v>8707969</v>
      </c>
      <c r="G283" s="44">
        <v>4729587</v>
      </c>
      <c r="H283" s="126">
        <v>13437556</v>
      </c>
      <c r="I283" s="127">
        <v>22978723</v>
      </c>
      <c r="J283" s="128">
        <v>714357</v>
      </c>
      <c r="K283" s="130">
        <v>37130636</v>
      </c>
      <c r="L283" s="44">
        <v>209215</v>
      </c>
      <c r="M283" s="44">
        <v>794423</v>
      </c>
      <c r="N283" s="44">
        <v>16182452</v>
      </c>
      <c r="O283" s="44">
        <v>595329</v>
      </c>
      <c r="P283" s="44">
        <v>680110</v>
      </c>
      <c r="Q283" s="44">
        <v>927914</v>
      </c>
      <c r="R283" s="44">
        <v>773708</v>
      </c>
      <c r="S283" s="44">
        <v>85551</v>
      </c>
      <c r="T283" s="44">
        <v>2466035</v>
      </c>
      <c r="U283" s="44">
        <v>1403926</v>
      </c>
      <c r="V283" s="44">
        <v>95533</v>
      </c>
      <c r="W283" s="44">
        <v>1876702</v>
      </c>
      <c r="X283" s="44">
        <v>1629923</v>
      </c>
      <c r="Y283" s="44">
        <v>2613706</v>
      </c>
      <c r="Z283" s="44">
        <v>1980028</v>
      </c>
      <c r="AA283" s="44">
        <v>522555</v>
      </c>
      <c r="AB283" s="44">
        <v>407816</v>
      </c>
      <c r="AC283" s="44">
        <v>33244926</v>
      </c>
      <c r="AD283" s="44">
        <v>2074280</v>
      </c>
      <c r="AE283" s="44">
        <v>17086</v>
      </c>
      <c r="AF283" s="44">
        <v>100374</v>
      </c>
      <c r="AG283" s="44">
        <v>35436666</v>
      </c>
      <c r="AH283" s="44">
        <v>2167</v>
      </c>
      <c r="AI283" s="44">
        <v>17135</v>
      </c>
      <c r="AJ283" s="44">
        <v>16353</v>
      </c>
      <c r="AK283" s="44">
        <v>495241</v>
      </c>
      <c r="AL283" s="44">
        <v>145325</v>
      </c>
      <c r="AM283" s="44">
        <v>1.2429999999999999</v>
      </c>
      <c r="AN283" s="44">
        <v>0.65229118901874117</v>
      </c>
      <c r="AO283" s="44">
        <v>0.16</v>
      </c>
      <c r="AP283" s="44">
        <v>0.8122911890187412</v>
      </c>
      <c r="AQ283" s="44">
        <v>0.87380000000000002</v>
      </c>
      <c r="AR283" s="44">
        <v>7.17</v>
      </c>
    </row>
    <row r="284" spans="1:44">
      <c r="A284" t="s">
        <v>1078</v>
      </c>
      <c r="B284" t="s">
        <v>1079</v>
      </c>
      <c r="D284" t="s">
        <v>1639</v>
      </c>
      <c r="E284" s="44">
        <v>4761022</v>
      </c>
      <c r="F284" s="44">
        <v>5802169</v>
      </c>
      <c r="G284" s="44">
        <v>7561562</v>
      </c>
      <c r="H284" s="126">
        <v>13363731</v>
      </c>
      <c r="I284" s="127">
        <v>70981845</v>
      </c>
      <c r="J284" s="128">
        <v>1329395</v>
      </c>
      <c r="K284" s="130">
        <v>85674971</v>
      </c>
      <c r="L284" s="44">
        <v>770716</v>
      </c>
      <c r="M284" s="44">
        <v>2146902</v>
      </c>
      <c r="N284" s="44">
        <v>27103426</v>
      </c>
      <c r="O284" s="44">
        <v>2116016</v>
      </c>
      <c r="P284" s="44">
        <v>1997159</v>
      </c>
      <c r="Q284" s="44">
        <v>2355971</v>
      </c>
      <c r="R284" s="44">
        <v>132008</v>
      </c>
      <c r="S284" s="44">
        <v>797157</v>
      </c>
      <c r="T284" s="44">
        <v>7559821</v>
      </c>
      <c r="U284" s="44">
        <v>4096440</v>
      </c>
      <c r="V284" s="44">
        <v>466491</v>
      </c>
      <c r="W284" s="44">
        <v>6637033</v>
      </c>
      <c r="X284" s="44">
        <v>2902379</v>
      </c>
      <c r="Y284" s="44">
        <v>6609802</v>
      </c>
      <c r="Z284" s="44">
        <v>5180933</v>
      </c>
      <c r="AA284" s="44">
        <v>1221525</v>
      </c>
      <c r="AB284" s="44">
        <v>1889102</v>
      </c>
      <c r="AC284" s="44">
        <v>73982881</v>
      </c>
      <c r="AD284" s="44">
        <v>3689372</v>
      </c>
      <c r="AE284" s="44">
        <v>2111545</v>
      </c>
      <c r="AF284" s="44">
        <v>1113834</v>
      </c>
      <c r="AG284" s="44">
        <v>80897632</v>
      </c>
      <c r="AH284" s="44">
        <v>3204</v>
      </c>
      <c r="AI284" s="44">
        <v>26740</v>
      </c>
      <c r="AJ284" s="44">
        <v>25249</v>
      </c>
      <c r="AK284" s="44">
        <v>859344</v>
      </c>
      <c r="AL284" s="44">
        <v>270986</v>
      </c>
      <c r="AM284" s="44">
        <v>2.2360000000000002</v>
      </c>
      <c r="AN284" s="44">
        <v>0.57057291862387272</v>
      </c>
      <c r="AO284" s="44">
        <v>0.157</v>
      </c>
      <c r="AP284" s="44">
        <v>0.72757291862387274</v>
      </c>
      <c r="AQ284" s="44">
        <v>0.81599999999999995</v>
      </c>
      <c r="AR284" s="44">
        <v>18.329999999999998</v>
      </c>
    </row>
    <row r="285" spans="1:44">
      <c r="A285" t="s">
        <v>1080</v>
      </c>
      <c r="B285" t="s">
        <v>1081</v>
      </c>
      <c r="D285" t="s">
        <v>1639</v>
      </c>
      <c r="E285" s="44">
        <v>11087613</v>
      </c>
      <c r="F285" s="44">
        <v>8240719</v>
      </c>
      <c r="G285" s="44">
        <v>5786929</v>
      </c>
      <c r="H285" s="126">
        <v>14027648</v>
      </c>
      <c r="I285" s="127">
        <v>74747942</v>
      </c>
      <c r="J285" s="128">
        <v>2385322</v>
      </c>
      <c r="K285" s="130">
        <v>91160912</v>
      </c>
      <c r="L285" s="44">
        <v>711608</v>
      </c>
      <c r="M285" s="44">
        <v>1328300</v>
      </c>
      <c r="N285" s="44">
        <v>32353457</v>
      </c>
      <c r="O285" s="44">
        <v>2629110</v>
      </c>
      <c r="P285" s="44">
        <v>2347744</v>
      </c>
      <c r="Q285" s="44">
        <v>4471453</v>
      </c>
      <c r="R285" s="44">
        <v>0</v>
      </c>
      <c r="S285" s="44">
        <v>1131640</v>
      </c>
      <c r="T285" s="44">
        <v>6885505</v>
      </c>
      <c r="U285" s="44">
        <v>5681144</v>
      </c>
      <c r="V285" s="44">
        <v>0</v>
      </c>
      <c r="W285" s="44">
        <v>6030061</v>
      </c>
      <c r="X285" s="44">
        <v>3105589</v>
      </c>
      <c r="Y285" s="44">
        <v>7156961</v>
      </c>
      <c r="Z285" s="44">
        <v>5425801</v>
      </c>
      <c r="AA285" s="44">
        <v>2026186</v>
      </c>
      <c r="AB285" s="44">
        <v>0</v>
      </c>
      <c r="AC285" s="44">
        <v>81284559</v>
      </c>
      <c r="AD285" s="44">
        <v>8338913</v>
      </c>
      <c r="AE285" s="44">
        <v>319850</v>
      </c>
      <c r="AF285" s="44">
        <v>314733</v>
      </c>
      <c r="AG285" s="44">
        <v>90258055</v>
      </c>
      <c r="AH285" s="44">
        <v>3296</v>
      </c>
      <c r="AI285" s="44">
        <v>27658</v>
      </c>
      <c r="AJ285" s="44">
        <v>27384</v>
      </c>
      <c r="AK285" s="44">
        <v>1276960</v>
      </c>
      <c r="AL285" s="44">
        <v>353405</v>
      </c>
      <c r="AM285" s="44">
        <v>3.12</v>
      </c>
      <c r="AN285" s="44">
        <v>0.61490415453778613</v>
      </c>
      <c r="AO285" s="44">
        <v>0.157</v>
      </c>
      <c r="AP285" s="44">
        <v>0.77190415453778616</v>
      </c>
      <c r="AQ285" s="44">
        <v>0.85680000000000001</v>
      </c>
      <c r="AR285" s="44">
        <v>11.27</v>
      </c>
    </row>
    <row r="286" spans="1:44">
      <c r="A286" t="s">
        <v>1965</v>
      </c>
      <c r="B286" t="s">
        <v>1082</v>
      </c>
      <c r="D286" t="s">
        <v>1639</v>
      </c>
      <c r="E286" s="44">
        <v>5242765</v>
      </c>
      <c r="F286" s="44">
        <v>17947616</v>
      </c>
      <c r="G286" s="44">
        <v>6089491</v>
      </c>
      <c r="H286" s="126">
        <v>24037107</v>
      </c>
      <c r="I286" s="127">
        <v>38662544</v>
      </c>
      <c r="J286" s="128">
        <v>1552648</v>
      </c>
      <c r="K286" s="130">
        <v>64252299</v>
      </c>
      <c r="L286" s="44">
        <v>445290</v>
      </c>
      <c r="M286" s="44">
        <v>1026542</v>
      </c>
      <c r="N286" s="44">
        <v>23306416</v>
      </c>
      <c r="O286" s="44">
        <v>1203869</v>
      </c>
      <c r="P286" s="44">
        <v>1970693</v>
      </c>
      <c r="Q286" s="44">
        <v>1835883</v>
      </c>
      <c r="R286" s="44">
        <v>14229</v>
      </c>
      <c r="S286" s="44">
        <v>342090</v>
      </c>
      <c r="T286" s="44">
        <v>4719575</v>
      </c>
      <c r="U286" s="44">
        <v>2433242</v>
      </c>
      <c r="V286" s="44">
        <v>0</v>
      </c>
      <c r="W286" s="44">
        <v>4522533</v>
      </c>
      <c r="X286" s="44">
        <v>2356010</v>
      </c>
      <c r="Y286" s="44">
        <v>5386807</v>
      </c>
      <c r="Z286" s="44">
        <v>3825343</v>
      </c>
      <c r="AA286" s="44">
        <v>1387637</v>
      </c>
      <c r="AB286" s="44">
        <v>1277353</v>
      </c>
      <c r="AC286" s="44">
        <v>56053512</v>
      </c>
      <c r="AD286" s="44">
        <v>2926579</v>
      </c>
      <c r="AE286" s="44">
        <v>1481697</v>
      </c>
      <c r="AF286" s="44">
        <v>1287121</v>
      </c>
      <c r="AG286" s="44">
        <v>61748909</v>
      </c>
      <c r="AH286" s="44">
        <v>4108</v>
      </c>
      <c r="AI286" s="44">
        <v>15641</v>
      </c>
      <c r="AJ286" s="44">
        <v>15031</v>
      </c>
      <c r="AK286" s="44">
        <v>413821</v>
      </c>
      <c r="AL286" s="44">
        <v>104076</v>
      </c>
      <c r="AM286" s="44">
        <v>0.96799999999999997</v>
      </c>
      <c r="AN286" s="44">
        <v>0.58018833984581009</v>
      </c>
      <c r="AO286" s="44">
        <v>0.159</v>
      </c>
      <c r="AP286" s="44">
        <v>0.73918833984581012</v>
      </c>
      <c r="AQ286" s="44">
        <v>0.83340000000000003</v>
      </c>
      <c r="AR286" s="44">
        <v>8.68</v>
      </c>
    </row>
    <row r="287" spans="1:44">
      <c r="A287" t="s">
        <v>1083</v>
      </c>
      <c r="B287" t="s">
        <v>1084</v>
      </c>
      <c r="D287" t="s">
        <v>1639</v>
      </c>
      <c r="E287" s="44">
        <v>3356286</v>
      </c>
      <c r="F287" s="44">
        <v>6636937</v>
      </c>
      <c r="G287" s="44">
        <v>3619982</v>
      </c>
      <c r="H287" s="126">
        <v>10256919</v>
      </c>
      <c r="I287" s="127">
        <v>18606081</v>
      </c>
      <c r="J287" s="128">
        <v>623082</v>
      </c>
      <c r="K287" s="130">
        <v>29486082</v>
      </c>
      <c r="L287" s="44">
        <v>204520</v>
      </c>
      <c r="M287" s="44">
        <v>816849</v>
      </c>
      <c r="N287" s="44">
        <v>11221219</v>
      </c>
      <c r="O287" s="44">
        <v>209405</v>
      </c>
      <c r="P287" s="44">
        <v>828133</v>
      </c>
      <c r="Q287" s="44">
        <v>470274</v>
      </c>
      <c r="R287" s="44">
        <v>297881</v>
      </c>
      <c r="S287" s="44">
        <v>340298</v>
      </c>
      <c r="T287" s="44">
        <v>1655110</v>
      </c>
      <c r="U287" s="44">
        <v>1726063</v>
      </c>
      <c r="V287" s="44">
        <v>93814</v>
      </c>
      <c r="W287" s="44">
        <v>1484036</v>
      </c>
      <c r="X287" s="44">
        <v>1125624</v>
      </c>
      <c r="Y287" s="44">
        <v>2167671</v>
      </c>
      <c r="Z287" s="44">
        <v>1579679</v>
      </c>
      <c r="AA287" s="44">
        <v>590371</v>
      </c>
      <c r="AB287" s="44">
        <v>0</v>
      </c>
      <c r="AC287" s="44">
        <v>24810947</v>
      </c>
      <c r="AD287" s="44">
        <v>1180356</v>
      </c>
      <c r="AE287" s="44">
        <v>940016</v>
      </c>
      <c r="AF287" s="44">
        <v>892978</v>
      </c>
      <c r="AG287" s="44">
        <v>27824297</v>
      </c>
      <c r="AH287" s="44">
        <v>1925</v>
      </c>
      <c r="AI287" s="44">
        <v>15317</v>
      </c>
      <c r="AJ287" s="44">
        <v>14454</v>
      </c>
      <c r="AK287" s="44">
        <v>520227</v>
      </c>
      <c r="AL287" s="44">
        <v>129717</v>
      </c>
      <c r="AM287" s="44">
        <v>1.2120000000000002</v>
      </c>
      <c r="AN287" s="44">
        <v>0.60193373439048614</v>
      </c>
      <c r="AO287" s="44">
        <v>0.14899999999999999</v>
      </c>
      <c r="AP287" s="44">
        <v>0.75093373439048616</v>
      </c>
      <c r="AQ287" s="44">
        <v>0.83960000000000001</v>
      </c>
      <c r="AR287" s="44">
        <v>6.04</v>
      </c>
    </row>
    <row r="288" spans="1:44">
      <c r="A288" t="s">
        <v>1085</v>
      </c>
      <c r="B288" t="s">
        <v>1086</v>
      </c>
      <c r="D288" t="s">
        <v>1639</v>
      </c>
      <c r="E288" s="44">
        <v>5513264</v>
      </c>
      <c r="F288" s="44">
        <v>5408581</v>
      </c>
      <c r="G288" s="44">
        <v>4544313</v>
      </c>
      <c r="H288" s="126">
        <v>9952894</v>
      </c>
      <c r="I288" s="127">
        <v>75004176</v>
      </c>
      <c r="J288" s="128">
        <v>983648</v>
      </c>
      <c r="K288" s="130">
        <v>85940718</v>
      </c>
      <c r="L288" s="44">
        <v>365816</v>
      </c>
      <c r="M288" s="44">
        <v>1617670</v>
      </c>
      <c r="N288" s="44">
        <v>29938700</v>
      </c>
      <c r="O288" s="44">
        <v>1700589</v>
      </c>
      <c r="P288" s="44">
        <v>2811835</v>
      </c>
      <c r="Q288" s="44">
        <v>1484994</v>
      </c>
      <c r="R288" s="44">
        <v>299096</v>
      </c>
      <c r="S288" s="44">
        <v>460018</v>
      </c>
      <c r="T288" s="44">
        <v>6523476</v>
      </c>
      <c r="U288" s="44">
        <v>4426960</v>
      </c>
      <c r="V288" s="44">
        <v>26428</v>
      </c>
      <c r="W288" s="44">
        <v>6107866</v>
      </c>
      <c r="X288" s="44">
        <v>3053170</v>
      </c>
      <c r="Y288" s="44">
        <v>8536609</v>
      </c>
      <c r="Z288" s="44">
        <v>5753521</v>
      </c>
      <c r="AA288" s="44">
        <v>1519850</v>
      </c>
      <c r="AB288" s="44">
        <v>1250000</v>
      </c>
      <c r="AC288" s="44">
        <v>75876598</v>
      </c>
      <c r="AD288" s="44">
        <v>3517304</v>
      </c>
      <c r="AE288" s="44">
        <v>2378948</v>
      </c>
      <c r="AF288" s="44">
        <v>1555194</v>
      </c>
      <c r="AG288" s="44">
        <v>83328044</v>
      </c>
      <c r="AH288" s="44">
        <v>4298</v>
      </c>
      <c r="AI288" s="44">
        <v>19996</v>
      </c>
      <c r="AJ288" s="44">
        <v>19388</v>
      </c>
      <c r="AK288" s="44">
        <v>1070792</v>
      </c>
      <c r="AL288" s="44">
        <v>319074</v>
      </c>
      <c r="AM288" s="44">
        <v>2.7089999999999996</v>
      </c>
      <c r="AN288" s="44">
        <v>0.57178430829361604</v>
      </c>
      <c r="AO288" s="44">
        <v>0.17599999999999999</v>
      </c>
      <c r="AP288" s="44">
        <v>0.74778430829361597</v>
      </c>
      <c r="AQ288" s="44">
        <v>0.83379999999999999</v>
      </c>
      <c r="AR288" s="44">
        <v>11.67</v>
      </c>
    </row>
    <row r="289" spans="1:44">
      <c r="A289" t="s">
        <v>1087</v>
      </c>
      <c r="B289" t="s">
        <v>1088</v>
      </c>
      <c r="D289" t="s">
        <v>1639</v>
      </c>
      <c r="E289" s="44">
        <v>1638553</v>
      </c>
      <c r="F289" s="44">
        <v>5148705</v>
      </c>
      <c r="G289" s="44">
        <v>3624667</v>
      </c>
      <c r="H289" s="126">
        <v>8773372</v>
      </c>
      <c r="I289" s="127">
        <v>19055806</v>
      </c>
      <c r="J289" s="128">
        <v>538225</v>
      </c>
      <c r="K289" s="130">
        <v>28367403</v>
      </c>
      <c r="L289" s="44">
        <v>154032</v>
      </c>
      <c r="M289" s="44">
        <v>1077984</v>
      </c>
      <c r="N289" s="44">
        <v>9884053</v>
      </c>
      <c r="O289" s="44">
        <v>766196</v>
      </c>
      <c r="P289" s="44">
        <v>1120040</v>
      </c>
      <c r="Q289" s="44">
        <v>1675947</v>
      </c>
      <c r="R289" s="44">
        <v>304780</v>
      </c>
      <c r="S289" s="44">
        <v>492629</v>
      </c>
      <c r="T289" s="44">
        <v>2210919</v>
      </c>
      <c r="U289" s="44">
        <v>1031408</v>
      </c>
      <c r="V289" s="44">
        <v>43257</v>
      </c>
      <c r="W289" s="44">
        <v>1566609</v>
      </c>
      <c r="X289" s="44">
        <v>1040087</v>
      </c>
      <c r="Y289" s="44">
        <v>1769820</v>
      </c>
      <c r="Z289" s="44">
        <v>1652301</v>
      </c>
      <c r="AA289" s="44">
        <v>636512</v>
      </c>
      <c r="AB289" s="44">
        <v>100000</v>
      </c>
      <c r="AC289" s="44">
        <v>25526574</v>
      </c>
      <c r="AD289" s="44">
        <v>1031613</v>
      </c>
      <c r="AE289" s="44">
        <v>411489</v>
      </c>
      <c r="AF289" s="44">
        <v>676186</v>
      </c>
      <c r="AG289" s="44">
        <v>27645862</v>
      </c>
      <c r="AH289" s="44">
        <v>1324</v>
      </c>
      <c r="AI289" s="44">
        <v>21426</v>
      </c>
      <c r="AJ289" s="44">
        <v>20881</v>
      </c>
      <c r="AK289" s="44">
        <v>573056</v>
      </c>
      <c r="AL289" s="44">
        <v>142301</v>
      </c>
      <c r="AM289" s="44">
        <v>1.333</v>
      </c>
      <c r="AN289" s="44">
        <v>0.63249870812492659</v>
      </c>
      <c r="AO289" s="44">
        <v>0.13900000000000001</v>
      </c>
      <c r="AP289" s="44">
        <v>0.7714987081249266</v>
      </c>
      <c r="AQ289" s="44">
        <v>0.83640000000000003</v>
      </c>
      <c r="AR289" s="44">
        <v>16.88</v>
      </c>
    </row>
    <row r="290" spans="1:44">
      <c r="A290" t="s">
        <v>1089</v>
      </c>
      <c r="B290" t="s">
        <v>1090</v>
      </c>
      <c r="D290" t="s">
        <v>1639</v>
      </c>
      <c r="E290" s="44">
        <v>3497505</v>
      </c>
      <c r="F290" s="44">
        <v>6655198</v>
      </c>
      <c r="G290" s="44">
        <v>5922237</v>
      </c>
      <c r="H290" s="126">
        <v>12577435</v>
      </c>
      <c r="I290" s="127">
        <v>47513429</v>
      </c>
      <c r="J290" s="128">
        <v>748103</v>
      </c>
      <c r="K290" s="130">
        <v>60838967</v>
      </c>
      <c r="L290" s="44">
        <v>270117</v>
      </c>
      <c r="M290" s="44">
        <v>903888</v>
      </c>
      <c r="N290" s="44">
        <v>22730866</v>
      </c>
      <c r="O290" s="44">
        <v>1272929</v>
      </c>
      <c r="P290" s="44">
        <v>2033023</v>
      </c>
      <c r="Q290" s="44">
        <v>2705478</v>
      </c>
      <c r="R290" s="44">
        <v>719121</v>
      </c>
      <c r="S290" s="44">
        <v>120827</v>
      </c>
      <c r="T290" s="44">
        <v>4697010</v>
      </c>
      <c r="U290" s="44">
        <v>2405183</v>
      </c>
      <c r="V290" s="44">
        <v>147101</v>
      </c>
      <c r="W290" s="44">
        <v>5322025</v>
      </c>
      <c r="X290" s="44">
        <v>2462074</v>
      </c>
      <c r="Y290" s="44">
        <v>5607908</v>
      </c>
      <c r="Z290" s="44">
        <v>3269355</v>
      </c>
      <c r="AA290" s="44">
        <v>981811</v>
      </c>
      <c r="AB290" s="44">
        <v>1183904</v>
      </c>
      <c r="AC290" s="44">
        <v>56832620</v>
      </c>
      <c r="AD290" s="44">
        <v>1639366</v>
      </c>
      <c r="AE290" s="44">
        <v>870000</v>
      </c>
      <c r="AF290" s="44">
        <v>370187</v>
      </c>
      <c r="AG290" s="44">
        <v>59712173</v>
      </c>
      <c r="AH290" s="44">
        <v>3143</v>
      </c>
      <c r="AI290" s="44">
        <v>19357</v>
      </c>
      <c r="AJ290" s="44">
        <v>18998</v>
      </c>
      <c r="AK290" s="44">
        <v>607819</v>
      </c>
      <c r="AL290" s="44">
        <v>150311</v>
      </c>
      <c r="AM290" s="44">
        <v>1.4119999999999999</v>
      </c>
      <c r="AN290" s="44">
        <v>0.61435441312778882</v>
      </c>
      <c r="AO290" s="44">
        <v>0.16900000000000001</v>
      </c>
      <c r="AP290" s="44">
        <v>0.78335441312778886</v>
      </c>
      <c r="AQ290" s="44">
        <v>0.83879999999999999</v>
      </c>
      <c r="AR290" s="44">
        <v>17.739999999999998</v>
      </c>
    </row>
    <row r="291" spans="1:44">
      <c r="A291" t="s">
        <v>1967</v>
      </c>
      <c r="B291" t="s">
        <v>1091</v>
      </c>
      <c r="D291" t="s">
        <v>1639</v>
      </c>
      <c r="E291" s="44">
        <v>5115964</v>
      </c>
      <c r="F291" s="44">
        <v>7576131</v>
      </c>
      <c r="G291" s="44">
        <v>5882023</v>
      </c>
      <c r="H291" s="126">
        <v>13458154</v>
      </c>
      <c r="I291" s="127">
        <v>65937450</v>
      </c>
      <c r="J291" s="128">
        <v>1142193</v>
      </c>
      <c r="K291" s="130">
        <v>80537797</v>
      </c>
      <c r="L291" s="44">
        <v>356191</v>
      </c>
      <c r="M291" s="44">
        <v>1644388</v>
      </c>
      <c r="N291" s="44">
        <v>30321414</v>
      </c>
      <c r="O291" s="44">
        <v>2090869</v>
      </c>
      <c r="P291" s="44">
        <v>2126704</v>
      </c>
      <c r="Q291" s="44">
        <v>2817843</v>
      </c>
      <c r="R291" s="44">
        <v>151342</v>
      </c>
      <c r="S291" s="44">
        <v>551422</v>
      </c>
      <c r="T291" s="44">
        <v>8223055</v>
      </c>
      <c r="U291" s="44">
        <v>3030644</v>
      </c>
      <c r="V291" s="44">
        <v>36257</v>
      </c>
      <c r="W291" s="44">
        <v>4880435</v>
      </c>
      <c r="X291" s="44">
        <v>3087922</v>
      </c>
      <c r="Y291" s="44">
        <v>7371549</v>
      </c>
      <c r="Z291" s="44">
        <v>4965669</v>
      </c>
      <c r="AA291" s="44">
        <v>1370417</v>
      </c>
      <c r="AB291" s="44">
        <v>0</v>
      </c>
      <c r="AC291" s="44">
        <v>73026121</v>
      </c>
      <c r="AD291" s="44">
        <v>2675564</v>
      </c>
      <c r="AE291" s="44">
        <v>1079994</v>
      </c>
      <c r="AF291" s="44">
        <v>1261212</v>
      </c>
      <c r="AG291" s="44">
        <v>78042891</v>
      </c>
      <c r="AH291" s="44">
        <v>3654</v>
      </c>
      <c r="AI291" s="44">
        <v>22041</v>
      </c>
      <c r="AJ291" s="44">
        <v>21358</v>
      </c>
      <c r="AK291" s="44">
        <v>704009</v>
      </c>
      <c r="AL291" s="44">
        <v>236784</v>
      </c>
      <c r="AM291" s="44">
        <v>1.8919999999999999</v>
      </c>
      <c r="AN291" s="44">
        <v>0.63187424720081165</v>
      </c>
      <c r="AO291" s="44">
        <v>0.17799999999999999</v>
      </c>
      <c r="AP291" s="44">
        <v>0.80987424720081158</v>
      </c>
      <c r="AQ291" s="44">
        <v>0.86529999999999996</v>
      </c>
      <c r="AR291" s="44">
        <v>16.559999999999999</v>
      </c>
    </row>
    <row r="292" spans="1:44">
      <c r="A292" t="s">
        <v>1092</v>
      </c>
      <c r="B292" t="s">
        <v>1093</v>
      </c>
      <c r="D292" t="s">
        <v>1639</v>
      </c>
      <c r="E292" s="44">
        <v>6619680</v>
      </c>
      <c r="F292" s="44">
        <v>3401414</v>
      </c>
      <c r="G292" s="44">
        <v>2217858</v>
      </c>
      <c r="H292" s="126">
        <v>5619272</v>
      </c>
      <c r="I292" s="127">
        <v>15850914</v>
      </c>
      <c r="J292" s="128">
        <v>394547</v>
      </c>
      <c r="K292" s="130">
        <v>21864733</v>
      </c>
      <c r="L292" s="44">
        <v>177646</v>
      </c>
      <c r="M292" s="44">
        <v>521164</v>
      </c>
      <c r="N292" s="44">
        <v>9263723</v>
      </c>
      <c r="O292" s="44">
        <v>108371</v>
      </c>
      <c r="P292" s="44">
        <v>370344</v>
      </c>
      <c r="Q292" s="44">
        <v>727156</v>
      </c>
      <c r="R292" s="44">
        <v>123325</v>
      </c>
      <c r="S292" s="44">
        <v>158421</v>
      </c>
      <c r="T292" s="44">
        <v>1455929</v>
      </c>
      <c r="U292" s="44">
        <v>737494</v>
      </c>
      <c r="V292" s="44">
        <v>296648</v>
      </c>
      <c r="W292" s="44">
        <v>1109097</v>
      </c>
      <c r="X292" s="44">
        <v>896437</v>
      </c>
      <c r="Y292" s="44">
        <v>1857346</v>
      </c>
      <c r="Z292" s="44">
        <v>1276596</v>
      </c>
      <c r="AA292" s="44">
        <v>292896</v>
      </c>
      <c r="AB292" s="44">
        <v>425000</v>
      </c>
      <c r="AC292" s="44">
        <v>19797593</v>
      </c>
      <c r="AD292" s="44">
        <v>667620</v>
      </c>
      <c r="AE292" s="44">
        <v>645000</v>
      </c>
      <c r="AF292" s="44">
        <v>135083</v>
      </c>
      <c r="AG292" s="44">
        <v>21245296</v>
      </c>
      <c r="AH292" s="44">
        <v>1440</v>
      </c>
      <c r="AI292" s="44">
        <v>15184</v>
      </c>
      <c r="AJ292" s="44">
        <v>14754</v>
      </c>
      <c r="AK292" s="44">
        <v>572772</v>
      </c>
      <c r="AL292" s="44">
        <v>169388</v>
      </c>
      <c r="AM292" s="44">
        <v>1.444</v>
      </c>
      <c r="AN292" s="44">
        <v>0.60930019520556455</v>
      </c>
      <c r="AO292" s="44">
        <v>0.16200000000000001</v>
      </c>
      <c r="AP292" s="44">
        <v>0.77130019520556459</v>
      </c>
      <c r="AQ292" s="44">
        <v>0.84350000000000003</v>
      </c>
      <c r="AR292" s="44">
        <v>6.11</v>
      </c>
    </row>
    <row r="293" spans="1:44">
      <c r="A293" t="s">
        <v>1094</v>
      </c>
      <c r="B293" t="s">
        <v>1095</v>
      </c>
      <c r="D293" t="s">
        <v>1639</v>
      </c>
      <c r="E293" s="44">
        <v>2522910</v>
      </c>
      <c r="F293" s="44">
        <v>13108175</v>
      </c>
      <c r="G293" s="44">
        <v>6396349</v>
      </c>
      <c r="H293" s="126">
        <v>19504524</v>
      </c>
      <c r="I293" s="127">
        <v>37589424</v>
      </c>
      <c r="J293" s="128">
        <v>794167</v>
      </c>
      <c r="K293" s="130">
        <v>57888115</v>
      </c>
      <c r="L293" s="44">
        <v>149934</v>
      </c>
      <c r="M293" s="44">
        <v>975604</v>
      </c>
      <c r="N293" s="44">
        <v>22709666</v>
      </c>
      <c r="O293" s="44">
        <v>1235971</v>
      </c>
      <c r="P293" s="44">
        <v>2175122</v>
      </c>
      <c r="Q293" s="44">
        <v>1143268</v>
      </c>
      <c r="R293" s="44">
        <v>335509</v>
      </c>
      <c r="S293" s="44">
        <v>881839</v>
      </c>
      <c r="T293" s="44">
        <v>4241745</v>
      </c>
      <c r="U293" s="44">
        <v>2924933</v>
      </c>
      <c r="V293" s="44">
        <v>37249</v>
      </c>
      <c r="W293" s="44">
        <v>4174963</v>
      </c>
      <c r="X293" s="44">
        <v>2300389</v>
      </c>
      <c r="Y293" s="44">
        <v>5542028</v>
      </c>
      <c r="Z293" s="44">
        <v>3671867</v>
      </c>
      <c r="AA293" s="44">
        <v>1078020</v>
      </c>
      <c r="AB293" s="44">
        <v>0</v>
      </c>
      <c r="AC293" s="44">
        <v>53578107</v>
      </c>
      <c r="AD293" s="44">
        <v>2360260</v>
      </c>
      <c r="AE293" s="44">
        <v>737388</v>
      </c>
      <c r="AF293" s="44">
        <v>1180377</v>
      </c>
      <c r="AG293" s="44">
        <v>57856132</v>
      </c>
      <c r="AH293" s="44">
        <v>3631</v>
      </c>
      <c r="AI293" s="44">
        <v>15943</v>
      </c>
      <c r="AJ293" s="44">
        <v>15934</v>
      </c>
      <c r="AK293" s="44">
        <v>460729</v>
      </c>
      <c r="AL293" s="44">
        <v>141781</v>
      </c>
      <c r="AM293" s="44">
        <v>1.1839999999999999</v>
      </c>
      <c r="AN293" s="44">
        <v>0.61614995278287876</v>
      </c>
      <c r="AO293" s="44">
        <v>0.17799999999999999</v>
      </c>
      <c r="AP293" s="44">
        <v>0.79414995278287881</v>
      </c>
      <c r="AQ293" s="44">
        <v>0.85650000000000004</v>
      </c>
      <c r="AR293" s="44">
        <v>14.6</v>
      </c>
    </row>
    <row r="294" spans="1:44">
      <c r="A294" t="s">
        <v>1969</v>
      </c>
      <c r="B294" t="s">
        <v>1096</v>
      </c>
      <c r="D294" t="s">
        <v>1639</v>
      </c>
      <c r="E294" s="44">
        <v>1542987</v>
      </c>
      <c r="F294" s="44">
        <v>3720634</v>
      </c>
      <c r="G294" s="44">
        <v>1984711</v>
      </c>
      <c r="H294" s="126">
        <v>5705345</v>
      </c>
      <c r="I294" s="127">
        <v>17166717</v>
      </c>
      <c r="J294" s="128">
        <v>427527</v>
      </c>
      <c r="K294" s="130">
        <v>23299589</v>
      </c>
      <c r="L294" s="44">
        <v>158365</v>
      </c>
      <c r="M294" s="44">
        <v>700010</v>
      </c>
      <c r="N294" s="44">
        <v>9272879</v>
      </c>
      <c r="O294" s="44">
        <v>373238</v>
      </c>
      <c r="P294" s="44">
        <v>448962</v>
      </c>
      <c r="Q294" s="44">
        <v>1269581</v>
      </c>
      <c r="R294" s="44">
        <v>0</v>
      </c>
      <c r="S294" s="44">
        <v>327969</v>
      </c>
      <c r="T294" s="44">
        <v>1442839</v>
      </c>
      <c r="U294" s="44">
        <v>1252212</v>
      </c>
      <c r="V294" s="44">
        <v>0</v>
      </c>
      <c r="W294" s="44">
        <v>1507473</v>
      </c>
      <c r="X294" s="44">
        <v>859550</v>
      </c>
      <c r="Y294" s="44">
        <v>1727935</v>
      </c>
      <c r="Z294" s="44">
        <v>1191690</v>
      </c>
      <c r="AA294" s="44">
        <v>308326</v>
      </c>
      <c r="AB294" s="44">
        <v>500000</v>
      </c>
      <c r="AC294" s="44">
        <v>21341029</v>
      </c>
      <c r="AD294" s="44">
        <v>448910</v>
      </c>
      <c r="AE294" s="44">
        <v>170000</v>
      </c>
      <c r="AF294" s="44">
        <v>17090</v>
      </c>
      <c r="AG294" s="44">
        <v>21977029</v>
      </c>
      <c r="AH294" s="44">
        <v>1068</v>
      </c>
      <c r="AI294" s="44">
        <v>21816</v>
      </c>
      <c r="AJ294" s="44">
        <v>20578</v>
      </c>
      <c r="AK294" s="44">
        <v>505417</v>
      </c>
      <c r="AL294" s="44">
        <v>109287</v>
      </c>
      <c r="AM294" s="44">
        <v>1.109</v>
      </c>
      <c r="AN294" s="44">
        <v>0.65466901827358015</v>
      </c>
      <c r="AO294" s="44">
        <v>0.155</v>
      </c>
      <c r="AP294" s="44">
        <v>0.80966901827358018</v>
      </c>
      <c r="AQ294" s="44">
        <v>0.85419999999999996</v>
      </c>
      <c r="AR294" s="44">
        <v>10.91</v>
      </c>
    </row>
    <row r="295" spans="1:44">
      <c r="A295" t="s">
        <v>1097</v>
      </c>
      <c r="B295" t="s">
        <v>1098</v>
      </c>
      <c r="D295" t="s">
        <v>1639</v>
      </c>
      <c r="E295" s="44">
        <v>4512680</v>
      </c>
      <c r="F295" s="44">
        <v>5546302</v>
      </c>
      <c r="G295" s="44">
        <v>3043985</v>
      </c>
      <c r="H295" s="126">
        <v>8590287</v>
      </c>
      <c r="I295" s="127">
        <v>26752537</v>
      </c>
      <c r="J295" s="128">
        <v>688503</v>
      </c>
      <c r="K295" s="130">
        <v>36031327</v>
      </c>
      <c r="L295" s="44">
        <v>149456</v>
      </c>
      <c r="M295" s="44">
        <v>881921</v>
      </c>
      <c r="N295" s="44">
        <v>14475628</v>
      </c>
      <c r="O295" s="44">
        <v>560713</v>
      </c>
      <c r="P295" s="44">
        <v>720699</v>
      </c>
      <c r="Q295" s="44">
        <v>1338593</v>
      </c>
      <c r="R295" s="44">
        <v>84349</v>
      </c>
      <c r="S295" s="44">
        <v>390534</v>
      </c>
      <c r="T295" s="44">
        <v>1554202</v>
      </c>
      <c r="U295" s="44">
        <v>1787384</v>
      </c>
      <c r="V295" s="44">
        <v>77376</v>
      </c>
      <c r="W295" s="44">
        <v>2139628</v>
      </c>
      <c r="X295" s="44">
        <v>1586407</v>
      </c>
      <c r="Y295" s="44">
        <v>2631458</v>
      </c>
      <c r="Z295" s="44">
        <v>1799109</v>
      </c>
      <c r="AA295" s="44">
        <v>894680</v>
      </c>
      <c r="AB295" s="44">
        <v>0</v>
      </c>
      <c r="AC295" s="44">
        <v>31072137</v>
      </c>
      <c r="AD295" s="44">
        <v>1630575</v>
      </c>
      <c r="AE295" s="44">
        <v>1115000</v>
      </c>
      <c r="AF295" s="44">
        <v>837640</v>
      </c>
      <c r="AG295" s="44">
        <v>34655352</v>
      </c>
      <c r="AH295" s="44">
        <v>1870</v>
      </c>
      <c r="AI295" s="44">
        <v>19268</v>
      </c>
      <c r="AJ295" s="44">
        <v>18532</v>
      </c>
      <c r="AK295" s="44">
        <v>582707</v>
      </c>
      <c r="AL295" s="44">
        <v>200182</v>
      </c>
      <c r="AM295" s="44">
        <v>1.583</v>
      </c>
      <c r="AN295" s="44">
        <v>0.60343066202299722</v>
      </c>
      <c r="AO295" s="44">
        <v>0.154</v>
      </c>
      <c r="AP295" s="44">
        <v>0.75743066202299725</v>
      </c>
      <c r="AQ295" s="44">
        <v>0.84409999999999996</v>
      </c>
      <c r="AR295" s="44">
        <v>8.1999999999999993</v>
      </c>
    </row>
    <row r="296" spans="1:44">
      <c r="A296" t="s">
        <v>1099</v>
      </c>
      <c r="B296" t="s">
        <v>1100</v>
      </c>
      <c r="D296" t="s">
        <v>1639</v>
      </c>
      <c r="E296" s="44">
        <v>3854817</v>
      </c>
      <c r="F296" s="44">
        <v>12319278</v>
      </c>
      <c r="G296" s="44">
        <v>5198515</v>
      </c>
      <c r="H296" s="126">
        <v>17517793</v>
      </c>
      <c r="I296" s="127">
        <v>30213961</v>
      </c>
      <c r="J296" s="128">
        <v>895741</v>
      </c>
      <c r="K296" s="130">
        <v>48627495</v>
      </c>
      <c r="L296" s="44">
        <v>203747</v>
      </c>
      <c r="M296" s="44">
        <v>768554</v>
      </c>
      <c r="N296" s="44">
        <v>19821868</v>
      </c>
      <c r="O296" s="44">
        <v>1331452</v>
      </c>
      <c r="P296" s="44">
        <v>1591422</v>
      </c>
      <c r="Q296" s="44">
        <v>2849227</v>
      </c>
      <c r="R296" s="44">
        <v>1151044</v>
      </c>
      <c r="S296" s="44">
        <v>0</v>
      </c>
      <c r="T296" s="44">
        <v>3031190</v>
      </c>
      <c r="U296" s="44">
        <v>1896859</v>
      </c>
      <c r="V296" s="44">
        <v>10855</v>
      </c>
      <c r="W296" s="44">
        <v>3196272</v>
      </c>
      <c r="X296" s="44">
        <v>2052793</v>
      </c>
      <c r="Y296" s="44">
        <v>3832088</v>
      </c>
      <c r="Z296" s="44">
        <v>3804903</v>
      </c>
      <c r="AA296" s="44">
        <v>688522</v>
      </c>
      <c r="AB296" s="44">
        <v>0</v>
      </c>
      <c r="AC296" s="44">
        <v>46230796</v>
      </c>
      <c r="AD296" s="44">
        <v>2544728</v>
      </c>
      <c r="AE296" s="44">
        <v>605000</v>
      </c>
      <c r="AF296" s="44">
        <v>602401</v>
      </c>
      <c r="AG296" s="44">
        <v>49982925</v>
      </c>
      <c r="AH296" s="44">
        <v>2939</v>
      </c>
      <c r="AI296" s="44">
        <v>16546</v>
      </c>
      <c r="AJ296" s="44">
        <v>17007</v>
      </c>
      <c r="AK296" s="44">
        <v>439285</v>
      </c>
      <c r="AL296" s="44">
        <v>103194</v>
      </c>
      <c r="AM296" s="44">
        <v>0.99699999999999989</v>
      </c>
      <c r="AN296" s="44">
        <v>0.63367764091437229</v>
      </c>
      <c r="AO296" s="44">
        <v>0.17399999999999999</v>
      </c>
      <c r="AP296" s="44">
        <v>0.80767764091437222</v>
      </c>
      <c r="AQ296" s="44">
        <v>0.87029999999999996</v>
      </c>
      <c r="AR296" s="44">
        <v>16.87</v>
      </c>
    </row>
    <row r="297" spans="1:44">
      <c r="A297" t="s">
        <v>1101</v>
      </c>
      <c r="B297" t="s">
        <v>1102</v>
      </c>
      <c r="D297" t="s">
        <v>1639</v>
      </c>
      <c r="E297" s="44">
        <v>5263140</v>
      </c>
      <c r="F297" s="44">
        <v>6717288</v>
      </c>
      <c r="G297" s="44">
        <v>5360225</v>
      </c>
      <c r="H297" s="126">
        <v>12077513</v>
      </c>
      <c r="I297" s="127">
        <v>37660686</v>
      </c>
      <c r="J297" s="128">
        <v>1020440</v>
      </c>
      <c r="K297" s="130">
        <v>50758639</v>
      </c>
      <c r="L297" s="44">
        <v>291279</v>
      </c>
      <c r="M297" s="44">
        <v>808526</v>
      </c>
      <c r="N297" s="44">
        <v>16858963</v>
      </c>
      <c r="O297" s="44">
        <v>1013716</v>
      </c>
      <c r="P297" s="44">
        <v>1027314</v>
      </c>
      <c r="Q297" s="44">
        <v>2851559</v>
      </c>
      <c r="R297" s="44">
        <v>1181471</v>
      </c>
      <c r="S297" s="44">
        <v>160675</v>
      </c>
      <c r="T297" s="44">
        <v>3047007</v>
      </c>
      <c r="U297" s="44">
        <v>2752066</v>
      </c>
      <c r="V297" s="44">
        <v>0</v>
      </c>
      <c r="W297" s="44">
        <v>2607065</v>
      </c>
      <c r="X297" s="44">
        <v>1778047</v>
      </c>
      <c r="Y297" s="44">
        <v>5104726</v>
      </c>
      <c r="Z297" s="44">
        <v>2426586</v>
      </c>
      <c r="AA297" s="44">
        <v>682515</v>
      </c>
      <c r="AB297" s="44">
        <v>104500</v>
      </c>
      <c r="AC297" s="44">
        <v>42696015</v>
      </c>
      <c r="AD297" s="44">
        <v>4363981</v>
      </c>
      <c r="AE297" s="44">
        <v>765000</v>
      </c>
      <c r="AF297" s="44">
        <v>576953</v>
      </c>
      <c r="AG297" s="44">
        <v>48401949</v>
      </c>
      <c r="AH297" s="44">
        <v>2549</v>
      </c>
      <c r="AI297" s="44">
        <v>19913</v>
      </c>
      <c r="AJ297" s="44">
        <v>18989</v>
      </c>
      <c r="AK297" s="44">
        <v>659642</v>
      </c>
      <c r="AL297" s="44">
        <v>180956</v>
      </c>
      <c r="AM297" s="44">
        <v>1.6040000000000001</v>
      </c>
      <c r="AN297" s="44">
        <v>0.59693404081724066</v>
      </c>
      <c r="AO297" s="44">
        <v>0.17299999999999999</v>
      </c>
      <c r="AP297" s="44">
        <v>0.76993404081724059</v>
      </c>
      <c r="AQ297" s="44">
        <v>0.87109999999999999</v>
      </c>
      <c r="AR297" s="44">
        <v>17.739999999999998</v>
      </c>
    </row>
    <row r="298" spans="1:44">
      <c r="A298" t="s">
        <v>1971</v>
      </c>
      <c r="B298" t="s">
        <v>1103</v>
      </c>
      <c r="D298" t="s">
        <v>1639</v>
      </c>
      <c r="E298" s="44">
        <v>1957694</v>
      </c>
      <c r="F298" s="44">
        <v>5687055</v>
      </c>
      <c r="G298" s="44">
        <v>2861875</v>
      </c>
      <c r="H298" s="126">
        <v>8548930</v>
      </c>
      <c r="I298" s="127">
        <v>13515884</v>
      </c>
      <c r="J298" s="128">
        <v>492188</v>
      </c>
      <c r="K298" s="130">
        <v>22557002</v>
      </c>
      <c r="L298" s="44">
        <v>177332</v>
      </c>
      <c r="M298" s="44">
        <v>875351</v>
      </c>
      <c r="N298" s="44">
        <v>8707851</v>
      </c>
      <c r="O298" s="44">
        <v>442542</v>
      </c>
      <c r="P298" s="44">
        <v>391770</v>
      </c>
      <c r="Q298" s="44">
        <v>492964</v>
      </c>
      <c r="R298" s="44">
        <v>164309</v>
      </c>
      <c r="S298" s="44">
        <v>23401</v>
      </c>
      <c r="T298" s="44">
        <v>1851152</v>
      </c>
      <c r="U298" s="44">
        <v>1148934</v>
      </c>
      <c r="V298" s="44">
        <v>0</v>
      </c>
      <c r="W298" s="44">
        <v>1893438</v>
      </c>
      <c r="X298" s="44">
        <v>815174</v>
      </c>
      <c r="Y298" s="44">
        <v>2043418</v>
      </c>
      <c r="Z298" s="44">
        <v>1640920</v>
      </c>
      <c r="AA298" s="44">
        <v>471427</v>
      </c>
      <c r="AB298" s="44">
        <v>700000</v>
      </c>
      <c r="AC298" s="44">
        <v>21839983</v>
      </c>
      <c r="AD298" s="44">
        <v>599142</v>
      </c>
      <c r="AE298" s="44">
        <v>0</v>
      </c>
      <c r="AF298" s="44">
        <v>0</v>
      </c>
      <c r="AG298" s="44">
        <v>22439125</v>
      </c>
      <c r="AH298" s="44">
        <v>1323</v>
      </c>
      <c r="AI298" s="44">
        <v>17050</v>
      </c>
      <c r="AJ298" s="44">
        <v>16961</v>
      </c>
      <c r="AK298" s="44">
        <v>464020</v>
      </c>
      <c r="AL298" s="44">
        <v>143756</v>
      </c>
      <c r="AM298" s="44">
        <v>1.1970000000000001</v>
      </c>
      <c r="AN298" s="44">
        <v>0.58927979589221946</v>
      </c>
      <c r="AO298" s="44">
        <v>0.17</v>
      </c>
      <c r="AP298" s="44">
        <v>0.7592797958922195</v>
      </c>
      <c r="AQ298" s="44">
        <v>0.80389999999999995</v>
      </c>
      <c r="AR298" s="44">
        <v>7.84</v>
      </c>
    </row>
    <row r="299" spans="1:44">
      <c r="A299" t="s">
        <v>1993</v>
      </c>
      <c r="B299" t="s">
        <v>1104</v>
      </c>
      <c r="D299" t="s">
        <v>1639</v>
      </c>
      <c r="E299" s="44">
        <v>1330488</v>
      </c>
      <c r="F299" s="44">
        <v>4433150</v>
      </c>
      <c r="G299" s="44">
        <v>1728088</v>
      </c>
      <c r="H299" s="126">
        <v>6161238</v>
      </c>
      <c r="I299" s="127">
        <v>20495117</v>
      </c>
      <c r="J299" s="128">
        <v>617049</v>
      </c>
      <c r="K299" s="130">
        <v>27273404</v>
      </c>
      <c r="L299" s="44">
        <v>199338</v>
      </c>
      <c r="M299" s="44">
        <v>833167</v>
      </c>
      <c r="N299" s="44">
        <v>10864850</v>
      </c>
      <c r="O299" s="44">
        <v>380434</v>
      </c>
      <c r="P299" s="44">
        <v>678772</v>
      </c>
      <c r="Q299" s="44">
        <v>662002</v>
      </c>
      <c r="R299" s="44">
        <v>141079</v>
      </c>
      <c r="S299" s="44">
        <v>177073</v>
      </c>
      <c r="T299" s="44">
        <v>1856601</v>
      </c>
      <c r="U299" s="44">
        <v>1011494</v>
      </c>
      <c r="V299" s="44">
        <v>0</v>
      </c>
      <c r="W299" s="44">
        <v>2286286</v>
      </c>
      <c r="X299" s="44">
        <v>1087720</v>
      </c>
      <c r="Y299" s="44">
        <v>2110223</v>
      </c>
      <c r="Z299" s="44">
        <v>1455435</v>
      </c>
      <c r="AA299" s="44">
        <v>304183</v>
      </c>
      <c r="AB299" s="44">
        <v>150000</v>
      </c>
      <c r="AC299" s="44">
        <v>24198657</v>
      </c>
      <c r="AD299" s="44">
        <v>647537</v>
      </c>
      <c r="AE299" s="44">
        <v>320000</v>
      </c>
      <c r="AF299" s="44">
        <v>255685</v>
      </c>
      <c r="AG299" s="44">
        <v>25421879</v>
      </c>
      <c r="AH299" s="44">
        <v>1473</v>
      </c>
      <c r="AI299" s="44">
        <v>18516</v>
      </c>
      <c r="AJ299" s="44">
        <v>17259</v>
      </c>
      <c r="AK299" s="44">
        <v>506387</v>
      </c>
      <c r="AL299" s="44">
        <v>95767</v>
      </c>
      <c r="AM299" s="44">
        <v>1.0549999999999999</v>
      </c>
      <c r="AN299" s="44">
        <v>0.62042247152541319</v>
      </c>
      <c r="AO299" s="44">
        <v>0.16200000000000001</v>
      </c>
      <c r="AP299" s="44">
        <v>0.78242247152541322</v>
      </c>
      <c r="AQ299" s="44">
        <v>0.82609999999999995</v>
      </c>
      <c r="AR299" s="44">
        <v>9.15</v>
      </c>
    </row>
    <row r="300" spans="1:44">
      <c r="A300" t="s">
        <v>1105</v>
      </c>
      <c r="B300" t="s">
        <v>1106</v>
      </c>
      <c r="D300" t="s">
        <v>1639</v>
      </c>
      <c r="E300" s="44">
        <v>1523006</v>
      </c>
      <c r="F300" s="44">
        <v>2126831</v>
      </c>
      <c r="G300" s="44">
        <v>1601592</v>
      </c>
      <c r="H300" s="126">
        <v>3728423</v>
      </c>
      <c r="I300" s="127">
        <v>24776443</v>
      </c>
      <c r="J300" s="128">
        <v>404843</v>
      </c>
      <c r="K300" s="130">
        <v>28909709</v>
      </c>
      <c r="L300" s="44">
        <v>178890</v>
      </c>
      <c r="M300" s="44">
        <v>840024</v>
      </c>
      <c r="N300" s="44">
        <v>8261186</v>
      </c>
      <c r="O300" s="44">
        <v>398546</v>
      </c>
      <c r="P300" s="44">
        <v>288784</v>
      </c>
      <c r="Q300" s="44">
        <v>1666072</v>
      </c>
      <c r="R300" s="44">
        <v>5899186</v>
      </c>
      <c r="S300" s="44">
        <v>0</v>
      </c>
      <c r="T300" s="44">
        <v>1280154</v>
      </c>
      <c r="U300" s="44">
        <v>1743155</v>
      </c>
      <c r="V300" s="44">
        <v>284037</v>
      </c>
      <c r="W300" s="44">
        <v>1567883</v>
      </c>
      <c r="X300" s="44">
        <v>821174</v>
      </c>
      <c r="Y300" s="44">
        <v>1906276</v>
      </c>
      <c r="Z300" s="44">
        <v>1396906</v>
      </c>
      <c r="AA300" s="44">
        <v>451461</v>
      </c>
      <c r="AB300" s="44">
        <v>50000</v>
      </c>
      <c r="AC300" s="44">
        <v>27033734</v>
      </c>
      <c r="AD300" s="44">
        <v>1672119</v>
      </c>
      <c r="AE300" s="44">
        <v>510000</v>
      </c>
      <c r="AF300" s="44">
        <v>366080</v>
      </c>
      <c r="AG300" s="44">
        <v>29581933</v>
      </c>
      <c r="AH300" s="44">
        <v>1029</v>
      </c>
      <c r="AI300" s="44">
        <v>28095</v>
      </c>
      <c r="AJ300" s="44">
        <v>28748</v>
      </c>
      <c r="AK300" s="44">
        <v>882026</v>
      </c>
      <c r="AL300" s="44">
        <v>154519</v>
      </c>
      <c r="AM300" s="44">
        <v>1.7869999999999999</v>
      </c>
      <c r="AN300" s="44">
        <v>0.66043970148941922</v>
      </c>
      <c r="AO300" s="44">
        <v>0.11799999999999999</v>
      </c>
      <c r="AP300" s="44">
        <v>0.77843970148941921</v>
      </c>
      <c r="AQ300" s="44">
        <v>0.80979999999999996</v>
      </c>
      <c r="AR300" s="44">
        <v>16.07</v>
      </c>
    </row>
    <row r="301" spans="1:44">
      <c r="A301" t="s">
        <v>1107</v>
      </c>
      <c r="B301" t="s">
        <v>1108</v>
      </c>
      <c r="D301" t="s">
        <v>1639</v>
      </c>
      <c r="E301" s="44">
        <v>9550163</v>
      </c>
      <c r="F301" s="44">
        <v>14714018</v>
      </c>
      <c r="G301" s="44">
        <v>8651472</v>
      </c>
      <c r="H301" s="126">
        <v>23365490</v>
      </c>
      <c r="I301" s="127">
        <v>62542060</v>
      </c>
      <c r="J301" s="128">
        <v>1177263</v>
      </c>
      <c r="K301" s="130">
        <v>87084813</v>
      </c>
      <c r="L301" s="44">
        <v>496527</v>
      </c>
      <c r="M301" s="44">
        <v>1474448</v>
      </c>
      <c r="N301" s="44">
        <v>31109578</v>
      </c>
      <c r="O301" s="44">
        <v>2726983</v>
      </c>
      <c r="P301" s="44">
        <v>2532780</v>
      </c>
      <c r="Q301" s="44">
        <v>5439970</v>
      </c>
      <c r="R301" s="44">
        <v>363968</v>
      </c>
      <c r="S301" s="44">
        <v>743697</v>
      </c>
      <c r="T301" s="44">
        <v>5701715</v>
      </c>
      <c r="U301" s="44">
        <v>3478068</v>
      </c>
      <c r="V301" s="44">
        <v>86338</v>
      </c>
      <c r="W301" s="44">
        <v>6216699</v>
      </c>
      <c r="X301" s="44">
        <v>3364155</v>
      </c>
      <c r="Y301" s="44">
        <v>6371056</v>
      </c>
      <c r="Z301" s="44">
        <v>4942343</v>
      </c>
      <c r="AA301" s="44">
        <v>1848501</v>
      </c>
      <c r="AB301" s="44">
        <v>495500</v>
      </c>
      <c r="AC301" s="44">
        <v>77392326</v>
      </c>
      <c r="AD301" s="44">
        <v>3442460</v>
      </c>
      <c r="AE301" s="44">
        <v>2475000</v>
      </c>
      <c r="AF301" s="44">
        <v>1131634</v>
      </c>
      <c r="AG301" s="44">
        <v>84441420</v>
      </c>
      <c r="AH301" s="44">
        <v>4576</v>
      </c>
      <c r="AI301" s="44">
        <v>19031</v>
      </c>
      <c r="AJ301" s="44">
        <v>18453</v>
      </c>
      <c r="AK301" s="44">
        <v>527821</v>
      </c>
      <c r="AL301" s="44">
        <v>121640</v>
      </c>
      <c r="AM301" s="44">
        <v>1.1890000000000001</v>
      </c>
      <c r="AN301" s="44">
        <v>0.61695740076374839</v>
      </c>
      <c r="AO301" s="44">
        <v>0.154</v>
      </c>
      <c r="AP301" s="44">
        <v>0.77095740076374841</v>
      </c>
      <c r="AQ301" s="44">
        <v>0.84630000000000005</v>
      </c>
      <c r="AR301" s="44">
        <v>8.91</v>
      </c>
    </row>
    <row r="302" spans="1:44">
      <c r="A302" t="s">
        <v>1109</v>
      </c>
      <c r="B302" t="s">
        <v>1110</v>
      </c>
      <c r="D302" t="s">
        <v>1639</v>
      </c>
      <c r="E302" s="44">
        <v>5513969</v>
      </c>
      <c r="F302" s="44">
        <v>22570956</v>
      </c>
      <c r="G302" s="44">
        <v>14542643</v>
      </c>
      <c r="H302" s="126">
        <v>37113599</v>
      </c>
      <c r="I302" s="127">
        <v>96531454</v>
      </c>
      <c r="J302" s="128">
        <v>2089999</v>
      </c>
      <c r="K302" s="130">
        <v>135735052</v>
      </c>
      <c r="L302" s="44">
        <v>823808</v>
      </c>
      <c r="M302" s="44">
        <v>1703578</v>
      </c>
      <c r="N302" s="44">
        <v>52505104</v>
      </c>
      <c r="O302" s="44">
        <v>5646635</v>
      </c>
      <c r="P302" s="44">
        <v>2569734</v>
      </c>
      <c r="Q302" s="44">
        <v>7573693</v>
      </c>
      <c r="R302" s="44">
        <v>492559</v>
      </c>
      <c r="S302" s="44">
        <v>1837025</v>
      </c>
      <c r="T302" s="44">
        <v>7843198</v>
      </c>
      <c r="U302" s="44">
        <v>6781315</v>
      </c>
      <c r="V302" s="44">
        <v>42219</v>
      </c>
      <c r="W302" s="44">
        <v>8959347</v>
      </c>
      <c r="X302" s="44">
        <v>5473699</v>
      </c>
      <c r="Y302" s="44">
        <v>12320274</v>
      </c>
      <c r="Z302" s="44">
        <v>7243630</v>
      </c>
      <c r="AA302" s="44">
        <v>2806274</v>
      </c>
      <c r="AB302" s="44">
        <v>3728261</v>
      </c>
      <c r="AC302" s="44">
        <v>128350353</v>
      </c>
      <c r="AD302" s="44">
        <v>7193232</v>
      </c>
      <c r="AE302" s="44">
        <v>0</v>
      </c>
      <c r="AF302" s="44">
        <v>377142</v>
      </c>
      <c r="AG302" s="44">
        <v>135920727</v>
      </c>
      <c r="AH302" s="44">
        <v>8440</v>
      </c>
      <c r="AI302" s="44">
        <v>16082</v>
      </c>
      <c r="AJ302" s="44">
        <v>16104</v>
      </c>
      <c r="AK302" s="44">
        <v>523672</v>
      </c>
      <c r="AL302" s="44">
        <v>127806</v>
      </c>
      <c r="AM302" s="44">
        <v>1.2090000000000001</v>
      </c>
      <c r="AN302" s="44">
        <v>0.6271984036695154</v>
      </c>
      <c r="AO302" s="44">
        <v>0.16400000000000001</v>
      </c>
      <c r="AP302" s="44">
        <v>0.79119840366951544</v>
      </c>
      <c r="AQ302" s="44">
        <v>0.86229999999999996</v>
      </c>
      <c r="AR302" s="44">
        <v>7.15</v>
      </c>
    </row>
    <row r="303" spans="1:44">
      <c r="A303" t="s">
        <v>1111</v>
      </c>
      <c r="B303" t="s">
        <v>1112</v>
      </c>
      <c r="D303" t="s">
        <v>1639</v>
      </c>
      <c r="E303" s="44">
        <v>11420675</v>
      </c>
      <c r="F303" s="44">
        <v>16628542</v>
      </c>
      <c r="G303" s="44">
        <v>11967583</v>
      </c>
      <c r="H303" s="126">
        <v>28596125</v>
      </c>
      <c r="I303" s="127">
        <v>75996546</v>
      </c>
      <c r="J303" s="128">
        <v>1484673</v>
      </c>
      <c r="K303" s="130">
        <v>106077344</v>
      </c>
      <c r="L303" s="44">
        <v>205732</v>
      </c>
      <c r="M303" s="44">
        <v>1472662</v>
      </c>
      <c r="N303" s="44">
        <v>41392708</v>
      </c>
      <c r="O303" s="44">
        <v>3028899</v>
      </c>
      <c r="P303" s="44">
        <v>2740601</v>
      </c>
      <c r="Q303" s="44">
        <v>6933585</v>
      </c>
      <c r="R303" s="44">
        <v>673659</v>
      </c>
      <c r="S303" s="44">
        <v>1103141</v>
      </c>
      <c r="T303" s="44">
        <v>4370568</v>
      </c>
      <c r="U303" s="44">
        <v>4320800</v>
      </c>
      <c r="V303" s="44">
        <v>102568</v>
      </c>
      <c r="W303" s="44">
        <v>7564232</v>
      </c>
      <c r="X303" s="44">
        <v>3927084</v>
      </c>
      <c r="Y303" s="44">
        <v>11194567</v>
      </c>
      <c r="Z303" s="44">
        <v>5192022</v>
      </c>
      <c r="AA303" s="44">
        <v>2323379</v>
      </c>
      <c r="AB303" s="44">
        <v>90474</v>
      </c>
      <c r="AC303" s="44">
        <v>96636681</v>
      </c>
      <c r="AD303" s="44">
        <v>6568753</v>
      </c>
      <c r="AE303" s="44">
        <v>82669</v>
      </c>
      <c r="AF303" s="44">
        <v>9203</v>
      </c>
      <c r="AG303" s="44">
        <v>103297306</v>
      </c>
      <c r="AH303" s="44">
        <v>6119</v>
      </c>
      <c r="AI303" s="44">
        <v>17336</v>
      </c>
      <c r="AJ303" s="44">
        <v>16881</v>
      </c>
      <c r="AK303" s="44">
        <v>520687</v>
      </c>
      <c r="AL303" s="44">
        <v>160686</v>
      </c>
      <c r="AM303" s="44">
        <v>1.34</v>
      </c>
      <c r="AN303" s="44">
        <v>0.62503044367875382</v>
      </c>
      <c r="AO303" s="44">
        <v>0.17699999999999999</v>
      </c>
      <c r="AP303" s="44">
        <v>0.80203044367875376</v>
      </c>
      <c r="AQ303" s="44">
        <v>0.85660000000000003</v>
      </c>
      <c r="AR303" s="44">
        <v>7.39</v>
      </c>
    </row>
    <row r="304" spans="1:44">
      <c r="A304" t="s">
        <v>1973</v>
      </c>
      <c r="B304" t="s">
        <v>1113</v>
      </c>
      <c r="D304" t="s">
        <v>1639</v>
      </c>
      <c r="E304" s="44">
        <v>15390004</v>
      </c>
      <c r="F304" s="44">
        <v>19058465</v>
      </c>
      <c r="G304" s="44">
        <v>6696845</v>
      </c>
      <c r="H304" s="126">
        <v>25755310</v>
      </c>
      <c r="I304" s="127">
        <v>76651997</v>
      </c>
      <c r="J304" s="128">
        <v>3662407</v>
      </c>
      <c r="K304" s="130">
        <v>106069714</v>
      </c>
      <c r="L304" s="44">
        <v>390483</v>
      </c>
      <c r="M304" s="44">
        <v>1748912</v>
      </c>
      <c r="N304" s="44">
        <v>38668612</v>
      </c>
      <c r="O304" s="44">
        <v>2647128</v>
      </c>
      <c r="P304" s="44">
        <v>2115633</v>
      </c>
      <c r="Q304" s="44">
        <v>5146187</v>
      </c>
      <c r="R304" s="44">
        <v>1502439</v>
      </c>
      <c r="S304" s="44">
        <v>93511</v>
      </c>
      <c r="T304" s="44">
        <v>6040129</v>
      </c>
      <c r="U304" s="44">
        <v>4033045</v>
      </c>
      <c r="V304" s="44">
        <v>491277</v>
      </c>
      <c r="W304" s="44">
        <v>7275386</v>
      </c>
      <c r="X304" s="44">
        <v>3441485</v>
      </c>
      <c r="Y304" s="44">
        <v>11555075</v>
      </c>
      <c r="Z304" s="44">
        <v>7011167</v>
      </c>
      <c r="AA304" s="44">
        <v>1375058</v>
      </c>
      <c r="AB304" s="44">
        <v>1150000</v>
      </c>
      <c r="AC304" s="44">
        <v>94685527</v>
      </c>
      <c r="AD304" s="44">
        <v>5577304</v>
      </c>
      <c r="AE304" s="44">
        <v>1522763</v>
      </c>
      <c r="AF304" s="44">
        <v>313202</v>
      </c>
      <c r="AG304" s="44">
        <v>102098796</v>
      </c>
      <c r="AH304" s="44">
        <v>4194</v>
      </c>
      <c r="AI304" s="44">
        <v>25291</v>
      </c>
      <c r="AJ304" s="44">
        <v>24344</v>
      </c>
      <c r="AK304" s="44">
        <v>868029</v>
      </c>
      <c r="AL304" s="44">
        <v>236079</v>
      </c>
      <c r="AM304" s="44">
        <v>2.1040000000000001</v>
      </c>
      <c r="AN304" s="44">
        <v>0.59008221801166005</v>
      </c>
      <c r="AO304" s="44">
        <v>0.183</v>
      </c>
      <c r="AP304" s="44">
        <v>0.77308221801166011</v>
      </c>
      <c r="AQ304" s="44">
        <v>0.83789999999999998</v>
      </c>
      <c r="AR304" s="44">
        <v>13.99</v>
      </c>
    </row>
    <row r="305" spans="1:44">
      <c r="A305" t="s">
        <v>1114</v>
      </c>
      <c r="B305" t="s">
        <v>1115</v>
      </c>
      <c r="D305" t="s">
        <v>1639</v>
      </c>
      <c r="E305" s="44">
        <v>6279739</v>
      </c>
      <c r="F305" s="44">
        <v>24965405</v>
      </c>
      <c r="G305" s="44">
        <v>5900460</v>
      </c>
      <c r="H305" s="126">
        <v>30865865</v>
      </c>
      <c r="I305" s="127">
        <v>58570651</v>
      </c>
      <c r="J305" s="128">
        <v>4146195</v>
      </c>
      <c r="K305" s="130">
        <v>93582711</v>
      </c>
      <c r="L305" s="44">
        <v>568799</v>
      </c>
      <c r="M305" s="44">
        <v>1561693</v>
      </c>
      <c r="N305" s="44">
        <v>33075132</v>
      </c>
      <c r="O305" s="44">
        <v>2232684</v>
      </c>
      <c r="P305" s="44">
        <v>2284822</v>
      </c>
      <c r="Q305" s="44">
        <v>6808717</v>
      </c>
      <c r="R305" s="44">
        <v>540428</v>
      </c>
      <c r="S305" s="44">
        <v>1088861</v>
      </c>
      <c r="T305" s="44">
        <v>5717825</v>
      </c>
      <c r="U305" s="44">
        <v>5812904</v>
      </c>
      <c r="V305" s="44">
        <v>18356</v>
      </c>
      <c r="W305" s="44">
        <v>6084962</v>
      </c>
      <c r="X305" s="44">
        <v>3207944</v>
      </c>
      <c r="Y305" s="44">
        <v>7543688</v>
      </c>
      <c r="Z305" s="44">
        <v>5003978</v>
      </c>
      <c r="AA305" s="44">
        <v>1036960</v>
      </c>
      <c r="AB305" s="44">
        <v>1822000</v>
      </c>
      <c r="AC305" s="44">
        <v>84409753</v>
      </c>
      <c r="AD305" s="44">
        <v>5862777</v>
      </c>
      <c r="AE305" s="44">
        <v>2230901</v>
      </c>
      <c r="AF305" s="44">
        <v>18250</v>
      </c>
      <c r="AG305" s="44">
        <v>92521681</v>
      </c>
      <c r="AH305" s="44">
        <v>4061</v>
      </c>
      <c r="AI305" s="44">
        <v>23044</v>
      </c>
      <c r="AJ305" s="44">
        <v>22783</v>
      </c>
      <c r="AK305" s="44">
        <v>490174</v>
      </c>
      <c r="AL305" s="44">
        <v>135680</v>
      </c>
      <c r="AM305" s="44">
        <v>1.1970000000000001</v>
      </c>
      <c r="AN305" s="44">
        <v>0.62213929078958263</v>
      </c>
      <c r="AO305" s="44">
        <v>0.157</v>
      </c>
      <c r="AP305" s="44">
        <v>0.77913929078958266</v>
      </c>
      <c r="AQ305" s="44">
        <v>0.87180000000000002</v>
      </c>
      <c r="AR305" s="44">
        <v>21.93</v>
      </c>
    </row>
    <row r="306" spans="1:44">
      <c r="A306" t="s">
        <v>1116</v>
      </c>
      <c r="B306" t="s">
        <v>1117</v>
      </c>
      <c r="D306" t="s">
        <v>1639</v>
      </c>
      <c r="E306" s="44">
        <v>2257560</v>
      </c>
      <c r="F306" s="44">
        <v>2521071</v>
      </c>
      <c r="G306" s="44">
        <v>2334987</v>
      </c>
      <c r="H306" s="126">
        <v>4856058</v>
      </c>
      <c r="I306" s="127">
        <v>38212517</v>
      </c>
      <c r="J306" s="128">
        <v>454794</v>
      </c>
      <c r="K306" s="130">
        <v>43523369</v>
      </c>
      <c r="L306" s="44">
        <v>266179</v>
      </c>
      <c r="M306" s="44">
        <v>953966</v>
      </c>
      <c r="N306" s="44">
        <v>17230349</v>
      </c>
      <c r="O306" s="44">
        <v>1071990</v>
      </c>
      <c r="P306" s="44">
        <v>1482866</v>
      </c>
      <c r="Q306" s="44">
        <v>821832</v>
      </c>
      <c r="R306" s="44">
        <v>99834</v>
      </c>
      <c r="S306" s="44">
        <v>848309</v>
      </c>
      <c r="T306" s="44">
        <v>2764934</v>
      </c>
      <c r="U306" s="44">
        <v>2039598</v>
      </c>
      <c r="V306" s="44">
        <v>13167</v>
      </c>
      <c r="W306" s="44">
        <v>2561535</v>
      </c>
      <c r="X306" s="44">
        <v>1825172</v>
      </c>
      <c r="Y306" s="44">
        <v>4165880</v>
      </c>
      <c r="Z306" s="44">
        <v>2841697</v>
      </c>
      <c r="AA306" s="44">
        <v>430321</v>
      </c>
      <c r="AB306" s="44">
        <v>1243000</v>
      </c>
      <c r="AC306" s="44">
        <v>40660629</v>
      </c>
      <c r="AD306" s="44">
        <v>1972473</v>
      </c>
      <c r="AE306" s="44">
        <v>1518435</v>
      </c>
      <c r="AF306" s="44">
        <v>795937</v>
      </c>
      <c r="AG306" s="44">
        <v>44947474</v>
      </c>
      <c r="AH306" s="44">
        <v>1865</v>
      </c>
      <c r="AI306" s="44">
        <v>23337</v>
      </c>
      <c r="AJ306" s="44">
        <v>24101</v>
      </c>
      <c r="AK306" s="44">
        <v>1001213</v>
      </c>
      <c r="AL306" s="44">
        <v>320694</v>
      </c>
      <c r="AM306" s="44">
        <v>2.625</v>
      </c>
      <c r="AN306" s="44">
        <v>0.58645591518669105</v>
      </c>
      <c r="AO306" s="44">
        <v>0.17499999999999999</v>
      </c>
      <c r="AP306" s="44">
        <v>0.76145591518669109</v>
      </c>
      <c r="AQ306" s="44">
        <v>0.86799999999999999</v>
      </c>
      <c r="AR306" s="44">
        <v>14.15</v>
      </c>
    </row>
    <row r="307" spans="1:44">
      <c r="A307" t="s">
        <v>1975</v>
      </c>
      <c r="B307" t="s">
        <v>1118</v>
      </c>
      <c r="D307" t="s">
        <v>1639</v>
      </c>
      <c r="E307" s="44">
        <v>5843645</v>
      </c>
      <c r="F307" s="44">
        <v>3936792</v>
      </c>
      <c r="G307" s="44">
        <v>4671877</v>
      </c>
      <c r="H307" s="126">
        <v>8608669</v>
      </c>
      <c r="I307" s="127">
        <v>79395386</v>
      </c>
      <c r="J307" s="128">
        <v>843779</v>
      </c>
      <c r="K307" s="130">
        <v>88847834</v>
      </c>
      <c r="L307" s="44">
        <v>981630</v>
      </c>
      <c r="M307" s="44">
        <v>1767784</v>
      </c>
      <c r="N307" s="44">
        <v>28785251</v>
      </c>
      <c r="O307" s="44">
        <v>1866984</v>
      </c>
      <c r="P307" s="44">
        <v>3064468</v>
      </c>
      <c r="Q307" s="44">
        <v>1991691</v>
      </c>
      <c r="R307" s="44">
        <v>19475</v>
      </c>
      <c r="S307" s="44">
        <v>138004</v>
      </c>
      <c r="T307" s="44">
        <v>7343234</v>
      </c>
      <c r="U307" s="44">
        <v>4029919</v>
      </c>
      <c r="V307" s="44">
        <v>135002</v>
      </c>
      <c r="W307" s="44">
        <v>5506503</v>
      </c>
      <c r="X307" s="44">
        <v>3216250</v>
      </c>
      <c r="Y307" s="44">
        <v>10140907</v>
      </c>
      <c r="Z307" s="44">
        <v>5103730</v>
      </c>
      <c r="AA307" s="44">
        <v>1516820</v>
      </c>
      <c r="AB307" s="44">
        <v>1503230</v>
      </c>
      <c r="AC307" s="44">
        <v>77110882</v>
      </c>
      <c r="AD307" s="44">
        <v>3343641</v>
      </c>
      <c r="AE307" s="44">
        <v>1560000</v>
      </c>
      <c r="AF307" s="44">
        <v>1860042</v>
      </c>
      <c r="AG307" s="44">
        <v>83874565</v>
      </c>
      <c r="AH307" s="44">
        <v>3500</v>
      </c>
      <c r="AI307" s="44">
        <v>25385</v>
      </c>
      <c r="AJ307" s="44">
        <v>23964</v>
      </c>
      <c r="AK307" s="44">
        <v>1063049</v>
      </c>
      <c r="AL307" s="44">
        <v>332364</v>
      </c>
      <c r="AM307" s="44">
        <v>2.754</v>
      </c>
      <c r="AN307" s="44">
        <v>0.56321038445922189</v>
      </c>
      <c r="AO307" s="44">
        <v>0.187</v>
      </c>
      <c r="AP307" s="44">
        <v>0.75021038445922184</v>
      </c>
      <c r="AQ307" s="44">
        <v>0.83130000000000004</v>
      </c>
      <c r="AR307" s="44">
        <v>16.2</v>
      </c>
    </row>
    <row r="308" spans="1:44">
      <c r="A308" t="s">
        <v>1119</v>
      </c>
      <c r="B308" t="s">
        <v>1120</v>
      </c>
      <c r="D308" t="s">
        <v>1639</v>
      </c>
      <c r="E308" s="44">
        <v>2529887</v>
      </c>
      <c r="F308" s="44">
        <v>7128372</v>
      </c>
      <c r="G308" s="44">
        <v>5330619</v>
      </c>
      <c r="H308" s="126">
        <v>12458991</v>
      </c>
      <c r="I308" s="127">
        <v>100846937</v>
      </c>
      <c r="J308" s="128">
        <v>1845448</v>
      </c>
      <c r="K308" s="130">
        <v>115151376</v>
      </c>
      <c r="L308" s="44">
        <v>602411</v>
      </c>
      <c r="M308" s="44">
        <v>1614389</v>
      </c>
      <c r="N308" s="44">
        <v>39394784</v>
      </c>
      <c r="O308" s="44">
        <v>2968293</v>
      </c>
      <c r="P308" s="44">
        <v>2189002</v>
      </c>
      <c r="Q308" s="44">
        <v>3912545</v>
      </c>
      <c r="R308" s="44">
        <v>475394</v>
      </c>
      <c r="S308" s="44">
        <v>1291218</v>
      </c>
      <c r="T308" s="44">
        <v>11449755</v>
      </c>
      <c r="U308" s="44">
        <v>5804558</v>
      </c>
      <c r="V308" s="44">
        <v>592466</v>
      </c>
      <c r="W308" s="44">
        <v>7688267</v>
      </c>
      <c r="X308" s="44">
        <v>4176127</v>
      </c>
      <c r="Y308" s="44">
        <v>12118604</v>
      </c>
      <c r="Z308" s="44">
        <v>6568000</v>
      </c>
      <c r="AA308" s="44">
        <v>1275947</v>
      </c>
      <c r="AB308" s="44">
        <v>500000</v>
      </c>
      <c r="AC308" s="44">
        <v>102621760</v>
      </c>
      <c r="AD308" s="44">
        <v>4641251</v>
      </c>
      <c r="AE308" s="44">
        <v>3333052</v>
      </c>
      <c r="AF308" s="44">
        <v>3325915</v>
      </c>
      <c r="AG308" s="44">
        <v>113921978</v>
      </c>
      <c r="AH308" s="44">
        <v>4993</v>
      </c>
      <c r="AI308" s="44">
        <v>23063</v>
      </c>
      <c r="AJ308" s="44">
        <v>22816</v>
      </c>
      <c r="AK308" s="44">
        <v>1167087</v>
      </c>
      <c r="AL308" s="44">
        <v>337794</v>
      </c>
      <c r="AM308" s="44">
        <v>2.9119999999999999</v>
      </c>
      <c r="AN308" s="44">
        <v>0.59238392963998576</v>
      </c>
      <c r="AO308" s="44">
        <v>0.17899999999999999</v>
      </c>
      <c r="AP308" s="44">
        <v>0.77138392963998581</v>
      </c>
      <c r="AQ308" s="44">
        <v>0.85970000000000002</v>
      </c>
      <c r="AR308" s="44">
        <v>12.24</v>
      </c>
    </row>
    <row r="309" spans="1:44">
      <c r="A309" t="s">
        <v>1121</v>
      </c>
      <c r="B309" t="s">
        <v>1122</v>
      </c>
      <c r="D309" t="s">
        <v>1639</v>
      </c>
      <c r="E309" s="44">
        <v>1877173</v>
      </c>
      <c r="F309" s="44">
        <v>3707394</v>
      </c>
      <c r="G309" s="44">
        <v>2706929</v>
      </c>
      <c r="H309" s="126">
        <v>6414323</v>
      </c>
      <c r="I309" s="127">
        <v>22454665</v>
      </c>
      <c r="J309" s="128">
        <v>438628</v>
      </c>
      <c r="K309" s="130">
        <v>29307616</v>
      </c>
      <c r="L309" s="44">
        <v>129369</v>
      </c>
      <c r="M309" s="44">
        <v>744277</v>
      </c>
      <c r="N309" s="44">
        <v>10023360</v>
      </c>
      <c r="O309" s="44">
        <v>287297</v>
      </c>
      <c r="P309" s="44">
        <v>599839</v>
      </c>
      <c r="Q309" s="44">
        <v>372757</v>
      </c>
      <c r="R309" s="44">
        <v>113414</v>
      </c>
      <c r="S309" s="44">
        <v>236765</v>
      </c>
      <c r="T309" s="44">
        <v>1973015</v>
      </c>
      <c r="U309" s="44">
        <v>1137792</v>
      </c>
      <c r="V309" s="44">
        <v>38424</v>
      </c>
      <c r="W309" s="44">
        <v>1767917</v>
      </c>
      <c r="X309" s="44">
        <v>976257</v>
      </c>
      <c r="Y309" s="44">
        <v>2913705</v>
      </c>
      <c r="Z309" s="44">
        <v>1550235</v>
      </c>
      <c r="AA309" s="44">
        <v>396722</v>
      </c>
      <c r="AB309" s="44">
        <v>1025737</v>
      </c>
      <c r="AC309" s="44">
        <v>24286882</v>
      </c>
      <c r="AD309" s="44">
        <v>1027529</v>
      </c>
      <c r="AE309" s="44">
        <v>983000</v>
      </c>
      <c r="AF309" s="44">
        <v>1103989</v>
      </c>
      <c r="AG309" s="44">
        <v>27401400</v>
      </c>
      <c r="AH309" s="44">
        <v>1652</v>
      </c>
      <c r="AI309" s="44">
        <v>17741</v>
      </c>
      <c r="AJ309" s="44">
        <v>16587</v>
      </c>
      <c r="AK309" s="44">
        <v>698972</v>
      </c>
      <c r="AL309" s="44">
        <v>142639</v>
      </c>
      <c r="AM309" s="44">
        <v>1.4990000000000001</v>
      </c>
      <c r="AN309" s="44">
        <v>0.53808341909537472</v>
      </c>
      <c r="AO309" s="44">
        <v>0.17399999999999999</v>
      </c>
      <c r="AP309" s="44">
        <v>0.71208341909537465</v>
      </c>
      <c r="AQ309" s="44">
        <v>0.83779999999999999</v>
      </c>
      <c r="AR309" s="44">
        <v>6.68</v>
      </c>
    </row>
    <row r="310" spans="1:44">
      <c r="A310" t="s">
        <v>1123</v>
      </c>
      <c r="B310" t="s">
        <v>1124</v>
      </c>
      <c r="D310" t="s">
        <v>1639</v>
      </c>
      <c r="E310" s="44">
        <v>3182884</v>
      </c>
      <c r="F310" s="44">
        <v>4099781</v>
      </c>
      <c r="G310" s="44">
        <v>2589567</v>
      </c>
      <c r="H310" s="126">
        <v>6689348</v>
      </c>
      <c r="I310" s="127">
        <v>66572742</v>
      </c>
      <c r="J310" s="128">
        <v>798429</v>
      </c>
      <c r="K310" s="130">
        <v>74060519</v>
      </c>
      <c r="L310" s="44">
        <v>677851</v>
      </c>
      <c r="M310" s="44">
        <v>1334931</v>
      </c>
      <c r="N310" s="44">
        <v>25742938</v>
      </c>
      <c r="O310" s="44">
        <v>1725112</v>
      </c>
      <c r="P310" s="44">
        <v>1352604</v>
      </c>
      <c r="Q310" s="44">
        <v>1888598</v>
      </c>
      <c r="R310" s="44">
        <v>624616</v>
      </c>
      <c r="S310" s="44">
        <v>1665755</v>
      </c>
      <c r="T310" s="44">
        <v>6026990</v>
      </c>
      <c r="U310" s="44">
        <v>4402839</v>
      </c>
      <c r="V310" s="44">
        <v>0</v>
      </c>
      <c r="W310" s="44">
        <v>4462721</v>
      </c>
      <c r="X310" s="44">
        <v>2674544</v>
      </c>
      <c r="Y310" s="44">
        <v>6666824</v>
      </c>
      <c r="Z310" s="44">
        <v>4140887</v>
      </c>
      <c r="AA310" s="44">
        <v>1829597</v>
      </c>
      <c r="AB310" s="44">
        <v>1875000</v>
      </c>
      <c r="AC310" s="44">
        <v>67091807</v>
      </c>
      <c r="AD310" s="44">
        <v>3736385</v>
      </c>
      <c r="AE310" s="44">
        <v>1880000</v>
      </c>
      <c r="AF310" s="44">
        <v>1440937</v>
      </c>
      <c r="AG310" s="44">
        <v>74149129</v>
      </c>
      <c r="AH310" s="44">
        <v>2853</v>
      </c>
      <c r="AI310" s="44">
        <v>25959</v>
      </c>
      <c r="AJ310" s="44">
        <v>25990</v>
      </c>
      <c r="AK310" s="44">
        <v>1540817</v>
      </c>
      <c r="AL310" s="44">
        <v>525523</v>
      </c>
      <c r="AM310" s="44">
        <v>4.1720000000000006</v>
      </c>
      <c r="AN310" s="44">
        <v>0.58570414225634393</v>
      </c>
      <c r="AO310" s="44">
        <v>0.16400000000000001</v>
      </c>
      <c r="AP310" s="44">
        <v>0.74970414225634396</v>
      </c>
      <c r="AQ310" s="44">
        <v>0.85150000000000003</v>
      </c>
      <c r="AR310" s="44">
        <v>9.69</v>
      </c>
    </row>
    <row r="311" spans="1:44">
      <c r="A311" t="s">
        <v>1125</v>
      </c>
      <c r="B311" t="s">
        <v>1126</v>
      </c>
      <c r="D311" t="s">
        <v>1639</v>
      </c>
      <c r="E311" s="44">
        <v>9834227</v>
      </c>
      <c r="F311" s="44">
        <v>9037983</v>
      </c>
      <c r="G311" s="44">
        <v>6265320</v>
      </c>
      <c r="H311" s="126">
        <v>15303303</v>
      </c>
      <c r="I311" s="127">
        <v>150419881</v>
      </c>
      <c r="J311" s="128">
        <v>2801678</v>
      </c>
      <c r="K311" s="130">
        <v>168524862</v>
      </c>
      <c r="L311" s="44">
        <v>799983</v>
      </c>
      <c r="M311" s="44">
        <v>2141258</v>
      </c>
      <c r="N311" s="44">
        <v>64182394</v>
      </c>
      <c r="O311" s="44">
        <v>2737126</v>
      </c>
      <c r="P311" s="44">
        <v>3936790</v>
      </c>
      <c r="Q311" s="44">
        <v>3025380</v>
      </c>
      <c r="R311" s="44">
        <v>264163</v>
      </c>
      <c r="S311" s="44">
        <v>1799284</v>
      </c>
      <c r="T311" s="44">
        <v>13532130</v>
      </c>
      <c r="U311" s="44">
        <v>5501024</v>
      </c>
      <c r="V311" s="44">
        <v>762768</v>
      </c>
      <c r="W311" s="44">
        <v>14455302</v>
      </c>
      <c r="X311" s="44">
        <v>6299884</v>
      </c>
      <c r="Y311" s="44">
        <v>12711713</v>
      </c>
      <c r="Z311" s="44">
        <v>13052778</v>
      </c>
      <c r="AA311" s="44">
        <v>2411809</v>
      </c>
      <c r="AB311" s="44">
        <v>2475000</v>
      </c>
      <c r="AC311" s="44">
        <v>150088786</v>
      </c>
      <c r="AD311" s="44">
        <v>9804274</v>
      </c>
      <c r="AE311" s="44">
        <v>1240000</v>
      </c>
      <c r="AF311" s="44">
        <v>1437204</v>
      </c>
      <c r="AG311" s="44">
        <v>162570264</v>
      </c>
      <c r="AH311" s="44">
        <v>6392</v>
      </c>
      <c r="AI311" s="44">
        <v>26365</v>
      </c>
      <c r="AJ311" s="44">
        <v>25433</v>
      </c>
      <c r="AK311" s="44">
        <v>1545462</v>
      </c>
      <c r="AL311" s="44">
        <v>373117</v>
      </c>
      <c r="AM311" s="44">
        <v>3.5519999999999996</v>
      </c>
      <c r="AN311" s="44">
        <v>0.58422917366979243</v>
      </c>
      <c r="AO311" s="44">
        <v>0.17</v>
      </c>
      <c r="AP311" s="44">
        <v>0.75422917366979247</v>
      </c>
      <c r="AQ311" s="44">
        <v>0.8306</v>
      </c>
      <c r="AR311" s="44">
        <v>11.06</v>
      </c>
    </row>
    <row r="312" spans="1:44">
      <c r="A312" t="s">
        <v>1127</v>
      </c>
      <c r="B312" t="s">
        <v>1128</v>
      </c>
      <c r="D312" t="s">
        <v>1639</v>
      </c>
      <c r="E312" s="44">
        <v>3377754</v>
      </c>
      <c r="F312" s="44">
        <v>8677169</v>
      </c>
      <c r="G312" s="44">
        <v>7075383</v>
      </c>
      <c r="H312" s="126">
        <v>15752552</v>
      </c>
      <c r="I312" s="127">
        <v>67882971</v>
      </c>
      <c r="J312" s="128">
        <v>1436233</v>
      </c>
      <c r="K312" s="130">
        <v>85071756</v>
      </c>
      <c r="L312" s="44">
        <v>340942</v>
      </c>
      <c r="M312" s="44">
        <v>1107099</v>
      </c>
      <c r="N312" s="44">
        <v>32938100</v>
      </c>
      <c r="O312" s="44">
        <v>1947990</v>
      </c>
      <c r="P312" s="44">
        <v>2827183</v>
      </c>
      <c r="Q312" s="44">
        <v>1456829</v>
      </c>
      <c r="R312" s="44">
        <v>356589</v>
      </c>
      <c r="S312" s="44">
        <v>1270680</v>
      </c>
      <c r="T312" s="44">
        <v>6230166</v>
      </c>
      <c r="U312" s="44">
        <v>3707567</v>
      </c>
      <c r="V312" s="44">
        <v>705691</v>
      </c>
      <c r="W312" s="44">
        <v>6895411</v>
      </c>
      <c r="X312" s="44">
        <v>3379959</v>
      </c>
      <c r="Y312" s="44">
        <v>8134585</v>
      </c>
      <c r="Z312" s="44">
        <v>4873786</v>
      </c>
      <c r="AA312" s="44">
        <v>1382455</v>
      </c>
      <c r="AB312" s="44">
        <v>315250</v>
      </c>
      <c r="AC312" s="44">
        <v>77870282</v>
      </c>
      <c r="AD312" s="44">
        <v>3073446</v>
      </c>
      <c r="AE312" s="44">
        <v>1645124</v>
      </c>
      <c r="AF312" s="44">
        <v>1937986</v>
      </c>
      <c r="AG312" s="44">
        <v>84526838</v>
      </c>
      <c r="AH312" s="44">
        <v>4035</v>
      </c>
      <c r="AI312" s="44">
        <v>21083</v>
      </c>
      <c r="AJ312" s="44">
        <v>20948</v>
      </c>
      <c r="AK312" s="44">
        <v>809165</v>
      </c>
      <c r="AL312" s="44">
        <v>209852</v>
      </c>
      <c r="AM312" s="44">
        <v>1.919</v>
      </c>
      <c r="AN312" s="44">
        <v>0.60022479487520874</v>
      </c>
      <c r="AO312" s="44">
        <v>0.16800000000000001</v>
      </c>
      <c r="AP312" s="44">
        <v>0.76822479487520878</v>
      </c>
      <c r="AQ312" s="44">
        <v>0.83640000000000003</v>
      </c>
      <c r="AR312" s="44">
        <v>13.43</v>
      </c>
    </row>
    <row r="313" spans="1:44">
      <c r="A313" t="s">
        <v>1129</v>
      </c>
      <c r="B313" t="s">
        <v>1130</v>
      </c>
      <c r="D313" t="s">
        <v>1639</v>
      </c>
      <c r="E313" s="44">
        <v>4481101</v>
      </c>
      <c r="F313" s="44">
        <v>4907706</v>
      </c>
      <c r="G313" s="44">
        <v>5570722</v>
      </c>
      <c r="H313" s="126">
        <v>10478428</v>
      </c>
      <c r="I313" s="127">
        <v>62416632</v>
      </c>
      <c r="J313" s="128">
        <v>914476</v>
      </c>
      <c r="K313" s="130">
        <v>73809536</v>
      </c>
      <c r="L313" s="44">
        <v>343555</v>
      </c>
      <c r="M313" s="44">
        <v>1443393</v>
      </c>
      <c r="N313" s="44">
        <v>23746622</v>
      </c>
      <c r="O313" s="44">
        <v>2092721</v>
      </c>
      <c r="P313" s="44">
        <v>2882774</v>
      </c>
      <c r="Q313" s="44">
        <v>2841471</v>
      </c>
      <c r="R313" s="44">
        <v>169878</v>
      </c>
      <c r="S313" s="44">
        <v>450489</v>
      </c>
      <c r="T313" s="44">
        <v>6775068</v>
      </c>
      <c r="U313" s="44">
        <v>3328150</v>
      </c>
      <c r="V313" s="44">
        <v>88154</v>
      </c>
      <c r="W313" s="44">
        <v>5354671</v>
      </c>
      <c r="X313" s="44">
        <v>2660533</v>
      </c>
      <c r="Y313" s="44">
        <v>6987294</v>
      </c>
      <c r="Z313" s="44">
        <v>4471983</v>
      </c>
      <c r="AA313" s="44">
        <v>1112336</v>
      </c>
      <c r="AB313" s="44">
        <v>0</v>
      </c>
      <c r="AC313" s="44">
        <v>64749092</v>
      </c>
      <c r="AD313" s="44">
        <v>2937441</v>
      </c>
      <c r="AE313" s="44">
        <v>814980</v>
      </c>
      <c r="AF313" s="44">
        <v>1974312</v>
      </c>
      <c r="AG313" s="44">
        <v>70475825</v>
      </c>
      <c r="AH313" s="44">
        <v>2574</v>
      </c>
      <c r="AI313" s="44">
        <v>28675</v>
      </c>
      <c r="AJ313" s="44">
        <v>27380</v>
      </c>
      <c r="AK313" s="44">
        <v>896389</v>
      </c>
      <c r="AL313" s="44">
        <v>187133</v>
      </c>
      <c r="AM313" s="44">
        <v>1.94</v>
      </c>
      <c r="AN313" s="44">
        <v>0.60002380958293144</v>
      </c>
      <c r="AO313" s="44">
        <v>0.16800000000000001</v>
      </c>
      <c r="AP313" s="44">
        <v>0.76802380958293148</v>
      </c>
      <c r="AQ313" s="44">
        <v>0.83520000000000005</v>
      </c>
      <c r="AR313" s="44">
        <v>16.54</v>
      </c>
    </row>
    <row r="314" spans="1:44">
      <c r="A314" t="s">
        <v>1131</v>
      </c>
      <c r="B314" t="s">
        <v>1132</v>
      </c>
      <c r="D314" t="s">
        <v>1639</v>
      </c>
      <c r="E314" s="44">
        <v>2161499</v>
      </c>
      <c r="F314" s="44">
        <v>3274939</v>
      </c>
      <c r="G314" s="44">
        <v>2481472</v>
      </c>
      <c r="H314" s="126">
        <v>5756411</v>
      </c>
      <c r="I314" s="127">
        <v>32513841</v>
      </c>
      <c r="J314" s="128">
        <v>613781</v>
      </c>
      <c r="K314" s="130">
        <v>38884033</v>
      </c>
      <c r="L314" s="44">
        <v>317313</v>
      </c>
      <c r="M314" s="44">
        <v>964790</v>
      </c>
      <c r="N314" s="44">
        <v>13150009</v>
      </c>
      <c r="O314" s="44">
        <v>939907</v>
      </c>
      <c r="P314" s="44">
        <v>1540103</v>
      </c>
      <c r="Q314" s="44">
        <v>1147203</v>
      </c>
      <c r="R314" s="44">
        <v>0</v>
      </c>
      <c r="S314" s="44">
        <v>415271</v>
      </c>
      <c r="T314" s="44">
        <v>2822402</v>
      </c>
      <c r="U314" s="44">
        <v>1856884</v>
      </c>
      <c r="V314" s="44">
        <v>42210</v>
      </c>
      <c r="W314" s="44">
        <v>3284487</v>
      </c>
      <c r="X314" s="44">
        <v>1397467</v>
      </c>
      <c r="Y314" s="44">
        <v>2771961</v>
      </c>
      <c r="Z314" s="44">
        <v>2226038</v>
      </c>
      <c r="AA314" s="44">
        <v>410148</v>
      </c>
      <c r="AB314" s="44">
        <v>0</v>
      </c>
      <c r="AC314" s="44">
        <v>33286193</v>
      </c>
      <c r="AD314" s="44">
        <v>1418067</v>
      </c>
      <c r="AE314" s="44">
        <v>1011956</v>
      </c>
      <c r="AF314" s="44">
        <v>811004</v>
      </c>
      <c r="AG314" s="44">
        <v>36527220</v>
      </c>
      <c r="AH314" s="44">
        <v>1483</v>
      </c>
      <c r="AI314" s="44">
        <v>26220</v>
      </c>
      <c r="AJ314" s="44">
        <v>24631</v>
      </c>
      <c r="AK314" s="44">
        <v>746456</v>
      </c>
      <c r="AL314" s="44">
        <v>131492</v>
      </c>
      <c r="AM314" s="44">
        <v>1.5149999999999999</v>
      </c>
      <c r="AN314" s="44">
        <v>0.59878027947377321</v>
      </c>
      <c r="AO314" s="44">
        <v>0.153</v>
      </c>
      <c r="AP314" s="44">
        <v>0.75178027947377324</v>
      </c>
      <c r="AQ314" s="44">
        <v>0.82440000000000002</v>
      </c>
      <c r="AR314" s="44">
        <v>17.45</v>
      </c>
    </row>
    <row r="315" spans="1:44">
      <c r="A315" t="s">
        <v>1133</v>
      </c>
      <c r="B315" t="s">
        <v>1134</v>
      </c>
      <c r="D315" t="s">
        <v>1639</v>
      </c>
      <c r="E315" s="44">
        <v>4835277</v>
      </c>
      <c r="F315" s="44">
        <v>3825603</v>
      </c>
      <c r="G315" s="44">
        <v>3496077</v>
      </c>
      <c r="H315" s="126">
        <v>7321680</v>
      </c>
      <c r="I315" s="127">
        <v>64048202</v>
      </c>
      <c r="J315" s="128">
        <v>578157</v>
      </c>
      <c r="K315" s="130">
        <v>71948039</v>
      </c>
      <c r="L315" s="44">
        <v>330933</v>
      </c>
      <c r="M315" s="44">
        <v>1386421</v>
      </c>
      <c r="N315" s="44">
        <v>25542700</v>
      </c>
      <c r="O315" s="44">
        <v>1612612</v>
      </c>
      <c r="P315" s="44">
        <v>2391674</v>
      </c>
      <c r="Q315" s="44">
        <v>1967953</v>
      </c>
      <c r="R315" s="44">
        <v>333273</v>
      </c>
      <c r="S315" s="44">
        <v>1276326</v>
      </c>
      <c r="T315" s="44">
        <v>5232636</v>
      </c>
      <c r="U315" s="44">
        <v>4121839</v>
      </c>
      <c r="V315" s="44">
        <v>21467</v>
      </c>
      <c r="W315" s="44">
        <v>5468045</v>
      </c>
      <c r="X315" s="44">
        <v>2709030</v>
      </c>
      <c r="Y315" s="44">
        <v>6469119</v>
      </c>
      <c r="Z315" s="44">
        <v>3860462</v>
      </c>
      <c r="AA315" s="44">
        <v>597382</v>
      </c>
      <c r="AB315" s="44">
        <v>492500</v>
      </c>
      <c r="AC315" s="44">
        <v>63814372</v>
      </c>
      <c r="AD315" s="44">
        <v>2612287</v>
      </c>
      <c r="AE315" s="44">
        <v>2515000</v>
      </c>
      <c r="AF315" s="44">
        <v>1680205</v>
      </c>
      <c r="AG315" s="44">
        <v>70621864</v>
      </c>
      <c r="AH315" s="44">
        <v>2923</v>
      </c>
      <c r="AI315" s="44">
        <v>24614</v>
      </c>
      <c r="AJ315" s="44">
        <v>24161</v>
      </c>
      <c r="AK315" s="44">
        <v>1188008</v>
      </c>
      <c r="AL315" s="44">
        <v>226269</v>
      </c>
      <c r="AM315" s="44">
        <v>2.4820000000000002</v>
      </c>
      <c r="AN315" s="44">
        <v>0.60149945914766567</v>
      </c>
      <c r="AO315" s="44">
        <v>0.16300000000000001</v>
      </c>
      <c r="AP315" s="44">
        <v>0.76449945914766571</v>
      </c>
      <c r="AQ315" s="44">
        <v>0.8518</v>
      </c>
      <c r="AR315" s="44">
        <v>14.23</v>
      </c>
    </row>
    <row r="316" spans="1:44">
      <c r="A316" t="s">
        <v>1135</v>
      </c>
      <c r="B316" t="s">
        <v>1136</v>
      </c>
      <c r="D316" t="s">
        <v>1639</v>
      </c>
      <c r="E316" s="44">
        <v>3549177</v>
      </c>
      <c r="F316" s="44">
        <v>9904831</v>
      </c>
      <c r="G316" s="44">
        <v>9769036</v>
      </c>
      <c r="H316" s="126">
        <v>19673867</v>
      </c>
      <c r="I316" s="127">
        <v>138113400</v>
      </c>
      <c r="J316" s="128">
        <v>1644121</v>
      </c>
      <c r="K316" s="130">
        <v>159431388</v>
      </c>
      <c r="L316" s="44">
        <v>724131</v>
      </c>
      <c r="M316" s="44">
        <v>1694677</v>
      </c>
      <c r="N316" s="44">
        <v>65513936</v>
      </c>
      <c r="O316" s="44">
        <v>3492887</v>
      </c>
      <c r="P316" s="44">
        <v>4887376</v>
      </c>
      <c r="Q316" s="44">
        <v>3187786</v>
      </c>
      <c r="R316" s="44">
        <v>1071758</v>
      </c>
      <c r="S316" s="44">
        <v>2734043</v>
      </c>
      <c r="T316" s="44">
        <v>10057855</v>
      </c>
      <c r="U316" s="44">
        <v>5410296</v>
      </c>
      <c r="V316" s="44">
        <v>169918</v>
      </c>
      <c r="W316" s="44">
        <v>10512905</v>
      </c>
      <c r="X316" s="44">
        <v>6612743</v>
      </c>
      <c r="Y316" s="44">
        <v>16106821</v>
      </c>
      <c r="Z316" s="44">
        <v>9501675</v>
      </c>
      <c r="AA316" s="44">
        <v>3648148</v>
      </c>
      <c r="AB316" s="44">
        <v>150000</v>
      </c>
      <c r="AC316" s="44">
        <v>145476955</v>
      </c>
      <c r="AD316" s="44">
        <v>8127205</v>
      </c>
      <c r="AE316" s="44">
        <v>3190000</v>
      </c>
      <c r="AF316" s="44">
        <v>3146020</v>
      </c>
      <c r="AG316" s="44">
        <v>159940180</v>
      </c>
      <c r="AH316" s="44">
        <v>6804</v>
      </c>
      <c r="AI316" s="44">
        <v>23432</v>
      </c>
      <c r="AJ316" s="44">
        <v>23507</v>
      </c>
      <c r="AK316" s="44">
        <v>922282</v>
      </c>
      <c r="AL316" s="44">
        <v>250575</v>
      </c>
      <c r="AM316" s="44">
        <v>2.234</v>
      </c>
      <c r="AN316" s="44">
        <v>0.60244984718661687</v>
      </c>
      <c r="AO316" s="44">
        <v>0.18099999999999999</v>
      </c>
      <c r="AP316" s="44">
        <v>0.78344984718661692</v>
      </c>
      <c r="AQ316" s="44">
        <v>0.86129999999999995</v>
      </c>
      <c r="AR316" s="44">
        <v>15.14</v>
      </c>
    </row>
    <row r="317" spans="1:44">
      <c r="A317" t="s">
        <v>1137</v>
      </c>
      <c r="B317" t="s">
        <v>1138</v>
      </c>
      <c r="D317" t="s">
        <v>1639</v>
      </c>
      <c r="E317" s="44">
        <v>3474235</v>
      </c>
      <c r="F317" s="44">
        <v>3343105</v>
      </c>
      <c r="G317" s="44">
        <v>2799728</v>
      </c>
      <c r="H317" s="126">
        <v>6142833</v>
      </c>
      <c r="I317" s="127">
        <v>53844867</v>
      </c>
      <c r="J317" s="128">
        <v>629868</v>
      </c>
      <c r="K317" s="130">
        <v>60617568</v>
      </c>
      <c r="L317" s="44">
        <v>532015</v>
      </c>
      <c r="M317" s="44">
        <v>1512926</v>
      </c>
      <c r="N317" s="44">
        <v>19084226</v>
      </c>
      <c r="O317" s="44">
        <v>1586002</v>
      </c>
      <c r="P317" s="44">
        <v>2320876</v>
      </c>
      <c r="Q317" s="44">
        <v>1716970</v>
      </c>
      <c r="R317" s="44">
        <v>377426</v>
      </c>
      <c r="S317" s="44">
        <v>894197</v>
      </c>
      <c r="T317" s="44">
        <v>5129553</v>
      </c>
      <c r="U317" s="44">
        <v>3542803</v>
      </c>
      <c r="V317" s="44">
        <v>60916</v>
      </c>
      <c r="W317" s="44">
        <v>5669539</v>
      </c>
      <c r="X317" s="44">
        <v>2223600</v>
      </c>
      <c r="Y317" s="44">
        <v>5155781</v>
      </c>
      <c r="Z317" s="44">
        <v>3463300</v>
      </c>
      <c r="AA317" s="44">
        <v>1229648</v>
      </c>
      <c r="AB317" s="44">
        <v>650000</v>
      </c>
      <c r="AC317" s="44">
        <v>55149778</v>
      </c>
      <c r="AD317" s="44">
        <v>3432450</v>
      </c>
      <c r="AE317" s="44">
        <v>1340000</v>
      </c>
      <c r="AF317" s="44">
        <v>1170034</v>
      </c>
      <c r="AG317" s="44">
        <v>61092262</v>
      </c>
      <c r="AH317" s="44">
        <v>2273</v>
      </c>
      <c r="AI317" s="44">
        <v>26669</v>
      </c>
      <c r="AJ317" s="44">
        <v>26877</v>
      </c>
      <c r="AK317" s="44">
        <v>1529343</v>
      </c>
      <c r="AL317" s="44">
        <v>472316</v>
      </c>
      <c r="AM317" s="44">
        <v>3.9379999999999997</v>
      </c>
      <c r="AN317" s="44">
        <v>0.56720854434887347</v>
      </c>
      <c r="AO317" s="44">
        <v>0.151</v>
      </c>
      <c r="AP317" s="44">
        <v>0.71820854434887349</v>
      </c>
      <c r="AQ317" s="44">
        <v>0.80289999999999995</v>
      </c>
      <c r="AR317" s="44">
        <v>9.94</v>
      </c>
    </row>
    <row r="318" spans="1:44">
      <c r="A318" t="s">
        <v>1139</v>
      </c>
      <c r="B318" t="s">
        <v>1140</v>
      </c>
      <c r="D318" t="s">
        <v>1639</v>
      </c>
      <c r="E318" s="44">
        <v>4305931</v>
      </c>
      <c r="F318" s="44">
        <v>12900430</v>
      </c>
      <c r="G318" s="44">
        <v>10397141</v>
      </c>
      <c r="H318" s="126">
        <v>23297571</v>
      </c>
      <c r="I318" s="127">
        <v>89318331</v>
      </c>
      <c r="J318" s="128">
        <v>1325897</v>
      </c>
      <c r="K318" s="130">
        <v>113941799</v>
      </c>
      <c r="L318" s="44">
        <v>526738</v>
      </c>
      <c r="M318" s="44">
        <v>1956708</v>
      </c>
      <c r="N318" s="44">
        <v>41381664</v>
      </c>
      <c r="O318" s="44">
        <v>4060395</v>
      </c>
      <c r="P318" s="44">
        <v>3071969</v>
      </c>
      <c r="Q318" s="44">
        <v>2808816</v>
      </c>
      <c r="R318" s="44">
        <v>238768</v>
      </c>
      <c r="S318" s="44">
        <v>693763</v>
      </c>
      <c r="T318" s="44">
        <v>9203359</v>
      </c>
      <c r="U318" s="44">
        <v>4634441</v>
      </c>
      <c r="V318" s="44">
        <v>121219</v>
      </c>
      <c r="W318" s="44">
        <v>8099101</v>
      </c>
      <c r="X318" s="44">
        <v>4355001</v>
      </c>
      <c r="Y318" s="44">
        <v>8300671</v>
      </c>
      <c r="Z318" s="44">
        <v>7661401</v>
      </c>
      <c r="AA318" s="44">
        <v>1488248</v>
      </c>
      <c r="AB318" s="44">
        <v>460000</v>
      </c>
      <c r="AC318" s="44">
        <v>99062262</v>
      </c>
      <c r="AD318" s="44">
        <v>5627485</v>
      </c>
      <c r="AE318" s="44">
        <v>1887378</v>
      </c>
      <c r="AF318" s="44">
        <v>2098631</v>
      </c>
      <c r="AG318" s="44">
        <v>108675756</v>
      </c>
      <c r="AH318" s="44">
        <v>5116</v>
      </c>
      <c r="AI318" s="44">
        <v>22272</v>
      </c>
      <c r="AJ318" s="44">
        <v>21242</v>
      </c>
      <c r="AK318" s="44">
        <v>704083</v>
      </c>
      <c r="AL318" s="44">
        <v>168204</v>
      </c>
      <c r="AM318" s="44">
        <v>1.611</v>
      </c>
      <c r="AN318" s="44">
        <v>0.60816853208732224</v>
      </c>
      <c r="AO318" s="44">
        <v>0.16700000000000001</v>
      </c>
      <c r="AP318" s="44">
        <v>0.77516853208732228</v>
      </c>
      <c r="AQ318" s="44">
        <v>0.85370000000000001</v>
      </c>
      <c r="AR318" s="44">
        <v>16.489999999999998</v>
      </c>
    </row>
    <row r="319" spans="1:44">
      <c r="A319" t="s">
        <v>1141</v>
      </c>
      <c r="B319" t="s">
        <v>1142</v>
      </c>
      <c r="D319" t="s">
        <v>1639</v>
      </c>
      <c r="E319" s="44">
        <v>1809981</v>
      </c>
      <c r="F319" s="44">
        <v>2365307</v>
      </c>
      <c r="G319" s="44">
        <v>2176419</v>
      </c>
      <c r="H319" s="126">
        <v>4541726</v>
      </c>
      <c r="I319" s="127">
        <v>37407699</v>
      </c>
      <c r="J319" s="128">
        <v>788873</v>
      </c>
      <c r="K319" s="130">
        <v>42738298</v>
      </c>
      <c r="L319" s="44">
        <v>232664</v>
      </c>
      <c r="M319" s="44">
        <v>942879</v>
      </c>
      <c r="N319" s="44">
        <v>13980149</v>
      </c>
      <c r="O319" s="44">
        <v>1042498</v>
      </c>
      <c r="P319" s="44">
        <v>1524052</v>
      </c>
      <c r="Q319" s="44">
        <v>1256778</v>
      </c>
      <c r="R319" s="44">
        <v>324260</v>
      </c>
      <c r="S319" s="44">
        <v>703425</v>
      </c>
      <c r="T319" s="44">
        <v>2546001</v>
      </c>
      <c r="U319" s="44">
        <v>4415223</v>
      </c>
      <c r="V319" s="44">
        <v>30067</v>
      </c>
      <c r="W319" s="44">
        <v>3244587</v>
      </c>
      <c r="X319" s="44">
        <v>1456045</v>
      </c>
      <c r="Y319" s="44">
        <v>3853082</v>
      </c>
      <c r="Z319" s="44">
        <v>2060718</v>
      </c>
      <c r="AA319" s="44">
        <v>532610</v>
      </c>
      <c r="AB319" s="44">
        <v>0</v>
      </c>
      <c r="AC319" s="44">
        <v>38145038</v>
      </c>
      <c r="AD319" s="44">
        <v>2820710</v>
      </c>
      <c r="AE319" s="44">
        <v>700000</v>
      </c>
      <c r="AF319" s="44">
        <v>550975</v>
      </c>
      <c r="AG319" s="44">
        <v>42216723</v>
      </c>
      <c r="AH319" s="44">
        <v>1623</v>
      </c>
      <c r="AI319" s="44">
        <v>26333</v>
      </c>
      <c r="AJ319" s="44">
        <v>26012</v>
      </c>
      <c r="AK319" s="44">
        <v>1872686</v>
      </c>
      <c r="AL319" s="44">
        <v>562432</v>
      </c>
      <c r="AM319" s="44">
        <v>4.7569999999999997</v>
      </c>
      <c r="AN319" s="44">
        <v>0.61095187326595668</v>
      </c>
      <c r="AO319" s="44">
        <v>0.157</v>
      </c>
      <c r="AP319" s="44">
        <v>0.76795187326595671</v>
      </c>
      <c r="AQ319" s="44">
        <v>0.84850000000000003</v>
      </c>
      <c r="AR319" s="44">
        <v>8.83</v>
      </c>
    </row>
    <row r="320" spans="1:44">
      <c r="A320" t="s">
        <v>1143</v>
      </c>
      <c r="B320" t="s">
        <v>1144</v>
      </c>
      <c r="D320" t="s">
        <v>1639</v>
      </c>
      <c r="E320" s="44">
        <v>4690402</v>
      </c>
      <c r="F320" s="44">
        <v>4458914</v>
      </c>
      <c r="G320" s="44">
        <v>3405718</v>
      </c>
      <c r="H320" s="126">
        <v>7864632</v>
      </c>
      <c r="I320" s="127">
        <v>81994140</v>
      </c>
      <c r="J320" s="128">
        <v>473999</v>
      </c>
      <c r="K320" s="130">
        <v>90332771</v>
      </c>
      <c r="L320" s="44">
        <v>210094</v>
      </c>
      <c r="M320" s="44">
        <v>2314304</v>
      </c>
      <c r="N320" s="44">
        <v>34263356</v>
      </c>
      <c r="O320" s="44">
        <v>1971402</v>
      </c>
      <c r="P320" s="44">
        <v>3143240</v>
      </c>
      <c r="Q320" s="44">
        <v>1605422</v>
      </c>
      <c r="R320" s="44">
        <v>473846</v>
      </c>
      <c r="S320" s="44">
        <v>870114</v>
      </c>
      <c r="T320" s="44">
        <v>8867332</v>
      </c>
      <c r="U320" s="44">
        <v>4976571</v>
      </c>
      <c r="V320" s="44">
        <v>38815</v>
      </c>
      <c r="W320" s="44">
        <v>5589255</v>
      </c>
      <c r="X320" s="44">
        <v>3507000</v>
      </c>
      <c r="Y320" s="44">
        <v>6397582</v>
      </c>
      <c r="Z320" s="44">
        <v>5771988</v>
      </c>
      <c r="AA320" s="44">
        <v>824610</v>
      </c>
      <c r="AB320" s="44">
        <v>522118</v>
      </c>
      <c r="AC320" s="44">
        <v>81347049</v>
      </c>
      <c r="AD320" s="44">
        <v>4359127</v>
      </c>
      <c r="AE320" s="44">
        <v>1200000</v>
      </c>
      <c r="AF320" s="44">
        <v>1554711</v>
      </c>
      <c r="AG320" s="44">
        <v>88460887</v>
      </c>
      <c r="AH320" s="44">
        <v>3451</v>
      </c>
      <c r="AI320" s="44">
        <v>26176</v>
      </c>
      <c r="AJ320" s="44">
        <v>25633</v>
      </c>
      <c r="AK320" s="44">
        <v>1139683</v>
      </c>
      <c r="AL320" s="44">
        <v>340587</v>
      </c>
      <c r="AM320" s="44">
        <v>2.8879999999999999</v>
      </c>
      <c r="AN320" s="44">
        <v>0.63498439711552968</v>
      </c>
      <c r="AO320" s="44">
        <v>0.158</v>
      </c>
      <c r="AP320" s="44">
        <v>0.7929843971155297</v>
      </c>
      <c r="AQ320" s="44">
        <v>0.86570000000000003</v>
      </c>
      <c r="AR320" s="44">
        <v>15.8</v>
      </c>
    </row>
    <row r="321" spans="1:44">
      <c r="A321" t="s">
        <v>1145</v>
      </c>
      <c r="B321" t="s">
        <v>1146</v>
      </c>
      <c r="D321" t="s">
        <v>1639</v>
      </c>
      <c r="E321" s="44">
        <v>3745370</v>
      </c>
      <c r="F321" s="44">
        <v>12096162</v>
      </c>
      <c r="G321" s="44">
        <v>8975602</v>
      </c>
      <c r="H321" s="126">
        <v>21071764</v>
      </c>
      <c r="I321" s="127">
        <v>80017813</v>
      </c>
      <c r="J321" s="128">
        <v>1770792</v>
      </c>
      <c r="K321" s="130">
        <v>102860369</v>
      </c>
      <c r="L321" s="44">
        <v>726291</v>
      </c>
      <c r="M321" s="44">
        <v>1680405</v>
      </c>
      <c r="N321" s="44">
        <v>33905717</v>
      </c>
      <c r="O321" s="44">
        <v>1981717</v>
      </c>
      <c r="P321" s="44">
        <v>3146566</v>
      </c>
      <c r="Q321" s="44">
        <v>5514148</v>
      </c>
      <c r="R321" s="44">
        <v>659574</v>
      </c>
      <c r="S321" s="44">
        <v>1302722</v>
      </c>
      <c r="T321" s="44">
        <v>6622453</v>
      </c>
      <c r="U321" s="44">
        <v>5374504</v>
      </c>
      <c r="V321" s="44">
        <v>285954</v>
      </c>
      <c r="W321" s="44">
        <v>7837884</v>
      </c>
      <c r="X321" s="44">
        <v>3609880</v>
      </c>
      <c r="Y321" s="44">
        <v>9066240</v>
      </c>
      <c r="Z321" s="44">
        <v>6163146</v>
      </c>
      <c r="AA321" s="44">
        <v>1893950</v>
      </c>
      <c r="AB321" s="44">
        <v>1741726</v>
      </c>
      <c r="AC321" s="44">
        <v>91512877</v>
      </c>
      <c r="AD321" s="44">
        <v>5941701</v>
      </c>
      <c r="AE321" s="44">
        <v>2010000</v>
      </c>
      <c r="AF321" s="44">
        <v>1438629</v>
      </c>
      <c r="AG321" s="44">
        <v>100903207</v>
      </c>
      <c r="AH321" s="44">
        <v>5382</v>
      </c>
      <c r="AI321" s="44">
        <v>19112</v>
      </c>
      <c r="AJ321" s="44">
        <v>18748</v>
      </c>
      <c r="AK321" s="44">
        <v>747230</v>
      </c>
      <c r="AL321" s="44">
        <v>146534</v>
      </c>
      <c r="AM321" s="44">
        <v>1.5779999999999998</v>
      </c>
      <c r="AN321" s="44">
        <v>0.5798368826869893</v>
      </c>
      <c r="AO321" s="44">
        <v>0.16300000000000001</v>
      </c>
      <c r="AP321" s="44">
        <v>0.74283688268698933</v>
      </c>
      <c r="AQ321" s="44">
        <v>0.83360000000000001</v>
      </c>
      <c r="AR321" s="44">
        <v>13.58</v>
      </c>
    </row>
    <row r="322" spans="1:44">
      <c r="A322" t="s">
        <v>1147</v>
      </c>
      <c r="B322" t="s">
        <v>1148</v>
      </c>
      <c r="D322" t="s">
        <v>1639</v>
      </c>
      <c r="E322" s="44">
        <v>2906751</v>
      </c>
      <c r="F322" s="44">
        <v>15680611</v>
      </c>
      <c r="G322" s="44">
        <v>8252240</v>
      </c>
      <c r="H322" s="126">
        <v>23932851</v>
      </c>
      <c r="I322" s="127">
        <v>40982390</v>
      </c>
      <c r="J322" s="128">
        <v>849506</v>
      </c>
      <c r="K322" s="130">
        <v>65764747</v>
      </c>
      <c r="L322" s="44">
        <v>307393</v>
      </c>
      <c r="M322" s="44">
        <v>938894</v>
      </c>
      <c r="N322" s="44">
        <v>22342758</v>
      </c>
      <c r="O322" s="44">
        <v>1455716</v>
      </c>
      <c r="P322" s="44">
        <v>1426018</v>
      </c>
      <c r="Q322" s="44">
        <v>3025993</v>
      </c>
      <c r="R322" s="44">
        <v>871463</v>
      </c>
      <c r="S322" s="44">
        <v>473293</v>
      </c>
      <c r="T322" s="44">
        <v>2494840</v>
      </c>
      <c r="U322" s="44">
        <v>2552737</v>
      </c>
      <c r="V322" s="44">
        <v>309</v>
      </c>
      <c r="W322" s="44">
        <v>4986171</v>
      </c>
      <c r="X322" s="44">
        <v>2246606</v>
      </c>
      <c r="Y322" s="44">
        <v>5046951</v>
      </c>
      <c r="Z322" s="44">
        <v>5055266</v>
      </c>
      <c r="AA322" s="44">
        <v>1070886</v>
      </c>
      <c r="AB322" s="44">
        <v>1509</v>
      </c>
      <c r="AC322" s="44">
        <v>54296803</v>
      </c>
      <c r="AD322" s="44">
        <v>2861479</v>
      </c>
      <c r="AE322" s="44">
        <v>3114220</v>
      </c>
      <c r="AF322" s="44">
        <v>2593222</v>
      </c>
      <c r="AG322" s="44">
        <v>62865724</v>
      </c>
      <c r="AH322" s="44">
        <v>3676</v>
      </c>
      <c r="AI322" s="44">
        <v>17890</v>
      </c>
      <c r="AJ322" s="44">
        <v>17102</v>
      </c>
      <c r="AK322" s="44">
        <v>494303</v>
      </c>
      <c r="AL322" s="44">
        <v>105564</v>
      </c>
      <c r="AM322" s="44">
        <v>1.079</v>
      </c>
      <c r="AN322" s="44">
        <v>0.55106051113003962</v>
      </c>
      <c r="AO322" s="44">
        <v>0.16700000000000001</v>
      </c>
      <c r="AP322" s="44">
        <v>0.71806051113003966</v>
      </c>
      <c r="AQ322" s="44">
        <v>0.82869999999999999</v>
      </c>
      <c r="AR322" s="44">
        <v>16.309999999999999</v>
      </c>
    </row>
    <row r="323" spans="1:44">
      <c r="A323" t="s">
        <v>1149</v>
      </c>
      <c r="B323" t="s">
        <v>1150</v>
      </c>
      <c r="D323" t="s">
        <v>1639</v>
      </c>
      <c r="E323" s="44">
        <v>5228808</v>
      </c>
      <c r="F323" s="44">
        <v>7885288</v>
      </c>
      <c r="G323" s="44">
        <v>5346314</v>
      </c>
      <c r="H323" s="126">
        <v>13231602</v>
      </c>
      <c r="I323" s="127">
        <v>49193480</v>
      </c>
      <c r="J323" s="128">
        <v>1007773</v>
      </c>
      <c r="K323" s="130">
        <v>63432855</v>
      </c>
      <c r="L323" s="44">
        <v>516672</v>
      </c>
      <c r="M323" s="44">
        <v>1466403</v>
      </c>
      <c r="N323" s="44">
        <v>21284895</v>
      </c>
      <c r="O323" s="44">
        <v>1462017</v>
      </c>
      <c r="P323" s="44">
        <v>2280557</v>
      </c>
      <c r="Q323" s="44">
        <v>3916235</v>
      </c>
      <c r="R323" s="44">
        <v>889099</v>
      </c>
      <c r="S323" s="44">
        <v>754565</v>
      </c>
      <c r="T323" s="44">
        <v>4284518</v>
      </c>
      <c r="U323" s="44">
        <v>2777422</v>
      </c>
      <c r="V323" s="44">
        <v>7004</v>
      </c>
      <c r="W323" s="44">
        <v>4842138</v>
      </c>
      <c r="X323" s="44">
        <v>2268345</v>
      </c>
      <c r="Y323" s="44">
        <v>4465709</v>
      </c>
      <c r="Z323" s="44">
        <v>3805725</v>
      </c>
      <c r="AA323" s="44">
        <v>1057867</v>
      </c>
      <c r="AB323" s="44">
        <v>119000</v>
      </c>
      <c r="AC323" s="44">
        <v>56198171</v>
      </c>
      <c r="AD323" s="44">
        <v>2695175</v>
      </c>
      <c r="AE323" s="44">
        <v>1775326</v>
      </c>
      <c r="AF323" s="44">
        <v>1511606</v>
      </c>
      <c r="AG323" s="44">
        <v>62180278</v>
      </c>
      <c r="AH323" s="44">
        <v>3030</v>
      </c>
      <c r="AI323" s="44">
        <v>20935</v>
      </c>
      <c r="AJ323" s="44">
        <v>20522</v>
      </c>
      <c r="AK323" s="44">
        <v>666863</v>
      </c>
      <c r="AL323" s="44">
        <v>140844</v>
      </c>
      <c r="AM323" s="44">
        <v>1.45</v>
      </c>
      <c r="AN323" s="44">
        <v>0.60548632477969944</v>
      </c>
      <c r="AO323" s="44">
        <v>0.14599999999999999</v>
      </c>
      <c r="AP323" s="44">
        <v>0.75148632477969945</v>
      </c>
      <c r="AQ323" s="44">
        <v>0.83009999999999995</v>
      </c>
      <c r="AR323" s="44">
        <v>16.850000000000001</v>
      </c>
    </row>
    <row r="324" spans="1:44">
      <c r="A324" t="s">
        <v>1151</v>
      </c>
      <c r="B324" t="s">
        <v>1152</v>
      </c>
      <c r="D324" t="s">
        <v>1639</v>
      </c>
      <c r="E324" s="44">
        <v>6457370</v>
      </c>
      <c r="F324" s="44">
        <v>24208729</v>
      </c>
      <c r="G324" s="44">
        <v>15554680</v>
      </c>
      <c r="H324" s="126">
        <v>39763409</v>
      </c>
      <c r="I324" s="127">
        <v>89881337</v>
      </c>
      <c r="J324" s="128">
        <v>2326425</v>
      </c>
      <c r="K324" s="130">
        <v>131971171</v>
      </c>
      <c r="L324" s="44">
        <v>707575</v>
      </c>
      <c r="M324" s="44">
        <v>1467073</v>
      </c>
      <c r="N324" s="44">
        <v>41219620</v>
      </c>
      <c r="O324" s="44">
        <v>3949955</v>
      </c>
      <c r="P324" s="44">
        <v>3446499</v>
      </c>
      <c r="Q324" s="44">
        <v>7966072</v>
      </c>
      <c r="R324" s="44">
        <v>173465</v>
      </c>
      <c r="S324" s="44">
        <v>1494975</v>
      </c>
      <c r="T324" s="44">
        <v>7874797</v>
      </c>
      <c r="U324" s="44">
        <v>5325376</v>
      </c>
      <c r="V324" s="44">
        <v>21440</v>
      </c>
      <c r="W324" s="44">
        <v>8955056</v>
      </c>
      <c r="X324" s="44">
        <v>4213888</v>
      </c>
      <c r="Y324" s="44">
        <v>11521435</v>
      </c>
      <c r="Z324" s="44">
        <v>8816023</v>
      </c>
      <c r="AA324" s="44">
        <v>3261652</v>
      </c>
      <c r="AB324" s="44">
        <v>972300</v>
      </c>
      <c r="AC324" s="44">
        <v>111387201</v>
      </c>
      <c r="AD324" s="44">
        <v>6443451</v>
      </c>
      <c r="AE324" s="44">
        <v>2465000</v>
      </c>
      <c r="AF324" s="44">
        <v>1714558</v>
      </c>
      <c r="AG324" s="44">
        <v>122010210</v>
      </c>
      <c r="AH324" s="44">
        <v>6432</v>
      </c>
      <c r="AI324" s="44">
        <v>20518</v>
      </c>
      <c r="AJ324" s="44">
        <v>18969</v>
      </c>
      <c r="AK324" s="44">
        <v>593682</v>
      </c>
      <c r="AL324" s="44">
        <v>125762</v>
      </c>
      <c r="AM324" s="44">
        <v>1.292</v>
      </c>
      <c r="AN324" s="44">
        <v>0.58561294993263269</v>
      </c>
      <c r="AO324" s="44">
        <v>0.17799999999999999</v>
      </c>
      <c r="AP324" s="44">
        <v>0.76361294993263273</v>
      </c>
      <c r="AQ324" s="44">
        <v>0.84330000000000005</v>
      </c>
      <c r="AR324" s="44">
        <v>16.53</v>
      </c>
    </row>
    <row r="325" spans="1:44">
      <c r="A325" t="s">
        <v>1153</v>
      </c>
      <c r="B325" t="s">
        <v>1154</v>
      </c>
      <c r="D325" t="s">
        <v>1639</v>
      </c>
      <c r="E325" s="44">
        <v>3146278</v>
      </c>
      <c r="F325" s="44">
        <v>21808399</v>
      </c>
      <c r="G325" s="44">
        <v>15555079</v>
      </c>
      <c r="H325" s="126">
        <v>37363478</v>
      </c>
      <c r="I325" s="127">
        <v>111168608</v>
      </c>
      <c r="J325" s="128">
        <v>2238281</v>
      </c>
      <c r="K325" s="130">
        <v>150770367</v>
      </c>
      <c r="L325" s="44">
        <v>368463</v>
      </c>
      <c r="M325" s="44">
        <v>2097793</v>
      </c>
      <c r="N325" s="44">
        <v>57926351</v>
      </c>
      <c r="O325" s="44">
        <v>3184750</v>
      </c>
      <c r="P325" s="44">
        <v>2999765</v>
      </c>
      <c r="Q325" s="44">
        <v>6052176</v>
      </c>
      <c r="R325" s="44">
        <v>1476061</v>
      </c>
      <c r="S325" s="44">
        <v>1970995</v>
      </c>
      <c r="T325" s="44">
        <v>7822686</v>
      </c>
      <c r="U325" s="44">
        <v>7608570</v>
      </c>
      <c r="V325" s="44">
        <v>464159</v>
      </c>
      <c r="W325" s="44">
        <v>10981770</v>
      </c>
      <c r="X325" s="44">
        <v>5826906</v>
      </c>
      <c r="Y325" s="44">
        <v>13643036</v>
      </c>
      <c r="Z325" s="44">
        <v>7314782</v>
      </c>
      <c r="AA325" s="44">
        <v>2343600</v>
      </c>
      <c r="AB325" s="44">
        <v>0</v>
      </c>
      <c r="AC325" s="44">
        <v>132081863</v>
      </c>
      <c r="AD325" s="44">
        <v>8159239</v>
      </c>
      <c r="AE325" s="44">
        <v>4020079</v>
      </c>
      <c r="AF325" s="44">
        <v>2787519</v>
      </c>
      <c r="AG325" s="44">
        <v>147048700</v>
      </c>
      <c r="AH325" s="44">
        <v>8137</v>
      </c>
      <c r="AI325" s="44">
        <v>18529</v>
      </c>
      <c r="AJ325" s="44">
        <v>18072</v>
      </c>
      <c r="AK325" s="44">
        <v>693223</v>
      </c>
      <c r="AL325" s="44">
        <v>171963</v>
      </c>
      <c r="AM325" s="44">
        <v>1.611</v>
      </c>
      <c r="AN325" s="44">
        <v>0.6055228913958437</v>
      </c>
      <c r="AO325" s="44">
        <v>0.16400000000000001</v>
      </c>
      <c r="AP325" s="44">
        <v>0.76952289139584373</v>
      </c>
      <c r="AQ325" s="44">
        <v>0.85550000000000004</v>
      </c>
      <c r="AR325" s="44">
        <v>14.12</v>
      </c>
    </row>
    <row r="326" spans="1:44" s="1" customFormat="1">
      <c r="A326" s="1" t="s">
        <v>1977</v>
      </c>
      <c r="B326" s="1" t="s">
        <v>1155</v>
      </c>
      <c r="D326" s="1" t="s">
        <v>1639</v>
      </c>
      <c r="E326" s="44">
        <v>0</v>
      </c>
      <c r="F326" s="44">
        <v>6979874468</v>
      </c>
      <c r="G326" s="44">
        <v>1093144663</v>
      </c>
      <c r="H326" s="68">
        <v>8073019131</v>
      </c>
      <c r="I326" s="68">
        <v>8536341160</v>
      </c>
      <c r="J326" s="68">
        <v>1586091039</v>
      </c>
      <c r="K326" s="130">
        <v>18195451330</v>
      </c>
      <c r="L326" s="44">
        <v>19067656</v>
      </c>
      <c r="M326" s="44">
        <v>268049727</v>
      </c>
      <c r="N326" s="44">
        <v>6838248996</v>
      </c>
      <c r="O326" s="44">
        <v>19056146</v>
      </c>
      <c r="P326" s="44">
        <v>390877157</v>
      </c>
      <c r="Q326" s="44">
        <v>0</v>
      </c>
      <c r="R326" s="44">
        <v>282641877</v>
      </c>
      <c r="S326" s="44">
        <v>504839299</v>
      </c>
      <c r="T326" s="44">
        <v>980626756</v>
      </c>
      <c r="U326" s="44">
        <v>1681163152</v>
      </c>
      <c r="V326" s="44">
        <v>67212703</v>
      </c>
      <c r="W326" s="44">
        <v>1055330288</v>
      </c>
      <c r="X326" s="44">
        <v>1495042872</v>
      </c>
      <c r="Y326" s="44">
        <v>1007586612</v>
      </c>
      <c r="Z326" s="44">
        <v>1488183025</v>
      </c>
      <c r="AA326" s="44">
        <v>196324652</v>
      </c>
      <c r="AB326" s="44">
        <v>49324381</v>
      </c>
      <c r="AC326" s="44">
        <v>16343575299</v>
      </c>
      <c r="AD326" s="44">
        <v>935904052</v>
      </c>
      <c r="AE326" s="44">
        <v>475248340</v>
      </c>
      <c r="AF326" s="44">
        <v>440723639</v>
      </c>
      <c r="AG326" s="44">
        <v>18195451330</v>
      </c>
      <c r="AH326" s="44">
        <v>1018962</v>
      </c>
      <c r="AI326" s="44">
        <v>17857</v>
      </c>
      <c r="AJ326" s="44">
        <v>17857</v>
      </c>
      <c r="AK326" s="44">
        <v>336531</v>
      </c>
      <c r="AL326" s="44">
        <v>129330</v>
      </c>
      <c r="AM326" s="44">
        <v>0.97</v>
      </c>
      <c r="AN326" s="44">
        <v>0.58791910071295828</v>
      </c>
      <c r="AO326" s="44">
        <v>0.19900000000000001</v>
      </c>
      <c r="AP326" s="44">
        <v>0.78691910071295834</v>
      </c>
      <c r="AQ326" s="44">
        <v>0.87439999999999996</v>
      </c>
      <c r="AR326" s="44">
        <v>15.34</v>
      </c>
    </row>
    <row r="327" spans="1:44">
      <c r="A327" t="s">
        <v>1156</v>
      </c>
      <c r="B327" t="s">
        <v>1157</v>
      </c>
      <c r="D327" t="s">
        <v>1639</v>
      </c>
      <c r="E327" s="44">
        <v>2576434</v>
      </c>
      <c r="F327" s="44">
        <v>13197198</v>
      </c>
      <c r="G327" s="44">
        <v>4543087</v>
      </c>
      <c r="H327" s="126">
        <v>17740285</v>
      </c>
      <c r="I327" s="127">
        <v>19297391</v>
      </c>
      <c r="J327" s="128">
        <v>810593</v>
      </c>
      <c r="K327" s="130">
        <v>37848269</v>
      </c>
      <c r="L327" s="44">
        <v>312510</v>
      </c>
      <c r="M327" s="44">
        <v>1647661</v>
      </c>
      <c r="N327" s="44">
        <v>12015125</v>
      </c>
      <c r="O327" s="44">
        <v>852759</v>
      </c>
      <c r="P327" s="44">
        <v>575596</v>
      </c>
      <c r="Q327" s="44">
        <v>3630114</v>
      </c>
      <c r="R327" s="44">
        <v>0</v>
      </c>
      <c r="S327" s="44">
        <v>428189</v>
      </c>
      <c r="T327" s="44">
        <v>2602571</v>
      </c>
      <c r="U327" s="44">
        <v>1097835</v>
      </c>
      <c r="V327" s="44">
        <v>0</v>
      </c>
      <c r="W327" s="44">
        <v>2762944</v>
      </c>
      <c r="X327" s="44">
        <v>1286016</v>
      </c>
      <c r="Y327" s="44">
        <v>3886625</v>
      </c>
      <c r="Z327" s="44">
        <v>1873787</v>
      </c>
      <c r="AA327" s="44">
        <v>813506</v>
      </c>
      <c r="AB327" s="44">
        <v>0</v>
      </c>
      <c r="AC327" s="44">
        <v>33785238</v>
      </c>
      <c r="AD327" s="44">
        <v>1851427</v>
      </c>
      <c r="AE327" s="44">
        <v>1226136</v>
      </c>
      <c r="AF327" s="44">
        <v>560134</v>
      </c>
      <c r="AG327" s="44">
        <v>37422935</v>
      </c>
      <c r="AH327" s="44">
        <v>2374</v>
      </c>
      <c r="AI327" s="44">
        <v>15943</v>
      </c>
      <c r="AJ327" s="44">
        <v>15764</v>
      </c>
      <c r="AK327" s="44">
        <v>268919</v>
      </c>
      <c r="AL327" s="44">
        <v>130512</v>
      </c>
      <c r="AM327" s="44">
        <v>0.88600000000000001</v>
      </c>
      <c r="AN327" s="44">
        <v>0.56655601705210989</v>
      </c>
      <c r="AO327" s="44">
        <v>0.16800000000000001</v>
      </c>
      <c r="AP327" s="44">
        <v>0.73455601705210993</v>
      </c>
      <c r="AQ327" s="44">
        <v>0.81369999999999998</v>
      </c>
      <c r="AR327" s="44">
        <v>20.76</v>
      </c>
    </row>
    <row r="328" spans="1:44">
      <c r="A328" t="s">
        <v>2063</v>
      </c>
      <c r="B328" t="s">
        <v>1158</v>
      </c>
      <c r="D328" t="s">
        <v>1639</v>
      </c>
      <c r="E328" s="44">
        <v>3515076</v>
      </c>
      <c r="F328" s="44">
        <v>36033823</v>
      </c>
      <c r="G328" s="44">
        <v>7481479</v>
      </c>
      <c r="H328" s="126">
        <v>43515302</v>
      </c>
      <c r="I328" s="127">
        <v>26581429</v>
      </c>
      <c r="J328" s="128">
        <v>3622958</v>
      </c>
      <c r="K328" s="130">
        <v>73719689</v>
      </c>
      <c r="L328" s="44">
        <v>370565</v>
      </c>
      <c r="M328" s="44">
        <v>926996</v>
      </c>
      <c r="N328" s="44">
        <v>28088678</v>
      </c>
      <c r="O328" s="44">
        <v>1258381</v>
      </c>
      <c r="P328" s="44">
        <v>1653844</v>
      </c>
      <c r="Q328" s="44">
        <v>5239641</v>
      </c>
      <c r="R328" s="44">
        <v>215930</v>
      </c>
      <c r="S328" s="44">
        <v>1087501</v>
      </c>
      <c r="T328" s="44">
        <v>5225563</v>
      </c>
      <c r="U328" s="44">
        <v>3082279</v>
      </c>
      <c r="V328" s="44">
        <v>0</v>
      </c>
      <c r="W328" s="44">
        <v>3901474</v>
      </c>
      <c r="X328" s="44">
        <v>2570447</v>
      </c>
      <c r="Y328" s="44">
        <v>6089366</v>
      </c>
      <c r="Z328" s="44">
        <v>5439530</v>
      </c>
      <c r="AA328" s="44">
        <v>1575030</v>
      </c>
      <c r="AB328" s="44">
        <v>47906</v>
      </c>
      <c r="AC328" s="44">
        <v>66773131</v>
      </c>
      <c r="AD328" s="44">
        <v>3478675</v>
      </c>
      <c r="AE328" s="44">
        <v>1503021</v>
      </c>
      <c r="AF328" s="44">
        <v>377004</v>
      </c>
      <c r="AG328" s="44">
        <v>72131831</v>
      </c>
      <c r="AH328" s="44">
        <v>5312</v>
      </c>
      <c r="AI328" s="44">
        <v>13878</v>
      </c>
      <c r="AJ328" s="44">
        <v>13579</v>
      </c>
      <c r="AK328" s="44">
        <v>176158</v>
      </c>
      <c r="AL328" s="44">
        <v>89819</v>
      </c>
      <c r="AM328" s="44">
        <v>0.59799999999999998</v>
      </c>
      <c r="AN328" s="44">
        <v>0.63566689441170565</v>
      </c>
      <c r="AO328" s="44">
        <v>0.182</v>
      </c>
      <c r="AP328" s="44">
        <v>0.81766689441170559</v>
      </c>
      <c r="AQ328" s="44">
        <v>0.88260000000000005</v>
      </c>
      <c r="AR328" s="44">
        <v>22.16</v>
      </c>
    </row>
    <row r="329" spans="1:44">
      <c r="A329" t="s">
        <v>1159</v>
      </c>
      <c r="B329" t="s">
        <v>1160</v>
      </c>
      <c r="D329" t="s">
        <v>1639</v>
      </c>
      <c r="E329" s="44">
        <v>2135508</v>
      </c>
      <c r="F329" s="44">
        <v>17098421</v>
      </c>
      <c r="G329" s="44">
        <v>3227285</v>
      </c>
      <c r="H329" s="126">
        <v>20325706</v>
      </c>
      <c r="I329" s="127">
        <v>8925947</v>
      </c>
      <c r="J329" s="128">
        <v>905097</v>
      </c>
      <c r="K329" s="130">
        <v>30156750</v>
      </c>
      <c r="L329" s="44">
        <v>155338</v>
      </c>
      <c r="M329" s="44">
        <v>453882</v>
      </c>
      <c r="N329" s="44">
        <v>9047743</v>
      </c>
      <c r="O329" s="44">
        <v>480335</v>
      </c>
      <c r="P329" s="44">
        <v>676669</v>
      </c>
      <c r="Q329" s="44">
        <v>1853377</v>
      </c>
      <c r="R329" s="44">
        <v>15895</v>
      </c>
      <c r="S329" s="44">
        <v>435713</v>
      </c>
      <c r="T329" s="44">
        <v>1729572</v>
      </c>
      <c r="U329" s="44">
        <v>879473</v>
      </c>
      <c r="V329" s="44">
        <v>0</v>
      </c>
      <c r="W329" s="44">
        <v>1981367</v>
      </c>
      <c r="X329" s="44">
        <v>795189</v>
      </c>
      <c r="Y329" s="44">
        <v>2178367</v>
      </c>
      <c r="Z329" s="44">
        <v>1445619</v>
      </c>
      <c r="AA329" s="44">
        <v>641164</v>
      </c>
      <c r="AB329" s="44">
        <v>0</v>
      </c>
      <c r="AC329" s="44">
        <v>22769703</v>
      </c>
      <c r="AD329" s="44">
        <v>1895729</v>
      </c>
      <c r="AE329" s="44">
        <v>2160000</v>
      </c>
      <c r="AF329" s="44">
        <v>955089</v>
      </c>
      <c r="AG329" s="44">
        <v>27780521</v>
      </c>
      <c r="AH329" s="44">
        <v>2016</v>
      </c>
      <c r="AI329" s="44">
        <v>14959</v>
      </c>
      <c r="AJ329" s="44">
        <v>13780</v>
      </c>
      <c r="AK329" s="44">
        <v>147206</v>
      </c>
      <c r="AL329" s="44">
        <v>68243</v>
      </c>
      <c r="AM329" s="44">
        <v>0.47200000000000003</v>
      </c>
      <c r="AN329" s="44">
        <v>0.54422222678977117</v>
      </c>
      <c r="AO329" s="44">
        <v>0.14299999999999999</v>
      </c>
      <c r="AP329" s="44">
        <v>0.68722222678977118</v>
      </c>
      <c r="AQ329" s="44">
        <v>0.83779999999999999</v>
      </c>
      <c r="AR329" s="44">
        <v>22.08</v>
      </c>
    </row>
    <row r="330" spans="1:44">
      <c r="A330" t="s">
        <v>2065</v>
      </c>
      <c r="B330" t="s">
        <v>1161</v>
      </c>
      <c r="D330" t="s">
        <v>1639</v>
      </c>
      <c r="E330" s="44">
        <v>6287972</v>
      </c>
      <c r="F330" s="44">
        <v>28276601</v>
      </c>
      <c r="G330" s="44">
        <v>4892816</v>
      </c>
      <c r="H330" s="126">
        <v>33169417</v>
      </c>
      <c r="I330" s="127">
        <v>27233496</v>
      </c>
      <c r="J330" s="128">
        <v>1670307</v>
      </c>
      <c r="K330" s="130">
        <v>62073220</v>
      </c>
      <c r="L330" s="44">
        <v>132283</v>
      </c>
      <c r="M330" s="44">
        <v>881686</v>
      </c>
      <c r="N330" s="44">
        <v>19095565</v>
      </c>
      <c r="O330" s="44">
        <v>891287</v>
      </c>
      <c r="P330" s="44">
        <v>1296848</v>
      </c>
      <c r="Q330" s="44">
        <v>5305132</v>
      </c>
      <c r="R330" s="44">
        <v>359939</v>
      </c>
      <c r="S330" s="44">
        <v>747472</v>
      </c>
      <c r="T330" s="44">
        <v>4074161</v>
      </c>
      <c r="U330" s="44">
        <v>1783589</v>
      </c>
      <c r="V330" s="44">
        <v>0</v>
      </c>
      <c r="W330" s="44">
        <v>4234873</v>
      </c>
      <c r="X330" s="44">
        <v>1824907</v>
      </c>
      <c r="Y330" s="44">
        <v>4377919</v>
      </c>
      <c r="Z330" s="44">
        <v>3728117</v>
      </c>
      <c r="AA330" s="44">
        <v>1505801</v>
      </c>
      <c r="AB330" s="44">
        <v>226093</v>
      </c>
      <c r="AC330" s="44">
        <v>50465672</v>
      </c>
      <c r="AD330" s="44">
        <v>3028815</v>
      </c>
      <c r="AE330" s="44">
        <v>2585000</v>
      </c>
      <c r="AF330" s="44">
        <v>3363684</v>
      </c>
      <c r="AG330" s="44">
        <v>59443171</v>
      </c>
      <c r="AH330" s="44">
        <v>4433</v>
      </c>
      <c r="AI330" s="44">
        <v>14003</v>
      </c>
      <c r="AJ330" s="44">
        <v>13409</v>
      </c>
      <c r="AK330" s="44">
        <v>227760</v>
      </c>
      <c r="AL330" s="44">
        <v>85135</v>
      </c>
      <c r="AM330" s="44">
        <v>0.64599999999999991</v>
      </c>
      <c r="AN330" s="44">
        <v>0.56447178768440864</v>
      </c>
      <c r="AO330" s="44">
        <v>0.14000000000000001</v>
      </c>
      <c r="AP330" s="44">
        <v>0.70447178768440866</v>
      </c>
      <c r="AQ330" s="44">
        <v>0.83230000000000004</v>
      </c>
      <c r="AR330" s="44">
        <v>21.73</v>
      </c>
    </row>
    <row r="331" spans="1:44">
      <c r="A331" t="s">
        <v>2054</v>
      </c>
      <c r="B331" t="s">
        <v>1162</v>
      </c>
      <c r="D331" t="s">
        <v>1639</v>
      </c>
      <c r="E331" s="44">
        <v>1608383</v>
      </c>
      <c r="F331" s="44">
        <v>86337409</v>
      </c>
      <c r="G331" s="44">
        <v>7126222</v>
      </c>
      <c r="H331" s="126">
        <v>93463631</v>
      </c>
      <c r="I331" s="127">
        <v>26076545</v>
      </c>
      <c r="J331" s="128">
        <v>13373739</v>
      </c>
      <c r="K331" s="130">
        <v>132913915</v>
      </c>
      <c r="L331" s="44">
        <v>1101713</v>
      </c>
      <c r="M331" s="44">
        <v>1796904</v>
      </c>
      <c r="N331" s="44">
        <v>39231041</v>
      </c>
      <c r="O331" s="44">
        <v>1355392</v>
      </c>
      <c r="P331" s="44">
        <v>2597286</v>
      </c>
      <c r="Q331" s="44">
        <v>10471475</v>
      </c>
      <c r="R331" s="44">
        <v>0</v>
      </c>
      <c r="S331" s="44">
        <v>2063850</v>
      </c>
      <c r="T331" s="44">
        <v>7499949</v>
      </c>
      <c r="U331" s="44">
        <v>8083219</v>
      </c>
      <c r="V331" s="44">
        <v>4508</v>
      </c>
      <c r="W331" s="44">
        <v>8661248</v>
      </c>
      <c r="X331" s="44">
        <v>3935485</v>
      </c>
      <c r="Y331" s="44">
        <v>15258893</v>
      </c>
      <c r="Z331" s="44">
        <v>8895462</v>
      </c>
      <c r="AA331" s="44">
        <v>3787645</v>
      </c>
      <c r="AB331" s="44">
        <v>45000</v>
      </c>
      <c r="AC331" s="44">
        <v>114789070</v>
      </c>
      <c r="AD331" s="44">
        <v>6515567</v>
      </c>
      <c r="AE331" s="44">
        <v>4784542</v>
      </c>
      <c r="AF331" s="44">
        <v>6929906</v>
      </c>
      <c r="AG331" s="44">
        <v>133019085</v>
      </c>
      <c r="AH331" s="44">
        <v>8091</v>
      </c>
      <c r="AI331" s="44">
        <v>16427</v>
      </c>
      <c r="AJ331" s="44">
        <v>16440</v>
      </c>
      <c r="AK331" s="44">
        <v>122469</v>
      </c>
      <c r="AL331" s="44">
        <v>54787</v>
      </c>
      <c r="AM331" s="44">
        <v>0.38400000000000001</v>
      </c>
      <c r="AN331" s="44">
        <v>0.53602993886178063</v>
      </c>
      <c r="AO331" s="44">
        <v>0.188</v>
      </c>
      <c r="AP331" s="44">
        <v>0.72402993886178058</v>
      </c>
      <c r="AQ331" s="44">
        <v>0.83909999999999996</v>
      </c>
      <c r="AR331" s="44">
        <v>19.899999999999999</v>
      </c>
    </row>
    <row r="332" spans="1:44">
      <c r="A332" t="s">
        <v>2067</v>
      </c>
      <c r="B332" t="s">
        <v>1163</v>
      </c>
      <c r="D332" t="s">
        <v>1639</v>
      </c>
      <c r="E332" s="44">
        <v>4627357</v>
      </c>
      <c r="F332" s="44">
        <v>31981490</v>
      </c>
      <c r="G332" s="44">
        <v>7075505</v>
      </c>
      <c r="H332" s="126">
        <v>39056995</v>
      </c>
      <c r="I332" s="127">
        <v>19980246</v>
      </c>
      <c r="J332" s="128">
        <v>2349793</v>
      </c>
      <c r="K332" s="130">
        <v>61387034</v>
      </c>
      <c r="L332" s="44">
        <v>384839</v>
      </c>
      <c r="M332" s="44">
        <v>681531</v>
      </c>
      <c r="N332" s="44">
        <v>21388593</v>
      </c>
      <c r="O332" s="44">
        <v>1268430</v>
      </c>
      <c r="P332" s="44">
        <v>1002427</v>
      </c>
      <c r="Q332" s="44">
        <v>5040697</v>
      </c>
      <c r="R332" s="44">
        <v>222217</v>
      </c>
      <c r="S332" s="44">
        <v>679453</v>
      </c>
      <c r="T332" s="44">
        <v>3363432</v>
      </c>
      <c r="U332" s="44">
        <v>2056858</v>
      </c>
      <c r="V332" s="44">
        <v>69</v>
      </c>
      <c r="W332" s="44">
        <v>4628254</v>
      </c>
      <c r="X332" s="44">
        <v>2003510</v>
      </c>
      <c r="Y332" s="44">
        <v>5103540</v>
      </c>
      <c r="Z332" s="44">
        <v>3383542</v>
      </c>
      <c r="AA332" s="44">
        <v>1112948</v>
      </c>
      <c r="AB332" s="44">
        <v>0</v>
      </c>
      <c r="AC332" s="44">
        <v>52320340</v>
      </c>
      <c r="AD332" s="44">
        <v>2383076</v>
      </c>
      <c r="AE332" s="44">
        <v>2014549</v>
      </c>
      <c r="AF332" s="44">
        <v>800496</v>
      </c>
      <c r="AG332" s="44">
        <v>57518461</v>
      </c>
      <c r="AH332" s="44">
        <v>4393</v>
      </c>
      <c r="AI332" s="44">
        <v>13974</v>
      </c>
      <c r="AJ332" s="44">
        <v>13093</v>
      </c>
      <c r="AK332" s="44">
        <v>184166</v>
      </c>
      <c r="AL332" s="44">
        <v>95182</v>
      </c>
      <c r="AM332" s="44">
        <v>0.63</v>
      </c>
      <c r="AN332" s="44">
        <v>0.60888463270948778</v>
      </c>
      <c r="AO332" s="44">
        <v>0.161</v>
      </c>
      <c r="AP332" s="44">
        <v>0.76988463270948782</v>
      </c>
      <c r="AQ332" s="44">
        <v>0.84530000000000005</v>
      </c>
      <c r="AR332" s="44">
        <v>18.97</v>
      </c>
    </row>
    <row r="333" spans="1:44">
      <c r="A333" t="s">
        <v>1164</v>
      </c>
      <c r="B333" t="s">
        <v>1165</v>
      </c>
      <c r="D333" t="s">
        <v>1639</v>
      </c>
      <c r="E333" s="44">
        <v>3989272</v>
      </c>
      <c r="F333" s="44">
        <v>17706411</v>
      </c>
      <c r="G333" s="44">
        <v>3890695</v>
      </c>
      <c r="H333" s="126">
        <v>21597106</v>
      </c>
      <c r="I333" s="127">
        <v>17644765</v>
      </c>
      <c r="J333" s="128">
        <v>862179</v>
      </c>
      <c r="K333" s="130">
        <v>40104050</v>
      </c>
      <c r="L333" s="44">
        <v>194296</v>
      </c>
      <c r="M333" s="44">
        <v>479800</v>
      </c>
      <c r="N333" s="44">
        <v>12222799</v>
      </c>
      <c r="O333" s="44">
        <v>796142</v>
      </c>
      <c r="P333" s="44">
        <v>737479</v>
      </c>
      <c r="Q333" s="44">
        <v>3097283</v>
      </c>
      <c r="R333" s="44">
        <v>371828</v>
      </c>
      <c r="S333" s="44">
        <v>0</v>
      </c>
      <c r="T333" s="44">
        <v>2007126</v>
      </c>
      <c r="U333" s="44">
        <v>1618298</v>
      </c>
      <c r="V333" s="44">
        <v>0</v>
      </c>
      <c r="W333" s="44">
        <v>2809365</v>
      </c>
      <c r="X333" s="44">
        <v>1229538</v>
      </c>
      <c r="Y333" s="44">
        <v>2293466</v>
      </c>
      <c r="Z333" s="44">
        <v>1771215</v>
      </c>
      <c r="AA333" s="44">
        <v>931273</v>
      </c>
      <c r="AB333" s="44">
        <v>37669</v>
      </c>
      <c r="AC333" s="44">
        <v>30597577</v>
      </c>
      <c r="AD333" s="44">
        <v>2419139</v>
      </c>
      <c r="AE333" s="44">
        <v>3150000</v>
      </c>
      <c r="AF333" s="44">
        <v>1784205</v>
      </c>
      <c r="AG333" s="44">
        <v>37950921</v>
      </c>
      <c r="AH333" s="44">
        <v>2894</v>
      </c>
      <c r="AI333" s="44">
        <v>13858</v>
      </c>
      <c r="AJ333" s="44">
        <v>13114</v>
      </c>
      <c r="AK333" s="44">
        <v>219972</v>
      </c>
      <c r="AL333" s="44">
        <v>87916</v>
      </c>
      <c r="AM333" s="44">
        <v>0.64700000000000002</v>
      </c>
      <c r="AN333" s="44">
        <v>0.54941894559027959</v>
      </c>
      <c r="AO333" s="44">
        <v>0.124</v>
      </c>
      <c r="AP333" s="44">
        <v>0.67341894559027959</v>
      </c>
      <c r="AQ333" s="44">
        <v>0.83289999999999997</v>
      </c>
      <c r="AR333" s="44">
        <v>19.97</v>
      </c>
    </row>
    <row r="334" spans="1:44">
      <c r="A334" t="s">
        <v>1166</v>
      </c>
      <c r="B334" t="s">
        <v>1167</v>
      </c>
      <c r="D334" t="s">
        <v>1639</v>
      </c>
      <c r="E334" s="44">
        <v>2452090</v>
      </c>
      <c r="F334" s="44">
        <v>12262393</v>
      </c>
      <c r="G334" s="44">
        <v>2235485</v>
      </c>
      <c r="H334" s="126">
        <v>14497878</v>
      </c>
      <c r="I334" s="127">
        <v>6957140</v>
      </c>
      <c r="J334" s="128">
        <v>613007</v>
      </c>
      <c r="K334" s="130">
        <v>22068025</v>
      </c>
      <c r="L334" s="44">
        <v>90007</v>
      </c>
      <c r="M334" s="44">
        <v>441349</v>
      </c>
      <c r="N334" s="44">
        <v>6715074</v>
      </c>
      <c r="O334" s="44">
        <v>280977</v>
      </c>
      <c r="P334" s="44">
        <v>432091</v>
      </c>
      <c r="Q334" s="44">
        <v>2078217</v>
      </c>
      <c r="R334" s="44">
        <v>41696</v>
      </c>
      <c r="S334" s="44">
        <v>250185</v>
      </c>
      <c r="T334" s="44">
        <v>1277250</v>
      </c>
      <c r="U334" s="44">
        <v>991425</v>
      </c>
      <c r="V334" s="44">
        <v>0</v>
      </c>
      <c r="W334" s="44">
        <v>1682102</v>
      </c>
      <c r="X334" s="44">
        <v>669315</v>
      </c>
      <c r="Y334" s="44">
        <v>1440896</v>
      </c>
      <c r="Z334" s="44">
        <v>1216079</v>
      </c>
      <c r="AA334" s="44">
        <v>368733</v>
      </c>
      <c r="AB334" s="44">
        <v>0</v>
      </c>
      <c r="AC334" s="44">
        <v>17975396</v>
      </c>
      <c r="AD334" s="44">
        <v>1559487</v>
      </c>
      <c r="AE334" s="44">
        <v>1430000</v>
      </c>
      <c r="AF334" s="44">
        <v>413429</v>
      </c>
      <c r="AG334" s="44">
        <v>21378312</v>
      </c>
      <c r="AH334" s="44">
        <v>1576</v>
      </c>
      <c r="AI334" s="44">
        <v>14003</v>
      </c>
      <c r="AJ334" s="44">
        <v>13565</v>
      </c>
      <c r="AK334" s="44">
        <v>168648</v>
      </c>
      <c r="AL334" s="44">
        <v>76101</v>
      </c>
      <c r="AM334" s="44">
        <v>0.53200000000000003</v>
      </c>
      <c r="AN334" s="44">
        <v>0.56444657557621947</v>
      </c>
      <c r="AO334" s="44">
        <v>0.14000000000000001</v>
      </c>
      <c r="AP334" s="44">
        <v>0.70444657557621948</v>
      </c>
      <c r="AQ334" s="44">
        <v>0.83699999999999997</v>
      </c>
      <c r="AR334" s="44">
        <v>18.98</v>
      </c>
    </row>
    <row r="335" spans="1:44">
      <c r="A335" t="s">
        <v>1168</v>
      </c>
      <c r="B335" t="s">
        <v>1169</v>
      </c>
      <c r="D335" t="s">
        <v>1639</v>
      </c>
      <c r="E335" s="44">
        <v>838579</v>
      </c>
      <c r="F335" s="44">
        <v>5675932</v>
      </c>
      <c r="G335" s="44">
        <v>896987</v>
      </c>
      <c r="H335" s="126">
        <v>6572919</v>
      </c>
      <c r="I335" s="127">
        <v>13937102</v>
      </c>
      <c r="J335" s="128">
        <v>566228</v>
      </c>
      <c r="K335" s="130">
        <v>21076249</v>
      </c>
      <c r="L335" s="44">
        <v>384967</v>
      </c>
      <c r="M335" s="44">
        <v>621244</v>
      </c>
      <c r="N335" s="44">
        <v>6091397</v>
      </c>
      <c r="O335" s="44">
        <v>321488</v>
      </c>
      <c r="P335" s="44">
        <v>422795</v>
      </c>
      <c r="Q335" s="44">
        <v>1083660</v>
      </c>
      <c r="R335" s="44">
        <v>29495</v>
      </c>
      <c r="S335" s="44">
        <v>161065</v>
      </c>
      <c r="T335" s="44">
        <v>1339031</v>
      </c>
      <c r="U335" s="44">
        <v>760616</v>
      </c>
      <c r="V335" s="44">
        <v>38007</v>
      </c>
      <c r="W335" s="44">
        <v>1320455</v>
      </c>
      <c r="X335" s="44">
        <v>680228</v>
      </c>
      <c r="Y335" s="44">
        <v>1393547</v>
      </c>
      <c r="Z335" s="44">
        <v>900048</v>
      </c>
      <c r="AA335" s="44">
        <v>520698</v>
      </c>
      <c r="AB335" s="44">
        <v>0</v>
      </c>
      <c r="AC335" s="44">
        <v>16068741</v>
      </c>
      <c r="AD335" s="44">
        <v>888195</v>
      </c>
      <c r="AE335" s="44">
        <v>1015000</v>
      </c>
      <c r="AF335" s="44">
        <v>354569</v>
      </c>
      <c r="AG335" s="44">
        <v>18326505</v>
      </c>
      <c r="AH335" s="44">
        <v>1050</v>
      </c>
      <c r="AI335" s="44">
        <v>20073</v>
      </c>
      <c r="AJ335" s="44">
        <v>17454</v>
      </c>
      <c r="AK335" s="44">
        <v>474611</v>
      </c>
      <c r="AL335" s="44">
        <v>61546</v>
      </c>
      <c r="AM335" s="44">
        <v>0.872</v>
      </c>
      <c r="AN335" s="44">
        <v>0.55709187321859788</v>
      </c>
      <c r="AO335" s="44">
        <v>0.14199999999999999</v>
      </c>
      <c r="AP335" s="44">
        <v>0.69909187321859789</v>
      </c>
      <c r="AQ335" s="44">
        <v>0.79720000000000002</v>
      </c>
      <c r="AR335" s="44">
        <v>17.170000000000002</v>
      </c>
    </row>
    <row r="336" spans="1:44">
      <c r="A336" t="s">
        <v>1170</v>
      </c>
      <c r="B336" t="s">
        <v>1171</v>
      </c>
      <c r="D336" t="s">
        <v>1639</v>
      </c>
      <c r="E336" s="44">
        <v>922224</v>
      </c>
      <c r="F336" s="44">
        <v>11878025</v>
      </c>
      <c r="G336" s="44">
        <v>2234707</v>
      </c>
      <c r="H336" s="126">
        <v>14112732</v>
      </c>
      <c r="I336" s="127">
        <v>8176444</v>
      </c>
      <c r="J336" s="128">
        <v>672344</v>
      </c>
      <c r="K336" s="130">
        <v>22961520</v>
      </c>
      <c r="L336" s="44">
        <v>128120</v>
      </c>
      <c r="M336" s="44">
        <v>375602</v>
      </c>
      <c r="N336" s="44">
        <v>7034812</v>
      </c>
      <c r="O336" s="44">
        <v>567875</v>
      </c>
      <c r="P336" s="44">
        <v>407723</v>
      </c>
      <c r="Q336" s="44">
        <v>1533355</v>
      </c>
      <c r="R336" s="44">
        <v>55355</v>
      </c>
      <c r="S336" s="44">
        <v>195491</v>
      </c>
      <c r="T336" s="44">
        <v>1473505</v>
      </c>
      <c r="U336" s="44">
        <v>779528</v>
      </c>
      <c r="V336" s="44">
        <v>1450</v>
      </c>
      <c r="W336" s="44">
        <v>1527864</v>
      </c>
      <c r="X336" s="44">
        <v>680603</v>
      </c>
      <c r="Y336" s="44">
        <v>2160066</v>
      </c>
      <c r="Z336" s="44">
        <v>1143760</v>
      </c>
      <c r="AA336" s="44">
        <v>397926</v>
      </c>
      <c r="AB336" s="44">
        <v>3500000</v>
      </c>
      <c r="AC336" s="44">
        <v>21963035</v>
      </c>
      <c r="AD336" s="44">
        <v>1209036</v>
      </c>
      <c r="AE336" s="44">
        <v>1125000</v>
      </c>
      <c r="AF336" s="44">
        <v>601306</v>
      </c>
      <c r="AG336" s="44">
        <v>24898377</v>
      </c>
      <c r="AH336" s="44">
        <v>1467</v>
      </c>
      <c r="AI336" s="44">
        <v>15652</v>
      </c>
      <c r="AJ336" s="44">
        <v>16972</v>
      </c>
      <c r="AK336" s="44">
        <v>175811</v>
      </c>
      <c r="AL336" s="44">
        <v>76919</v>
      </c>
      <c r="AM336" s="44">
        <v>0.54400000000000004</v>
      </c>
      <c r="AN336" s="44">
        <v>0.4838726636679973</v>
      </c>
      <c r="AO336" s="44">
        <v>0.14399999999999999</v>
      </c>
      <c r="AP336" s="44">
        <v>0.62787266366799732</v>
      </c>
      <c r="AQ336" s="44">
        <v>0.84570000000000001</v>
      </c>
      <c r="AR336" s="44">
        <v>22.22</v>
      </c>
    </row>
    <row r="337" spans="1:44">
      <c r="A337" t="s">
        <v>1172</v>
      </c>
      <c r="B337" t="s">
        <v>1173</v>
      </c>
      <c r="D337" t="s">
        <v>1639</v>
      </c>
      <c r="E337" s="44">
        <v>2041460</v>
      </c>
      <c r="F337" s="44">
        <v>13668335</v>
      </c>
      <c r="G337" s="44">
        <v>1589278</v>
      </c>
      <c r="H337" s="126">
        <v>15257613</v>
      </c>
      <c r="I337" s="127">
        <v>7299163</v>
      </c>
      <c r="J337" s="128">
        <v>983562</v>
      </c>
      <c r="K337" s="130">
        <v>23540338</v>
      </c>
      <c r="L337" s="44">
        <v>138632</v>
      </c>
      <c r="M337" s="44">
        <v>427351</v>
      </c>
      <c r="N337" s="44">
        <v>6441003</v>
      </c>
      <c r="O337" s="44">
        <v>159607</v>
      </c>
      <c r="P337" s="44">
        <v>459632</v>
      </c>
      <c r="Q337" s="44">
        <v>1437782</v>
      </c>
      <c r="R337" s="44">
        <v>48499</v>
      </c>
      <c r="S337" s="44">
        <v>37008</v>
      </c>
      <c r="T337" s="44">
        <v>1276431</v>
      </c>
      <c r="U337" s="44">
        <v>651922</v>
      </c>
      <c r="V337" s="44">
        <v>2600</v>
      </c>
      <c r="W337" s="44">
        <v>1645980</v>
      </c>
      <c r="X337" s="44">
        <v>611469</v>
      </c>
      <c r="Y337" s="44">
        <v>3116160</v>
      </c>
      <c r="Z337" s="44">
        <v>1322597</v>
      </c>
      <c r="AA337" s="44">
        <v>867051</v>
      </c>
      <c r="AB337" s="44">
        <v>760000</v>
      </c>
      <c r="AC337" s="44">
        <v>19403724</v>
      </c>
      <c r="AD337" s="44">
        <v>1491516</v>
      </c>
      <c r="AE337" s="44">
        <v>1099005</v>
      </c>
      <c r="AF337" s="44">
        <v>839557</v>
      </c>
      <c r="AG337" s="44">
        <v>22833802</v>
      </c>
      <c r="AH337" s="44">
        <v>1463</v>
      </c>
      <c r="AI337" s="44">
        <v>16090</v>
      </c>
      <c r="AJ337" s="44">
        <v>15608</v>
      </c>
      <c r="AK337" s="44">
        <v>218381</v>
      </c>
      <c r="AL337" s="44">
        <v>67772</v>
      </c>
      <c r="AM337" s="44">
        <v>0.56299999999999994</v>
      </c>
      <c r="AN337" s="44">
        <v>0.46036503250750793</v>
      </c>
      <c r="AO337" s="44">
        <v>0.18</v>
      </c>
      <c r="AP337" s="44">
        <v>0.64036503250750787</v>
      </c>
      <c r="AQ337" s="44">
        <v>0.78369999999999995</v>
      </c>
      <c r="AR337" s="44">
        <v>16.11</v>
      </c>
    </row>
    <row r="338" spans="1:44">
      <c r="A338" t="s">
        <v>1174</v>
      </c>
      <c r="B338" t="s">
        <v>1175</v>
      </c>
      <c r="D338" t="s">
        <v>1639</v>
      </c>
      <c r="E338" s="44">
        <v>1916795</v>
      </c>
      <c r="F338" s="44">
        <v>25496725</v>
      </c>
      <c r="G338" s="44">
        <v>2297030</v>
      </c>
      <c r="H338" s="126">
        <v>27793755</v>
      </c>
      <c r="I338" s="127">
        <v>9348701</v>
      </c>
      <c r="J338" s="128">
        <v>1958832</v>
      </c>
      <c r="K338" s="130">
        <v>39101288</v>
      </c>
      <c r="L338" s="44">
        <v>105927</v>
      </c>
      <c r="M338" s="44">
        <v>660952</v>
      </c>
      <c r="N338" s="44">
        <v>11509786</v>
      </c>
      <c r="O338" s="44">
        <v>683973</v>
      </c>
      <c r="P338" s="44">
        <v>796125</v>
      </c>
      <c r="Q338" s="44">
        <v>2748619</v>
      </c>
      <c r="R338" s="44">
        <v>183736</v>
      </c>
      <c r="S338" s="44">
        <v>0</v>
      </c>
      <c r="T338" s="44">
        <v>2004697</v>
      </c>
      <c r="U338" s="44">
        <v>1622212</v>
      </c>
      <c r="V338" s="44">
        <v>1250</v>
      </c>
      <c r="W338" s="44">
        <v>2081576</v>
      </c>
      <c r="X338" s="44">
        <v>1190101</v>
      </c>
      <c r="Y338" s="44">
        <v>4819528</v>
      </c>
      <c r="Z338" s="44">
        <v>1866189</v>
      </c>
      <c r="AA338" s="44">
        <v>653672</v>
      </c>
      <c r="AB338" s="44">
        <v>1</v>
      </c>
      <c r="AC338" s="44">
        <v>30928344</v>
      </c>
      <c r="AD338" s="44">
        <v>1830507</v>
      </c>
      <c r="AE338" s="44">
        <v>2370959</v>
      </c>
      <c r="AF338" s="44">
        <v>1863789</v>
      </c>
      <c r="AG338" s="44">
        <v>36993599</v>
      </c>
      <c r="AH338" s="44">
        <v>2635</v>
      </c>
      <c r="AI338" s="44">
        <v>14839</v>
      </c>
      <c r="AJ338" s="44">
        <v>14039</v>
      </c>
      <c r="AK338" s="44">
        <v>135246</v>
      </c>
      <c r="AL338" s="44">
        <v>53032</v>
      </c>
      <c r="AM338" s="44">
        <v>0.39300000000000002</v>
      </c>
      <c r="AN338" s="44">
        <v>0.52844677264301865</v>
      </c>
      <c r="AO338" s="44">
        <v>0.184</v>
      </c>
      <c r="AP338" s="44">
        <v>0.71244677264301859</v>
      </c>
      <c r="AQ338" s="44">
        <v>0.8508</v>
      </c>
      <c r="AR338" s="44">
        <v>18.29</v>
      </c>
    </row>
    <row r="339" spans="1:44">
      <c r="A339" t="s">
        <v>1176</v>
      </c>
      <c r="B339" t="s">
        <v>1177</v>
      </c>
      <c r="D339" t="s">
        <v>1639</v>
      </c>
      <c r="E339" s="44">
        <v>-631231</v>
      </c>
      <c r="F339" s="44">
        <v>9597192</v>
      </c>
      <c r="G339" s="44">
        <v>2545111</v>
      </c>
      <c r="H339" s="126">
        <v>12142303</v>
      </c>
      <c r="I339" s="127">
        <v>9981295</v>
      </c>
      <c r="J339" s="128">
        <v>446884</v>
      </c>
      <c r="K339" s="130">
        <v>22570482</v>
      </c>
      <c r="L339" s="44">
        <v>98235</v>
      </c>
      <c r="M339" s="44">
        <v>439837</v>
      </c>
      <c r="N339" s="44">
        <v>7045593</v>
      </c>
      <c r="O339" s="44">
        <v>448079</v>
      </c>
      <c r="P339" s="44">
        <v>430350</v>
      </c>
      <c r="Q339" s="44">
        <v>1018623</v>
      </c>
      <c r="R339" s="44">
        <v>0</v>
      </c>
      <c r="S339" s="44">
        <v>0</v>
      </c>
      <c r="T339" s="44">
        <v>1351397</v>
      </c>
      <c r="U339" s="44">
        <v>908534</v>
      </c>
      <c r="V339" s="44">
        <v>2166</v>
      </c>
      <c r="W339" s="44">
        <v>1427877</v>
      </c>
      <c r="X339" s="44">
        <v>735787</v>
      </c>
      <c r="Y339" s="44">
        <v>3021276</v>
      </c>
      <c r="Z339" s="44">
        <v>1075974</v>
      </c>
      <c r="AA339" s="44">
        <v>487544</v>
      </c>
      <c r="AB339" s="44">
        <v>0</v>
      </c>
      <c r="AC339" s="44">
        <v>18491272</v>
      </c>
      <c r="AD339" s="44">
        <v>823030</v>
      </c>
      <c r="AE339" s="44">
        <v>1735000</v>
      </c>
      <c r="AF339" s="44">
        <v>966202</v>
      </c>
      <c r="AG339" s="44">
        <v>22015504</v>
      </c>
      <c r="AH339" s="44">
        <v>1490</v>
      </c>
      <c r="AI339" s="44">
        <v>15148</v>
      </c>
      <c r="AJ339" s="44">
        <v>14776</v>
      </c>
      <c r="AK339" s="44">
        <v>223171</v>
      </c>
      <c r="AL339" s="44">
        <v>114300</v>
      </c>
      <c r="AM339" s="44">
        <v>0.76</v>
      </c>
      <c r="AN339" s="44">
        <v>0.50884939995014422</v>
      </c>
      <c r="AO339" s="44">
        <v>0.191</v>
      </c>
      <c r="AP339" s="44">
        <v>0.69984939995014428</v>
      </c>
      <c r="AQ339" s="44">
        <v>0.83350000000000002</v>
      </c>
      <c r="AR339" s="44">
        <v>20.34</v>
      </c>
    </row>
    <row r="340" spans="1:44">
      <c r="A340" t="s">
        <v>1178</v>
      </c>
      <c r="B340" t="s">
        <v>1179</v>
      </c>
      <c r="D340" t="s">
        <v>1639</v>
      </c>
      <c r="E340" s="44">
        <v>2397839</v>
      </c>
      <c r="F340" s="44">
        <v>11303664</v>
      </c>
      <c r="G340" s="44">
        <v>4060328</v>
      </c>
      <c r="H340" s="126">
        <v>15363992</v>
      </c>
      <c r="I340" s="127">
        <v>23925552</v>
      </c>
      <c r="J340" s="128">
        <v>853207</v>
      </c>
      <c r="K340" s="130">
        <v>40142751</v>
      </c>
      <c r="L340" s="44">
        <v>154954</v>
      </c>
      <c r="M340" s="44">
        <v>662352</v>
      </c>
      <c r="N340" s="44">
        <v>13473432</v>
      </c>
      <c r="O340" s="44">
        <v>856473</v>
      </c>
      <c r="P340" s="44">
        <v>876130</v>
      </c>
      <c r="Q340" s="44">
        <v>2362086</v>
      </c>
      <c r="R340" s="44">
        <v>57301</v>
      </c>
      <c r="S340" s="44">
        <v>179529</v>
      </c>
      <c r="T340" s="44">
        <v>2579037</v>
      </c>
      <c r="U340" s="44">
        <v>1293142</v>
      </c>
      <c r="V340" s="44">
        <v>8512</v>
      </c>
      <c r="W340" s="44">
        <v>3023609</v>
      </c>
      <c r="X340" s="44">
        <v>1351742</v>
      </c>
      <c r="Y340" s="44">
        <v>5913303</v>
      </c>
      <c r="Z340" s="44">
        <v>2225973</v>
      </c>
      <c r="AA340" s="44">
        <v>1219235</v>
      </c>
      <c r="AB340" s="44">
        <v>0</v>
      </c>
      <c r="AC340" s="44">
        <v>36236810</v>
      </c>
      <c r="AD340" s="44">
        <v>1519502</v>
      </c>
      <c r="AE340" s="44">
        <v>2090148</v>
      </c>
      <c r="AF340" s="44">
        <v>734532</v>
      </c>
      <c r="AG340" s="44">
        <v>40580992</v>
      </c>
      <c r="AH340" s="44">
        <v>2686</v>
      </c>
      <c r="AI340" s="44">
        <v>14945</v>
      </c>
      <c r="AJ340" s="44">
        <v>15108</v>
      </c>
      <c r="AK340" s="44">
        <v>319691</v>
      </c>
      <c r="AL340" s="44">
        <v>142624</v>
      </c>
      <c r="AM340" s="44">
        <v>1.0029999999999999</v>
      </c>
      <c r="AN340" s="44">
        <v>0.53416954420434082</v>
      </c>
      <c r="AO340" s="44">
        <v>0.19800000000000001</v>
      </c>
      <c r="AP340" s="44">
        <v>0.73216954420434077</v>
      </c>
      <c r="AQ340" s="44">
        <v>0.81969999999999998</v>
      </c>
      <c r="AR340" s="44">
        <v>21.16</v>
      </c>
    </row>
    <row r="341" spans="1:44">
      <c r="A341" t="s">
        <v>1180</v>
      </c>
      <c r="B341" t="s">
        <v>1181</v>
      </c>
      <c r="D341" t="s">
        <v>1639</v>
      </c>
      <c r="E341" s="44">
        <v>1004525</v>
      </c>
      <c r="F341" s="44">
        <v>3536101</v>
      </c>
      <c r="G341" s="44">
        <v>1124780</v>
      </c>
      <c r="H341" s="126">
        <v>4660881</v>
      </c>
      <c r="I341" s="127">
        <v>5022004</v>
      </c>
      <c r="J341" s="128">
        <v>484597</v>
      </c>
      <c r="K341" s="130">
        <v>10167482</v>
      </c>
      <c r="L341" s="44">
        <v>39470</v>
      </c>
      <c r="M341" s="44">
        <v>291151</v>
      </c>
      <c r="N341" s="44">
        <v>2827746</v>
      </c>
      <c r="O341" s="44">
        <v>151189</v>
      </c>
      <c r="P341" s="44">
        <v>188564</v>
      </c>
      <c r="Q341" s="44">
        <v>1777472</v>
      </c>
      <c r="R341" s="44">
        <v>83225</v>
      </c>
      <c r="S341" s="44">
        <v>140922</v>
      </c>
      <c r="T341" s="44">
        <v>631722</v>
      </c>
      <c r="U341" s="44">
        <v>495774</v>
      </c>
      <c r="V341" s="44">
        <v>0</v>
      </c>
      <c r="W341" s="44">
        <v>752488</v>
      </c>
      <c r="X341" s="44">
        <v>301774</v>
      </c>
      <c r="Y341" s="44">
        <v>1003659</v>
      </c>
      <c r="Z341" s="44">
        <v>482980</v>
      </c>
      <c r="AA341" s="44">
        <v>352324</v>
      </c>
      <c r="AB341" s="44">
        <v>0</v>
      </c>
      <c r="AC341" s="44">
        <v>9520460</v>
      </c>
      <c r="AD341" s="44">
        <v>589565</v>
      </c>
      <c r="AE341" s="44">
        <v>265000</v>
      </c>
      <c r="AF341" s="44">
        <v>156769</v>
      </c>
      <c r="AG341" s="44">
        <v>10531794</v>
      </c>
      <c r="AH341" s="44">
        <v>616</v>
      </c>
      <c r="AI341" s="44">
        <v>16506</v>
      </c>
      <c r="AJ341" s="44">
        <v>17097</v>
      </c>
      <c r="AK341" s="44">
        <v>283132</v>
      </c>
      <c r="AL341" s="44">
        <v>97157</v>
      </c>
      <c r="AM341" s="44">
        <v>0.76800000000000002</v>
      </c>
      <c r="AN341" s="44">
        <v>0.5978671819824809</v>
      </c>
      <c r="AO341" s="44">
        <v>0.14000000000000001</v>
      </c>
      <c r="AP341" s="44">
        <v>0.73786718198248091</v>
      </c>
      <c r="AQ341" s="44">
        <v>0.81489999999999996</v>
      </c>
      <c r="AR341" s="44">
        <v>20.48</v>
      </c>
    </row>
    <row r="342" spans="1:44">
      <c r="A342" t="s">
        <v>1182</v>
      </c>
      <c r="B342" t="s">
        <v>1183</v>
      </c>
      <c r="D342" t="s">
        <v>1639</v>
      </c>
      <c r="E342" s="44">
        <v>547812</v>
      </c>
      <c r="F342" s="44">
        <v>9926292</v>
      </c>
      <c r="G342" s="44">
        <v>1395939</v>
      </c>
      <c r="H342" s="126">
        <v>11322231</v>
      </c>
      <c r="I342" s="127">
        <v>5341355</v>
      </c>
      <c r="J342" s="128">
        <v>420001</v>
      </c>
      <c r="K342" s="130">
        <v>17083587</v>
      </c>
      <c r="L342" s="44">
        <v>37553</v>
      </c>
      <c r="M342" s="44">
        <v>329565</v>
      </c>
      <c r="N342" s="44">
        <v>5291261</v>
      </c>
      <c r="O342" s="44">
        <v>200291</v>
      </c>
      <c r="P342" s="44">
        <v>355576</v>
      </c>
      <c r="Q342" s="44">
        <v>2382713</v>
      </c>
      <c r="R342" s="44">
        <v>0</v>
      </c>
      <c r="S342" s="44">
        <v>143034</v>
      </c>
      <c r="T342" s="44">
        <v>986049</v>
      </c>
      <c r="U342" s="44">
        <v>489886</v>
      </c>
      <c r="V342" s="44">
        <v>0</v>
      </c>
      <c r="W342" s="44">
        <v>1234224</v>
      </c>
      <c r="X342" s="44">
        <v>531570</v>
      </c>
      <c r="Y342" s="44">
        <v>2012606</v>
      </c>
      <c r="Z342" s="44">
        <v>872907</v>
      </c>
      <c r="AA342" s="44">
        <v>247012</v>
      </c>
      <c r="AB342" s="44">
        <v>0</v>
      </c>
      <c r="AC342" s="44">
        <v>15114247</v>
      </c>
      <c r="AD342" s="44">
        <v>963995</v>
      </c>
      <c r="AE342" s="44">
        <v>354000</v>
      </c>
      <c r="AF342" s="44">
        <v>510769</v>
      </c>
      <c r="AG342" s="44">
        <v>16943011</v>
      </c>
      <c r="AH342" s="44">
        <v>1243</v>
      </c>
      <c r="AI342" s="44">
        <v>13744</v>
      </c>
      <c r="AJ342" s="44">
        <v>13631</v>
      </c>
      <c r="AK342" s="44">
        <v>157964</v>
      </c>
      <c r="AL342" s="44">
        <v>70981</v>
      </c>
      <c r="AM342" s="44">
        <v>0.497</v>
      </c>
      <c r="AN342" s="44">
        <v>0.58129042116539975</v>
      </c>
      <c r="AO342" s="44">
        <v>0.16700000000000001</v>
      </c>
      <c r="AP342" s="44">
        <v>0.74829042116539979</v>
      </c>
      <c r="AQ342" s="44">
        <v>0.83830000000000005</v>
      </c>
      <c r="AR342" s="44">
        <v>20.04</v>
      </c>
    </row>
    <row r="343" spans="1:44">
      <c r="A343" t="s">
        <v>1184</v>
      </c>
      <c r="B343" t="s">
        <v>1185</v>
      </c>
      <c r="D343" t="s">
        <v>1639</v>
      </c>
      <c r="E343" s="44">
        <v>179102</v>
      </c>
      <c r="F343" s="44">
        <v>5398972</v>
      </c>
      <c r="G343" s="44">
        <v>736521</v>
      </c>
      <c r="H343" s="126">
        <v>6135493</v>
      </c>
      <c r="I343" s="127">
        <v>2948540</v>
      </c>
      <c r="J343" s="128">
        <v>670094</v>
      </c>
      <c r="K343" s="130">
        <v>9754127</v>
      </c>
      <c r="L343" s="44">
        <v>46635</v>
      </c>
      <c r="M343" s="44">
        <v>227328</v>
      </c>
      <c r="N343" s="44">
        <v>4069890</v>
      </c>
      <c r="O343" s="44">
        <v>148381</v>
      </c>
      <c r="P343" s="44">
        <v>132359</v>
      </c>
      <c r="Q343" s="44">
        <v>704307</v>
      </c>
      <c r="R343" s="44">
        <v>7148</v>
      </c>
      <c r="S343" s="44">
        <v>0</v>
      </c>
      <c r="T343" s="44">
        <v>508349</v>
      </c>
      <c r="U343" s="44">
        <v>365470</v>
      </c>
      <c r="V343" s="44">
        <v>0</v>
      </c>
      <c r="W343" s="44">
        <v>609804</v>
      </c>
      <c r="X343" s="44">
        <v>387228</v>
      </c>
      <c r="Y343" s="44">
        <v>1188113</v>
      </c>
      <c r="Z343" s="44">
        <v>546703</v>
      </c>
      <c r="AA343" s="44">
        <v>200792</v>
      </c>
      <c r="AB343" s="44">
        <v>0</v>
      </c>
      <c r="AC343" s="44">
        <v>9142507</v>
      </c>
      <c r="AD343" s="44">
        <v>494128</v>
      </c>
      <c r="AE343" s="44">
        <v>390000</v>
      </c>
      <c r="AF343" s="44">
        <v>136507</v>
      </c>
      <c r="AG343" s="44">
        <v>10163142</v>
      </c>
      <c r="AH343" s="44">
        <v>543</v>
      </c>
      <c r="AI343" s="44">
        <v>17963</v>
      </c>
      <c r="AJ343" s="44">
        <v>18717</v>
      </c>
      <c r="AK343" s="44">
        <v>191140</v>
      </c>
      <c r="AL343" s="44">
        <v>67095</v>
      </c>
      <c r="AM343" s="44">
        <v>0.52500000000000002</v>
      </c>
      <c r="AN343" s="44">
        <v>0.58406189739354231</v>
      </c>
      <c r="AO343" s="44">
        <v>0.18</v>
      </c>
      <c r="AP343" s="44">
        <v>0.76406189739354224</v>
      </c>
      <c r="AQ343" s="44">
        <v>0.84889999999999999</v>
      </c>
      <c r="AR343" s="44">
        <v>18.829999999999998</v>
      </c>
    </row>
    <row r="344" spans="1:44">
      <c r="A344" t="s">
        <v>1186</v>
      </c>
      <c r="B344" t="s">
        <v>1187</v>
      </c>
      <c r="D344" t="s">
        <v>1639</v>
      </c>
      <c r="E344" s="44">
        <v>2265886</v>
      </c>
      <c r="F344" s="44">
        <v>58068647</v>
      </c>
      <c r="G344" s="44">
        <v>7861612</v>
      </c>
      <c r="H344" s="126">
        <v>65930259</v>
      </c>
      <c r="I344" s="127">
        <v>24317928</v>
      </c>
      <c r="J344" s="128">
        <v>7775713</v>
      </c>
      <c r="K344" s="130">
        <v>98023900</v>
      </c>
      <c r="L344" s="44">
        <v>386370</v>
      </c>
      <c r="M344" s="44">
        <v>1123804</v>
      </c>
      <c r="N344" s="44">
        <v>29397734</v>
      </c>
      <c r="O344" s="44">
        <v>923375</v>
      </c>
      <c r="P344" s="44">
        <v>2096282</v>
      </c>
      <c r="Q344" s="44">
        <v>7390577</v>
      </c>
      <c r="R344" s="44">
        <v>1223740</v>
      </c>
      <c r="S344" s="44">
        <v>0</v>
      </c>
      <c r="T344" s="44">
        <v>4961712</v>
      </c>
      <c r="U344" s="44">
        <v>5265227</v>
      </c>
      <c r="V344" s="44">
        <v>15886</v>
      </c>
      <c r="W344" s="44">
        <v>7345418</v>
      </c>
      <c r="X344" s="44">
        <v>2698171</v>
      </c>
      <c r="Y344" s="44">
        <v>10803841</v>
      </c>
      <c r="Z344" s="44">
        <v>5365775</v>
      </c>
      <c r="AA344" s="44">
        <v>2662912</v>
      </c>
      <c r="AB344" s="44">
        <v>435487</v>
      </c>
      <c r="AC344" s="44">
        <v>82096311</v>
      </c>
      <c r="AD344" s="44">
        <v>5974511</v>
      </c>
      <c r="AE344" s="44">
        <v>3472867</v>
      </c>
      <c r="AF344" s="44">
        <v>2921509</v>
      </c>
      <c r="AG344" s="44">
        <v>94465198</v>
      </c>
      <c r="AH344" s="44">
        <v>5631</v>
      </c>
      <c r="AI344" s="44">
        <v>17408</v>
      </c>
      <c r="AJ344" s="44">
        <v>16776</v>
      </c>
      <c r="AK344" s="44">
        <v>136799</v>
      </c>
      <c r="AL344" s="44">
        <v>70012</v>
      </c>
      <c r="AM344" s="44">
        <v>0.46500000000000002</v>
      </c>
      <c r="AN344" s="44">
        <v>0.54261937819682549</v>
      </c>
      <c r="AO344" s="44">
        <v>0.17899999999999999</v>
      </c>
      <c r="AP344" s="44">
        <v>0.72161937819682542</v>
      </c>
      <c r="AQ344" s="44">
        <v>0.83199999999999996</v>
      </c>
      <c r="AR344" s="44">
        <v>21.86</v>
      </c>
    </row>
    <row r="345" spans="1:44">
      <c r="A345" t="s">
        <v>1188</v>
      </c>
      <c r="B345" t="s">
        <v>1189</v>
      </c>
      <c r="D345" t="s">
        <v>1639</v>
      </c>
      <c r="E345" s="44">
        <v>147087</v>
      </c>
      <c r="F345" s="44">
        <v>9022520</v>
      </c>
      <c r="G345" s="44">
        <v>1056827</v>
      </c>
      <c r="H345" s="126">
        <v>10079347</v>
      </c>
      <c r="I345" s="127">
        <v>3576433</v>
      </c>
      <c r="J345" s="128">
        <v>537589</v>
      </c>
      <c r="K345" s="130">
        <v>14193369</v>
      </c>
      <c r="L345" s="44">
        <v>138107</v>
      </c>
      <c r="M345" s="44">
        <v>249424</v>
      </c>
      <c r="N345" s="44">
        <v>4510821</v>
      </c>
      <c r="O345" s="44">
        <v>221130</v>
      </c>
      <c r="P345" s="44">
        <v>263844</v>
      </c>
      <c r="Q345" s="44">
        <v>1319108</v>
      </c>
      <c r="R345" s="44">
        <v>0</v>
      </c>
      <c r="S345" s="44">
        <v>78374</v>
      </c>
      <c r="T345" s="44">
        <v>608235</v>
      </c>
      <c r="U345" s="44">
        <v>738308</v>
      </c>
      <c r="V345" s="44">
        <v>8169</v>
      </c>
      <c r="W345" s="44">
        <v>896226</v>
      </c>
      <c r="X345" s="44">
        <v>435032</v>
      </c>
      <c r="Y345" s="44">
        <v>1575274</v>
      </c>
      <c r="Z345" s="44">
        <v>780748</v>
      </c>
      <c r="AA345" s="44">
        <v>468551</v>
      </c>
      <c r="AB345" s="44">
        <v>0</v>
      </c>
      <c r="AC345" s="44">
        <v>12291351</v>
      </c>
      <c r="AD345" s="44">
        <v>782542</v>
      </c>
      <c r="AE345" s="44">
        <v>752130</v>
      </c>
      <c r="AF345" s="44">
        <v>357521</v>
      </c>
      <c r="AG345" s="44">
        <v>14183544</v>
      </c>
      <c r="AH345" s="44">
        <v>949</v>
      </c>
      <c r="AI345" s="44">
        <v>14956</v>
      </c>
      <c r="AJ345" s="44">
        <v>14946</v>
      </c>
      <c r="AK345" s="44">
        <v>143635</v>
      </c>
      <c r="AL345" s="44">
        <v>64761</v>
      </c>
      <c r="AM345" s="44">
        <v>0.45200000000000001</v>
      </c>
      <c r="AN345" s="44">
        <v>0.54569013217006979</v>
      </c>
      <c r="AO345" s="44">
        <v>0.16300000000000001</v>
      </c>
      <c r="AP345" s="44">
        <v>0.70869013217006982</v>
      </c>
      <c r="AQ345" s="44">
        <v>0.81789999999999996</v>
      </c>
      <c r="AR345" s="44">
        <v>18.75</v>
      </c>
    </row>
    <row r="346" spans="1:44">
      <c r="A346" t="s">
        <v>1190</v>
      </c>
      <c r="B346" t="s">
        <v>924</v>
      </c>
      <c r="D346" t="s">
        <v>1639</v>
      </c>
      <c r="E346" s="44">
        <v>947382</v>
      </c>
      <c r="F346" s="44">
        <v>17275113</v>
      </c>
      <c r="G346" s="44">
        <v>3058248</v>
      </c>
      <c r="H346" s="126">
        <v>20333361</v>
      </c>
      <c r="I346" s="127">
        <v>10036840</v>
      </c>
      <c r="J346" s="128">
        <v>955295</v>
      </c>
      <c r="K346" s="130">
        <v>31325496</v>
      </c>
      <c r="L346" s="44">
        <v>194238</v>
      </c>
      <c r="M346" s="44">
        <v>590071</v>
      </c>
      <c r="N346" s="44">
        <v>9889588</v>
      </c>
      <c r="O346" s="44">
        <v>548264</v>
      </c>
      <c r="P346" s="44">
        <v>538385</v>
      </c>
      <c r="Q346" s="44">
        <v>2454089</v>
      </c>
      <c r="R346" s="44">
        <v>4630</v>
      </c>
      <c r="S346" s="44">
        <v>392083</v>
      </c>
      <c r="T346" s="44">
        <v>1651821</v>
      </c>
      <c r="U346" s="44">
        <v>893409</v>
      </c>
      <c r="V346" s="44">
        <v>0</v>
      </c>
      <c r="W346" s="44">
        <v>1851527</v>
      </c>
      <c r="X346" s="44">
        <v>994187</v>
      </c>
      <c r="Y346" s="44">
        <v>4008168</v>
      </c>
      <c r="Z346" s="44">
        <v>1548223</v>
      </c>
      <c r="AA346" s="44">
        <v>520577</v>
      </c>
      <c r="AB346" s="44">
        <v>200000</v>
      </c>
      <c r="AC346" s="44">
        <v>26279260</v>
      </c>
      <c r="AD346" s="44">
        <v>1380549</v>
      </c>
      <c r="AE346" s="44">
        <v>1290000</v>
      </c>
      <c r="AF346" s="44">
        <v>1168090</v>
      </c>
      <c r="AG346" s="44">
        <v>30117899</v>
      </c>
      <c r="AH346" s="44">
        <v>2280</v>
      </c>
      <c r="AI346" s="44">
        <v>13739</v>
      </c>
      <c r="AJ346" s="44">
        <v>13210</v>
      </c>
      <c r="AK346" s="44">
        <v>163798</v>
      </c>
      <c r="AL346" s="44">
        <v>69807</v>
      </c>
      <c r="AM346" s="44">
        <v>0.5</v>
      </c>
      <c r="AN346" s="44">
        <v>0.54360594674947282</v>
      </c>
      <c r="AO346" s="44">
        <v>0.187</v>
      </c>
      <c r="AP346" s="44">
        <v>0.73060594674947277</v>
      </c>
      <c r="AQ346" s="44">
        <v>0.84419999999999995</v>
      </c>
      <c r="AR346" s="44">
        <v>20.71</v>
      </c>
    </row>
    <row r="347" spans="1:44">
      <c r="A347" t="s">
        <v>925</v>
      </c>
      <c r="B347" t="s">
        <v>926</v>
      </c>
      <c r="D347" t="s">
        <v>1639</v>
      </c>
      <c r="E347" s="44">
        <v>1744786</v>
      </c>
      <c r="F347" s="44">
        <v>14412184</v>
      </c>
      <c r="G347" s="44">
        <v>2242350</v>
      </c>
      <c r="H347" s="126">
        <v>16654534</v>
      </c>
      <c r="I347" s="127">
        <v>8562390</v>
      </c>
      <c r="J347" s="128">
        <v>534146</v>
      </c>
      <c r="K347" s="130">
        <v>25751070</v>
      </c>
      <c r="L347" s="44">
        <v>181050</v>
      </c>
      <c r="M347" s="44">
        <v>381847</v>
      </c>
      <c r="N347" s="44">
        <v>7454890</v>
      </c>
      <c r="O347" s="44">
        <v>318984</v>
      </c>
      <c r="P347" s="44">
        <v>455733</v>
      </c>
      <c r="Q347" s="44">
        <v>1955425</v>
      </c>
      <c r="R347" s="44">
        <v>669246</v>
      </c>
      <c r="S347" s="44">
        <v>0</v>
      </c>
      <c r="T347" s="44">
        <v>968676</v>
      </c>
      <c r="U347" s="44">
        <v>936346</v>
      </c>
      <c r="V347" s="44">
        <v>0</v>
      </c>
      <c r="W347" s="44">
        <v>2083815</v>
      </c>
      <c r="X347" s="44">
        <v>726948</v>
      </c>
      <c r="Y347" s="44">
        <v>3210520</v>
      </c>
      <c r="Z347" s="44">
        <v>1262847</v>
      </c>
      <c r="AA347" s="44">
        <v>863927</v>
      </c>
      <c r="AB347" s="44">
        <v>0</v>
      </c>
      <c r="AC347" s="44">
        <v>21470254</v>
      </c>
      <c r="AD347" s="44">
        <v>1308729</v>
      </c>
      <c r="AE347" s="44">
        <v>1303457</v>
      </c>
      <c r="AF347" s="44">
        <v>627682</v>
      </c>
      <c r="AG347" s="44">
        <v>24710122</v>
      </c>
      <c r="AH347" s="44">
        <v>1751</v>
      </c>
      <c r="AI347" s="44">
        <v>14706</v>
      </c>
      <c r="AJ347" s="44">
        <v>14112</v>
      </c>
      <c r="AK347" s="44">
        <v>172075</v>
      </c>
      <c r="AL347" s="44">
        <v>70583</v>
      </c>
      <c r="AM347" s="44">
        <v>0.51400000000000001</v>
      </c>
      <c r="AN347" s="44">
        <v>0.51635924743714334</v>
      </c>
      <c r="AO347" s="44">
        <v>0.16600000000000001</v>
      </c>
      <c r="AP347" s="44">
        <v>0.68235924743714338</v>
      </c>
      <c r="AQ347" s="44">
        <v>0.77880000000000005</v>
      </c>
      <c r="AR347" s="44">
        <v>20.149999999999999</v>
      </c>
    </row>
    <row r="348" spans="1:44">
      <c r="A348" t="s">
        <v>927</v>
      </c>
      <c r="B348" t="s">
        <v>928</v>
      </c>
      <c r="D348" t="s">
        <v>1639</v>
      </c>
      <c r="E348" s="44">
        <v>3000358</v>
      </c>
      <c r="F348" s="44">
        <v>78077316</v>
      </c>
      <c r="G348" s="44">
        <v>9629227</v>
      </c>
      <c r="H348" s="126">
        <v>87706543</v>
      </c>
      <c r="I348" s="127">
        <v>22935073</v>
      </c>
      <c r="J348" s="128">
        <v>10728600</v>
      </c>
      <c r="K348" s="130">
        <v>121370216</v>
      </c>
      <c r="L348" s="44">
        <v>487918</v>
      </c>
      <c r="M348" s="44">
        <v>1568636</v>
      </c>
      <c r="N348" s="44">
        <v>43728122</v>
      </c>
      <c r="O348" s="44">
        <v>1857923</v>
      </c>
      <c r="P348" s="44">
        <v>2905202</v>
      </c>
      <c r="Q348" s="44">
        <v>9851924</v>
      </c>
      <c r="R348" s="44">
        <v>242881</v>
      </c>
      <c r="S348" s="44">
        <v>2731500</v>
      </c>
      <c r="T348" s="44">
        <v>5970082</v>
      </c>
      <c r="U348" s="44">
        <v>6116958</v>
      </c>
      <c r="V348" s="44">
        <v>0</v>
      </c>
      <c r="W348" s="44">
        <v>8526446</v>
      </c>
      <c r="X348" s="44">
        <v>3236306</v>
      </c>
      <c r="Y348" s="44">
        <v>10643777</v>
      </c>
      <c r="Z348" s="44">
        <v>7981183</v>
      </c>
      <c r="AA348" s="44">
        <v>1122789</v>
      </c>
      <c r="AB348" s="44">
        <v>0</v>
      </c>
      <c r="AC348" s="44">
        <v>106971647</v>
      </c>
      <c r="AD348" s="44">
        <v>5560347</v>
      </c>
      <c r="AE348" s="44">
        <v>3975442</v>
      </c>
      <c r="AF348" s="44">
        <v>2890684</v>
      </c>
      <c r="AG348" s="44">
        <v>119398120</v>
      </c>
      <c r="AH348" s="44">
        <v>8964</v>
      </c>
      <c r="AI348" s="44">
        <v>13540</v>
      </c>
      <c r="AJ348" s="44">
        <v>13320</v>
      </c>
      <c r="AK348" s="44">
        <v>101033</v>
      </c>
      <c r="AL348" s="44">
        <v>53946</v>
      </c>
      <c r="AM348" s="44">
        <v>0.35299999999999998</v>
      </c>
      <c r="AN348" s="44">
        <v>0.61478850755774039</v>
      </c>
      <c r="AO348" s="44">
        <v>0.16400000000000001</v>
      </c>
      <c r="AP348" s="44">
        <v>0.77878850755774043</v>
      </c>
      <c r="AQ348" s="44">
        <v>0.86860000000000004</v>
      </c>
      <c r="AR348" s="44">
        <v>19.59</v>
      </c>
    </row>
    <row r="349" spans="1:44">
      <c r="A349" t="s">
        <v>929</v>
      </c>
      <c r="B349" t="s">
        <v>930</v>
      </c>
      <c r="D349" t="s">
        <v>1639</v>
      </c>
      <c r="E349" s="44">
        <v>1201664</v>
      </c>
      <c r="F349" s="44">
        <v>9121883</v>
      </c>
      <c r="G349" s="44">
        <v>2174795</v>
      </c>
      <c r="H349" s="126">
        <v>11296678</v>
      </c>
      <c r="I349" s="127">
        <v>4970023</v>
      </c>
      <c r="J349" s="128">
        <v>457304</v>
      </c>
      <c r="K349" s="130">
        <v>16724005</v>
      </c>
      <c r="L349" s="44">
        <v>74406</v>
      </c>
      <c r="M349" s="44">
        <v>376231</v>
      </c>
      <c r="N349" s="44">
        <v>4672642</v>
      </c>
      <c r="O349" s="44">
        <v>455011</v>
      </c>
      <c r="P349" s="44">
        <v>354140</v>
      </c>
      <c r="Q349" s="44">
        <v>2000616</v>
      </c>
      <c r="R349" s="44">
        <v>109385</v>
      </c>
      <c r="S349" s="44">
        <v>0</v>
      </c>
      <c r="T349" s="44">
        <v>954616</v>
      </c>
      <c r="U349" s="44">
        <v>612660</v>
      </c>
      <c r="V349" s="44">
        <v>368</v>
      </c>
      <c r="W349" s="44">
        <v>1629647</v>
      </c>
      <c r="X349" s="44">
        <v>459479</v>
      </c>
      <c r="Y349" s="44">
        <v>1975748</v>
      </c>
      <c r="Z349" s="44">
        <v>780984</v>
      </c>
      <c r="AA349" s="44">
        <v>290814</v>
      </c>
      <c r="AB349" s="44">
        <v>0</v>
      </c>
      <c r="AC349" s="44">
        <v>14746747</v>
      </c>
      <c r="AD349" s="44">
        <v>906896</v>
      </c>
      <c r="AE349" s="44">
        <v>468246</v>
      </c>
      <c r="AF349" s="44">
        <v>424152</v>
      </c>
      <c r="AG349" s="44">
        <v>16546041</v>
      </c>
      <c r="AH349" s="44">
        <v>1083</v>
      </c>
      <c r="AI349" s="44">
        <v>15442</v>
      </c>
      <c r="AJ349" s="44">
        <v>15278</v>
      </c>
      <c r="AK349" s="44">
        <v>148568</v>
      </c>
      <c r="AL349" s="44">
        <v>68378</v>
      </c>
      <c r="AM349" s="44">
        <v>0.47400000000000003</v>
      </c>
      <c r="AN349" s="44">
        <v>0.55355054420571059</v>
      </c>
      <c r="AO349" s="44">
        <v>0.156</v>
      </c>
      <c r="AP349" s="44">
        <v>0.70955054420571062</v>
      </c>
      <c r="AQ349" s="44">
        <v>0.79449999999999998</v>
      </c>
      <c r="AR349" s="44">
        <v>21.38</v>
      </c>
    </row>
    <row r="350" spans="1:44">
      <c r="A350" t="s">
        <v>931</v>
      </c>
      <c r="B350" t="s">
        <v>932</v>
      </c>
      <c r="D350" t="s">
        <v>1639</v>
      </c>
      <c r="E350" s="44">
        <v>889176</v>
      </c>
      <c r="F350" s="44">
        <v>6210745</v>
      </c>
      <c r="G350" s="44">
        <v>1173941</v>
      </c>
      <c r="H350" s="126">
        <v>7384686</v>
      </c>
      <c r="I350" s="127">
        <v>4104618</v>
      </c>
      <c r="J350" s="128">
        <v>390557</v>
      </c>
      <c r="K350" s="130">
        <v>11879861</v>
      </c>
      <c r="L350" s="44">
        <v>51135</v>
      </c>
      <c r="M350" s="44">
        <v>454668</v>
      </c>
      <c r="N350" s="44">
        <v>3660623</v>
      </c>
      <c r="O350" s="44">
        <v>102331</v>
      </c>
      <c r="P350" s="44">
        <v>154610</v>
      </c>
      <c r="Q350" s="44">
        <v>1460717</v>
      </c>
      <c r="R350" s="44">
        <v>73090</v>
      </c>
      <c r="S350" s="44">
        <v>0</v>
      </c>
      <c r="T350" s="44">
        <v>515561</v>
      </c>
      <c r="U350" s="44">
        <v>408154</v>
      </c>
      <c r="V350" s="44">
        <v>1000</v>
      </c>
      <c r="W350" s="44">
        <v>793590</v>
      </c>
      <c r="X350" s="44">
        <v>371456</v>
      </c>
      <c r="Y350" s="44">
        <v>1231936</v>
      </c>
      <c r="Z350" s="44">
        <v>536141</v>
      </c>
      <c r="AA350" s="44">
        <v>155117</v>
      </c>
      <c r="AB350" s="44">
        <v>0</v>
      </c>
      <c r="AC350" s="44">
        <v>9970129</v>
      </c>
      <c r="AD350" s="44">
        <v>704508</v>
      </c>
      <c r="AE350" s="44">
        <v>425000</v>
      </c>
      <c r="AF350" s="44">
        <v>238299</v>
      </c>
      <c r="AG350" s="44">
        <v>11337936</v>
      </c>
      <c r="AH350" s="44">
        <v>922</v>
      </c>
      <c r="AI350" s="44">
        <v>12885</v>
      </c>
      <c r="AJ350" s="44">
        <v>12297</v>
      </c>
      <c r="AK350" s="44">
        <v>159294</v>
      </c>
      <c r="AL350" s="44">
        <v>72308</v>
      </c>
      <c r="AM350" s="44">
        <v>0.504</v>
      </c>
      <c r="AN350" s="44">
        <v>0.56227923671468949</v>
      </c>
      <c r="AO350" s="44">
        <v>0.157</v>
      </c>
      <c r="AP350" s="44">
        <v>0.71927923671468952</v>
      </c>
      <c r="AQ350" s="44">
        <v>0.81679999999999997</v>
      </c>
      <c r="AR350" s="44">
        <v>24.45</v>
      </c>
    </row>
    <row r="351" spans="1:44">
      <c r="A351" t="s">
        <v>933</v>
      </c>
      <c r="B351" t="s">
        <v>934</v>
      </c>
      <c r="D351" t="s">
        <v>1639</v>
      </c>
      <c r="E351" s="44">
        <v>2411836</v>
      </c>
      <c r="F351" s="44">
        <v>22447378</v>
      </c>
      <c r="G351" s="44">
        <v>5505284</v>
      </c>
      <c r="H351" s="126">
        <v>27952662</v>
      </c>
      <c r="I351" s="127">
        <v>18266062</v>
      </c>
      <c r="J351" s="128">
        <v>1727213</v>
      </c>
      <c r="K351" s="130">
        <v>47945937</v>
      </c>
      <c r="L351" s="44">
        <v>183696</v>
      </c>
      <c r="M351" s="44">
        <v>913617</v>
      </c>
      <c r="N351" s="44">
        <v>17591626</v>
      </c>
      <c r="O351" s="44">
        <v>687872</v>
      </c>
      <c r="P351" s="44">
        <v>880729</v>
      </c>
      <c r="Q351" s="44">
        <v>4498541</v>
      </c>
      <c r="R351" s="44">
        <v>716234</v>
      </c>
      <c r="S351" s="44">
        <v>182</v>
      </c>
      <c r="T351" s="44">
        <v>2268314</v>
      </c>
      <c r="U351" s="44">
        <v>2136573</v>
      </c>
      <c r="V351" s="44">
        <v>0</v>
      </c>
      <c r="W351" s="44">
        <v>3433846</v>
      </c>
      <c r="X351" s="44">
        <v>1693507</v>
      </c>
      <c r="Y351" s="44">
        <v>5562671</v>
      </c>
      <c r="Z351" s="44">
        <v>2590926</v>
      </c>
      <c r="AA351" s="44">
        <v>1545301</v>
      </c>
      <c r="AB351" s="44">
        <v>0</v>
      </c>
      <c r="AC351" s="44">
        <v>44703635</v>
      </c>
      <c r="AD351" s="44">
        <v>2559442</v>
      </c>
      <c r="AE351" s="44">
        <v>1080000</v>
      </c>
      <c r="AF351" s="44">
        <v>509950</v>
      </c>
      <c r="AG351" s="44">
        <v>48853027</v>
      </c>
      <c r="AH351" s="44">
        <v>3877</v>
      </c>
      <c r="AI351" s="44">
        <v>12367</v>
      </c>
      <c r="AJ351" s="44">
        <v>12601</v>
      </c>
      <c r="AK351" s="44">
        <v>193861</v>
      </c>
      <c r="AL351" s="44">
        <v>81953</v>
      </c>
      <c r="AM351" s="44">
        <v>0.58899999999999997</v>
      </c>
      <c r="AN351" s="44">
        <v>0.58911540936859452</v>
      </c>
      <c r="AO351" s="44">
        <v>0.17100000000000001</v>
      </c>
      <c r="AP351" s="44">
        <v>0.76011540936859456</v>
      </c>
      <c r="AQ351" s="44">
        <v>0.82740000000000002</v>
      </c>
      <c r="AR351" s="44">
        <v>17.87</v>
      </c>
    </row>
    <row r="352" spans="1:44">
      <c r="A352" t="s">
        <v>2001</v>
      </c>
      <c r="B352" t="s">
        <v>935</v>
      </c>
      <c r="D352" t="s">
        <v>1639</v>
      </c>
      <c r="E352" s="44">
        <v>1564425</v>
      </c>
      <c r="F352" s="44">
        <v>25213184</v>
      </c>
      <c r="G352" s="44">
        <v>8569420</v>
      </c>
      <c r="H352" s="126">
        <v>33782604</v>
      </c>
      <c r="I352" s="127">
        <v>29602313</v>
      </c>
      <c r="J352" s="128">
        <v>1433091</v>
      </c>
      <c r="K352" s="130">
        <v>64818008</v>
      </c>
      <c r="L352" s="44">
        <v>112273</v>
      </c>
      <c r="M352" s="44">
        <v>1135259</v>
      </c>
      <c r="N352" s="44">
        <v>23742815</v>
      </c>
      <c r="O352" s="44">
        <v>996197</v>
      </c>
      <c r="P352" s="44">
        <v>1457984</v>
      </c>
      <c r="Q352" s="44">
        <v>3603053</v>
      </c>
      <c r="R352" s="44">
        <v>82007</v>
      </c>
      <c r="S352" s="44">
        <v>26748</v>
      </c>
      <c r="T352" s="44">
        <v>3056427</v>
      </c>
      <c r="U352" s="44">
        <v>2817290</v>
      </c>
      <c r="V352" s="44">
        <v>0</v>
      </c>
      <c r="W352" s="44">
        <v>4670960</v>
      </c>
      <c r="X352" s="44">
        <v>2403754</v>
      </c>
      <c r="Y352" s="44">
        <v>6555195</v>
      </c>
      <c r="Z352" s="44">
        <v>4137390</v>
      </c>
      <c r="AA352" s="44">
        <v>516624</v>
      </c>
      <c r="AB352" s="44">
        <v>8115</v>
      </c>
      <c r="AC352" s="44">
        <v>55322091</v>
      </c>
      <c r="AD352" s="44">
        <v>3338951</v>
      </c>
      <c r="AE352" s="44">
        <v>2702796</v>
      </c>
      <c r="AF352" s="44">
        <v>2135249</v>
      </c>
      <c r="AG352" s="44">
        <v>63499087</v>
      </c>
      <c r="AH352" s="44">
        <v>5043</v>
      </c>
      <c r="AI352" s="44">
        <v>12853</v>
      </c>
      <c r="AJ352" s="44">
        <v>12592</v>
      </c>
      <c r="AK352" s="44">
        <v>208893</v>
      </c>
      <c r="AL352" s="44">
        <v>105242</v>
      </c>
      <c r="AM352" s="44">
        <v>0.70499999999999996</v>
      </c>
      <c r="AN352" s="44">
        <v>0.5635123698707668</v>
      </c>
      <c r="AO352" s="44">
        <v>0.17399999999999999</v>
      </c>
      <c r="AP352" s="44">
        <v>0.73751236987076685</v>
      </c>
      <c r="AQ352" s="44">
        <v>0.84589999999999999</v>
      </c>
      <c r="AR352" s="44">
        <v>20.29</v>
      </c>
    </row>
    <row r="353" spans="1:44">
      <c r="A353" t="s">
        <v>1995</v>
      </c>
      <c r="B353" t="s">
        <v>936</v>
      </c>
      <c r="D353" t="s">
        <v>1639</v>
      </c>
      <c r="E353" s="44">
        <v>3118779</v>
      </c>
      <c r="F353" s="44">
        <v>54361153</v>
      </c>
      <c r="G353" s="44">
        <v>13275638</v>
      </c>
      <c r="H353" s="126">
        <v>67636791</v>
      </c>
      <c r="I353" s="127">
        <v>59505525</v>
      </c>
      <c r="J353" s="128">
        <v>3955653</v>
      </c>
      <c r="K353" s="130">
        <v>131097969</v>
      </c>
      <c r="L353" s="44">
        <v>353890</v>
      </c>
      <c r="M353" s="44">
        <v>1514834</v>
      </c>
      <c r="N353" s="44">
        <v>45063168</v>
      </c>
      <c r="O353" s="44">
        <v>2519261</v>
      </c>
      <c r="P353" s="44">
        <v>3002777</v>
      </c>
      <c r="Q353" s="44">
        <v>5510228</v>
      </c>
      <c r="R353" s="44">
        <v>461549</v>
      </c>
      <c r="S353" s="44">
        <v>0</v>
      </c>
      <c r="T353" s="44">
        <v>10554589</v>
      </c>
      <c r="U353" s="44">
        <v>4021151</v>
      </c>
      <c r="V353" s="44">
        <v>0</v>
      </c>
      <c r="W353" s="44">
        <v>9925856</v>
      </c>
      <c r="X353" s="44">
        <v>4294140</v>
      </c>
      <c r="Y353" s="44">
        <v>14617989</v>
      </c>
      <c r="Z353" s="44">
        <v>10091639</v>
      </c>
      <c r="AA353" s="44">
        <v>885032</v>
      </c>
      <c r="AB353" s="44">
        <v>0</v>
      </c>
      <c r="AC353" s="44">
        <v>112816103</v>
      </c>
      <c r="AD353" s="44">
        <v>7184828</v>
      </c>
      <c r="AE353" s="44">
        <v>5722406</v>
      </c>
      <c r="AF353" s="44">
        <v>4079270</v>
      </c>
      <c r="AG353" s="44">
        <v>129802607</v>
      </c>
      <c r="AH353" s="44">
        <v>9965</v>
      </c>
      <c r="AI353" s="44">
        <v>13156</v>
      </c>
      <c r="AJ353" s="44">
        <v>13026</v>
      </c>
      <c r="AK353" s="44">
        <v>199766</v>
      </c>
      <c r="AL353" s="44">
        <v>95308</v>
      </c>
      <c r="AM353" s="44">
        <v>0.65200000000000002</v>
      </c>
      <c r="AN353" s="44">
        <v>0.54800689018518711</v>
      </c>
      <c r="AO353" s="44">
        <v>0.187</v>
      </c>
      <c r="AP353" s="44">
        <v>0.73500689018518717</v>
      </c>
      <c r="AQ353" s="44">
        <v>0.84499999999999997</v>
      </c>
      <c r="AR353" s="44">
        <v>22.25</v>
      </c>
    </row>
    <row r="354" spans="1:44">
      <c r="A354" t="s">
        <v>937</v>
      </c>
      <c r="B354" t="s">
        <v>938</v>
      </c>
      <c r="D354" t="s">
        <v>1639</v>
      </c>
      <c r="E354" s="44">
        <v>2383812</v>
      </c>
      <c r="F354" s="44">
        <v>21081284</v>
      </c>
      <c r="G354" s="44">
        <v>6097435</v>
      </c>
      <c r="H354" s="126">
        <v>27178719</v>
      </c>
      <c r="I354" s="127">
        <v>35958217</v>
      </c>
      <c r="J354" s="128">
        <v>1559604</v>
      </c>
      <c r="K354" s="130">
        <v>64696540</v>
      </c>
      <c r="L354" s="44">
        <v>181484</v>
      </c>
      <c r="M354" s="44">
        <v>957444</v>
      </c>
      <c r="N354" s="44">
        <v>20923650</v>
      </c>
      <c r="O354" s="44">
        <v>1055598</v>
      </c>
      <c r="P354" s="44">
        <v>1257145</v>
      </c>
      <c r="Q354" s="44">
        <v>2883530</v>
      </c>
      <c r="R354" s="44">
        <v>12430</v>
      </c>
      <c r="S354" s="44">
        <v>283262</v>
      </c>
      <c r="T354" s="44">
        <v>4296203</v>
      </c>
      <c r="U354" s="44">
        <v>2045910</v>
      </c>
      <c r="V354" s="44">
        <v>0</v>
      </c>
      <c r="W354" s="44">
        <v>5120824</v>
      </c>
      <c r="X354" s="44">
        <v>2090456</v>
      </c>
      <c r="Y354" s="44">
        <v>9501045</v>
      </c>
      <c r="Z354" s="44">
        <v>4036451</v>
      </c>
      <c r="AA354" s="44">
        <v>843951</v>
      </c>
      <c r="AB354" s="44">
        <v>0</v>
      </c>
      <c r="AC354" s="44">
        <v>55489383</v>
      </c>
      <c r="AD354" s="44">
        <v>3276108</v>
      </c>
      <c r="AE354" s="44">
        <v>1670000</v>
      </c>
      <c r="AF354" s="44">
        <v>1118482</v>
      </c>
      <c r="AG354" s="44">
        <v>61553973</v>
      </c>
      <c r="AH354" s="44">
        <v>3648</v>
      </c>
      <c r="AI354" s="44">
        <v>17735</v>
      </c>
      <c r="AJ354" s="44">
        <v>16873</v>
      </c>
      <c r="AK354" s="44">
        <v>311193</v>
      </c>
      <c r="AL354" s="44">
        <v>90549</v>
      </c>
      <c r="AM354" s="44">
        <v>0.77800000000000002</v>
      </c>
      <c r="AN354" s="44">
        <v>0.53217893831158547</v>
      </c>
      <c r="AO354" s="44">
        <v>0.21299999999999999</v>
      </c>
      <c r="AP354" s="44">
        <v>0.74517893831158544</v>
      </c>
      <c r="AQ354" s="44">
        <v>0.82640000000000002</v>
      </c>
      <c r="AR354" s="44">
        <v>24.22</v>
      </c>
    </row>
    <row r="355" spans="1:44">
      <c r="A355" t="s">
        <v>2003</v>
      </c>
      <c r="B355" t="s">
        <v>939</v>
      </c>
      <c r="D355" t="s">
        <v>1639</v>
      </c>
      <c r="E355" s="44">
        <v>1934569</v>
      </c>
      <c r="F355" s="44">
        <v>9534858</v>
      </c>
      <c r="G355" s="44">
        <v>3741668</v>
      </c>
      <c r="H355" s="126">
        <v>13276526</v>
      </c>
      <c r="I355" s="127">
        <v>28380695</v>
      </c>
      <c r="J355" s="128">
        <v>1162913</v>
      </c>
      <c r="K355" s="130">
        <v>42820134</v>
      </c>
      <c r="L355" s="44">
        <v>95188</v>
      </c>
      <c r="M355" s="44">
        <v>498130</v>
      </c>
      <c r="N355" s="44">
        <v>14978402</v>
      </c>
      <c r="O355" s="44">
        <v>863575</v>
      </c>
      <c r="P355" s="44">
        <v>1047925</v>
      </c>
      <c r="Q355" s="44">
        <v>1651556</v>
      </c>
      <c r="R355" s="44">
        <v>43408</v>
      </c>
      <c r="S355" s="44">
        <v>123470</v>
      </c>
      <c r="T355" s="44">
        <v>2624904</v>
      </c>
      <c r="U355" s="44">
        <v>1752511</v>
      </c>
      <c r="V355" s="44">
        <v>13916</v>
      </c>
      <c r="W355" s="44">
        <v>2978039</v>
      </c>
      <c r="X355" s="44">
        <v>1509203</v>
      </c>
      <c r="Y355" s="44">
        <v>5497303</v>
      </c>
      <c r="Z355" s="44">
        <v>2244837</v>
      </c>
      <c r="AA355" s="44">
        <v>632423</v>
      </c>
      <c r="AB355" s="44">
        <v>383738</v>
      </c>
      <c r="AC355" s="44">
        <v>36938528</v>
      </c>
      <c r="AD355" s="44">
        <v>1634557</v>
      </c>
      <c r="AE355" s="44">
        <v>2588693</v>
      </c>
      <c r="AF355" s="44">
        <v>1382091</v>
      </c>
      <c r="AG355" s="44">
        <v>42543869</v>
      </c>
      <c r="AH355" s="44">
        <v>2953</v>
      </c>
      <c r="AI355" s="44">
        <v>14501</v>
      </c>
      <c r="AJ355" s="44">
        <v>14407</v>
      </c>
      <c r="AK355" s="44">
        <v>358141</v>
      </c>
      <c r="AL355" s="44">
        <v>161762</v>
      </c>
      <c r="AM355" s="44">
        <v>1.1320000000000001</v>
      </c>
      <c r="AN355" s="44">
        <v>0.54263402794889204</v>
      </c>
      <c r="AO355" s="44">
        <v>0.189</v>
      </c>
      <c r="AP355" s="44">
        <v>0.73163402794889199</v>
      </c>
      <c r="AQ355" s="44">
        <v>0.85070000000000001</v>
      </c>
      <c r="AR355" s="44">
        <v>21.27</v>
      </c>
    </row>
    <row r="356" spans="1:44">
      <c r="A356" t="s">
        <v>940</v>
      </c>
      <c r="B356" t="s">
        <v>941</v>
      </c>
      <c r="D356" t="s">
        <v>1639</v>
      </c>
      <c r="E356" s="44">
        <v>1164342</v>
      </c>
      <c r="F356" s="44">
        <v>12993125</v>
      </c>
      <c r="G356" s="44">
        <v>2356388</v>
      </c>
      <c r="H356" s="126">
        <v>15349513</v>
      </c>
      <c r="I356" s="127">
        <v>8733315</v>
      </c>
      <c r="J356" s="128">
        <v>711737</v>
      </c>
      <c r="K356" s="130">
        <v>24794565</v>
      </c>
      <c r="L356" s="44">
        <v>167613</v>
      </c>
      <c r="M356" s="44">
        <v>497017</v>
      </c>
      <c r="N356" s="44">
        <v>7434248</v>
      </c>
      <c r="O356" s="44">
        <v>360766</v>
      </c>
      <c r="P356" s="44">
        <v>487450</v>
      </c>
      <c r="Q356" s="44">
        <v>1691158</v>
      </c>
      <c r="R356" s="44">
        <v>5272</v>
      </c>
      <c r="S356" s="44">
        <v>250</v>
      </c>
      <c r="T356" s="44">
        <v>1175084</v>
      </c>
      <c r="U356" s="44">
        <v>1257157</v>
      </c>
      <c r="V356" s="44">
        <v>427</v>
      </c>
      <c r="W356" s="44">
        <v>1596880</v>
      </c>
      <c r="X356" s="44">
        <v>813169</v>
      </c>
      <c r="Y356" s="44">
        <v>2265956</v>
      </c>
      <c r="Z356" s="44">
        <v>1225860</v>
      </c>
      <c r="AA356" s="44">
        <v>398105</v>
      </c>
      <c r="AB356" s="44">
        <v>0</v>
      </c>
      <c r="AC356" s="44">
        <v>19376412</v>
      </c>
      <c r="AD356" s="44">
        <v>1056285</v>
      </c>
      <c r="AE356" s="44">
        <v>2078640</v>
      </c>
      <c r="AF356" s="44">
        <v>951095</v>
      </c>
      <c r="AG356" s="44">
        <v>23462432</v>
      </c>
      <c r="AH356" s="44">
        <v>1614</v>
      </c>
      <c r="AI356" s="44">
        <v>15362</v>
      </c>
      <c r="AJ356" s="44">
        <v>14537</v>
      </c>
      <c r="AK356" s="44">
        <v>166991</v>
      </c>
      <c r="AL356" s="44">
        <v>72462</v>
      </c>
      <c r="AM356" s="44">
        <v>0.51500000000000001</v>
      </c>
      <c r="AN356" s="44">
        <v>0.52898970575599324</v>
      </c>
      <c r="AO356" s="44">
        <v>0.155</v>
      </c>
      <c r="AP356" s="44">
        <v>0.68398970575599327</v>
      </c>
      <c r="AQ356" s="44">
        <v>0.82789999999999997</v>
      </c>
      <c r="AR356" s="44">
        <v>23.77</v>
      </c>
    </row>
    <row r="357" spans="1:44">
      <c r="A357" t="s">
        <v>942</v>
      </c>
      <c r="B357" t="s">
        <v>943</v>
      </c>
      <c r="D357" t="s">
        <v>1639</v>
      </c>
      <c r="E357" s="44">
        <v>513906</v>
      </c>
      <c r="F357" s="44">
        <v>7577666</v>
      </c>
      <c r="G357" s="44">
        <v>1455517</v>
      </c>
      <c r="H357" s="126">
        <v>9033183</v>
      </c>
      <c r="I357" s="127">
        <v>6149302</v>
      </c>
      <c r="J357" s="128">
        <v>383513</v>
      </c>
      <c r="K357" s="130">
        <v>15565998</v>
      </c>
      <c r="L357" s="44">
        <v>62698</v>
      </c>
      <c r="M357" s="44">
        <v>418671</v>
      </c>
      <c r="N357" s="44">
        <v>4377425</v>
      </c>
      <c r="O357" s="44">
        <v>229824</v>
      </c>
      <c r="P357" s="44">
        <v>199101</v>
      </c>
      <c r="Q357" s="44">
        <v>1017960</v>
      </c>
      <c r="R357" s="44">
        <v>125424</v>
      </c>
      <c r="S357" s="44">
        <v>0</v>
      </c>
      <c r="T357" s="44">
        <v>660976</v>
      </c>
      <c r="U357" s="44">
        <v>409539</v>
      </c>
      <c r="V357" s="44">
        <v>0</v>
      </c>
      <c r="W357" s="44">
        <v>1097920</v>
      </c>
      <c r="X357" s="44">
        <v>447553</v>
      </c>
      <c r="Y357" s="44">
        <v>2007901</v>
      </c>
      <c r="Z357" s="44">
        <v>757136</v>
      </c>
      <c r="AA357" s="44">
        <v>177047</v>
      </c>
      <c r="AB357" s="44">
        <v>24058</v>
      </c>
      <c r="AC357" s="44">
        <v>12013233</v>
      </c>
      <c r="AD357" s="44">
        <v>946043</v>
      </c>
      <c r="AE357" s="44">
        <v>1369701</v>
      </c>
      <c r="AF357" s="44">
        <v>860038</v>
      </c>
      <c r="AG357" s="44">
        <v>15189015</v>
      </c>
      <c r="AH357" s="44">
        <v>901</v>
      </c>
      <c r="AI357" s="44">
        <v>17276</v>
      </c>
      <c r="AJ357" s="44">
        <v>16858</v>
      </c>
      <c r="AK357" s="44">
        <v>188491</v>
      </c>
      <c r="AL357" s="44">
        <v>82544</v>
      </c>
      <c r="AM357" s="44">
        <v>0.58400000000000007</v>
      </c>
      <c r="AN357" s="44">
        <v>0.46219251215434315</v>
      </c>
      <c r="AO357" s="44">
        <v>0.16900000000000001</v>
      </c>
      <c r="AP357" s="44">
        <v>0.63119251215434313</v>
      </c>
      <c r="AQ357" s="44">
        <v>0.79559999999999997</v>
      </c>
      <c r="AR357" s="44">
        <v>24.15</v>
      </c>
    </row>
    <row r="358" spans="1:44">
      <c r="A358" t="s">
        <v>944</v>
      </c>
      <c r="B358" t="s">
        <v>945</v>
      </c>
      <c r="D358" t="s">
        <v>1639</v>
      </c>
      <c r="E358" s="44">
        <v>2533313</v>
      </c>
      <c r="F358" s="44">
        <v>10931481</v>
      </c>
      <c r="G358" s="44">
        <v>3514477</v>
      </c>
      <c r="H358" s="126">
        <v>14445958</v>
      </c>
      <c r="I358" s="127">
        <v>13632675</v>
      </c>
      <c r="J358" s="128">
        <v>714055</v>
      </c>
      <c r="K358" s="130">
        <v>28792688</v>
      </c>
      <c r="L358" s="44">
        <v>181679</v>
      </c>
      <c r="M358" s="44">
        <v>489932</v>
      </c>
      <c r="N358" s="44">
        <v>8762142</v>
      </c>
      <c r="O358" s="44">
        <v>596756</v>
      </c>
      <c r="P358" s="44">
        <v>748295</v>
      </c>
      <c r="Q358" s="44">
        <v>1647692</v>
      </c>
      <c r="R358" s="44">
        <v>0</v>
      </c>
      <c r="S358" s="44">
        <v>51621</v>
      </c>
      <c r="T358" s="44">
        <v>2012096</v>
      </c>
      <c r="U358" s="44">
        <v>1116410</v>
      </c>
      <c r="V358" s="44">
        <v>0</v>
      </c>
      <c r="W358" s="44">
        <v>2209405</v>
      </c>
      <c r="X358" s="44">
        <v>808487</v>
      </c>
      <c r="Y358" s="44">
        <v>3200145</v>
      </c>
      <c r="Z358" s="44">
        <v>1392758</v>
      </c>
      <c r="AA358" s="44">
        <v>271129</v>
      </c>
      <c r="AB358" s="44">
        <v>0</v>
      </c>
      <c r="AC358" s="44">
        <v>23488547</v>
      </c>
      <c r="AD358" s="44">
        <v>1418460</v>
      </c>
      <c r="AE358" s="44">
        <v>1414425</v>
      </c>
      <c r="AF358" s="44">
        <v>692675</v>
      </c>
      <c r="AG358" s="44">
        <v>27014107</v>
      </c>
      <c r="AH358" s="44">
        <v>1926</v>
      </c>
      <c r="AI358" s="44">
        <v>14949</v>
      </c>
      <c r="AJ358" s="44">
        <v>14026</v>
      </c>
      <c r="AK358" s="44">
        <v>208810</v>
      </c>
      <c r="AL358" s="44">
        <v>108133</v>
      </c>
      <c r="AM358" s="44">
        <v>0.71599999999999997</v>
      </c>
      <c r="AN358" s="44">
        <v>0.55285973361991936</v>
      </c>
      <c r="AO358" s="44">
        <v>0.16700000000000001</v>
      </c>
      <c r="AP358" s="44">
        <v>0.7198597336199194</v>
      </c>
      <c r="AQ358" s="44">
        <v>0.82820000000000005</v>
      </c>
      <c r="AR358" s="44">
        <v>21.86</v>
      </c>
    </row>
    <row r="359" spans="1:44">
      <c r="A359" t="s">
        <v>2005</v>
      </c>
      <c r="B359" t="s">
        <v>946</v>
      </c>
      <c r="D359" t="s">
        <v>1639</v>
      </c>
      <c r="E359" s="44">
        <v>1749805</v>
      </c>
      <c r="F359" s="44">
        <v>11376665</v>
      </c>
      <c r="G359" s="44">
        <v>2929769</v>
      </c>
      <c r="H359" s="126">
        <v>14306434</v>
      </c>
      <c r="I359" s="127">
        <v>11915607</v>
      </c>
      <c r="J359" s="128">
        <v>864193</v>
      </c>
      <c r="K359" s="130">
        <v>27086234</v>
      </c>
      <c r="L359" s="44">
        <v>109882</v>
      </c>
      <c r="M359" s="44">
        <v>562950</v>
      </c>
      <c r="N359" s="44">
        <v>8416624</v>
      </c>
      <c r="O359" s="44">
        <v>512283</v>
      </c>
      <c r="P359" s="44">
        <v>610016</v>
      </c>
      <c r="Q359" s="44">
        <v>2206151</v>
      </c>
      <c r="R359" s="44">
        <v>0</v>
      </c>
      <c r="S359" s="44">
        <v>119948</v>
      </c>
      <c r="T359" s="44">
        <v>1259755</v>
      </c>
      <c r="U359" s="44">
        <v>1056606</v>
      </c>
      <c r="V359" s="44">
        <v>0</v>
      </c>
      <c r="W359" s="44">
        <v>1589721</v>
      </c>
      <c r="X359" s="44">
        <v>870087</v>
      </c>
      <c r="Y359" s="44">
        <v>2928800</v>
      </c>
      <c r="Z359" s="44">
        <v>1677728</v>
      </c>
      <c r="AA359" s="44">
        <v>240595</v>
      </c>
      <c r="AB359" s="44">
        <v>25000</v>
      </c>
      <c r="AC359" s="44">
        <v>22186146</v>
      </c>
      <c r="AD359" s="44">
        <v>1207266</v>
      </c>
      <c r="AE359" s="44">
        <v>1900000</v>
      </c>
      <c r="AF359" s="44">
        <v>1545111</v>
      </c>
      <c r="AG359" s="44">
        <v>26838523</v>
      </c>
      <c r="AH359" s="44">
        <v>1682</v>
      </c>
      <c r="AI359" s="44">
        <v>16104</v>
      </c>
      <c r="AJ359" s="44">
        <v>15956</v>
      </c>
      <c r="AK359" s="44">
        <v>209809</v>
      </c>
      <c r="AL359" s="44">
        <v>75051</v>
      </c>
      <c r="AM359" s="44">
        <v>0.58200000000000007</v>
      </c>
      <c r="AN359" s="44">
        <v>0.52839655147937914</v>
      </c>
      <c r="AO359" s="44">
        <v>0.17299999999999999</v>
      </c>
      <c r="AP359" s="44">
        <v>0.70139655147937918</v>
      </c>
      <c r="AQ359" s="44">
        <v>0.84799999999999998</v>
      </c>
      <c r="AR359" s="44">
        <v>25.46</v>
      </c>
    </row>
    <row r="360" spans="1:44">
      <c r="A360" t="s">
        <v>947</v>
      </c>
      <c r="B360" t="s">
        <v>948</v>
      </c>
      <c r="D360" t="s">
        <v>1639</v>
      </c>
      <c r="E360" s="44">
        <v>881352</v>
      </c>
      <c r="F360" s="44">
        <v>11115169</v>
      </c>
      <c r="G360" s="44">
        <v>941229</v>
      </c>
      <c r="H360" s="126">
        <v>12056398</v>
      </c>
      <c r="I360" s="127">
        <v>7020416</v>
      </c>
      <c r="J360" s="128">
        <v>1327277</v>
      </c>
      <c r="K360" s="130">
        <v>20404091</v>
      </c>
      <c r="L360" s="44">
        <v>136591</v>
      </c>
      <c r="M360" s="44">
        <v>443125</v>
      </c>
      <c r="N360" s="44">
        <v>6103908</v>
      </c>
      <c r="O360" s="44">
        <v>349075</v>
      </c>
      <c r="P360" s="44">
        <v>454371</v>
      </c>
      <c r="Q360" s="44">
        <v>1659042</v>
      </c>
      <c r="R360" s="44">
        <v>3526</v>
      </c>
      <c r="S360" s="44">
        <v>0</v>
      </c>
      <c r="T360" s="44">
        <v>1569982</v>
      </c>
      <c r="U360" s="44">
        <v>1490176</v>
      </c>
      <c r="V360" s="44">
        <v>0</v>
      </c>
      <c r="W360" s="44">
        <v>1522199</v>
      </c>
      <c r="X360" s="44">
        <v>696935</v>
      </c>
      <c r="Y360" s="44">
        <v>2150246</v>
      </c>
      <c r="Z360" s="44">
        <v>1006874</v>
      </c>
      <c r="AA360" s="44">
        <v>291445</v>
      </c>
      <c r="AB360" s="44">
        <v>34333</v>
      </c>
      <c r="AC360" s="44">
        <v>17911828</v>
      </c>
      <c r="AD360" s="44">
        <v>704806</v>
      </c>
      <c r="AE360" s="44">
        <v>796859</v>
      </c>
      <c r="AF360" s="44">
        <v>480295</v>
      </c>
      <c r="AG360" s="44">
        <v>19893788</v>
      </c>
      <c r="AH360" s="44">
        <v>935</v>
      </c>
      <c r="AI360" s="44">
        <v>21823</v>
      </c>
      <c r="AJ360" s="44">
        <v>21277</v>
      </c>
      <c r="AK360" s="44">
        <v>189421</v>
      </c>
      <c r="AL360" s="44">
        <v>90729</v>
      </c>
      <c r="AM360" s="44">
        <v>0.61899999999999999</v>
      </c>
      <c r="AN360" s="44">
        <v>0.58460862255091894</v>
      </c>
      <c r="AO360" s="44">
        <v>0.16600000000000001</v>
      </c>
      <c r="AP360" s="44">
        <v>0.75060862255091898</v>
      </c>
      <c r="AQ360" s="44">
        <v>0.83330000000000004</v>
      </c>
      <c r="AR360" s="44">
        <v>28.15</v>
      </c>
    </row>
    <row r="361" spans="1:44">
      <c r="A361" t="s">
        <v>2007</v>
      </c>
      <c r="B361" t="s">
        <v>949</v>
      </c>
      <c r="D361" t="s">
        <v>1639</v>
      </c>
      <c r="E361" s="44">
        <v>4160674</v>
      </c>
      <c r="F361" s="44">
        <v>35247595</v>
      </c>
      <c r="G361" s="44">
        <v>8678645</v>
      </c>
      <c r="H361" s="126">
        <v>43926240</v>
      </c>
      <c r="I361" s="127">
        <v>40883938</v>
      </c>
      <c r="J361" s="128">
        <v>2145223</v>
      </c>
      <c r="K361" s="130">
        <v>86955401</v>
      </c>
      <c r="L361" s="44">
        <v>225202</v>
      </c>
      <c r="M361" s="44">
        <v>1219266</v>
      </c>
      <c r="N361" s="44">
        <v>29311819</v>
      </c>
      <c r="O361" s="44">
        <v>1288428</v>
      </c>
      <c r="P361" s="44">
        <v>1871388</v>
      </c>
      <c r="Q361" s="44">
        <v>5037363</v>
      </c>
      <c r="R361" s="44">
        <v>374643</v>
      </c>
      <c r="S361" s="44">
        <v>0</v>
      </c>
      <c r="T361" s="44">
        <v>4445534</v>
      </c>
      <c r="U361" s="44">
        <v>3055999</v>
      </c>
      <c r="V361" s="44">
        <v>0</v>
      </c>
      <c r="W361" s="44">
        <v>5519888</v>
      </c>
      <c r="X361" s="44">
        <v>2913825</v>
      </c>
      <c r="Y361" s="44">
        <v>10182250</v>
      </c>
      <c r="Z361" s="44">
        <v>4711529</v>
      </c>
      <c r="AA361" s="44">
        <v>721573</v>
      </c>
      <c r="AB361" s="44">
        <v>17825</v>
      </c>
      <c r="AC361" s="44">
        <v>70896532</v>
      </c>
      <c r="AD361" s="44">
        <v>4639101</v>
      </c>
      <c r="AE361" s="44">
        <v>4232811</v>
      </c>
      <c r="AF361" s="44">
        <v>1694169</v>
      </c>
      <c r="AG361" s="44">
        <v>81462613</v>
      </c>
      <c r="AH361" s="44">
        <v>5836</v>
      </c>
      <c r="AI361" s="44">
        <v>14900</v>
      </c>
      <c r="AJ361" s="44">
        <v>13959</v>
      </c>
      <c r="AK361" s="44">
        <v>200136</v>
      </c>
      <c r="AL361" s="44">
        <v>102152</v>
      </c>
      <c r="AM361" s="44">
        <v>0.68</v>
      </c>
      <c r="AN361" s="44">
        <v>0.5571288757948385</v>
      </c>
      <c r="AO361" s="44">
        <v>0.184</v>
      </c>
      <c r="AP361" s="44">
        <v>0.74112887579483844</v>
      </c>
      <c r="AQ361" s="44">
        <v>0.85150000000000003</v>
      </c>
      <c r="AR361" s="44">
        <v>24.74</v>
      </c>
    </row>
    <row r="362" spans="1:44">
      <c r="A362" t="s">
        <v>950</v>
      </c>
      <c r="B362" t="s">
        <v>951</v>
      </c>
      <c r="D362" t="s">
        <v>1639</v>
      </c>
      <c r="E362" s="44">
        <v>2527672</v>
      </c>
      <c r="F362" s="44">
        <v>15272559</v>
      </c>
      <c r="G362" s="44">
        <v>6710702</v>
      </c>
      <c r="H362" s="126">
        <v>21983261</v>
      </c>
      <c r="I362" s="127">
        <v>44109970</v>
      </c>
      <c r="J362" s="128">
        <v>1205551</v>
      </c>
      <c r="K362" s="130">
        <v>67298782</v>
      </c>
      <c r="L362" s="44">
        <v>206463</v>
      </c>
      <c r="M362" s="44">
        <v>935981</v>
      </c>
      <c r="N362" s="44">
        <v>20377191</v>
      </c>
      <c r="O362" s="44">
        <v>749502</v>
      </c>
      <c r="P362" s="44">
        <v>1724998</v>
      </c>
      <c r="Q362" s="44">
        <v>2524763</v>
      </c>
      <c r="R362" s="44">
        <v>33226</v>
      </c>
      <c r="S362" s="44">
        <v>133000</v>
      </c>
      <c r="T362" s="44">
        <v>4416627</v>
      </c>
      <c r="U362" s="44">
        <v>3591181</v>
      </c>
      <c r="V362" s="44">
        <v>0</v>
      </c>
      <c r="W362" s="44">
        <v>5210328</v>
      </c>
      <c r="X362" s="44">
        <v>2021977</v>
      </c>
      <c r="Y362" s="44">
        <v>7380203</v>
      </c>
      <c r="Z362" s="44">
        <v>3560960</v>
      </c>
      <c r="AA362" s="44">
        <v>1857119</v>
      </c>
      <c r="AB362" s="44">
        <v>645082</v>
      </c>
      <c r="AC362" s="44">
        <v>55368601</v>
      </c>
      <c r="AD362" s="44">
        <v>2855066</v>
      </c>
      <c r="AE362" s="44">
        <v>4459732</v>
      </c>
      <c r="AF362" s="44">
        <v>1786716</v>
      </c>
      <c r="AG362" s="44">
        <v>64470115</v>
      </c>
      <c r="AH362" s="44">
        <v>4773</v>
      </c>
      <c r="AI362" s="44">
        <v>14100</v>
      </c>
      <c r="AJ362" s="44">
        <v>13507</v>
      </c>
      <c r="AK362" s="44">
        <v>298397</v>
      </c>
      <c r="AL362" s="44">
        <v>179537</v>
      </c>
      <c r="AM362" s="44">
        <v>1.127</v>
      </c>
      <c r="AN362" s="44">
        <v>0.52040372504376642</v>
      </c>
      <c r="AO362" s="44">
        <v>0.16700000000000001</v>
      </c>
      <c r="AP362" s="44">
        <v>0.68740372504376646</v>
      </c>
      <c r="AQ362" s="44">
        <v>0.80900000000000005</v>
      </c>
      <c r="AR362" s="44">
        <v>24.58</v>
      </c>
    </row>
    <row r="363" spans="1:44">
      <c r="A363" t="s">
        <v>952</v>
      </c>
      <c r="B363" t="s">
        <v>953</v>
      </c>
      <c r="D363" t="s">
        <v>1639</v>
      </c>
      <c r="E363" s="44">
        <v>338014</v>
      </c>
      <c r="F363" s="44">
        <v>9857038</v>
      </c>
      <c r="G363" s="44">
        <v>2553931</v>
      </c>
      <c r="H363" s="126">
        <v>12410969</v>
      </c>
      <c r="I363" s="127">
        <v>11583935</v>
      </c>
      <c r="J363" s="128">
        <v>530813</v>
      </c>
      <c r="K363" s="130">
        <v>24525717</v>
      </c>
      <c r="L363" s="44">
        <v>176875</v>
      </c>
      <c r="M363" s="44">
        <v>417554</v>
      </c>
      <c r="N363" s="44">
        <v>8931767</v>
      </c>
      <c r="O363" s="44">
        <v>454567</v>
      </c>
      <c r="P363" s="44">
        <v>644442</v>
      </c>
      <c r="Q363" s="44">
        <v>1684911</v>
      </c>
      <c r="R363" s="44">
        <v>0</v>
      </c>
      <c r="S363" s="44">
        <v>0</v>
      </c>
      <c r="T363" s="44">
        <v>1377938</v>
      </c>
      <c r="U363" s="44">
        <v>1089151</v>
      </c>
      <c r="V363" s="44">
        <v>0</v>
      </c>
      <c r="W363" s="44">
        <v>1766775</v>
      </c>
      <c r="X363" s="44">
        <v>897600</v>
      </c>
      <c r="Y363" s="44">
        <v>2528242</v>
      </c>
      <c r="Z363" s="44">
        <v>1587272</v>
      </c>
      <c r="AA363" s="44">
        <v>470619</v>
      </c>
      <c r="AB363" s="44">
        <v>0</v>
      </c>
      <c r="AC363" s="44">
        <v>22027713</v>
      </c>
      <c r="AD363" s="44">
        <v>1389777</v>
      </c>
      <c r="AE363" s="44">
        <v>684694</v>
      </c>
      <c r="AF363" s="44">
        <v>621193</v>
      </c>
      <c r="AG363" s="44">
        <v>24723377</v>
      </c>
      <c r="AH363" s="44">
        <v>2088</v>
      </c>
      <c r="AI363" s="44">
        <v>11746</v>
      </c>
      <c r="AJ363" s="44">
        <v>11841</v>
      </c>
      <c r="AK363" s="44">
        <v>207812</v>
      </c>
      <c r="AL363" s="44">
        <v>91423</v>
      </c>
      <c r="AM363" s="44">
        <v>0.64600000000000002</v>
      </c>
      <c r="AN363" s="44">
        <v>0.57365852569412346</v>
      </c>
      <c r="AO363" s="44">
        <v>0.17100000000000001</v>
      </c>
      <c r="AP363" s="44">
        <v>0.7446585256941235</v>
      </c>
      <c r="AQ363" s="44">
        <v>0.83540000000000003</v>
      </c>
      <c r="AR363" s="44">
        <v>19.89</v>
      </c>
    </row>
    <row r="364" spans="1:44">
      <c r="A364" t="s">
        <v>2009</v>
      </c>
      <c r="B364" t="s">
        <v>954</v>
      </c>
      <c r="D364" t="s">
        <v>1639</v>
      </c>
      <c r="E364" s="44">
        <v>845095</v>
      </c>
      <c r="F364" s="44">
        <v>7603457</v>
      </c>
      <c r="G364" s="44">
        <v>1942282</v>
      </c>
      <c r="H364" s="126">
        <v>9545739</v>
      </c>
      <c r="I364" s="127">
        <v>6876916</v>
      </c>
      <c r="J364" s="128">
        <v>357053</v>
      </c>
      <c r="K364" s="130">
        <v>16779708</v>
      </c>
      <c r="L364" s="44">
        <v>44152</v>
      </c>
      <c r="M364" s="44">
        <v>489873</v>
      </c>
      <c r="N364" s="44">
        <v>5090044</v>
      </c>
      <c r="O364" s="44">
        <v>145210</v>
      </c>
      <c r="P364" s="44">
        <v>321212</v>
      </c>
      <c r="Q364" s="44">
        <v>1293804</v>
      </c>
      <c r="R364" s="44">
        <v>11586</v>
      </c>
      <c r="S364" s="44">
        <v>0</v>
      </c>
      <c r="T364" s="44">
        <v>956315</v>
      </c>
      <c r="U364" s="44">
        <v>954054</v>
      </c>
      <c r="V364" s="44">
        <v>0</v>
      </c>
      <c r="W364" s="44">
        <v>1302084</v>
      </c>
      <c r="X364" s="44">
        <v>568734</v>
      </c>
      <c r="Y364" s="44">
        <v>1130861</v>
      </c>
      <c r="Z364" s="44">
        <v>1172155</v>
      </c>
      <c r="AA364" s="44">
        <v>343385</v>
      </c>
      <c r="AB364" s="44">
        <v>0</v>
      </c>
      <c r="AC364" s="44">
        <v>13823469</v>
      </c>
      <c r="AD364" s="44">
        <v>1132348</v>
      </c>
      <c r="AE364" s="44">
        <v>513260</v>
      </c>
      <c r="AF364" s="44">
        <v>182853</v>
      </c>
      <c r="AG364" s="44">
        <v>15651930</v>
      </c>
      <c r="AH364" s="44">
        <v>1013</v>
      </c>
      <c r="AI364" s="44">
        <v>16564</v>
      </c>
      <c r="AJ364" s="44">
        <v>15451</v>
      </c>
      <c r="AK364" s="44">
        <v>197515</v>
      </c>
      <c r="AL364" s="44">
        <v>96032</v>
      </c>
      <c r="AM364" s="44">
        <v>0.65200000000000002</v>
      </c>
      <c r="AN364" s="44">
        <v>0.56045644211288959</v>
      </c>
      <c r="AO364" s="44">
        <v>0.14399999999999999</v>
      </c>
      <c r="AP364" s="44">
        <v>0.7044564421128896</v>
      </c>
      <c r="AQ364" s="44">
        <v>0.79690000000000005</v>
      </c>
      <c r="AR364" s="44">
        <v>25.39</v>
      </c>
    </row>
    <row r="365" spans="1:44">
      <c r="A365" t="s">
        <v>1997</v>
      </c>
      <c r="B365" t="s">
        <v>955</v>
      </c>
      <c r="D365" t="s">
        <v>1639</v>
      </c>
      <c r="E365" s="44">
        <v>4629590</v>
      </c>
      <c r="F365" s="44">
        <v>54614723</v>
      </c>
      <c r="G365" s="44">
        <v>12649482</v>
      </c>
      <c r="H365" s="126">
        <v>67264205</v>
      </c>
      <c r="I365" s="127">
        <v>57876896</v>
      </c>
      <c r="J365" s="128">
        <v>3552803</v>
      </c>
      <c r="K365" s="130">
        <v>128693904</v>
      </c>
      <c r="L365" s="44">
        <v>997097</v>
      </c>
      <c r="M365" s="44">
        <v>1184799</v>
      </c>
      <c r="N365" s="44">
        <v>44460532</v>
      </c>
      <c r="O365" s="44">
        <v>2894067</v>
      </c>
      <c r="P365" s="44">
        <v>2925804</v>
      </c>
      <c r="Q365" s="44">
        <v>7097946</v>
      </c>
      <c r="R365" s="44">
        <v>54935</v>
      </c>
      <c r="S365" s="44">
        <v>282169</v>
      </c>
      <c r="T365" s="44">
        <v>8790337</v>
      </c>
      <c r="U365" s="44">
        <v>3180160</v>
      </c>
      <c r="V365" s="44">
        <v>0</v>
      </c>
      <c r="W365" s="44">
        <v>9233451</v>
      </c>
      <c r="X365" s="44">
        <v>4358237</v>
      </c>
      <c r="Y365" s="44">
        <v>16248242</v>
      </c>
      <c r="Z365" s="44">
        <v>10008492</v>
      </c>
      <c r="AA365" s="44">
        <v>1268700</v>
      </c>
      <c r="AB365" s="44">
        <v>842925</v>
      </c>
      <c r="AC365" s="44">
        <v>113827893</v>
      </c>
      <c r="AD365" s="44">
        <v>5495529</v>
      </c>
      <c r="AE365" s="44">
        <v>4039619</v>
      </c>
      <c r="AF365" s="44">
        <v>3377069</v>
      </c>
      <c r="AG365" s="44">
        <v>126740110</v>
      </c>
      <c r="AH365" s="44">
        <v>8024</v>
      </c>
      <c r="AI365" s="44">
        <v>16039</v>
      </c>
      <c r="AJ365" s="44">
        <v>15795</v>
      </c>
      <c r="AK365" s="44">
        <v>204942</v>
      </c>
      <c r="AL365" s="44">
        <v>99170</v>
      </c>
      <c r="AM365" s="44">
        <v>0.67500000000000004</v>
      </c>
      <c r="AN365" s="44">
        <v>0.5498334347350653</v>
      </c>
      <c r="AO365" s="44">
        <v>0.20499999999999999</v>
      </c>
      <c r="AP365" s="44">
        <v>0.75483343473506526</v>
      </c>
      <c r="AQ365" s="44">
        <v>0.84630000000000005</v>
      </c>
      <c r="AR365" s="44">
        <v>24.52</v>
      </c>
    </row>
    <row r="366" spans="1:44">
      <c r="A366" t="s">
        <v>956</v>
      </c>
      <c r="B366" t="s">
        <v>957</v>
      </c>
      <c r="D366" t="s">
        <v>1639</v>
      </c>
      <c r="E366" s="44">
        <v>58436</v>
      </c>
      <c r="F366" s="44">
        <v>2130692</v>
      </c>
      <c r="G366" s="44">
        <v>1404255</v>
      </c>
      <c r="H366" s="126">
        <v>3534947</v>
      </c>
      <c r="I366" s="127">
        <v>3304379</v>
      </c>
      <c r="J366" s="128">
        <v>185875</v>
      </c>
      <c r="K366" s="130">
        <v>7025201</v>
      </c>
      <c r="L366" s="44">
        <v>54755</v>
      </c>
      <c r="M366" s="44">
        <v>300188</v>
      </c>
      <c r="N366" s="44">
        <v>1762230</v>
      </c>
      <c r="O366" s="44">
        <v>49104</v>
      </c>
      <c r="P366" s="44">
        <v>101160</v>
      </c>
      <c r="Q366" s="44">
        <v>489054</v>
      </c>
      <c r="R366" s="44">
        <v>621397</v>
      </c>
      <c r="S366" s="44">
        <v>0</v>
      </c>
      <c r="T366" s="44">
        <v>544378</v>
      </c>
      <c r="U366" s="44">
        <v>259848</v>
      </c>
      <c r="V366" s="44">
        <v>22665</v>
      </c>
      <c r="W366" s="44">
        <v>416608</v>
      </c>
      <c r="X366" s="44">
        <v>213272</v>
      </c>
      <c r="Y366" s="44">
        <v>638178</v>
      </c>
      <c r="Z366" s="44">
        <v>280388</v>
      </c>
      <c r="AA366" s="44">
        <v>199473</v>
      </c>
      <c r="AB366" s="44">
        <v>250000</v>
      </c>
      <c r="AC366" s="44">
        <v>6202698</v>
      </c>
      <c r="AD366" s="44">
        <v>360263</v>
      </c>
      <c r="AE366" s="44">
        <v>90000</v>
      </c>
      <c r="AF366" s="44">
        <v>43188</v>
      </c>
      <c r="AG366" s="44">
        <v>6696149</v>
      </c>
      <c r="AH366" s="44">
        <v>479</v>
      </c>
      <c r="AI366" s="44">
        <v>14666</v>
      </c>
      <c r="AJ366" s="44">
        <v>13979</v>
      </c>
      <c r="AK366" s="44">
        <v>221105</v>
      </c>
      <c r="AL366" s="44">
        <v>80428</v>
      </c>
      <c r="AM366" s="44">
        <v>0.61899999999999999</v>
      </c>
      <c r="AN366" s="44">
        <v>0.57154806441732409</v>
      </c>
      <c r="AO366" s="44">
        <v>0.14499999999999999</v>
      </c>
      <c r="AP366" s="44">
        <v>0.7165480644173241</v>
      </c>
      <c r="AQ366" s="44">
        <v>0.78380000000000005</v>
      </c>
      <c r="AR366" s="44">
        <v>23.03</v>
      </c>
    </row>
    <row r="367" spans="1:44">
      <c r="A367" t="s">
        <v>958</v>
      </c>
      <c r="B367" t="s">
        <v>959</v>
      </c>
      <c r="D367" t="s">
        <v>1639</v>
      </c>
      <c r="E367" s="44">
        <v>859932</v>
      </c>
      <c r="F367" s="44">
        <v>6733708</v>
      </c>
      <c r="G367" s="44">
        <v>1767635</v>
      </c>
      <c r="H367" s="126">
        <v>8501343</v>
      </c>
      <c r="I367" s="127">
        <v>17421044</v>
      </c>
      <c r="J367" s="128">
        <v>447712</v>
      </c>
      <c r="K367" s="130">
        <v>26370099</v>
      </c>
      <c r="L367" s="44">
        <v>159118</v>
      </c>
      <c r="M367" s="44">
        <v>644649</v>
      </c>
      <c r="N367" s="44">
        <v>8112734</v>
      </c>
      <c r="O367" s="44">
        <v>510784</v>
      </c>
      <c r="P367" s="44">
        <v>869647</v>
      </c>
      <c r="Q367" s="44">
        <v>1075733</v>
      </c>
      <c r="R367" s="44">
        <v>3534</v>
      </c>
      <c r="S367" s="44">
        <v>0</v>
      </c>
      <c r="T367" s="44">
        <v>1863834</v>
      </c>
      <c r="U367" s="44">
        <v>1110714</v>
      </c>
      <c r="V367" s="44">
        <v>0</v>
      </c>
      <c r="W367" s="44">
        <v>2058285</v>
      </c>
      <c r="X367" s="44">
        <v>878868</v>
      </c>
      <c r="Y367" s="44">
        <v>2190801</v>
      </c>
      <c r="Z367" s="44">
        <v>1403203</v>
      </c>
      <c r="AA367" s="44">
        <v>444621</v>
      </c>
      <c r="AB367" s="44">
        <v>0</v>
      </c>
      <c r="AC367" s="44">
        <v>21326525</v>
      </c>
      <c r="AD367" s="44">
        <v>1196420</v>
      </c>
      <c r="AE367" s="44">
        <v>1960536</v>
      </c>
      <c r="AF367" s="44">
        <v>1359960</v>
      </c>
      <c r="AG367" s="44">
        <v>25843441</v>
      </c>
      <c r="AH367" s="44">
        <v>1687</v>
      </c>
      <c r="AI367" s="44">
        <v>15631</v>
      </c>
      <c r="AJ367" s="44">
        <v>15319</v>
      </c>
      <c r="AK367" s="44">
        <v>452670</v>
      </c>
      <c r="AL367" s="44">
        <v>150067</v>
      </c>
      <c r="AM367" s="44">
        <v>1.208</v>
      </c>
      <c r="AN367" s="44">
        <v>0.52419412724489745</v>
      </c>
      <c r="AO367" s="44">
        <v>0.14899999999999999</v>
      </c>
      <c r="AP367" s="44">
        <v>0.67319412724489747</v>
      </c>
      <c r="AQ367" s="44">
        <v>0.81620000000000004</v>
      </c>
      <c r="AR367" s="44">
        <v>16.170000000000002</v>
      </c>
    </row>
    <row r="368" spans="1:44">
      <c r="A368" t="s">
        <v>1999</v>
      </c>
      <c r="B368" t="s">
        <v>960</v>
      </c>
      <c r="D368" t="s">
        <v>1639</v>
      </c>
      <c r="E368" s="44">
        <v>0</v>
      </c>
      <c r="F368" s="44">
        <v>230073864</v>
      </c>
      <c r="G368" s="44">
        <v>8465929</v>
      </c>
      <c r="H368" s="126">
        <v>238539793</v>
      </c>
      <c r="I368" s="127">
        <v>71591734</v>
      </c>
      <c r="J368" s="128">
        <v>43769760</v>
      </c>
      <c r="K368" s="130">
        <v>353901287</v>
      </c>
      <c r="L368" s="44">
        <v>722265</v>
      </c>
      <c r="M368" s="44">
        <v>4633005</v>
      </c>
      <c r="N368" s="44">
        <v>136174475</v>
      </c>
      <c r="O368" s="44">
        <v>4626307</v>
      </c>
      <c r="P368" s="44">
        <v>9654292</v>
      </c>
      <c r="Q368" s="44">
        <v>1592802</v>
      </c>
      <c r="R368" s="44">
        <v>1658644</v>
      </c>
      <c r="S368" s="44">
        <v>1388773</v>
      </c>
      <c r="T368" s="44">
        <v>23480601</v>
      </c>
      <c r="U368" s="44">
        <v>25575769</v>
      </c>
      <c r="V368" s="44">
        <v>1898408</v>
      </c>
      <c r="W368" s="44">
        <v>23004517</v>
      </c>
      <c r="X368" s="44">
        <v>10778908</v>
      </c>
      <c r="Y368" s="44">
        <v>39687067</v>
      </c>
      <c r="Z368" s="44">
        <v>36337524</v>
      </c>
      <c r="AA368" s="44">
        <v>6326559</v>
      </c>
      <c r="AB368" s="44">
        <v>1854254</v>
      </c>
      <c r="AC368" s="44">
        <v>329394170</v>
      </c>
      <c r="AD368" s="44">
        <v>11558659</v>
      </c>
      <c r="AE368" s="44">
        <v>9627042</v>
      </c>
      <c r="AF368" s="44">
        <v>6865568</v>
      </c>
      <c r="AG368" s="44">
        <v>357445439</v>
      </c>
      <c r="AH368" s="44">
        <v>21657</v>
      </c>
      <c r="AI368" s="44">
        <v>16341</v>
      </c>
      <c r="AJ368" s="44">
        <v>16505</v>
      </c>
      <c r="AK368" s="44">
        <v>117909</v>
      </c>
      <c r="AL368" s="44">
        <v>49882</v>
      </c>
      <c r="AM368" s="44">
        <v>0.35799999999999998</v>
      </c>
      <c r="AN368" s="44">
        <v>0.57114076926296997</v>
      </c>
      <c r="AO368" s="44">
        <v>0.219</v>
      </c>
      <c r="AP368" s="44">
        <v>0.79014076926296994</v>
      </c>
      <c r="AQ368" s="44">
        <v>0.85740000000000005</v>
      </c>
      <c r="AR368" s="44">
        <v>19.559999999999999</v>
      </c>
    </row>
    <row r="369" spans="1:44">
      <c r="A369" t="s">
        <v>961</v>
      </c>
      <c r="B369" t="s">
        <v>962</v>
      </c>
      <c r="D369" t="s">
        <v>1639</v>
      </c>
      <c r="E369" s="44">
        <v>706538</v>
      </c>
      <c r="F369" s="44">
        <v>7365430</v>
      </c>
      <c r="G369" s="44">
        <v>1311414</v>
      </c>
      <c r="H369" s="126">
        <v>8676844</v>
      </c>
      <c r="I369" s="127">
        <v>6856958</v>
      </c>
      <c r="J369" s="128">
        <v>456070</v>
      </c>
      <c r="K369" s="130">
        <v>15989872</v>
      </c>
      <c r="L369" s="44">
        <v>79887</v>
      </c>
      <c r="M369" s="44">
        <v>365062</v>
      </c>
      <c r="N369" s="44">
        <v>5141588</v>
      </c>
      <c r="O369" s="44">
        <v>192635</v>
      </c>
      <c r="P369" s="44">
        <v>328387</v>
      </c>
      <c r="Q369" s="44">
        <v>1477997</v>
      </c>
      <c r="R369" s="44">
        <v>0</v>
      </c>
      <c r="S369" s="44">
        <v>0</v>
      </c>
      <c r="T369" s="44">
        <v>743782</v>
      </c>
      <c r="U369" s="44">
        <v>517223</v>
      </c>
      <c r="V369" s="44">
        <v>0</v>
      </c>
      <c r="W369" s="44">
        <v>1309585</v>
      </c>
      <c r="X369" s="44">
        <v>547108</v>
      </c>
      <c r="Y369" s="44">
        <v>1623509</v>
      </c>
      <c r="Z369" s="44">
        <v>820387</v>
      </c>
      <c r="AA369" s="44">
        <v>241798</v>
      </c>
      <c r="AB369" s="44">
        <v>0</v>
      </c>
      <c r="AC369" s="44">
        <v>13388948</v>
      </c>
      <c r="AD369" s="44">
        <v>858137</v>
      </c>
      <c r="AE369" s="44">
        <v>1055000</v>
      </c>
      <c r="AF369" s="44">
        <v>707954</v>
      </c>
      <c r="AG369" s="44">
        <v>16010039</v>
      </c>
      <c r="AH369" s="44">
        <v>1208</v>
      </c>
      <c r="AI369" s="44">
        <v>13237</v>
      </c>
      <c r="AJ369" s="44">
        <v>13253</v>
      </c>
      <c r="AK369" s="44">
        <v>212968</v>
      </c>
      <c r="AL369" s="44">
        <v>82170</v>
      </c>
      <c r="AM369" s="44">
        <v>0.61499999999999999</v>
      </c>
      <c r="AN369" s="44">
        <v>0.52477148868906565</v>
      </c>
      <c r="AO369" s="44">
        <v>0.154</v>
      </c>
      <c r="AP369" s="44">
        <v>0.67877148868906567</v>
      </c>
      <c r="AQ369" s="44">
        <v>0.81210000000000004</v>
      </c>
      <c r="AR369" s="44">
        <v>20.87</v>
      </c>
    </row>
    <row r="370" spans="1:44">
      <c r="A370" t="s">
        <v>963</v>
      </c>
      <c r="B370" t="s">
        <v>964</v>
      </c>
      <c r="D370" t="s">
        <v>1639</v>
      </c>
      <c r="E370" s="44">
        <v>2117682</v>
      </c>
      <c r="F370" s="44">
        <v>22644494</v>
      </c>
      <c r="G370" s="44">
        <v>3704067</v>
      </c>
      <c r="H370" s="126">
        <v>26348561</v>
      </c>
      <c r="I370" s="127">
        <v>28323163</v>
      </c>
      <c r="J370" s="128">
        <v>2662266</v>
      </c>
      <c r="K370" s="130">
        <v>57333990</v>
      </c>
      <c r="L370" s="44">
        <v>305874</v>
      </c>
      <c r="M370" s="44">
        <v>931901</v>
      </c>
      <c r="N370" s="44">
        <v>19914756</v>
      </c>
      <c r="O370" s="44">
        <v>1279930</v>
      </c>
      <c r="P370" s="44">
        <v>1676027</v>
      </c>
      <c r="Q370" s="44">
        <v>3785043</v>
      </c>
      <c r="R370" s="44">
        <v>1056919</v>
      </c>
      <c r="S370" s="44">
        <v>0</v>
      </c>
      <c r="T370" s="44">
        <v>3335709</v>
      </c>
      <c r="U370" s="44">
        <v>2569712</v>
      </c>
      <c r="V370" s="44">
        <v>80532</v>
      </c>
      <c r="W370" s="44">
        <v>3228895</v>
      </c>
      <c r="X370" s="44">
        <v>2025534</v>
      </c>
      <c r="Y370" s="44">
        <v>4732171</v>
      </c>
      <c r="Z370" s="44">
        <v>3517152</v>
      </c>
      <c r="AA370" s="44">
        <v>876267</v>
      </c>
      <c r="AB370" s="44">
        <v>0</v>
      </c>
      <c r="AC370" s="44">
        <v>49316422</v>
      </c>
      <c r="AD370" s="44">
        <v>2308814</v>
      </c>
      <c r="AE370" s="44">
        <v>2245419</v>
      </c>
      <c r="AF370" s="44">
        <v>1233765</v>
      </c>
      <c r="AG370" s="44">
        <v>55104420</v>
      </c>
      <c r="AH370" s="44">
        <v>4132</v>
      </c>
      <c r="AI370" s="44">
        <v>13876</v>
      </c>
      <c r="AJ370" s="44">
        <v>13336</v>
      </c>
      <c r="AK370" s="44">
        <v>267936</v>
      </c>
      <c r="AL370" s="44">
        <v>91110</v>
      </c>
      <c r="AM370" s="44">
        <v>0.72399999999999998</v>
      </c>
      <c r="AN370" s="44">
        <v>0.61007984477470223</v>
      </c>
      <c r="AO370" s="44">
        <v>0.158</v>
      </c>
      <c r="AP370" s="44">
        <v>0.76807984477470226</v>
      </c>
      <c r="AQ370" s="44">
        <v>0.85550000000000004</v>
      </c>
      <c r="AR370" s="44">
        <v>18.010000000000002</v>
      </c>
    </row>
    <row r="371" spans="1:44">
      <c r="A371" t="s">
        <v>965</v>
      </c>
      <c r="B371" t="s">
        <v>966</v>
      </c>
      <c r="D371" t="s">
        <v>1639</v>
      </c>
      <c r="E371" s="44">
        <v>587235</v>
      </c>
      <c r="F371" s="44">
        <v>8202379</v>
      </c>
      <c r="G371" s="44">
        <v>1537435</v>
      </c>
      <c r="H371" s="126">
        <v>9739814</v>
      </c>
      <c r="I371" s="127">
        <v>7722323</v>
      </c>
      <c r="J371" s="128">
        <v>830427</v>
      </c>
      <c r="K371" s="130">
        <v>18292564</v>
      </c>
      <c r="L371" s="44">
        <v>74114</v>
      </c>
      <c r="M371" s="44">
        <v>402832</v>
      </c>
      <c r="N371" s="44">
        <v>5257323</v>
      </c>
      <c r="O371" s="44">
        <v>341071</v>
      </c>
      <c r="P371" s="44">
        <v>544537</v>
      </c>
      <c r="Q371" s="44">
        <v>1462371</v>
      </c>
      <c r="R371" s="44">
        <v>46093</v>
      </c>
      <c r="S371" s="44">
        <v>28484</v>
      </c>
      <c r="T371" s="44">
        <v>1187129</v>
      </c>
      <c r="U371" s="44">
        <v>946243</v>
      </c>
      <c r="V371" s="44">
        <v>0</v>
      </c>
      <c r="W371" s="44">
        <v>1059491</v>
      </c>
      <c r="X371" s="44">
        <v>505513</v>
      </c>
      <c r="Y371" s="44">
        <v>1264607</v>
      </c>
      <c r="Z371" s="44">
        <v>1011384</v>
      </c>
      <c r="AA371" s="44">
        <v>377004</v>
      </c>
      <c r="AB371" s="44">
        <v>145676</v>
      </c>
      <c r="AC371" s="44">
        <v>14653872</v>
      </c>
      <c r="AD371" s="44">
        <v>738319</v>
      </c>
      <c r="AE371" s="44">
        <v>1507389</v>
      </c>
      <c r="AF371" s="44">
        <v>697475</v>
      </c>
      <c r="AG371" s="44">
        <v>17597055</v>
      </c>
      <c r="AH371" s="44">
        <v>1106</v>
      </c>
      <c r="AI371" s="44">
        <v>16539</v>
      </c>
      <c r="AJ371" s="44">
        <v>15911</v>
      </c>
      <c r="AK371" s="44">
        <v>223681</v>
      </c>
      <c r="AL371" s="44">
        <v>94025</v>
      </c>
      <c r="AM371" s="44">
        <v>0.67700000000000005</v>
      </c>
      <c r="AN371" s="44">
        <v>0.55766439327489747</v>
      </c>
      <c r="AO371" s="44">
        <v>0.13300000000000001</v>
      </c>
      <c r="AP371" s="44">
        <v>0.69066439327489748</v>
      </c>
      <c r="AQ371" s="44">
        <v>0.83579999999999999</v>
      </c>
      <c r="AR371" s="44">
        <v>22.74</v>
      </c>
    </row>
    <row r="372" spans="1:44">
      <c r="A372" t="s">
        <v>967</v>
      </c>
      <c r="B372" t="s">
        <v>968</v>
      </c>
      <c r="D372" t="s">
        <v>1639</v>
      </c>
      <c r="E372" s="44">
        <v>1456244</v>
      </c>
      <c r="F372" s="44">
        <v>20709717</v>
      </c>
      <c r="G372" s="44">
        <v>3059537</v>
      </c>
      <c r="H372" s="126">
        <v>23769254</v>
      </c>
      <c r="I372" s="127">
        <v>13676174</v>
      </c>
      <c r="J372" s="128">
        <v>3626506</v>
      </c>
      <c r="K372" s="130">
        <v>41071934</v>
      </c>
      <c r="L372" s="44">
        <v>160894</v>
      </c>
      <c r="M372" s="44">
        <v>717487</v>
      </c>
      <c r="N372" s="44">
        <v>11396115</v>
      </c>
      <c r="O372" s="44">
        <v>628611</v>
      </c>
      <c r="P372" s="44">
        <v>919941</v>
      </c>
      <c r="Q372" s="44">
        <v>5040716</v>
      </c>
      <c r="R372" s="44">
        <v>0</v>
      </c>
      <c r="S372" s="44">
        <v>221226</v>
      </c>
      <c r="T372" s="44">
        <v>2978743</v>
      </c>
      <c r="U372" s="44">
        <v>2408495</v>
      </c>
      <c r="V372" s="44">
        <v>0</v>
      </c>
      <c r="W372" s="44">
        <v>2876055</v>
      </c>
      <c r="X372" s="44">
        <v>1183812</v>
      </c>
      <c r="Y372" s="44">
        <v>3835769</v>
      </c>
      <c r="Z372" s="44">
        <v>2134194</v>
      </c>
      <c r="AA372" s="44">
        <v>1207262</v>
      </c>
      <c r="AB372" s="44">
        <v>0</v>
      </c>
      <c r="AC372" s="44">
        <v>35709320</v>
      </c>
      <c r="AD372" s="44">
        <v>1415814</v>
      </c>
      <c r="AE372" s="44">
        <v>2190000</v>
      </c>
      <c r="AF372" s="44">
        <v>1783513</v>
      </c>
      <c r="AG372" s="44">
        <v>41098647</v>
      </c>
      <c r="AH372" s="44">
        <v>2489</v>
      </c>
      <c r="AI372" s="44">
        <v>16501</v>
      </c>
      <c r="AJ372" s="44">
        <v>16512</v>
      </c>
      <c r="AK372" s="44">
        <v>188340</v>
      </c>
      <c r="AL372" s="44">
        <v>75797</v>
      </c>
      <c r="AM372" s="44">
        <v>0.55699999999999994</v>
      </c>
      <c r="AN372" s="44">
        <v>0.57407843620740118</v>
      </c>
      <c r="AO372" s="44">
        <v>0.153</v>
      </c>
      <c r="AP372" s="44">
        <v>0.7270784362074012</v>
      </c>
      <c r="AQ372" s="44">
        <v>0.83640000000000003</v>
      </c>
      <c r="AR372" s="44">
        <v>20.75</v>
      </c>
    </row>
    <row r="373" spans="1:44">
      <c r="A373" t="s">
        <v>969</v>
      </c>
      <c r="B373" t="s">
        <v>970</v>
      </c>
      <c r="D373" t="s">
        <v>1639</v>
      </c>
      <c r="E373" s="44">
        <v>1284137</v>
      </c>
      <c r="F373" s="44">
        <v>13164431</v>
      </c>
      <c r="G373" s="44">
        <v>1721124</v>
      </c>
      <c r="H373" s="126">
        <v>14885555</v>
      </c>
      <c r="I373" s="127">
        <v>10712167</v>
      </c>
      <c r="J373" s="128">
        <v>928872</v>
      </c>
      <c r="K373" s="130">
        <v>26526594</v>
      </c>
      <c r="L373" s="44">
        <v>143607</v>
      </c>
      <c r="M373" s="44">
        <v>361222</v>
      </c>
      <c r="N373" s="44">
        <v>7976832</v>
      </c>
      <c r="O373" s="44">
        <v>309218</v>
      </c>
      <c r="P373" s="44">
        <v>335013</v>
      </c>
      <c r="Q373" s="44">
        <v>3029510</v>
      </c>
      <c r="R373" s="44">
        <v>0</v>
      </c>
      <c r="S373" s="44">
        <v>0</v>
      </c>
      <c r="T373" s="44">
        <v>1597110</v>
      </c>
      <c r="U373" s="44">
        <v>1131000</v>
      </c>
      <c r="V373" s="44">
        <v>20740</v>
      </c>
      <c r="W373" s="44">
        <v>1969119</v>
      </c>
      <c r="X373" s="44">
        <v>819629</v>
      </c>
      <c r="Y373" s="44">
        <v>2198398</v>
      </c>
      <c r="Z373" s="44">
        <v>1513606</v>
      </c>
      <c r="AA373" s="44">
        <v>630504</v>
      </c>
      <c r="AB373" s="44">
        <v>100000</v>
      </c>
      <c r="AC373" s="44">
        <v>22135508</v>
      </c>
      <c r="AD373" s="44">
        <v>1304785</v>
      </c>
      <c r="AE373" s="44">
        <v>1531469</v>
      </c>
      <c r="AF373" s="44">
        <v>861894</v>
      </c>
      <c r="AG373" s="44">
        <v>25833656</v>
      </c>
      <c r="AH373" s="44">
        <v>1538</v>
      </c>
      <c r="AI373" s="44">
        <v>17247</v>
      </c>
      <c r="AJ373" s="44">
        <v>16797</v>
      </c>
      <c r="AK373" s="44">
        <v>310483</v>
      </c>
      <c r="AL373" s="44">
        <v>77891</v>
      </c>
      <c r="AM373" s="44">
        <v>0.72499999999999998</v>
      </c>
      <c r="AN373" s="44">
        <v>0.55658722869113064</v>
      </c>
      <c r="AO373" s="44">
        <v>0.14499999999999999</v>
      </c>
      <c r="AP373" s="44">
        <v>0.70158722869113066</v>
      </c>
      <c r="AQ373" s="44">
        <v>0.81889999999999996</v>
      </c>
      <c r="AR373" s="44">
        <v>16.75</v>
      </c>
    </row>
    <row r="374" spans="1:44">
      <c r="A374" t="s">
        <v>971</v>
      </c>
      <c r="B374" t="s">
        <v>972</v>
      </c>
      <c r="D374" t="s">
        <v>1639</v>
      </c>
      <c r="E374" s="44">
        <v>423405</v>
      </c>
      <c r="F374" s="44">
        <v>6804661</v>
      </c>
      <c r="G374" s="44">
        <v>1595840</v>
      </c>
      <c r="H374" s="126">
        <v>8400501</v>
      </c>
      <c r="I374" s="127">
        <v>5520484</v>
      </c>
      <c r="J374" s="128">
        <v>457916</v>
      </c>
      <c r="K374" s="130">
        <v>14378901</v>
      </c>
      <c r="L374" s="44">
        <v>55432</v>
      </c>
      <c r="M374" s="44">
        <v>329161</v>
      </c>
      <c r="N374" s="44">
        <v>4278166</v>
      </c>
      <c r="O374" s="44">
        <v>214836</v>
      </c>
      <c r="P374" s="44">
        <v>358272</v>
      </c>
      <c r="Q374" s="44">
        <v>1265011</v>
      </c>
      <c r="R374" s="44">
        <v>82244</v>
      </c>
      <c r="S374" s="44">
        <v>0</v>
      </c>
      <c r="T374" s="44">
        <v>881122</v>
      </c>
      <c r="U374" s="44">
        <v>538508</v>
      </c>
      <c r="V374" s="44">
        <v>0</v>
      </c>
      <c r="W374" s="44">
        <v>1202887</v>
      </c>
      <c r="X374" s="44">
        <v>430573</v>
      </c>
      <c r="Y374" s="44">
        <v>1029340</v>
      </c>
      <c r="Z374" s="44">
        <v>701650</v>
      </c>
      <c r="AA374" s="44">
        <v>261572</v>
      </c>
      <c r="AB374" s="44">
        <v>78654</v>
      </c>
      <c r="AC374" s="44">
        <v>11707428</v>
      </c>
      <c r="AD374" s="44">
        <v>485293</v>
      </c>
      <c r="AE374" s="44">
        <v>1100000</v>
      </c>
      <c r="AF374" s="44">
        <v>403164</v>
      </c>
      <c r="AG374" s="44">
        <v>13695885</v>
      </c>
      <c r="AH374" s="44">
        <v>907</v>
      </c>
      <c r="AI374" s="44">
        <v>15853</v>
      </c>
      <c r="AJ374" s="44">
        <v>15100</v>
      </c>
      <c r="AK374" s="44">
        <v>188905</v>
      </c>
      <c r="AL374" s="44">
        <v>83972</v>
      </c>
      <c r="AM374" s="44">
        <v>0.59099999999999997</v>
      </c>
      <c r="AN374" s="44">
        <v>0.55623707412847001</v>
      </c>
      <c r="AO374" s="44">
        <v>0.13500000000000001</v>
      </c>
      <c r="AP374" s="44">
        <v>0.69123707412847002</v>
      </c>
      <c r="AQ374" s="44">
        <v>0.81299999999999994</v>
      </c>
      <c r="AR374" s="44">
        <v>25.33</v>
      </c>
    </row>
    <row r="375" spans="1:44">
      <c r="A375" t="s">
        <v>973</v>
      </c>
      <c r="B375" t="s">
        <v>974</v>
      </c>
      <c r="D375" t="s">
        <v>1639</v>
      </c>
      <c r="E375" s="44">
        <v>497564</v>
      </c>
      <c r="F375" s="44">
        <v>5122902</v>
      </c>
      <c r="G375" s="44">
        <v>1004606</v>
      </c>
      <c r="H375" s="126">
        <v>6127508</v>
      </c>
      <c r="I375" s="127">
        <v>7536338</v>
      </c>
      <c r="J375" s="128">
        <v>535076</v>
      </c>
      <c r="K375" s="130">
        <v>14198922</v>
      </c>
      <c r="L375" s="44">
        <v>167069</v>
      </c>
      <c r="M375" s="44">
        <v>346088</v>
      </c>
      <c r="N375" s="44">
        <v>4731837</v>
      </c>
      <c r="O375" s="44">
        <v>224190</v>
      </c>
      <c r="P375" s="44">
        <v>305234</v>
      </c>
      <c r="Q375" s="44">
        <v>1108051</v>
      </c>
      <c r="R375" s="44">
        <v>0</v>
      </c>
      <c r="S375" s="44">
        <v>0</v>
      </c>
      <c r="T375" s="44">
        <v>1195859</v>
      </c>
      <c r="U375" s="44">
        <v>737608</v>
      </c>
      <c r="V375" s="44">
        <v>3085</v>
      </c>
      <c r="W375" s="44">
        <v>876945</v>
      </c>
      <c r="X375" s="44">
        <v>499783</v>
      </c>
      <c r="Y375" s="44">
        <v>1973692</v>
      </c>
      <c r="Z375" s="44">
        <v>761446</v>
      </c>
      <c r="AA375" s="44">
        <v>282555</v>
      </c>
      <c r="AB375" s="44">
        <v>0</v>
      </c>
      <c r="AC375" s="44">
        <v>13213442</v>
      </c>
      <c r="AD375" s="44">
        <v>554469</v>
      </c>
      <c r="AE375" s="44">
        <v>550291</v>
      </c>
      <c r="AF375" s="44">
        <v>140644</v>
      </c>
      <c r="AG375" s="44">
        <v>14458846</v>
      </c>
      <c r="AH375" s="44">
        <v>867</v>
      </c>
      <c r="AI375" s="44">
        <v>16377</v>
      </c>
      <c r="AJ375" s="44">
        <v>16677</v>
      </c>
      <c r="AK375" s="44">
        <v>363994</v>
      </c>
      <c r="AL375" s="44">
        <v>83494</v>
      </c>
      <c r="AM375" s="44">
        <v>0.81800000000000006</v>
      </c>
      <c r="AN375" s="44">
        <v>0.57423524671332693</v>
      </c>
      <c r="AO375" s="44">
        <v>0.19500000000000001</v>
      </c>
      <c r="AP375" s="44">
        <v>0.76923524671332699</v>
      </c>
      <c r="AQ375" s="44">
        <v>0.84140000000000004</v>
      </c>
      <c r="AR375" s="44">
        <v>14.59</v>
      </c>
    </row>
    <row r="376" spans="1:44">
      <c r="A376" t="s">
        <v>975</v>
      </c>
      <c r="B376" t="s">
        <v>976</v>
      </c>
      <c r="D376" t="s">
        <v>1639</v>
      </c>
      <c r="E376" s="44">
        <v>1696354</v>
      </c>
      <c r="F376" s="44">
        <v>19013472</v>
      </c>
      <c r="G376" s="44">
        <v>2705151</v>
      </c>
      <c r="H376" s="126">
        <v>21718623</v>
      </c>
      <c r="I376" s="127">
        <v>10078684</v>
      </c>
      <c r="J376" s="128">
        <v>890114</v>
      </c>
      <c r="K376" s="130">
        <v>32687421</v>
      </c>
      <c r="L376" s="44">
        <v>170810</v>
      </c>
      <c r="M376" s="44">
        <v>511530</v>
      </c>
      <c r="N376" s="44">
        <v>8589254</v>
      </c>
      <c r="O376" s="44">
        <v>433278</v>
      </c>
      <c r="P376" s="44">
        <v>573871</v>
      </c>
      <c r="Q376" s="44">
        <v>2960792</v>
      </c>
      <c r="R376" s="44">
        <v>167999</v>
      </c>
      <c r="S376" s="44">
        <v>0</v>
      </c>
      <c r="T376" s="44">
        <v>1507751</v>
      </c>
      <c r="U376" s="44">
        <v>1224735</v>
      </c>
      <c r="V376" s="44">
        <v>75626</v>
      </c>
      <c r="W376" s="44">
        <v>1807205</v>
      </c>
      <c r="X376" s="44">
        <v>883575</v>
      </c>
      <c r="Y376" s="44">
        <v>3898022</v>
      </c>
      <c r="Z376" s="44">
        <v>1453298</v>
      </c>
      <c r="AA376" s="44">
        <v>617631</v>
      </c>
      <c r="AB376" s="44">
        <v>484055</v>
      </c>
      <c r="AC376" s="44">
        <v>25359432</v>
      </c>
      <c r="AD376" s="44">
        <v>1296573</v>
      </c>
      <c r="AE376" s="44">
        <v>2835000</v>
      </c>
      <c r="AF376" s="44">
        <v>2018713</v>
      </c>
      <c r="AG376" s="44">
        <v>31509718</v>
      </c>
      <c r="AH376" s="44">
        <v>1941</v>
      </c>
      <c r="AI376" s="44">
        <v>16841</v>
      </c>
      <c r="AJ376" s="44">
        <v>16234</v>
      </c>
      <c r="AK376" s="44">
        <v>170017</v>
      </c>
      <c r="AL376" s="44">
        <v>71856</v>
      </c>
      <c r="AM376" s="44">
        <v>0.51600000000000001</v>
      </c>
      <c r="AN376" s="44">
        <v>0.49056865567632185</v>
      </c>
      <c r="AO376" s="44">
        <v>0.16500000000000001</v>
      </c>
      <c r="AP376" s="44">
        <v>0.65556865567632183</v>
      </c>
      <c r="AQ376" s="44">
        <v>0.82789999999999997</v>
      </c>
      <c r="AR376" s="44">
        <v>21.88</v>
      </c>
    </row>
    <row r="377" spans="1:44">
      <c r="A377" t="s">
        <v>977</v>
      </c>
      <c r="B377" t="s">
        <v>978</v>
      </c>
      <c r="D377" t="s">
        <v>1639</v>
      </c>
      <c r="E377" s="44">
        <v>803886</v>
      </c>
      <c r="F377" s="44">
        <v>6797063</v>
      </c>
      <c r="G377" s="44">
        <v>1223526</v>
      </c>
      <c r="H377" s="126">
        <v>8020589</v>
      </c>
      <c r="I377" s="127">
        <v>7201186</v>
      </c>
      <c r="J377" s="128">
        <v>481317</v>
      </c>
      <c r="K377" s="130">
        <v>15703092</v>
      </c>
      <c r="L377" s="44">
        <v>149990</v>
      </c>
      <c r="M377" s="44">
        <v>333476</v>
      </c>
      <c r="N377" s="44">
        <v>5355061</v>
      </c>
      <c r="O377" s="44">
        <v>173805</v>
      </c>
      <c r="P377" s="44">
        <v>323218</v>
      </c>
      <c r="Q377" s="44">
        <v>1200278</v>
      </c>
      <c r="R377" s="44">
        <v>1171</v>
      </c>
      <c r="S377" s="44">
        <v>77658</v>
      </c>
      <c r="T377" s="44">
        <v>668944</v>
      </c>
      <c r="U377" s="44">
        <v>532736</v>
      </c>
      <c r="V377" s="44">
        <v>0</v>
      </c>
      <c r="W377" s="44">
        <v>894794</v>
      </c>
      <c r="X377" s="44">
        <v>523921</v>
      </c>
      <c r="Y377" s="44">
        <v>1447586</v>
      </c>
      <c r="Z377" s="44">
        <v>794843</v>
      </c>
      <c r="AA377" s="44">
        <v>332895</v>
      </c>
      <c r="AB377" s="44">
        <v>0</v>
      </c>
      <c r="AC377" s="44">
        <v>12810376</v>
      </c>
      <c r="AD377" s="44">
        <v>720210</v>
      </c>
      <c r="AE377" s="44">
        <v>1101000</v>
      </c>
      <c r="AF377" s="44">
        <v>565336</v>
      </c>
      <c r="AG377" s="44">
        <v>15196922</v>
      </c>
      <c r="AH377" s="44">
        <v>1043</v>
      </c>
      <c r="AI377" s="44">
        <v>15056</v>
      </c>
      <c r="AJ377" s="44">
        <v>14570</v>
      </c>
      <c r="AK377" s="44">
        <v>300262</v>
      </c>
      <c r="AL377" s="44">
        <v>84771</v>
      </c>
      <c r="AM377" s="44">
        <v>0.73899999999999999</v>
      </c>
      <c r="AN377" s="44">
        <v>0.54832623343069076</v>
      </c>
      <c r="AO377" s="44">
        <v>0.155</v>
      </c>
      <c r="AP377" s="44">
        <v>0.70332623343069078</v>
      </c>
      <c r="AQ377" s="44">
        <v>0.83420000000000005</v>
      </c>
      <c r="AR377" s="44">
        <v>16.239999999999998</v>
      </c>
    </row>
    <row r="378" spans="1:44">
      <c r="A378" t="s">
        <v>979</v>
      </c>
      <c r="B378" t="s">
        <v>980</v>
      </c>
      <c r="D378" t="s">
        <v>1639</v>
      </c>
      <c r="E378" s="44">
        <v>1545990</v>
      </c>
      <c r="F378" s="44">
        <v>15446043</v>
      </c>
      <c r="G378" s="44">
        <v>3693490</v>
      </c>
      <c r="H378" s="126">
        <v>19139533</v>
      </c>
      <c r="I378" s="127">
        <v>30194899</v>
      </c>
      <c r="J378" s="128">
        <v>1311653</v>
      </c>
      <c r="K378" s="130">
        <v>50646085</v>
      </c>
      <c r="L378" s="44">
        <v>295989</v>
      </c>
      <c r="M378" s="44">
        <v>692136</v>
      </c>
      <c r="N378" s="44">
        <v>16252619</v>
      </c>
      <c r="O378" s="44">
        <v>996232</v>
      </c>
      <c r="P378" s="44">
        <v>1257672</v>
      </c>
      <c r="Q378" s="44">
        <v>1701663</v>
      </c>
      <c r="R378" s="44">
        <v>78922</v>
      </c>
      <c r="S378" s="44">
        <v>309071</v>
      </c>
      <c r="T378" s="44">
        <v>2998659</v>
      </c>
      <c r="U378" s="44">
        <v>2395933</v>
      </c>
      <c r="V378" s="44">
        <v>13648</v>
      </c>
      <c r="W378" s="44">
        <v>3381675</v>
      </c>
      <c r="X378" s="44">
        <v>1660503</v>
      </c>
      <c r="Y378" s="44">
        <v>4441576</v>
      </c>
      <c r="Z378" s="44">
        <v>2649558</v>
      </c>
      <c r="AA378" s="44">
        <v>863385</v>
      </c>
      <c r="AB378" s="44">
        <v>0</v>
      </c>
      <c r="AC378" s="44">
        <v>39989241</v>
      </c>
      <c r="AD378" s="44">
        <v>2275196</v>
      </c>
      <c r="AE378" s="44">
        <v>3783632</v>
      </c>
      <c r="AF378" s="44">
        <v>2047368</v>
      </c>
      <c r="AG378" s="44">
        <v>48095437</v>
      </c>
      <c r="AH378" s="44">
        <v>3764</v>
      </c>
      <c r="AI378" s="44">
        <v>13455</v>
      </c>
      <c r="AJ378" s="44">
        <v>12778</v>
      </c>
      <c r="AK378" s="44">
        <v>321318</v>
      </c>
      <c r="AL378" s="44">
        <v>123382</v>
      </c>
      <c r="AM378" s="44">
        <v>0.92599999999999993</v>
      </c>
      <c r="AN378" s="44">
        <v>0.54039993440541978</v>
      </c>
      <c r="AO378" s="44">
        <v>0.156</v>
      </c>
      <c r="AP378" s="44">
        <v>0.69639993440541981</v>
      </c>
      <c r="AQ378" s="44">
        <v>0.83779999999999999</v>
      </c>
      <c r="AR378" s="44">
        <v>19.59</v>
      </c>
    </row>
    <row r="379" spans="1:44">
      <c r="A379" t="s">
        <v>981</v>
      </c>
      <c r="B379" t="s">
        <v>982</v>
      </c>
      <c r="D379" t="s">
        <v>1639</v>
      </c>
      <c r="E379" s="44">
        <v>3287349</v>
      </c>
      <c r="F379" s="44">
        <v>26764995</v>
      </c>
      <c r="G379" s="44">
        <v>5654326</v>
      </c>
      <c r="H379" s="126">
        <v>32419321</v>
      </c>
      <c r="I379" s="127">
        <v>41649460</v>
      </c>
      <c r="J379" s="128">
        <v>1615145</v>
      </c>
      <c r="K379" s="130">
        <v>75683926</v>
      </c>
      <c r="L379" s="44">
        <v>185966</v>
      </c>
      <c r="M379" s="44">
        <v>1009776</v>
      </c>
      <c r="N379" s="44">
        <v>22845452</v>
      </c>
      <c r="O379" s="44">
        <v>1716573</v>
      </c>
      <c r="P379" s="44">
        <v>1903114</v>
      </c>
      <c r="Q379" s="44">
        <v>4137586</v>
      </c>
      <c r="R379" s="44">
        <v>130244</v>
      </c>
      <c r="S379" s="44">
        <v>738619</v>
      </c>
      <c r="T379" s="44">
        <v>5315606</v>
      </c>
      <c r="U379" s="44">
        <v>2027908</v>
      </c>
      <c r="V379" s="44">
        <v>0</v>
      </c>
      <c r="W379" s="44">
        <v>4194305</v>
      </c>
      <c r="X379" s="44">
        <v>2424568</v>
      </c>
      <c r="Y379" s="44">
        <v>10888839</v>
      </c>
      <c r="Z379" s="44">
        <v>4758663</v>
      </c>
      <c r="AA379" s="44">
        <v>1119490</v>
      </c>
      <c r="AB379" s="44">
        <v>259442</v>
      </c>
      <c r="AC379" s="44">
        <v>63656151</v>
      </c>
      <c r="AD379" s="44">
        <v>3731183</v>
      </c>
      <c r="AE379" s="44">
        <v>3179425</v>
      </c>
      <c r="AF379" s="44">
        <v>1452813</v>
      </c>
      <c r="AG379" s="44">
        <v>72019572</v>
      </c>
      <c r="AH379" s="44">
        <v>4728</v>
      </c>
      <c r="AI379" s="44">
        <v>16008</v>
      </c>
      <c r="AJ379" s="44">
        <v>15233</v>
      </c>
      <c r="AK379" s="44">
        <v>303181</v>
      </c>
      <c r="AL379" s="44">
        <v>95351</v>
      </c>
      <c r="AM379" s="44">
        <v>0.78700000000000003</v>
      </c>
      <c r="AN379" s="44">
        <v>0.53895213373386885</v>
      </c>
      <c r="AO379" s="44">
        <v>0.21299999999999999</v>
      </c>
      <c r="AP379" s="44">
        <v>0.75195213373386882</v>
      </c>
      <c r="AQ379" s="44">
        <v>0.85050000000000003</v>
      </c>
      <c r="AR379" s="44">
        <v>18.22</v>
      </c>
    </row>
    <row r="380" spans="1:44">
      <c r="A380" t="s">
        <v>983</v>
      </c>
      <c r="B380" t="s">
        <v>984</v>
      </c>
      <c r="D380" t="s">
        <v>1639</v>
      </c>
      <c r="E380" s="44">
        <v>1614432</v>
      </c>
      <c r="F380" s="44">
        <v>5516102</v>
      </c>
      <c r="G380" s="44">
        <v>1434633</v>
      </c>
      <c r="H380" s="126">
        <v>6950735</v>
      </c>
      <c r="I380" s="127">
        <v>12425287</v>
      </c>
      <c r="J380" s="128">
        <v>399699</v>
      </c>
      <c r="K380" s="130">
        <v>19775721</v>
      </c>
      <c r="L380" s="44">
        <v>77913</v>
      </c>
      <c r="M380" s="44">
        <v>408672</v>
      </c>
      <c r="N380" s="44">
        <v>4738345</v>
      </c>
      <c r="O380" s="44">
        <v>309636</v>
      </c>
      <c r="P380" s="44">
        <v>407351</v>
      </c>
      <c r="Q380" s="44">
        <v>2541815</v>
      </c>
      <c r="R380" s="44">
        <v>0</v>
      </c>
      <c r="S380" s="44">
        <v>458980</v>
      </c>
      <c r="T380" s="44">
        <v>1052891</v>
      </c>
      <c r="U380" s="44">
        <v>802276</v>
      </c>
      <c r="V380" s="44">
        <v>0</v>
      </c>
      <c r="W380" s="44">
        <v>1205284</v>
      </c>
      <c r="X380" s="44">
        <v>490844</v>
      </c>
      <c r="Y380" s="44">
        <v>2084081</v>
      </c>
      <c r="Z380" s="44">
        <v>871551</v>
      </c>
      <c r="AA380" s="44">
        <v>281714</v>
      </c>
      <c r="AB380" s="44">
        <v>0</v>
      </c>
      <c r="AC380" s="44">
        <v>15731353</v>
      </c>
      <c r="AD380" s="44">
        <v>1532977</v>
      </c>
      <c r="AE380" s="44">
        <v>645000</v>
      </c>
      <c r="AF380" s="44">
        <v>1345738</v>
      </c>
      <c r="AG380" s="44">
        <v>19255068</v>
      </c>
      <c r="AH380" s="44">
        <v>1062</v>
      </c>
      <c r="AI380" s="44">
        <v>18621</v>
      </c>
      <c r="AJ380" s="44">
        <v>18131</v>
      </c>
      <c r="AK380" s="44">
        <v>403630</v>
      </c>
      <c r="AL380" s="44">
        <v>142024</v>
      </c>
      <c r="AM380" s="44">
        <v>1.111</v>
      </c>
      <c r="AN380" s="44">
        <v>0.53551065101406026</v>
      </c>
      <c r="AO380" s="44">
        <v>0.156</v>
      </c>
      <c r="AP380" s="44">
        <v>0.69151065101406028</v>
      </c>
      <c r="AQ380" s="44">
        <v>0.84650000000000003</v>
      </c>
      <c r="AR380" s="44">
        <v>17.43</v>
      </c>
    </row>
    <row r="381" spans="1:44">
      <c r="A381" t="s">
        <v>985</v>
      </c>
      <c r="B381" t="s">
        <v>986</v>
      </c>
      <c r="D381" t="s">
        <v>1639</v>
      </c>
      <c r="E381" s="44">
        <v>1185671</v>
      </c>
      <c r="F381" s="44">
        <v>13109831</v>
      </c>
      <c r="G381" s="44">
        <v>3649800</v>
      </c>
      <c r="H381" s="126">
        <v>16759631</v>
      </c>
      <c r="I381" s="127">
        <v>31474452</v>
      </c>
      <c r="J381" s="128">
        <v>879728</v>
      </c>
      <c r="K381" s="130">
        <v>49113811</v>
      </c>
      <c r="L381" s="44">
        <v>166247</v>
      </c>
      <c r="M381" s="44">
        <v>560856</v>
      </c>
      <c r="N381" s="44">
        <v>15044771</v>
      </c>
      <c r="O381" s="44">
        <v>1430132</v>
      </c>
      <c r="P381" s="44">
        <v>1462415</v>
      </c>
      <c r="Q381" s="44">
        <v>3808579</v>
      </c>
      <c r="R381" s="44">
        <v>872809</v>
      </c>
      <c r="S381" s="44">
        <v>271846</v>
      </c>
      <c r="T381" s="44">
        <v>3481100</v>
      </c>
      <c r="U381" s="44">
        <v>2050601</v>
      </c>
      <c r="V381" s="44">
        <v>30124</v>
      </c>
      <c r="W381" s="44">
        <v>3073132</v>
      </c>
      <c r="X381" s="44">
        <v>1674863</v>
      </c>
      <c r="Y381" s="44">
        <v>4950608</v>
      </c>
      <c r="Z381" s="44">
        <v>2359058</v>
      </c>
      <c r="AA381" s="44">
        <v>887469</v>
      </c>
      <c r="AB381" s="44">
        <v>625000</v>
      </c>
      <c r="AC381" s="44">
        <v>42749610</v>
      </c>
      <c r="AD381" s="44">
        <v>2677979</v>
      </c>
      <c r="AE381" s="44">
        <v>1258823</v>
      </c>
      <c r="AF381" s="44">
        <v>1983461</v>
      </c>
      <c r="AG381" s="44">
        <v>48669873</v>
      </c>
      <c r="AH381" s="44">
        <v>3237</v>
      </c>
      <c r="AI381" s="44">
        <v>15173</v>
      </c>
      <c r="AJ381" s="44">
        <v>15035</v>
      </c>
      <c r="AK381" s="44">
        <v>365496</v>
      </c>
      <c r="AL381" s="44">
        <v>115050</v>
      </c>
      <c r="AM381" s="44">
        <v>0.95</v>
      </c>
      <c r="AN381" s="44">
        <v>0.58398042255010607</v>
      </c>
      <c r="AO381" s="44">
        <v>0.16900000000000001</v>
      </c>
      <c r="AP381" s="44">
        <v>0.75298042255010611</v>
      </c>
      <c r="AQ381" s="44">
        <v>0.86719999999999997</v>
      </c>
      <c r="AR381" s="44">
        <v>17.399999999999999</v>
      </c>
    </row>
    <row r="382" spans="1:44">
      <c r="A382" t="s">
        <v>987</v>
      </c>
      <c r="B382" t="s">
        <v>988</v>
      </c>
      <c r="D382" t="s">
        <v>1639</v>
      </c>
      <c r="E382" s="44">
        <v>5478225</v>
      </c>
      <c r="F382" s="44">
        <v>48259064</v>
      </c>
      <c r="G382" s="44">
        <v>5369198</v>
      </c>
      <c r="H382" s="126">
        <v>53628262</v>
      </c>
      <c r="I382" s="127">
        <v>37103932</v>
      </c>
      <c r="J382" s="128">
        <v>2542248</v>
      </c>
      <c r="K382" s="130">
        <v>93274442</v>
      </c>
      <c r="L382" s="44">
        <v>274367</v>
      </c>
      <c r="M382" s="44">
        <v>1159600</v>
      </c>
      <c r="N382" s="44">
        <v>32014305</v>
      </c>
      <c r="O382" s="44">
        <v>1753609</v>
      </c>
      <c r="P382" s="44">
        <v>2317075</v>
      </c>
      <c r="Q382" s="44">
        <v>9728108</v>
      </c>
      <c r="R382" s="44">
        <v>13553</v>
      </c>
      <c r="S382" s="44">
        <v>1598752</v>
      </c>
      <c r="T382" s="44">
        <v>6403984</v>
      </c>
      <c r="U382" s="44">
        <v>2398418</v>
      </c>
      <c r="V382" s="44">
        <v>0</v>
      </c>
      <c r="W382" s="44">
        <v>5438261</v>
      </c>
      <c r="X382" s="44">
        <v>3199942</v>
      </c>
      <c r="Y382" s="44">
        <v>7577664</v>
      </c>
      <c r="Z382" s="44">
        <v>5055767</v>
      </c>
      <c r="AA382" s="44">
        <v>2339835</v>
      </c>
      <c r="AB382" s="44">
        <v>0</v>
      </c>
      <c r="AC382" s="44">
        <v>81273240</v>
      </c>
      <c r="AD382" s="44">
        <v>7049231</v>
      </c>
      <c r="AE382" s="44">
        <v>2737000</v>
      </c>
      <c r="AF382" s="44">
        <v>1711855</v>
      </c>
      <c r="AG382" s="44">
        <v>92771326</v>
      </c>
      <c r="AH382" s="44">
        <v>6388</v>
      </c>
      <c r="AI382" s="44">
        <v>14602</v>
      </c>
      <c r="AJ382" s="44">
        <v>14523</v>
      </c>
      <c r="AK382" s="44">
        <v>208865</v>
      </c>
      <c r="AL382" s="44">
        <v>66801</v>
      </c>
      <c r="AM382" s="44">
        <v>0.54700000000000004</v>
      </c>
      <c r="AN382" s="44">
        <v>0.60609033442078863</v>
      </c>
      <c r="AO382" s="44">
        <v>0.156</v>
      </c>
      <c r="AP382" s="44">
        <v>0.76209033442078866</v>
      </c>
      <c r="AQ382" s="44">
        <v>0.86950000000000005</v>
      </c>
      <c r="AR382" s="44">
        <v>15.25</v>
      </c>
    </row>
    <row r="383" spans="1:44">
      <c r="A383" t="s">
        <v>989</v>
      </c>
      <c r="B383" t="s">
        <v>990</v>
      </c>
      <c r="D383" t="s">
        <v>1639</v>
      </c>
      <c r="E383" s="44">
        <v>2027173</v>
      </c>
      <c r="F383" s="44">
        <v>14288539</v>
      </c>
      <c r="G383" s="44">
        <v>2802754</v>
      </c>
      <c r="H383" s="126">
        <v>17091293</v>
      </c>
      <c r="I383" s="127">
        <v>34686033</v>
      </c>
      <c r="J383" s="128">
        <v>910902</v>
      </c>
      <c r="K383" s="130">
        <v>52688228</v>
      </c>
      <c r="L383" s="44">
        <v>213426</v>
      </c>
      <c r="M383" s="44">
        <v>919683</v>
      </c>
      <c r="N383" s="44">
        <v>15874611</v>
      </c>
      <c r="O383" s="44">
        <v>1299387</v>
      </c>
      <c r="P383" s="44">
        <v>881547</v>
      </c>
      <c r="Q383" s="44">
        <v>7710435</v>
      </c>
      <c r="R383" s="44">
        <v>840990</v>
      </c>
      <c r="S383" s="44">
        <v>0</v>
      </c>
      <c r="T383" s="44">
        <v>2741633</v>
      </c>
      <c r="U383" s="44">
        <v>2212320</v>
      </c>
      <c r="V383" s="44">
        <v>0</v>
      </c>
      <c r="W383" s="44">
        <v>3135245</v>
      </c>
      <c r="X383" s="44">
        <v>1590011</v>
      </c>
      <c r="Y383" s="44">
        <v>5697979</v>
      </c>
      <c r="Z383" s="44">
        <v>3063083</v>
      </c>
      <c r="AA383" s="44">
        <v>819804</v>
      </c>
      <c r="AB383" s="44">
        <v>321100</v>
      </c>
      <c r="AC383" s="44">
        <v>47321254</v>
      </c>
      <c r="AD383" s="44">
        <v>2650516</v>
      </c>
      <c r="AE383" s="44">
        <v>1994913</v>
      </c>
      <c r="AF383" s="44">
        <v>879258</v>
      </c>
      <c r="AG383" s="44">
        <v>52845941</v>
      </c>
      <c r="AH383" s="44">
        <v>3054</v>
      </c>
      <c r="AI383" s="44">
        <v>17252</v>
      </c>
      <c r="AJ383" s="44">
        <v>17304</v>
      </c>
      <c r="AK383" s="44">
        <v>444329</v>
      </c>
      <c r="AL383" s="44">
        <v>116840</v>
      </c>
      <c r="AM383" s="44">
        <v>1.06</v>
      </c>
      <c r="AN383" s="44">
        <v>0.59722511138556511</v>
      </c>
      <c r="AO383" s="44">
        <v>0.161</v>
      </c>
      <c r="AP383" s="44">
        <v>0.75822511138556514</v>
      </c>
      <c r="AQ383" s="44">
        <v>0.85019999999999996</v>
      </c>
      <c r="AR383" s="44">
        <v>16.55</v>
      </c>
    </row>
    <row r="384" spans="1:44">
      <c r="A384" t="s">
        <v>991</v>
      </c>
      <c r="B384" t="s">
        <v>992</v>
      </c>
      <c r="D384" t="s">
        <v>1639</v>
      </c>
      <c r="E384" s="44">
        <v>489971</v>
      </c>
      <c r="F384" s="44">
        <v>7651668</v>
      </c>
      <c r="G384" s="44">
        <v>858322</v>
      </c>
      <c r="H384" s="126">
        <v>8509990</v>
      </c>
      <c r="I384" s="127">
        <v>7024462</v>
      </c>
      <c r="J384" s="128">
        <v>6686354</v>
      </c>
      <c r="K384" s="130">
        <v>22220806</v>
      </c>
      <c r="L384" s="44">
        <v>150191</v>
      </c>
      <c r="M384" s="44">
        <v>457160</v>
      </c>
      <c r="N384" s="44">
        <v>6301405</v>
      </c>
      <c r="O384" s="44">
        <v>332727</v>
      </c>
      <c r="P384" s="44">
        <v>551361</v>
      </c>
      <c r="Q384" s="44">
        <v>2287904</v>
      </c>
      <c r="R384" s="44">
        <v>27759</v>
      </c>
      <c r="S384" s="44">
        <v>258785</v>
      </c>
      <c r="T384" s="44">
        <v>1616165</v>
      </c>
      <c r="U384" s="44">
        <v>643092</v>
      </c>
      <c r="V384" s="44">
        <v>0</v>
      </c>
      <c r="W384" s="44">
        <v>1881831</v>
      </c>
      <c r="X384" s="44">
        <v>631737</v>
      </c>
      <c r="Y384" s="44">
        <v>1913504</v>
      </c>
      <c r="Z384" s="44">
        <v>1248445</v>
      </c>
      <c r="AA384" s="44">
        <v>224624</v>
      </c>
      <c r="AB384" s="44">
        <v>0</v>
      </c>
      <c r="AC384" s="44">
        <v>18526690</v>
      </c>
      <c r="AD384" s="44">
        <v>1304249</v>
      </c>
      <c r="AE384" s="44">
        <v>1021696</v>
      </c>
      <c r="AF384" s="44">
        <v>564683</v>
      </c>
      <c r="AG384" s="44">
        <v>21417318</v>
      </c>
      <c r="AH384" s="44">
        <v>1225</v>
      </c>
      <c r="AI384" s="44">
        <v>18139</v>
      </c>
      <c r="AJ384" s="44">
        <v>17484</v>
      </c>
      <c r="AK384" s="44">
        <v>258492</v>
      </c>
      <c r="AL384" s="44">
        <v>94933</v>
      </c>
      <c r="AM384" s="44">
        <v>0.72700000000000009</v>
      </c>
      <c r="AN384" s="44">
        <v>0.56119062153347121</v>
      </c>
      <c r="AO384" s="44">
        <v>0.154</v>
      </c>
      <c r="AP384" s="44">
        <v>0.71519062153347124</v>
      </c>
      <c r="AQ384" s="44">
        <v>0.8266</v>
      </c>
      <c r="AR384" s="44">
        <v>15.25</v>
      </c>
    </row>
    <row r="385" spans="1:44">
      <c r="A385" t="s">
        <v>993</v>
      </c>
      <c r="B385" t="s">
        <v>994</v>
      </c>
      <c r="D385" t="s">
        <v>1639</v>
      </c>
      <c r="E385" s="44">
        <v>10786017</v>
      </c>
      <c r="F385" s="44">
        <v>53730792</v>
      </c>
      <c r="G385" s="44">
        <v>6552774</v>
      </c>
      <c r="H385" s="126">
        <v>60283566</v>
      </c>
      <c r="I385" s="127">
        <v>49780128</v>
      </c>
      <c r="J385" s="128">
        <v>5381870</v>
      </c>
      <c r="K385" s="130">
        <v>115445564</v>
      </c>
      <c r="L385" s="44">
        <v>742689</v>
      </c>
      <c r="M385" s="44">
        <v>1390857</v>
      </c>
      <c r="N385" s="44">
        <v>35717355</v>
      </c>
      <c r="O385" s="44">
        <v>1278180</v>
      </c>
      <c r="P385" s="44">
        <v>2804541</v>
      </c>
      <c r="Q385" s="44">
        <v>12113222</v>
      </c>
      <c r="R385" s="44">
        <v>447298</v>
      </c>
      <c r="S385" s="44">
        <v>2239680</v>
      </c>
      <c r="T385" s="44">
        <v>6581970</v>
      </c>
      <c r="U385" s="44">
        <v>4253415</v>
      </c>
      <c r="V385" s="44">
        <v>950</v>
      </c>
      <c r="W385" s="44">
        <v>8157876</v>
      </c>
      <c r="X385" s="44">
        <v>3233418</v>
      </c>
      <c r="Y385" s="44">
        <v>10395151</v>
      </c>
      <c r="Z385" s="44">
        <v>5874748</v>
      </c>
      <c r="AA385" s="44">
        <v>3043935</v>
      </c>
      <c r="AB385" s="44">
        <v>2726423</v>
      </c>
      <c r="AC385" s="44">
        <v>101001708</v>
      </c>
      <c r="AD385" s="44">
        <v>6592316</v>
      </c>
      <c r="AE385" s="44">
        <v>3445132</v>
      </c>
      <c r="AF385" s="44">
        <v>2589795</v>
      </c>
      <c r="AG385" s="44">
        <v>113628951</v>
      </c>
      <c r="AH385" s="44">
        <v>6968</v>
      </c>
      <c r="AI385" s="44">
        <v>16568</v>
      </c>
      <c r="AJ385" s="44">
        <v>16307</v>
      </c>
      <c r="AK385" s="44">
        <v>242701</v>
      </c>
      <c r="AL385" s="44">
        <v>78308</v>
      </c>
      <c r="AM385" s="44">
        <v>0.63800000000000001</v>
      </c>
      <c r="AN385" s="44">
        <v>0.57587138158126616</v>
      </c>
      <c r="AO385" s="44">
        <v>0.153</v>
      </c>
      <c r="AP385" s="44">
        <v>0.72887138158126619</v>
      </c>
      <c r="AQ385" s="44">
        <v>0.84099999999999997</v>
      </c>
      <c r="AR385" s="44">
        <v>18.2</v>
      </c>
    </row>
    <row r="386" spans="1:44">
      <c r="A386" t="s">
        <v>995</v>
      </c>
      <c r="B386" t="s">
        <v>996</v>
      </c>
      <c r="D386" t="s">
        <v>1639</v>
      </c>
      <c r="E386" s="44">
        <v>8700859</v>
      </c>
      <c r="F386" s="44">
        <v>33749559</v>
      </c>
      <c r="G386" s="44">
        <v>4457993</v>
      </c>
      <c r="H386" s="126">
        <v>38207552</v>
      </c>
      <c r="I386" s="127">
        <v>30216454</v>
      </c>
      <c r="J386" s="128">
        <v>1440939</v>
      </c>
      <c r="K386" s="130">
        <v>69864945</v>
      </c>
      <c r="L386" s="44">
        <v>221495</v>
      </c>
      <c r="M386" s="44">
        <v>830715</v>
      </c>
      <c r="N386" s="44">
        <v>21640390</v>
      </c>
      <c r="O386" s="44">
        <v>1040465</v>
      </c>
      <c r="P386" s="44">
        <v>1181640</v>
      </c>
      <c r="Q386" s="44">
        <v>7846318</v>
      </c>
      <c r="R386" s="44">
        <v>47711</v>
      </c>
      <c r="S386" s="44">
        <v>1893520</v>
      </c>
      <c r="T386" s="44">
        <v>3961259</v>
      </c>
      <c r="U386" s="44">
        <v>1962352</v>
      </c>
      <c r="V386" s="44">
        <v>13099</v>
      </c>
      <c r="W386" s="44">
        <v>3947910</v>
      </c>
      <c r="X386" s="44">
        <v>2113903</v>
      </c>
      <c r="Y386" s="44">
        <v>7220296</v>
      </c>
      <c r="Z386" s="44">
        <v>3755491</v>
      </c>
      <c r="AA386" s="44">
        <v>979048</v>
      </c>
      <c r="AB386" s="44">
        <v>0</v>
      </c>
      <c r="AC386" s="44">
        <v>58655612</v>
      </c>
      <c r="AD386" s="44">
        <v>4234152</v>
      </c>
      <c r="AE386" s="44">
        <v>2863000</v>
      </c>
      <c r="AF386" s="44">
        <v>2177759</v>
      </c>
      <c r="AG386" s="44">
        <v>67930523</v>
      </c>
      <c r="AH386" s="44">
        <v>4800</v>
      </c>
      <c r="AI386" s="44">
        <v>14555</v>
      </c>
      <c r="AJ386" s="44">
        <v>14152</v>
      </c>
      <c r="AK386" s="44">
        <v>234179</v>
      </c>
      <c r="AL386" s="44">
        <v>69684</v>
      </c>
      <c r="AM386" s="44">
        <v>0.59199999999999997</v>
      </c>
      <c r="AN386" s="44">
        <v>0.5825607289965955</v>
      </c>
      <c r="AO386" s="44">
        <v>0.159</v>
      </c>
      <c r="AP386" s="44">
        <v>0.74156072899659553</v>
      </c>
      <c r="AQ386" s="44">
        <v>0.85899999999999999</v>
      </c>
      <c r="AR386" s="44">
        <v>16.43</v>
      </c>
    </row>
    <row r="387" spans="1:44">
      <c r="A387" t="s">
        <v>997</v>
      </c>
      <c r="B387" t="s">
        <v>998</v>
      </c>
      <c r="D387" t="s">
        <v>1639</v>
      </c>
      <c r="E387" s="44">
        <v>6095090</v>
      </c>
      <c r="F387" s="44">
        <v>39662833</v>
      </c>
      <c r="G387" s="44">
        <v>9030462</v>
      </c>
      <c r="H387" s="126">
        <v>48693295</v>
      </c>
      <c r="I387" s="127">
        <v>82049802</v>
      </c>
      <c r="J387" s="128">
        <v>2284065</v>
      </c>
      <c r="K387" s="130">
        <v>133027162</v>
      </c>
      <c r="L387" s="44">
        <v>343407</v>
      </c>
      <c r="M387" s="44">
        <v>1675001</v>
      </c>
      <c r="N387" s="44">
        <v>46709291</v>
      </c>
      <c r="O387" s="44">
        <v>2555782</v>
      </c>
      <c r="P387" s="44">
        <v>2751196</v>
      </c>
      <c r="Q387" s="44">
        <v>7677218</v>
      </c>
      <c r="R387" s="44">
        <v>0</v>
      </c>
      <c r="S387" s="44">
        <v>2578978</v>
      </c>
      <c r="T387" s="44">
        <v>6978582</v>
      </c>
      <c r="U387" s="44">
        <v>3724570</v>
      </c>
      <c r="V387" s="44">
        <v>190900</v>
      </c>
      <c r="W387" s="44">
        <v>9608805</v>
      </c>
      <c r="X387" s="44">
        <v>4415765</v>
      </c>
      <c r="Y387" s="44">
        <v>13551710</v>
      </c>
      <c r="Z387" s="44">
        <v>7779650</v>
      </c>
      <c r="AA387" s="44">
        <v>2789017</v>
      </c>
      <c r="AB387" s="44">
        <v>492725</v>
      </c>
      <c r="AC387" s="44">
        <v>113822597</v>
      </c>
      <c r="AD387" s="44">
        <v>8282890</v>
      </c>
      <c r="AE387" s="44">
        <v>4316830</v>
      </c>
      <c r="AF387" s="44">
        <v>3452066</v>
      </c>
      <c r="AG387" s="44">
        <v>129874383</v>
      </c>
      <c r="AH387" s="44">
        <v>7589</v>
      </c>
      <c r="AI387" s="44">
        <v>17529</v>
      </c>
      <c r="AJ387" s="44">
        <v>17114</v>
      </c>
      <c r="AK387" s="44">
        <v>383181</v>
      </c>
      <c r="AL387" s="44">
        <v>97713</v>
      </c>
      <c r="AM387" s="44">
        <v>0.90200000000000002</v>
      </c>
      <c r="AN387" s="44">
        <v>0.56189384938213716</v>
      </c>
      <c r="AO387" s="44">
        <v>0.16200000000000001</v>
      </c>
      <c r="AP387" s="44">
        <v>0.72389384938213719</v>
      </c>
      <c r="AQ387" s="44">
        <v>0.82920000000000005</v>
      </c>
      <c r="AR387" s="44">
        <v>17.25</v>
      </c>
    </row>
    <row r="388" spans="1:44">
      <c r="A388" t="s">
        <v>999</v>
      </c>
      <c r="B388" t="s">
        <v>1000</v>
      </c>
      <c r="D388" t="s">
        <v>1639</v>
      </c>
      <c r="E388" s="44">
        <v>711350</v>
      </c>
      <c r="F388" s="44">
        <v>3464901</v>
      </c>
      <c r="G388" s="44">
        <v>359377</v>
      </c>
      <c r="H388" s="126">
        <v>3824278</v>
      </c>
      <c r="I388" s="127">
        <v>8565938</v>
      </c>
      <c r="J388" s="128">
        <v>7775802</v>
      </c>
      <c r="K388" s="130">
        <v>20166018</v>
      </c>
      <c r="L388" s="44">
        <v>458997</v>
      </c>
      <c r="M388" s="44">
        <v>705044</v>
      </c>
      <c r="N388" s="44">
        <v>4114172</v>
      </c>
      <c r="O388" s="44">
        <v>88550</v>
      </c>
      <c r="P388" s="44">
        <v>132643</v>
      </c>
      <c r="Q388" s="44">
        <v>31114</v>
      </c>
      <c r="R388" s="44">
        <v>0</v>
      </c>
      <c r="S388" s="44">
        <v>0</v>
      </c>
      <c r="T388" s="44">
        <v>5839860</v>
      </c>
      <c r="U388" s="44">
        <v>3266716</v>
      </c>
      <c r="V388" s="44">
        <v>0</v>
      </c>
      <c r="W388" s="44">
        <v>465664</v>
      </c>
      <c r="X388" s="44">
        <v>189925</v>
      </c>
      <c r="Y388" s="44">
        <v>1199898</v>
      </c>
      <c r="Z388" s="44">
        <v>3306582</v>
      </c>
      <c r="AA388" s="44">
        <v>79400</v>
      </c>
      <c r="AB388" s="44">
        <v>0</v>
      </c>
      <c r="AC388" s="44">
        <v>19878565</v>
      </c>
      <c r="AD388" s="44">
        <v>2182899</v>
      </c>
      <c r="AE388" s="44">
        <v>0</v>
      </c>
      <c r="AF388" s="44">
        <v>68032</v>
      </c>
      <c r="AG388" s="44">
        <v>22129496</v>
      </c>
      <c r="AH388" s="44">
        <v>302</v>
      </c>
      <c r="AI388" s="44">
        <v>66775</v>
      </c>
      <c r="AJ388" s="44">
        <v>73276</v>
      </c>
      <c r="AK388" s="44">
        <v>1174395</v>
      </c>
      <c r="AL388" s="44">
        <v>237082</v>
      </c>
      <c r="AM388" s="44">
        <v>2.5089999999999999</v>
      </c>
      <c r="AN388" s="44">
        <v>0.60882791908139255</v>
      </c>
      <c r="AO388" s="44">
        <v>0.17399999999999999</v>
      </c>
      <c r="AP388" s="44">
        <v>0.78282791908139249</v>
      </c>
      <c r="AQ388" s="44">
        <v>0.87170000000000003</v>
      </c>
      <c r="AR388" s="44">
        <v>19.36</v>
      </c>
    </row>
    <row r="389" spans="1:44">
      <c r="A389" t="s">
        <v>1001</v>
      </c>
      <c r="B389" t="s">
        <v>1002</v>
      </c>
      <c r="D389" t="s">
        <v>1639</v>
      </c>
      <c r="E389" s="44">
        <v>7239506</v>
      </c>
      <c r="F389" s="44">
        <v>29890779</v>
      </c>
      <c r="G389" s="44">
        <v>5403450</v>
      </c>
      <c r="H389" s="126">
        <v>35294229</v>
      </c>
      <c r="I389" s="127">
        <v>38246061</v>
      </c>
      <c r="J389" s="128">
        <v>2112779</v>
      </c>
      <c r="K389" s="130">
        <v>75653069</v>
      </c>
      <c r="L389" s="44">
        <v>197589</v>
      </c>
      <c r="M389" s="44">
        <v>1007430</v>
      </c>
      <c r="N389" s="44">
        <v>24883355</v>
      </c>
      <c r="O389" s="44">
        <v>2214404</v>
      </c>
      <c r="P389" s="44">
        <v>1724778</v>
      </c>
      <c r="Q389" s="44">
        <v>4686110</v>
      </c>
      <c r="R389" s="44">
        <v>79808</v>
      </c>
      <c r="S389" s="44">
        <v>1209844</v>
      </c>
      <c r="T389" s="44">
        <v>5247190</v>
      </c>
      <c r="U389" s="44">
        <v>2203861</v>
      </c>
      <c r="V389" s="44">
        <v>0</v>
      </c>
      <c r="W389" s="44">
        <v>4296160</v>
      </c>
      <c r="X389" s="44">
        <v>2520664</v>
      </c>
      <c r="Y389" s="44">
        <v>7352138</v>
      </c>
      <c r="Z389" s="44">
        <v>3724049</v>
      </c>
      <c r="AA389" s="44">
        <v>1514160</v>
      </c>
      <c r="AB389" s="44">
        <v>16743</v>
      </c>
      <c r="AC389" s="44">
        <v>62878283</v>
      </c>
      <c r="AD389" s="44">
        <v>5089670</v>
      </c>
      <c r="AE389" s="44">
        <v>2150000</v>
      </c>
      <c r="AF389" s="44">
        <v>986282</v>
      </c>
      <c r="AG389" s="44">
        <v>71104235</v>
      </c>
      <c r="AH389" s="44">
        <v>5245</v>
      </c>
      <c r="AI389" s="44">
        <v>14424</v>
      </c>
      <c r="AJ389" s="44">
        <v>13557</v>
      </c>
      <c r="AK389" s="44">
        <v>256609</v>
      </c>
      <c r="AL389" s="44">
        <v>77574</v>
      </c>
      <c r="AM389" s="44">
        <v>0.65300000000000002</v>
      </c>
      <c r="AN389" s="44">
        <v>0.59418893966020447</v>
      </c>
      <c r="AO389" s="44">
        <v>0.17599999999999999</v>
      </c>
      <c r="AP389" s="44">
        <v>0.77018893966020441</v>
      </c>
      <c r="AQ389" s="44">
        <v>0.87080000000000002</v>
      </c>
      <c r="AR389" s="44">
        <v>16.190000000000001</v>
      </c>
    </row>
    <row r="390" spans="1:44">
      <c r="A390" t="s">
        <v>1003</v>
      </c>
      <c r="B390" t="s">
        <v>1004</v>
      </c>
      <c r="D390" t="s">
        <v>1639</v>
      </c>
      <c r="E390" s="44">
        <v>5689741</v>
      </c>
      <c r="F390" s="44">
        <v>102871359</v>
      </c>
      <c r="G390" s="44">
        <v>12629913</v>
      </c>
      <c r="H390" s="126">
        <v>115501272</v>
      </c>
      <c r="I390" s="127">
        <v>79921853</v>
      </c>
      <c r="J390" s="128">
        <v>9655115</v>
      </c>
      <c r="K390" s="130">
        <v>205078240</v>
      </c>
      <c r="L390" s="44">
        <v>592209</v>
      </c>
      <c r="M390" s="44">
        <v>2111296</v>
      </c>
      <c r="N390" s="44">
        <v>74563928</v>
      </c>
      <c r="O390" s="44">
        <v>5852662</v>
      </c>
      <c r="P390" s="44">
        <v>5879617</v>
      </c>
      <c r="Q390" s="44">
        <v>6495909</v>
      </c>
      <c r="R390" s="44">
        <v>-110332</v>
      </c>
      <c r="S390" s="44">
        <v>4664560</v>
      </c>
      <c r="T390" s="44">
        <v>13901486</v>
      </c>
      <c r="U390" s="44">
        <v>6796418</v>
      </c>
      <c r="V390" s="44">
        <v>120014</v>
      </c>
      <c r="W390" s="44">
        <v>13033229</v>
      </c>
      <c r="X390" s="44">
        <v>6975978</v>
      </c>
      <c r="Y390" s="44">
        <v>25408064</v>
      </c>
      <c r="Z390" s="44">
        <v>14254106</v>
      </c>
      <c r="AA390" s="44">
        <v>3438867</v>
      </c>
      <c r="AB390" s="44">
        <v>520925</v>
      </c>
      <c r="AC390" s="44">
        <v>184498936</v>
      </c>
      <c r="AD390" s="44">
        <v>13012452</v>
      </c>
      <c r="AE390" s="44">
        <v>2115000</v>
      </c>
      <c r="AF390" s="44">
        <v>2286276</v>
      </c>
      <c r="AG390" s="44">
        <v>201912664</v>
      </c>
      <c r="AH390" s="44">
        <v>12574</v>
      </c>
      <c r="AI390" s="44">
        <v>16310</v>
      </c>
      <c r="AJ390" s="44">
        <v>16058</v>
      </c>
      <c r="AK390" s="44">
        <v>210747</v>
      </c>
      <c r="AL390" s="44">
        <v>71953</v>
      </c>
      <c r="AM390" s="44">
        <v>0.56999999999999995</v>
      </c>
      <c r="AN390" s="44">
        <v>0.58463023399067238</v>
      </c>
      <c r="AO390" s="44">
        <v>0.21099999999999999</v>
      </c>
      <c r="AP390" s="44">
        <v>0.79563023399067234</v>
      </c>
      <c r="AQ390" s="44">
        <v>0.87150000000000005</v>
      </c>
      <c r="AR390" s="44">
        <v>18.420000000000002</v>
      </c>
    </row>
    <row r="391" spans="1:44">
      <c r="A391" t="s">
        <v>1005</v>
      </c>
      <c r="B391" t="s">
        <v>1006</v>
      </c>
      <c r="D391" t="s">
        <v>1639</v>
      </c>
      <c r="E391" s="44">
        <v>3167151</v>
      </c>
      <c r="F391" s="44">
        <v>26550045</v>
      </c>
      <c r="G391" s="44">
        <v>4537926</v>
      </c>
      <c r="H391" s="126">
        <v>31087971</v>
      </c>
      <c r="I391" s="127">
        <v>20963524</v>
      </c>
      <c r="J391" s="128">
        <v>2518383</v>
      </c>
      <c r="K391" s="130">
        <v>54569878</v>
      </c>
      <c r="L391" s="44">
        <v>215166</v>
      </c>
      <c r="M391" s="44">
        <v>607606</v>
      </c>
      <c r="N391" s="44">
        <v>16707018</v>
      </c>
      <c r="O391" s="44">
        <v>866837</v>
      </c>
      <c r="P391" s="44">
        <v>1162867</v>
      </c>
      <c r="Q391" s="44">
        <v>6567139</v>
      </c>
      <c r="R391" s="44">
        <v>758152</v>
      </c>
      <c r="S391" s="44">
        <v>846961</v>
      </c>
      <c r="T391" s="44">
        <v>2775659</v>
      </c>
      <c r="U391" s="44">
        <v>2322780</v>
      </c>
      <c r="V391" s="44">
        <v>0</v>
      </c>
      <c r="W391" s="44">
        <v>3237605</v>
      </c>
      <c r="X391" s="44">
        <v>1695998</v>
      </c>
      <c r="Y391" s="44">
        <v>7061756</v>
      </c>
      <c r="Z391" s="44">
        <v>2737043</v>
      </c>
      <c r="AA391" s="44">
        <v>727450</v>
      </c>
      <c r="AB391" s="44">
        <v>500000</v>
      </c>
      <c r="AC391" s="44">
        <v>48790037</v>
      </c>
      <c r="AD391" s="44">
        <v>2591630</v>
      </c>
      <c r="AE391" s="44">
        <v>416000</v>
      </c>
      <c r="AF391" s="44">
        <v>355913</v>
      </c>
      <c r="AG391" s="44">
        <v>52153580</v>
      </c>
      <c r="AH391" s="44">
        <v>3316</v>
      </c>
      <c r="AI391" s="44">
        <v>16457</v>
      </c>
      <c r="AJ391" s="44">
        <v>15728</v>
      </c>
      <c r="AK391" s="44">
        <v>187467</v>
      </c>
      <c r="AL391" s="44">
        <v>65225</v>
      </c>
      <c r="AM391" s="44">
        <v>0.51200000000000001</v>
      </c>
      <c r="AN391" s="44">
        <v>0.61371459063788147</v>
      </c>
      <c r="AO391" s="44">
        <v>0.187</v>
      </c>
      <c r="AP391" s="44">
        <v>0.80071459063788142</v>
      </c>
      <c r="AQ391" s="44">
        <v>0.8629</v>
      </c>
      <c r="AR391" s="44">
        <v>21.93</v>
      </c>
    </row>
    <row r="392" spans="1:44">
      <c r="A392" t="s">
        <v>1007</v>
      </c>
      <c r="B392" t="s">
        <v>1008</v>
      </c>
      <c r="D392" t="s">
        <v>1639</v>
      </c>
      <c r="E392" s="44">
        <v>1059017</v>
      </c>
      <c r="F392" s="44">
        <v>1072201</v>
      </c>
      <c r="G392" s="44">
        <v>263773</v>
      </c>
      <c r="H392" s="126">
        <v>1335974</v>
      </c>
      <c r="I392" s="127">
        <v>13592615</v>
      </c>
      <c r="J392" s="128">
        <v>147682</v>
      </c>
      <c r="K392" s="130">
        <v>15076271</v>
      </c>
      <c r="L392" s="44">
        <v>154176</v>
      </c>
      <c r="M392" s="44">
        <v>426492</v>
      </c>
      <c r="N392" s="44">
        <v>4560035</v>
      </c>
      <c r="O392" s="44">
        <v>322027</v>
      </c>
      <c r="P392" s="44">
        <v>326033</v>
      </c>
      <c r="Q392" s="44">
        <v>1107905</v>
      </c>
      <c r="R392" s="44">
        <v>227906</v>
      </c>
      <c r="S392" s="44">
        <v>37719</v>
      </c>
      <c r="T392" s="44">
        <v>908993</v>
      </c>
      <c r="U392" s="44">
        <v>568817</v>
      </c>
      <c r="V392" s="44">
        <v>0</v>
      </c>
      <c r="W392" s="44">
        <v>1039146</v>
      </c>
      <c r="X392" s="44">
        <v>491263</v>
      </c>
      <c r="Y392" s="44">
        <v>1653785</v>
      </c>
      <c r="Z392" s="44">
        <v>713164</v>
      </c>
      <c r="AA392" s="44">
        <v>122189</v>
      </c>
      <c r="AB392" s="44">
        <v>280557</v>
      </c>
      <c r="AC392" s="44">
        <v>12940207</v>
      </c>
      <c r="AD392" s="44">
        <v>593861</v>
      </c>
      <c r="AE392" s="44">
        <v>1240000</v>
      </c>
      <c r="AF392" s="44">
        <v>311956</v>
      </c>
      <c r="AG392" s="44">
        <v>15086024</v>
      </c>
      <c r="AH392" s="44">
        <v>679</v>
      </c>
      <c r="AI392" s="44">
        <v>22204</v>
      </c>
      <c r="AJ392" s="44">
        <v>22218</v>
      </c>
      <c r="AK392" s="44">
        <v>1991786</v>
      </c>
      <c r="AL392" s="44">
        <v>579353</v>
      </c>
      <c r="AM392" s="44">
        <v>4.9830000000000005</v>
      </c>
      <c r="AN392" s="44">
        <v>0.534231882436353</v>
      </c>
      <c r="AO392" s="44">
        <v>0.154</v>
      </c>
      <c r="AP392" s="44">
        <v>0.68823188243635303</v>
      </c>
      <c r="AQ392" s="44">
        <v>0.81689999999999996</v>
      </c>
      <c r="AR392" s="44">
        <v>13.1</v>
      </c>
    </row>
    <row r="393" spans="1:44">
      <c r="A393" t="s">
        <v>1009</v>
      </c>
      <c r="B393" t="s">
        <v>1010</v>
      </c>
      <c r="D393" t="s">
        <v>1639</v>
      </c>
      <c r="E393" s="44">
        <v>5473309</v>
      </c>
      <c r="F393" s="44">
        <v>21765940</v>
      </c>
      <c r="G393" s="44">
        <v>5012022</v>
      </c>
      <c r="H393" s="126">
        <v>26777962</v>
      </c>
      <c r="I393" s="127">
        <v>45895617</v>
      </c>
      <c r="J393" s="128">
        <v>1064664</v>
      </c>
      <c r="K393" s="130">
        <v>73738243</v>
      </c>
      <c r="L393" s="44">
        <v>230632</v>
      </c>
      <c r="M393" s="44">
        <v>941949</v>
      </c>
      <c r="N393" s="44">
        <v>21736494</v>
      </c>
      <c r="O393" s="44">
        <v>1441031</v>
      </c>
      <c r="P393" s="44">
        <v>1816003</v>
      </c>
      <c r="Q393" s="44">
        <v>6008854</v>
      </c>
      <c r="R393" s="44">
        <v>144285</v>
      </c>
      <c r="S393" s="44">
        <v>890910</v>
      </c>
      <c r="T393" s="44">
        <v>4480687</v>
      </c>
      <c r="U393" s="44">
        <v>2464178</v>
      </c>
      <c r="V393" s="44">
        <v>99879</v>
      </c>
      <c r="W393" s="44">
        <v>4287682</v>
      </c>
      <c r="X393" s="44">
        <v>2296955</v>
      </c>
      <c r="Y393" s="44">
        <v>9519520</v>
      </c>
      <c r="Z393" s="44">
        <v>3981116</v>
      </c>
      <c r="AA393" s="44">
        <v>1296301</v>
      </c>
      <c r="AB393" s="44">
        <v>602000</v>
      </c>
      <c r="AC393" s="44">
        <v>62238476</v>
      </c>
      <c r="AD393" s="44">
        <v>3748913</v>
      </c>
      <c r="AE393" s="44">
        <v>2966440</v>
      </c>
      <c r="AF393" s="44">
        <v>1933676</v>
      </c>
      <c r="AG393" s="44">
        <v>70887505</v>
      </c>
      <c r="AH393" s="44">
        <v>4542</v>
      </c>
      <c r="AI393" s="44">
        <v>16235</v>
      </c>
      <c r="AJ393" s="44">
        <v>15607</v>
      </c>
      <c r="AK393" s="44">
        <v>380967</v>
      </c>
      <c r="AL393" s="44">
        <v>110904</v>
      </c>
      <c r="AM393" s="44">
        <v>0.95300000000000007</v>
      </c>
      <c r="AN393" s="44">
        <v>0.54991979192948037</v>
      </c>
      <c r="AO393" s="44">
        <v>0.187</v>
      </c>
      <c r="AP393" s="44">
        <v>0.73691979192948032</v>
      </c>
      <c r="AQ393" s="44">
        <v>0.8468</v>
      </c>
      <c r="AR393" s="44">
        <v>17.07</v>
      </c>
    </row>
    <row r="394" spans="1:44">
      <c r="A394" t="s">
        <v>1011</v>
      </c>
      <c r="B394" t="s">
        <v>1012</v>
      </c>
      <c r="D394" t="s">
        <v>1639</v>
      </c>
      <c r="E394" s="44">
        <v>4579338</v>
      </c>
      <c r="F394" s="44">
        <v>5649762</v>
      </c>
      <c r="G394" s="44">
        <v>1690965</v>
      </c>
      <c r="H394" s="126">
        <v>7340727</v>
      </c>
      <c r="I394" s="127">
        <v>13241815</v>
      </c>
      <c r="J394" s="128">
        <v>322047</v>
      </c>
      <c r="K394" s="130">
        <v>20904589</v>
      </c>
      <c r="L394" s="44">
        <v>77879</v>
      </c>
      <c r="M394" s="44">
        <v>539773</v>
      </c>
      <c r="N394" s="44">
        <v>3429611</v>
      </c>
      <c r="O394" s="44">
        <v>148177</v>
      </c>
      <c r="P394" s="44">
        <v>259333</v>
      </c>
      <c r="Q394" s="44">
        <v>2141272</v>
      </c>
      <c r="R394" s="44">
        <v>4830598</v>
      </c>
      <c r="S394" s="44">
        <v>0</v>
      </c>
      <c r="T394" s="44">
        <v>935536</v>
      </c>
      <c r="U394" s="44">
        <v>462524</v>
      </c>
      <c r="V394" s="44">
        <v>5511</v>
      </c>
      <c r="W394" s="44">
        <v>1428818</v>
      </c>
      <c r="X394" s="44">
        <v>328684</v>
      </c>
      <c r="Y394" s="44">
        <v>1718092</v>
      </c>
      <c r="Z394" s="44">
        <v>751182</v>
      </c>
      <c r="AA394" s="44">
        <v>336058</v>
      </c>
      <c r="AB394" s="44">
        <v>227007</v>
      </c>
      <c r="AC394" s="44">
        <v>17620055</v>
      </c>
      <c r="AD394" s="44">
        <v>991975</v>
      </c>
      <c r="AE394" s="44">
        <v>490000</v>
      </c>
      <c r="AF394" s="44">
        <v>274879</v>
      </c>
      <c r="AG394" s="44">
        <v>19376909</v>
      </c>
      <c r="AH394" s="44">
        <v>999</v>
      </c>
      <c r="AI394" s="44">
        <v>20926</v>
      </c>
      <c r="AJ394" s="44">
        <v>19396</v>
      </c>
      <c r="AK394" s="44">
        <v>441858</v>
      </c>
      <c r="AL394" s="44">
        <v>101811</v>
      </c>
      <c r="AM394" s="44">
        <v>0.995</v>
      </c>
      <c r="AN394" s="44">
        <v>0.6299792706876004</v>
      </c>
      <c r="AO394" s="44">
        <v>0.113</v>
      </c>
      <c r="AP394" s="44">
        <v>0.74297927068760039</v>
      </c>
      <c r="AQ394" s="44">
        <v>0.75139999999999996</v>
      </c>
      <c r="AR394" s="44">
        <v>18.36</v>
      </c>
    </row>
    <row r="395" spans="1:44">
      <c r="A395" t="s">
        <v>1013</v>
      </c>
      <c r="B395" t="s">
        <v>1014</v>
      </c>
      <c r="D395" t="s">
        <v>1639</v>
      </c>
      <c r="E395" s="44">
        <v>682343</v>
      </c>
      <c r="F395" s="44">
        <v>4144036</v>
      </c>
      <c r="G395" s="44">
        <v>1306603</v>
      </c>
      <c r="H395" s="126">
        <v>5450639</v>
      </c>
      <c r="I395" s="127">
        <v>9938715</v>
      </c>
      <c r="J395" s="128">
        <v>286582</v>
      </c>
      <c r="K395" s="130">
        <v>15675936</v>
      </c>
      <c r="L395" s="44">
        <v>141586</v>
      </c>
      <c r="M395" s="44">
        <v>391313</v>
      </c>
      <c r="N395" s="44">
        <v>4762147</v>
      </c>
      <c r="O395" s="44">
        <v>319272</v>
      </c>
      <c r="P395" s="44">
        <v>423625</v>
      </c>
      <c r="Q395" s="44">
        <v>1279002</v>
      </c>
      <c r="R395" s="44">
        <v>16485</v>
      </c>
      <c r="S395" s="44">
        <v>46389</v>
      </c>
      <c r="T395" s="44">
        <v>905393</v>
      </c>
      <c r="U395" s="44">
        <v>611965</v>
      </c>
      <c r="V395" s="44">
        <v>0</v>
      </c>
      <c r="W395" s="44">
        <v>976183</v>
      </c>
      <c r="X395" s="44">
        <v>487951</v>
      </c>
      <c r="Y395" s="44">
        <v>1539255</v>
      </c>
      <c r="Z395" s="44">
        <v>853297</v>
      </c>
      <c r="AA395" s="44">
        <v>295302</v>
      </c>
      <c r="AB395" s="44">
        <v>0</v>
      </c>
      <c r="AC395" s="44">
        <v>13049165</v>
      </c>
      <c r="AD395" s="44">
        <v>849449</v>
      </c>
      <c r="AE395" s="44">
        <v>720000</v>
      </c>
      <c r="AF395" s="44">
        <v>314848</v>
      </c>
      <c r="AG395" s="44">
        <v>14933462</v>
      </c>
      <c r="AH395" s="44">
        <v>857</v>
      </c>
      <c r="AI395" s="44">
        <v>18292</v>
      </c>
      <c r="AJ395" s="44">
        <v>17425</v>
      </c>
      <c r="AK395" s="44">
        <v>422672</v>
      </c>
      <c r="AL395" s="44">
        <v>104026</v>
      </c>
      <c r="AM395" s="44">
        <v>0.97900000000000009</v>
      </c>
      <c r="AN395" s="44">
        <v>0.560103075897605</v>
      </c>
      <c r="AO395" s="44">
        <v>0.17</v>
      </c>
      <c r="AP395" s="44">
        <v>0.73010307589760504</v>
      </c>
      <c r="AQ395" s="44">
        <v>0.83579999999999999</v>
      </c>
      <c r="AR395" s="44">
        <v>17.93</v>
      </c>
    </row>
    <row r="396" spans="1:44">
      <c r="A396" t="s">
        <v>1015</v>
      </c>
      <c r="B396" t="s">
        <v>1016</v>
      </c>
      <c r="D396" t="s">
        <v>1639</v>
      </c>
      <c r="E396" s="44">
        <v>3816726</v>
      </c>
      <c r="F396" s="44">
        <v>19733159</v>
      </c>
      <c r="G396" s="44">
        <v>2388354</v>
      </c>
      <c r="H396" s="126">
        <v>22121513</v>
      </c>
      <c r="I396" s="127">
        <v>7959539</v>
      </c>
      <c r="J396" s="128">
        <v>2088372</v>
      </c>
      <c r="K396" s="130">
        <v>32169424</v>
      </c>
      <c r="L396" s="44">
        <v>104306</v>
      </c>
      <c r="M396" s="44">
        <v>385479</v>
      </c>
      <c r="N396" s="44">
        <v>10725929</v>
      </c>
      <c r="O396" s="44">
        <v>362251</v>
      </c>
      <c r="P396" s="44">
        <v>604801</v>
      </c>
      <c r="Q396" s="44">
        <v>1219456</v>
      </c>
      <c r="R396" s="44">
        <v>6911</v>
      </c>
      <c r="S396" s="44">
        <v>877973</v>
      </c>
      <c r="T396" s="44">
        <v>2074678</v>
      </c>
      <c r="U396" s="44">
        <v>1743910</v>
      </c>
      <c r="V396" s="44">
        <v>98258</v>
      </c>
      <c r="W396" s="44">
        <v>2204324</v>
      </c>
      <c r="X396" s="44">
        <v>988597</v>
      </c>
      <c r="Y396" s="44">
        <v>2447332</v>
      </c>
      <c r="Z396" s="44">
        <v>2126362</v>
      </c>
      <c r="AA396" s="44">
        <v>457956</v>
      </c>
      <c r="AB396" s="44">
        <v>315949</v>
      </c>
      <c r="AC396" s="44">
        <v>26744472</v>
      </c>
      <c r="AD396" s="44">
        <v>1429963</v>
      </c>
      <c r="AE396" s="44">
        <v>1245000</v>
      </c>
      <c r="AF396" s="44">
        <v>906554</v>
      </c>
      <c r="AG396" s="44">
        <v>30325989</v>
      </c>
      <c r="AH396" s="44">
        <v>2507</v>
      </c>
      <c r="AI396" s="44">
        <v>12832</v>
      </c>
      <c r="AJ396" s="44">
        <v>12097</v>
      </c>
      <c r="AK396" s="44">
        <v>140602</v>
      </c>
      <c r="AL396" s="44">
        <v>62756</v>
      </c>
      <c r="AM396" s="44">
        <v>0.44</v>
      </c>
      <c r="AN396" s="44">
        <v>0.58088489710920888</v>
      </c>
      <c r="AO396" s="44">
        <v>0.16700000000000001</v>
      </c>
      <c r="AP396" s="44">
        <v>0.74788489710920891</v>
      </c>
      <c r="AQ396" s="44">
        <v>0.85729999999999995</v>
      </c>
      <c r="AR396" s="44">
        <v>18.21</v>
      </c>
    </row>
    <row r="397" spans="1:44">
      <c r="A397" t="s">
        <v>1017</v>
      </c>
      <c r="B397" t="s">
        <v>1018</v>
      </c>
      <c r="D397" t="s">
        <v>1639</v>
      </c>
      <c r="E397" s="44">
        <v>695385</v>
      </c>
      <c r="F397" s="44">
        <v>8323190</v>
      </c>
      <c r="G397" s="44">
        <v>1316318</v>
      </c>
      <c r="H397" s="126">
        <v>9639508</v>
      </c>
      <c r="I397" s="127">
        <v>4895717</v>
      </c>
      <c r="J397" s="128">
        <v>544536</v>
      </c>
      <c r="K397" s="130">
        <v>15079761</v>
      </c>
      <c r="L397" s="44">
        <v>80505</v>
      </c>
      <c r="M397" s="44">
        <v>445062</v>
      </c>
      <c r="N397" s="44">
        <v>4193146</v>
      </c>
      <c r="O397" s="44">
        <v>188522</v>
      </c>
      <c r="P397" s="44">
        <v>292383</v>
      </c>
      <c r="Q397" s="44">
        <v>2193974</v>
      </c>
      <c r="R397" s="44">
        <v>0</v>
      </c>
      <c r="S397" s="44">
        <v>92144</v>
      </c>
      <c r="T397" s="44">
        <v>880935</v>
      </c>
      <c r="U397" s="44">
        <v>557176</v>
      </c>
      <c r="V397" s="44">
        <v>5302</v>
      </c>
      <c r="W397" s="44">
        <v>1145617</v>
      </c>
      <c r="X397" s="44">
        <v>637859</v>
      </c>
      <c r="Y397" s="44">
        <v>923770</v>
      </c>
      <c r="Z397" s="44">
        <v>742459</v>
      </c>
      <c r="AA397" s="44">
        <v>192760</v>
      </c>
      <c r="AB397" s="44">
        <v>19000</v>
      </c>
      <c r="AC397" s="44">
        <v>12590614</v>
      </c>
      <c r="AD397" s="44">
        <v>701145</v>
      </c>
      <c r="AE397" s="44">
        <v>663452</v>
      </c>
      <c r="AF397" s="44">
        <v>430131</v>
      </c>
      <c r="AG397" s="44">
        <v>14385342</v>
      </c>
      <c r="AH397" s="44">
        <v>1004</v>
      </c>
      <c r="AI397" s="44">
        <v>15020</v>
      </c>
      <c r="AJ397" s="44">
        <v>14328</v>
      </c>
      <c r="AK397" s="44">
        <v>163406</v>
      </c>
      <c r="AL397" s="44">
        <v>66916</v>
      </c>
      <c r="AM397" s="44">
        <v>0.48699999999999999</v>
      </c>
      <c r="AN397" s="44">
        <v>0.58380815694197608</v>
      </c>
      <c r="AO397" s="44">
        <v>0.129</v>
      </c>
      <c r="AP397" s="44">
        <v>0.71280815694197608</v>
      </c>
      <c r="AQ397" s="44">
        <v>0.81599999999999995</v>
      </c>
      <c r="AR397" s="44">
        <v>21.61</v>
      </c>
    </row>
    <row r="398" spans="1:44">
      <c r="A398" t="s">
        <v>1019</v>
      </c>
      <c r="B398" t="s">
        <v>1020</v>
      </c>
      <c r="D398" t="s">
        <v>1639</v>
      </c>
      <c r="E398" s="44">
        <v>3755777</v>
      </c>
      <c r="F398" s="44">
        <v>10854447</v>
      </c>
      <c r="G398" s="44">
        <v>2150120</v>
      </c>
      <c r="H398" s="126">
        <v>13004567</v>
      </c>
      <c r="I398" s="127">
        <v>6246259</v>
      </c>
      <c r="J398" s="128">
        <v>912854</v>
      </c>
      <c r="K398" s="130">
        <v>20163680</v>
      </c>
      <c r="L398" s="44">
        <v>202193</v>
      </c>
      <c r="M398" s="44">
        <v>379935</v>
      </c>
      <c r="N398" s="44">
        <v>5909046</v>
      </c>
      <c r="O398" s="44">
        <v>270221</v>
      </c>
      <c r="P398" s="44">
        <v>390793</v>
      </c>
      <c r="Q398" s="44">
        <v>2353764</v>
      </c>
      <c r="R398" s="44">
        <v>227936</v>
      </c>
      <c r="S398" s="44">
        <v>584</v>
      </c>
      <c r="T398" s="44">
        <v>828704</v>
      </c>
      <c r="U398" s="44">
        <v>937723</v>
      </c>
      <c r="V398" s="44">
        <v>3500</v>
      </c>
      <c r="W398" s="44">
        <v>1301241</v>
      </c>
      <c r="X398" s="44">
        <v>556525</v>
      </c>
      <c r="Y398" s="44">
        <v>1254704</v>
      </c>
      <c r="Z398" s="44">
        <v>1010644</v>
      </c>
      <c r="AA398" s="44">
        <v>350908</v>
      </c>
      <c r="AB398" s="44">
        <v>90000</v>
      </c>
      <c r="AC398" s="44">
        <v>16068421</v>
      </c>
      <c r="AD398" s="44">
        <v>914900</v>
      </c>
      <c r="AE398" s="44">
        <v>725000</v>
      </c>
      <c r="AF398" s="44">
        <v>219294</v>
      </c>
      <c r="AG398" s="44">
        <v>17927615</v>
      </c>
      <c r="AH398" s="44">
        <v>1284</v>
      </c>
      <c r="AI398" s="44">
        <v>15704</v>
      </c>
      <c r="AJ398" s="44">
        <v>13962</v>
      </c>
      <c r="AK398" s="44">
        <v>140043</v>
      </c>
      <c r="AL398" s="44">
        <v>66345</v>
      </c>
      <c r="AM398" s="44">
        <v>0.45500000000000002</v>
      </c>
      <c r="AN398" s="44">
        <v>0.60904760616512565</v>
      </c>
      <c r="AO398" s="44">
        <v>0.13200000000000001</v>
      </c>
      <c r="AP398" s="44">
        <v>0.74104760616512566</v>
      </c>
      <c r="AQ398" s="44">
        <v>0.8286</v>
      </c>
      <c r="AR398" s="44">
        <v>23.27</v>
      </c>
    </row>
    <row r="399" spans="1:44">
      <c r="A399" t="s">
        <v>1021</v>
      </c>
      <c r="B399" t="s">
        <v>1022</v>
      </c>
      <c r="D399" t="s">
        <v>1639</v>
      </c>
      <c r="E399" s="44">
        <v>413278</v>
      </c>
      <c r="F399" s="44">
        <v>17416785</v>
      </c>
      <c r="G399" s="44">
        <v>2526062</v>
      </c>
      <c r="H399" s="126">
        <v>19942847</v>
      </c>
      <c r="I399" s="127">
        <v>6553888</v>
      </c>
      <c r="J399" s="128">
        <v>1891068</v>
      </c>
      <c r="K399" s="130">
        <v>28387803</v>
      </c>
      <c r="L399" s="44">
        <v>106760</v>
      </c>
      <c r="M399" s="44">
        <v>411181</v>
      </c>
      <c r="N399" s="44">
        <v>9140707</v>
      </c>
      <c r="O399" s="44">
        <v>537514</v>
      </c>
      <c r="P399" s="44">
        <v>632261</v>
      </c>
      <c r="Q399" s="44">
        <v>2866307</v>
      </c>
      <c r="R399" s="44">
        <v>450254</v>
      </c>
      <c r="S399" s="44">
        <v>83986</v>
      </c>
      <c r="T399" s="44">
        <v>1796884</v>
      </c>
      <c r="U399" s="44">
        <v>1184872</v>
      </c>
      <c r="V399" s="44">
        <v>500</v>
      </c>
      <c r="W399" s="44">
        <v>1655228</v>
      </c>
      <c r="X399" s="44">
        <v>1139401</v>
      </c>
      <c r="Y399" s="44">
        <v>3025481</v>
      </c>
      <c r="Z399" s="44">
        <v>1413419</v>
      </c>
      <c r="AA399" s="44">
        <v>553535</v>
      </c>
      <c r="AB399" s="44">
        <v>0</v>
      </c>
      <c r="AC399" s="44">
        <v>24998290</v>
      </c>
      <c r="AD399" s="44">
        <v>1225758</v>
      </c>
      <c r="AE399" s="44">
        <v>1366332</v>
      </c>
      <c r="AF399" s="44">
        <v>1301699</v>
      </c>
      <c r="AG399" s="44">
        <v>28892079</v>
      </c>
      <c r="AH399" s="44">
        <v>1960</v>
      </c>
      <c r="AI399" s="44">
        <v>14484</v>
      </c>
      <c r="AJ399" s="44">
        <v>14741</v>
      </c>
      <c r="AK399" s="44">
        <v>131562</v>
      </c>
      <c r="AL399" s="44">
        <v>61550</v>
      </c>
      <c r="AM399" s="44">
        <v>0.42399999999999999</v>
      </c>
      <c r="AN399" s="44">
        <v>0.57776337244543741</v>
      </c>
      <c r="AO399" s="44">
        <v>0.16700000000000001</v>
      </c>
      <c r="AP399" s="44">
        <v>0.74476337244543744</v>
      </c>
      <c r="AQ399" s="44">
        <v>0.85840000000000005</v>
      </c>
      <c r="AR399" s="44">
        <v>19.440000000000001</v>
      </c>
    </row>
    <row r="400" spans="1:44">
      <c r="A400" t="s">
        <v>1023</v>
      </c>
      <c r="B400" t="s">
        <v>1024</v>
      </c>
      <c r="D400" t="s">
        <v>1639</v>
      </c>
      <c r="E400" s="44">
        <v>474623</v>
      </c>
      <c r="F400" s="44">
        <v>6892097</v>
      </c>
      <c r="G400" s="44">
        <v>1023305</v>
      </c>
      <c r="H400" s="126">
        <v>7915402</v>
      </c>
      <c r="I400" s="127">
        <v>3909259</v>
      </c>
      <c r="J400" s="128">
        <v>827143</v>
      </c>
      <c r="K400" s="130">
        <v>12651804</v>
      </c>
      <c r="L400" s="44">
        <v>70670</v>
      </c>
      <c r="M400" s="44">
        <v>366931</v>
      </c>
      <c r="N400" s="44">
        <v>3770345</v>
      </c>
      <c r="O400" s="44">
        <v>127776</v>
      </c>
      <c r="P400" s="44">
        <v>217728</v>
      </c>
      <c r="Q400" s="44">
        <v>702756</v>
      </c>
      <c r="R400" s="44">
        <v>31821</v>
      </c>
      <c r="S400" s="44">
        <v>266206</v>
      </c>
      <c r="T400" s="44">
        <v>537118</v>
      </c>
      <c r="U400" s="44">
        <v>597989</v>
      </c>
      <c r="V400" s="44">
        <v>0</v>
      </c>
      <c r="W400" s="44">
        <v>802896</v>
      </c>
      <c r="X400" s="44">
        <v>407084</v>
      </c>
      <c r="Y400" s="44">
        <v>1053749</v>
      </c>
      <c r="Z400" s="44">
        <v>565960</v>
      </c>
      <c r="AA400" s="44">
        <v>328508</v>
      </c>
      <c r="AB400" s="44">
        <v>550000</v>
      </c>
      <c r="AC400" s="44">
        <v>10397537</v>
      </c>
      <c r="AD400" s="44">
        <v>653697</v>
      </c>
      <c r="AE400" s="44">
        <v>615000</v>
      </c>
      <c r="AF400" s="44">
        <v>405965</v>
      </c>
      <c r="AG400" s="44">
        <v>12072199</v>
      </c>
      <c r="AH400" s="44">
        <v>777</v>
      </c>
      <c r="AI400" s="44">
        <v>16283</v>
      </c>
      <c r="AJ400" s="44">
        <v>15537</v>
      </c>
      <c r="AK400" s="44">
        <v>179914</v>
      </c>
      <c r="AL400" s="44">
        <v>55699</v>
      </c>
      <c r="AM400" s="44">
        <v>0.46299999999999997</v>
      </c>
      <c r="AN400" s="44">
        <v>0.51786248719061045</v>
      </c>
      <c r="AO400" s="44">
        <v>0.13900000000000001</v>
      </c>
      <c r="AP400" s="44">
        <v>0.65686248719061047</v>
      </c>
      <c r="AQ400" s="44">
        <v>0.80430000000000001</v>
      </c>
      <c r="AR400" s="44">
        <v>20.2</v>
      </c>
    </row>
    <row r="401" spans="1:44">
      <c r="A401" t="s">
        <v>1025</v>
      </c>
      <c r="B401" t="s">
        <v>1026</v>
      </c>
      <c r="D401" t="s">
        <v>1639</v>
      </c>
      <c r="E401" s="44">
        <v>871095</v>
      </c>
      <c r="F401" s="44">
        <v>17270439</v>
      </c>
      <c r="G401" s="44">
        <v>1494181</v>
      </c>
      <c r="H401" s="126">
        <v>18764620</v>
      </c>
      <c r="I401" s="127">
        <v>5197194</v>
      </c>
      <c r="J401" s="128">
        <v>1733668</v>
      </c>
      <c r="K401" s="130">
        <v>25695482</v>
      </c>
      <c r="L401" s="44">
        <v>119016</v>
      </c>
      <c r="M401" s="44">
        <v>370290</v>
      </c>
      <c r="N401" s="44">
        <v>8598172</v>
      </c>
      <c r="O401" s="44">
        <v>295509</v>
      </c>
      <c r="P401" s="44">
        <v>684841</v>
      </c>
      <c r="Q401" s="44">
        <v>2131905</v>
      </c>
      <c r="R401" s="44">
        <v>1105</v>
      </c>
      <c r="S401" s="44">
        <v>0</v>
      </c>
      <c r="T401" s="44">
        <v>1629400</v>
      </c>
      <c r="U401" s="44">
        <v>1163454</v>
      </c>
      <c r="V401" s="44">
        <v>260</v>
      </c>
      <c r="W401" s="44">
        <v>1717509</v>
      </c>
      <c r="X401" s="44">
        <v>775188</v>
      </c>
      <c r="Y401" s="44">
        <v>3229603</v>
      </c>
      <c r="Z401" s="44">
        <v>1596907</v>
      </c>
      <c r="AA401" s="44">
        <v>494693</v>
      </c>
      <c r="AB401" s="44">
        <v>200000</v>
      </c>
      <c r="AC401" s="44">
        <v>23007852</v>
      </c>
      <c r="AD401" s="44">
        <v>1486039</v>
      </c>
      <c r="AE401" s="44">
        <v>1110000</v>
      </c>
      <c r="AF401" s="44">
        <v>705905</v>
      </c>
      <c r="AG401" s="44">
        <v>26309796</v>
      </c>
      <c r="AH401" s="44">
        <v>1565</v>
      </c>
      <c r="AI401" s="44">
        <v>16419</v>
      </c>
      <c r="AJ401" s="44">
        <v>16811</v>
      </c>
      <c r="AK401" s="44">
        <v>128716</v>
      </c>
      <c r="AL401" s="44">
        <v>47657</v>
      </c>
      <c r="AM401" s="44">
        <v>0.36299999999999999</v>
      </c>
      <c r="AN401" s="44">
        <v>0.55129222590703475</v>
      </c>
      <c r="AO401" s="44">
        <v>0.18099999999999999</v>
      </c>
      <c r="AP401" s="44">
        <v>0.7322922259070348</v>
      </c>
      <c r="AQ401" s="44">
        <v>0.84419999999999995</v>
      </c>
      <c r="AR401" s="44">
        <v>19.940000000000001</v>
      </c>
    </row>
    <row r="402" spans="1:44">
      <c r="A402" t="s">
        <v>1027</v>
      </c>
      <c r="B402" t="s">
        <v>1028</v>
      </c>
      <c r="D402" t="s">
        <v>1639</v>
      </c>
      <c r="E402" s="44">
        <v>1279467</v>
      </c>
      <c r="F402" s="44">
        <v>32944021</v>
      </c>
      <c r="G402" s="44">
        <v>4389514</v>
      </c>
      <c r="H402" s="126">
        <v>37333535</v>
      </c>
      <c r="I402" s="127">
        <v>14815769</v>
      </c>
      <c r="J402" s="128">
        <v>3234773</v>
      </c>
      <c r="K402" s="130">
        <v>55384077</v>
      </c>
      <c r="L402" s="44">
        <v>147912</v>
      </c>
      <c r="M402" s="44">
        <v>753840</v>
      </c>
      <c r="N402" s="44">
        <v>18626892</v>
      </c>
      <c r="O402" s="44">
        <v>863404</v>
      </c>
      <c r="P402" s="44">
        <v>1215686</v>
      </c>
      <c r="Q402" s="44">
        <v>7322394</v>
      </c>
      <c r="R402" s="44">
        <v>98201</v>
      </c>
      <c r="S402" s="44">
        <v>41164</v>
      </c>
      <c r="T402" s="44">
        <v>3630132</v>
      </c>
      <c r="U402" s="44">
        <v>2467783</v>
      </c>
      <c r="V402" s="44">
        <v>0</v>
      </c>
      <c r="W402" s="44">
        <v>4410693</v>
      </c>
      <c r="X402" s="44">
        <v>1717250</v>
      </c>
      <c r="Y402" s="44">
        <v>4324239</v>
      </c>
      <c r="Z402" s="44">
        <v>3299470</v>
      </c>
      <c r="AA402" s="44">
        <v>1223173</v>
      </c>
      <c r="AB402" s="44">
        <v>139402</v>
      </c>
      <c r="AC402" s="44">
        <v>50281635</v>
      </c>
      <c r="AD402" s="44">
        <v>2814679</v>
      </c>
      <c r="AE402" s="44">
        <v>1402056</v>
      </c>
      <c r="AF402" s="44">
        <v>676053</v>
      </c>
      <c r="AG402" s="44">
        <v>55174423</v>
      </c>
      <c r="AH402" s="44">
        <v>3880</v>
      </c>
      <c r="AI402" s="44">
        <v>14274</v>
      </c>
      <c r="AJ402" s="44">
        <v>14220</v>
      </c>
      <c r="AK402" s="44">
        <v>127738</v>
      </c>
      <c r="AL402" s="44">
        <v>59103</v>
      </c>
      <c r="AM402" s="44">
        <v>0.40900000000000003</v>
      </c>
      <c r="AN402" s="44">
        <v>0.62104239857660137</v>
      </c>
      <c r="AO402" s="44">
        <v>0.153</v>
      </c>
      <c r="AP402" s="44">
        <v>0.7740423985766014</v>
      </c>
      <c r="AQ402" s="44">
        <v>0.85119999999999996</v>
      </c>
      <c r="AR402" s="44">
        <v>23.94</v>
      </c>
    </row>
    <row r="403" spans="1:44">
      <c r="A403" t="s">
        <v>1029</v>
      </c>
      <c r="B403" t="s">
        <v>1030</v>
      </c>
      <c r="D403" t="s">
        <v>1639</v>
      </c>
      <c r="E403" s="44">
        <v>791045</v>
      </c>
      <c r="F403" s="44">
        <v>15903895</v>
      </c>
      <c r="G403" s="44">
        <v>1809877</v>
      </c>
      <c r="H403" s="126">
        <v>17713772</v>
      </c>
      <c r="I403" s="127">
        <v>3955314</v>
      </c>
      <c r="J403" s="128">
        <v>2340728</v>
      </c>
      <c r="K403" s="130">
        <v>24009814</v>
      </c>
      <c r="L403" s="44">
        <v>182254</v>
      </c>
      <c r="M403" s="44">
        <v>352447</v>
      </c>
      <c r="N403" s="44">
        <v>7749636</v>
      </c>
      <c r="O403" s="44">
        <v>320197</v>
      </c>
      <c r="P403" s="44">
        <v>379882</v>
      </c>
      <c r="Q403" s="44">
        <v>1993962</v>
      </c>
      <c r="R403" s="44">
        <v>100383</v>
      </c>
      <c r="S403" s="44">
        <v>0</v>
      </c>
      <c r="T403" s="44">
        <v>1024974</v>
      </c>
      <c r="U403" s="44">
        <v>832654</v>
      </c>
      <c r="V403" s="44">
        <v>0</v>
      </c>
      <c r="W403" s="44">
        <v>1908811</v>
      </c>
      <c r="X403" s="44">
        <v>540184</v>
      </c>
      <c r="Y403" s="44">
        <v>2220203</v>
      </c>
      <c r="Z403" s="44">
        <v>1421428</v>
      </c>
      <c r="AA403" s="44">
        <v>532745</v>
      </c>
      <c r="AB403" s="44">
        <v>32439</v>
      </c>
      <c r="AC403" s="44">
        <v>19592199</v>
      </c>
      <c r="AD403" s="44">
        <v>1035114</v>
      </c>
      <c r="AE403" s="44">
        <v>1752536</v>
      </c>
      <c r="AF403" s="44">
        <v>1202991</v>
      </c>
      <c r="AG403" s="44">
        <v>23582840</v>
      </c>
      <c r="AH403" s="44">
        <v>1665</v>
      </c>
      <c r="AI403" s="44">
        <v>14420</v>
      </c>
      <c r="AJ403" s="44">
        <v>14164</v>
      </c>
      <c r="AK403" s="44">
        <v>100146</v>
      </c>
      <c r="AL403" s="44">
        <v>49642</v>
      </c>
      <c r="AM403" s="44">
        <v>0.33400000000000002</v>
      </c>
      <c r="AN403" s="44">
        <v>0.52587762966631668</v>
      </c>
      <c r="AO403" s="44">
        <v>0.14899999999999999</v>
      </c>
      <c r="AP403" s="44">
        <v>0.6748776296663167</v>
      </c>
      <c r="AQ403" s="44">
        <v>0.81140000000000001</v>
      </c>
      <c r="AR403" s="44">
        <v>18.39</v>
      </c>
    </row>
    <row r="404" spans="1:44">
      <c r="A404" t="s">
        <v>1031</v>
      </c>
      <c r="B404" t="s">
        <v>1032</v>
      </c>
      <c r="D404" t="s">
        <v>1639</v>
      </c>
      <c r="E404" s="44">
        <v>-651620</v>
      </c>
      <c r="F404" s="44">
        <v>35299360</v>
      </c>
      <c r="G404" s="44">
        <v>4641522</v>
      </c>
      <c r="H404" s="126">
        <v>39940882</v>
      </c>
      <c r="I404" s="127">
        <v>16211196</v>
      </c>
      <c r="J404" s="128">
        <v>2375886</v>
      </c>
      <c r="K404" s="130">
        <v>58527964</v>
      </c>
      <c r="L404" s="44">
        <v>119147</v>
      </c>
      <c r="M404" s="44">
        <v>694514</v>
      </c>
      <c r="N404" s="44">
        <v>21361704</v>
      </c>
      <c r="O404" s="44">
        <v>1014075</v>
      </c>
      <c r="P404" s="44">
        <v>1445443</v>
      </c>
      <c r="Q404" s="44">
        <v>4030670</v>
      </c>
      <c r="R404" s="44">
        <v>0</v>
      </c>
      <c r="S404" s="44">
        <v>5400</v>
      </c>
      <c r="T404" s="44">
        <v>3085324</v>
      </c>
      <c r="U404" s="44">
        <v>1645161</v>
      </c>
      <c r="V404" s="44">
        <v>0</v>
      </c>
      <c r="W404" s="44">
        <v>4710074</v>
      </c>
      <c r="X404" s="44">
        <v>2264051</v>
      </c>
      <c r="Y404" s="44">
        <v>6179418</v>
      </c>
      <c r="Z404" s="44">
        <v>3352589</v>
      </c>
      <c r="AA404" s="44">
        <v>1526092</v>
      </c>
      <c r="AB404" s="44">
        <v>1382596</v>
      </c>
      <c r="AC404" s="44">
        <v>52816258</v>
      </c>
      <c r="AD404" s="44">
        <v>3939029</v>
      </c>
      <c r="AE404" s="44">
        <v>2747798</v>
      </c>
      <c r="AF404" s="44">
        <v>1636905</v>
      </c>
      <c r="AG404" s="44">
        <v>61139990</v>
      </c>
      <c r="AH404" s="44">
        <v>4798</v>
      </c>
      <c r="AI404" s="44">
        <v>12198</v>
      </c>
      <c r="AJ404" s="44">
        <v>12743</v>
      </c>
      <c r="AK404" s="44">
        <v>148228</v>
      </c>
      <c r="AL404" s="44">
        <v>68907</v>
      </c>
      <c r="AM404" s="44">
        <v>0.47499999999999998</v>
      </c>
      <c r="AN404" s="44">
        <v>0.53300265505440869</v>
      </c>
      <c r="AO404" s="44">
        <v>0.16</v>
      </c>
      <c r="AP404" s="44">
        <v>0.69300265505440872</v>
      </c>
      <c r="AQ404" s="44">
        <v>0.82399999999999995</v>
      </c>
      <c r="AR404" s="44">
        <v>16.309999999999999</v>
      </c>
    </row>
    <row r="405" spans="1:44">
      <c r="A405" t="s">
        <v>1033</v>
      </c>
      <c r="B405" t="s">
        <v>1034</v>
      </c>
      <c r="D405" t="s">
        <v>1639</v>
      </c>
      <c r="E405" s="44">
        <v>1781589</v>
      </c>
      <c r="F405" s="44">
        <v>21746127</v>
      </c>
      <c r="G405" s="44">
        <v>2639030</v>
      </c>
      <c r="H405" s="126">
        <v>24385157</v>
      </c>
      <c r="I405" s="127">
        <v>12023313</v>
      </c>
      <c r="J405" s="128">
        <v>2584315</v>
      </c>
      <c r="K405" s="130">
        <v>38992785</v>
      </c>
      <c r="L405" s="44">
        <v>206960</v>
      </c>
      <c r="M405" s="44">
        <v>527255</v>
      </c>
      <c r="N405" s="44">
        <v>12713271</v>
      </c>
      <c r="O405" s="44">
        <v>624396</v>
      </c>
      <c r="P405" s="44">
        <v>845449</v>
      </c>
      <c r="Q405" s="44">
        <v>4045478</v>
      </c>
      <c r="R405" s="44">
        <v>284493</v>
      </c>
      <c r="S405" s="44">
        <v>0</v>
      </c>
      <c r="T405" s="44">
        <v>2267728</v>
      </c>
      <c r="U405" s="44">
        <v>1865836</v>
      </c>
      <c r="V405" s="44">
        <v>0</v>
      </c>
      <c r="W405" s="44">
        <v>3097107</v>
      </c>
      <c r="X405" s="44">
        <v>1227656</v>
      </c>
      <c r="Y405" s="44">
        <v>3565977</v>
      </c>
      <c r="Z405" s="44">
        <v>3010560</v>
      </c>
      <c r="AA405" s="44">
        <v>885824</v>
      </c>
      <c r="AB405" s="44">
        <v>2175</v>
      </c>
      <c r="AC405" s="44">
        <v>35170165</v>
      </c>
      <c r="AD405" s="44">
        <v>1863461</v>
      </c>
      <c r="AE405" s="44">
        <v>763228</v>
      </c>
      <c r="AF405" s="44">
        <v>373996</v>
      </c>
      <c r="AG405" s="44">
        <v>38170850</v>
      </c>
      <c r="AH405" s="44">
        <v>2608</v>
      </c>
      <c r="AI405" s="44">
        <v>14951</v>
      </c>
      <c r="AJ405" s="44">
        <v>14636</v>
      </c>
      <c r="AK405" s="44">
        <v>198199</v>
      </c>
      <c r="AL405" s="44">
        <v>55628</v>
      </c>
      <c r="AM405" s="44">
        <v>0.48699999999999999</v>
      </c>
      <c r="AN405" s="44">
        <v>0.59329700543739528</v>
      </c>
      <c r="AO405" s="44">
        <v>0.17</v>
      </c>
      <c r="AP405" s="44">
        <v>0.76329700543739532</v>
      </c>
      <c r="AQ405" s="44">
        <v>0.82679999999999998</v>
      </c>
      <c r="AR405" s="44">
        <v>18.07</v>
      </c>
    </row>
    <row r="406" spans="1:44">
      <c r="A406" t="s">
        <v>1035</v>
      </c>
      <c r="B406" t="s">
        <v>1036</v>
      </c>
      <c r="D406" t="s">
        <v>1639</v>
      </c>
      <c r="E406" s="44">
        <v>2144617</v>
      </c>
      <c r="F406" s="44">
        <v>13683966</v>
      </c>
      <c r="G406" s="44">
        <v>5995156</v>
      </c>
      <c r="H406" s="126">
        <v>19679122</v>
      </c>
      <c r="I406" s="127">
        <v>42935272</v>
      </c>
      <c r="J406" s="128">
        <v>4314544</v>
      </c>
      <c r="K406" s="130">
        <v>66928938</v>
      </c>
      <c r="L406" s="44">
        <v>276870</v>
      </c>
      <c r="M406" s="44">
        <v>972401</v>
      </c>
      <c r="N406" s="44">
        <v>22765441</v>
      </c>
      <c r="O406" s="44">
        <v>1157830</v>
      </c>
      <c r="P406" s="44">
        <v>1220955</v>
      </c>
      <c r="Q406" s="44">
        <v>3821198</v>
      </c>
      <c r="R406" s="44">
        <v>214797</v>
      </c>
      <c r="S406" s="44">
        <v>0</v>
      </c>
      <c r="T406" s="44">
        <v>3985261</v>
      </c>
      <c r="U406" s="44">
        <v>2732125</v>
      </c>
      <c r="V406" s="44">
        <v>0</v>
      </c>
      <c r="W406" s="44">
        <v>5106860</v>
      </c>
      <c r="X406" s="44">
        <v>2243494</v>
      </c>
      <c r="Y406" s="44">
        <v>10564573</v>
      </c>
      <c r="Z406" s="44">
        <v>4462859</v>
      </c>
      <c r="AA406" s="44">
        <v>1540495</v>
      </c>
      <c r="AB406" s="44">
        <v>62789</v>
      </c>
      <c r="AC406" s="44">
        <v>61127948</v>
      </c>
      <c r="AD406" s="44">
        <v>2614669</v>
      </c>
      <c r="AE406" s="44">
        <v>901918</v>
      </c>
      <c r="AF406" s="44">
        <v>935340</v>
      </c>
      <c r="AG406" s="44">
        <v>65579875</v>
      </c>
      <c r="AH406" s="44">
        <v>4670</v>
      </c>
      <c r="AI406" s="44">
        <v>14332</v>
      </c>
      <c r="AJ406" s="44">
        <v>14043</v>
      </c>
      <c r="AK406" s="44">
        <v>300612</v>
      </c>
      <c r="AL406" s="44">
        <v>77320</v>
      </c>
      <c r="AM406" s="44">
        <v>0.71</v>
      </c>
      <c r="AN406" s="44">
        <v>0.54738754839041703</v>
      </c>
      <c r="AO406" s="44">
        <v>0.22</v>
      </c>
      <c r="AP406" s="44">
        <v>0.76738754839041701</v>
      </c>
      <c r="AQ406" s="44">
        <v>0.82250000000000001</v>
      </c>
      <c r="AR406" s="44">
        <v>25.88</v>
      </c>
    </row>
    <row r="407" spans="1:44">
      <c r="A407" t="s">
        <v>1037</v>
      </c>
      <c r="B407" t="s">
        <v>1038</v>
      </c>
      <c r="D407" t="s">
        <v>1639</v>
      </c>
      <c r="E407" s="44">
        <v>1445579</v>
      </c>
      <c r="F407" s="44">
        <v>10104157</v>
      </c>
      <c r="G407" s="44">
        <v>1162535</v>
      </c>
      <c r="H407" s="126">
        <v>11266692</v>
      </c>
      <c r="I407" s="127">
        <v>4974786</v>
      </c>
      <c r="J407" s="128">
        <v>1289451</v>
      </c>
      <c r="K407" s="130">
        <v>17530929</v>
      </c>
      <c r="L407" s="44">
        <v>88341</v>
      </c>
      <c r="M407" s="44">
        <v>347963</v>
      </c>
      <c r="N407" s="44">
        <v>5872555</v>
      </c>
      <c r="O407" s="44">
        <v>293825</v>
      </c>
      <c r="P407" s="44">
        <v>264546</v>
      </c>
      <c r="Q407" s="44">
        <v>901047</v>
      </c>
      <c r="R407" s="44">
        <v>49686</v>
      </c>
      <c r="S407" s="44">
        <v>0</v>
      </c>
      <c r="T407" s="44">
        <v>882456</v>
      </c>
      <c r="U407" s="44">
        <v>772276</v>
      </c>
      <c r="V407" s="44">
        <v>3768</v>
      </c>
      <c r="W407" s="44">
        <v>1309120</v>
      </c>
      <c r="X407" s="44">
        <v>541411</v>
      </c>
      <c r="Y407" s="44">
        <v>2082534</v>
      </c>
      <c r="Z407" s="44">
        <v>1125787</v>
      </c>
      <c r="AA407" s="44">
        <v>313636</v>
      </c>
      <c r="AB407" s="44">
        <v>0</v>
      </c>
      <c r="AC407" s="44">
        <v>14848951</v>
      </c>
      <c r="AD407" s="44">
        <v>613682</v>
      </c>
      <c r="AE407" s="44">
        <v>640000</v>
      </c>
      <c r="AF407" s="44">
        <v>308238</v>
      </c>
      <c r="AG407" s="44">
        <v>16410871</v>
      </c>
      <c r="AH407" s="44">
        <v>1211</v>
      </c>
      <c r="AI407" s="44">
        <v>14476</v>
      </c>
      <c r="AJ407" s="44">
        <v>13552</v>
      </c>
      <c r="AK407" s="44">
        <v>155007</v>
      </c>
      <c r="AL407" s="44">
        <v>64916</v>
      </c>
      <c r="AM407" s="44">
        <v>0.46800000000000003</v>
      </c>
      <c r="AN407" s="44">
        <v>0.5506344544418148</v>
      </c>
      <c r="AO407" s="44">
        <v>0.19800000000000001</v>
      </c>
      <c r="AP407" s="44">
        <v>0.74863445444181487</v>
      </c>
      <c r="AQ407" s="44">
        <v>0.8266</v>
      </c>
      <c r="AR407" s="44">
        <v>20.99</v>
      </c>
    </row>
    <row r="408" spans="1:44">
      <c r="A408" t="s">
        <v>1039</v>
      </c>
      <c r="B408" t="s">
        <v>1040</v>
      </c>
      <c r="D408" t="s">
        <v>1639</v>
      </c>
      <c r="E408" s="44">
        <v>687249</v>
      </c>
      <c r="F408" s="44">
        <v>12919615</v>
      </c>
      <c r="G408" s="44">
        <v>1233245</v>
      </c>
      <c r="H408" s="126">
        <v>14152860</v>
      </c>
      <c r="I408" s="127">
        <v>5939887</v>
      </c>
      <c r="J408" s="128">
        <v>1021767</v>
      </c>
      <c r="K408" s="130">
        <v>21114514</v>
      </c>
      <c r="L408" s="44">
        <v>110602</v>
      </c>
      <c r="M408" s="44">
        <v>473838</v>
      </c>
      <c r="N408" s="44">
        <v>5257033</v>
      </c>
      <c r="O408" s="44">
        <v>374259</v>
      </c>
      <c r="P408" s="44">
        <v>279934</v>
      </c>
      <c r="Q408" s="44">
        <v>1481094</v>
      </c>
      <c r="R408" s="44">
        <v>40564</v>
      </c>
      <c r="S408" s="44">
        <v>0</v>
      </c>
      <c r="T408" s="44">
        <v>932427</v>
      </c>
      <c r="U408" s="44">
        <v>831143</v>
      </c>
      <c r="V408" s="44">
        <v>0</v>
      </c>
      <c r="W408" s="44">
        <v>1328889</v>
      </c>
      <c r="X408" s="44">
        <v>516726</v>
      </c>
      <c r="Y408" s="44">
        <v>1982387</v>
      </c>
      <c r="Z408" s="44">
        <v>1182799</v>
      </c>
      <c r="AA408" s="44">
        <v>327010</v>
      </c>
      <c r="AB408" s="44">
        <v>0</v>
      </c>
      <c r="AC408" s="44">
        <v>15118705</v>
      </c>
      <c r="AD408" s="44">
        <v>1010686</v>
      </c>
      <c r="AE408" s="44">
        <v>1944358</v>
      </c>
      <c r="AF408" s="44">
        <v>890330</v>
      </c>
      <c r="AG408" s="44">
        <v>18964079</v>
      </c>
      <c r="AH408" s="44">
        <v>1051</v>
      </c>
      <c r="AI408" s="44">
        <v>20090</v>
      </c>
      <c r="AJ408" s="44">
        <v>18044</v>
      </c>
      <c r="AK408" s="44">
        <v>206373</v>
      </c>
      <c r="AL408" s="44">
        <v>49845</v>
      </c>
      <c r="AM408" s="44">
        <v>0.47299999999999998</v>
      </c>
      <c r="AN408" s="44">
        <v>0.48494071344039436</v>
      </c>
      <c r="AO408" s="44">
        <v>0.158</v>
      </c>
      <c r="AP408" s="44">
        <v>0.64294071344039438</v>
      </c>
      <c r="AQ408" s="44">
        <v>0.80640000000000001</v>
      </c>
      <c r="AR408" s="44">
        <v>20.93</v>
      </c>
    </row>
    <row r="409" spans="1:44">
      <c r="A409" t="s">
        <v>1041</v>
      </c>
      <c r="B409" t="s">
        <v>1042</v>
      </c>
      <c r="D409" t="s">
        <v>1639</v>
      </c>
      <c r="E409" s="44">
        <v>933119</v>
      </c>
      <c r="F409" s="44">
        <v>20360179</v>
      </c>
      <c r="G409" s="44">
        <v>3236924</v>
      </c>
      <c r="H409" s="126">
        <v>23597103</v>
      </c>
      <c r="I409" s="127">
        <v>10839512</v>
      </c>
      <c r="J409" s="128">
        <v>1786590</v>
      </c>
      <c r="K409" s="130">
        <v>36223205</v>
      </c>
      <c r="L409" s="44">
        <v>119781</v>
      </c>
      <c r="M409" s="44">
        <v>616554</v>
      </c>
      <c r="N409" s="44">
        <v>13244676</v>
      </c>
      <c r="O409" s="44">
        <v>485686</v>
      </c>
      <c r="P409" s="44">
        <v>701962</v>
      </c>
      <c r="Q409" s="44">
        <v>4201388</v>
      </c>
      <c r="R409" s="44">
        <v>12930</v>
      </c>
      <c r="S409" s="44">
        <v>0</v>
      </c>
      <c r="T409" s="44">
        <v>1710654</v>
      </c>
      <c r="U409" s="44">
        <v>1260753</v>
      </c>
      <c r="V409" s="44">
        <v>0</v>
      </c>
      <c r="W409" s="44">
        <v>2288171</v>
      </c>
      <c r="X409" s="44">
        <v>1305433</v>
      </c>
      <c r="Y409" s="44">
        <v>4134813</v>
      </c>
      <c r="Z409" s="44">
        <v>2282647</v>
      </c>
      <c r="AA409" s="44">
        <v>549636</v>
      </c>
      <c r="AB409" s="44">
        <v>0</v>
      </c>
      <c r="AC409" s="44">
        <v>32915084</v>
      </c>
      <c r="AD409" s="44">
        <v>1730011</v>
      </c>
      <c r="AE409" s="44">
        <v>637329</v>
      </c>
      <c r="AF409" s="44">
        <v>348146</v>
      </c>
      <c r="AG409" s="44">
        <v>35630570</v>
      </c>
      <c r="AH409" s="44">
        <v>2324</v>
      </c>
      <c r="AI409" s="44">
        <v>15587</v>
      </c>
      <c r="AJ409" s="44">
        <v>15332</v>
      </c>
      <c r="AK409" s="44">
        <v>154080</v>
      </c>
      <c r="AL409" s="44">
        <v>68434</v>
      </c>
      <c r="AM409" s="44">
        <v>0.48100000000000004</v>
      </c>
      <c r="AN409" s="44">
        <v>0.60672756568306374</v>
      </c>
      <c r="AO409" s="44">
        <v>0.183</v>
      </c>
      <c r="AP409" s="44">
        <v>0.78972756568306379</v>
      </c>
      <c r="AQ409" s="44">
        <v>0.8548</v>
      </c>
      <c r="AR409" s="44">
        <v>22.29</v>
      </c>
    </row>
    <row r="410" spans="1:44">
      <c r="A410" t="s">
        <v>1043</v>
      </c>
      <c r="B410" t="s">
        <v>1044</v>
      </c>
      <c r="D410" t="s">
        <v>1639</v>
      </c>
      <c r="E410" s="44">
        <v>409717</v>
      </c>
      <c r="F410" s="44">
        <v>4582323</v>
      </c>
      <c r="G410" s="44">
        <v>513141</v>
      </c>
      <c r="H410" s="126">
        <v>5095464</v>
      </c>
      <c r="I410" s="127">
        <v>1765519</v>
      </c>
      <c r="J410" s="128">
        <v>366093</v>
      </c>
      <c r="K410" s="130">
        <v>7227076</v>
      </c>
      <c r="L410" s="44">
        <v>58620</v>
      </c>
      <c r="M410" s="44">
        <v>322431</v>
      </c>
      <c r="N410" s="44">
        <v>2221305</v>
      </c>
      <c r="O410" s="44">
        <v>49648</v>
      </c>
      <c r="P410" s="44">
        <v>180830</v>
      </c>
      <c r="Q410" s="44">
        <v>530934</v>
      </c>
      <c r="R410" s="44">
        <v>77236</v>
      </c>
      <c r="S410" s="44">
        <v>52023</v>
      </c>
      <c r="T410" s="44">
        <v>435687</v>
      </c>
      <c r="U410" s="44">
        <v>337137</v>
      </c>
      <c r="V410" s="44">
        <v>500</v>
      </c>
      <c r="W410" s="44">
        <v>357510</v>
      </c>
      <c r="X410" s="44">
        <v>235700</v>
      </c>
      <c r="Y410" s="44">
        <v>931612</v>
      </c>
      <c r="Z410" s="44">
        <v>402731</v>
      </c>
      <c r="AA410" s="44">
        <v>239435</v>
      </c>
      <c r="AB410" s="44">
        <v>75000</v>
      </c>
      <c r="AC410" s="44">
        <v>6508339</v>
      </c>
      <c r="AD410" s="44">
        <v>474422</v>
      </c>
      <c r="AE410" s="44">
        <v>98797</v>
      </c>
      <c r="AF410" s="44">
        <v>9010</v>
      </c>
      <c r="AG410" s="44">
        <v>7090568</v>
      </c>
      <c r="AH410" s="44">
        <v>509</v>
      </c>
      <c r="AI410" s="44">
        <v>14199</v>
      </c>
      <c r="AJ410" s="44">
        <v>13930</v>
      </c>
      <c r="AK410" s="44">
        <v>166181</v>
      </c>
      <c r="AL410" s="44">
        <v>61326</v>
      </c>
      <c r="AM410" s="44">
        <v>0.46799999999999997</v>
      </c>
      <c r="AN410" s="44">
        <v>0.54788276482222575</v>
      </c>
      <c r="AO410" s="44">
        <v>0.17899999999999999</v>
      </c>
      <c r="AP410" s="44">
        <v>0.7268827648222258</v>
      </c>
      <c r="AQ410" s="44">
        <v>0.79890000000000005</v>
      </c>
      <c r="AR410" s="44">
        <v>14.2</v>
      </c>
    </row>
    <row r="411" spans="1:44">
      <c r="A411" t="s">
        <v>1045</v>
      </c>
      <c r="B411" t="s">
        <v>1046</v>
      </c>
      <c r="D411" t="s">
        <v>1639</v>
      </c>
      <c r="E411" s="44">
        <v>151275</v>
      </c>
      <c r="F411" s="44">
        <v>5748859</v>
      </c>
      <c r="G411" s="44">
        <v>458313</v>
      </c>
      <c r="H411" s="126">
        <v>6207172</v>
      </c>
      <c r="I411" s="127">
        <v>2109034</v>
      </c>
      <c r="J411" s="128">
        <v>317104</v>
      </c>
      <c r="K411" s="130">
        <v>8633310</v>
      </c>
      <c r="L411" s="44">
        <v>67979</v>
      </c>
      <c r="M411" s="44">
        <v>199239</v>
      </c>
      <c r="N411" s="44">
        <v>2442518</v>
      </c>
      <c r="O411" s="44">
        <v>111971</v>
      </c>
      <c r="P411" s="44">
        <v>93421</v>
      </c>
      <c r="Q411" s="44">
        <v>853913</v>
      </c>
      <c r="R411" s="44">
        <v>0</v>
      </c>
      <c r="S411" s="44">
        <v>316011</v>
      </c>
      <c r="T411" s="44">
        <v>309648</v>
      </c>
      <c r="U411" s="44">
        <v>276856</v>
      </c>
      <c r="V411" s="44">
        <v>1528</v>
      </c>
      <c r="W411" s="44">
        <v>473487</v>
      </c>
      <c r="X411" s="44">
        <v>237263</v>
      </c>
      <c r="Y411" s="44">
        <v>891603</v>
      </c>
      <c r="Z411" s="44">
        <v>389989</v>
      </c>
      <c r="AA411" s="44">
        <v>220609</v>
      </c>
      <c r="AB411" s="44">
        <v>2805</v>
      </c>
      <c r="AC411" s="44">
        <v>6888840</v>
      </c>
      <c r="AD411" s="44">
        <v>466613</v>
      </c>
      <c r="AE411" s="44">
        <v>836227</v>
      </c>
      <c r="AF411" s="44">
        <v>378235</v>
      </c>
      <c r="AG411" s="44">
        <v>8569915</v>
      </c>
      <c r="AH411" s="44">
        <v>570</v>
      </c>
      <c r="AI411" s="44">
        <v>15146</v>
      </c>
      <c r="AJ411" s="44">
        <v>15035</v>
      </c>
      <c r="AK411" s="44">
        <v>174402</v>
      </c>
      <c r="AL411" s="44">
        <v>57210</v>
      </c>
      <c r="AM411" s="44">
        <v>0.46200000000000002</v>
      </c>
      <c r="AN411" s="44">
        <v>0.51393018483847275</v>
      </c>
      <c r="AO411" s="44">
        <v>0.14099999999999999</v>
      </c>
      <c r="AP411" s="44">
        <v>0.65493018483847276</v>
      </c>
      <c r="AQ411" s="44">
        <v>0.8145</v>
      </c>
      <c r="AR411" s="44">
        <v>15.88</v>
      </c>
    </row>
    <row r="412" spans="1:44">
      <c r="A412" t="s">
        <v>1047</v>
      </c>
      <c r="B412" t="s">
        <v>1048</v>
      </c>
      <c r="D412" t="s">
        <v>1639</v>
      </c>
      <c r="E412" s="44">
        <v>636166</v>
      </c>
      <c r="F412" s="44">
        <v>4015872</v>
      </c>
      <c r="G412" s="44">
        <v>537073</v>
      </c>
      <c r="H412" s="126">
        <v>4552945</v>
      </c>
      <c r="I412" s="127">
        <v>1713041</v>
      </c>
      <c r="J412" s="128">
        <v>257337</v>
      </c>
      <c r="K412" s="130">
        <v>6523323</v>
      </c>
      <c r="L412" s="44">
        <v>79922</v>
      </c>
      <c r="M412" s="44">
        <v>168653</v>
      </c>
      <c r="N412" s="44">
        <v>1815315</v>
      </c>
      <c r="O412" s="44">
        <v>88683</v>
      </c>
      <c r="P412" s="44">
        <v>66986</v>
      </c>
      <c r="Q412" s="44">
        <v>1121007</v>
      </c>
      <c r="R412" s="44">
        <v>876</v>
      </c>
      <c r="S412" s="44">
        <v>99694</v>
      </c>
      <c r="T412" s="44">
        <v>413693</v>
      </c>
      <c r="U412" s="44">
        <v>244404</v>
      </c>
      <c r="V412" s="44">
        <v>2812</v>
      </c>
      <c r="W412" s="44">
        <v>394271</v>
      </c>
      <c r="X412" s="44">
        <v>180747</v>
      </c>
      <c r="Y412" s="44">
        <v>727113</v>
      </c>
      <c r="Z412" s="44">
        <v>410528</v>
      </c>
      <c r="AA412" s="44">
        <v>134551</v>
      </c>
      <c r="AB412" s="44">
        <v>1442</v>
      </c>
      <c r="AC412" s="44">
        <v>5950697</v>
      </c>
      <c r="AD412" s="44">
        <v>399181</v>
      </c>
      <c r="AE412" s="44">
        <v>138167</v>
      </c>
      <c r="AF412" s="44">
        <v>46922</v>
      </c>
      <c r="AG412" s="44">
        <v>6534967</v>
      </c>
      <c r="AH412" s="44">
        <v>437</v>
      </c>
      <c r="AI412" s="44">
        <v>14928</v>
      </c>
      <c r="AJ412" s="44">
        <v>14954</v>
      </c>
      <c r="AK412" s="44">
        <v>165798</v>
      </c>
      <c r="AL412" s="44">
        <v>54667</v>
      </c>
      <c r="AM412" s="44">
        <v>0.44</v>
      </c>
      <c r="AN412" s="44">
        <v>0.58923908873602571</v>
      </c>
      <c r="AO412" s="44">
        <v>0.16300000000000001</v>
      </c>
      <c r="AP412" s="44">
        <v>0.75223908873602574</v>
      </c>
      <c r="AQ412" s="44">
        <v>0.82609999999999995</v>
      </c>
      <c r="AR412" s="44">
        <v>15.71</v>
      </c>
    </row>
    <row r="413" spans="1:44">
      <c r="A413" t="s">
        <v>1049</v>
      </c>
      <c r="B413" t="s">
        <v>1050</v>
      </c>
      <c r="D413" t="s">
        <v>1639</v>
      </c>
      <c r="E413" s="44">
        <v>481949</v>
      </c>
      <c r="F413" s="44">
        <v>4016108</v>
      </c>
      <c r="G413" s="44">
        <v>640685</v>
      </c>
      <c r="H413" s="126">
        <v>4656793</v>
      </c>
      <c r="I413" s="127">
        <v>2110555</v>
      </c>
      <c r="J413" s="128">
        <v>367528</v>
      </c>
      <c r="K413" s="130">
        <v>7134876</v>
      </c>
      <c r="L413" s="44">
        <v>24133</v>
      </c>
      <c r="M413" s="44">
        <v>303108</v>
      </c>
      <c r="N413" s="44">
        <v>1865588</v>
      </c>
      <c r="O413" s="44">
        <v>207974</v>
      </c>
      <c r="P413" s="44">
        <v>76135</v>
      </c>
      <c r="Q413" s="44">
        <v>754319</v>
      </c>
      <c r="R413" s="44">
        <v>79609</v>
      </c>
      <c r="S413" s="44">
        <v>31340</v>
      </c>
      <c r="T413" s="44">
        <v>368853</v>
      </c>
      <c r="U413" s="44">
        <v>180685</v>
      </c>
      <c r="V413" s="44">
        <v>0</v>
      </c>
      <c r="W413" s="44">
        <v>457980</v>
      </c>
      <c r="X413" s="44">
        <v>179226</v>
      </c>
      <c r="Y413" s="44">
        <v>605328</v>
      </c>
      <c r="Z413" s="44">
        <v>346374</v>
      </c>
      <c r="AA413" s="44">
        <v>140343</v>
      </c>
      <c r="AB413" s="44">
        <v>0</v>
      </c>
      <c r="AC413" s="44">
        <v>5620995</v>
      </c>
      <c r="AD413" s="44">
        <v>325077</v>
      </c>
      <c r="AE413" s="44">
        <v>629545</v>
      </c>
      <c r="AF413" s="44">
        <v>278113</v>
      </c>
      <c r="AG413" s="44">
        <v>6853730</v>
      </c>
      <c r="AH413" s="44">
        <v>391</v>
      </c>
      <c r="AI413" s="44">
        <v>18248</v>
      </c>
      <c r="AJ413" s="44">
        <v>17529</v>
      </c>
      <c r="AK413" s="44">
        <v>207607</v>
      </c>
      <c r="AL413" s="44">
        <v>68193</v>
      </c>
      <c r="AM413" s="44">
        <v>0.55000000000000004</v>
      </c>
      <c r="AN413" s="44">
        <v>0.52008220341332378</v>
      </c>
      <c r="AO413" s="44">
        <v>0.13200000000000001</v>
      </c>
      <c r="AP413" s="44">
        <v>0.65208220341332379</v>
      </c>
      <c r="AQ413" s="44">
        <v>0.79149999999999998</v>
      </c>
      <c r="AR413" s="44">
        <v>19.43</v>
      </c>
    </row>
    <row r="414" spans="1:44">
      <c r="A414" t="s">
        <v>1051</v>
      </c>
      <c r="B414" t="s">
        <v>1052</v>
      </c>
      <c r="D414" t="s">
        <v>1639</v>
      </c>
      <c r="E414" s="44">
        <v>632011</v>
      </c>
      <c r="F414" s="44">
        <v>4511791</v>
      </c>
      <c r="G414" s="44">
        <v>676015</v>
      </c>
      <c r="H414" s="126">
        <v>5187806</v>
      </c>
      <c r="I414" s="127">
        <v>3134979</v>
      </c>
      <c r="J414" s="128">
        <v>380761</v>
      </c>
      <c r="K414" s="130">
        <v>8703546</v>
      </c>
      <c r="L414" s="44">
        <v>114836</v>
      </c>
      <c r="M414" s="44">
        <v>224585</v>
      </c>
      <c r="N414" s="44">
        <v>2489440</v>
      </c>
      <c r="O414" s="44">
        <v>96932</v>
      </c>
      <c r="P414" s="44">
        <v>71466</v>
      </c>
      <c r="Q414" s="44">
        <v>1147198</v>
      </c>
      <c r="R414" s="44">
        <v>116408</v>
      </c>
      <c r="S414" s="44">
        <v>0</v>
      </c>
      <c r="T414" s="44">
        <v>522237</v>
      </c>
      <c r="U414" s="44">
        <v>365541</v>
      </c>
      <c r="V414" s="44">
        <v>3200</v>
      </c>
      <c r="W414" s="44">
        <v>460265</v>
      </c>
      <c r="X414" s="44">
        <v>258653</v>
      </c>
      <c r="Y414" s="44">
        <v>1269630</v>
      </c>
      <c r="Z414" s="44">
        <v>411777</v>
      </c>
      <c r="AA414" s="44">
        <v>201534</v>
      </c>
      <c r="AB414" s="44">
        <v>16977</v>
      </c>
      <c r="AC414" s="44">
        <v>7770679</v>
      </c>
      <c r="AD414" s="44">
        <v>400253</v>
      </c>
      <c r="AE414" s="44">
        <v>313300</v>
      </c>
      <c r="AF414" s="44">
        <v>147914</v>
      </c>
      <c r="AG414" s="44">
        <v>8632146</v>
      </c>
      <c r="AH414" s="44">
        <v>496</v>
      </c>
      <c r="AI414" s="44">
        <v>17547</v>
      </c>
      <c r="AJ414" s="44">
        <v>17404</v>
      </c>
      <c r="AK414" s="44">
        <v>229279</v>
      </c>
      <c r="AL414" s="44">
        <v>65602</v>
      </c>
      <c r="AM414" s="44">
        <v>0.56800000000000006</v>
      </c>
      <c r="AN414" s="44">
        <v>0.55712936273320679</v>
      </c>
      <c r="AO414" s="44">
        <v>0.187</v>
      </c>
      <c r="AP414" s="44">
        <v>0.74412936273320684</v>
      </c>
      <c r="AQ414" s="44">
        <v>0.82589999999999997</v>
      </c>
      <c r="AR414" s="44">
        <v>18.91</v>
      </c>
    </row>
    <row r="415" spans="1:44">
      <c r="A415" t="s">
        <v>1053</v>
      </c>
      <c r="B415" t="s">
        <v>1054</v>
      </c>
      <c r="D415" t="s">
        <v>1639</v>
      </c>
      <c r="E415" s="44">
        <v>335664</v>
      </c>
      <c r="F415" s="44">
        <v>4901919</v>
      </c>
      <c r="G415" s="44">
        <v>641506</v>
      </c>
      <c r="H415" s="126">
        <v>5543425</v>
      </c>
      <c r="I415" s="127">
        <v>2125544</v>
      </c>
      <c r="J415" s="128">
        <v>461665</v>
      </c>
      <c r="K415" s="130">
        <v>8130634</v>
      </c>
      <c r="L415" s="44">
        <v>57051</v>
      </c>
      <c r="M415" s="44">
        <v>268259</v>
      </c>
      <c r="N415" s="44">
        <v>1944534</v>
      </c>
      <c r="O415" s="44">
        <v>88745</v>
      </c>
      <c r="P415" s="44">
        <v>82661</v>
      </c>
      <c r="Q415" s="44">
        <v>780611</v>
      </c>
      <c r="R415" s="44">
        <v>116301</v>
      </c>
      <c r="S415" s="44">
        <v>25179</v>
      </c>
      <c r="T415" s="44">
        <v>391665</v>
      </c>
      <c r="U415" s="44">
        <v>222613</v>
      </c>
      <c r="V415" s="44">
        <v>0</v>
      </c>
      <c r="W415" s="44">
        <v>421135</v>
      </c>
      <c r="X415" s="44">
        <v>188920</v>
      </c>
      <c r="Y415" s="44">
        <v>1113622</v>
      </c>
      <c r="Z415" s="44">
        <v>327529</v>
      </c>
      <c r="AA415" s="44">
        <v>189871</v>
      </c>
      <c r="AB415" s="44">
        <v>0</v>
      </c>
      <c r="AC415" s="44">
        <v>6218696</v>
      </c>
      <c r="AD415" s="44">
        <v>372933</v>
      </c>
      <c r="AE415" s="44">
        <v>825805</v>
      </c>
      <c r="AF415" s="44">
        <v>433040</v>
      </c>
      <c r="AG415" s="44">
        <v>7850474</v>
      </c>
      <c r="AH415" s="44">
        <v>480</v>
      </c>
      <c r="AI415" s="44">
        <v>16939</v>
      </c>
      <c r="AJ415" s="44">
        <v>16355</v>
      </c>
      <c r="AK415" s="44">
        <v>178962</v>
      </c>
      <c r="AL415" s="44">
        <v>62514</v>
      </c>
      <c r="AM415" s="44">
        <v>0.49</v>
      </c>
      <c r="AN415" s="44">
        <v>0.46523420114505187</v>
      </c>
      <c r="AO415" s="44">
        <v>0.17399999999999999</v>
      </c>
      <c r="AP415" s="44">
        <v>0.63923420114505181</v>
      </c>
      <c r="AQ415" s="44">
        <v>0.80330000000000001</v>
      </c>
      <c r="AR415" s="44">
        <v>18.260000000000002</v>
      </c>
    </row>
    <row r="416" spans="1:44">
      <c r="A416" t="s">
        <v>1055</v>
      </c>
      <c r="B416" t="s">
        <v>1056</v>
      </c>
      <c r="D416" t="s">
        <v>1639</v>
      </c>
      <c r="E416" s="44">
        <v>744566</v>
      </c>
      <c r="F416" s="44">
        <v>13447576</v>
      </c>
      <c r="G416" s="44">
        <v>2769293</v>
      </c>
      <c r="H416" s="126">
        <v>16216869</v>
      </c>
      <c r="I416" s="127">
        <v>14499363</v>
      </c>
      <c r="J416" s="128">
        <v>1449596</v>
      </c>
      <c r="K416" s="130">
        <v>32165828</v>
      </c>
      <c r="L416" s="44">
        <v>110844</v>
      </c>
      <c r="M416" s="44">
        <v>386410</v>
      </c>
      <c r="N416" s="44">
        <v>11670952</v>
      </c>
      <c r="O416" s="44">
        <v>453502</v>
      </c>
      <c r="P416" s="44">
        <v>944424</v>
      </c>
      <c r="Q416" s="44">
        <v>1655535</v>
      </c>
      <c r="R416" s="44">
        <v>218018</v>
      </c>
      <c r="S416" s="44">
        <v>91998</v>
      </c>
      <c r="T416" s="44">
        <v>1828076</v>
      </c>
      <c r="U416" s="44">
        <v>1340753</v>
      </c>
      <c r="V416" s="44">
        <v>117149</v>
      </c>
      <c r="W416" s="44">
        <v>2345465</v>
      </c>
      <c r="X416" s="44">
        <v>1183251</v>
      </c>
      <c r="Y416" s="44">
        <v>3775511</v>
      </c>
      <c r="Z416" s="44">
        <v>2031728</v>
      </c>
      <c r="AA416" s="44">
        <v>714987</v>
      </c>
      <c r="AB416" s="44">
        <v>0</v>
      </c>
      <c r="AC416" s="44">
        <v>28868603</v>
      </c>
      <c r="AD416" s="44">
        <v>855631</v>
      </c>
      <c r="AE416" s="44">
        <v>1837800</v>
      </c>
      <c r="AF416" s="44">
        <v>998813</v>
      </c>
      <c r="AG416" s="44">
        <v>32560847</v>
      </c>
      <c r="AH416" s="44">
        <v>2051</v>
      </c>
      <c r="AI416" s="44">
        <v>15683</v>
      </c>
      <c r="AJ416" s="44">
        <v>15876</v>
      </c>
      <c r="AK416" s="44">
        <v>239527</v>
      </c>
      <c r="AL416" s="44">
        <v>89544</v>
      </c>
      <c r="AM416" s="44">
        <v>0.68</v>
      </c>
      <c r="AN416" s="44">
        <v>0.55905357744532869</v>
      </c>
      <c r="AO416" s="44">
        <v>0.19600000000000001</v>
      </c>
      <c r="AP416" s="44">
        <v>0.75505357744532864</v>
      </c>
      <c r="AQ416" s="44">
        <v>0.8508</v>
      </c>
      <c r="AR416" s="44">
        <v>20.36</v>
      </c>
    </row>
    <row r="417" spans="1:44">
      <c r="A417" t="s">
        <v>1057</v>
      </c>
      <c r="B417" t="s">
        <v>1058</v>
      </c>
      <c r="D417" t="s">
        <v>1639</v>
      </c>
      <c r="E417" s="44">
        <v>775506</v>
      </c>
      <c r="F417" s="44">
        <v>10222325</v>
      </c>
      <c r="G417" s="44">
        <v>1516487</v>
      </c>
      <c r="H417" s="126">
        <v>11738812</v>
      </c>
      <c r="I417" s="127">
        <v>4459861</v>
      </c>
      <c r="J417" s="128">
        <v>813461</v>
      </c>
      <c r="K417" s="130">
        <v>17012134</v>
      </c>
      <c r="L417" s="44">
        <v>65157</v>
      </c>
      <c r="M417" s="44">
        <v>497544</v>
      </c>
      <c r="N417" s="44">
        <v>5400802</v>
      </c>
      <c r="O417" s="44">
        <v>343545</v>
      </c>
      <c r="P417" s="44">
        <v>302164</v>
      </c>
      <c r="Q417" s="44">
        <v>1345649</v>
      </c>
      <c r="R417" s="44">
        <v>57163</v>
      </c>
      <c r="S417" s="44">
        <v>94645</v>
      </c>
      <c r="T417" s="44">
        <v>1059534</v>
      </c>
      <c r="U417" s="44">
        <v>521087</v>
      </c>
      <c r="V417" s="44">
        <v>38553</v>
      </c>
      <c r="W417" s="44">
        <v>1142537</v>
      </c>
      <c r="X417" s="44">
        <v>620000</v>
      </c>
      <c r="Y417" s="44">
        <v>2070688</v>
      </c>
      <c r="Z417" s="44">
        <v>818630</v>
      </c>
      <c r="AA417" s="44">
        <v>613691</v>
      </c>
      <c r="AB417" s="44">
        <v>69376</v>
      </c>
      <c r="AC417" s="44">
        <v>15060765</v>
      </c>
      <c r="AD417" s="44">
        <v>543355</v>
      </c>
      <c r="AE417" s="44">
        <v>920000</v>
      </c>
      <c r="AF417" s="44">
        <v>668474</v>
      </c>
      <c r="AG417" s="44">
        <v>17192594</v>
      </c>
      <c r="AH417" s="44">
        <v>1155</v>
      </c>
      <c r="AI417" s="44">
        <v>14729</v>
      </c>
      <c r="AJ417" s="44">
        <v>14885</v>
      </c>
      <c r="AK417" s="44">
        <v>151696</v>
      </c>
      <c r="AL417" s="44">
        <v>71539</v>
      </c>
      <c r="AM417" s="44">
        <v>0.49099999999999999</v>
      </c>
      <c r="AN417" s="44">
        <v>0.53072788201710575</v>
      </c>
      <c r="AO417" s="44">
        <v>0.17699999999999999</v>
      </c>
      <c r="AP417" s="44">
        <v>0.70772788201710579</v>
      </c>
      <c r="AQ417" s="44">
        <v>0.80969999999999998</v>
      </c>
      <c r="AR417" s="44">
        <v>16.920000000000002</v>
      </c>
    </row>
    <row r="418" spans="1:44">
      <c r="A418" t="s">
        <v>791</v>
      </c>
      <c r="B418" t="s">
        <v>792</v>
      </c>
      <c r="D418" t="s">
        <v>1639</v>
      </c>
      <c r="E418" s="44">
        <v>1016638</v>
      </c>
      <c r="F418" s="44">
        <v>5166518</v>
      </c>
      <c r="G418" s="44">
        <v>997368</v>
      </c>
      <c r="H418" s="126">
        <v>6163886</v>
      </c>
      <c r="I418" s="127">
        <v>8586281</v>
      </c>
      <c r="J418" s="128">
        <v>589507</v>
      </c>
      <c r="K418" s="130">
        <v>15339674</v>
      </c>
      <c r="L418" s="44">
        <v>58276</v>
      </c>
      <c r="M418" s="44">
        <v>446069</v>
      </c>
      <c r="N418" s="44">
        <v>4693903</v>
      </c>
      <c r="O418" s="44">
        <v>424717</v>
      </c>
      <c r="P418" s="44">
        <v>261313</v>
      </c>
      <c r="Q418" s="44">
        <v>886980</v>
      </c>
      <c r="R418" s="44">
        <v>13494</v>
      </c>
      <c r="S418" s="44">
        <v>161872</v>
      </c>
      <c r="T418" s="44">
        <v>1302646</v>
      </c>
      <c r="U418" s="44">
        <v>830413</v>
      </c>
      <c r="V418" s="44">
        <v>0</v>
      </c>
      <c r="W418" s="44">
        <v>994338</v>
      </c>
      <c r="X418" s="44">
        <v>483970</v>
      </c>
      <c r="Y418" s="44">
        <v>2117881</v>
      </c>
      <c r="Z418" s="44">
        <v>874255</v>
      </c>
      <c r="AA418" s="44">
        <v>398771</v>
      </c>
      <c r="AB418" s="44">
        <v>4128</v>
      </c>
      <c r="AC418" s="44">
        <v>13953026</v>
      </c>
      <c r="AD418" s="44">
        <v>684667</v>
      </c>
      <c r="AE418" s="44">
        <v>393899</v>
      </c>
      <c r="AF418" s="44">
        <v>266511</v>
      </c>
      <c r="AG418" s="44">
        <v>15298103</v>
      </c>
      <c r="AH418" s="44">
        <v>1064</v>
      </c>
      <c r="AI418" s="44">
        <v>14417</v>
      </c>
      <c r="AJ418" s="44">
        <v>14378</v>
      </c>
      <c r="AK418" s="44">
        <v>414906</v>
      </c>
      <c r="AL418" s="44">
        <v>117361</v>
      </c>
      <c r="AM418" s="44">
        <v>1.0230000000000001</v>
      </c>
      <c r="AN418" s="44">
        <v>0.56054910860516494</v>
      </c>
      <c r="AO418" s="44">
        <v>0.191</v>
      </c>
      <c r="AP418" s="44">
        <v>0.75154910860516488</v>
      </c>
      <c r="AQ418" s="44">
        <v>0.82410000000000005</v>
      </c>
      <c r="AR418" s="44">
        <v>13.07</v>
      </c>
    </row>
    <row r="419" spans="1:44">
      <c r="A419" t="s">
        <v>793</v>
      </c>
      <c r="B419" t="s">
        <v>794</v>
      </c>
      <c r="D419" t="s">
        <v>1639</v>
      </c>
      <c r="E419" s="44">
        <v>813800</v>
      </c>
      <c r="F419" s="44">
        <v>6184412</v>
      </c>
      <c r="G419" s="44">
        <v>617070</v>
      </c>
      <c r="H419" s="126">
        <v>6801482</v>
      </c>
      <c r="I419" s="127">
        <v>2983476</v>
      </c>
      <c r="J419" s="128">
        <v>524990</v>
      </c>
      <c r="K419" s="130">
        <v>10309948</v>
      </c>
      <c r="L419" s="44">
        <v>89362</v>
      </c>
      <c r="M419" s="44">
        <v>273198</v>
      </c>
      <c r="N419" s="44">
        <v>2604164</v>
      </c>
      <c r="O419" s="44">
        <v>74628</v>
      </c>
      <c r="P419" s="44">
        <v>139238</v>
      </c>
      <c r="Q419" s="44">
        <v>997249</v>
      </c>
      <c r="R419" s="44">
        <v>16796</v>
      </c>
      <c r="S419" s="44">
        <v>0</v>
      </c>
      <c r="T419" s="44">
        <v>455690</v>
      </c>
      <c r="U419" s="44">
        <v>256417</v>
      </c>
      <c r="V419" s="44">
        <v>150</v>
      </c>
      <c r="W419" s="44">
        <v>674277</v>
      </c>
      <c r="X419" s="44">
        <v>254641</v>
      </c>
      <c r="Y419" s="44">
        <v>1414603</v>
      </c>
      <c r="Z419" s="44">
        <v>566367</v>
      </c>
      <c r="AA419" s="44">
        <v>155074</v>
      </c>
      <c r="AB419" s="44">
        <v>0</v>
      </c>
      <c r="AC419" s="44">
        <v>7971854</v>
      </c>
      <c r="AD419" s="44">
        <v>437778</v>
      </c>
      <c r="AE419" s="44">
        <v>912000</v>
      </c>
      <c r="AF419" s="44">
        <v>469606</v>
      </c>
      <c r="AG419" s="44">
        <v>9791238</v>
      </c>
      <c r="AH419" s="44">
        <v>666</v>
      </c>
      <c r="AI419" s="44">
        <v>15480</v>
      </c>
      <c r="AJ419" s="44">
        <v>14702</v>
      </c>
      <c r="AK419" s="44">
        <v>263329</v>
      </c>
      <c r="AL419" s="44">
        <v>67230</v>
      </c>
      <c r="AM419" s="44">
        <v>0.61899999999999999</v>
      </c>
      <c r="AN419" s="44">
        <v>0.46410699035198616</v>
      </c>
      <c r="AO419" s="44">
        <v>0.188</v>
      </c>
      <c r="AP419" s="44">
        <v>0.65210699035198616</v>
      </c>
      <c r="AQ419" s="44">
        <v>0.80079999999999996</v>
      </c>
      <c r="AR419" s="44">
        <v>12.98</v>
      </c>
    </row>
    <row r="420" spans="1:44">
      <c r="A420" t="s">
        <v>795</v>
      </c>
      <c r="B420" t="s">
        <v>796</v>
      </c>
      <c r="D420" t="s">
        <v>1639</v>
      </c>
      <c r="E420" s="44">
        <v>948673</v>
      </c>
      <c r="F420" s="44">
        <v>6343670</v>
      </c>
      <c r="G420" s="44">
        <v>748353</v>
      </c>
      <c r="H420" s="126">
        <v>7092023</v>
      </c>
      <c r="I420" s="127">
        <v>3723756</v>
      </c>
      <c r="J420" s="128">
        <v>853213</v>
      </c>
      <c r="K420" s="130">
        <v>11668992</v>
      </c>
      <c r="L420" s="44">
        <v>74833</v>
      </c>
      <c r="M420" s="44">
        <v>288031</v>
      </c>
      <c r="N420" s="44">
        <v>3151489</v>
      </c>
      <c r="O420" s="44">
        <v>202550</v>
      </c>
      <c r="P420" s="44">
        <v>152176</v>
      </c>
      <c r="Q420" s="44">
        <v>836935</v>
      </c>
      <c r="R420" s="44">
        <v>8096</v>
      </c>
      <c r="S420" s="44">
        <v>0</v>
      </c>
      <c r="T420" s="44">
        <v>456576</v>
      </c>
      <c r="U420" s="44">
        <v>592256</v>
      </c>
      <c r="V420" s="44">
        <v>1500</v>
      </c>
      <c r="W420" s="44">
        <v>678630</v>
      </c>
      <c r="X420" s="44">
        <v>274168</v>
      </c>
      <c r="Y420" s="44">
        <v>1674155</v>
      </c>
      <c r="Z420" s="44">
        <v>754822</v>
      </c>
      <c r="AA420" s="44">
        <v>267111</v>
      </c>
      <c r="AB420" s="44">
        <v>2531</v>
      </c>
      <c r="AC420" s="44">
        <v>9415859</v>
      </c>
      <c r="AD420" s="44">
        <v>751716</v>
      </c>
      <c r="AE420" s="44">
        <v>690505</v>
      </c>
      <c r="AF420" s="44">
        <v>308428</v>
      </c>
      <c r="AG420" s="44">
        <v>11166508</v>
      </c>
      <c r="AH420" s="44">
        <v>600</v>
      </c>
      <c r="AI420" s="44">
        <v>19448</v>
      </c>
      <c r="AJ420" s="44">
        <v>18611</v>
      </c>
      <c r="AK420" s="44">
        <v>299223</v>
      </c>
      <c r="AL420" s="44">
        <v>67763</v>
      </c>
      <c r="AM420" s="44">
        <v>0.66900000000000004</v>
      </c>
      <c r="AN420" s="44">
        <v>0.4835959460200091</v>
      </c>
      <c r="AO420" s="44">
        <v>0.20200000000000001</v>
      </c>
      <c r="AP420" s="44">
        <v>0.68559594602000917</v>
      </c>
      <c r="AQ420" s="44">
        <v>0.81279999999999997</v>
      </c>
      <c r="AR420" s="44">
        <v>13.94</v>
      </c>
    </row>
    <row r="421" spans="1:44">
      <c r="A421" t="s">
        <v>797</v>
      </c>
      <c r="B421" t="s">
        <v>798</v>
      </c>
      <c r="D421" t="s">
        <v>1639</v>
      </c>
      <c r="E421" s="44">
        <v>733629</v>
      </c>
      <c r="F421" s="44">
        <v>4123321</v>
      </c>
      <c r="G421" s="44">
        <v>517839</v>
      </c>
      <c r="H421" s="126">
        <v>4641160</v>
      </c>
      <c r="I421" s="127">
        <v>2094910</v>
      </c>
      <c r="J421" s="128">
        <v>394836</v>
      </c>
      <c r="K421" s="130">
        <v>7130906</v>
      </c>
      <c r="L421" s="44">
        <v>97830</v>
      </c>
      <c r="M421" s="44">
        <v>275221</v>
      </c>
      <c r="N421" s="44">
        <v>1846309</v>
      </c>
      <c r="O421" s="44">
        <v>50896</v>
      </c>
      <c r="P421" s="44">
        <v>72667</v>
      </c>
      <c r="Q421" s="44">
        <v>1000832</v>
      </c>
      <c r="R421" s="44">
        <v>251786</v>
      </c>
      <c r="S421" s="44">
        <v>16764</v>
      </c>
      <c r="T421" s="44">
        <v>352416</v>
      </c>
      <c r="U421" s="44">
        <v>265566</v>
      </c>
      <c r="V421" s="44">
        <v>0</v>
      </c>
      <c r="W421" s="44">
        <v>399978</v>
      </c>
      <c r="X421" s="44">
        <v>168930</v>
      </c>
      <c r="Y421" s="44">
        <v>783294</v>
      </c>
      <c r="Z421" s="44">
        <v>350957</v>
      </c>
      <c r="AA421" s="44">
        <v>140356</v>
      </c>
      <c r="AB421" s="44">
        <v>13000</v>
      </c>
      <c r="AC421" s="44">
        <v>6086802</v>
      </c>
      <c r="AD421" s="44">
        <v>445984</v>
      </c>
      <c r="AE421" s="44">
        <v>146163</v>
      </c>
      <c r="AF421" s="44">
        <v>35656</v>
      </c>
      <c r="AG421" s="44">
        <v>6714605</v>
      </c>
      <c r="AH421" s="44">
        <v>456</v>
      </c>
      <c r="AI421" s="44">
        <v>15638</v>
      </c>
      <c r="AJ421" s="44">
        <v>14725</v>
      </c>
      <c r="AK421" s="44">
        <v>200882</v>
      </c>
      <c r="AL421" s="44">
        <v>59727</v>
      </c>
      <c r="AM421" s="44">
        <v>0.50700000000000001</v>
      </c>
      <c r="AN421" s="44">
        <v>0.57445464029529658</v>
      </c>
      <c r="AO421" s="44">
        <v>0.154</v>
      </c>
      <c r="AP421" s="44">
        <v>0.72845464029529661</v>
      </c>
      <c r="AQ421" s="44">
        <v>0.79459999999999997</v>
      </c>
      <c r="AR421" s="44">
        <v>17.3</v>
      </c>
    </row>
    <row r="422" spans="1:44">
      <c r="A422" t="s">
        <v>799</v>
      </c>
      <c r="B422" t="s">
        <v>800</v>
      </c>
      <c r="D422" t="s">
        <v>1639</v>
      </c>
      <c r="E422" s="44">
        <v>5444758</v>
      </c>
      <c r="F422" s="44">
        <v>25663081</v>
      </c>
      <c r="G422" s="44">
        <v>8479109</v>
      </c>
      <c r="H422" s="126">
        <v>34142190</v>
      </c>
      <c r="I422" s="127">
        <v>62623351</v>
      </c>
      <c r="J422" s="128">
        <v>1169736</v>
      </c>
      <c r="K422" s="130">
        <v>97935277</v>
      </c>
      <c r="L422" s="44">
        <v>571806</v>
      </c>
      <c r="M422" s="44">
        <v>1105318</v>
      </c>
      <c r="N422" s="44">
        <v>38234927</v>
      </c>
      <c r="O422" s="44">
        <v>1035093</v>
      </c>
      <c r="P422" s="44">
        <v>1665969</v>
      </c>
      <c r="Q422" s="44">
        <v>5498366</v>
      </c>
      <c r="R422" s="44">
        <v>649229</v>
      </c>
      <c r="S422" s="44">
        <v>0</v>
      </c>
      <c r="T422" s="44">
        <v>4967319</v>
      </c>
      <c r="U422" s="44">
        <v>3273247</v>
      </c>
      <c r="V422" s="44">
        <v>0</v>
      </c>
      <c r="W422" s="44">
        <v>6713658</v>
      </c>
      <c r="X422" s="44">
        <v>3580497</v>
      </c>
      <c r="Y422" s="44">
        <v>8949663</v>
      </c>
      <c r="Z422" s="44">
        <v>7412896</v>
      </c>
      <c r="AA422" s="44">
        <v>1084059</v>
      </c>
      <c r="AB422" s="44">
        <v>200000</v>
      </c>
      <c r="AC422" s="44">
        <v>84942047</v>
      </c>
      <c r="AD422" s="44">
        <v>5530578</v>
      </c>
      <c r="AE422" s="44">
        <v>2696987</v>
      </c>
      <c r="AF422" s="44">
        <v>1736996</v>
      </c>
      <c r="AG422" s="44">
        <v>94906608</v>
      </c>
      <c r="AH422" s="44">
        <v>5208</v>
      </c>
      <c r="AI422" s="44">
        <v>18805</v>
      </c>
      <c r="AJ422" s="44">
        <v>18223</v>
      </c>
      <c r="AK422" s="44">
        <v>480850</v>
      </c>
      <c r="AL422" s="44">
        <v>111272</v>
      </c>
      <c r="AM422" s="44">
        <v>1.085</v>
      </c>
      <c r="AN422" s="44">
        <v>0.58293253932328926</v>
      </c>
      <c r="AO422" s="44">
        <v>0.17599999999999999</v>
      </c>
      <c r="AP422" s="44">
        <v>0.7589325393232893</v>
      </c>
      <c r="AQ422" s="44">
        <v>0.8488</v>
      </c>
      <c r="AR422" s="44">
        <v>16.329999999999998</v>
      </c>
    </row>
    <row r="423" spans="1:44">
      <c r="A423" t="s">
        <v>801</v>
      </c>
      <c r="B423" t="s">
        <v>802</v>
      </c>
      <c r="D423" t="s">
        <v>1639</v>
      </c>
      <c r="E423" s="44">
        <v>3790975</v>
      </c>
      <c r="F423" s="44">
        <v>21224267</v>
      </c>
      <c r="G423" s="44">
        <v>10038786</v>
      </c>
      <c r="H423" s="126">
        <v>31263053</v>
      </c>
      <c r="I423" s="127">
        <v>64705090</v>
      </c>
      <c r="J423" s="128">
        <v>1649409</v>
      </c>
      <c r="K423" s="130">
        <v>97617552</v>
      </c>
      <c r="L423" s="44">
        <v>191623</v>
      </c>
      <c r="M423" s="44">
        <v>1475588</v>
      </c>
      <c r="N423" s="44">
        <v>30145001</v>
      </c>
      <c r="O423" s="44">
        <v>3197957</v>
      </c>
      <c r="P423" s="44">
        <v>1612848</v>
      </c>
      <c r="Q423" s="44">
        <v>4024631</v>
      </c>
      <c r="R423" s="44">
        <v>385143</v>
      </c>
      <c r="S423" s="44">
        <v>1907019</v>
      </c>
      <c r="T423" s="44">
        <v>5801518</v>
      </c>
      <c r="U423" s="44">
        <v>2813551</v>
      </c>
      <c r="V423" s="44">
        <v>103605</v>
      </c>
      <c r="W423" s="44">
        <v>5716453</v>
      </c>
      <c r="X423" s="44">
        <v>3205657</v>
      </c>
      <c r="Y423" s="44">
        <v>15968032</v>
      </c>
      <c r="Z423" s="44">
        <v>6748489</v>
      </c>
      <c r="AA423" s="44">
        <v>1836940</v>
      </c>
      <c r="AB423" s="44">
        <v>0</v>
      </c>
      <c r="AC423" s="44">
        <v>85134055</v>
      </c>
      <c r="AD423" s="44">
        <v>5216673</v>
      </c>
      <c r="AE423" s="44">
        <v>1155000</v>
      </c>
      <c r="AF423" s="44">
        <v>1678995</v>
      </c>
      <c r="AG423" s="44">
        <v>93184723</v>
      </c>
      <c r="AH423" s="44">
        <v>4764</v>
      </c>
      <c r="AI423" s="44">
        <v>20491</v>
      </c>
      <c r="AJ423" s="44">
        <v>19560</v>
      </c>
      <c r="AK423" s="44">
        <v>507756</v>
      </c>
      <c r="AL423" s="44">
        <v>137245</v>
      </c>
      <c r="AM423" s="44">
        <v>1.2269999999999999</v>
      </c>
      <c r="AN423" s="44">
        <v>0.53536316247889693</v>
      </c>
      <c r="AO423" s="44">
        <v>0.23300000000000001</v>
      </c>
      <c r="AP423" s="44">
        <v>0.76836316247889691</v>
      </c>
      <c r="AQ423" s="44">
        <v>0.84040000000000004</v>
      </c>
      <c r="AR423" s="44">
        <v>16.829999999999998</v>
      </c>
    </row>
    <row r="424" spans="1:44">
      <c r="A424" t="s">
        <v>803</v>
      </c>
      <c r="B424" t="s">
        <v>804</v>
      </c>
      <c r="D424" t="s">
        <v>1639</v>
      </c>
      <c r="E424" s="44">
        <v>1101649</v>
      </c>
      <c r="F424" s="44">
        <v>2396642</v>
      </c>
      <c r="G424" s="44">
        <v>1434450</v>
      </c>
      <c r="H424" s="126">
        <v>3831092</v>
      </c>
      <c r="I424" s="127">
        <v>13798467</v>
      </c>
      <c r="J424" s="128">
        <v>301967</v>
      </c>
      <c r="K424" s="130">
        <v>17931526</v>
      </c>
      <c r="L424" s="44">
        <v>143970</v>
      </c>
      <c r="M424" s="44">
        <v>600487</v>
      </c>
      <c r="N424" s="44">
        <v>6323989</v>
      </c>
      <c r="O424" s="44">
        <v>288026</v>
      </c>
      <c r="P424" s="44">
        <v>341661</v>
      </c>
      <c r="Q424" s="44">
        <v>897341</v>
      </c>
      <c r="R424" s="44">
        <v>0</v>
      </c>
      <c r="S424" s="44">
        <v>165623</v>
      </c>
      <c r="T424" s="44">
        <v>853088</v>
      </c>
      <c r="U424" s="44">
        <v>468071</v>
      </c>
      <c r="V424" s="44">
        <v>0</v>
      </c>
      <c r="W424" s="44">
        <v>1104768</v>
      </c>
      <c r="X424" s="44">
        <v>660886</v>
      </c>
      <c r="Y424" s="44">
        <v>1546467</v>
      </c>
      <c r="Z424" s="44">
        <v>1315433</v>
      </c>
      <c r="AA424" s="44">
        <v>223163</v>
      </c>
      <c r="AB424" s="44">
        <v>43752</v>
      </c>
      <c r="AC424" s="44">
        <v>14976725</v>
      </c>
      <c r="AD424" s="44">
        <v>750198</v>
      </c>
      <c r="AE424" s="44">
        <v>542154</v>
      </c>
      <c r="AF424" s="44">
        <v>631089</v>
      </c>
      <c r="AG424" s="44">
        <v>16900166</v>
      </c>
      <c r="AH424" s="44">
        <v>916</v>
      </c>
      <c r="AI424" s="44">
        <v>19576</v>
      </c>
      <c r="AJ424" s="44">
        <v>18450</v>
      </c>
      <c r="AK424" s="44">
        <v>820499</v>
      </c>
      <c r="AL424" s="44">
        <v>183933</v>
      </c>
      <c r="AM424" s="44">
        <v>1.8279999999999998</v>
      </c>
      <c r="AN424" s="44">
        <v>0.55252705801824664</v>
      </c>
      <c r="AO424" s="44">
        <v>0.17100000000000001</v>
      </c>
      <c r="AP424" s="44">
        <v>0.72352705801824668</v>
      </c>
      <c r="AQ424" s="44">
        <v>0.81810000000000005</v>
      </c>
      <c r="AR424" s="44">
        <v>15.17</v>
      </c>
    </row>
    <row r="425" spans="1:44">
      <c r="A425" t="s">
        <v>805</v>
      </c>
      <c r="B425" t="s">
        <v>806</v>
      </c>
      <c r="D425" t="s">
        <v>1639</v>
      </c>
      <c r="E425" s="44">
        <v>553739</v>
      </c>
      <c r="F425" s="44">
        <v>777612</v>
      </c>
      <c r="G425" s="44">
        <v>405517</v>
      </c>
      <c r="H425" s="126">
        <v>1183129</v>
      </c>
      <c r="I425" s="127">
        <v>7478049</v>
      </c>
      <c r="J425" s="128">
        <v>107600</v>
      </c>
      <c r="K425" s="130">
        <v>8768778</v>
      </c>
      <c r="L425" s="44">
        <v>234175</v>
      </c>
      <c r="M425" s="44">
        <v>366641</v>
      </c>
      <c r="N425" s="44">
        <v>2079735</v>
      </c>
      <c r="O425" s="44">
        <v>85896</v>
      </c>
      <c r="P425" s="44">
        <v>110200</v>
      </c>
      <c r="Q425" s="44">
        <v>284914</v>
      </c>
      <c r="R425" s="44">
        <v>832765</v>
      </c>
      <c r="S425" s="44">
        <v>4000</v>
      </c>
      <c r="T425" s="44">
        <v>329114</v>
      </c>
      <c r="U425" s="44">
        <v>273984</v>
      </c>
      <c r="V425" s="44">
        <v>0</v>
      </c>
      <c r="W425" s="44">
        <v>494434</v>
      </c>
      <c r="X425" s="44">
        <v>206777</v>
      </c>
      <c r="Y425" s="44">
        <v>505175</v>
      </c>
      <c r="Z425" s="44">
        <v>358836</v>
      </c>
      <c r="AA425" s="44">
        <v>193914</v>
      </c>
      <c r="AB425" s="44">
        <v>614185</v>
      </c>
      <c r="AC425" s="44">
        <v>6974745</v>
      </c>
      <c r="AD425" s="44">
        <v>569045</v>
      </c>
      <c r="AE425" s="44">
        <v>373600</v>
      </c>
      <c r="AF425" s="44">
        <v>285902</v>
      </c>
      <c r="AG425" s="44">
        <v>8203292</v>
      </c>
      <c r="AH425" s="44">
        <v>357</v>
      </c>
      <c r="AI425" s="44">
        <v>24562</v>
      </c>
      <c r="AJ425" s="44">
        <v>22978</v>
      </c>
      <c r="AK425" s="44">
        <v>1519692</v>
      </c>
      <c r="AL425" s="44">
        <v>272898</v>
      </c>
      <c r="AM425" s="44">
        <v>3.1080000000000001</v>
      </c>
      <c r="AN425" s="44">
        <v>0.48768323741249242</v>
      </c>
      <c r="AO425" s="44">
        <v>0.11</v>
      </c>
      <c r="AP425" s="44">
        <v>0.59768323741249241</v>
      </c>
      <c r="AQ425" s="44">
        <v>0.73560000000000003</v>
      </c>
      <c r="AR425" s="44">
        <v>9.44</v>
      </c>
    </row>
    <row r="426" spans="1:44">
      <c r="A426" t="s">
        <v>807</v>
      </c>
      <c r="B426" t="s">
        <v>808</v>
      </c>
      <c r="D426" t="s">
        <v>1639</v>
      </c>
      <c r="E426" s="44">
        <v>1281543</v>
      </c>
      <c r="F426" s="44">
        <v>7491573</v>
      </c>
      <c r="G426" s="44">
        <v>4597429</v>
      </c>
      <c r="H426" s="126">
        <v>12089002</v>
      </c>
      <c r="I426" s="127">
        <v>27861711</v>
      </c>
      <c r="J426" s="128">
        <v>693472</v>
      </c>
      <c r="K426" s="130">
        <v>40644185</v>
      </c>
      <c r="L426" s="44">
        <v>170605</v>
      </c>
      <c r="M426" s="44">
        <v>988178</v>
      </c>
      <c r="N426" s="44">
        <v>12184995</v>
      </c>
      <c r="O426" s="44">
        <v>573204</v>
      </c>
      <c r="P426" s="44">
        <v>851791</v>
      </c>
      <c r="Q426" s="44">
        <v>2380676</v>
      </c>
      <c r="R426" s="44">
        <v>333437</v>
      </c>
      <c r="S426" s="44">
        <v>100482</v>
      </c>
      <c r="T426" s="44">
        <v>3389149</v>
      </c>
      <c r="U426" s="44">
        <v>2037968</v>
      </c>
      <c r="V426" s="44">
        <v>36885</v>
      </c>
      <c r="W426" s="44">
        <v>2442456</v>
      </c>
      <c r="X426" s="44">
        <v>1359892</v>
      </c>
      <c r="Y426" s="44">
        <v>2762487</v>
      </c>
      <c r="Z426" s="44">
        <v>2642996</v>
      </c>
      <c r="AA426" s="44">
        <v>400175</v>
      </c>
      <c r="AB426" s="44">
        <v>82412</v>
      </c>
      <c r="AC426" s="44">
        <v>32737788</v>
      </c>
      <c r="AD426" s="44">
        <v>2233198</v>
      </c>
      <c r="AE426" s="44">
        <v>1567477</v>
      </c>
      <c r="AF426" s="44">
        <v>1297351</v>
      </c>
      <c r="AG426" s="44">
        <v>37835814</v>
      </c>
      <c r="AH426" s="44">
        <v>1826</v>
      </c>
      <c r="AI426" s="44">
        <v>22259</v>
      </c>
      <c r="AJ426" s="44">
        <v>20721</v>
      </c>
      <c r="AK426" s="44">
        <v>563590</v>
      </c>
      <c r="AL426" s="44">
        <v>133631</v>
      </c>
      <c r="AM426" s="44">
        <v>1.2849999999999999</v>
      </c>
      <c r="AN426" s="44">
        <v>0.57754015811580006</v>
      </c>
      <c r="AO426" s="44">
        <v>0.152</v>
      </c>
      <c r="AP426" s="44">
        <v>0.72954015811580009</v>
      </c>
      <c r="AQ426" s="44">
        <v>0.84399999999999997</v>
      </c>
      <c r="AR426" s="44">
        <v>17.559999999999999</v>
      </c>
    </row>
    <row r="427" spans="1:44">
      <c r="A427" t="s">
        <v>809</v>
      </c>
      <c r="B427" t="s">
        <v>810</v>
      </c>
      <c r="D427" t="s">
        <v>1639</v>
      </c>
      <c r="E427" s="44">
        <v>4483858</v>
      </c>
      <c r="F427" s="44">
        <v>14517003</v>
      </c>
      <c r="G427" s="44">
        <v>6735539</v>
      </c>
      <c r="H427" s="126">
        <v>21252542</v>
      </c>
      <c r="I427" s="127">
        <v>53249200</v>
      </c>
      <c r="J427" s="128">
        <v>1395849</v>
      </c>
      <c r="K427" s="130">
        <v>75897591</v>
      </c>
      <c r="L427" s="44">
        <v>338062</v>
      </c>
      <c r="M427" s="44">
        <v>1135644</v>
      </c>
      <c r="N427" s="44">
        <v>26176940</v>
      </c>
      <c r="O427" s="44">
        <v>1439373</v>
      </c>
      <c r="P427" s="44">
        <v>2134953</v>
      </c>
      <c r="Q427" s="44">
        <v>5088950</v>
      </c>
      <c r="R427" s="44">
        <v>45260</v>
      </c>
      <c r="S427" s="44">
        <v>1556956</v>
      </c>
      <c r="T427" s="44">
        <v>4809457</v>
      </c>
      <c r="U427" s="44">
        <v>2755983</v>
      </c>
      <c r="V427" s="44">
        <v>0</v>
      </c>
      <c r="W427" s="44">
        <v>4829798</v>
      </c>
      <c r="X427" s="44">
        <v>2605753</v>
      </c>
      <c r="Y427" s="44">
        <v>6764161</v>
      </c>
      <c r="Z427" s="44">
        <v>5479748</v>
      </c>
      <c r="AA427" s="44">
        <v>1374435</v>
      </c>
      <c r="AB427" s="44">
        <v>297750</v>
      </c>
      <c r="AC427" s="44">
        <v>66833223</v>
      </c>
      <c r="AD427" s="44">
        <v>4460687</v>
      </c>
      <c r="AE427" s="44">
        <v>2436504</v>
      </c>
      <c r="AF427" s="44">
        <v>1490747</v>
      </c>
      <c r="AG427" s="44">
        <v>75221161</v>
      </c>
      <c r="AH427" s="44">
        <v>3567</v>
      </c>
      <c r="AI427" s="44">
        <v>21278</v>
      </c>
      <c r="AJ427" s="44">
        <v>21088</v>
      </c>
      <c r="AK427" s="44">
        <v>549054</v>
      </c>
      <c r="AL427" s="44">
        <v>137252</v>
      </c>
      <c r="AM427" s="44">
        <v>1.2809999999999999</v>
      </c>
      <c r="AN427" s="44">
        <v>0.58504643394164046</v>
      </c>
      <c r="AO427" s="44">
        <v>0.16400000000000001</v>
      </c>
      <c r="AP427" s="44">
        <v>0.7490464339416405</v>
      </c>
      <c r="AQ427" s="44">
        <v>0.84670000000000001</v>
      </c>
      <c r="AR427" s="44">
        <v>16.940000000000001</v>
      </c>
    </row>
    <row r="428" spans="1:44">
      <c r="A428" t="s">
        <v>811</v>
      </c>
      <c r="B428" t="s">
        <v>812</v>
      </c>
      <c r="D428" t="s">
        <v>1639</v>
      </c>
      <c r="E428" s="44">
        <v>1069306</v>
      </c>
      <c r="F428" s="44">
        <v>9180623</v>
      </c>
      <c r="G428" s="44">
        <v>1375494</v>
      </c>
      <c r="H428" s="126">
        <v>10556117</v>
      </c>
      <c r="I428" s="127">
        <v>6735708</v>
      </c>
      <c r="J428" s="128">
        <v>655457</v>
      </c>
      <c r="K428" s="130">
        <v>17947282</v>
      </c>
      <c r="L428" s="44">
        <v>156913</v>
      </c>
      <c r="M428" s="44">
        <v>432724</v>
      </c>
      <c r="N428" s="44">
        <v>5768480</v>
      </c>
      <c r="O428" s="44">
        <v>239389</v>
      </c>
      <c r="P428" s="44">
        <v>475408</v>
      </c>
      <c r="Q428" s="44">
        <v>958283</v>
      </c>
      <c r="R428" s="44">
        <v>287493</v>
      </c>
      <c r="S428" s="44">
        <v>35680</v>
      </c>
      <c r="T428" s="44">
        <v>1273371</v>
      </c>
      <c r="U428" s="44">
        <v>919733</v>
      </c>
      <c r="V428" s="44">
        <v>0</v>
      </c>
      <c r="W428" s="44">
        <v>1113121</v>
      </c>
      <c r="X428" s="44">
        <v>597319</v>
      </c>
      <c r="Y428" s="44">
        <v>1657676</v>
      </c>
      <c r="Z428" s="44">
        <v>997511</v>
      </c>
      <c r="AA428" s="44">
        <v>157212</v>
      </c>
      <c r="AB428" s="44">
        <v>0</v>
      </c>
      <c r="AC428" s="44">
        <v>15070313</v>
      </c>
      <c r="AD428" s="44">
        <v>1320189</v>
      </c>
      <c r="AE428" s="44">
        <v>723287</v>
      </c>
      <c r="AF428" s="44">
        <v>107808</v>
      </c>
      <c r="AG428" s="44">
        <v>17221597</v>
      </c>
      <c r="AH428" s="44">
        <v>1041</v>
      </c>
      <c r="AI428" s="44">
        <v>17240</v>
      </c>
      <c r="AJ428" s="44">
        <v>16543</v>
      </c>
      <c r="AK428" s="44">
        <v>260351</v>
      </c>
      <c r="AL428" s="44">
        <v>74693</v>
      </c>
      <c r="AM428" s="44">
        <v>0.64600000000000002</v>
      </c>
      <c r="AN428" s="44">
        <v>0.57821797827460486</v>
      </c>
      <c r="AO428" s="44">
        <v>0.15</v>
      </c>
      <c r="AP428" s="44">
        <v>0.72821797827460488</v>
      </c>
      <c r="AQ428" s="44">
        <v>0.82830000000000004</v>
      </c>
      <c r="AR428" s="44">
        <v>15.98</v>
      </c>
    </row>
    <row r="429" spans="1:44">
      <c r="A429" t="s">
        <v>813</v>
      </c>
      <c r="B429" t="s">
        <v>814</v>
      </c>
      <c r="D429" t="s">
        <v>1639</v>
      </c>
      <c r="E429" s="44">
        <v>1572377</v>
      </c>
      <c r="F429" s="44">
        <v>8773744</v>
      </c>
      <c r="G429" s="44">
        <v>1808599</v>
      </c>
      <c r="H429" s="126">
        <v>10582343</v>
      </c>
      <c r="I429" s="127">
        <v>9565110</v>
      </c>
      <c r="J429" s="128">
        <v>430769</v>
      </c>
      <c r="K429" s="130">
        <v>20578222</v>
      </c>
      <c r="L429" s="44">
        <v>130184</v>
      </c>
      <c r="M429" s="44">
        <v>649722</v>
      </c>
      <c r="N429" s="44">
        <v>6614157</v>
      </c>
      <c r="O429" s="44">
        <v>439981</v>
      </c>
      <c r="P429" s="44">
        <v>299157</v>
      </c>
      <c r="Q429" s="44">
        <v>792619</v>
      </c>
      <c r="R429" s="44">
        <v>10167</v>
      </c>
      <c r="S429" s="44">
        <v>90668</v>
      </c>
      <c r="T429" s="44">
        <v>984135</v>
      </c>
      <c r="U429" s="44">
        <v>683231</v>
      </c>
      <c r="V429" s="44">
        <v>65695</v>
      </c>
      <c r="W429" s="44">
        <v>1414532</v>
      </c>
      <c r="X429" s="44">
        <v>649385</v>
      </c>
      <c r="Y429" s="44">
        <v>2121577</v>
      </c>
      <c r="Z429" s="44">
        <v>1143528</v>
      </c>
      <c r="AA429" s="44">
        <v>376146</v>
      </c>
      <c r="AB429" s="44">
        <v>1536238</v>
      </c>
      <c r="AC429" s="44">
        <v>18001122</v>
      </c>
      <c r="AD429" s="44">
        <v>1069327</v>
      </c>
      <c r="AE429" s="44">
        <v>1266700</v>
      </c>
      <c r="AF429" s="44">
        <v>709064</v>
      </c>
      <c r="AG429" s="44">
        <v>21046213</v>
      </c>
      <c r="AH429" s="44">
        <v>1371</v>
      </c>
      <c r="AI429" s="44">
        <v>15010</v>
      </c>
      <c r="AJ429" s="44">
        <v>15351</v>
      </c>
      <c r="AK429" s="44">
        <v>228409</v>
      </c>
      <c r="AL429" s="44">
        <v>95166</v>
      </c>
      <c r="AM429" s="44">
        <v>0.68799999999999994</v>
      </c>
      <c r="AN429" s="44">
        <v>0.47106408169488734</v>
      </c>
      <c r="AO429" s="44">
        <v>0.14899999999999999</v>
      </c>
      <c r="AP429" s="44">
        <v>0.62006408169488736</v>
      </c>
      <c r="AQ429" s="44">
        <v>0.78769999999999996</v>
      </c>
      <c r="AR429" s="44">
        <v>21.76</v>
      </c>
    </row>
    <row r="430" spans="1:44">
      <c r="A430" t="s">
        <v>815</v>
      </c>
      <c r="B430" t="s">
        <v>816</v>
      </c>
      <c r="D430" t="s">
        <v>1639</v>
      </c>
      <c r="E430" s="44">
        <v>4462674</v>
      </c>
      <c r="F430" s="44">
        <v>27049171</v>
      </c>
      <c r="G430" s="44">
        <v>6879507</v>
      </c>
      <c r="H430" s="126">
        <v>33928678</v>
      </c>
      <c r="I430" s="127">
        <v>41185073</v>
      </c>
      <c r="J430" s="128">
        <v>1733351</v>
      </c>
      <c r="K430" s="130">
        <v>76847102</v>
      </c>
      <c r="L430" s="44">
        <v>240696</v>
      </c>
      <c r="M430" s="44">
        <v>1309017</v>
      </c>
      <c r="N430" s="44">
        <v>24318758</v>
      </c>
      <c r="O430" s="44">
        <v>1242197</v>
      </c>
      <c r="P430" s="44">
        <v>1949461</v>
      </c>
      <c r="Q430" s="44">
        <v>3743274</v>
      </c>
      <c r="R430" s="44">
        <v>260</v>
      </c>
      <c r="S430" s="44">
        <v>1515452</v>
      </c>
      <c r="T430" s="44">
        <v>3656730</v>
      </c>
      <c r="U430" s="44">
        <v>2254165</v>
      </c>
      <c r="V430" s="44">
        <v>0</v>
      </c>
      <c r="W430" s="44">
        <v>4615345</v>
      </c>
      <c r="X430" s="44">
        <v>2414442</v>
      </c>
      <c r="Y430" s="44">
        <v>8541831</v>
      </c>
      <c r="Z430" s="44">
        <v>4425421</v>
      </c>
      <c r="AA430" s="44">
        <v>1704978</v>
      </c>
      <c r="AB430" s="44">
        <v>0</v>
      </c>
      <c r="AC430" s="44">
        <v>61932027</v>
      </c>
      <c r="AD430" s="44">
        <v>4895733</v>
      </c>
      <c r="AE430" s="44">
        <v>5049919</v>
      </c>
      <c r="AF430" s="44">
        <v>2257573</v>
      </c>
      <c r="AG430" s="44">
        <v>74135252</v>
      </c>
      <c r="AH430" s="44">
        <v>4603</v>
      </c>
      <c r="AI430" s="44">
        <v>16695</v>
      </c>
      <c r="AJ430" s="44">
        <v>16106</v>
      </c>
      <c r="AK430" s="44">
        <v>281845</v>
      </c>
      <c r="AL430" s="44">
        <v>117511</v>
      </c>
      <c r="AM430" s="44">
        <v>0.85</v>
      </c>
      <c r="AN430" s="44">
        <v>0.52175309257733415</v>
      </c>
      <c r="AO430" s="44">
        <v>0.16900000000000001</v>
      </c>
      <c r="AP430" s="44">
        <v>0.69075309257733419</v>
      </c>
      <c r="AQ430" s="44">
        <v>0.82730000000000004</v>
      </c>
      <c r="AR430" s="44">
        <v>21.78</v>
      </c>
    </row>
    <row r="431" spans="1:44">
      <c r="A431" t="s">
        <v>817</v>
      </c>
      <c r="B431" t="s">
        <v>818</v>
      </c>
      <c r="D431" t="s">
        <v>1639</v>
      </c>
      <c r="E431" s="44">
        <v>1571487</v>
      </c>
      <c r="F431" s="44">
        <v>8464082</v>
      </c>
      <c r="G431" s="44">
        <v>1661309</v>
      </c>
      <c r="H431" s="126">
        <v>10125391</v>
      </c>
      <c r="I431" s="127">
        <v>6975829</v>
      </c>
      <c r="J431" s="128">
        <v>748002</v>
      </c>
      <c r="K431" s="130">
        <v>17849222</v>
      </c>
      <c r="L431" s="44">
        <v>82091</v>
      </c>
      <c r="M431" s="44">
        <v>440287</v>
      </c>
      <c r="N431" s="44">
        <v>6731516</v>
      </c>
      <c r="O431" s="44">
        <v>339736</v>
      </c>
      <c r="P431" s="44">
        <v>248311</v>
      </c>
      <c r="Q431" s="44">
        <v>341628</v>
      </c>
      <c r="R431" s="44">
        <v>64198</v>
      </c>
      <c r="S431" s="44">
        <v>182193</v>
      </c>
      <c r="T431" s="44">
        <v>629554</v>
      </c>
      <c r="U431" s="44">
        <v>826503</v>
      </c>
      <c r="V431" s="44">
        <v>400</v>
      </c>
      <c r="W431" s="44">
        <v>1046294</v>
      </c>
      <c r="X431" s="44">
        <v>629276</v>
      </c>
      <c r="Y431" s="44">
        <v>2610601</v>
      </c>
      <c r="Z431" s="44">
        <v>1089054</v>
      </c>
      <c r="AA431" s="44">
        <v>205392</v>
      </c>
      <c r="AB431" s="44">
        <v>344102</v>
      </c>
      <c r="AC431" s="44">
        <v>15811136</v>
      </c>
      <c r="AD431" s="44">
        <v>784460</v>
      </c>
      <c r="AE431" s="44">
        <v>410500</v>
      </c>
      <c r="AF431" s="44">
        <v>305037</v>
      </c>
      <c r="AG431" s="44">
        <v>17311133</v>
      </c>
      <c r="AH431" s="44">
        <v>1297</v>
      </c>
      <c r="AI431" s="44">
        <v>13762</v>
      </c>
      <c r="AJ431" s="44">
        <v>13347</v>
      </c>
      <c r="AK431" s="44">
        <v>209739</v>
      </c>
      <c r="AL431" s="44">
        <v>70832</v>
      </c>
      <c r="AM431" s="44">
        <v>0.56400000000000006</v>
      </c>
      <c r="AN431" s="44">
        <v>0.54090272427575947</v>
      </c>
      <c r="AO431" s="44">
        <v>0.21</v>
      </c>
      <c r="AP431" s="44">
        <v>0.75090272427575944</v>
      </c>
      <c r="AQ431" s="44">
        <v>0.84009999999999996</v>
      </c>
      <c r="AR431" s="44">
        <v>17.73</v>
      </c>
    </row>
    <row r="432" spans="1:44">
      <c r="A432" t="s">
        <v>2014</v>
      </c>
      <c r="B432" t="s">
        <v>819</v>
      </c>
      <c r="D432" t="s">
        <v>1639</v>
      </c>
      <c r="E432" s="44">
        <v>1517609</v>
      </c>
      <c r="F432" s="44">
        <v>18094417</v>
      </c>
      <c r="G432" s="44">
        <v>2858831</v>
      </c>
      <c r="H432" s="126">
        <v>20953248</v>
      </c>
      <c r="I432" s="127">
        <v>10450738</v>
      </c>
      <c r="J432" s="128">
        <v>2026539</v>
      </c>
      <c r="K432" s="130">
        <v>33430525</v>
      </c>
      <c r="L432" s="44">
        <v>78515</v>
      </c>
      <c r="M432" s="44">
        <v>730616</v>
      </c>
      <c r="N432" s="44">
        <v>11006913</v>
      </c>
      <c r="O432" s="44">
        <v>582040</v>
      </c>
      <c r="P432" s="44">
        <v>532615</v>
      </c>
      <c r="Q432" s="44">
        <v>1536329</v>
      </c>
      <c r="R432" s="44">
        <v>284343</v>
      </c>
      <c r="S432" s="44">
        <v>1095192</v>
      </c>
      <c r="T432" s="44">
        <v>1475787</v>
      </c>
      <c r="U432" s="44">
        <v>2018894</v>
      </c>
      <c r="V432" s="44">
        <v>3000</v>
      </c>
      <c r="W432" s="44">
        <v>2078596</v>
      </c>
      <c r="X432" s="44">
        <v>1426860</v>
      </c>
      <c r="Y432" s="44">
        <v>3649865</v>
      </c>
      <c r="Z432" s="44">
        <v>1703456</v>
      </c>
      <c r="AA432" s="44">
        <v>762881</v>
      </c>
      <c r="AB432" s="44">
        <v>0</v>
      </c>
      <c r="AC432" s="44">
        <v>28965902</v>
      </c>
      <c r="AD432" s="44">
        <v>1949328</v>
      </c>
      <c r="AE432" s="44">
        <v>1020000</v>
      </c>
      <c r="AF432" s="44">
        <v>612187</v>
      </c>
      <c r="AG432" s="44">
        <v>32547417</v>
      </c>
      <c r="AH432" s="44">
        <v>2719</v>
      </c>
      <c r="AI432" s="44">
        <v>12295</v>
      </c>
      <c r="AJ432" s="44">
        <v>11970</v>
      </c>
      <c r="AK432" s="44">
        <v>154096</v>
      </c>
      <c r="AL432" s="44">
        <v>73798</v>
      </c>
      <c r="AM432" s="44">
        <v>0.503</v>
      </c>
      <c r="AN432" s="44">
        <v>0.56938813301221414</v>
      </c>
      <c r="AO432" s="44">
        <v>0.187</v>
      </c>
      <c r="AP432" s="44">
        <v>0.75638813301221419</v>
      </c>
      <c r="AQ432" s="44">
        <v>0.84809999999999997</v>
      </c>
      <c r="AR432" s="44">
        <v>18.690000000000001</v>
      </c>
    </row>
    <row r="433" spans="1:44">
      <c r="A433" t="s">
        <v>820</v>
      </c>
      <c r="B433" t="s">
        <v>821</v>
      </c>
      <c r="D433" t="s">
        <v>1639</v>
      </c>
      <c r="E433" s="44">
        <v>2302834</v>
      </c>
      <c r="F433" s="44">
        <v>2686637</v>
      </c>
      <c r="G433" s="44">
        <v>963938</v>
      </c>
      <c r="H433" s="126">
        <v>3650575</v>
      </c>
      <c r="I433" s="127">
        <v>3970262</v>
      </c>
      <c r="J433" s="128">
        <v>320618</v>
      </c>
      <c r="K433" s="130">
        <v>7941455</v>
      </c>
      <c r="L433" s="44">
        <v>70354</v>
      </c>
      <c r="M433" s="44">
        <v>221777</v>
      </c>
      <c r="N433" s="44">
        <v>2021446</v>
      </c>
      <c r="O433" s="44">
        <v>47908</v>
      </c>
      <c r="P433" s="44">
        <v>82434</v>
      </c>
      <c r="Q433" s="44">
        <v>387642</v>
      </c>
      <c r="R433" s="44">
        <v>825389</v>
      </c>
      <c r="S433" s="44">
        <v>0</v>
      </c>
      <c r="T433" s="44">
        <v>356914</v>
      </c>
      <c r="U433" s="44">
        <v>325424</v>
      </c>
      <c r="V433" s="44">
        <v>0</v>
      </c>
      <c r="W433" s="44">
        <v>373400</v>
      </c>
      <c r="X433" s="44">
        <v>189430</v>
      </c>
      <c r="Y433" s="44">
        <v>524295</v>
      </c>
      <c r="Z433" s="44">
        <v>352224</v>
      </c>
      <c r="AA433" s="44">
        <v>73407</v>
      </c>
      <c r="AB433" s="44">
        <v>0</v>
      </c>
      <c r="AC433" s="44">
        <v>5852044</v>
      </c>
      <c r="AD433" s="44">
        <v>556961</v>
      </c>
      <c r="AE433" s="44">
        <v>210362</v>
      </c>
      <c r="AF433" s="44">
        <v>73740</v>
      </c>
      <c r="AG433" s="44">
        <v>6693107</v>
      </c>
      <c r="AH433" s="44">
        <v>509</v>
      </c>
      <c r="AI433" s="44">
        <v>15602</v>
      </c>
      <c r="AJ433" s="44">
        <v>13150</v>
      </c>
      <c r="AK433" s="44">
        <v>256003</v>
      </c>
      <c r="AL433" s="44">
        <v>116050</v>
      </c>
      <c r="AM433" s="44">
        <v>0.81</v>
      </c>
      <c r="AN433" s="44">
        <v>0.60467537722017595</v>
      </c>
      <c r="AO433" s="44">
        <v>0.13200000000000001</v>
      </c>
      <c r="AP433" s="44">
        <v>0.73667537722017595</v>
      </c>
      <c r="AQ433" s="44">
        <v>0.81610000000000005</v>
      </c>
      <c r="AR433" s="44">
        <v>22.42</v>
      </c>
    </row>
    <row r="434" spans="1:44">
      <c r="A434" t="s">
        <v>822</v>
      </c>
      <c r="B434" t="s">
        <v>823</v>
      </c>
      <c r="D434" t="s">
        <v>1639</v>
      </c>
      <c r="E434" s="44">
        <v>1509981</v>
      </c>
      <c r="F434" s="44">
        <v>8058361</v>
      </c>
      <c r="G434" s="44">
        <v>1280300</v>
      </c>
      <c r="H434" s="126">
        <v>9338661</v>
      </c>
      <c r="I434" s="127">
        <v>6654110</v>
      </c>
      <c r="J434" s="128">
        <v>843457</v>
      </c>
      <c r="K434" s="130">
        <v>16836228</v>
      </c>
      <c r="L434" s="44">
        <v>210148</v>
      </c>
      <c r="M434" s="44">
        <v>536667</v>
      </c>
      <c r="N434" s="44">
        <v>5456350</v>
      </c>
      <c r="O434" s="44">
        <v>698184</v>
      </c>
      <c r="P434" s="44">
        <v>471778</v>
      </c>
      <c r="Q434" s="44">
        <v>411310</v>
      </c>
      <c r="R434" s="44">
        <v>41591</v>
      </c>
      <c r="S434" s="44">
        <v>403821</v>
      </c>
      <c r="T434" s="44">
        <v>1052368</v>
      </c>
      <c r="U434" s="44">
        <v>917949</v>
      </c>
      <c r="V434" s="44">
        <v>30437</v>
      </c>
      <c r="W434" s="44">
        <v>1334835</v>
      </c>
      <c r="X434" s="44">
        <v>572310</v>
      </c>
      <c r="Y434" s="44">
        <v>1470852</v>
      </c>
      <c r="Z434" s="44">
        <v>972969</v>
      </c>
      <c r="AA434" s="44">
        <v>281542</v>
      </c>
      <c r="AB434" s="44">
        <v>346800</v>
      </c>
      <c r="AC434" s="44">
        <v>15209911</v>
      </c>
      <c r="AD434" s="44">
        <v>631480</v>
      </c>
      <c r="AE434" s="44">
        <v>200000</v>
      </c>
      <c r="AF434" s="44">
        <v>56413</v>
      </c>
      <c r="AG434" s="44">
        <v>16097804</v>
      </c>
      <c r="AH434" s="44">
        <v>1055</v>
      </c>
      <c r="AI434" s="44">
        <v>15959</v>
      </c>
      <c r="AJ434" s="44">
        <v>15259</v>
      </c>
      <c r="AK434" s="44">
        <v>185278</v>
      </c>
      <c r="AL434" s="44">
        <v>102458</v>
      </c>
      <c r="AM434" s="44">
        <v>0.66199999999999992</v>
      </c>
      <c r="AN434" s="44">
        <v>0.58724475711096991</v>
      </c>
      <c r="AO434" s="44">
        <v>0.16200000000000001</v>
      </c>
      <c r="AP434" s="44">
        <v>0.74924475711096994</v>
      </c>
      <c r="AQ434" s="44">
        <v>0.81059999999999999</v>
      </c>
      <c r="AR434" s="44">
        <v>23.67</v>
      </c>
    </row>
    <row r="435" spans="1:44">
      <c r="A435" t="s">
        <v>824</v>
      </c>
      <c r="B435" t="s">
        <v>825</v>
      </c>
      <c r="D435" t="s">
        <v>1639</v>
      </c>
      <c r="E435" s="44">
        <v>1521844</v>
      </c>
      <c r="F435" s="44">
        <v>24045465</v>
      </c>
      <c r="G435" s="44">
        <v>4030928</v>
      </c>
      <c r="H435" s="126">
        <v>28076393</v>
      </c>
      <c r="I435" s="127">
        <v>20514076</v>
      </c>
      <c r="J435" s="128">
        <v>1560939</v>
      </c>
      <c r="K435" s="130">
        <v>50151408</v>
      </c>
      <c r="L435" s="44">
        <v>207801</v>
      </c>
      <c r="M435" s="44">
        <v>756656</v>
      </c>
      <c r="N435" s="44">
        <v>16242230</v>
      </c>
      <c r="O435" s="44">
        <v>1418574</v>
      </c>
      <c r="P435" s="44">
        <v>824556</v>
      </c>
      <c r="Q435" s="44">
        <v>1467375</v>
      </c>
      <c r="R435" s="44">
        <v>34231</v>
      </c>
      <c r="S435" s="44">
        <v>706998</v>
      </c>
      <c r="T435" s="44">
        <v>3425057</v>
      </c>
      <c r="U435" s="44">
        <v>2250153</v>
      </c>
      <c r="V435" s="44">
        <v>0</v>
      </c>
      <c r="W435" s="44">
        <v>3068272</v>
      </c>
      <c r="X435" s="44">
        <v>1660475</v>
      </c>
      <c r="Y435" s="44">
        <v>4976565</v>
      </c>
      <c r="Z435" s="44">
        <v>3012721</v>
      </c>
      <c r="AA435" s="44">
        <v>762518</v>
      </c>
      <c r="AB435" s="44">
        <v>0</v>
      </c>
      <c r="AC435" s="44">
        <v>40814182</v>
      </c>
      <c r="AD435" s="44">
        <v>2812187</v>
      </c>
      <c r="AE435" s="44">
        <v>6882600</v>
      </c>
      <c r="AF435" s="44">
        <v>1819955</v>
      </c>
      <c r="AG435" s="44">
        <v>52328924</v>
      </c>
      <c r="AH435" s="44">
        <v>3463</v>
      </c>
      <c r="AI435" s="44">
        <v>14482</v>
      </c>
      <c r="AJ435" s="44">
        <v>15111</v>
      </c>
      <c r="AK435" s="44">
        <v>203971</v>
      </c>
      <c r="AL435" s="44">
        <v>89691</v>
      </c>
      <c r="AM435" s="44">
        <v>0.63400000000000001</v>
      </c>
      <c r="AN435" s="44">
        <v>0.5039120238742153</v>
      </c>
      <c r="AO435" s="44">
        <v>0.156</v>
      </c>
      <c r="AP435" s="44">
        <v>0.65991202387421533</v>
      </c>
      <c r="AQ435" s="44">
        <v>0.84560000000000002</v>
      </c>
      <c r="AR435" s="44">
        <v>19.23</v>
      </c>
    </row>
    <row r="436" spans="1:44">
      <c r="A436" t="s">
        <v>826</v>
      </c>
      <c r="B436" t="s">
        <v>827</v>
      </c>
      <c r="D436" t="s">
        <v>1639</v>
      </c>
      <c r="E436" s="44">
        <v>1539602</v>
      </c>
      <c r="F436" s="44">
        <v>8486774</v>
      </c>
      <c r="G436" s="44">
        <v>1511679</v>
      </c>
      <c r="H436" s="126">
        <v>9998453</v>
      </c>
      <c r="I436" s="127">
        <v>7021412</v>
      </c>
      <c r="J436" s="128">
        <v>579002</v>
      </c>
      <c r="K436" s="130">
        <v>17598867</v>
      </c>
      <c r="L436" s="44">
        <v>113587</v>
      </c>
      <c r="M436" s="44">
        <v>385546</v>
      </c>
      <c r="N436" s="44">
        <v>5881915</v>
      </c>
      <c r="O436" s="44">
        <v>276752</v>
      </c>
      <c r="P436" s="44">
        <v>283539</v>
      </c>
      <c r="Q436" s="44">
        <v>1465167</v>
      </c>
      <c r="R436" s="44">
        <v>193643</v>
      </c>
      <c r="S436" s="44">
        <v>27175</v>
      </c>
      <c r="T436" s="44">
        <v>882716</v>
      </c>
      <c r="U436" s="44">
        <v>659698</v>
      </c>
      <c r="V436" s="44">
        <v>0</v>
      </c>
      <c r="W436" s="44">
        <v>934989</v>
      </c>
      <c r="X436" s="44">
        <v>570077</v>
      </c>
      <c r="Y436" s="44">
        <v>2203797</v>
      </c>
      <c r="Z436" s="44">
        <v>939562</v>
      </c>
      <c r="AA436" s="44">
        <v>268873</v>
      </c>
      <c r="AB436" s="44">
        <v>168174</v>
      </c>
      <c r="AC436" s="44">
        <v>15255210</v>
      </c>
      <c r="AD436" s="44">
        <v>1088805</v>
      </c>
      <c r="AE436" s="44">
        <v>917304</v>
      </c>
      <c r="AF436" s="44">
        <v>247688</v>
      </c>
      <c r="AG436" s="44">
        <v>17509007</v>
      </c>
      <c r="AH436" s="44">
        <v>1282</v>
      </c>
      <c r="AI436" s="44">
        <v>13728</v>
      </c>
      <c r="AJ436" s="44">
        <v>13658</v>
      </c>
      <c r="AK436" s="44">
        <v>195337</v>
      </c>
      <c r="AL436" s="44">
        <v>72788</v>
      </c>
      <c r="AM436" s="44">
        <v>0.55299999999999994</v>
      </c>
      <c r="AN436" s="44">
        <v>0.55232172789696188</v>
      </c>
      <c r="AO436" s="44">
        <v>0.17599999999999999</v>
      </c>
      <c r="AP436" s="44">
        <v>0.72832172789696181</v>
      </c>
      <c r="AQ436" s="44">
        <v>0.84279999999999999</v>
      </c>
      <c r="AR436" s="44">
        <v>18.760000000000002</v>
      </c>
    </row>
    <row r="437" spans="1:44">
      <c r="A437" t="s">
        <v>828</v>
      </c>
      <c r="B437" t="s">
        <v>829</v>
      </c>
      <c r="D437" t="s">
        <v>1639</v>
      </c>
      <c r="E437" s="44">
        <v>1000887</v>
      </c>
      <c r="F437" s="44">
        <v>6900735</v>
      </c>
      <c r="G437" s="44">
        <v>1562374</v>
      </c>
      <c r="H437" s="126">
        <v>8463109</v>
      </c>
      <c r="I437" s="127">
        <v>9649127</v>
      </c>
      <c r="J437" s="128">
        <v>544065</v>
      </c>
      <c r="K437" s="130">
        <v>18656301</v>
      </c>
      <c r="L437" s="44">
        <v>118262</v>
      </c>
      <c r="M437" s="44">
        <v>453089</v>
      </c>
      <c r="N437" s="44">
        <v>6015563</v>
      </c>
      <c r="O437" s="44">
        <v>462806</v>
      </c>
      <c r="P437" s="44">
        <v>389708</v>
      </c>
      <c r="Q437" s="44">
        <v>1457922</v>
      </c>
      <c r="R437" s="44">
        <v>0</v>
      </c>
      <c r="S437" s="44">
        <v>242443</v>
      </c>
      <c r="T437" s="44">
        <v>1017479</v>
      </c>
      <c r="U437" s="44">
        <v>631053</v>
      </c>
      <c r="V437" s="44">
        <v>0</v>
      </c>
      <c r="W437" s="44">
        <v>1515487</v>
      </c>
      <c r="X437" s="44">
        <v>600608</v>
      </c>
      <c r="Y437" s="44">
        <v>1938374</v>
      </c>
      <c r="Z437" s="44">
        <v>1069340</v>
      </c>
      <c r="AA437" s="44">
        <v>419830</v>
      </c>
      <c r="AB437" s="44">
        <v>0</v>
      </c>
      <c r="AC437" s="44">
        <v>16331964</v>
      </c>
      <c r="AD437" s="44">
        <v>1056477</v>
      </c>
      <c r="AE437" s="44">
        <v>1112671</v>
      </c>
      <c r="AF437" s="44">
        <v>343326</v>
      </c>
      <c r="AG437" s="44">
        <v>18844438</v>
      </c>
      <c r="AH437" s="44">
        <v>1183</v>
      </c>
      <c r="AI437" s="44">
        <v>15770</v>
      </c>
      <c r="AJ437" s="44">
        <v>15929</v>
      </c>
      <c r="AK437" s="44">
        <v>241082</v>
      </c>
      <c r="AL437" s="44">
        <v>92847</v>
      </c>
      <c r="AM437" s="44">
        <v>0.69599999999999995</v>
      </c>
      <c r="AN437" s="44">
        <v>0.54217451324364252</v>
      </c>
      <c r="AO437" s="44">
        <v>0.154</v>
      </c>
      <c r="AP437" s="44">
        <v>0.69617451324364255</v>
      </c>
      <c r="AQ437" s="44">
        <v>0.80320000000000003</v>
      </c>
      <c r="AR437" s="44">
        <v>24.37</v>
      </c>
    </row>
    <row r="438" spans="1:44">
      <c r="A438" t="s">
        <v>2016</v>
      </c>
      <c r="B438" t="s">
        <v>830</v>
      </c>
      <c r="D438" t="s">
        <v>1639</v>
      </c>
      <c r="E438" s="44">
        <v>11274182</v>
      </c>
      <c r="F438" s="44">
        <v>47619326</v>
      </c>
      <c r="G438" s="44">
        <v>4806362</v>
      </c>
      <c r="H438" s="126">
        <v>52425688</v>
      </c>
      <c r="I438" s="127">
        <v>29128079</v>
      </c>
      <c r="J438" s="128">
        <v>6032410</v>
      </c>
      <c r="K438" s="130">
        <v>87586177</v>
      </c>
      <c r="L438" s="44">
        <v>371430</v>
      </c>
      <c r="M438" s="44">
        <v>1288030</v>
      </c>
      <c r="N438" s="44">
        <v>25374540</v>
      </c>
      <c r="O438" s="44">
        <v>1401784</v>
      </c>
      <c r="P438" s="44">
        <v>2129452</v>
      </c>
      <c r="Q438" s="44">
        <v>7967305</v>
      </c>
      <c r="R438" s="44">
        <v>2258190</v>
      </c>
      <c r="S438" s="44">
        <v>197448</v>
      </c>
      <c r="T438" s="44">
        <v>5182104</v>
      </c>
      <c r="U438" s="44">
        <v>7514513</v>
      </c>
      <c r="V438" s="44">
        <v>0</v>
      </c>
      <c r="W438" s="44">
        <v>6307274</v>
      </c>
      <c r="X438" s="44">
        <v>2408793</v>
      </c>
      <c r="Y438" s="44">
        <v>8474286</v>
      </c>
      <c r="Z438" s="44">
        <v>4237513</v>
      </c>
      <c r="AA438" s="44">
        <v>1820075</v>
      </c>
      <c r="AB438" s="44">
        <v>0</v>
      </c>
      <c r="AC438" s="44">
        <v>76932737</v>
      </c>
      <c r="AD438" s="44">
        <v>4637050</v>
      </c>
      <c r="AE438" s="44">
        <v>4073000</v>
      </c>
      <c r="AF438" s="44">
        <v>1941601</v>
      </c>
      <c r="AG438" s="44">
        <v>87584388</v>
      </c>
      <c r="AH438" s="44">
        <v>4827</v>
      </c>
      <c r="AI438" s="44">
        <v>18145</v>
      </c>
      <c r="AJ438" s="44">
        <v>18145</v>
      </c>
      <c r="AK438" s="44">
        <v>169390</v>
      </c>
      <c r="AL438" s="44">
        <v>87710</v>
      </c>
      <c r="AM438" s="44">
        <v>0.58099999999999996</v>
      </c>
      <c r="AN438" s="44">
        <v>0.5940023922984996</v>
      </c>
      <c r="AO438" s="44">
        <v>0.155</v>
      </c>
      <c r="AP438" s="44">
        <v>0.74900239229849963</v>
      </c>
      <c r="AQ438" s="44">
        <v>0.84760000000000002</v>
      </c>
      <c r="AR438" s="44">
        <v>25.13</v>
      </c>
    </row>
    <row r="439" spans="1:44">
      <c r="A439" t="s">
        <v>831</v>
      </c>
      <c r="B439" t="s">
        <v>832</v>
      </c>
      <c r="D439" t="s">
        <v>1639</v>
      </c>
      <c r="E439" s="44">
        <v>3973934</v>
      </c>
      <c r="F439" s="44">
        <v>25959956</v>
      </c>
      <c r="G439" s="44">
        <v>12956442</v>
      </c>
      <c r="H439" s="126">
        <v>38916398</v>
      </c>
      <c r="I439" s="127">
        <v>104822123</v>
      </c>
      <c r="J439" s="128">
        <v>2330421</v>
      </c>
      <c r="K439" s="130">
        <v>146068942</v>
      </c>
      <c r="L439" s="44">
        <v>533476</v>
      </c>
      <c r="M439" s="44">
        <v>2171805</v>
      </c>
      <c r="N439" s="44">
        <v>63933968</v>
      </c>
      <c r="O439" s="44">
        <v>4152308</v>
      </c>
      <c r="P439" s="44">
        <v>4541519</v>
      </c>
      <c r="Q439" s="44">
        <v>5914752</v>
      </c>
      <c r="R439" s="44">
        <v>203339</v>
      </c>
      <c r="S439" s="44">
        <v>1331829</v>
      </c>
      <c r="T439" s="44">
        <v>9020343</v>
      </c>
      <c r="U439" s="44">
        <v>5033472</v>
      </c>
      <c r="V439" s="44">
        <v>142164</v>
      </c>
      <c r="W439" s="44">
        <v>12392781</v>
      </c>
      <c r="X439" s="44">
        <v>6146038</v>
      </c>
      <c r="Y439" s="44">
        <v>9169974</v>
      </c>
      <c r="Z439" s="44">
        <v>10784260</v>
      </c>
      <c r="AA439" s="44">
        <v>1915218</v>
      </c>
      <c r="AB439" s="44">
        <v>0</v>
      </c>
      <c r="AC439" s="44">
        <v>137387246</v>
      </c>
      <c r="AD439" s="44">
        <v>6132065</v>
      </c>
      <c r="AE439" s="44">
        <v>2503170</v>
      </c>
      <c r="AF439" s="44">
        <v>1861671</v>
      </c>
      <c r="AG439" s="44">
        <v>147884152</v>
      </c>
      <c r="AH439" s="44">
        <v>9589</v>
      </c>
      <c r="AI439" s="44">
        <v>15233</v>
      </c>
      <c r="AJ439" s="44">
        <v>15422</v>
      </c>
      <c r="AK439" s="44">
        <v>623472</v>
      </c>
      <c r="AL439" s="44">
        <v>158219</v>
      </c>
      <c r="AM439" s="44">
        <v>1.464</v>
      </c>
      <c r="AN439" s="44">
        <v>0.63652209332072307</v>
      </c>
      <c r="AO439" s="44">
        <v>0.15</v>
      </c>
      <c r="AP439" s="44">
        <v>0.78652209332072309</v>
      </c>
      <c r="AQ439" s="44">
        <v>0.84650000000000003</v>
      </c>
      <c r="AR439" s="44">
        <v>11.73</v>
      </c>
    </row>
    <row r="440" spans="1:44">
      <c r="A440" t="s">
        <v>833</v>
      </c>
      <c r="B440" t="s">
        <v>834</v>
      </c>
      <c r="D440" t="s">
        <v>1639</v>
      </c>
      <c r="E440" s="44">
        <v>791071</v>
      </c>
      <c r="F440" s="44">
        <v>5398871</v>
      </c>
      <c r="G440" s="44">
        <v>3138321</v>
      </c>
      <c r="H440" s="126">
        <v>8537192</v>
      </c>
      <c r="I440" s="127">
        <v>45192926</v>
      </c>
      <c r="J440" s="128">
        <v>197088</v>
      </c>
      <c r="K440" s="130">
        <v>53927206</v>
      </c>
      <c r="L440" s="44">
        <v>518611</v>
      </c>
      <c r="M440" s="44">
        <v>1167988</v>
      </c>
      <c r="N440" s="44">
        <v>18230218</v>
      </c>
      <c r="O440" s="44">
        <v>970893</v>
      </c>
      <c r="P440" s="44">
        <v>983274</v>
      </c>
      <c r="Q440" s="44">
        <v>3564827</v>
      </c>
      <c r="R440" s="44">
        <v>228674</v>
      </c>
      <c r="S440" s="44">
        <v>530225</v>
      </c>
      <c r="T440" s="44">
        <v>3401011</v>
      </c>
      <c r="U440" s="44">
        <v>1554887</v>
      </c>
      <c r="V440" s="44">
        <v>0</v>
      </c>
      <c r="W440" s="44">
        <v>4463130</v>
      </c>
      <c r="X440" s="44">
        <v>1864124</v>
      </c>
      <c r="Y440" s="44">
        <v>4895583</v>
      </c>
      <c r="Z440" s="44">
        <v>3282585</v>
      </c>
      <c r="AA440" s="44">
        <v>2293496</v>
      </c>
      <c r="AB440" s="44">
        <v>0</v>
      </c>
      <c r="AC440" s="44">
        <v>47949526</v>
      </c>
      <c r="AD440" s="44">
        <v>2429420</v>
      </c>
      <c r="AE440" s="44">
        <v>1902343</v>
      </c>
      <c r="AF440" s="44">
        <v>1810672</v>
      </c>
      <c r="AG440" s="44">
        <v>54091961</v>
      </c>
      <c r="AH440" s="44">
        <v>2373</v>
      </c>
      <c r="AI440" s="44">
        <v>22725</v>
      </c>
      <c r="AJ440" s="44">
        <v>22795</v>
      </c>
      <c r="AK440" s="44">
        <v>840909</v>
      </c>
      <c r="AL440" s="44">
        <v>141769</v>
      </c>
      <c r="AM440" s="44">
        <v>1.681</v>
      </c>
      <c r="AN440" s="44">
        <v>0.54470217857326342</v>
      </c>
      <c r="AO440" s="44">
        <v>0.161</v>
      </c>
      <c r="AP440" s="44">
        <v>0.70570217857326345</v>
      </c>
      <c r="AQ440" s="44">
        <v>0.7954</v>
      </c>
      <c r="AR440" s="44">
        <v>15.93</v>
      </c>
    </row>
    <row r="441" spans="1:44">
      <c r="A441" t="s">
        <v>835</v>
      </c>
      <c r="B441" t="s">
        <v>836</v>
      </c>
      <c r="D441" t="s">
        <v>1639</v>
      </c>
      <c r="E441" s="44">
        <v>10231204</v>
      </c>
      <c r="F441" s="44">
        <v>42586934</v>
      </c>
      <c r="G441" s="44">
        <v>19140730</v>
      </c>
      <c r="H441" s="126">
        <v>61727664</v>
      </c>
      <c r="I441" s="127">
        <v>325681121</v>
      </c>
      <c r="J441" s="128">
        <v>4001402</v>
      </c>
      <c r="K441" s="130">
        <v>391410187</v>
      </c>
      <c r="L441" s="44">
        <v>303240</v>
      </c>
      <c r="M441" s="44">
        <v>2384598</v>
      </c>
      <c r="N441" s="44">
        <v>61575577</v>
      </c>
      <c r="O441" s="44">
        <v>1695069</v>
      </c>
      <c r="P441" s="44">
        <v>3403105</v>
      </c>
      <c r="Q441" s="44">
        <v>9189696</v>
      </c>
      <c r="R441" s="44">
        <v>745887</v>
      </c>
      <c r="S441" s="44">
        <v>187890</v>
      </c>
      <c r="T441" s="44">
        <v>10044284</v>
      </c>
      <c r="U441" s="44">
        <v>3787803</v>
      </c>
      <c r="V441" s="44">
        <v>0</v>
      </c>
      <c r="W441" s="44">
        <v>11166068</v>
      </c>
      <c r="X441" s="44">
        <v>5718281</v>
      </c>
      <c r="Y441" s="44">
        <v>21194568</v>
      </c>
      <c r="Z441" s="44">
        <v>9549342</v>
      </c>
      <c r="AA441" s="44">
        <v>232358109</v>
      </c>
      <c r="AB441" s="44">
        <v>0</v>
      </c>
      <c r="AC441" s="44">
        <v>373303517</v>
      </c>
      <c r="AD441" s="44">
        <v>11403218</v>
      </c>
      <c r="AE441" s="44">
        <v>2185000</v>
      </c>
      <c r="AF441" s="44">
        <v>5535266</v>
      </c>
      <c r="AG441" s="44">
        <v>392427001</v>
      </c>
      <c r="AH441" s="44">
        <v>7939</v>
      </c>
      <c r="AI441" s="44">
        <v>49302</v>
      </c>
      <c r="AJ441" s="44">
        <v>49430</v>
      </c>
      <c r="AK441" s="44">
        <v>363577</v>
      </c>
      <c r="AL441" s="44">
        <v>97548</v>
      </c>
      <c r="AM441" s="44">
        <v>0.875</v>
      </c>
      <c r="AN441" s="44">
        <v>0.23094565554626553</v>
      </c>
      <c r="AO441" s="44">
        <v>8.3000000000000004E-2</v>
      </c>
      <c r="AP441" s="44">
        <v>0.31394565554626552</v>
      </c>
      <c r="AQ441" s="44">
        <v>0.3291</v>
      </c>
      <c r="AR441" s="44">
        <v>75.989999999999995</v>
      </c>
    </row>
    <row r="442" spans="1:44">
      <c r="A442" t="s">
        <v>837</v>
      </c>
      <c r="B442" t="s">
        <v>838</v>
      </c>
      <c r="D442" t="s">
        <v>1639</v>
      </c>
      <c r="E442" s="44">
        <v>2287795</v>
      </c>
      <c r="F442" s="44">
        <v>8786867</v>
      </c>
      <c r="G442" s="44">
        <v>6387049</v>
      </c>
      <c r="H442" s="126">
        <v>15173916</v>
      </c>
      <c r="I442" s="127">
        <v>55544749</v>
      </c>
      <c r="J442" s="128">
        <v>1048477</v>
      </c>
      <c r="K442" s="130">
        <v>71767142</v>
      </c>
      <c r="L442" s="44">
        <v>229530</v>
      </c>
      <c r="M442" s="44">
        <v>1460994</v>
      </c>
      <c r="N442" s="44">
        <v>25095169</v>
      </c>
      <c r="O442" s="44">
        <v>1418073</v>
      </c>
      <c r="P442" s="44">
        <v>1475198</v>
      </c>
      <c r="Q442" s="44">
        <v>5497994</v>
      </c>
      <c r="R442" s="44">
        <v>60032</v>
      </c>
      <c r="S442" s="44">
        <v>447521</v>
      </c>
      <c r="T442" s="44">
        <v>4681477</v>
      </c>
      <c r="U442" s="44">
        <v>2192255</v>
      </c>
      <c r="V442" s="44">
        <v>29639</v>
      </c>
      <c r="W442" s="44">
        <v>4399125</v>
      </c>
      <c r="X442" s="44">
        <v>2525536</v>
      </c>
      <c r="Y442" s="44">
        <v>7155633</v>
      </c>
      <c r="Z442" s="44">
        <v>3704715</v>
      </c>
      <c r="AA442" s="44">
        <v>1128213</v>
      </c>
      <c r="AB442" s="44">
        <v>1770379</v>
      </c>
      <c r="AC442" s="44">
        <v>63271483</v>
      </c>
      <c r="AD442" s="44">
        <v>3154555</v>
      </c>
      <c r="AE442" s="44">
        <v>1831653</v>
      </c>
      <c r="AF442" s="44">
        <v>1531974</v>
      </c>
      <c r="AG442" s="44">
        <v>69789665</v>
      </c>
      <c r="AH442" s="44">
        <v>3560</v>
      </c>
      <c r="AI442" s="44">
        <v>20159</v>
      </c>
      <c r="AJ442" s="44">
        <v>19604</v>
      </c>
      <c r="AK442" s="44">
        <v>750949</v>
      </c>
      <c r="AL442" s="44">
        <v>168028</v>
      </c>
      <c r="AM442" s="44">
        <v>1.6709999999999998</v>
      </c>
      <c r="AN442" s="44">
        <v>0.58558411191685755</v>
      </c>
      <c r="AO442" s="44">
        <v>0.17599999999999999</v>
      </c>
      <c r="AP442" s="44">
        <v>0.7615841119168576</v>
      </c>
      <c r="AQ442" s="44">
        <v>0.86409999999999998</v>
      </c>
      <c r="AR442" s="44">
        <v>15.36</v>
      </c>
    </row>
    <row r="443" spans="1:44">
      <c r="A443" t="s">
        <v>839</v>
      </c>
      <c r="B443" t="s">
        <v>840</v>
      </c>
      <c r="D443" t="s">
        <v>1639</v>
      </c>
      <c r="E443" s="44">
        <v>1935034</v>
      </c>
      <c r="F443" s="44">
        <v>8493053</v>
      </c>
      <c r="G443" s="44">
        <v>6806990</v>
      </c>
      <c r="H443" s="126">
        <v>15300043</v>
      </c>
      <c r="I443" s="127">
        <v>47472046</v>
      </c>
      <c r="J443" s="128">
        <v>1160937</v>
      </c>
      <c r="K443" s="130">
        <v>63933026</v>
      </c>
      <c r="L443" s="44">
        <v>377313</v>
      </c>
      <c r="M443" s="44">
        <v>1424255</v>
      </c>
      <c r="N443" s="44">
        <v>24602795</v>
      </c>
      <c r="O443" s="44">
        <v>855163</v>
      </c>
      <c r="P443" s="44">
        <v>2379236</v>
      </c>
      <c r="Q443" s="44">
        <v>4317225</v>
      </c>
      <c r="R443" s="44">
        <v>156017</v>
      </c>
      <c r="S443" s="44">
        <v>0</v>
      </c>
      <c r="T443" s="44">
        <v>4621611</v>
      </c>
      <c r="U443" s="44">
        <v>3104428</v>
      </c>
      <c r="V443" s="44">
        <v>0</v>
      </c>
      <c r="W443" s="44">
        <v>3179429</v>
      </c>
      <c r="X443" s="44">
        <v>2360635</v>
      </c>
      <c r="Y443" s="44">
        <v>5294723</v>
      </c>
      <c r="Z443" s="44">
        <v>3335748</v>
      </c>
      <c r="AA443" s="44">
        <v>1063569</v>
      </c>
      <c r="AB443" s="44">
        <v>36906</v>
      </c>
      <c r="AC443" s="44">
        <v>57109053</v>
      </c>
      <c r="AD443" s="44">
        <v>2456381</v>
      </c>
      <c r="AE443" s="44">
        <v>2665747</v>
      </c>
      <c r="AF443" s="44">
        <v>1210133</v>
      </c>
      <c r="AG443" s="44">
        <v>63441314</v>
      </c>
      <c r="AH443" s="44">
        <v>3071</v>
      </c>
      <c r="AI443" s="44">
        <v>20818</v>
      </c>
      <c r="AJ443" s="44">
        <v>20658</v>
      </c>
      <c r="AK443" s="44">
        <v>695449</v>
      </c>
      <c r="AL443" s="44">
        <v>212450</v>
      </c>
      <c r="AM443" s="44">
        <v>1.7810000000000001</v>
      </c>
      <c r="AN443" s="44">
        <v>0.63107890545898848</v>
      </c>
      <c r="AO443" s="44">
        <v>0.16400000000000001</v>
      </c>
      <c r="AP443" s="44">
        <v>0.79507890545898852</v>
      </c>
      <c r="AQ443" s="44">
        <v>0.8831</v>
      </c>
      <c r="AR443" s="44">
        <v>15.84</v>
      </c>
    </row>
    <row r="444" spans="1:44">
      <c r="A444" t="s">
        <v>841</v>
      </c>
      <c r="B444" t="s">
        <v>842</v>
      </c>
      <c r="D444" t="s">
        <v>1639</v>
      </c>
      <c r="E444" s="44">
        <v>1577480</v>
      </c>
      <c r="F444" s="44">
        <v>6116474</v>
      </c>
      <c r="G444" s="44">
        <v>5090324</v>
      </c>
      <c r="H444" s="126">
        <v>11206798</v>
      </c>
      <c r="I444" s="127">
        <v>38107821</v>
      </c>
      <c r="J444" s="128">
        <v>737400</v>
      </c>
      <c r="K444" s="130">
        <v>50052019</v>
      </c>
      <c r="L444" s="44">
        <v>218621</v>
      </c>
      <c r="M444" s="44">
        <v>1049204</v>
      </c>
      <c r="N444" s="44">
        <v>15751415</v>
      </c>
      <c r="O444" s="44">
        <v>1210432</v>
      </c>
      <c r="P444" s="44">
        <v>1176421</v>
      </c>
      <c r="Q444" s="44">
        <v>4450173</v>
      </c>
      <c r="R444" s="44">
        <v>486735</v>
      </c>
      <c r="S444" s="44">
        <v>243512</v>
      </c>
      <c r="T444" s="44">
        <v>3900746</v>
      </c>
      <c r="U444" s="44">
        <v>1352723</v>
      </c>
      <c r="V444" s="44">
        <v>53597</v>
      </c>
      <c r="W444" s="44">
        <v>3096682</v>
      </c>
      <c r="X444" s="44">
        <v>1753124</v>
      </c>
      <c r="Y444" s="44">
        <v>4707737</v>
      </c>
      <c r="Z444" s="44">
        <v>2452034</v>
      </c>
      <c r="AA444" s="44">
        <v>965000</v>
      </c>
      <c r="AB444" s="44">
        <v>0</v>
      </c>
      <c r="AC444" s="44">
        <v>42868156</v>
      </c>
      <c r="AD444" s="44">
        <v>2269932</v>
      </c>
      <c r="AE444" s="44">
        <v>2970000</v>
      </c>
      <c r="AF444" s="44">
        <v>1301101</v>
      </c>
      <c r="AG444" s="44">
        <v>49409189</v>
      </c>
      <c r="AH444" s="44">
        <v>2620</v>
      </c>
      <c r="AI444" s="44">
        <v>19104</v>
      </c>
      <c r="AJ444" s="44">
        <v>18858</v>
      </c>
      <c r="AK444" s="44">
        <v>648486</v>
      </c>
      <c r="AL444" s="44">
        <v>141590</v>
      </c>
      <c r="AM444" s="44">
        <v>1.4289999999999998</v>
      </c>
      <c r="AN444" s="44">
        <v>0.57827617854646429</v>
      </c>
      <c r="AO444" s="44">
        <v>0.161</v>
      </c>
      <c r="AP444" s="44">
        <v>0.73927617854646432</v>
      </c>
      <c r="AQ444" s="44">
        <v>0.8498</v>
      </c>
      <c r="AR444" s="44">
        <v>16.05</v>
      </c>
    </row>
    <row r="445" spans="1:44">
      <c r="A445" t="s">
        <v>843</v>
      </c>
      <c r="B445" t="s">
        <v>844</v>
      </c>
      <c r="D445" t="s">
        <v>1639</v>
      </c>
      <c r="E445" s="44">
        <v>6201432</v>
      </c>
      <c r="F445" s="44">
        <v>15452441</v>
      </c>
      <c r="G445" s="44">
        <v>12862108</v>
      </c>
      <c r="H445" s="126">
        <v>28314549</v>
      </c>
      <c r="I445" s="127">
        <v>75490407</v>
      </c>
      <c r="J445" s="128">
        <v>1156707</v>
      </c>
      <c r="K445" s="130">
        <v>104961663</v>
      </c>
      <c r="L445" s="44">
        <v>334220</v>
      </c>
      <c r="M445" s="44">
        <v>1745109</v>
      </c>
      <c r="N445" s="44">
        <v>35493199</v>
      </c>
      <c r="O445" s="44">
        <v>2113384</v>
      </c>
      <c r="P445" s="44">
        <v>3069968</v>
      </c>
      <c r="Q445" s="44">
        <v>9407898</v>
      </c>
      <c r="R445" s="44">
        <v>1805344</v>
      </c>
      <c r="S445" s="44">
        <v>0</v>
      </c>
      <c r="T445" s="44">
        <v>4580631</v>
      </c>
      <c r="U445" s="44">
        <v>4253986</v>
      </c>
      <c r="V445" s="44">
        <v>0</v>
      </c>
      <c r="W445" s="44">
        <v>6550007</v>
      </c>
      <c r="X445" s="44">
        <v>3664792</v>
      </c>
      <c r="Y445" s="44">
        <v>10488171</v>
      </c>
      <c r="Z445" s="44">
        <v>4746526</v>
      </c>
      <c r="AA445" s="44">
        <v>1297950</v>
      </c>
      <c r="AB445" s="44">
        <v>0</v>
      </c>
      <c r="AC445" s="44">
        <v>89551185</v>
      </c>
      <c r="AD445" s="44">
        <v>4371880</v>
      </c>
      <c r="AE445" s="44">
        <v>2960000</v>
      </c>
      <c r="AF445" s="44">
        <v>3394399</v>
      </c>
      <c r="AG445" s="44">
        <v>100277464</v>
      </c>
      <c r="AH445" s="44">
        <v>4556</v>
      </c>
      <c r="AI445" s="44">
        <v>23038</v>
      </c>
      <c r="AJ445" s="44">
        <v>22010</v>
      </c>
      <c r="AK445" s="44">
        <v>647816</v>
      </c>
      <c r="AL445" s="44">
        <v>162092</v>
      </c>
      <c r="AM445" s="44">
        <v>1.512</v>
      </c>
      <c r="AN445" s="44">
        <v>0.60556387824087776</v>
      </c>
      <c r="AO445" s="44">
        <v>0.17</v>
      </c>
      <c r="AP445" s="44">
        <v>0.7755638782408778</v>
      </c>
      <c r="AQ445" s="44">
        <v>0.8659</v>
      </c>
      <c r="AR445" s="44">
        <v>17.75</v>
      </c>
    </row>
    <row r="446" spans="1:44">
      <c r="A446" t="s">
        <v>1988</v>
      </c>
      <c r="B446" t="s">
        <v>845</v>
      </c>
      <c r="D446" t="s">
        <v>1639</v>
      </c>
      <c r="E446" s="44">
        <v>8515370</v>
      </c>
      <c r="F446" s="44">
        <v>52177358</v>
      </c>
      <c r="G446" s="44">
        <v>16600799</v>
      </c>
      <c r="H446" s="126">
        <v>68778157</v>
      </c>
      <c r="I446" s="127">
        <v>105127011</v>
      </c>
      <c r="J446" s="128">
        <v>17037143</v>
      </c>
      <c r="K446" s="130">
        <v>190942311</v>
      </c>
      <c r="L446" s="44">
        <v>710966</v>
      </c>
      <c r="M446" s="44">
        <v>2115131</v>
      </c>
      <c r="N446" s="44">
        <v>68358446</v>
      </c>
      <c r="O446" s="44">
        <v>6563764</v>
      </c>
      <c r="P446" s="44">
        <v>5507143</v>
      </c>
      <c r="Q446" s="44">
        <v>13458002</v>
      </c>
      <c r="R446" s="44">
        <v>3254164</v>
      </c>
      <c r="S446" s="44">
        <v>0</v>
      </c>
      <c r="T446" s="44">
        <v>12531224</v>
      </c>
      <c r="U446" s="44">
        <v>11349029</v>
      </c>
      <c r="V446" s="44">
        <v>0</v>
      </c>
      <c r="W446" s="44">
        <v>11577911</v>
      </c>
      <c r="X446" s="44">
        <v>6785457</v>
      </c>
      <c r="Y446" s="44">
        <v>18435628</v>
      </c>
      <c r="Z446" s="44">
        <v>11414347</v>
      </c>
      <c r="AA446" s="44">
        <v>4823305</v>
      </c>
      <c r="AB446" s="44">
        <v>1176073</v>
      </c>
      <c r="AC446" s="44">
        <v>178060590</v>
      </c>
      <c r="AD446" s="44">
        <v>20256455</v>
      </c>
      <c r="AE446" s="44">
        <v>1146477</v>
      </c>
      <c r="AF446" s="44">
        <v>1067145</v>
      </c>
      <c r="AG446" s="44">
        <v>200530667</v>
      </c>
      <c r="AH446" s="44">
        <v>8585</v>
      </c>
      <c r="AI446" s="44">
        <v>22241</v>
      </c>
      <c r="AJ446" s="44">
        <v>23358</v>
      </c>
      <c r="AK446" s="44">
        <v>596713</v>
      </c>
      <c r="AL446" s="44">
        <v>165288</v>
      </c>
      <c r="AM446" s="44">
        <v>1.4580000000000002</v>
      </c>
      <c r="AN446" s="44">
        <v>0.60350755228874797</v>
      </c>
      <c r="AO446" s="44">
        <v>0.161</v>
      </c>
      <c r="AP446" s="44">
        <v>0.764507552288748</v>
      </c>
      <c r="AQ446" s="44">
        <v>0.86450000000000005</v>
      </c>
      <c r="AR446" s="44">
        <v>12.74</v>
      </c>
    </row>
    <row r="447" spans="1:44">
      <c r="A447" t="s">
        <v>846</v>
      </c>
      <c r="B447" t="s">
        <v>847</v>
      </c>
      <c r="D447" t="s">
        <v>1639</v>
      </c>
      <c r="E447" s="44">
        <v>810413</v>
      </c>
      <c r="F447" s="44">
        <v>11910700</v>
      </c>
      <c r="G447" s="44">
        <v>1293815</v>
      </c>
      <c r="H447" s="126">
        <v>13204515</v>
      </c>
      <c r="I447" s="127">
        <v>2485733</v>
      </c>
      <c r="J447" s="128">
        <v>1162323</v>
      </c>
      <c r="K447" s="130">
        <v>16852571</v>
      </c>
      <c r="L447" s="44">
        <v>73416</v>
      </c>
      <c r="M447" s="44">
        <v>257540</v>
      </c>
      <c r="N447" s="44">
        <v>3974378</v>
      </c>
      <c r="O447" s="44">
        <v>194389</v>
      </c>
      <c r="P447" s="44">
        <v>183154</v>
      </c>
      <c r="Q447" s="44">
        <v>1175561</v>
      </c>
      <c r="R447" s="44">
        <v>107672</v>
      </c>
      <c r="S447" s="44">
        <v>0</v>
      </c>
      <c r="T447" s="44">
        <v>682137</v>
      </c>
      <c r="U447" s="44">
        <v>703844</v>
      </c>
      <c r="V447" s="44">
        <v>0</v>
      </c>
      <c r="W447" s="44">
        <v>963653</v>
      </c>
      <c r="X447" s="44">
        <v>318771</v>
      </c>
      <c r="Y447" s="44">
        <v>2908477</v>
      </c>
      <c r="Z447" s="44">
        <v>964420</v>
      </c>
      <c r="AA447" s="44">
        <v>272213</v>
      </c>
      <c r="AB447" s="44">
        <v>20000</v>
      </c>
      <c r="AC447" s="44">
        <v>12799625</v>
      </c>
      <c r="AD447" s="44">
        <v>878555</v>
      </c>
      <c r="AE447" s="44">
        <v>1688814</v>
      </c>
      <c r="AF447" s="44">
        <v>1192990</v>
      </c>
      <c r="AG447" s="44">
        <v>16559984</v>
      </c>
      <c r="AH447" s="44">
        <v>1050</v>
      </c>
      <c r="AI447" s="44">
        <v>16050</v>
      </c>
      <c r="AJ447" s="44">
        <v>15771</v>
      </c>
      <c r="AK447" s="44">
        <v>103671</v>
      </c>
      <c r="AL447" s="44">
        <v>49903</v>
      </c>
      <c r="AM447" s="44">
        <v>0.33899999999999997</v>
      </c>
      <c r="AN447" s="44">
        <v>0.42398199177004037</v>
      </c>
      <c r="AO447" s="44">
        <v>0.20399999999999999</v>
      </c>
      <c r="AP447" s="44">
        <v>0.62798199177004033</v>
      </c>
      <c r="AQ447" s="44">
        <v>0.81079999999999997</v>
      </c>
      <c r="AR447" s="44">
        <v>17.59</v>
      </c>
    </row>
    <row r="448" spans="1:44">
      <c r="A448" t="s">
        <v>848</v>
      </c>
      <c r="B448" t="s">
        <v>849</v>
      </c>
      <c r="D448" t="s">
        <v>1639</v>
      </c>
      <c r="E448" s="44">
        <v>2167658</v>
      </c>
      <c r="F448" s="44">
        <v>13898728</v>
      </c>
      <c r="G448" s="44">
        <v>1602094</v>
      </c>
      <c r="H448" s="126">
        <v>15500822</v>
      </c>
      <c r="I448" s="127">
        <v>5793200</v>
      </c>
      <c r="J448" s="128">
        <v>793289</v>
      </c>
      <c r="K448" s="130">
        <v>22087311</v>
      </c>
      <c r="L448" s="44">
        <v>83253</v>
      </c>
      <c r="M448" s="44">
        <v>484692</v>
      </c>
      <c r="N448" s="44">
        <v>6807095</v>
      </c>
      <c r="O448" s="44">
        <v>302915</v>
      </c>
      <c r="P448" s="44">
        <v>326624</v>
      </c>
      <c r="Q448" s="44">
        <v>1765847</v>
      </c>
      <c r="R448" s="44">
        <v>107077</v>
      </c>
      <c r="S448" s="44">
        <v>67998</v>
      </c>
      <c r="T448" s="44">
        <v>1036834</v>
      </c>
      <c r="U448" s="44">
        <v>656715</v>
      </c>
      <c r="V448" s="44">
        <v>0</v>
      </c>
      <c r="W448" s="44">
        <v>1393907</v>
      </c>
      <c r="X448" s="44">
        <v>655878</v>
      </c>
      <c r="Y448" s="44">
        <v>4491298</v>
      </c>
      <c r="Z448" s="44">
        <v>1219902</v>
      </c>
      <c r="AA448" s="44">
        <v>367477</v>
      </c>
      <c r="AB448" s="44">
        <v>300000</v>
      </c>
      <c r="AC448" s="44">
        <v>20067512</v>
      </c>
      <c r="AD448" s="44">
        <v>1125118</v>
      </c>
      <c r="AE448" s="44">
        <v>756209</v>
      </c>
      <c r="AF448" s="44">
        <v>461864</v>
      </c>
      <c r="AG448" s="44">
        <v>22410703</v>
      </c>
      <c r="AH448" s="44">
        <v>1458</v>
      </c>
      <c r="AI448" s="44">
        <v>15149</v>
      </c>
      <c r="AJ448" s="44">
        <v>15371</v>
      </c>
      <c r="AK448" s="44">
        <v>168548</v>
      </c>
      <c r="AL448" s="44">
        <v>75084</v>
      </c>
      <c r="AM448" s="44">
        <v>0.52800000000000002</v>
      </c>
      <c r="AN448" s="44">
        <v>0.49400971491166518</v>
      </c>
      <c r="AO448" s="44">
        <v>0.23699999999999999</v>
      </c>
      <c r="AP448" s="44">
        <v>0.73100971491166522</v>
      </c>
      <c r="AQ448" s="44">
        <v>0.82789999999999997</v>
      </c>
      <c r="AR448" s="44">
        <v>18.72</v>
      </c>
    </row>
    <row r="449" spans="1:44">
      <c r="A449" t="s">
        <v>850</v>
      </c>
      <c r="B449" t="s">
        <v>851</v>
      </c>
      <c r="D449" t="s">
        <v>1639</v>
      </c>
      <c r="E449" s="44">
        <v>898879</v>
      </c>
      <c r="F449" s="44">
        <v>4245396</v>
      </c>
      <c r="G449" s="44">
        <v>370958</v>
      </c>
      <c r="H449" s="126">
        <v>4616354</v>
      </c>
      <c r="I449" s="127">
        <v>3652181</v>
      </c>
      <c r="J449" s="128">
        <v>375009</v>
      </c>
      <c r="K449" s="130">
        <v>8643544</v>
      </c>
      <c r="L449" s="44">
        <v>57151</v>
      </c>
      <c r="M449" s="44">
        <v>271711</v>
      </c>
      <c r="N449" s="44">
        <v>2036625</v>
      </c>
      <c r="O449" s="44">
        <v>67747</v>
      </c>
      <c r="P449" s="44">
        <v>106014</v>
      </c>
      <c r="Q449" s="44">
        <v>833646</v>
      </c>
      <c r="R449" s="44">
        <v>0</v>
      </c>
      <c r="S449" s="44">
        <v>9160</v>
      </c>
      <c r="T449" s="44">
        <v>347666</v>
      </c>
      <c r="U449" s="44">
        <v>336522</v>
      </c>
      <c r="V449" s="44">
        <v>6680</v>
      </c>
      <c r="W449" s="44">
        <v>577791</v>
      </c>
      <c r="X449" s="44">
        <v>195156</v>
      </c>
      <c r="Y449" s="44">
        <v>1727457</v>
      </c>
      <c r="Z449" s="44">
        <v>441817</v>
      </c>
      <c r="AA449" s="44">
        <v>125384</v>
      </c>
      <c r="AB449" s="44">
        <v>0</v>
      </c>
      <c r="AC449" s="44">
        <v>7140527</v>
      </c>
      <c r="AD449" s="44">
        <v>417805</v>
      </c>
      <c r="AE449" s="44">
        <v>468795</v>
      </c>
      <c r="AF449" s="44">
        <v>166684</v>
      </c>
      <c r="AG449" s="44">
        <v>8193811</v>
      </c>
      <c r="AH449" s="44">
        <v>334</v>
      </c>
      <c r="AI449" s="44">
        <v>25879</v>
      </c>
      <c r="AJ449" s="44">
        <v>24532</v>
      </c>
      <c r="AK449" s="44">
        <v>538225</v>
      </c>
      <c r="AL449" s="44">
        <v>55729</v>
      </c>
      <c r="AM449" s="44">
        <v>0.93199999999999994</v>
      </c>
      <c r="AN449" s="44">
        <v>0.45612230987509961</v>
      </c>
      <c r="AO449" s="44">
        <v>0.22900000000000001</v>
      </c>
      <c r="AP449" s="44">
        <v>0.68512230987509959</v>
      </c>
      <c r="AQ449" s="44">
        <v>0.78559999999999997</v>
      </c>
      <c r="AR449" s="44">
        <v>15.21</v>
      </c>
    </row>
    <row r="450" spans="1:44">
      <c r="A450" t="s">
        <v>852</v>
      </c>
      <c r="B450" t="s">
        <v>853</v>
      </c>
      <c r="D450" t="s">
        <v>1639</v>
      </c>
      <c r="E450" s="44">
        <v>1885507</v>
      </c>
      <c r="F450" s="44">
        <v>2739258</v>
      </c>
      <c r="G450" s="44">
        <v>415946</v>
      </c>
      <c r="H450" s="126">
        <v>3155204</v>
      </c>
      <c r="I450" s="127">
        <v>5367136</v>
      </c>
      <c r="J450" s="128">
        <v>245719</v>
      </c>
      <c r="K450" s="130">
        <v>8768059</v>
      </c>
      <c r="L450" s="44">
        <v>55476</v>
      </c>
      <c r="M450" s="44">
        <v>245607</v>
      </c>
      <c r="N450" s="44">
        <v>2358817</v>
      </c>
      <c r="O450" s="44">
        <v>61500</v>
      </c>
      <c r="P450" s="44">
        <v>128000</v>
      </c>
      <c r="Q450" s="44">
        <v>939115</v>
      </c>
      <c r="R450" s="44">
        <v>15123</v>
      </c>
      <c r="S450" s="44">
        <v>0</v>
      </c>
      <c r="T450" s="44">
        <v>362093</v>
      </c>
      <c r="U450" s="44">
        <v>459690</v>
      </c>
      <c r="V450" s="44">
        <v>0</v>
      </c>
      <c r="W450" s="44">
        <v>578758</v>
      </c>
      <c r="X450" s="44">
        <v>236774</v>
      </c>
      <c r="Y450" s="44">
        <v>1276378</v>
      </c>
      <c r="Z450" s="44">
        <v>370490</v>
      </c>
      <c r="AA450" s="44">
        <v>102079</v>
      </c>
      <c r="AB450" s="44">
        <v>0</v>
      </c>
      <c r="AC450" s="44">
        <v>7189900</v>
      </c>
      <c r="AD450" s="44">
        <v>473230</v>
      </c>
      <c r="AE450" s="44">
        <v>400000</v>
      </c>
      <c r="AF450" s="44">
        <v>557570</v>
      </c>
      <c r="AG450" s="44">
        <v>8620700</v>
      </c>
      <c r="AH450" s="44">
        <v>373</v>
      </c>
      <c r="AI450" s="44">
        <v>23507</v>
      </c>
      <c r="AJ450" s="44">
        <v>23112</v>
      </c>
      <c r="AK450" s="44">
        <v>664527</v>
      </c>
      <c r="AL450" s="44">
        <v>73858</v>
      </c>
      <c r="AM450" s="44">
        <v>1.1719999999999999</v>
      </c>
      <c r="AN450" s="44">
        <v>0.50162260605287279</v>
      </c>
      <c r="AO450" s="44">
        <v>0.18</v>
      </c>
      <c r="AP450" s="44">
        <v>0.68162260605287273</v>
      </c>
      <c r="AQ450" s="44">
        <v>0.81640000000000001</v>
      </c>
      <c r="AR450" s="44">
        <v>15.52</v>
      </c>
    </row>
    <row r="451" spans="1:44">
      <c r="A451" t="s">
        <v>854</v>
      </c>
      <c r="B451" t="s">
        <v>855</v>
      </c>
      <c r="D451" t="s">
        <v>1639</v>
      </c>
      <c r="E451" s="44">
        <v>4829197</v>
      </c>
      <c r="F451" s="44">
        <v>19688521</v>
      </c>
      <c r="G451" s="44">
        <v>1340486</v>
      </c>
      <c r="H451" s="126">
        <v>21029007</v>
      </c>
      <c r="I451" s="127">
        <v>4407372</v>
      </c>
      <c r="J451" s="128">
        <v>1264037</v>
      </c>
      <c r="K451" s="130">
        <v>26700416</v>
      </c>
      <c r="L451" s="44">
        <v>145822</v>
      </c>
      <c r="M451" s="44">
        <v>384360</v>
      </c>
      <c r="N451" s="44">
        <v>6226915</v>
      </c>
      <c r="O451" s="44">
        <v>372980</v>
      </c>
      <c r="P451" s="44">
        <v>487422</v>
      </c>
      <c r="Q451" s="44">
        <v>4019174</v>
      </c>
      <c r="R451" s="44">
        <v>116700</v>
      </c>
      <c r="S451" s="44">
        <v>0</v>
      </c>
      <c r="T451" s="44">
        <v>1629584</v>
      </c>
      <c r="U451" s="44">
        <v>636698</v>
      </c>
      <c r="V451" s="44">
        <v>0</v>
      </c>
      <c r="W451" s="44">
        <v>1864306</v>
      </c>
      <c r="X451" s="44">
        <v>588838</v>
      </c>
      <c r="Y451" s="44">
        <v>3974048</v>
      </c>
      <c r="Z451" s="44">
        <v>1300792</v>
      </c>
      <c r="AA451" s="44">
        <v>881427</v>
      </c>
      <c r="AB451" s="44">
        <v>0</v>
      </c>
      <c r="AC451" s="44">
        <v>22629066</v>
      </c>
      <c r="AD451" s="44">
        <v>2100108</v>
      </c>
      <c r="AE451" s="44">
        <v>840000</v>
      </c>
      <c r="AF451" s="44">
        <v>304863</v>
      </c>
      <c r="AG451" s="44">
        <v>25874037</v>
      </c>
      <c r="AH451" s="44">
        <v>1804</v>
      </c>
      <c r="AI451" s="44">
        <v>14801</v>
      </c>
      <c r="AJ451" s="44">
        <v>14343</v>
      </c>
      <c r="AK451" s="44">
        <v>127349</v>
      </c>
      <c r="AL451" s="44">
        <v>48947</v>
      </c>
      <c r="AM451" s="44">
        <v>0.36599999999999999</v>
      </c>
      <c r="AN451" s="44">
        <v>0.52135169320504571</v>
      </c>
      <c r="AO451" s="44">
        <v>0.19900000000000001</v>
      </c>
      <c r="AP451" s="44">
        <v>0.72035169320504577</v>
      </c>
      <c r="AQ451" s="44">
        <v>0.82279999999999998</v>
      </c>
      <c r="AR451" s="44">
        <v>15.77</v>
      </c>
    </row>
    <row r="452" spans="1:44">
      <c r="A452" t="s">
        <v>856</v>
      </c>
      <c r="B452" t="s">
        <v>857</v>
      </c>
      <c r="D452" t="s">
        <v>1639</v>
      </c>
      <c r="E452" s="44">
        <v>343993</v>
      </c>
      <c r="F452" s="44">
        <v>2719375</v>
      </c>
      <c r="G452" s="44">
        <v>267168</v>
      </c>
      <c r="H452" s="126">
        <v>2986543</v>
      </c>
      <c r="I452" s="127">
        <v>1863531</v>
      </c>
      <c r="J452" s="128">
        <v>211218</v>
      </c>
      <c r="K452" s="130">
        <v>5061292</v>
      </c>
      <c r="L452" s="44">
        <v>49480</v>
      </c>
      <c r="M452" s="44">
        <v>135492</v>
      </c>
      <c r="N452" s="44">
        <v>1655703</v>
      </c>
      <c r="O452" s="44">
        <v>71897</v>
      </c>
      <c r="P452" s="44">
        <v>0</v>
      </c>
      <c r="Q452" s="44">
        <v>624047</v>
      </c>
      <c r="R452" s="44">
        <v>17004</v>
      </c>
      <c r="S452" s="44">
        <v>0</v>
      </c>
      <c r="T452" s="44">
        <v>230741</v>
      </c>
      <c r="U452" s="44">
        <v>167275</v>
      </c>
      <c r="V452" s="44">
        <v>500</v>
      </c>
      <c r="W452" s="44">
        <v>318717</v>
      </c>
      <c r="X452" s="44">
        <v>162706</v>
      </c>
      <c r="Y452" s="44">
        <v>895722</v>
      </c>
      <c r="Z452" s="44">
        <v>240151</v>
      </c>
      <c r="AA452" s="44">
        <v>126084</v>
      </c>
      <c r="AB452" s="44">
        <v>2200</v>
      </c>
      <c r="AC452" s="44">
        <v>4697719</v>
      </c>
      <c r="AD452" s="44">
        <v>330355</v>
      </c>
      <c r="AE452" s="44">
        <v>245000</v>
      </c>
      <c r="AF452" s="44">
        <v>127160</v>
      </c>
      <c r="AG452" s="44">
        <v>5400234</v>
      </c>
      <c r="AH452" s="44">
        <v>333</v>
      </c>
      <c r="AI452" s="44">
        <v>15199</v>
      </c>
      <c r="AJ452" s="44">
        <v>16217</v>
      </c>
      <c r="AK452" s="44">
        <v>329770</v>
      </c>
      <c r="AL452" s="44">
        <v>54262</v>
      </c>
      <c r="AM452" s="44">
        <v>0.65300000000000002</v>
      </c>
      <c r="AN452" s="44">
        <v>0.51232354005400504</v>
      </c>
      <c r="AO452" s="44">
        <v>0.19400000000000001</v>
      </c>
      <c r="AP452" s="44">
        <v>0.70632354005400511</v>
      </c>
      <c r="AQ452" s="44">
        <v>0.81120000000000003</v>
      </c>
      <c r="AR452" s="44">
        <v>13.42</v>
      </c>
    </row>
    <row r="453" spans="1:44">
      <c r="A453" t="s">
        <v>858</v>
      </c>
      <c r="B453" t="s">
        <v>859</v>
      </c>
      <c r="D453" t="s">
        <v>1639</v>
      </c>
      <c r="E453" s="44">
        <v>459098</v>
      </c>
      <c r="F453" s="44">
        <v>5212030</v>
      </c>
      <c r="G453" s="44">
        <v>523100</v>
      </c>
      <c r="H453" s="126">
        <v>5735130</v>
      </c>
      <c r="I453" s="127">
        <v>2285125</v>
      </c>
      <c r="J453" s="128">
        <v>369043</v>
      </c>
      <c r="K453" s="130">
        <v>8389298</v>
      </c>
      <c r="L453" s="44">
        <v>114929</v>
      </c>
      <c r="M453" s="44">
        <v>262563</v>
      </c>
      <c r="N453" s="44">
        <v>1970020</v>
      </c>
      <c r="O453" s="44">
        <v>121598</v>
      </c>
      <c r="P453" s="44">
        <v>125501</v>
      </c>
      <c r="Q453" s="44">
        <v>1526905</v>
      </c>
      <c r="R453" s="44">
        <v>71333</v>
      </c>
      <c r="S453" s="44">
        <v>0</v>
      </c>
      <c r="T453" s="44">
        <v>407407</v>
      </c>
      <c r="U453" s="44">
        <v>513494</v>
      </c>
      <c r="V453" s="44">
        <v>0</v>
      </c>
      <c r="W453" s="44">
        <v>470102</v>
      </c>
      <c r="X453" s="44">
        <v>200227</v>
      </c>
      <c r="Y453" s="44">
        <v>883800</v>
      </c>
      <c r="Z453" s="44">
        <v>342128</v>
      </c>
      <c r="AA453" s="44">
        <v>141885</v>
      </c>
      <c r="AB453" s="44">
        <v>0</v>
      </c>
      <c r="AC453" s="44">
        <v>7151892</v>
      </c>
      <c r="AD453" s="44">
        <v>338696</v>
      </c>
      <c r="AE453" s="44">
        <v>383000</v>
      </c>
      <c r="AF453" s="44">
        <v>90816</v>
      </c>
      <c r="AG453" s="44">
        <v>7964404</v>
      </c>
      <c r="AH453" s="44">
        <v>408</v>
      </c>
      <c r="AI453" s="44">
        <v>20562</v>
      </c>
      <c r="AJ453" s="44">
        <v>19521</v>
      </c>
      <c r="AK453" s="44">
        <v>167702</v>
      </c>
      <c r="AL453" s="44">
        <v>55250</v>
      </c>
      <c r="AM453" s="44">
        <v>0.44500000000000001</v>
      </c>
      <c r="AN453" s="44">
        <v>0.59467827096666614</v>
      </c>
      <c r="AO453" s="44">
        <v>0.14799999999999999</v>
      </c>
      <c r="AP453" s="44">
        <v>0.74267827096666617</v>
      </c>
      <c r="AQ453" s="44">
        <v>0.82520000000000004</v>
      </c>
      <c r="AR453" s="44">
        <v>26.63</v>
      </c>
    </row>
    <row r="454" spans="1:44">
      <c r="A454" t="s">
        <v>860</v>
      </c>
      <c r="B454" t="s">
        <v>861</v>
      </c>
      <c r="D454" t="s">
        <v>1639</v>
      </c>
      <c r="E454" s="44">
        <v>1085865</v>
      </c>
      <c r="F454" s="44">
        <v>6530855</v>
      </c>
      <c r="G454" s="44">
        <v>737205</v>
      </c>
      <c r="H454" s="126">
        <v>7268060</v>
      </c>
      <c r="I454" s="127">
        <v>1883230</v>
      </c>
      <c r="J454" s="128">
        <v>1120922</v>
      </c>
      <c r="K454" s="130">
        <v>10272212</v>
      </c>
      <c r="L454" s="44">
        <v>93382</v>
      </c>
      <c r="M454" s="44">
        <v>230992</v>
      </c>
      <c r="N454" s="44">
        <v>2435054</v>
      </c>
      <c r="O454" s="44">
        <v>93253</v>
      </c>
      <c r="P454" s="44">
        <v>101493</v>
      </c>
      <c r="Q454" s="44">
        <v>1550148</v>
      </c>
      <c r="R454" s="44">
        <v>19870</v>
      </c>
      <c r="S454" s="44">
        <v>10070</v>
      </c>
      <c r="T454" s="44">
        <v>305247</v>
      </c>
      <c r="U454" s="44">
        <v>700190</v>
      </c>
      <c r="V454" s="44">
        <v>0</v>
      </c>
      <c r="W454" s="44">
        <v>661728</v>
      </c>
      <c r="X454" s="44">
        <v>216689</v>
      </c>
      <c r="Y454" s="44">
        <v>1461881</v>
      </c>
      <c r="Z454" s="44">
        <v>425448</v>
      </c>
      <c r="AA454" s="44">
        <v>151807</v>
      </c>
      <c r="AB454" s="44">
        <v>27500</v>
      </c>
      <c r="AC454" s="44">
        <v>8484752</v>
      </c>
      <c r="AD454" s="44">
        <v>669529</v>
      </c>
      <c r="AE454" s="44">
        <v>580000</v>
      </c>
      <c r="AF454" s="44">
        <v>223132</v>
      </c>
      <c r="AG454" s="44">
        <v>9957413</v>
      </c>
      <c r="AH454" s="44">
        <v>526</v>
      </c>
      <c r="AI454" s="44">
        <v>19529</v>
      </c>
      <c r="AJ454" s="44">
        <v>18930</v>
      </c>
      <c r="AK454" s="44">
        <v>177764</v>
      </c>
      <c r="AL454" s="44">
        <v>64164</v>
      </c>
      <c r="AM454" s="44">
        <v>0.495</v>
      </c>
      <c r="AN454" s="44">
        <v>0.5237630496997564</v>
      </c>
      <c r="AO454" s="44">
        <v>0.17799999999999999</v>
      </c>
      <c r="AP454" s="44">
        <v>0.70176304969975645</v>
      </c>
      <c r="AQ454" s="44">
        <v>0.82310000000000005</v>
      </c>
      <c r="AR454" s="44">
        <v>16.190000000000001</v>
      </c>
    </row>
    <row r="455" spans="1:44">
      <c r="A455" t="s">
        <v>862</v>
      </c>
      <c r="B455" t="s">
        <v>863</v>
      </c>
      <c r="D455" t="s">
        <v>1639</v>
      </c>
      <c r="E455" s="44">
        <v>764374</v>
      </c>
      <c r="F455" s="44">
        <v>7389569</v>
      </c>
      <c r="G455" s="44">
        <v>916299</v>
      </c>
      <c r="H455" s="126">
        <v>8305868</v>
      </c>
      <c r="I455" s="127">
        <v>2846679</v>
      </c>
      <c r="J455" s="128">
        <v>470841</v>
      </c>
      <c r="K455" s="130">
        <v>11623388</v>
      </c>
      <c r="L455" s="44">
        <v>82362</v>
      </c>
      <c r="M455" s="44">
        <v>273908</v>
      </c>
      <c r="N455" s="44">
        <v>3247688</v>
      </c>
      <c r="O455" s="44">
        <v>161032</v>
      </c>
      <c r="P455" s="44">
        <v>141589</v>
      </c>
      <c r="Q455" s="44">
        <v>1336211</v>
      </c>
      <c r="R455" s="44">
        <v>0</v>
      </c>
      <c r="S455" s="44">
        <v>0</v>
      </c>
      <c r="T455" s="44">
        <v>419710</v>
      </c>
      <c r="U455" s="44">
        <v>315178</v>
      </c>
      <c r="V455" s="44">
        <v>9243</v>
      </c>
      <c r="W455" s="44">
        <v>639362</v>
      </c>
      <c r="X455" s="44">
        <v>400101</v>
      </c>
      <c r="Y455" s="44">
        <v>1998173</v>
      </c>
      <c r="Z455" s="44">
        <v>541082</v>
      </c>
      <c r="AA455" s="44">
        <v>407691</v>
      </c>
      <c r="AB455" s="44">
        <v>107946</v>
      </c>
      <c r="AC455" s="44">
        <v>10081276</v>
      </c>
      <c r="AD455" s="44">
        <v>581666</v>
      </c>
      <c r="AE455" s="44">
        <v>570711</v>
      </c>
      <c r="AF455" s="44">
        <v>184128</v>
      </c>
      <c r="AG455" s="44">
        <v>11417781</v>
      </c>
      <c r="AH455" s="44">
        <v>753</v>
      </c>
      <c r="AI455" s="44">
        <v>15436</v>
      </c>
      <c r="AJ455" s="44">
        <v>15163</v>
      </c>
      <c r="AK455" s="44">
        <v>161891</v>
      </c>
      <c r="AL455" s="44">
        <v>60833</v>
      </c>
      <c r="AM455" s="44">
        <v>0.46</v>
      </c>
      <c r="AN455" s="44">
        <v>0.49233804712141527</v>
      </c>
      <c r="AO455" s="44">
        <v>0.21299999999999999</v>
      </c>
      <c r="AP455" s="44">
        <v>0.70533804712141523</v>
      </c>
      <c r="AQ455" s="44">
        <v>0.80569999999999997</v>
      </c>
      <c r="AR455" s="44">
        <v>18.829999999999998</v>
      </c>
    </row>
    <row r="456" spans="1:44">
      <c r="A456" t="s">
        <v>864</v>
      </c>
      <c r="B456" t="s">
        <v>865</v>
      </c>
      <c r="D456" t="s">
        <v>1639</v>
      </c>
      <c r="E456" s="44">
        <v>3090695</v>
      </c>
      <c r="F456" s="44">
        <v>19038273</v>
      </c>
      <c r="G456" s="44">
        <v>3587980</v>
      </c>
      <c r="H456" s="126">
        <v>22626253</v>
      </c>
      <c r="I456" s="127">
        <v>16461902</v>
      </c>
      <c r="J456" s="128">
        <v>2085990</v>
      </c>
      <c r="K456" s="130">
        <v>41174145</v>
      </c>
      <c r="L456" s="44">
        <v>168759</v>
      </c>
      <c r="M456" s="44">
        <v>421693</v>
      </c>
      <c r="N456" s="44">
        <v>11617575</v>
      </c>
      <c r="O456" s="44">
        <v>652635</v>
      </c>
      <c r="P456" s="44">
        <v>428470</v>
      </c>
      <c r="Q456" s="44">
        <v>3587653</v>
      </c>
      <c r="R456" s="44">
        <v>219528</v>
      </c>
      <c r="S456" s="44">
        <v>0</v>
      </c>
      <c r="T456" s="44">
        <v>1853177</v>
      </c>
      <c r="U456" s="44">
        <v>1215394</v>
      </c>
      <c r="V456" s="44">
        <v>0</v>
      </c>
      <c r="W456" s="44">
        <v>2036253</v>
      </c>
      <c r="X456" s="44">
        <v>1045711</v>
      </c>
      <c r="Y456" s="44">
        <v>6784620</v>
      </c>
      <c r="Z456" s="44">
        <v>2213053</v>
      </c>
      <c r="AA456" s="44">
        <v>916834</v>
      </c>
      <c r="AB456" s="44">
        <v>3300000</v>
      </c>
      <c r="AC456" s="44">
        <v>36461355</v>
      </c>
      <c r="AD456" s="44">
        <v>1866414</v>
      </c>
      <c r="AE456" s="44">
        <v>1395000</v>
      </c>
      <c r="AF456" s="44">
        <v>728438</v>
      </c>
      <c r="AG456" s="44">
        <v>40451207</v>
      </c>
      <c r="AH456" s="44">
        <v>2816</v>
      </c>
      <c r="AI456" s="44">
        <v>14622</v>
      </c>
      <c r="AJ456" s="44">
        <v>14365</v>
      </c>
      <c r="AK456" s="44">
        <v>199716</v>
      </c>
      <c r="AL456" s="44">
        <v>69685</v>
      </c>
      <c r="AM456" s="44">
        <v>0.54699999999999993</v>
      </c>
      <c r="AN456" s="44">
        <v>0.48390229740239887</v>
      </c>
      <c r="AO456" s="44">
        <v>0.216</v>
      </c>
      <c r="AP456" s="44">
        <v>0.69990229740239884</v>
      </c>
      <c r="AQ456" s="44">
        <v>0.85250000000000004</v>
      </c>
      <c r="AR456" s="44">
        <v>23.64</v>
      </c>
    </row>
    <row r="457" spans="1:44">
      <c r="A457" t="s">
        <v>866</v>
      </c>
      <c r="B457" t="s">
        <v>867</v>
      </c>
      <c r="D457" t="s">
        <v>1639</v>
      </c>
      <c r="E457" s="44">
        <v>230861</v>
      </c>
      <c r="F457" s="44">
        <v>4665820</v>
      </c>
      <c r="G457" s="44">
        <v>578444</v>
      </c>
      <c r="H457" s="126">
        <v>5244264</v>
      </c>
      <c r="I457" s="127">
        <v>2830313</v>
      </c>
      <c r="J457" s="128">
        <v>318592</v>
      </c>
      <c r="K457" s="130">
        <v>8393169</v>
      </c>
      <c r="L457" s="44">
        <v>89997</v>
      </c>
      <c r="M457" s="44">
        <v>290900</v>
      </c>
      <c r="N457" s="44">
        <v>2278023</v>
      </c>
      <c r="O457" s="44">
        <v>59218</v>
      </c>
      <c r="P457" s="44">
        <v>91180</v>
      </c>
      <c r="Q457" s="44">
        <v>1065705</v>
      </c>
      <c r="R457" s="44">
        <v>0</v>
      </c>
      <c r="S457" s="44">
        <v>354</v>
      </c>
      <c r="T457" s="44">
        <v>483949</v>
      </c>
      <c r="U457" s="44">
        <v>397941</v>
      </c>
      <c r="V457" s="44">
        <v>3300</v>
      </c>
      <c r="W457" s="44">
        <v>415141</v>
      </c>
      <c r="X457" s="44">
        <v>216905</v>
      </c>
      <c r="Y457" s="44">
        <v>1178548</v>
      </c>
      <c r="Z457" s="44">
        <v>431789</v>
      </c>
      <c r="AA457" s="44">
        <v>167097</v>
      </c>
      <c r="AB457" s="44">
        <v>0</v>
      </c>
      <c r="AC457" s="44">
        <v>7170047</v>
      </c>
      <c r="AD457" s="44">
        <v>300709</v>
      </c>
      <c r="AE457" s="44">
        <v>611800</v>
      </c>
      <c r="AF457" s="44">
        <v>174203</v>
      </c>
      <c r="AG457" s="44">
        <v>8256759</v>
      </c>
      <c r="AH457" s="44">
        <v>464</v>
      </c>
      <c r="AI457" s="44">
        <v>18089</v>
      </c>
      <c r="AJ457" s="44">
        <v>17795</v>
      </c>
      <c r="AK457" s="44">
        <v>255041</v>
      </c>
      <c r="AL457" s="44">
        <v>59089</v>
      </c>
      <c r="AM457" s="44">
        <v>0.57499999999999996</v>
      </c>
      <c r="AN457" s="44">
        <v>0.53003484781377297</v>
      </c>
      <c r="AO457" s="44">
        <v>0.19</v>
      </c>
      <c r="AP457" s="44">
        <v>0.72003484781377303</v>
      </c>
      <c r="AQ457" s="44">
        <v>0.82930000000000004</v>
      </c>
      <c r="AR457" s="44">
        <v>19.23</v>
      </c>
    </row>
    <row r="458" spans="1:44">
      <c r="A458" t="s">
        <v>868</v>
      </c>
      <c r="B458" t="s">
        <v>869</v>
      </c>
      <c r="D458" t="s">
        <v>1639</v>
      </c>
      <c r="E458" s="44">
        <v>-154043</v>
      </c>
      <c r="F458" s="44">
        <v>11137158</v>
      </c>
      <c r="G458" s="44">
        <v>1579488</v>
      </c>
      <c r="H458" s="126">
        <v>12716646</v>
      </c>
      <c r="I458" s="127">
        <v>3415992</v>
      </c>
      <c r="J458" s="128">
        <v>719316</v>
      </c>
      <c r="K458" s="130">
        <v>16851954</v>
      </c>
      <c r="L458" s="44">
        <v>76308</v>
      </c>
      <c r="M458" s="44">
        <v>337717</v>
      </c>
      <c r="N458" s="44">
        <v>4213747</v>
      </c>
      <c r="O458" s="44">
        <v>140595</v>
      </c>
      <c r="P458" s="44">
        <v>327385</v>
      </c>
      <c r="Q458" s="44">
        <v>1933025</v>
      </c>
      <c r="R458" s="44">
        <v>44875</v>
      </c>
      <c r="S458" s="44">
        <v>0</v>
      </c>
      <c r="T458" s="44">
        <v>833767</v>
      </c>
      <c r="U458" s="44">
        <v>476364</v>
      </c>
      <c r="V458" s="44">
        <v>0</v>
      </c>
      <c r="W458" s="44">
        <v>1034034</v>
      </c>
      <c r="X458" s="44">
        <v>466714</v>
      </c>
      <c r="Y458" s="44">
        <v>3156589</v>
      </c>
      <c r="Z458" s="44">
        <v>961992</v>
      </c>
      <c r="AA458" s="44">
        <v>256090</v>
      </c>
      <c r="AB458" s="44">
        <v>10000</v>
      </c>
      <c r="AC458" s="44">
        <v>14269202</v>
      </c>
      <c r="AD458" s="44">
        <v>824126</v>
      </c>
      <c r="AE458" s="44">
        <v>1221516</v>
      </c>
      <c r="AF458" s="44">
        <v>462289</v>
      </c>
      <c r="AG458" s="44">
        <v>16777133</v>
      </c>
      <c r="AH458" s="44">
        <v>1096</v>
      </c>
      <c r="AI458" s="44">
        <v>15376</v>
      </c>
      <c r="AJ458" s="44">
        <v>15308</v>
      </c>
      <c r="AK458" s="44">
        <v>114512</v>
      </c>
      <c r="AL458" s="44">
        <v>58982</v>
      </c>
      <c r="AM458" s="44">
        <v>0.39100000000000001</v>
      </c>
      <c r="AN458" s="44">
        <v>0.47503694463171986</v>
      </c>
      <c r="AO458" s="44">
        <v>0.222</v>
      </c>
      <c r="AP458" s="44">
        <v>0.69703694463171983</v>
      </c>
      <c r="AQ458" s="44">
        <v>0.81879999999999997</v>
      </c>
      <c r="AR458" s="44">
        <v>19.260000000000002</v>
      </c>
    </row>
    <row r="459" spans="1:44">
      <c r="A459" t="s">
        <v>870</v>
      </c>
      <c r="B459" t="s">
        <v>871</v>
      </c>
      <c r="D459" t="s">
        <v>1639</v>
      </c>
      <c r="E459" s="44">
        <v>729892</v>
      </c>
      <c r="F459" s="44">
        <v>20663675</v>
      </c>
      <c r="G459" s="44">
        <v>1973045</v>
      </c>
      <c r="H459" s="126">
        <v>22636720</v>
      </c>
      <c r="I459" s="127">
        <v>6548743</v>
      </c>
      <c r="J459" s="128">
        <v>1494783</v>
      </c>
      <c r="K459" s="130">
        <v>30680246</v>
      </c>
      <c r="L459" s="44">
        <v>107066</v>
      </c>
      <c r="M459" s="44">
        <v>712174</v>
      </c>
      <c r="N459" s="44">
        <v>8956647</v>
      </c>
      <c r="O459" s="44">
        <v>384297</v>
      </c>
      <c r="P459" s="44">
        <v>528213</v>
      </c>
      <c r="Q459" s="44">
        <v>3418033</v>
      </c>
      <c r="R459" s="44">
        <v>299354</v>
      </c>
      <c r="S459" s="44">
        <v>0</v>
      </c>
      <c r="T459" s="44">
        <v>2124343</v>
      </c>
      <c r="U459" s="44">
        <v>1139094</v>
      </c>
      <c r="V459" s="44">
        <v>1081</v>
      </c>
      <c r="W459" s="44">
        <v>2521636</v>
      </c>
      <c r="X459" s="44">
        <v>958540</v>
      </c>
      <c r="Y459" s="44">
        <v>5069788</v>
      </c>
      <c r="Z459" s="44">
        <v>1729930</v>
      </c>
      <c r="AA459" s="44">
        <v>449536</v>
      </c>
      <c r="AB459" s="44">
        <v>0</v>
      </c>
      <c r="AC459" s="44">
        <v>28399732</v>
      </c>
      <c r="AD459" s="44">
        <v>484219</v>
      </c>
      <c r="AE459" s="44">
        <v>681488</v>
      </c>
      <c r="AF459" s="44">
        <v>578890</v>
      </c>
      <c r="AG459" s="44">
        <v>30144329</v>
      </c>
      <c r="AH459" s="44">
        <v>1795</v>
      </c>
      <c r="AI459" s="44">
        <v>17092</v>
      </c>
      <c r="AJ459" s="44">
        <v>16793</v>
      </c>
      <c r="AK459" s="44">
        <v>120735</v>
      </c>
      <c r="AL459" s="44">
        <v>66521</v>
      </c>
      <c r="AM459" s="44">
        <v>0.43</v>
      </c>
      <c r="AN459" s="44">
        <v>0.55897681451128001</v>
      </c>
      <c r="AO459" s="44">
        <v>0.22900000000000001</v>
      </c>
      <c r="AP459" s="44">
        <v>0.78797681451127999</v>
      </c>
      <c r="AQ459" s="44">
        <v>0.83430000000000004</v>
      </c>
      <c r="AR459" s="44">
        <v>22.75</v>
      </c>
    </row>
    <row r="460" spans="1:44">
      <c r="A460" t="s">
        <v>872</v>
      </c>
      <c r="B460" t="s">
        <v>873</v>
      </c>
      <c r="D460" t="s">
        <v>1639</v>
      </c>
      <c r="E460" s="44">
        <v>568454</v>
      </c>
      <c r="F460" s="44">
        <v>6970241</v>
      </c>
      <c r="G460" s="44">
        <v>839138</v>
      </c>
      <c r="H460" s="126">
        <v>7809379</v>
      </c>
      <c r="I460" s="127">
        <v>1863612</v>
      </c>
      <c r="J460" s="128">
        <v>756313</v>
      </c>
      <c r="K460" s="130">
        <v>10429304</v>
      </c>
      <c r="L460" s="44">
        <v>27988</v>
      </c>
      <c r="M460" s="44">
        <v>338626</v>
      </c>
      <c r="N460" s="44">
        <v>2678087</v>
      </c>
      <c r="O460" s="44">
        <v>110045</v>
      </c>
      <c r="P460" s="44">
        <v>132484</v>
      </c>
      <c r="Q460" s="44">
        <v>2163550</v>
      </c>
      <c r="R460" s="44">
        <v>0</v>
      </c>
      <c r="S460" s="44">
        <v>0</v>
      </c>
      <c r="T460" s="44">
        <v>378621</v>
      </c>
      <c r="U460" s="44">
        <v>329165</v>
      </c>
      <c r="V460" s="44">
        <v>4500</v>
      </c>
      <c r="W460" s="44">
        <v>577790</v>
      </c>
      <c r="X460" s="44">
        <v>218347</v>
      </c>
      <c r="Y460" s="44">
        <v>1311161</v>
      </c>
      <c r="Z460" s="44">
        <v>497889</v>
      </c>
      <c r="AA460" s="44">
        <v>127327</v>
      </c>
      <c r="AB460" s="44">
        <v>100</v>
      </c>
      <c r="AC460" s="44">
        <v>8895680</v>
      </c>
      <c r="AD460" s="44">
        <v>384325</v>
      </c>
      <c r="AE460" s="44">
        <v>485000</v>
      </c>
      <c r="AF460" s="44">
        <v>140413</v>
      </c>
      <c r="AG460" s="44">
        <v>9905418</v>
      </c>
      <c r="AH460" s="44">
        <v>634</v>
      </c>
      <c r="AI460" s="44">
        <v>16450</v>
      </c>
      <c r="AJ460" s="44">
        <v>15624</v>
      </c>
      <c r="AK460" s="44">
        <v>127263</v>
      </c>
      <c r="AL460" s="44">
        <v>53340</v>
      </c>
      <c r="AM460" s="44">
        <v>0.38400000000000001</v>
      </c>
      <c r="AN460" s="44">
        <v>0.58472565216329087</v>
      </c>
      <c r="AO460" s="44">
        <v>0.17100000000000001</v>
      </c>
      <c r="AP460" s="44">
        <v>0.75572565216329091</v>
      </c>
      <c r="AQ460" s="44">
        <v>0.8417</v>
      </c>
      <c r="AR460" s="44">
        <v>19.39</v>
      </c>
    </row>
    <row r="461" spans="1:44">
      <c r="A461" t="s">
        <v>874</v>
      </c>
      <c r="B461" t="s">
        <v>875</v>
      </c>
      <c r="D461" t="s">
        <v>1639</v>
      </c>
      <c r="E461" s="44">
        <v>689262</v>
      </c>
      <c r="F461" s="44">
        <v>4918245</v>
      </c>
      <c r="G461" s="44">
        <v>423706</v>
      </c>
      <c r="H461" s="126">
        <v>5341951</v>
      </c>
      <c r="I461" s="127">
        <v>2511801</v>
      </c>
      <c r="J461" s="128">
        <v>312983</v>
      </c>
      <c r="K461" s="130">
        <v>8166735</v>
      </c>
      <c r="L461" s="44">
        <v>45020</v>
      </c>
      <c r="M461" s="44">
        <v>288137</v>
      </c>
      <c r="N461" s="44">
        <v>2116763</v>
      </c>
      <c r="O461" s="44">
        <v>59313</v>
      </c>
      <c r="P461" s="44">
        <v>106396</v>
      </c>
      <c r="Q461" s="44">
        <v>1111613</v>
      </c>
      <c r="R461" s="44">
        <v>4246</v>
      </c>
      <c r="S461" s="44">
        <v>543</v>
      </c>
      <c r="T461" s="44">
        <v>403039</v>
      </c>
      <c r="U461" s="44">
        <v>215326</v>
      </c>
      <c r="V461" s="44">
        <v>0</v>
      </c>
      <c r="W461" s="44">
        <v>360181</v>
      </c>
      <c r="X461" s="44">
        <v>198439</v>
      </c>
      <c r="Y461" s="44">
        <v>1186675</v>
      </c>
      <c r="Z461" s="44">
        <v>422182</v>
      </c>
      <c r="AA461" s="44">
        <v>146780</v>
      </c>
      <c r="AB461" s="44">
        <v>0</v>
      </c>
      <c r="AC461" s="44">
        <v>6664653</v>
      </c>
      <c r="AD461" s="44">
        <v>444283</v>
      </c>
      <c r="AE461" s="44">
        <v>396954</v>
      </c>
      <c r="AF461" s="44">
        <v>230786</v>
      </c>
      <c r="AG461" s="44">
        <v>7736676</v>
      </c>
      <c r="AH461" s="44">
        <v>520</v>
      </c>
      <c r="AI461" s="44">
        <v>15705</v>
      </c>
      <c r="AJ461" s="44">
        <v>14878</v>
      </c>
      <c r="AK461" s="44">
        <v>252252</v>
      </c>
      <c r="AL461" s="44">
        <v>53292</v>
      </c>
      <c r="AM461" s="44">
        <v>0.54800000000000004</v>
      </c>
      <c r="AN461" s="44">
        <v>0.51924612068542098</v>
      </c>
      <c r="AO461" s="44">
        <v>0.192</v>
      </c>
      <c r="AP461" s="44">
        <v>0.71124612068542103</v>
      </c>
      <c r="AQ461" s="44">
        <v>0.82579999999999998</v>
      </c>
      <c r="AR461" s="44">
        <v>14.91</v>
      </c>
    </row>
    <row r="462" spans="1:44">
      <c r="A462" t="s">
        <v>876</v>
      </c>
      <c r="B462" t="s">
        <v>877</v>
      </c>
      <c r="D462" t="s">
        <v>1639</v>
      </c>
      <c r="E462" s="44">
        <v>1756982</v>
      </c>
      <c r="F462" s="44">
        <v>11582661</v>
      </c>
      <c r="G462" s="44">
        <v>2176941</v>
      </c>
      <c r="H462" s="126">
        <v>13759602</v>
      </c>
      <c r="I462" s="127">
        <v>8531414</v>
      </c>
      <c r="J462" s="128">
        <v>973516</v>
      </c>
      <c r="K462" s="130">
        <v>23264532</v>
      </c>
      <c r="L462" s="44">
        <v>135152</v>
      </c>
      <c r="M462" s="44">
        <v>344210</v>
      </c>
      <c r="N462" s="44">
        <v>6031039</v>
      </c>
      <c r="O462" s="44">
        <v>285968</v>
      </c>
      <c r="P462" s="44">
        <v>274726</v>
      </c>
      <c r="Q462" s="44">
        <v>3233165</v>
      </c>
      <c r="R462" s="44">
        <v>0</v>
      </c>
      <c r="S462" s="44">
        <v>2591</v>
      </c>
      <c r="T462" s="44">
        <v>1371659</v>
      </c>
      <c r="U462" s="44">
        <v>831234</v>
      </c>
      <c r="V462" s="44">
        <v>0</v>
      </c>
      <c r="W462" s="44">
        <v>1611091</v>
      </c>
      <c r="X462" s="44">
        <v>563833</v>
      </c>
      <c r="Y462" s="44">
        <v>3926605</v>
      </c>
      <c r="Z462" s="44">
        <v>1193127</v>
      </c>
      <c r="AA462" s="44">
        <v>425079</v>
      </c>
      <c r="AB462" s="44">
        <v>0</v>
      </c>
      <c r="AC462" s="44">
        <v>20229479</v>
      </c>
      <c r="AD462" s="44">
        <v>917620</v>
      </c>
      <c r="AE462" s="44">
        <v>849506</v>
      </c>
      <c r="AF462" s="44">
        <v>316886</v>
      </c>
      <c r="AG462" s="44">
        <v>22313491</v>
      </c>
      <c r="AH462" s="44">
        <v>1464</v>
      </c>
      <c r="AI462" s="44">
        <v>15891</v>
      </c>
      <c r="AJ462" s="44">
        <v>15241</v>
      </c>
      <c r="AK462" s="44">
        <v>196191</v>
      </c>
      <c r="AL462" s="44">
        <v>83432</v>
      </c>
      <c r="AM462" s="44">
        <v>0.59800000000000009</v>
      </c>
      <c r="AN462" s="44">
        <v>0.53915283807450842</v>
      </c>
      <c r="AO462" s="44">
        <v>0.20899999999999999</v>
      </c>
      <c r="AP462" s="44">
        <v>0.74815283807450839</v>
      </c>
      <c r="AQ462" s="44">
        <v>0.82569999999999999</v>
      </c>
      <c r="AR462" s="44">
        <v>23.66</v>
      </c>
    </row>
    <row r="463" spans="1:44">
      <c r="A463" t="s">
        <v>878</v>
      </c>
      <c r="B463" t="s">
        <v>879</v>
      </c>
      <c r="D463" t="s">
        <v>1639</v>
      </c>
      <c r="E463" s="44">
        <v>2036346</v>
      </c>
      <c r="F463" s="44">
        <v>8069621</v>
      </c>
      <c r="G463" s="44">
        <v>385402</v>
      </c>
      <c r="H463" s="126">
        <v>8455023</v>
      </c>
      <c r="I463" s="127">
        <v>1508385</v>
      </c>
      <c r="J463" s="128">
        <v>493835</v>
      </c>
      <c r="K463" s="130">
        <v>10457243</v>
      </c>
      <c r="L463" s="44">
        <v>40875</v>
      </c>
      <c r="M463" s="44">
        <v>252922</v>
      </c>
      <c r="N463" s="44">
        <v>3228393</v>
      </c>
      <c r="O463" s="44">
        <v>198377</v>
      </c>
      <c r="P463" s="44">
        <v>123218</v>
      </c>
      <c r="Q463" s="44">
        <v>729283</v>
      </c>
      <c r="R463" s="44">
        <v>120</v>
      </c>
      <c r="S463" s="44">
        <v>2297</v>
      </c>
      <c r="T463" s="44">
        <v>358596</v>
      </c>
      <c r="U463" s="44">
        <v>295731</v>
      </c>
      <c r="V463" s="44">
        <v>3000</v>
      </c>
      <c r="W463" s="44">
        <v>768371</v>
      </c>
      <c r="X463" s="44">
        <v>302040</v>
      </c>
      <c r="Y463" s="44">
        <v>1459818</v>
      </c>
      <c r="Z463" s="44">
        <v>526679</v>
      </c>
      <c r="AA463" s="44">
        <v>253231</v>
      </c>
      <c r="AB463" s="44">
        <v>20000</v>
      </c>
      <c r="AC463" s="44">
        <v>8562951</v>
      </c>
      <c r="AD463" s="44">
        <v>548418</v>
      </c>
      <c r="AE463" s="44">
        <v>458400</v>
      </c>
      <c r="AF463" s="44">
        <v>308765</v>
      </c>
      <c r="AG463" s="44">
        <v>9878534</v>
      </c>
      <c r="AH463" s="44">
        <v>655</v>
      </c>
      <c r="AI463" s="44">
        <v>15965</v>
      </c>
      <c r="AJ463" s="44">
        <v>15082</v>
      </c>
      <c r="AK463" s="44">
        <v>134118</v>
      </c>
      <c r="AL463" s="44">
        <v>37538</v>
      </c>
      <c r="AM463" s="44">
        <v>0.32899999999999996</v>
      </c>
      <c r="AN463" s="44">
        <v>0.49967080135574771</v>
      </c>
      <c r="AO463" s="44">
        <v>0.19500000000000001</v>
      </c>
      <c r="AP463" s="44">
        <v>0.69467080135574766</v>
      </c>
      <c r="AQ463" s="44">
        <v>0.80100000000000005</v>
      </c>
      <c r="AR463" s="44">
        <v>11.81</v>
      </c>
    </row>
    <row r="464" spans="1:44">
      <c r="A464" t="s">
        <v>880</v>
      </c>
      <c r="B464" t="s">
        <v>881</v>
      </c>
      <c r="D464" t="s">
        <v>1639</v>
      </c>
      <c r="E464" s="44">
        <v>1997120</v>
      </c>
      <c r="F464" s="44">
        <v>18784487</v>
      </c>
      <c r="G464" s="44">
        <v>4821862</v>
      </c>
      <c r="H464" s="126">
        <v>23606349</v>
      </c>
      <c r="I464" s="127">
        <v>24426855</v>
      </c>
      <c r="J464" s="128">
        <v>1020446</v>
      </c>
      <c r="K464" s="130">
        <v>49053650</v>
      </c>
      <c r="L464" s="44">
        <v>131762</v>
      </c>
      <c r="M464" s="44">
        <v>637643</v>
      </c>
      <c r="N464" s="44">
        <v>17433152</v>
      </c>
      <c r="O464" s="44">
        <v>657310</v>
      </c>
      <c r="P464" s="44">
        <v>1115412</v>
      </c>
      <c r="Q464" s="44">
        <v>2312278</v>
      </c>
      <c r="R464" s="44">
        <v>0</v>
      </c>
      <c r="S464" s="44">
        <v>632880</v>
      </c>
      <c r="T464" s="44">
        <v>4125363</v>
      </c>
      <c r="U464" s="44">
        <v>1650388</v>
      </c>
      <c r="V464" s="44">
        <v>13231</v>
      </c>
      <c r="W464" s="44">
        <v>3801147</v>
      </c>
      <c r="X464" s="44">
        <v>1789865</v>
      </c>
      <c r="Y464" s="44">
        <v>4553530</v>
      </c>
      <c r="Z464" s="44">
        <v>2728095</v>
      </c>
      <c r="AA464" s="44">
        <v>361450</v>
      </c>
      <c r="AB464" s="44">
        <v>210500</v>
      </c>
      <c r="AC464" s="44">
        <v>42154006</v>
      </c>
      <c r="AD464" s="44">
        <v>2085952</v>
      </c>
      <c r="AE464" s="44">
        <v>1839641</v>
      </c>
      <c r="AF464" s="44">
        <v>1499135</v>
      </c>
      <c r="AG464" s="44">
        <v>47578734</v>
      </c>
      <c r="AH464" s="44">
        <v>3383</v>
      </c>
      <c r="AI464" s="44">
        <v>14500</v>
      </c>
      <c r="AJ464" s="44">
        <v>14064</v>
      </c>
      <c r="AK464" s="44">
        <v>259841</v>
      </c>
      <c r="AL464" s="44">
        <v>107355</v>
      </c>
      <c r="AM464" s="44">
        <v>0.77900000000000003</v>
      </c>
      <c r="AN464" s="44">
        <v>0.58695935457214987</v>
      </c>
      <c r="AO464" s="44">
        <v>0.16200000000000001</v>
      </c>
      <c r="AP464" s="44">
        <v>0.7489593545721499</v>
      </c>
      <c r="AQ464" s="44">
        <v>0.84989999999999999</v>
      </c>
      <c r="AR464" s="44">
        <v>18.89</v>
      </c>
    </row>
    <row r="465" spans="1:44">
      <c r="A465" t="s">
        <v>2022</v>
      </c>
      <c r="B465" t="s">
        <v>882</v>
      </c>
      <c r="D465" t="s">
        <v>1639</v>
      </c>
      <c r="E465" s="44">
        <v>7346881</v>
      </c>
      <c r="F465" s="44">
        <v>39464761</v>
      </c>
      <c r="G465" s="44">
        <v>10713924</v>
      </c>
      <c r="H465" s="126">
        <v>50178685</v>
      </c>
      <c r="I465" s="127">
        <v>79427621</v>
      </c>
      <c r="J465" s="128">
        <v>2533069</v>
      </c>
      <c r="K465" s="130">
        <v>132139375</v>
      </c>
      <c r="L465" s="44">
        <v>277511</v>
      </c>
      <c r="M465" s="44">
        <v>1626831</v>
      </c>
      <c r="N465" s="44">
        <v>40716170</v>
      </c>
      <c r="O465" s="44">
        <v>2558952</v>
      </c>
      <c r="P465" s="44">
        <v>4086556</v>
      </c>
      <c r="Q465" s="44">
        <v>4287107</v>
      </c>
      <c r="R465" s="44">
        <v>59308</v>
      </c>
      <c r="S465" s="44">
        <v>1457006</v>
      </c>
      <c r="T465" s="44">
        <v>11663813</v>
      </c>
      <c r="U465" s="44">
        <v>4486757</v>
      </c>
      <c r="V465" s="44">
        <v>10000</v>
      </c>
      <c r="W465" s="44">
        <v>8149854</v>
      </c>
      <c r="X465" s="44">
        <v>4292477</v>
      </c>
      <c r="Y465" s="44">
        <v>14468680</v>
      </c>
      <c r="Z465" s="44">
        <v>9527527</v>
      </c>
      <c r="AA465" s="44">
        <v>5327112</v>
      </c>
      <c r="AB465" s="44">
        <v>0</v>
      </c>
      <c r="AC465" s="44">
        <v>112995661</v>
      </c>
      <c r="AD465" s="44">
        <v>7586166</v>
      </c>
      <c r="AE465" s="44">
        <v>5771965</v>
      </c>
      <c r="AF465" s="44">
        <v>3747846</v>
      </c>
      <c r="AG465" s="44">
        <v>130101638</v>
      </c>
      <c r="AH465" s="44">
        <v>9477</v>
      </c>
      <c r="AI465" s="44">
        <v>13943</v>
      </c>
      <c r="AJ465" s="44">
        <v>13728</v>
      </c>
      <c r="AK465" s="44">
        <v>318582</v>
      </c>
      <c r="AL465" s="44">
        <v>141957</v>
      </c>
      <c r="AM465" s="44">
        <v>0.998</v>
      </c>
      <c r="AN465" s="44">
        <v>0.53278090933797462</v>
      </c>
      <c r="AO465" s="44">
        <v>0.17899999999999999</v>
      </c>
      <c r="AP465" s="44">
        <v>0.71178090933797455</v>
      </c>
      <c r="AQ465" s="44">
        <v>0.81910000000000005</v>
      </c>
      <c r="AR465" s="44">
        <v>17.739999999999998</v>
      </c>
    </row>
    <row r="466" spans="1:44">
      <c r="A466" t="s">
        <v>883</v>
      </c>
      <c r="B466" t="s">
        <v>884</v>
      </c>
      <c r="D466" t="s">
        <v>1639</v>
      </c>
      <c r="E466" s="44">
        <v>2082880</v>
      </c>
      <c r="F466" s="44">
        <v>9660995</v>
      </c>
      <c r="G466" s="44">
        <v>1287140</v>
      </c>
      <c r="H466" s="126">
        <v>10948135</v>
      </c>
      <c r="I466" s="127">
        <v>7270072</v>
      </c>
      <c r="J466" s="128">
        <v>1012191</v>
      </c>
      <c r="K466" s="130">
        <v>19230398</v>
      </c>
      <c r="L466" s="44">
        <v>71316</v>
      </c>
      <c r="M466" s="44">
        <v>418731</v>
      </c>
      <c r="N466" s="44">
        <v>6636097</v>
      </c>
      <c r="O466" s="44">
        <v>254939</v>
      </c>
      <c r="P466" s="44">
        <v>379958</v>
      </c>
      <c r="Q466" s="44">
        <v>1616932</v>
      </c>
      <c r="R466" s="44">
        <v>5142</v>
      </c>
      <c r="S466" s="44">
        <v>227261</v>
      </c>
      <c r="T466" s="44">
        <v>1024990</v>
      </c>
      <c r="U466" s="44">
        <v>846180</v>
      </c>
      <c r="V466" s="44">
        <v>7137</v>
      </c>
      <c r="W466" s="44">
        <v>1316981</v>
      </c>
      <c r="X466" s="44">
        <v>621301</v>
      </c>
      <c r="Y466" s="44">
        <v>1623859</v>
      </c>
      <c r="Z466" s="44">
        <v>1066647</v>
      </c>
      <c r="AA466" s="44">
        <v>390749</v>
      </c>
      <c r="AB466" s="44">
        <v>116000</v>
      </c>
      <c r="AC466" s="44">
        <v>16624220</v>
      </c>
      <c r="AD466" s="44">
        <v>874626</v>
      </c>
      <c r="AE466" s="44">
        <v>756698</v>
      </c>
      <c r="AF466" s="44">
        <v>430713</v>
      </c>
      <c r="AG466" s="44">
        <v>18686257</v>
      </c>
      <c r="AH466" s="44">
        <v>1353</v>
      </c>
      <c r="AI466" s="44">
        <v>14213</v>
      </c>
      <c r="AJ466" s="44">
        <v>13811</v>
      </c>
      <c r="AK466" s="44">
        <v>214016</v>
      </c>
      <c r="AL466" s="44">
        <v>55378</v>
      </c>
      <c r="AM466" s="44">
        <v>0.50600000000000001</v>
      </c>
      <c r="AN466" s="44">
        <v>0.58821298454794879</v>
      </c>
      <c r="AO466" s="44">
        <v>0.15</v>
      </c>
      <c r="AP466" s="44">
        <v>0.73821298454794881</v>
      </c>
      <c r="AQ466" s="44">
        <v>0.83530000000000004</v>
      </c>
      <c r="AR466" s="44">
        <v>17.16</v>
      </c>
    </row>
    <row r="467" spans="1:44">
      <c r="A467" t="s">
        <v>885</v>
      </c>
      <c r="B467" t="s">
        <v>886</v>
      </c>
      <c r="D467" t="s">
        <v>1639</v>
      </c>
      <c r="E467" s="44">
        <v>758634</v>
      </c>
      <c r="F467" s="44">
        <v>662326</v>
      </c>
      <c r="G467" s="44">
        <v>137000</v>
      </c>
      <c r="H467" s="126">
        <v>799326</v>
      </c>
      <c r="I467" s="127">
        <v>1657523</v>
      </c>
      <c r="J467" s="128">
        <v>96866</v>
      </c>
      <c r="K467" s="130">
        <v>2553715</v>
      </c>
      <c r="L467" s="44">
        <v>19983</v>
      </c>
      <c r="M467" s="44">
        <v>177737</v>
      </c>
      <c r="N467" s="44">
        <v>453003</v>
      </c>
      <c r="O467" s="44">
        <v>0</v>
      </c>
      <c r="P467" s="44">
        <v>0</v>
      </c>
      <c r="Q467" s="44">
        <v>258743</v>
      </c>
      <c r="R467" s="44">
        <v>466335</v>
      </c>
      <c r="S467" s="44">
        <v>0</v>
      </c>
      <c r="T467" s="44">
        <v>111390</v>
      </c>
      <c r="U467" s="44">
        <v>109788</v>
      </c>
      <c r="V467" s="44">
        <v>600</v>
      </c>
      <c r="W467" s="44">
        <v>139315</v>
      </c>
      <c r="X467" s="44">
        <v>49228</v>
      </c>
      <c r="Y467" s="44">
        <v>208658</v>
      </c>
      <c r="Z467" s="44">
        <v>107353</v>
      </c>
      <c r="AA467" s="44">
        <v>46339</v>
      </c>
      <c r="AB467" s="44">
        <v>20000</v>
      </c>
      <c r="AC467" s="44">
        <v>2168472</v>
      </c>
      <c r="AD467" s="44">
        <v>239055</v>
      </c>
      <c r="AE467" s="44">
        <v>0</v>
      </c>
      <c r="AF467" s="44">
        <v>0</v>
      </c>
      <c r="AG467" s="44">
        <v>2407527</v>
      </c>
      <c r="AH467" s="44">
        <v>158</v>
      </c>
      <c r="AI467" s="44">
        <v>16163</v>
      </c>
      <c r="AJ467" s="44">
        <v>15238</v>
      </c>
      <c r="AK467" s="44">
        <v>1130427</v>
      </c>
      <c r="AL467" s="44">
        <v>95388</v>
      </c>
      <c r="AM467" s="44">
        <v>1.869</v>
      </c>
      <c r="AN467" s="44">
        <v>0.58120178922188614</v>
      </c>
      <c r="AO467" s="44">
        <v>0.1</v>
      </c>
      <c r="AP467" s="44">
        <v>0.68120178922188612</v>
      </c>
      <c r="AQ467" s="44">
        <v>0.69</v>
      </c>
      <c r="AR467" s="44">
        <v>6.61</v>
      </c>
    </row>
    <row r="468" spans="1:44">
      <c r="A468" t="s">
        <v>887</v>
      </c>
      <c r="B468" t="s">
        <v>888</v>
      </c>
      <c r="D468" t="s">
        <v>1639</v>
      </c>
      <c r="E468" s="44">
        <v>1209363</v>
      </c>
      <c r="F468" s="44">
        <v>7132457</v>
      </c>
      <c r="G468" s="44">
        <v>1217797</v>
      </c>
      <c r="H468" s="126">
        <v>8350254</v>
      </c>
      <c r="I468" s="127">
        <v>6941164</v>
      </c>
      <c r="J468" s="128">
        <v>554127</v>
      </c>
      <c r="K468" s="130">
        <v>15845545</v>
      </c>
      <c r="L468" s="44">
        <v>120591</v>
      </c>
      <c r="M468" s="44">
        <v>422152</v>
      </c>
      <c r="N468" s="44">
        <v>5261635</v>
      </c>
      <c r="O468" s="44">
        <v>176298</v>
      </c>
      <c r="P468" s="44">
        <v>297555</v>
      </c>
      <c r="Q468" s="44">
        <v>1586262</v>
      </c>
      <c r="R468" s="44">
        <v>31798</v>
      </c>
      <c r="S468" s="44">
        <v>168670</v>
      </c>
      <c r="T468" s="44">
        <v>812675</v>
      </c>
      <c r="U468" s="44">
        <v>597846</v>
      </c>
      <c r="V468" s="44">
        <v>0</v>
      </c>
      <c r="W468" s="44">
        <v>1295059</v>
      </c>
      <c r="X468" s="44">
        <v>507207</v>
      </c>
      <c r="Y468" s="44">
        <v>1342429</v>
      </c>
      <c r="Z468" s="44">
        <v>817036</v>
      </c>
      <c r="AA468" s="44">
        <v>389185</v>
      </c>
      <c r="AB468" s="44">
        <v>0</v>
      </c>
      <c r="AC468" s="44">
        <v>13826398</v>
      </c>
      <c r="AD468" s="44">
        <v>990926</v>
      </c>
      <c r="AE468" s="44">
        <v>690241</v>
      </c>
      <c r="AF468" s="44">
        <v>315066</v>
      </c>
      <c r="AG468" s="44">
        <v>15822631</v>
      </c>
      <c r="AH468" s="44">
        <v>1248</v>
      </c>
      <c r="AI468" s="44">
        <v>12697</v>
      </c>
      <c r="AJ468" s="44">
        <v>12678</v>
      </c>
      <c r="AK468" s="44">
        <v>278470</v>
      </c>
      <c r="AL468" s="44">
        <v>90437</v>
      </c>
      <c r="AM468" s="44">
        <v>0.73499999999999999</v>
      </c>
      <c r="AN468" s="44">
        <v>0.56455459272228492</v>
      </c>
      <c r="AO468" s="44">
        <v>0.13900000000000001</v>
      </c>
      <c r="AP468" s="44">
        <v>0.70355459272228493</v>
      </c>
      <c r="AQ468" s="44">
        <v>0.80469999999999997</v>
      </c>
      <c r="AR468" s="44">
        <v>15.36</v>
      </c>
    </row>
    <row r="469" spans="1:44">
      <c r="A469" t="s">
        <v>889</v>
      </c>
      <c r="B469" t="s">
        <v>890</v>
      </c>
      <c r="D469" t="s">
        <v>1639</v>
      </c>
      <c r="E469" s="44">
        <v>666833</v>
      </c>
      <c r="F469" s="44">
        <v>8507093</v>
      </c>
      <c r="G469" s="44">
        <v>1508425</v>
      </c>
      <c r="H469" s="126">
        <v>10015518</v>
      </c>
      <c r="I469" s="127">
        <v>8263255</v>
      </c>
      <c r="J469" s="128">
        <v>649212</v>
      </c>
      <c r="K469" s="130">
        <v>18927985</v>
      </c>
      <c r="L469" s="44">
        <v>197643</v>
      </c>
      <c r="M469" s="44">
        <v>328706</v>
      </c>
      <c r="N469" s="44">
        <v>5802683</v>
      </c>
      <c r="O469" s="44">
        <v>352775</v>
      </c>
      <c r="P469" s="44">
        <v>278919</v>
      </c>
      <c r="Q469" s="44">
        <v>1792854</v>
      </c>
      <c r="R469" s="44">
        <v>31987</v>
      </c>
      <c r="S469" s="44">
        <v>108865</v>
      </c>
      <c r="T469" s="44">
        <v>1189117</v>
      </c>
      <c r="U469" s="44">
        <v>694592</v>
      </c>
      <c r="V469" s="44">
        <v>0</v>
      </c>
      <c r="W469" s="44">
        <v>1110937</v>
      </c>
      <c r="X469" s="44">
        <v>581274</v>
      </c>
      <c r="Y469" s="44">
        <v>1586766</v>
      </c>
      <c r="Z469" s="44">
        <v>997503</v>
      </c>
      <c r="AA469" s="44">
        <v>400447</v>
      </c>
      <c r="AB469" s="44">
        <v>0</v>
      </c>
      <c r="AC469" s="44">
        <v>15455068</v>
      </c>
      <c r="AD469" s="44">
        <v>923359</v>
      </c>
      <c r="AE469" s="44">
        <v>717967</v>
      </c>
      <c r="AF469" s="44">
        <v>777726</v>
      </c>
      <c r="AG469" s="44">
        <v>17874120</v>
      </c>
      <c r="AH469" s="44">
        <v>1364</v>
      </c>
      <c r="AI469" s="44">
        <v>13877</v>
      </c>
      <c r="AJ469" s="44">
        <v>13104</v>
      </c>
      <c r="AK469" s="44">
        <v>242301</v>
      </c>
      <c r="AL469" s="44">
        <v>92693</v>
      </c>
      <c r="AM469" s="44">
        <v>0.69599999999999995</v>
      </c>
      <c r="AN469" s="44">
        <v>0.57355506173171045</v>
      </c>
      <c r="AO469" s="44">
        <v>0.151</v>
      </c>
      <c r="AP469" s="44">
        <v>0.72455506173171047</v>
      </c>
      <c r="AQ469" s="44">
        <v>0.83760000000000001</v>
      </c>
      <c r="AR469" s="44">
        <v>17.13</v>
      </c>
    </row>
    <row r="470" spans="1:44">
      <c r="A470" t="s">
        <v>891</v>
      </c>
      <c r="B470" t="s">
        <v>892</v>
      </c>
      <c r="D470" t="s">
        <v>1639</v>
      </c>
      <c r="E470" s="44">
        <v>3647220</v>
      </c>
      <c r="F470" s="44">
        <v>24425874</v>
      </c>
      <c r="G470" s="44">
        <v>5626138</v>
      </c>
      <c r="H470" s="126">
        <v>30052012</v>
      </c>
      <c r="I470" s="127">
        <v>33336288</v>
      </c>
      <c r="J470" s="128">
        <v>2130048</v>
      </c>
      <c r="K470" s="130">
        <v>65518348</v>
      </c>
      <c r="L470" s="44">
        <v>185862</v>
      </c>
      <c r="M470" s="44">
        <v>1162703</v>
      </c>
      <c r="N470" s="44">
        <v>21191861</v>
      </c>
      <c r="O470" s="44">
        <v>1278196</v>
      </c>
      <c r="P470" s="44">
        <v>1678491</v>
      </c>
      <c r="Q470" s="44">
        <v>2718653</v>
      </c>
      <c r="R470" s="44">
        <v>177621</v>
      </c>
      <c r="S470" s="44">
        <v>0</v>
      </c>
      <c r="T470" s="44">
        <v>3455760</v>
      </c>
      <c r="U470" s="44">
        <v>3041000</v>
      </c>
      <c r="V470" s="44">
        <v>61000</v>
      </c>
      <c r="W470" s="44">
        <v>4362112</v>
      </c>
      <c r="X470" s="44">
        <v>2097693</v>
      </c>
      <c r="Y470" s="44">
        <v>8434830</v>
      </c>
      <c r="Z470" s="44">
        <v>3669792</v>
      </c>
      <c r="AA470" s="44">
        <v>1415152</v>
      </c>
      <c r="AB470" s="44">
        <v>1737750</v>
      </c>
      <c r="AC470" s="44">
        <v>56668476</v>
      </c>
      <c r="AD470" s="44">
        <v>2586553</v>
      </c>
      <c r="AE470" s="44">
        <v>3647207</v>
      </c>
      <c r="AF470" s="44">
        <v>1852758</v>
      </c>
      <c r="AG470" s="44">
        <v>64754994</v>
      </c>
      <c r="AH470" s="44">
        <v>4296</v>
      </c>
      <c r="AI470" s="44">
        <v>15251</v>
      </c>
      <c r="AJ470" s="44">
        <v>15073</v>
      </c>
      <c r="AK470" s="44">
        <v>237117</v>
      </c>
      <c r="AL470" s="44">
        <v>98895</v>
      </c>
      <c r="AM470" s="44">
        <v>0.71499999999999997</v>
      </c>
      <c r="AN470" s="44">
        <v>0.51797676021713479</v>
      </c>
      <c r="AO470" s="44">
        <v>0.188</v>
      </c>
      <c r="AP470" s="44">
        <v>0.70597676021713474</v>
      </c>
      <c r="AQ470" s="44">
        <v>0.83109999999999995</v>
      </c>
      <c r="AR470" s="44">
        <v>21.21</v>
      </c>
    </row>
    <row r="471" spans="1:44">
      <c r="A471" t="s">
        <v>893</v>
      </c>
      <c r="B471" t="s">
        <v>894</v>
      </c>
      <c r="D471" t="s">
        <v>1639</v>
      </c>
      <c r="E471" s="44">
        <v>1047400</v>
      </c>
      <c r="F471" s="44">
        <v>21051538</v>
      </c>
      <c r="G471" s="44">
        <v>4128462</v>
      </c>
      <c r="H471" s="126">
        <v>25180000</v>
      </c>
      <c r="I471" s="127">
        <v>21489232</v>
      </c>
      <c r="J471" s="128">
        <v>1106503</v>
      </c>
      <c r="K471" s="130">
        <v>47775735</v>
      </c>
      <c r="L471" s="44">
        <v>221192</v>
      </c>
      <c r="M471" s="44">
        <v>581171</v>
      </c>
      <c r="N471" s="44">
        <v>15571329</v>
      </c>
      <c r="O471" s="44">
        <v>649326</v>
      </c>
      <c r="P471" s="44">
        <v>1028371</v>
      </c>
      <c r="Q471" s="44">
        <v>3928359</v>
      </c>
      <c r="R471" s="44">
        <v>390618</v>
      </c>
      <c r="S471" s="44">
        <v>0</v>
      </c>
      <c r="T471" s="44">
        <v>2669852</v>
      </c>
      <c r="U471" s="44">
        <v>1549607</v>
      </c>
      <c r="V471" s="44">
        <v>0</v>
      </c>
      <c r="W471" s="44">
        <v>2956666</v>
      </c>
      <c r="X471" s="44">
        <v>1477412</v>
      </c>
      <c r="Y471" s="44">
        <v>5089071</v>
      </c>
      <c r="Z471" s="44">
        <v>2439843</v>
      </c>
      <c r="AA471" s="44">
        <v>847926</v>
      </c>
      <c r="AB471" s="44">
        <v>0</v>
      </c>
      <c r="AC471" s="44">
        <v>39400743</v>
      </c>
      <c r="AD471" s="44">
        <v>1834534</v>
      </c>
      <c r="AE471" s="44">
        <v>2699866</v>
      </c>
      <c r="AF471" s="44">
        <v>1929142</v>
      </c>
      <c r="AG471" s="44">
        <v>45864285</v>
      </c>
      <c r="AH471" s="44">
        <v>3477</v>
      </c>
      <c r="AI471" s="44">
        <v>13741</v>
      </c>
      <c r="AJ471" s="44">
        <v>13191</v>
      </c>
      <c r="AK471" s="44">
        <v>208802</v>
      </c>
      <c r="AL471" s="44">
        <v>71100</v>
      </c>
      <c r="AM471" s="44">
        <v>0.56400000000000006</v>
      </c>
      <c r="AN471" s="44">
        <v>0.56225583806659152</v>
      </c>
      <c r="AO471" s="44">
        <v>0.17</v>
      </c>
      <c r="AP471" s="44">
        <v>0.73225583806659156</v>
      </c>
      <c r="AQ471" s="44">
        <v>0.85060000000000002</v>
      </c>
      <c r="AR471" s="44">
        <v>21.6</v>
      </c>
    </row>
    <row r="472" spans="1:44">
      <c r="A472" t="s">
        <v>895</v>
      </c>
      <c r="B472" t="s">
        <v>896</v>
      </c>
      <c r="D472" t="s">
        <v>1639</v>
      </c>
      <c r="E472" s="44">
        <v>893973</v>
      </c>
      <c r="F472" s="44">
        <v>13836140</v>
      </c>
      <c r="G472" s="44">
        <v>2736190</v>
      </c>
      <c r="H472" s="126">
        <v>16572330</v>
      </c>
      <c r="I472" s="127">
        <v>11805269</v>
      </c>
      <c r="J472" s="128">
        <v>797296</v>
      </c>
      <c r="K472" s="130">
        <v>29174895</v>
      </c>
      <c r="L472" s="44">
        <v>229376</v>
      </c>
      <c r="M472" s="44">
        <v>598026</v>
      </c>
      <c r="N472" s="44">
        <v>9578928</v>
      </c>
      <c r="O472" s="44">
        <v>308642</v>
      </c>
      <c r="P472" s="44">
        <v>581116</v>
      </c>
      <c r="Q472" s="44">
        <v>1383138</v>
      </c>
      <c r="R472" s="44">
        <v>280086</v>
      </c>
      <c r="S472" s="44">
        <v>0</v>
      </c>
      <c r="T472" s="44">
        <v>2017203</v>
      </c>
      <c r="U472" s="44">
        <v>1459118</v>
      </c>
      <c r="V472" s="44">
        <v>1050</v>
      </c>
      <c r="W472" s="44">
        <v>1525881</v>
      </c>
      <c r="X472" s="44">
        <v>964232</v>
      </c>
      <c r="Y472" s="44">
        <v>3916554</v>
      </c>
      <c r="Z472" s="44">
        <v>1705248</v>
      </c>
      <c r="AA472" s="44">
        <v>397567</v>
      </c>
      <c r="AB472" s="44">
        <v>0</v>
      </c>
      <c r="AC472" s="44">
        <v>24946165</v>
      </c>
      <c r="AD472" s="44">
        <v>1176611</v>
      </c>
      <c r="AE472" s="44">
        <v>1528436</v>
      </c>
      <c r="AF472" s="44">
        <v>422121</v>
      </c>
      <c r="AG472" s="44">
        <v>28073333</v>
      </c>
      <c r="AH472" s="44">
        <v>1860</v>
      </c>
      <c r="AI472" s="44">
        <v>15685</v>
      </c>
      <c r="AJ472" s="44">
        <v>15093</v>
      </c>
      <c r="AK472" s="44">
        <v>185643</v>
      </c>
      <c r="AL472" s="44">
        <v>69811</v>
      </c>
      <c r="AM472" s="44">
        <v>0.52800000000000002</v>
      </c>
      <c r="AN472" s="44">
        <v>0.5559806881498538</v>
      </c>
      <c r="AO472" s="44">
        <v>0.20300000000000001</v>
      </c>
      <c r="AP472" s="44">
        <v>0.75898068814985375</v>
      </c>
      <c r="AQ472" s="44">
        <v>0.85219999999999996</v>
      </c>
      <c r="AR472" s="44">
        <v>22.18</v>
      </c>
    </row>
    <row r="473" spans="1:44">
      <c r="A473" t="s">
        <v>897</v>
      </c>
      <c r="B473" t="s">
        <v>898</v>
      </c>
      <c r="D473" t="s">
        <v>1639</v>
      </c>
      <c r="E473" s="44">
        <v>13787273</v>
      </c>
      <c r="F473" s="44">
        <v>30316124</v>
      </c>
      <c r="G473" s="44">
        <v>6503674</v>
      </c>
      <c r="H473" s="126">
        <v>36819798</v>
      </c>
      <c r="I473" s="127">
        <v>58405967</v>
      </c>
      <c r="J473" s="128">
        <v>3172195</v>
      </c>
      <c r="K473" s="130">
        <v>98397960</v>
      </c>
      <c r="L473" s="44">
        <v>370179</v>
      </c>
      <c r="M473" s="44">
        <v>1584104</v>
      </c>
      <c r="N473" s="44">
        <v>33653199</v>
      </c>
      <c r="O473" s="44">
        <v>1836043</v>
      </c>
      <c r="P473" s="44">
        <v>1965991</v>
      </c>
      <c r="Q473" s="44">
        <v>4385837</v>
      </c>
      <c r="R473" s="44">
        <v>22394</v>
      </c>
      <c r="S473" s="44">
        <v>992300</v>
      </c>
      <c r="T473" s="44">
        <v>6379550</v>
      </c>
      <c r="U473" s="44">
        <v>3824006</v>
      </c>
      <c r="V473" s="44">
        <v>50000</v>
      </c>
      <c r="W473" s="44">
        <v>6282255</v>
      </c>
      <c r="X473" s="44">
        <v>3092835</v>
      </c>
      <c r="Y473" s="44">
        <v>11549517</v>
      </c>
      <c r="Z473" s="44">
        <v>5508861</v>
      </c>
      <c r="AA473" s="44">
        <v>2115730</v>
      </c>
      <c r="AB473" s="44">
        <v>834031</v>
      </c>
      <c r="AC473" s="44">
        <v>84446832</v>
      </c>
      <c r="AD473" s="44">
        <v>3638045</v>
      </c>
      <c r="AE473" s="44">
        <v>5756685</v>
      </c>
      <c r="AF473" s="44">
        <v>2976320</v>
      </c>
      <c r="AG473" s="44">
        <v>96817882</v>
      </c>
      <c r="AH473" s="44">
        <v>6975</v>
      </c>
      <c r="AI473" s="44">
        <v>14107</v>
      </c>
      <c r="AJ473" s="44">
        <v>13881</v>
      </c>
      <c r="AK473" s="44">
        <v>403581</v>
      </c>
      <c r="AL473" s="44">
        <v>152539</v>
      </c>
      <c r="AM473" s="44">
        <v>1.153</v>
      </c>
      <c r="AN473" s="44">
        <v>0.54803223231014286</v>
      </c>
      <c r="AO473" s="44">
        <v>0.18099999999999999</v>
      </c>
      <c r="AP473" s="44">
        <v>0.7290322323101428</v>
      </c>
      <c r="AQ473" s="44">
        <v>0.84370000000000001</v>
      </c>
      <c r="AR473" s="44">
        <v>13.05</v>
      </c>
    </row>
    <row r="474" spans="1:44">
      <c r="A474" t="s">
        <v>899</v>
      </c>
      <c r="B474" t="s">
        <v>900</v>
      </c>
      <c r="D474" t="s">
        <v>1639</v>
      </c>
      <c r="E474" s="44">
        <v>1578113</v>
      </c>
      <c r="F474" s="44">
        <v>9485148</v>
      </c>
      <c r="G474" s="44">
        <v>1183986</v>
      </c>
      <c r="H474" s="126">
        <v>10669134</v>
      </c>
      <c r="I474" s="127">
        <v>6471297</v>
      </c>
      <c r="J474" s="128">
        <v>623015</v>
      </c>
      <c r="K474" s="130">
        <v>17763446</v>
      </c>
      <c r="L474" s="44">
        <v>51943</v>
      </c>
      <c r="M474" s="44">
        <v>376083</v>
      </c>
      <c r="N474" s="44">
        <v>5163934</v>
      </c>
      <c r="O474" s="44">
        <v>342219</v>
      </c>
      <c r="P474" s="44">
        <v>349545</v>
      </c>
      <c r="Q474" s="44">
        <v>1664946</v>
      </c>
      <c r="R474" s="44">
        <v>0</v>
      </c>
      <c r="S474" s="44">
        <v>320679</v>
      </c>
      <c r="T474" s="44">
        <v>869862</v>
      </c>
      <c r="U474" s="44">
        <v>605200</v>
      </c>
      <c r="V474" s="44">
        <v>3027</v>
      </c>
      <c r="W474" s="44">
        <v>958112</v>
      </c>
      <c r="X474" s="44">
        <v>506282</v>
      </c>
      <c r="Y474" s="44">
        <v>1889886</v>
      </c>
      <c r="Z474" s="44">
        <v>813626</v>
      </c>
      <c r="AA474" s="44">
        <v>434444</v>
      </c>
      <c r="AB474" s="44">
        <v>100000</v>
      </c>
      <c r="AC474" s="44">
        <v>14449788</v>
      </c>
      <c r="AD474" s="44">
        <v>915391</v>
      </c>
      <c r="AE474" s="44">
        <v>1037200</v>
      </c>
      <c r="AF474" s="44">
        <v>634053</v>
      </c>
      <c r="AG474" s="44">
        <v>17036432</v>
      </c>
      <c r="AH474" s="44">
        <v>1330</v>
      </c>
      <c r="AI474" s="44">
        <v>13356</v>
      </c>
      <c r="AJ474" s="44">
        <v>12809</v>
      </c>
      <c r="AK474" s="44">
        <v>224360</v>
      </c>
      <c r="AL474" s="44">
        <v>90812</v>
      </c>
      <c r="AM474" s="44">
        <v>0.66500000000000004</v>
      </c>
      <c r="AN474" s="44">
        <v>0.54685071381143657</v>
      </c>
      <c r="AO474" s="44">
        <v>0.16</v>
      </c>
      <c r="AP474" s="44">
        <v>0.7068507138114366</v>
      </c>
      <c r="AQ474" s="44">
        <v>0.83899999999999997</v>
      </c>
      <c r="AR474" s="44">
        <v>14.78</v>
      </c>
    </row>
    <row r="475" spans="1:44">
      <c r="A475" t="s">
        <v>901</v>
      </c>
      <c r="B475" t="s">
        <v>902</v>
      </c>
      <c r="D475" t="s">
        <v>1639</v>
      </c>
      <c r="E475" s="44">
        <v>1487741</v>
      </c>
      <c r="F475" s="44">
        <v>5639229</v>
      </c>
      <c r="G475" s="44">
        <v>1325954</v>
      </c>
      <c r="H475" s="126">
        <v>6965183</v>
      </c>
      <c r="I475" s="127">
        <v>9138603</v>
      </c>
      <c r="J475" s="128">
        <v>558217</v>
      </c>
      <c r="K475" s="130">
        <v>16662003</v>
      </c>
      <c r="L475" s="44">
        <v>106983</v>
      </c>
      <c r="M475" s="44">
        <v>332119</v>
      </c>
      <c r="N475" s="44">
        <v>4451310</v>
      </c>
      <c r="O475" s="44">
        <v>368673</v>
      </c>
      <c r="P475" s="44">
        <v>298839</v>
      </c>
      <c r="Q475" s="44">
        <v>2037458</v>
      </c>
      <c r="R475" s="44">
        <v>0</v>
      </c>
      <c r="S475" s="44">
        <v>277104</v>
      </c>
      <c r="T475" s="44">
        <v>856624</v>
      </c>
      <c r="U475" s="44">
        <v>502410</v>
      </c>
      <c r="V475" s="44">
        <v>0</v>
      </c>
      <c r="W475" s="44">
        <v>866529</v>
      </c>
      <c r="X475" s="44">
        <v>444417</v>
      </c>
      <c r="Y475" s="44">
        <v>1917802</v>
      </c>
      <c r="Z475" s="44">
        <v>670453</v>
      </c>
      <c r="AA475" s="44">
        <v>277188</v>
      </c>
      <c r="AB475" s="44">
        <v>0</v>
      </c>
      <c r="AC475" s="44">
        <v>13407909</v>
      </c>
      <c r="AD475" s="44">
        <v>1008678</v>
      </c>
      <c r="AE475" s="44">
        <v>397500</v>
      </c>
      <c r="AF475" s="44">
        <v>619262</v>
      </c>
      <c r="AG475" s="44">
        <v>15433349</v>
      </c>
      <c r="AH475" s="44">
        <v>942</v>
      </c>
      <c r="AI475" s="44">
        <v>17688</v>
      </c>
      <c r="AJ475" s="44">
        <v>16384</v>
      </c>
      <c r="AK475" s="44">
        <v>239285</v>
      </c>
      <c r="AL475" s="44">
        <v>91608</v>
      </c>
      <c r="AM475" s="44">
        <v>0.68900000000000006</v>
      </c>
      <c r="AN475" s="44">
        <v>0.56970253183544284</v>
      </c>
      <c r="AO475" s="44">
        <v>0.17799999999999999</v>
      </c>
      <c r="AP475" s="44">
        <v>0.74770253183544289</v>
      </c>
      <c r="AQ475" s="44">
        <v>0.86029999999999995</v>
      </c>
      <c r="AR475" s="44">
        <v>27.06</v>
      </c>
    </row>
    <row r="476" spans="1:44">
      <c r="A476" t="s">
        <v>903</v>
      </c>
      <c r="B476" t="s">
        <v>904</v>
      </c>
      <c r="D476" t="s">
        <v>1639</v>
      </c>
      <c r="E476" s="44">
        <v>1125739</v>
      </c>
      <c r="F476" s="44">
        <v>6236185</v>
      </c>
      <c r="G476" s="44">
        <v>1044103</v>
      </c>
      <c r="H476" s="126">
        <v>7280288</v>
      </c>
      <c r="I476" s="127">
        <v>5601843</v>
      </c>
      <c r="J476" s="128">
        <v>438193</v>
      </c>
      <c r="K476" s="130">
        <v>13320324</v>
      </c>
      <c r="L476" s="44">
        <v>37086</v>
      </c>
      <c r="M476" s="44">
        <v>392535</v>
      </c>
      <c r="N476" s="44">
        <v>3966651</v>
      </c>
      <c r="O476" s="44">
        <v>179178</v>
      </c>
      <c r="P476" s="44">
        <v>252386</v>
      </c>
      <c r="Q476" s="44">
        <v>1598967</v>
      </c>
      <c r="R476" s="44">
        <v>50543</v>
      </c>
      <c r="S476" s="44">
        <v>51091</v>
      </c>
      <c r="T476" s="44">
        <v>790039</v>
      </c>
      <c r="U476" s="44">
        <v>518907</v>
      </c>
      <c r="V476" s="44">
        <v>0</v>
      </c>
      <c r="W476" s="44">
        <v>847377</v>
      </c>
      <c r="X476" s="44">
        <v>401260</v>
      </c>
      <c r="Y476" s="44">
        <v>1216671</v>
      </c>
      <c r="Z476" s="44">
        <v>696236</v>
      </c>
      <c r="AA476" s="44">
        <v>183500</v>
      </c>
      <c r="AB476" s="44">
        <v>20000</v>
      </c>
      <c r="AC476" s="44">
        <v>11202427</v>
      </c>
      <c r="AD476" s="44">
        <v>942340</v>
      </c>
      <c r="AE476" s="44">
        <v>589348</v>
      </c>
      <c r="AF476" s="44">
        <v>434461</v>
      </c>
      <c r="AG476" s="44">
        <v>13168576</v>
      </c>
      <c r="AH476" s="44">
        <v>940</v>
      </c>
      <c r="AI476" s="44">
        <v>14171</v>
      </c>
      <c r="AJ476" s="44">
        <v>14009</v>
      </c>
      <c r="AK476" s="44">
        <v>230640</v>
      </c>
      <c r="AL476" s="44">
        <v>96817</v>
      </c>
      <c r="AM476" s="44">
        <v>0.69799999999999995</v>
      </c>
      <c r="AN476" s="44">
        <v>0.56253326099951884</v>
      </c>
      <c r="AO476" s="44">
        <v>0.14099999999999999</v>
      </c>
      <c r="AP476" s="44">
        <v>0.70353326099951885</v>
      </c>
      <c r="AQ476" s="44">
        <v>0.82620000000000005</v>
      </c>
      <c r="AR476" s="44">
        <v>18.02</v>
      </c>
    </row>
    <row r="477" spans="1:44">
      <c r="A477" t="s">
        <v>1885</v>
      </c>
      <c r="B477" t="s">
        <v>905</v>
      </c>
      <c r="D477" t="s">
        <v>1639</v>
      </c>
      <c r="E477" s="44">
        <v>3946097</v>
      </c>
      <c r="F477" s="44">
        <v>16854035</v>
      </c>
      <c r="G477" s="44">
        <v>4681498</v>
      </c>
      <c r="H477" s="126">
        <v>21535533</v>
      </c>
      <c r="I477" s="127">
        <v>20374944</v>
      </c>
      <c r="J477" s="128">
        <v>1305346</v>
      </c>
      <c r="K477" s="130">
        <v>43215823</v>
      </c>
      <c r="L477" s="44">
        <v>121920</v>
      </c>
      <c r="M477" s="44">
        <v>691836</v>
      </c>
      <c r="N477" s="44">
        <v>14003244</v>
      </c>
      <c r="O477" s="44">
        <v>1139304</v>
      </c>
      <c r="P477" s="44">
        <v>1213354</v>
      </c>
      <c r="Q477" s="44">
        <v>3676124</v>
      </c>
      <c r="R477" s="44">
        <v>69030</v>
      </c>
      <c r="S477" s="44">
        <v>402985</v>
      </c>
      <c r="T477" s="44">
        <v>2139405</v>
      </c>
      <c r="U477" s="44">
        <v>1451245</v>
      </c>
      <c r="V477" s="44">
        <v>97614</v>
      </c>
      <c r="W477" s="44">
        <v>3425218</v>
      </c>
      <c r="X477" s="44">
        <v>1445529</v>
      </c>
      <c r="Y477" s="44">
        <v>4296173</v>
      </c>
      <c r="Z477" s="44">
        <v>2166221</v>
      </c>
      <c r="AA477" s="44">
        <v>628572</v>
      </c>
      <c r="AB477" s="44">
        <v>0</v>
      </c>
      <c r="AC477" s="44">
        <v>36967774</v>
      </c>
      <c r="AD477" s="44">
        <v>1644031</v>
      </c>
      <c r="AE477" s="44">
        <v>1766254</v>
      </c>
      <c r="AF477" s="44">
        <v>1287658</v>
      </c>
      <c r="AG477" s="44">
        <v>41665717</v>
      </c>
      <c r="AH477" s="44">
        <v>2962</v>
      </c>
      <c r="AI477" s="44">
        <v>14590</v>
      </c>
      <c r="AJ477" s="44">
        <v>14067</v>
      </c>
      <c r="AK477" s="44">
        <v>223195</v>
      </c>
      <c r="AL477" s="44">
        <v>94391</v>
      </c>
      <c r="AM477" s="44">
        <v>0.67799999999999994</v>
      </c>
      <c r="AN477" s="44">
        <v>0.57828576428913969</v>
      </c>
      <c r="AO477" s="44">
        <v>0.16300000000000001</v>
      </c>
      <c r="AP477" s="44">
        <v>0.74128576428913973</v>
      </c>
      <c r="AQ477" s="44">
        <v>0.83550000000000002</v>
      </c>
      <c r="AR477" s="44">
        <v>19.62</v>
      </c>
    </row>
    <row r="478" spans="1:44">
      <c r="A478" t="s">
        <v>1887</v>
      </c>
      <c r="B478" t="s">
        <v>906</v>
      </c>
      <c r="D478" t="s">
        <v>1639</v>
      </c>
      <c r="E478" s="44">
        <v>4331657</v>
      </c>
      <c r="F478" s="44">
        <v>13589521</v>
      </c>
      <c r="G478" s="44">
        <v>5057203</v>
      </c>
      <c r="H478" s="126">
        <v>18646724</v>
      </c>
      <c r="I478" s="127">
        <v>40375342</v>
      </c>
      <c r="J478" s="128">
        <v>1071763</v>
      </c>
      <c r="K478" s="130">
        <v>60093829</v>
      </c>
      <c r="L478" s="44">
        <v>190984</v>
      </c>
      <c r="M478" s="44">
        <v>1298647</v>
      </c>
      <c r="N478" s="44">
        <v>21062107</v>
      </c>
      <c r="O478" s="44">
        <v>1353265</v>
      </c>
      <c r="P478" s="44">
        <v>1576578</v>
      </c>
      <c r="Q478" s="44">
        <v>2377818</v>
      </c>
      <c r="R478" s="44">
        <v>0</v>
      </c>
      <c r="S478" s="44">
        <v>1015566</v>
      </c>
      <c r="T478" s="44">
        <v>4233902</v>
      </c>
      <c r="U478" s="44">
        <v>1936428</v>
      </c>
      <c r="V478" s="44">
        <v>49743</v>
      </c>
      <c r="W478" s="44">
        <v>5456942</v>
      </c>
      <c r="X478" s="44">
        <v>2102066</v>
      </c>
      <c r="Y478" s="44">
        <v>5466171</v>
      </c>
      <c r="Z478" s="44">
        <v>3813291</v>
      </c>
      <c r="AA478" s="44">
        <v>903049</v>
      </c>
      <c r="AB478" s="44">
        <v>69552</v>
      </c>
      <c r="AC478" s="44">
        <v>52906109</v>
      </c>
      <c r="AD478" s="44">
        <v>3531221</v>
      </c>
      <c r="AE478" s="44">
        <v>2229744</v>
      </c>
      <c r="AF478" s="44">
        <v>549469</v>
      </c>
      <c r="AG478" s="44">
        <v>59216543</v>
      </c>
      <c r="AH478" s="44">
        <v>4189</v>
      </c>
      <c r="AI478" s="44">
        <v>14346</v>
      </c>
      <c r="AJ478" s="44">
        <v>14136</v>
      </c>
      <c r="AK478" s="44">
        <v>321193</v>
      </c>
      <c r="AL478" s="44">
        <v>159456</v>
      </c>
      <c r="AM478" s="44">
        <v>1.0740000000000001</v>
      </c>
      <c r="AN478" s="44">
        <v>0.56666029963957876</v>
      </c>
      <c r="AO478" s="44">
        <v>0.159</v>
      </c>
      <c r="AP478" s="44">
        <v>0.72566029963957879</v>
      </c>
      <c r="AQ478" s="44">
        <v>0.81289999999999996</v>
      </c>
      <c r="AR478" s="44">
        <v>20.45</v>
      </c>
    </row>
    <row r="479" spans="1:44">
      <c r="A479" t="s">
        <v>1889</v>
      </c>
      <c r="B479" t="s">
        <v>907</v>
      </c>
      <c r="D479" t="s">
        <v>1639</v>
      </c>
      <c r="E479" s="44">
        <v>4227572</v>
      </c>
      <c r="F479" s="44">
        <v>12044654</v>
      </c>
      <c r="G479" s="44">
        <v>3468114</v>
      </c>
      <c r="H479" s="126">
        <v>15512768</v>
      </c>
      <c r="I479" s="127">
        <v>24002530</v>
      </c>
      <c r="J479" s="128">
        <v>612135</v>
      </c>
      <c r="K479" s="130">
        <v>40127433</v>
      </c>
      <c r="L479" s="44">
        <v>130304</v>
      </c>
      <c r="M479" s="44">
        <v>640781</v>
      </c>
      <c r="N479" s="44">
        <v>10839486</v>
      </c>
      <c r="O479" s="44">
        <v>644466</v>
      </c>
      <c r="P479" s="44">
        <v>733999</v>
      </c>
      <c r="Q479" s="44">
        <v>2434605</v>
      </c>
      <c r="R479" s="44">
        <v>66287</v>
      </c>
      <c r="S479" s="44">
        <v>337680</v>
      </c>
      <c r="T479" s="44">
        <v>2192176</v>
      </c>
      <c r="U479" s="44">
        <v>1410541</v>
      </c>
      <c r="V479" s="44">
        <v>0</v>
      </c>
      <c r="W479" s="44">
        <v>2348365</v>
      </c>
      <c r="X479" s="44">
        <v>1433533</v>
      </c>
      <c r="Y479" s="44">
        <v>5145796</v>
      </c>
      <c r="Z479" s="44">
        <v>2007146</v>
      </c>
      <c r="AA479" s="44">
        <v>382307</v>
      </c>
      <c r="AB479" s="44">
        <v>1098000</v>
      </c>
      <c r="AC479" s="44">
        <v>31845472</v>
      </c>
      <c r="AD479" s="44">
        <v>2276935</v>
      </c>
      <c r="AE479" s="44">
        <v>2075851</v>
      </c>
      <c r="AF479" s="44">
        <v>1485045</v>
      </c>
      <c r="AG479" s="44">
        <v>37683303</v>
      </c>
      <c r="AH479" s="44">
        <v>2017</v>
      </c>
      <c r="AI479" s="44">
        <v>19895</v>
      </c>
      <c r="AJ479" s="44">
        <v>18683</v>
      </c>
      <c r="AK479" s="44">
        <v>363368</v>
      </c>
      <c r="AL479" s="44">
        <v>111106</v>
      </c>
      <c r="AM479" s="44">
        <v>0.93100000000000005</v>
      </c>
      <c r="AN479" s="44">
        <v>0.49515935479435019</v>
      </c>
      <c r="AO479" s="44">
        <v>0.189</v>
      </c>
      <c r="AP479" s="44">
        <v>0.68415935479435019</v>
      </c>
      <c r="AQ479" s="44">
        <v>0.83750000000000002</v>
      </c>
      <c r="AR479" s="44">
        <v>20.03</v>
      </c>
    </row>
    <row r="480" spans="1:44">
      <c r="A480" t="s">
        <v>1891</v>
      </c>
      <c r="B480" t="s">
        <v>908</v>
      </c>
      <c r="D480" t="s">
        <v>1639</v>
      </c>
      <c r="E480" s="44">
        <v>1386734</v>
      </c>
      <c r="F480" s="44">
        <v>17674152</v>
      </c>
      <c r="G480" s="44">
        <v>5130637</v>
      </c>
      <c r="H480" s="126">
        <v>22804789</v>
      </c>
      <c r="I480" s="127">
        <v>16430306</v>
      </c>
      <c r="J480" s="128">
        <v>1283232</v>
      </c>
      <c r="K480" s="130">
        <v>40518327</v>
      </c>
      <c r="L480" s="44">
        <v>100682</v>
      </c>
      <c r="M480" s="44">
        <v>684025</v>
      </c>
      <c r="N480" s="44">
        <v>12802658</v>
      </c>
      <c r="O480" s="44">
        <v>850528</v>
      </c>
      <c r="P480" s="44">
        <v>1000748</v>
      </c>
      <c r="Q480" s="44">
        <v>2214201</v>
      </c>
      <c r="R480" s="44">
        <v>58272</v>
      </c>
      <c r="S480" s="44">
        <v>573550</v>
      </c>
      <c r="T480" s="44">
        <v>2387525</v>
      </c>
      <c r="U480" s="44">
        <v>1786501</v>
      </c>
      <c r="V480" s="44">
        <v>0</v>
      </c>
      <c r="W480" s="44">
        <v>2452290</v>
      </c>
      <c r="X480" s="44">
        <v>1332639</v>
      </c>
      <c r="Y480" s="44">
        <v>3386268</v>
      </c>
      <c r="Z480" s="44">
        <v>2151397</v>
      </c>
      <c r="AA480" s="44">
        <v>681294</v>
      </c>
      <c r="AB480" s="44">
        <v>0</v>
      </c>
      <c r="AC480" s="44">
        <v>32462578</v>
      </c>
      <c r="AD480" s="44">
        <v>1736654</v>
      </c>
      <c r="AE480" s="44">
        <v>3757650</v>
      </c>
      <c r="AF480" s="44">
        <v>1186367</v>
      </c>
      <c r="AG480" s="44">
        <v>39143249</v>
      </c>
      <c r="AH480" s="44">
        <v>3397</v>
      </c>
      <c r="AI480" s="44">
        <v>11928</v>
      </c>
      <c r="AJ480" s="44">
        <v>11523</v>
      </c>
      <c r="AK480" s="44">
        <v>201960</v>
      </c>
      <c r="AL480" s="44">
        <v>83898</v>
      </c>
      <c r="AM480" s="44">
        <v>0.60799999999999998</v>
      </c>
      <c r="AN480" s="44">
        <v>0.55370935100456276</v>
      </c>
      <c r="AO480" s="44">
        <v>0.15</v>
      </c>
      <c r="AP480" s="44">
        <v>0.70370935100456278</v>
      </c>
      <c r="AQ480" s="44">
        <v>0.84789999999999999</v>
      </c>
      <c r="AR480" s="44">
        <v>15.44</v>
      </c>
    </row>
    <row r="481" spans="1:44">
      <c r="A481" t="s">
        <v>1893</v>
      </c>
      <c r="B481" t="s">
        <v>909</v>
      </c>
      <c r="D481" t="s">
        <v>1639</v>
      </c>
      <c r="E481" s="44">
        <v>6819069</v>
      </c>
      <c r="F481" s="44">
        <v>73412382</v>
      </c>
      <c r="G481" s="44">
        <v>10641474</v>
      </c>
      <c r="H481" s="126">
        <v>84053856</v>
      </c>
      <c r="I481" s="127">
        <v>45549878</v>
      </c>
      <c r="J481" s="128">
        <v>11300501</v>
      </c>
      <c r="K481" s="130">
        <v>140904235</v>
      </c>
      <c r="L481" s="44">
        <v>431163</v>
      </c>
      <c r="M481" s="44">
        <v>1133063</v>
      </c>
      <c r="N481" s="44">
        <v>47549735</v>
      </c>
      <c r="O481" s="44">
        <v>949584</v>
      </c>
      <c r="P481" s="44">
        <v>3316804</v>
      </c>
      <c r="Q481" s="44">
        <v>9052094</v>
      </c>
      <c r="R481" s="44">
        <v>5261117</v>
      </c>
      <c r="S481" s="44">
        <v>0</v>
      </c>
      <c r="T481" s="44">
        <v>10405097</v>
      </c>
      <c r="U481" s="44">
        <v>14003534</v>
      </c>
      <c r="V481" s="44">
        <v>0</v>
      </c>
      <c r="W481" s="44">
        <v>7478490</v>
      </c>
      <c r="X481" s="44">
        <v>3732519</v>
      </c>
      <c r="Y481" s="44">
        <v>11574577</v>
      </c>
      <c r="Z481" s="44">
        <v>8846349</v>
      </c>
      <c r="AA481" s="44">
        <v>2225835</v>
      </c>
      <c r="AB481" s="44">
        <v>169058</v>
      </c>
      <c r="AC481" s="44">
        <v>126129019</v>
      </c>
      <c r="AD481" s="44">
        <v>6466633</v>
      </c>
      <c r="AE481" s="44">
        <v>5055667</v>
      </c>
      <c r="AF481" s="44">
        <v>2697820</v>
      </c>
      <c r="AG481" s="44">
        <v>140349139</v>
      </c>
      <c r="AH481" s="44">
        <v>10331</v>
      </c>
      <c r="AI481" s="44">
        <v>13639</v>
      </c>
      <c r="AJ481" s="44">
        <v>13585</v>
      </c>
      <c r="AK481" s="44">
        <v>128832</v>
      </c>
      <c r="AL481" s="44">
        <v>62670</v>
      </c>
      <c r="AM481" s="44">
        <v>0.42499999999999999</v>
      </c>
      <c r="AN481" s="44">
        <v>0.64509098983500002</v>
      </c>
      <c r="AO481" s="44">
        <v>0.157</v>
      </c>
      <c r="AP481" s="44">
        <v>0.80209098983500005</v>
      </c>
      <c r="AQ481" s="44">
        <v>0.88819999999999999</v>
      </c>
      <c r="AR481" s="44">
        <v>24.8</v>
      </c>
    </row>
    <row r="482" spans="1:44">
      <c r="A482" t="s">
        <v>910</v>
      </c>
      <c r="B482" t="s">
        <v>911</v>
      </c>
      <c r="D482" t="s">
        <v>1639</v>
      </c>
      <c r="E482" s="44">
        <v>806183</v>
      </c>
      <c r="F482" s="44">
        <v>3061362</v>
      </c>
      <c r="G482" s="44">
        <v>469660</v>
      </c>
      <c r="H482" s="126">
        <v>3531022</v>
      </c>
      <c r="I482" s="127">
        <v>4954087</v>
      </c>
      <c r="J482" s="128">
        <v>287390</v>
      </c>
      <c r="K482" s="130">
        <v>8772499</v>
      </c>
      <c r="L482" s="44">
        <v>130433</v>
      </c>
      <c r="M482" s="44">
        <v>232601</v>
      </c>
      <c r="N482" s="44">
        <v>2378154</v>
      </c>
      <c r="O482" s="44">
        <v>49692</v>
      </c>
      <c r="P482" s="44">
        <v>76022</v>
      </c>
      <c r="Q482" s="44">
        <v>815431</v>
      </c>
      <c r="R482" s="44">
        <v>132229</v>
      </c>
      <c r="S482" s="44">
        <v>0</v>
      </c>
      <c r="T482" s="44">
        <v>515544</v>
      </c>
      <c r="U482" s="44">
        <v>438049</v>
      </c>
      <c r="V482" s="44">
        <v>4701</v>
      </c>
      <c r="W482" s="44">
        <v>576451</v>
      </c>
      <c r="X482" s="44">
        <v>253541</v>
      </c>
      <c r="Y482" s="44">
        <v>1384391</v>
      </c>
      <c r="Z482" s="44">
        <v>408134</v>
      </c>
      <c r="AA482" s="44">
        <v>129111</v>
      </c>
      <c r="AB482" s="44">
        <v>0</v>
      </c>
      <c r="AC482" s="44">
        <v>7524484</v>
      </c>
      <c r="AD482" s="44">
        <v>592000</v>
      </c>
      <c r="AE482" s="44">
        <v>180000</v>
      </c>
      <c r="AF482" s="44">
        <v>122383</v>
      </c>
      <c r="AG482" s="44">
        <v>8418867</v>
      </c>
      <c r="AH482" s="44">
        <v>445</v>
      </c>
      <c r="AI482" s="44">
        <v>19713</v>
      </c>
      <c r="AJ482" s="44">
        <v>18919</v>
      </c>
      <c r="AK482" s="44">
        <v>536786</v>
      </c>
      <c r="AL482" s="44">
        <v>61843</v>
      </c>
      <c r="AM482" s="44">
        <v>0.95499999999999996</v>
      </c>
      <c r="AN482" s="44">
        <v>0.52324392344005433</v>
      </c>
      <c r="AO482" s="44">
        <v>0.189</v>
      </c>
      <c r="AP482" s="44">
        <v>0.71224392344005438</v>
      </c>
      <c r="AQ482" s="44">
        <v>0.79359999999999997</v>
      </c>
      <c r="AR482" s="44">
        <v>14.75</v>
      </c>
    </row>
    <row r="483" spans="1:44">
      <c r="A483" t="s">
        <v>912</v>
      </c>
      <c r="B483" t="s">
        <v>913</v>
      </c>
      <c r="D483" t="s">
        <v>1639</v>
      </c>
      <c r="E483" s="44">
        <v>191750</v>
      </c>
      <c r="F483" s="44">
        <v>2525247</v>
      </c>
      <c r="G483" s="44">
        <v>364189</v>
      </c>
      <c r="H483" s="126">
        <v>2889436</v>
      </c>
      <c r="I483" s="127">
        <v>1789353</v>
      </c>
      <c r="J483" s="128">
        <v>363227</v>
      </c>
      <c r="K483" s="130">
        <v>5042016</v>
      </c>
      <c r="L483" s="44">
        <v>22469</v>
      </c>
      <c r="M483" s="44">
        <v>221178</v>
      </c>
      <c r="N483" s="44">
        <v>1644570</v>
      </c>
      <c r="O483" s="44">
        <v>76260</v>
      </c>
      <c r="P483" s="44">
        <v>2122</v>
      </c>
      <c r="Q483" s="44">
        <v>535151</v>
      </c>
      <c r="R483" s="44">
        <v>140475</v>
      </c>
      <c r="S483" s="44">
        <v>27390</v>
      </c>
      <c r="T483" s="44">
        <v>378919</v>
      </c>
      <c r="U483" s="44">
        <v>167866</v>
      </c>
      <c r="V483" s="44">
        <v>0</v>
      </c>
      <c r="W483" s="44">
        <v>233839</v>
      </c>
      <c r="X483" s="44">
        <v>170016</v>
      </c>
      <c r="Y483" s="44">
        <v>646082</v>
      </c>
      <c r="Z483" s="44">
        <v>262759</v>
      </c>
      <c r="AA483" s="44">
        <v>111697</v>
      </c>
      <c r="AB483" s="44">
        <v>10000</v>
      </c>
      <c r="AC483" s="44">
        <v>4650793</v>
      </c>
      <c r="AD483" s="44">
        <v>291423</v>
      </c>
      <c r="AE483" s="44">
        <v>95768</v>
      </c>
      <c r="AF483" s="44">
        <v>28132</v>
      </c>
      <c r="AG483" s="44">
        <v>5066116</v>
      </c>
      <c r="AH483" s="44">
        <v>296</v>
      </c>
      <c r="AI483" s="44">
        <v>17034</v>
      </c>
      <c r="AJ483" s="44">
        <v>17115</v>
      </c>
      <c r="AK483" s="44">
        <v>289527</v>
      </c>
      <c r="AL483" s="44">
        <v>58937</v>
      </c>
      <c r="AM483" s="44">
        <v>0.61899999999999999</v>
      </c>
      <c r="AN483" s="44">
        <v>0.58679134074308603</v>
      </c>
      <c r="AO483" s="44">
        <v>0.18099999999999999</v>
      </c>
      <c r="AP483" s="44">
        <v>0.76779134074308608</v>
      </c>
      <c r="AQ483" s="44">
        <v>0.83109999999999995</v>
      </c>
      <c r="AR483" s="44">
        <v>15.07</v>
      </c>
    </row>
    <row r="484" spans="1:44">
      <c r="A484" t="s">
        <v>914</v>
      </c>
      <c r="B484" t="s">
        <v>915</v>
      </c>
      <c r="D484" t="s">
        <v>1639</v>
      </c>
      <c r="E484" s="44">
        <v>1364584</v>
      </c>
      <c r="F484" s="44">
        <v>9858884</v>
      </c>
      <c r="G484" s="44">
        <v>1429781</v>
      </c>
      <c r="H484" s="126">
        <v>11288665</v>
      </c>
      <c r="I484" s="127">
        <v>6805642</v>
      </c>
      <c r="J484" s="128">
        <v>643568</v>
      </c>
      <c r="K484" s="130">
        <v>18737875</v>
      </c>
      <c r="L484" s="44">
        <v>157075</v>
      </c>
      <c r="M484" s="44">
        <v>334829</v>
      </c>
      <c r="N484" s="44">
        <v>5692640</v>
      </c>
      <c r="O484" s="44">
        <v>299035</v>
      </c>
      <c r="P484" s="44">
        <v>242156</v>
      </c>
      <c r="Q484" s="44">
        <v>890810</v>
      </c>
      <c r="R484" s="44">
        <v>137314</v>
      </c>
      <c r="S484" s="44">
        <v>499046</v>
      </c>
      <c r="T484" s="44">
        <v>928419</v>
      </c>
      <c r="U484" s="44">
        <v>719757</v>
      </c>
      <c r="V484" s="44">
        <v>0</v>
      </c>
      <c r="W484" s="44">
        <v>1045730</v>
      </c>
      <c r="X484" s="44">
        <v>613145</v>
      </c>
      <c r="Y484" s="44">
        <v>2649619</v>
      </c>
      <c r="Z484" s="44">
        <v>1017552</v>
      </c>
      <c r="AA484" s="44">
        <v>151510</v>
      </c>
      <c r="AB484" s="44">
        <v>18000</v>
      </c>
      <c r="AC484" s="44">
        <v>15396637</v>
      </c>
      <c r="AD484" s="44">
        <v>1236636</v>
      </c>
      <c r="AE484" s="44">
        <v>932210</v>
      </c>
      <c r="AF484" s="44">
        <v>769811</v>
      </c>
      <c r="AG484" s="44">
        <v>18335294</v>
      </c>
      <c r="AH484" s="44">
        <v>933</v>
      </c>
      <c r="AI484" s="44">
        <v>20083</v>
      </c>
      <c r="AJ484" s="44">
        <v>19652</v>
      </c>
      <c r="AK484" s="44">
        <v>235910</v>
      </c>
      <c r="AL484" s="44">
        <v>63344</v>
      </c>
      <c r="AM484" s="44">
        <v>0.56800000000000006</v>
      </c>
      <c r="AN484" s="44">
        <v>0.51317295484871961</v>
      </c>
      <c r="AO484" s="44">
        <v>0.19</v>
      </c>
      <c r="AP484" s="44">
        <v>0.70317295484871956</v>
      </c>
      <c r="AQ484" s="44">
        <v>0.8357</v>
      </c>
      <c r="AR484" s="44">
        <v>19.91</v>
      </c>
    </row>
    <row r="485" spans="1:44">
      <c r="A485" t="s">
        <v>916</v>
      </c>
      <c r="B485" t="s">
        <v>917</v>
      </c>
      <c r="D485" t="s">
        <v>1639</v>
      </c>
      <c r="E485" s="44">
        <v>1271216</v>
      </c>
      <c r="F485" s="44">
        <v>19404807</v>
      </c>
      <c r="G485" s="44">
        <v>2545895</v>
      </c>
      <c r="H485" s="126">
        <v>21950702</v>
      </c>
      <c r="I485" s="127">
        <v>11456430</v>
      </c>
      <c r="J485" s="128">
        <v>1077723</v>
      </c>
      <c r="K485" s="130">
        <v>34484855</v>
      </c>
      <c r="L485" s="44">
        <v>123749</v>
      </c>
      <c r="M485" s="44">
        <v>565897</v>
      </c>
      <c r="N485" s="44">
        <v>10179222</v>
      </c>
      <c r="O485" s="44">
        <v>794218</v>
      </c>
      <c r="P485" s="44">
        <v>585695</v>
      </c>
      <c r="Q485" s="44">
        <v>1567384</v>
      </c>
      <c r="R485" s="44">
        <v>4402</v>
      </c>
      <c r="S485" s="44">
        <v>960881</v>
      </c>
      <c r="T485" s="44">
        <v>1617081</v>
      </c>
      <c r="U485" s="44">
        <v>761671</v>
      </c>
      <c r="V485" s="44">
        <v>72026</v>
      </c>
      <c r="W485" s="44">
        <v>2066453</v>
      </c>
      <c r="X485" s="44">
        <v>1020132</v>
      </c>
      <c r="Y485" s="44">
        <v>3943863</v>
      </c>
      <c r="Z485" s="44">
        <v>1820927</v>
      </c>
      <c r="AA485" s="44">
        <v>543428</v>
      </c>
      <c r="AB485" s="44">
        <v>0</v>
      </c>
      <c r="AC485" s="44">
        <v>26627029</v>
      </c>
      <c r="AD485" s="44">
        <v>2000808</v>
      </c>
      <c r="AE485" s="44">
        <v>2428688</v>
      </c>
      <c r="AF485" s="44">
        <v>1960327</v>
      </c>
      <c r="AG485" s="44">
        <v>33016852</v>
      </c>
      <c r="AH485" s="44">
        <v>2043</v>
      </c>
      <c r="AI485" s="44">
        <v>16880</v>
      </c>
      <c r="AJ485" s="44">
        <v>16161</v>
      </c>
      <c r="AK485" s="44">
        <v>198953</v>
      </c>
      <c r="AL485" s="44">
        <v>65356</v>
      </c>
      <c r="AM485" s="44">
        <v>0.52800000000000002</v>
      </c>
      <c r="AN485" s="44">
        <v>0.49885294939687164</v>
      </c>
      <c r="AO485" s="44">
        <v>0.16800000000000001</v>
      </c>
      <c r="AP485" s="44">
        <v>0.66685294939687167</v>
      </c>
      <c r="AQ485" s="44">
        <v>0.82679999999999998</v>
      </c>
      <c r="AR485" s="44">
        <v>20</v>
      </c>
    </row>
    <row r="486" spans="1:44">
      <c r="A486" t="s">
        <v>918</v>
      </c>
      <c r="B486" t="s">
        <v>919</v>
      </c>
      <c r="D486" t="s">
        <v>1639</v>
      </c>
      <c r="E486" s="44">
        <v>1845692</v>
      </c>
      <c r="F486" s="44">
        <v>9456894</v>
      </c>
      <c r="G486" s="44">
        <v>1492268</v>
      </c>
      <c r="H486" s="126">
        <v>10949162</v>
      </c>
      <c r="I486" s="127">
        <v>6908799</v>
      </c>
      <c r="J486" s="128">
        <v>591046</v>
      </c>
      <c r="K486" s="130">
        <v>18449007</v>
      </c>
      <c r="L486" s="44">
        <v>133314</v>
      </c>
      <c r="M486" s="44">
        <v>338683</v>
      </c>
      <c r="N486" s="44">
        <v>5610125</v>
      </c>
      <c r="O486" s="44">
        <v>305245</v>
      </c>
      <c r="P486" s="44">
        <v>224596</v>
      </c>
      <c r="Q486" s="44">
        <v>1148166</v>
      </c>
      <c r="R486" s="44">
        <v>47289</v>
      </c>
      <c r="S486" s="44">
        <v>211244</v>
      </c>
      <c r="T486" s="44">
        <v>603664</v>
      </c>
      <c r="U486" s="44">
        <v>485492</v>
      </c>
      <c r="V486" s="44">
        <v>0</v>
      </c>
      <c r="W486" s="44">
        <v>912095</v>
      </c>
      <c r="X486" s="44">
        <v>705987</v>
      </c>
      <c r="Y486" s="44">
        <v>2537147</v>
      </c>
      <c r="Z486" s="44">
        <v>932384</v>
      </c>
      <c r="AA486" s="44">
        <v>141516</v>
      </c>
      <c r="AB486" s="44">
        <v>33676</v>
      </c>
      <c r="AC486" s="44">
        <v>14370623</v>
      </c>
      <c r="AD486" s="44">
        <v>1057773</v>
      </c>
      <c r="AE486" s="44">
        <v>1012159</v>
      </c>
      <c r="AF486" s="44">
        <v>539204</v>
      </c>
      <c r="AG486" s="44">
        <v>16979759</v>
      </c>
      <c r="AH486" s="44">
        <v>1036</v>
      </c>
      <c r="AI486" s="44">
        <v>17808</v>
      </c>
      <c r="AJ486" s="44">
        <v>16390</v>
      </c>
      <c r="AK486" s="44">
        <v>211036</v>
      </c>
      <c r="AL486" s="44">
        <v>80252</v>
      </c>
      <c r="AM486" s="44">
        <v>0.60499999999999998</v>
      </c>
      <c r="AN486" s="44">
        <v>0.50859502776217258</v>
      </c>
      <c r="AO486" s="44">
        <v>0.20300000000000001</v>
      </c>
      <c r="AP486" s="44">
        <v>0.71159502776217254</v>
      </c>
      <c r="AQ486" s="44">
        <v>0.84160000000000001</v>
      </c>
      <c r="AR486" s="44">
        <v>19.93</v>
      </c>
    </row>
    <row r="487" spans="1:44">
      <c r="A487" t="s">
        <v>920</v>
      </c>
      <c r="B487" t="s">
        <v>921</v>
      </c>
      <c r="D487" t="s">
        <v>1639</v>
      </c>
      <c r="E487" s="44">
        <v>499219</v>
      </c>
      <c r="F487" s="44">
        <v>4260227</v>
      </c>
      <c r="G487" s="44">
        <v>500175</v>
      </c>
      <c r="H487" s="126">
        <v>4760402</v>
      </c>
      <c r="I487" s="127">
        <v>2099325</v>
      </c>
      <c r="J487" s="128">
        <v>290135</v>
      </c>
      <c r="K487" s="130">
        <v>7149862</v>
      </c>
      <c r="L487" s="44">
        <v>108455</v>
      </c>
      <c r="M487" s="44">
        <v>151652</v>
      </c>
      <c r="N487" s="44">
        <v>2008759</v>
      </c>
      <c r="O487" s="44">
        <v>60197</v>
      </c>
      <c r="P487" s="44">
        <v>75700</v>
      </c>
      <c r="Q487" s="44">
        <v>649057</v>
      </c>
      <c r="R487" s="44">
        <v>99963</v>
      </c>
      <c r="S487" s="44">
        <v>0</v>
      </c>
      <c r="T487" s="44">
        <v>442000</v>
      </c>
      <c r="U487" s="44">
        <v>210025</v>
      </c>
      <c r="V487" s="44">
        <v>0</v>
      </c>
      <c r="W487" s="44">
        <v>447380</v>
      </c>
      <c r="X487" s="44">
        <v>235071</v>
      </c>
      <c r="Y487" s="44">
        <v>814274</v>
      </c>
      <c r="Z487" s="44">
        <v>412464</v>
      </c>
      <c r="AA487" s="44">
        <v>88046</v>
      </c>
      <c r="AB487" s="44">
        <v>0</v>
      </c>
      <c r="AC487" s="44">
        <v>5803043</v>
      </c>
      <c r="AD487" s="44">
        <v>428102</v>
      </c>
      <c r="AE487" s="44">
        <v>479000</v>
      </c>
      <c r="AF487" s="44">
        <v>345962</v>
      </c>
      <c r="AG487" s="44">
        <v>7056107</v>
      </c>
      <c r="AH487" s="44">
        <v>406</v>
      </c>
      <c r="AI487" s="44">
        <v>17610</v>
      </c>
      <c r="AJ487" s="44">
        <v>17380</v>
      </c>
      <c r="AK487" s="44">
        <v>174887</v>
      </c>
      <c r="AL487" s="44">
        <v>53156</v>
      </c>
      <c r="AM487" s="44">
        <v>0.44600000000000001</v>
      </c>
      <c r="AN487" s="44">
        <v>0.50250102499862881</v>
      </c>
      <c r="AO487" s="44">
        <v>0.16700000000000001</v>
      </c>
      <c r="AP487" s="44">
        <v>0.66950102499862885</v>
      </c>
      <c r="AQ487" s="44">
        <v>0.81100000000000005</v>
      </c>
      <c r="AR487" s="44">
        <v>24.2</v>
      </c>
    </row>
    <row r="488" spans="1:44">
      <c r="A488" t="s">
        <v>922</v>
      </c>
      <c r="B488" t="s">
        <v>923</v>
      </c>
      <c r="D488" t="s">
        <v>1639</v>
      </c>
      <c r="E488" s="44">
        <v>702483</v>
      </c>
      <c r="F488" s="44">
        <v>7831479</v>
      </c>
      <c r="G488" s="44">
        <v>1276162</v>
      </c>
      <c r="H488" s="126">
        <v>9107641</v>
      </c>
      <c r="I488" s="127">
        <v>3912511</v>
      </c>
      <c r="J488" s="128">
        <v>686691</v>
      </c>
      <c r="K488" s="130">
        <v>13706843</v>
      </c>
      <c r="L488" s="44">
        <v>35783</v>
      </c>
      <c r="M488" s="44">
        <v>505259</v>
      </c>
      <c r="N488" s="44">
        <v>3841553</v>
      </c>
      <c r="O488" s="44">
        <v>160204</v>
      </c>
      <c r="P488" s="44">
        <v>344606</v>
      </c>
      <c r="Q488" s="44">
        <v>1303637</v>
      </c>
      <c r="R488" s="44">
        <v>0</v>
      </c>
      <c r="S488" s="44">
        <v>50665</v>
      </c>
      <c r="T488" s="44">
        <v>633077</v>
      </c>
      <c r="U488" s="44">
        <v>403022</v>
      </c>
      <c r="V488" s="44">
        <v>32175</v>
      </c>
      <c r="W488" s="44">
        <v>859791</v>
      </c>
      <c r="X488" s="44">
        <v>416200</v>
      </c>
      <c r="Y488" s="44">
        <v>1255562</v>
      </c>
      <c r="Z488" s="44">
        <v>642754</v>
      </c>
      <c r="AA488" s="44">
        <v>570733</v>
      </c>
      <c r="AB488" s="44">
        <v>0</v>
      </c>
      <c r="AC488" s="44">
        <v>11055021</v>
      </c>
      <c r="AD488" s="44">
        <v>652939</v>
      </c>
      <c r="AE488" s="44">
        <v>848616</v>
      </c>
      <c r="AF488" s="44">
        <v>505227</v>
      </c>
      <c r="AG488" s="44">
        <v>13061803</v>
      </c>
      <c r="AH488" s="44">
        <v>875</v>
      </c>
      <c r="AI488" s="44">
        <v>15665</v>
      </c>
      <c r="AJ488" s="44">
        <v>14928</v>
      </c>
      <c r="AK488" s="44">
        <v>172948</v>
      </c>
      <c r="AL488" s="44">
        <v>72007</v>
      </c>
      <c r="AM488" s="44">
        <v>0.52100000000000002</v>
      </c>
      <c r="AN488" s="44">
        <v>0.51576064958260359</v>
      </c>
      <c r="AO488" s="44">
        <v>0.158</v>
      </c>
      <c r="AP488" s="44">
        <v>0.67376064958260362</v>
      </c>
      <c r="AQ488" s="44">
        <v>0.79630000000000001</v>
      </c>
      <c r="AR488" s="44">
        <v>20.59</v>
      </c>
    </row>
    <row r="489" spans="1:44">
      <c r="A489" t="s">
        <v>662</v>
      </c>
      <c r="B489" t="s">
        <v>663</v>
      </c>
      <c r="D489" t="s">
        <v>1639</v>
      </c>
      <c r="E489" s="44">
        <v>1372545</v>
      </c>
      <c r="F489" s="44">
        <v>12696337</v>
      </c>
      <c r="G489" s="44">
        <v>1422448</v>
      </c>
      <c r="H489" s="126">
        <v>14118785</v>
      </c>
      <c r="I489" s="127">
        <v>6707494</v>
      </c>
      <c r="J489" s="128">
        <v>799714</v>
      </c>
      <c r="K489" s="130">
        <v>21625993</v>
      </c>
      <c r="L489" s="44">
        <v>125515</v>
      </c>
      <c r="M489" s="44">
        <v>399559</v>
      </c>
      <c r="N489" s="44">
        <v>6205967</v>
      </c>
      <c r="O489" s="44">
        <v>273940</v>
      </c>
      <c r="P489" s="44">
        <v>478955</v>
      </c>
      <c r="Q489" s="44">
        <v>2002243</v>
      </c>
      <c r="R489" s="44">
        <v>3734</v>
      </c>
      <c r="S489" s="44">
        <v>0</v>
      </c>
      <c r="T489" s="44">
        <v>923098</v>
      </c>
      <c r="U489" s="44">
        <v>548162</v>
      </c>
      <c r="V489" s="44">
        <v>79359</v>
      </c>
      <c r="W489" s="44">
        <v>1454303</v>
      </c>
      <c r="X489" s="44">
        <v>640305</v>
      </c>
      <c r="Y489" s="44">
        <v>2013224</v>
      </c>
      <c r="Z489" s="44">
        <v>1242067</v>
      </c>
      <c r="AA489" s="44">
        <v>869422</v>
      </c>
      <c r="AB489" s="44">
        <v>0</v>
      </c>
      <c r="AC489" s="44">
        <v>17259853</v>
      </c>
      <c r="AD489" s="44">
        <v>899781</v>
      </c>
      <c r="AE489" s="44">
        <v>1755000</v>
      </c>
      <c r="AF489" s="44">
        <v>1172763</v>
      </c>
      <c r="AG489" s="44">
        <v>21087397</v>
      </c>
      <c r="AH489" s="44">
        <v>1427</v>
      </c>
      <c r="AI489" s="44">
        <v>15155</v>
      </c>
      <c r="AJ489" s="44">
        <v>14777</v>
      </c>
      <c r="AK489" s="44">
        <v>233049</v>
      </c>
      <c r="AL489" s="44">
        <v>64340</v>
      </c>
      <c r="AM489" s="44">
        <v>0.56800000000000006</v>
      </c>
      <c r="AN489" s="44">
        <v>0.49489744988440254</v>
      </c>
      <c r="AO489" s="44">
        <v>0.16300000000000001</v>
      </c>
      <c r="AP489" s="44">
        <v>0.65789744988440257</v>
      </c>
      <c r="AQ489" s="44">
        <v>0.80410000000000004</v>
      </c>
      <c r="AR489" s="44">
        <v>15.41</v>
      </c>
    </row>
    <row r="490" spans="1:44">
      <c r="A490" t="s">
        <v>664</v>
      </c>
      <c r="B490" t="s">
        <v>665</v>
      </c>
      <c r="D490" t="s">
        <v>1639</v>
      </c>
      <c r="E490" s="44">
        <v>1051058</v>
      </c>
      <c r="F490" s="44">
        <v>10097895</v>
      </c>
      <c r="G490" s="44">
        <v>1267009</v>
      </c>
      <c r="H490" s="126">
        <v>11364904</v>
      </c>
      <c r="I490" s="127">
        <v>5614692</v>
      </c>
      <c r="J490" s="128">
        <v>628959</v>
      </c>
      <c r="K490" s="130">
        <v>17608555</v>
      </c>
      <c r="L490" s="44">
        <v>142824</v>
      </c>
      <c r="M490" s="44">
        <v>665888</v>
      </c>
      <c r="N490" s="44">
        <v>5021443</v>
      </c>
      <c r="O490" s="44">
        <v>207054</v>
      </c>
      <c r="P490" s="44">
        <v>235311</v>
      </c>
      <c r="Q490" s="44">
        <v>1924564</v>
      </c>
      <c r="R490" s="44">
        <v>5344</v>
      </c>
      <c r="S490" s="44">
        <v>117996</v>
      </c>
      <c r="T490" s="44">
        <v>1317833</v>
      </c>
      <c r="U490" s="44">
        <v>557704</v>
      </c>
      <c r="V490" s="44">
        <v>9076</v>
      </c>
      <c r="W490" s="44">
        <v>1135239</v>
      </c>
      <c r="X490" s="44">
        <v>510408</v>
      </c>
      <c r="Y490" s="44">
        <v>1441756</v>
      </c>
      <c r="Z490" s="44">
        <v>951786</v>
      </c>
      <c r="AA490" s="44">
        <v>602814</v>
      </c>
      <c r="AB490" s="44">
        <v>3925</v>
      </c>
      <c r="AC490" s="44">
        <v>14850965</v>
      </c>
      <c r="AD490" s="44">
        <v>790154</v>
      </c>
      <c r="AE490" s="44">
        <v>1237591</v>
      </c>
      <c r="AF490" s="44">
        <v>510973</v>
      </c>
      <c r="AG490" s="44">
        <v>17389683</v>
      </c>
      <c r="AH490" s="44">
        <v>892</v>
      </c>
      <c r="AI490" s="44">
        <v>19741</v>
      </c>
      <c r="AJ490" s="44">
        <v>19495</v>
      </c>
      <c r="AK490" s="44">
        <v>233323</v>
      </c>
      <c r="AL490" s="44">
        <v>65835</v>
      </c>
      <c r="AM490" s="44">
        <v>0.57499999999999996</v>
      </c>
      <c r="AN490" s="44">
        <v>0.53981714330272723</v>
      </c>
      <c r="AO490" s="44">
        <v>0.14199999999999999</v>
      </c>
      <c r="AP490" s="44">
        <v>0.68181714330272725</v>
      </c>
      <c r="AQ490" s="44">
        <v>0.79769999999999996</v>
      </c>
      <c r="AR490" s="44">
        <v>18.62</v>
      </c>
    </row>
    <row r="491" spans="1:44">
      <c r="A491" t="s">
        <v>666</v>
      </c>
      <c r="B491" t="s">
        <v>667</v>
      </c>
      <c r="D491" t="s">
        <v>1639</v>
      </c>
      <c r="E491" s="44">
        <v>291000</v>
      </c>
      <c r="F491" s="44">
        <v>4739594</v>
      </c>
      <c r="G491" s="44">
        <v>760332</v>
      </c>
      <c r="H491" s="126">
        <v>5499926</v>
      </c>
      <c r="I491" s="127">
        <v>3919255</v>
      </c>
      <c r="J491" s="128">
        <v>541997</v>
      </c>
      <c r="K491" s="130">
        <v>9961178</v>
      </c>
      <c r="L491" s="44">
        <v>37573</v>
      </c>
      <c r="M491" s="44">
        <v>293129</v>
      </c>
      <c r="N491" s="44">
        <v>2694221</v>
      </c>
      <c r="O491" s="44">
        <v>100475</v>
      </c>
      <c r="P491" s="44">
        <v>159159</v>
      </c>
      <c r="Q491" s="44">
        <v>1251108</v>
      </c>
      <c r="R491" s="44">
        <v>1121</v>
      </c>
      <c r="S491" s="44">
        <v>0</v>
      </c>
      <c r="T491" s="44">
        <v>453401</v>
      </c>
      <c r="U491" s="44">
        <v>468314</v>
      </c>
      <c r="V491" s="44">
        <v>0</v>
      </c>
      <c r="W491" s="44">
        <v>554139</v>
      </c>
      <c r="X491" s="44">
        <v>329648</v>
      </c>
      <c r="Y491" s="44">
        <v>652897</v>
      </c>
      <c r="Z491" s="44">
        <v>457878</v>
      </c>
      <c r="AA491" s="44">
        <v>218239</v>
      </c>
      <c r="AB491" s="44">
        <v>493056</v>
      </c>
      <c r="AC491" s="44">
        <v>8164358</v>
      </c>
      <c r="AD491" s="44">
        <v>485390</v>
      </c>
      <c r="AE491" s="44">
        <v>540910</v>
      </c>
      <c r="AF491" s="44">
        <v>384019</v>
      </c>
      <c r="AG491" s="44">
        <v>9574677</v>
      </c>
      <c r="AH491" s="44">
        <v>556</v>
      </c>
      <c r="AI491" s="44">
        <v>17916</v>
      </c>
      <c r="AJ491" s="44">
        <v>17221</v>
      </c>
      <c r="AK491" s="44">
        <v>267847</v>
      </c>
      <c r="AL491" s="44">
        <v>74701</v>
      </c>
      <c r="AM491" s="44">
        <v>0.65599999999999992</v>
      </c>
      <c r="AN491" s="44">
        <v>0.53555843189279384</v>
      </c>
      <c r="AO491" s="44">
        <v>0.127</v>
      </c>
      <c r="AP491" s="44">
        <v>0.66255843189279384</v>
      </c>
      <c r="AQ491" s="44">
        <v>0.81020000000000003</v>
      </c>
      <c r="AR491" s="44">
        <v>20.8</v>
      </c>
    </row>
    <row r="492" spans="1:44">
      <c r="A492" t="s">
        <v>668</v>
      </c>
      <c r="B492" t="s">
        <v>669</v>
      </c>
      <c r="D492" t="s">
        <v>1639</v>
      </c>
      <c r="E492" s="44">
        <v>667000</v>
      </c>
      <c r="F492" s="44">
        <v>10216600</v>
      </c>
      <c r="G492" s="44">
        <v>2601391</v>
      </c>
      <c r="H492" s="126">
        <v>12817991</v>
      </c>
      <c r="I492" s="127">
        <v>8196603</v>
      </c>
      <c r="J492" s="128">
        <v>770340</v>
      </c>
      <c r="K492" s="130">
        <v>21784934</v>
      </c>
      <c r="L492" s="44">
        <v>55969</v>
      </c>
      <c r="M492" s="44">
        <v>552520</v>
      </c>
      <c r="N492" s="44">
        <v>6883545</v>
      </c>
      <c r="O492" s="44">
        <v>281414</v>
      </c>
      <c r="P492" s="44">
        <v>364815</v>
      </c>
      <c r="Q492" s="44">
        <v>2453270</v>
      </c>
      <c r="R492" s="44">
        <v>259190</v>
      </c>
      <c r="S492" s="44">
        <v>0</v>
      </c>
      <c r="T492" s="44">
        <v>1309701</v>
      </c>
      <c r="U492" s="44">
        <v>578926</v>
      </c>
      <c r="V492" s="44">
        <v>6678</v>
      </c>
      <c r="W492" s="44">
        <v>1237060</v>
      </c>
      <c r="X492" s="44">
        <v>693787</v>
      </c>
      <c r="Y492" s="44">
        <v>1754990</v>
      </c>
      <c r="Z492" s="44">
        <v>1085171</v>
      </c>
      <c r="AA492" s="44">
        <v>415863</v>
      </c>
      <c r="AB492" s="44">
        <v>674681</v>
      </c>
      <c r="AC492" s="44">
        <v>18607580</v>
      </c>
      <c r="AD492" s="44">
        <v>933103</v>
      </c>
      <c r="AE492" s="44">
        <v>950000</v>
      </c>
      <c r="AF492" s="44">
        <v>773835</v>
      </c>
      <c r="AG492" s="44">
        <v>21264518</v>
      </c>
      <c r="AH492" s="44">
        <v>1382</v>
      </c>
      <c r="AI492" s="44">
        <v>15763</v>
      </c>
      <c r="AJ492" s="44">
        <v>15387</v>
      </c>
      <c r="AK492" s="44">
        <v>205585</v>
      </c>
      <c r="AL492" s="44">
        <v>86008</v>
      </c>
      <c r="AM492" s="44">
        <v>0.621</v>
      </c>
      <c r="AN492" s="44">
        <v>0.57047429901773461</v>
      </c>
      <c r="AO492" s="44">
        <v>0.14299999999999999</v>
      </c>
      <c r="AP492" s="44">
        <v>0.71347429901773463</v>
      </c>
      <c r="AQ492" s="44">
        <v>0.84299999999999997</v>
      </c>
      <c r="AR492" s="44">
        <v>21.93</v>
      </c>
    </row>
    <row r="493" spans="1:44">
      <c r="A493" t="s">
        <v>670</v>
      </c>
      <c r="B493" t="s">
        <v>671</v>
      </c>
      <c r="D493" t="s">
        <v>1639</v>
      </c>
      <c r="E493" s="44">
        <v>1286000</v>
      </c>
      <c r="F493" s="44">
        <v>17856279</v>
      </c>
      <c r="G493" s="44">
        <v>2535765</v>
      </c>
      <c r="H493" s="126">
        <v>20392044</v>
      </c>
      <c r="I493" s="127">
        <v>9270490</v>
      </c>
      <c r="J493" s="128">
        <v>1498006</v>
      </c>
      <c r="K493" s="130">
        <v>31160540</v>
      </c>
      <c r="L493" s="44">
        <v>99160</v>
      </c>
      <c r="M493" s="44">
        <v>640923</v>
      </c>
      <c r="N493" s="44">
        <v>8288625</v>
      </c>
      <c r="O493" s="44">
        <v>533167</v>
      </c>
      <c r="P493" s="44">
        <v>667404</v>
      </c>
      <c r="Q493" s="44">
        <v>3390441</v>
      </c>
      <c r="R493" s="44">
        <v>28686</v>
      </c>
      <c r="S493" s="44">
        <v>64886</v>
      </c>
      <c r="T493" s="44">
        <v>1336133</v>
      </c>
      <c r="U493" s="44">
        <v>1228972</v>
      </c>
      <c r="V493" s="44">
        <v>15000</v>
      </c>
      <c r="W493" s="44">
        <v>2253060</v>
      </c>
      <c r="X493" s="44">
        <v>783758</v>
      </c>
      <c r="Y493" s="44">
        <v>1837391</v>
      </c>
      <c r="Z493" s="44">
        <v>1479352</v>
      </c>
      <c r="AA493" s="44">
        <v>395759</v>
      </c>
      <c r="AB493" s="44">
        <v>250064</v>
      </c>
      <c r="AC493" s="44">
        <v>23292781</v>
      </c>
      <c r="AD493" s="44">
        <v>1069537</v>
      </c>
      <c r="AE493" s="44">
        <v>3103284</v>
      </c>
      <c r="AF493" s="44">
        <v>2369207</v>
      </c>
      <c r="AG493" s="44">
        <v>29834809</v>
      </c>
      <c r="AH493" s="44">
        <v>2018</v>
      </c>
      <c r="AI493" s="44">
        <v>15441</v>
      </c>
      <c r="AJ493" s="44">
        <v>14784</v>
      </c>
      <c r="AK493" s="44">
        <v>169647</v>
      </c>
      <c r="AL493" s="44">
        <v>63481</v>
      </c>
      <c r="AM493" s="44">
        <v>0.48099999999999998</v>
      </c>
      <c r="AN493" s="44">
        <v>0.52081157952108892</v>
      </c>
      <c r="AO493" s="44">
        <v>0.11799999999999999</v>
      </c>
      <c r="AP493" s="44">
        <v>0.63881157952108891</v>
      </c>
      <c r="AQ493" s="44">
        <v>0.82609999999999995</v>
      </c>
      <c r="AR493" s="44">
        <v>22.01</v>
      </c>
    </row>
    <row r="494" spans="1:44">
      <c r="A494" t="s">
        <v>672</v>
      </c>
      <c r="B494" t="s">
        <v>673</v>
      </c>
      <c r="D494" t="s">
        <v>1639</v>
      </c>
      <c r="E494" s="44">
        <v>759156</v>
      </c>
      <c r="F494" s="44">
        <v>12967948</v>
      </c>
      <c r="G494" s="44">
        <v>1425584</v>
      </c>
      <c r="H494" s="126">
        <v>14393532</v>
      </c>
      <c r="I494" s="127">
        <v>5450481</v>
      </c>
      <c r="J494" s="128">
        <v>1681961</v>
      </c>
      <c r="K494" s="130">
        <v>21525974</v>
      </c>
      <c r="L494" s="44">
        <v>177860</v>
      </c>
      <c r="M494" s="44">
        <v>390342</v>
      </c>
      <c r="N494" s="44">
        <v>5965684</v>
      </c>
      <c r="O494" s="44">
        <v>329749</v>
      </c>
      <c r="P494" s="44">
        <v>421890</v>
      </c>
      <c r="Q494" s="44">
        <v>1962392</v>
      </c>
      <c r="R494" s="44">
        <v>71583</v>
      </c>
      <c r="S494" s="44">
        <v>11944</v>
      </c>
      <c r="T494" s="44">
        <v>1175617</v>
      </c>
      <c r="U494" s="44">
        <v>836624</v>
      </c>
      <c r="V494" s="44">
        <v>65813</v>
      </c>
      <c r="W494" s="44">
        <v>1204392</v>
      </c>
      <c r="X494" s="44">
        <v>523692</v>
      </c>
      <c r="Y494" s="44">
        <v>2056566</v>
      </c>
      <c r="Z494" s="44">
        <v>1548925</v>
      </c>
      <c r="AA494" s="44">
        <v>830493</v>
      </c>
      <c r="AB494" s="44">
        <v>2380000</v>
      </c>
      <c r="AC494" s="44">
        <v>19953566</v>
      </c>
      <c r="AD494" s="44">
        <v>1020080</v>
      </c>
      <c r="AE494" s="44">
        <v>260000</v>
      </c>
      <c r="AF494" s="44">
        <v>86011</v>
      </c>
      <c r="AG494" s="44">
        <v>21319657</v>
      </c>
      <c r="AH494" s="44">
        <v>1314</v>
      </c>
      <c r="AI494" s="44">
        <v>16382</v>
      </c>
      <c r="AJ494" s="44">
        <v>16225</v>
      </c>
      <c r="AK494" s="44">
        <v>145392</v>
      </c>
      <c r="AL494" s="44">
        <v>56528</v>
      </c>
      <c r="AM494" s="44">
        <v>0.42200000000000004</v>
      </c>
      <c r="AN494" s="44">
        <v>0.50542478239682753</v>
      </c>
      <c r="AO494" s="44">
        <v>0.16300000000000001</v>
      </c>
      <c r="AP494" s="44">
        <v>0.66842478239682757</v>
      </c>
      <c r="AQ494" s="44">
        <v>0.79269999999999996</v>
      </c>
      <c r="AR494" s="44">
        <v>23.2</v>
      </c>
    </row>
    <row r="495" spans="1:44">
      <c r="A495" t="s">
        <v>674</v>
      </c>
      <c r="B495" t="s">
        <v>675</v>
      </c>
      <c r="D495" t="s">
        <v>1639</v>
      </c>
      <c r="E495" s="44">
        <v>448272</v>
      </c>
      <c r="F495" s="44">
        <v>6915762</v>
      </c>
      <c r="G495" s="44">
        <v>589321</v>
      </c>
      <c r="H495" s="126">
        <v>7505083</v>
      </c>
      <c r="I495" s="127">
        <v>2190298</v>
      </c>
      <c r="J495" s="128">
        <v>463056</v>
      </c>
      <c r="K495" s="130">
        <v>10158437</v>
      </c>
      <c r="L495" s="44">
        <v>64830</v>
      </c>
      <c r="M495" s="44">
        <v>321668</v>
      </c>
      <c r="N495" s="44">
        <v>2860942</v>
      </c>
      <c r="O495" s="44">
        <v>238485</v>
      </c>
      <c r="P495" s="44">
        <v>179501</v>
      </c>
      <c r="Q495" s="44">
        <v>1168735</v>
      </c>
      <c r="R495" s="44">
        <v>0</v>
      </c>
      <c r="S495" s="44">
        <v>0</v>
      </c>
      <c r="T495" s="44">
        <v>344093</v>
      </c>
      <c r="U495" s="44">
        <v>266283</v>
      </c>
      <c r="V495" s="44">
        <v>8846</v>
      </c>
      <c r="W495" s="44">
        <v>497580</v>
      </c>
      <c r="X495" s="44">
        <v>354284</v>
      </c>
      <c r="Y495" s="44">
        <v>1066102</v>
      </c>
      <c r="Z495" s="44">
        <v>530160</v>
      </c>
      <c r="AA495" s="44">
        <v>276739</v>
      </c>
      <c r="AB495" s="44">
        <v>0</v>
      </c>
      <c r="AC495" s="44">
        <v>8178248</v>
      </c>
      <c r="AD495" s="44">
        <v>464670</v>
      </c>
      <c r="AE495" s="44">
        <v>365000</v>
      </c>
      <c r="AF495" s="44">
        <v>376230</v>
      </c>
      <c r="AG495" s="44">
        <v>9384148</v>
      </c>
      <c r="AH495" s="44">
        <v>674</v>
      </c>
      <c r="AI495" s="44">
        <v>15072</v>
      </c>
      <c r="AJ495" s="44">
        <v>13923</v>
      </c>
      <c r="AK495" s="44">
        <v>138666</v>
      </c>
      <c r="AL495" s="44">
        <v>44194</v>
      </c>
      <c r="AM495" s="44">
        <v>0.36199999999999999</v>
      </c>
      <c r="AN495" s="44">
        <v>0.53899821273066029</v>
      </c>
      <c r="AO495" s="44">
        <v>0.16800000000000001</v>
      </c>
      <c r="AP495" s="44">
        <v>0.70699821273066032</v>
      </c>
      <c r="AQ495" s="44">
        <v>0.81159999999999999</v>
      </c>
      <c r="AR495" s="44">
        <v>17.14</v>
      </c>
    </row>
    <row r="496" spans="1:44">
      <c r="A496" t="s">
        <v>676</v>
      </c>
      <c r="B496" t="s">
        <v>677</v>
      </c>
      <c r="D496" t="s">
        <v>1639</v>
      </c>
      <c r="E496" s="44">
        <v>500114</v>
      </c>
      <c r="F496" s="44">
        <v>18833350</v>
      </c>
      <c r="G496" s="44">
        <v>1552758</v>
      </c>
      <c r="H496" s="126">
        <v>20386108</v>
      </c>
      <c r="I496" s="127">
        <v>6248435</v>
      </c>
      <c r="J496" s="128">
        <v>1184376</v>
      </c>
      <c r="K496" s="130">
        <v>27818919</v>
      </c>
      <c r="L496" s="44">
        <v>109499</v>
      </c>
      <c r="M496" s="44">
        <v>454825</v>
      </c>
      <c r="N496" s="44">
        <v>8462558</v>
      </c>
      <c r="O496" s="44">
        <v>358350</v>
      </c>
      <c r="P496" s="44">
        <v>447068</v>
      </c>
      <c r="Q496" s="44">
        <v>3180936</v>
      </c>
      <c r="R496" s="44">
        <v>50977</v>
      </c>
      <c r="S496" s="44">
        <v>0</v>
      </c>
      <c r="T496" s="44">
        <v>1265839</v>
      </c>
      <c r="U496" s="44">
        <v>1215415</v>
      </c>
      <c r="V496" s="44">
        <v>46407</v>
      </c>
      <c r="W496" s="44">
        <v>1546347</v>
      </c>
      <c r="X496" s="44">
        <v>859636</v>
      </c>
      <c r="Y496" s="44">
        <v>2951334</v>
      </c>
      <c r="Z496" s="44">
        <v>1280904</v>
      </c>
      <c r="AA496" s="44">
        <v>552927</v>
      </c>
      <c r="AB496" s="44">
        <v>0</v>
      </c>
      <c r="AC496" s="44">
        <v>22783022</v>
      </c>
      <c r="AD496" s="44">
        <v>1038879</v>
      </c>
      <c r="AE496" s="44">
        <v>2347991</v>
      </c>
      <c r="AF496" s="44">
        <v>1726764</v>
      </c>
      <c r="AG496" s="44">
        <v>27896656</v>
      </c>
      <c r="AH496" s="44">
        <v>1889</v>
      </c>
      <c r="AI496" s="44">
        <v>14727</v>
      </c>
      <c r="AJ496" s="44">
        <v>14768</v>
      </c>
      <c r="AK496" s="44">
        <v>158580</v>
      </c>
      <c r="AL496" s="44">
        <v>54986</v>
      </c>
      <c r="AM496" s="44">
        <v>0.432</v>
      </c>
      <c r="AN496" s="44">
        <v>0.53702289622096644</v>
      </c>
      <c r="AO496" s="44">
        <v>0.154</v>
      </c>
      <c r="AP496" s="44">
        <v>0.69102289622096646</v>
      </c>
      <c r="AQ496" s="44">
        <v>0.8458</v>
      </c>
      <c r="AR496" s="44">
        <v>15.82</v>
      </c>
    </row>
    <row r="497" spans="1:44">
      <c r="A497" t="s">
        <v>678</v>
      </c>
      <c r="B497" t="s">
        <v>679</v>
      </c>
      <c r="D497" t="s">
        <v>1639</v>
      </c>
      <c r="E497" s="44">
        <v>275145</v>
      </c>
      <c r="F497" s="44">
        <v>4043508</v>
      </c>
      <c r="G497" s="44">
        <v>464432</v>
      </c>
      <c r="H497" s="126">
        <v>4507940</v>
      </c>
      <c r="I497" s="127">
        <v>1806514</v>
      </c>
      <c r="J497" s="128">
        <v>222415</v>
      </c>
      <c r="K497" s="130">
        <v>6536869</v>
      </c>
      <c r="L497" s="44">
        <v>45290</v>
      </c>
      <c r="M497" s="44">
        <v>171121</v>
      </c>
      <c r="N497" s="44">
        <v>1703992</v>
      </c>
      <c r="O497" s="44">
        <v>46431</v>
      </c>
      <c r="P497" s="44">
        <v>82139</v>
      </c>
      <c r="Q497" s="44">
        <v>1012861</v>
      </c>
      <c r="R497" s="44">
        <v>0</v>
      </c>
      <c r="S497" s="44">
        <v>0</v>
      </c>
      <c r="T497" s="44">
        <v>217153</v>
      </c>
      <c r="U497" s="44">
        <v>165492</v>
      </c>
      <c r="V497" s="44">
        <v>0</v>
      </c>
      <c r="W497" s="44">
        <v>292763</v>
      </c>
      <c r="X497" s="44">
        <v>166004</v>
      </c>
      <c r="Y497" s="44">
        <v>638829</v>
      </c>
      <c r="Z497" s="44">
        <v>260708</v>
      </c>
      <c r="AA497" s="44">
        <v>150348</v>
      </c>
      <c r="AB497" s="44">
        <v>14030</v>
      </c>
      <c r="AC497" s="44">
        <v>4967161</v>
      </c>
      <c r="AD497" s="44">
        <v>349072</v>
      </c>
      <c r="AE497" s="44">
        <v>250000</v>
      </c>
      <c r="AF497" s="44">
        <v>235134</v>
      </c>
      <c r="AG497" s="44">
        <v>5801367</v>
      </c>
      <c r="AH497" s="44">
        <v>353</v>
      </c>
      <c r="AI497" s="44">
        <v>18518</v>
      </c>
      <c r="AJ497" s="44">
        <v>16434</v>
      </c>
      <c r="AK497" s="44">
        <v>179673</v>
      </c>
      <c r="AL497" s="44">
        <v>52356</v>
      </c>
      <c r="AM497" s="44">
        <v>0.44899999999999995</v>
      </c>
      <c r="AN497" s="44">
        <v>0.55643230293825574</v>
      </c>
      <c r="AO497" s="44">
        <v>0.14699999999999999</v>
      </c>
      <c r="AP497" s="44">
        <v>0.70343230293825576</v>
      </c>
      <c r="AQ497" s="44">
        <v>0.82110000000000005</v>
      </c>
      <c r="AR497" s="44">
        <v>23.25</v>
      </c>
    </row>
    <row r="498" spans="1:44">
      <c r="A498" t="s">
        <v>680</v>
      </c>
      <c r="B498" t="s">
        <v>681</v>
      </c>
      <c r="D498" t="s">
        <v>1639</v>
      </c>
      <c r="E498" s="44">
        <v>844817</v>
      </c>
      <c r="F498" s="44">
        <v>12682541</v>
      </c>
      <c r="G498" s="44">
        <v>1311100</v>
      </c>
      <c r="H498" s="126">
        <v>13993641</v>
      </c>
      <c r="I498" s="127">
        <v>7053680</v>
      </c>
      <c r="J498" s="128">
        <v>630072</v>
      </c>
      <c r="K498" s="130">
        <v>21677393</v>
      </c>
      <c r="L498" s="44">
        <v>93505</v>
      </c>
      <c r="M498" s="44">
        <v>431960</v>
      </c>
      <c r="N498" s="44">
        <v>4498607</v>
      </c>
      <c r="O498" s="44">
        <v>187537</v>
      </c>
      <c r="P498" s="44">
        <v>202614</v>
      </c>
      <c r="Q498" s="44">
        <v>1807763</v>
      </c>
      <c r="R498" s="44">
        <v>253327</v>
      </c>
      <c r="S498" s="44">
        <v>0</v>
      </c>
      <c r="T498" s="44">
        <v>575243</v>
      </c>
      <c r="U498" s="44">
        <v>372258</v>
      </c>
      <c r="V498" s="44">
        <v>0</v>
      </c>
      <c r="W498" s="44">
        <v>878079</v>
      </c>
      <c r="X498" s="44">
        <v>494515</v>
      </c>
      <c r="Y498" s="44">
        <v>1991470</v>
      </c>
      <c r="Z498" s="44">
        <v>904700</v>
      </c>
      <c r="AA498" s="44">
        <v>854498</v>
      </c>
      <c r="AB498" s="44">
        <v>0</v>
      </c>
      <c r="AC498" s="44">
        <v>13546076</v>
      </c>
      <c r="AD498" s="44">
        <v>576780</v>
      </c>
      <c r="AE498" s="44">
        <v>1875000</v>
      </c>
      <c r="AF498" s="44">
        <v>936818</v>
      </c>
      <c r="AG498" s="44">
        <v>16934674</v>
      </c>
      <c r="AH498" s="44">
        <v>1137</v>
      </c>
      <c r="AI498" s="44">
        <v>19065</v>
      </c>
      <c r="AJ498" s="44">
        <v>14894</v>
      </c>
      <c r="AK498" s="44">
        <v>122739</v>
      </c>
      <c r="AL498" s="44">
        <v>50179</v>
      </c>
      <c r="AM498" s="44">
        <v>0.36499999999999999</v>
      </c>
      <c r="AN498" s="44">
        <v>0.46634195615457374</v>
      </c>
      <c r="AO498" s="44">
        <v>0.16900000000000001</v>
      </c>
      <c r="AP498" s="44">
        <v>0.63534195615457378</v>
      </c>
      <c r="AQ498" s="44">
        <v>0.79079999999999995</v>
      </c>
      <c r="AR498" s="44">
        <v>37.869999999999997</v>
      </c>
    </row>
    <row r="499" spans="1:44">
      <c r="A499" t="s">
        <v>682</v>
      </c>
      <c r="B499" t="s">
        <v>683</v>
      </c>
      <c r="D499" t="s">
        <v>1639</v>
      </c>
      <c r="E499" s="44">
        <v>2855515</v>
      </c>
      <c r="F499" s="44">
        <v>32545423</v>
      </c>
      <c r="G499" s="44">
        <v>7567905</v>
      </c>
      <c r="H499" s="126">
        <v>40113328</v>
      </c>
      <c r="I499" s="127">
        <v>34881375</v>
      </c>
      <c r="J499" s="128">
        <v>3056224</v>
      </c>
      <c r="K499" s="130">
        <v>78050927</v>
      </c>
      <c r="L499" s="44">
        <v>457955</v>
      </c>
      <c r="M499" s="44">
        <v>1334456</v>
      </c>
      <c r="N499" s="44">
        <v>27946731</v>
      </c>
      <c r="O499" s="44">
        <v>1421922</v>
      </c>
      <c r="P499" s="44">
        <v>1756602</v>
      </c>
      <c r="Q499" s="44">
        <v>2339662</v>
      </c>
      <c r="R499" s="44">
        <v>139711</v>
      </c>
      <c r="S499" s="44">
        <v>5705</v>
      </c>
      <c r="T499" s="44">
        <v>4576578</v>
      </c>
      <c r="U499" s="44">
        <v>3064760</v>
      </c>
      <c r="V499" s="44">
        <v>151417</v>
      </c>
      <c r="W499" s="44">
        <v>4931408</v>
      </c>
      <c r="X499" s="44">
        <v>2611241</v>
      </c>
      <c r="Y499" s="44">
        <v>10952634</v>
      </c>
      <c r="Z499" s="44">
        <v>4988415</v>
      </c>
      <c r="AA499" s="44">
        <v>3171294</v>
      </c>
      <c r="AB499" s="44">
        <v>59553</v>
      </c>
      <c r="AC499" s="44">
        <v>69910044</v>
      </c>
      <c r="AD499" s="44">
        <v>4378694</v>
      </c>
      <c r="AE499" s="44">
        <v>2588364</v>
      </c>
      <c r="AF499" s="44">
        <v>1368791</v>
      </c>
      <c r="AG499" s="44">
        <v>78245893</v>
      </c>
      <c r="AH499" s="44">
        <v>5685</v>
      </c>
      <c r="AI499" s="44">
        <v>13729</v>
      </c>
      <c r="AJ499" s="44">
        <v>13764</v>
      </c>
      <c r="AK499" s="44">
        <v>207903</v>
      </c>
      <c r="AL499" s="44">
        <v>89717</v>
      </c>
      <c r="AM499" s="44">
        <v>0.63900000000000001</v>
      </c>
      <c r="AN499" s="44">
        <v>0.52720557486640229</v>
      </c>
      <c r="AO499" s="44">
        <v>0.20799999999999999</v>
      </c>
      <c r="AP499" s="44">
        <v>0.73520557486640226</v>
      </c>
      <c r="AQ499" s="44">
        <v>0.82199999999999995</v>
      </c>
      <c r="AR499" s="44">
        <v>22.98</v>
      </c>
    </row>
    <row r="500" spans="1:44">
      <c r="A500" t="s">
        <v>684</v>
      </c>
      <c r="B500" t="s">
        <v>685</v>
      </c>
      <c r="D500" t="s">
        <v>1639</v>
      </c>
      <c r="E500" s="44">
        <v>374032</v>
      </c>
      <c r="F500" s="44">
        <v>14455503</v>
      </c>
      <c r="G500" s="44">
        <v>1085633</v>
      </c>
      <c r="H500" s="126">
        <v>15541136</v>
      </c>
      <c r="I500" s="127">
        <v>3104930</v>
      </c>
      <c r="J500" s="128">
        <v>731083</v>
      </c>
      <c r="K500" s="130">
        <v>19377149</v>
      </c>
      <c r="L500" s="44">
        <v>73104</v>
      </c>
      <c r="M500" s="44">
        <v>417487</v>
      </c>
      <c r="N500" s="44">
        <v>5742544</v>
      </c>
      <c r="O500" s="44">
        <v>182117</v>
      </c>
      <c r="P500" s="44">
        <v>237103</v>
      </c>
      <c r="Q500" s="44">
        <v>2251667</v>
      </c>
      <c r="R500" s="44">
        <v>15073</v>
      </c>
      <c r="S500" s="44">
        <v>0</v>
      </c>
      <c r="T500" s="44">
        <v>1064638</v>
      </c>
      <c r="U500" s="44">
        <v>493081</v>
      </c>
      <c r="V500" s="44">
        <v>9732</v>
      </c>
      <c r="W500" s="44">
        <v>1194324</v>
      </c>
      <c r="X500" s="44">
        <v>595643</v>
      </c>
      <c r="Y500" s="44">
        <v>2038926</v>
      </c>
      <c r="Z500" s="44">
        <v>1293666</v>
      </c>
      <c r="AA500" s="44">
        <v>415261</v>
      </c>
      <c r="AB500" s="44">
        <v>15000</v>
      </c>
      <c r="AC500" s="44">
        <v>16039366</v>
      </c>
      <c r="AD500" s="44">
        <v>829686</v>
      </c>
      <c r="AE500" s="44">
        <v>1585000</v>
      </c>
      <c r="AF500" s="44">
        <v>663734</v>
      </c>
      <c r="AG500" s="44">
        <v>19117786</v>
      </c>
      <c r="AH500" s="44">
        <v>1146</v>
      </c>
      <c r="AI500" s="44">
        <v>16909</v>
      </c>
      <c r="AJ500" s="44">
        <v>16682</v>
      </c>
      <c r="AK500" s="44">
        <v>135782</v>
      </c>
      <c r="AL500" s="44">
        <v>50777</v>
      </c>
      <c r="AM500" s="44">
        <v>0.38500000000000001</v>
      </c>
      <c r="AN500" s="44">
        <v>0.52235248370287224</v>
      </c>
      <c r="AO500" s="44">
        <v>0.17</v>
      </c>
      <c r="AP500" s="44">
        <v>0.69235248370287228</v>
      </c>
      <c r="AQ500" s="44">
        <v>0.82469999999999999</v>
      </c>
      <c r="AR500" s="44">
        <v>13.52</v>
      </c>
    </row>
    <row r="501" spans="1:44">
      <c r="A501" t="s">
        <v>686</v>
      </c>
      <c r="B501" t="s">
        <v>687</v>
      </c>
      <c r="D501" t="s">
        <v>1639</v>
      </c>
      <c r="E501" s="44">
        <v>727027</v>
      </c>
      <c r="F501" s="44">
        <v>18399909</v>
      </c>
      <c r="G501" s="44">
        <v>1680989</v>
      </c>
      <c r="H501" s="126">
        <v>20080898</v>
      </c>
      <c r="I501" s="127">
        <v>6076889</v>
      </c>
      <c r="J501" s="128">
        <v>2183191</v>
      </c>
      <c r="K501" s="130">
        <v>28340978</v>
      </c>
      <c r="L501" s="44">
        <v>103295</v>
      </c>
      <c r="M501" s="44">
        <v>532292</v>
      </c>
      <c r="N501" s="44">
        <v>8749592</v>
      </c>
      <c r="O501" s="44">
        <v>435824</v>
      </c>
      <c r="P501" s="44">
        <v>410601</v>
      </c>
      <c r="Q501" s="44">
        <v>3216310</v>
      </c>
      <c r="R501" s="44">
        <v>116053</v>
      </c>
      <c r="S501" s="44">
        <v>0</v>
      </c>
      <c r="T501" s="44">
        <v>1725826</v>
      </c>
      <c r="U501" s="44">
        <v>1202986</v>
      </c>
      <c r="V501" s="44">
        <v>0</v>
      </c>
      <c r="W501" s="44">
        <v>1813140</v>
      </c>
      <c r="X501" s="44">
        <v>789662</v>
      </c>
      <c r="Y501" s="44">
        <v>3538830</v>
      </c>
      <c r="Z501" s="44">
        <v>1727645</v>
      </c>
      <c r="AA501" s="44">
        <v>864029</v>
      </c>
      <c r="AB501" s="44">
        <v>99500</v>
      </c>
      <c r="AC501" s="44">
        <v>25325585</v>
      </c>
      <c r="AD501" s="44">
        <v>554464</v>
      </c>
      <c r="AE501" s="44">
        <v>1195000</v>
      </c>
      <c r="AF501" s="44">
        <v>888455</v>
      </c>
      <c r="AG501" s="44">
        <v>27963504</v>
      </c>
      <c r="AH501" s="44">
        <v>1964</v>
      </c>
      <c r="AI501" s="44">
        <v>14430</v>
      </c>
      <c r="AJ501" s="44">
        <v>14238</v>
      </c>
      <c r="AK501" s="44">
        <v>95966</v>
      </c>
      <c r="AL501" s="44">
        <v>55986</v>
      </c>
      <c r="AM501" s="44">
        <v>0.35399999999999998</v>
      </c>
      <c r="AN501" s="44">
        <v>0.56706741758829649</v>
      </c>
      <c r="AO501" s="44">
        <v>0.187</v>
      </c>
      <c r="AP501" s="44">
        <v>0.75406741758829643</v>
      </c>
      <c r="AQ501" s="44">
        <v>0.8347</v>
      </c>
      <c r="AR501" s="44">
        <v>21.93</v>
      </c>
    </row>
    <row r="502" spans="1:44">
      <c r="A502" t="s">
        <v>688</v>
      </c>
      <c r="B502" t="s">
        <v>689</v>
      </c>
      <c r="D502" t="s">
        <v>1639</v>
      </c>
      <c r="E502" s="44">
        <v>450316</v>
      </c>
      <c r="F502" s="44">
        <v>4362089</v>
      </c>
      <c r="G502" s="44">
        <v>815097</v>
      </c>
      <c r="H502" s="126">
        <v>5177186</v>
      </c>
      <c r="I502" s="127">
        <v>2533097</v>
      </c>
      <c r="J502" s="128">
        <v>429670</v>
      </c>
      <c r="K502" s="130">
        <v>8139953</v>
      </c>
      <c r="L502" s="44">
        <v>88700</v>
      </c>
      <c r="M502" s="44">
        <v>238797</v>
      </c>
      <c r="N502" s="44">
        <v>2496536</v>
      </c>
      <c r="O502" s="44">
        <v>113346</v>
      </c>
      <c r="P502" s="44">
        <v>68431</v>
      </c>
      <c r="Q502" s="44">
        <v>936234</v>
      </c>
      <c r="R502" s="44">
        <v>11627</v>
      </c>
      <c r="S502" s="44">
        <v>0</v>
      </c>
      <c r="T502" s="44">
        <v>484662</v>
      </c>
      <c r="U502" s="44">
        <v>354653</v>
      </c>
      <c r="V502" s="44">
        <v>1900</v>
      </c>
      <c r="W502" s="44">
        <v>535492</v>
      </c>
      <c r="X502" s="44">
        <v>250286</v>
      </c>
      <c r="Y502" s="44">
        <v>721912</v>
      </c>
      <c r="Z502" s="44">
        <v>403060</v>
      </c>
      <c r="AA502" s="44">
        <v>147330</v>
      </c>
      <c r="AB502" s="44">
        <v>23500</v>
      </c>
      <c r="AC502" s="44">
        <v>6876466</v>
      </c>
      <c r="AD502" s="44">
        <v>353758</v>
      </c>
      <c r="AE502" s="44">
        <v>315000</v>
      </c>
      <c r="AF502" s="44">
        <v>156871</v>
      </c>
      <c r="AG502" s="44">
        <v>7702095</v>
      </c>
      <c r="AH502" s="44">
        <v>628</v>
      </c>
      <c r="AI502" s="44">
        <v>12962</v>
      </c>
      <c r="AJ502" s="44">
        <v>12264</v>
      </c>
      <c r="AK502" s="44">
        <v>160915</v>
      </c>
      <c r="AL502" s="44">
        <v>60974</v>
      </c>
      <c r="AM502" s="44">
        <v>0.46</v>
      </c>
      <c r="AN502" s="44">
        <v>0.57977589214363101</v>
      </c>
      <c r="AO502" s="44">
        <v>0.15</v>
      </c>
      <c r="AP502" s="44">
        <v>0.72977589214363103</v>
      </c>
      <c r="AQ502" s="44">
        <v>0.81740000000000002</v>
      </c>
      <c r="AR502" s="44">
        <v>21.57</v>
      </c>
    </row>
    <row r="503" spans="1:44">
      <c r="A503" t="s">
        <v>690</v>
      </c>
      <c r="B503" t="s">
        <v>691</v>
      </c>
      <c r="D503" t="s">
        <v>1639</v>
      </c>
      <c r="E503" s="44">
        <v>414157</v>
      </c>
      <c r="F503" s="44">
        <v>5079570</v>
      </c>
      <c r="G503" s="44">
        <v>484239</v>
      </c>
      <c r="H503" s="126">
        <v>5563809</v>
      </c>
      <c r="I503" s="127">
        <v>1911718</v>
      </c>
      <c r="J503" s="128">
        <v>351795</v>
      </c>
      <c r="K503" s="130">
        <v>7827322</v>
      </c>
      <c r="L503" s="44">
        <v>47036</v>
      </c>
      <c r="M503" s="44">
        <v>231273</v>
      </c>
      <c r="N503" s="44">
        <v>2129085</v>
      </c>
      <c r="O503" s="44">
        <v>52339</v>
      </c>
      <c r="P503" s="44">
        <v>72570</v>
      </c>
      <c r="Q503" s="44">
        <v>721476</v>
      </c>
      <c r="R503" s="44">
        <v>2436</v>
      </c>
      <c r="S503" s="44">
        <v>0</v>
      </c>
      <c r="T503" s="44">
        <v>431167</v>
      </c>
      <c r="U503" s="44">
        <v>335524</v>
      </c>
      <c r="V503" s="44">
        <v>0</v>
      </c>
      <c r="W503" s="44">
        <v>493836</v>
      </c>
      <c r="X503" s="44">
        <v>201854</v>
      </c>
      <c r="Y503" s="44">
        <v>900142</v>
      </c>
      <c r="Z503" s="44">
        <v>319988</v>
      </c>
      <c r="AA503" s="44">
        <v>152786</v>
      </c>
      <c r="AB503" s="44">
        <v>0</v>
      </c>
      <c r="AC503" s="44">
        <v>6091512</v>
      </c>
      <c r="AD503" s="44">
        <v>605171</v>
      </c>
      <c r="AE503" s="44">
        <v>410000</v>
      </c>
      <c r="AF503" s="44">
        <v>323019</v>
      </c>
      <c r="AG503" s="44">
        <v>7429702</v>
      </c>
      <c r="AH503" s="44">
        <v>504</v>
      </c>
      <c r="AI503" s="44">
        <v>15530</v>
      </c>
      <c r="AJ503" s="44">
        <v>14741</v>
      </c>
      <c r="AK503" s="44">
        <v>198227</v>
      </c>
      <c r="AL503" s="44">
        <v>52150</v>
      </c>
      <c r="AM503" s="44">
        <v>0.47299999999999998</v>
      </c>
      <c r="AN503" s="44">
        <v>0.50400365990452911</v>
      </c>
      <c r="AO503" s="44">
        <v>0.17599999999999999</v>
      </c>
      <c r="AP503" s="44">
        <v>0.68000365990452916</v>
      </c>
      <c r="AQ503" s="44">
        <v>0.82969999999999999</v>
      </c>
      <c r="AR503" s="44">
        <v>14.57</v>
      </c>
    </row>
    <row r="504" spans="1:44">
      <c r="A504" t="s">
        <v>692</v>
      </c>
      <c r="B504" t="s">
        <v>693</v>
      </c>
      <c r="D504" t="s">
        <v>1639</v>
      </c>
      <c r="E504" s="44">
        <v>450121</v>
      </c>
      <c r="F504" s="44">
        <v>6589055</v>
      </c>
      <c r="G504" s="44">
        <v>445155</v>
      </c>
      <c r="H504" s="126">
        <v>7034210</v>
      </c>
      <c r="I504" s="127">
        <v>1672834</v>
      </c>
      <c r="J504" s="128">
        <v>622032</v>
      </c>
      <c r="K504" s="130">
        <v>9329076</v>
      </c>
      <c r="L504" s="44">
        <v>44017</v>
      </c>
      <c r="M504" s="44">
        <v>217610</v>
      </c>
      <c r="N504" s="44">
        <v>2784074</v>
      </c>
      <c r="O504" s="44">
        <v>127035</v>
      </c>
      <c r="P504" s="44">
        <v>180136</v>
      </c>
      <c r="Q504" s="44">
        <v>872114</v>
      </c>
      <c r="R504" s="44">
        <v>0</v>
      </c>
      <c r="S504" s="44">
        <v>0</v>
      </c>
      <c r="T504" s="44">
        <v>403088</v>
      </c>
      <c r="U504" s="44">
        <v>326541</v>
      </c>
      <c r="V504" s="44">
        <v>0</v>
      </c>
      <c r="W504" s="44">
        <v>629428</v>
      </c>
      <c r="X504" s="44">
        <v>277679</v>
      </c>
      <c r="Y504" s="44">
        <v>1151686</v>
      </c>
      <c r="Z504" s="44">
        <v>610140</v>
      </c>
      <c r="AA504" s="44">
        <v>185454</v>
      </c>
      <c r="AB504" s="44">
        <v>111557</v>
      </c>
      <c r="AC504" s="44">
        <v>7920559</v>
      </c>
      <c r="AD504" s="44">
        <v>498213</v>
      </c>
      <c r="AE504" s="44">
        <v>487187</v>
      </c>
      <c r="AF504" s="44">
        <v>233075</v>
      </c>
      <c r="AG504" s="44">
        <v>9139034</v>
      </c>
      <c r="AH504" s="44">
        <v>675</v>
      </c>
      <c r="AI504" s="44">
        <v>13821</v>
      </c>
      <c r="AJ504" s="44">
        <v>13539</v>
      </c>
      <c r="AK504" s="44">
        <v>146667</v>
      </c>
      <c r="AL504" s="44">
        <v>39637</v>
      </c>
      <c r="AM504" s="44">
        <v>0.35299999999999998</v>
      </c>
      <c r="AN504" s="44">
        <v>0.51351029003721838</v>
      </c>
      <c r="AO504" s="44">
        <v>0.18099999999999999</v>
      </c>
      <c r="AP504" s="44">
        <v>0.69451029003721843</v>
      </c>
      <c r="AQ504" s="44">
        <v>0.81259999999999999</v>
      </c>
      <c r="AR504" s="44">
        <v>14.07</v>
      </c>
    </row>
    <row r="505" spans="1:44">
      <c r="A505" t="s">
        <v>694</v>
      </c>
      <c r="B505" t="s">
        <v>695</v>
      </c>
      <c r="D505" t="s">
        <v>1639</v>
      </c>
      <c r="E505" s="44">
        <v>546391</v>
      </c>
      <c r="F505" s="44">
        <v>3612006</v>
      </c>
      <c r="G505" s="44">
        <v>803879</v>
      </c>
      <c r="H505" s="126">
        <v>4415885</v>
      </c>
      <c r="I505" s="127">
        <v>6911361</v>
      </c>
      <c r="J505" s="128">
        <v>536801</v>
      </c>
      <c r="K505" s="130">
        <v>11864047</v>
      </c>
      <c r="L505" s="44">
        <v>53692</v>
      </c>
      <c r="M505" s="44">
        <v>310060</v>
      </c>
      <c r="N505" s="44">
        <v>3713091</v>
      </c>
      <c r="O505" s="44">
        <v>134565</v>
      </c>
      <c r="P505" s="44">
        <v>164251</v>
      </c>
      <c r="Q505" s="44">
        <v>903513</v>
      </c>
      <c r="R505" s="44">
        <v>0</v>
      </c>
      <c r="S505" s="44">
        <v>50816</v>
      </c>
      <c r="T505" s="44">
        <v>590552</v>
      </c>
      <c r="U505" s="44">
        <v>403755</v>
      </c>
      <c r="V505" s="44">
        <v>22318</v>
      </c>
      <c r="W505" s="44">
        <v>804988</v>
      </c>
      <c r="X505" s="44">
        <v>468994</v>
      </c>
      <c r="Y505" s="44">
        <v>1827083</v>
      </c>
      <c r="Z505" s="44">
        <v>657327</v>
      </c>
      <c r="AA505" s="44">
        <v>213749</v>
      </c>
      <c r="AB505" s="44">
        <v>578414</v>
      </c>
      <c r="AC505" s="44">
        <v>10897168</v>
      </c>
      <c r="AD505" s="44">
        <v>516698</v>
      </c>
      <c r="AE505" s="44">
        <v>291671</v>
      </c>
      <c r="AF505" s="44">
        <v>153512</v>
      </c>
      <c r="AG505" s="44">
        <v>11859049</v>
      </c>
      <c r="AH505" s="44">
        <v>620</v>
      </c>
      <c r="AI505" s="44">
        <v>19136</v>
      </c>
      <c r="AJ505" s="44">
        <v>19127</v>
      </c>
      <c r="AK505" s="44">
        <v>531562</v>
      </c>
      <c r="AL505" s="44">
        <v>84179</v>
      </c>
      <c r="AM505" s="44">
        <v>1.04</v>
      </c>
      <c r="AN505" s="44">
        <v>0.50261559759134145</v>
      </c>
      <c r="AO505" s="44">
        <v>0.20100000000000001</v>
      </c>
      <c r="AP505" s="44">
        <v>0.7036155975913414</v>
      </c>
      <c r="AQ505" s="44">
        <v>0.80449999999999999</v>
      </c>
      <c r="AR505" s="44">
        <v>14.22</v>
      </c>
    </row>
    <row r="506" spans="1:44">
      <c r="A506" t="s">
        <v>696</v>
      </c>
      <c r="B506" t="s">
        <v>697</v>
      </c>
      <c r="D506" t="s">
        <v>1639</v>
      </c>
      <c r="E506" s="44">
        <v>1090621</v>
      </c>
      <c r="F506" s="44">
        <v>17474071</v>
      </c>
      <c r="G506" s="44">
        <v>1594783</v>
      </c>
      <c r="H506" s="126">
        <v>19068854</v>
      </c>
      <c r="I506" s="127">
        <v>5378987</v>
      </c>
      <c r="J506" s="128">
        <v>1071627</v>
      </c>
      <c r="K506" s="130">
        <v>25519468</v>
      </c>
      <c r="L506" s="44">
        <v>62507</v>
      </c>
      <c r="M506" s="44">
        <v>468943</v>
      </c>
      <c r="N506" s="44">
        <v>8529303</v>
      </c>
      <c r="O506" s="44">
        <v>655835</v>
      </c>
      <c r="P506" s="44">
        <v>459347</v>
      </c>
      <c r="Q506" s="44">
        <v>1891063</v>
      </c>
      <c r="R506" s="44">
        <v>91273</v>
      </c>
      <c r="S506" s="44">
        <v>26223</v>
      </c>
      <c r="T506" s="44">
        <v>1404211</v>
      </c>
      <c r="U506" s="44">
        <v>999056</v>
      </c>
      <c r="V506" s="44">
        <v>9247</v>
      </c>
      <c r="W506" s="44">
        <v>1694981</v>
      </c>
      <c r="X506" s="44">
        <v>847887</v>
      </c>
      <c r="Y506" s="44">
        <v>2275525</v>
      </c>
      <c r="Z506" s="44">
        <v>1405186</v>
      </c>
      <c r="AA506" s="44">
        <v>626754</v>
      </c>
      <c r="AB506" s="44">
        <v>256095</v>
      </c>
      <c r="AC506" s="44">
        <v>21703436</v>
      </c>
      <c r="AD506" s="44">
        <v>1234385</v>
      </c>
      <c r="AE506" s="44">
        <v>1460000</v>
      </c>
      <c r="AF506" s="44">
        <v>801456</v>
      </c>
      <c r="AG506" s="44">
        <v>25199277</v>
      </c>
      <c r="AH506" s="44">
        <v>1755</v>
      </c>
      <c r="AI506" s="44">
        <v>14541</v>
      </c>
      <c r="AJ506" s="44">
        <v>14359</v>
      </c>
      <c r="AK506" s="44">
        <v>132227</v>
      </c>
      <c r="AL506" s="44">
        <v>54448</v>
      </c>
      <c r="AM506" s="44">
        <v>0.39500000000000002</v>
      </c>
      <c r="AN506" s="44">
        <v>0.55780612277090336</v>
      </c>
      <c r="AO506" s="44">
        <v>0.153</v>
      </c>
      <c r="AP506" s="44">
        <v>0.71080612277090338</v>
      </c>
      <c r="AQ506" s="44">
        <v>0.83489999999999998</v>
      </c>
      <c r="AR506" s="44">
        <v>15.61</v>
      </c>
    </row>
    <row r="507" spans="1:44">
      <c r="A507" t="s">
        <v>698</v>
      </c>
      <c r="B507" t="s">
        <v>699</v>
      </c>
      <c r="D507" t="s">
        <v>1639</v>
      </c>
      <c r="E507" s="44">
        <v>1271566</v>
      </c>
      <c r="F507" s="44">
        <v>7397012</v>
      </c>
      <c r="G507" s="44">
        <v>4050964</v>
      </c>
      <c r="H507" s="126">
        <v>11447976</v>
      </c>
      <c r="I507" s="127">
        <v>27037456</v>
      </c>
      <c r="J507" s="128">
        <v>540931</v>
      </c>
      <c r="K507" s="130">
        <v>39026363</v>
      </c>
      <c r="L507" s="44">
        <v>312381</v>
      </c>
      <c r="M507" s="44">
        <v>750597</v>
      </c>
      <c r="N507" s="44">
        <v>14360509</v>
      </c>
      <c r="O507" s="44">
        <v>1048232</v>
      </c>
      <c r="P507" s="44">
        <v>876427</v>
      </c>
      <c r="Q507" s="44">
        <v>2278812</v>
      </c>
      <c r="R507" s="44">
        <v>22967</v>
      </c>
      <c r="S507" s="44">
        <v>454770</v>
      </c>
      <c r="T507" s="44">
        <v>2576308</v>
      </c>
      <c r="U507" s="44">
        <v>1277413</v>
      </c>
      <c r="V507" s="44">
        <v>0</v>
      </c>
      <c r="W507" s="44">
        <v>2564042</v>
      </c>
      <c r="X507" s="44">
        <v>1443748</v>
      </c>
      <c r="Y507" s="44">
        <v>3411350</v>
      </c>
      <c r="Z507" s="44">
        <v>1909693</v>
      </c>
      <c r="AA507" s="44">
        <v>458902</v>
      </c>
      <c r="AB507" s="44">
        <v>0</v>
      </c>
      <c r="AC507" s="44">
        <v>33746151</v>
      </c>
      <c r="AD507" s="44">
        <v>1781186</v>
      </c>
      <c r="AE507" s="44">
        <v>1728532</v>
      </c>
      <c r="AF507" s="44">
        <v>1306098</v>
      </c>
      <c r="AG507" s="44">
        <v>38561967</v>
      </c>
      <c r="AH507" s="44">
        <v>1869</v>
      </c>
      <c r="AI507" s="44">
        <v>20881</v>
      </c>
      <c r="AJ507" s="44">
        <v>20632</v>
      </c>
      <c r="AK507" s="44">
        <v>531968</v>
      </c>
      <c r="AL507" s="44">
        <v>165519</v>
      </c>
      <c r="AM507" s="44">
        <v>1.3740000000000001</v>
      </c>
      <c r="AN507" s="44">
        <v>0.59373107186155727</v>
      </c>
      <c r="AO507" s="44">
        <v>0.158</v>
      </c>
      <c r="AP507" s="44">
        <v>0.7517310718615573</v>
      </c>
      <c r="AQ507" s="44">
        <v>0.85940000000000005</v>
      </c>
      <c r="AR507" s="44">
        <v>17.18</v>
      </c>
    </row>
    <row r="508" spans="1:44">
      <c r="A508" t="s">
        <v>700</v>
      </c>
      <c r="B508" t="s">
        <v>701</v>
      </c>
      <c r="D508" t="s">
        <v>1639</v>
      </c>
      <c r="E508" s="44">
        <v>4464018</v>
      </c>
      <c r="F508" s="44">
        <v>27312439</v>
      </c>
      <c r="G508" s="44">
        <v>7985588</v>
      </c>
      <c r="H508" s="126">
        <v>35298027</v>
      </c>
      <c r="I508" s="127">
        <v>46303249</v>
      </c>
      <c r="J508" s="128">
        <v>1774920</v>
      </c>
      <c r="K508" s="130">
        <v>83376196</v>
      </c>
      <c r="L508" s="44">
        <v>199117</v>
      </c>
      <c r="M508" s="44">
        <v>1387453</v>
      </c>
      <c r="N508" s="44">
        <v>30919777</v>
      </c>
      <c r="O508" s="44">
        <v>1536686</v>
      </c>
      <c r="P508" s="44">
        <v>1311988</v>
      </c>
      <c r="Q508" s="44">
        <v>5385300</v>
      </c>
      <c r="R508" s="44">
        <v>1194589</v>
      </c>
      <c r="S508" s="44">
        <v>0</v>
      </c>
      <c r="T508" s="44">
        <v>5033514</v>
      </c>
      <c r="U508" s="44">
        <v>2977954</v>
      </c>
      <c r="V508" s="44">
        <v>34433</v>
      </c>
      <c r="W508" s="44">
        <v>5276596</v>
      </c>
      <c r="X508" s="44">
        <v>2568036</v>
      </c>
      <c r="Y508" s="44">
        <v>9917517</v>
      </c>
      <c r="Z508" s="44">
        <v>4834118</v>
      </c>
      <c r="AA508" s="44">
        <v>1371608</v>
      </c>
      <c r="AB508" s="44">
        <v>0</v>
      </c>
      <c r="AC508" s="44">
        <v>73948686</v>
      </c>
      <c r="AD508" s="44">
        <v>3319290</v>
      </c>
      <c r="AE508" s="44">
        <v>2376409</v>
      </c>
      <c r="AF508" s="44">
        <v>1825003</v>
      </c>
      <c r="AG508" s="44">
        <v>81469388</v>
      </c>
      <c r="AH508" s="44">
        <v>4773</v>
      </c>
      <c r="AI508" s="44">
        <v>17468</v>
      </c>
      <c r="AJ508" s="44">
        <v>17069</v>
      </c>
      <c r="AK508" s="44">
        <v>380707</v>
      </c>
      <c r="AL508" s="44">
        <v>102476</v>
      </c>
      <c r="AM508" s="44">
        <v>0.91799999999999993</v>
      </c>
      <c r="AN508" s="44">
        <v>0.59359483589099749</v>
      </c>
      <c r="AO508" s="44">
        <v>0.17799999999999999</v>
      </c>
      <c r="AP508" s="44">
        <v>0.77159483589099742</v>
      </c>
      <c r="AQ508" s="44">
        <v>0.84770000000000001</v>
      </c>
      <c r="AR508" s="44">
        <v>16.03</v>
      </c>
    </row>
    <row r="509" spans="1:44">
      <c r="A509" t="s">
        <v>702</v>
      </c>
      <c r="B509" t="s">
        <v>703</v>
      </c>
      <c r="D509" t="s">
        <v>1639</v>
      </c>
      <c r="E509" s="44">
        <v>8032197</v>
      </c>
      <c r="F509" s="44">
        <v>41355493</v>
      </c>
      <c r="G509" s="44">
        <v>9758140</v>
      </c>
      <c r="H509" s="126">
        <v>51113633</v>
      </c>
      <c r="I509" s="127">
        <v>42726171</v>
      </c>
      <c r="J509" s="128">
        <v>1873940</v>
      </c>
      <c r="K509" s="130">
        <v>95713744</v>
      </c>
      <c r="L509" s="44">
        <v>481656</v>
      </c>
      <c r="M509" s="44">
        <v>1145940</v>
      </c>
      <c r="N509" s="44">
        <v>30894989</v>
      </c>
      <c r="O509" s="44">
        <v>978178</v>
      </c>
      <c r="P509" s="44">
        <v>1497404</v>
      </c>
      <c r="Q509" s="44">
        <v>11680339</v>
      </c>
      <c r="R509" s="44">
        <v>926948</v>
      </c>
      <c r="S509" s="44">
        <v>196918</v>
      </c>
      <c r="T509" s="44">
        <v>4850052</v>
      </c>
      <c r="U509" s="44">
        <v>3674492</v>
      </c>
      <c r="V509" s="44">
        <v>0</v>
      </c>
      <c r="W509" s="44">
        <v>6806726</v>
      </c>
      <c r="X509" s="44">
        <v>2912024</v>
      </c>
      <c r="Y509" s="44">
        <v>10184755</v>
      </c>
      <c r="Z509" s="44">
        <v>7227386</v>
      </c>
      <c r="AA509" s="44">
        <v>1224183</v>
      </c>
      <c r="AB509" s="44">
        <v>360830</v>
      </c>
      <c r="AC509" s="44">
        <v>85042820</v>
      </c>
      <c r="AD509" s="44">
        <v>4999612</v>
      </c>
      <c r="AE509" s="44">
        <v>3098822</v>
      </c>
      <c r="AF509" s="44">
        <v>3020462</v>
      </c>
      <c r="AG509" s="44">
        <v>96161716</v>
      </c>
      <c r="AH509" s="44">
        <v>5086</v>
      </c>
      <c r="AI509" s="44">
        <v>18819</v>
      </c>
      <c r="AJ509" s="44">
        <v>18907</v>
      </c>
      <c r="AK509" s="44">
        <v>330289</v>
      </c>
      <c r="AL509" s="44">
        <v>93772</v>
      </c>
      <c r="AM509" s="44">
        <v>0.81600000000000006</v>
      </c>
      <c r="AN509" s="44">
        <v>0.56882637160925875</v>
      </c>
      <c r="AO509" s="44">
        <v>0.17100000000000001</v>
      </c>
      <c r="AP509" s="44">
        <v>0.73982637160925879</v>
      </c>
      <c r="AQ509" s="44">
        <v>0.83819999999999995</v>
      </c>
      <c r="AR509" s="44">
        <v>14.94</v>
      </c>
    </row>
    <row r="510" spans="1:44">
      <c r="A510" t="s">
        <v>704</v>
      </c>
      <c r="B510" t="s">
        <v>705</v>
      </c>
      <c r="D510" t="s">
        <v>1639</v>
      </c>
      <c r="E510" s="44">
        <v>5036287</v>
      </c>
      <c r="F510" s="44">
        <v>43583235</v>
      </c>
      <c r="G510" s="44">
        <v>13183571</v>
      </c>
      <c r="H510" s="126">
        <v>56766806</v>
      </c>
      <c r="I510" s="127">
        <v>61092207</v>
      </c>
      <c r="J510" s="128">
        <v>2177247</v>
      </c>
      <c r="K510" s="130">
        <v>120036260</v>
      </c>
      <c r="L510" s="44">
        <v>647552</v>
      </c>
      <c r="M510" s="44">
        <v>1305825</v>
      </c>
      <c r="N510" s="44">
        <v>42559853</v>
      </c>
      <c r="O510" s="44">
        <v>2336557</v>
      </c>
      <c r="P510" s="44">
        <v>3580041</v>
      </c>
      <c r="Q510" s="44">
        <v>5613549</v>
      </c>
      <c r="R510" s="44">
        <v>1910720</v>
      </c>
      <c r="S510" s="44">
        <v>0</v>
      </c>
      <c r="T510" s="44">
        <v>7606463</v>
      </c>
      <c r="U510" s="44">
        <v>4139560</v>
      </c>
      <c r="V510" s="44">
        <v>52922</v>
      </c>
      <c r="W510" s="44">
        <v>9237897</v>
      </c>
      <c r="X510" s="44">
        <v>4209062</v>
      </c>
      <c r="Y510" s="44">
        <v>14034436</v>
      </c>
      <c r="Z510" s="44">
        <v>7323056</v>
      </c>
      <c r="AA510" s="44">
        <v>1906329</v>
      </c>
      <c r="AB510" s="44">
        <v>0</v>
      </c>
      <c r="AC510" s="44">
        <v>106463822</v>
      </c>
      <c r="AD510" s="44">
        <v>7062098</v>
      </c>
      <c r="AE510" s="44">
        <v>2348649</v>
      </c>
      <c r="AF510" s="44">
        <v>2911271</v>
      </c>
      <c r="AG510" s="44">
        <v>118785840</v>
      </c>
      <c r="AH510" s="44">
        <v>7196</v>
      </c>
      <c r="AI510" s="44">
        <v>16681</v>
      </c>
      <c r="AJ510" s="44">
        <v>16507</v>
      </c>
      <c r="AK510" s="44">
        <v>351799</v>
      </c>
      <c r="AL510" s="44">
        <v>99879</v>
      </c>
      <c r="AM510" s="44">
        <v>0.87</v>
      </c>
      <c r="AN510" s="44">
        <v>0.5703267578021084</v>
      </c>
      <c r="AO510" s="44">
        <v>0.192</v>
      </c>
      <c r="AP510" s="44">
        <v>0.76232675780210846</v>
      </c>
      <c r="AQ510" s="44">
        <v>0.84799999999999998</v>
      </c>
      <c r="AR510" s="44">
        <v>16.07</v>
      </c>
    </row>
    <row r="511" spans="1:44">
      <c r="A511" t="s">
        <v>1978</v>
      </c>
      <c r="B511" t="s">
        <v>706</v>
      </c>
      <c r="D511" t="s">
        <v>1639</v>
      </c>
      <c r="E511" s="44">
        <v>5187854</v>
      </c>
      <c r="F511" s="44">
        <v>35317969</v>
      </c>
      <c r="G511" s="44">
        <v>7972384</v>
      </c>
      <c r="H511" s="126">
        <v>43290353</v>
      </c>
      <c r="I511" s="127">
        <v>42831397</v>
      </c>
      <c r="J511" s="128">
        <v>3124613</v>
      </c>
      <c r="K511" s="130">
        <v>89246363</v>
      </c>
      <c r="L511" s="44">
        <v>226974</v>
      </c>
      <c r="M511" s="44">
        <v>1448593</v>
      </c>
      <c r="N511" s="44">
        <v>28865167</v>
      </c>
      <c r="O511" s="44">
        <v>1703254</v>
      </c>
      <c r="P511" s="44">
        <v>1786531</v>
      </c>
      <c r="Q511" s="44">
        <v>14761738</v>
      </c>
      <c r="R511" s="44">
        <v>427723</v>
      </c>
      <c r="S511" s="44">
        <v>1057628</v>
      </c>
      <c r="T511" s="44">
        <v>4459001</v>
      </c>
      <c r="U511" s="44">
        <v>4117478</v>
      </c>
      <c r="V511" s="44">
        <v>0</v>
      </c>
      <c r="W511" s="44">
        <v>4855218</v>
      </c>
      <c r="X511" s="44">
        <v>2906034</v>
      </c>
      <c r="Y511" s="44">
        <v>6291268</v>
      </c>
      <c r="Z511" s="44">
        <v>4230535</v>
      </c>
      <c r="AA511" s="44">
        <v>1174417</v>
      </c>
      <c r="AB511" s="44">
        <v>0</v>
      </c>
      <c r="AC511" s="44">
        <v>78311559</v>
      </c>
      <c r="AD511" s="44">
        <v>7574921</v>
      </c>
      <c r="AE511" s="44">
        <v>1415000</v>
      </c>
      <c r="AF511" s="44">
        <v>755478</v>
      </c>
      <c r="AG511" s="44">
        <v>88056958</v>
      </c>
      <c r="AH511" s="44">
        <v>5004</v>
      </c>
      <c r="AI511" s="44">
        <v>17835</v>
      </c>
      <c r="AJ511" s="44">
        <v>17597</v>
      </c>
      <c r="AK511" s="44">
        <v>339358</v>
      </c>
      <c r="AL511" s="44">
        <v>80789</v>
      </c>
      <c r="AM511" s="44">
        <v>0.77400000000000002</v>
      </c>
      <c r="AN511" s="44">
        <v>0.64933562660658795</v>
      </c>
      <c r="AO511" s="44">
        <v>0.13700000000000001</v>
      </c>
      <c r="AP511" s="44">
        <v>0.78633562660658796</v>
      </c>
      <c r="AQ511" s="44">
        <v>0.88319999999999999</v>
      </c>
      <c r="AR511" s="44">
        <v>16.04</v>
      </c>
    </row>
    <row r="512" spans="1:44">
      <c r="A512" t="s">
        <v>1980</v>
      </c>
      <c r="B512" t="s">
        <v>707</v>
      </c>
      <c r="D512" t="s">
        <v>1639</v>
      </c>
      <c r="E512" s="44">
        <v>7183536</v>
      </c>
      <c r="F512" s="44">
        <v>17785313</v>
      </c>
      <c r="G512" s="44">
        <v>5819162</v>
      </c>
      <c r="H512" s="126">
        <v>23604475</v>
      </c>
      <c r="I512" s="127">
        <v>40799331</v>
      </c>
      <c r="J512" s="128">
        <v>2048976</v>
      </c>
      <c r="K512" s="130">
        <v>66452782</v>
      </c>
      <c r="L512" s="44">
        <v>1103182</v>
      </c>
      <c r="M512" s="44">
        <v>1002382</v>
      </c>
      <c r="N512" s="44">
        <v>20005050</v>
      </c>
      <c r="O512" s="44">
        <v>1319076</v>
      </c>
      <c r="P512" s="44">
        <v>1191969</v>
      </c>
      <c r="Q512" s="44">
        <v>6605947</v>
      </c>
      <c r="R512" s="44">
        <v>269228</v>
      </c>
      <c r="S512" s="44">
        <v>1006143</v>
      </c>
      <c r="T512" s="44">
        <v>3325612</v>
      </c>
      <c r="U512" s="44">
        <v>4120798</v>
      </c>
      <c r="V512" s="44">
        <v>0</v>
      </c>
      <c r="W512" s="44">
        <v>5754185</v>
      </c>
      <c r="X512" s="44">
        <v>2162814</v>
      </c>
      <c r="Y512" s="44">
        <v>4276028</v>
      </c>
      <c r="Z512" s="44">
        <v>3340224</v>
      </c>
      <c r="AA512" s="44">
        <v>1613950</v>
      </c>
      <c r="AB512" s="44">
        <v>2957630</v>
      </c>
      <c r="AC512" s="44">
        <v>60054218</v>
      </c>
      <c r="AD512" s="44">
        <v>5015736</v>
      </c>
      <c r="AE512" s="44">
        <v>905000</v>
      </c>
      <c r="AF512" s="44">
        <v>1111659</v>
      </c>
      <c r="AG512" s="44">
        <v>67086613</v>
      </c>
      <c r="AH512" s="44">
        <v>2846</v>
      </c>
      <c r="AI512" s="44">
        <v>23350</v>
      </c>
      <c r="AJ512" s="44">
        <v>23572</v>
      </c>
      <c r="AK512" s="44">
        <v>500939</v>
      </c>
      <c r="AL512" s="44">
        <v>143485</v>
      </c>
      <c r="AM512" s="44">
        <v>1.244</v>
      </c>
      <c r="AN512" s="44">
        <v>0.56410394425486943</v>
      </c>
      <c r="AO512" s="44">
        <v>0.129</v>
      </c>
      <c r="AP512" s="44">
        <v>0.69310394425486943</v>
      </c>
      <c r="AQ512" s="44">
        <v>0.81389999999999996</v>
      </c>
      <c r="AR512" s="44">
        <v>16.89</v>
      </c>
    </row>
    <row r="513" spans="1:44">
      <c r="A513" t="s">
        <v>708</v>
      </c>
      <c r="B513" t="s">
        <v>709</v>
      </c>
      <c r="D513" t="s">
        <v>1639</v>
      </c>
      <c r="E513" s="44">
        <v>7772804</v>
      </c>
      <c r="F513" s="44">
        <v>20919473</v>
      </c>
      <c r="G513" s="44">
        <v>9089400</v>
      </c>
      <c r="H513" s="126">
        <v>30008873</v>
      </c>
      <c r="I513" s="127">
        <v>57244073</v>
      </c>
      <c r="J513" s="128">
        <v>1408921</v>
      </c>
      <c r="K513" s="130">
        <v>88661867</v>
      </c>
      <c r="L513" s="44">
        <v>315531</v>
      </c>
      <c r="M513" s="44">
        <v>1297547</v>
      </c>
      <c r="N513" s="44">
        <v>27707899</v>
      </c>
      <c r="O513" s="44">
        <v>1354218</v>
      </c>
      <c r="P513" s="44">
        <v>2869416</v>
      </c>
      <c r="Q513" s="44">
        <v>6278166</v>
      </c>
      <c r="R513" s="44">
        <v>1470505</v>
      </c>
      <c r="S513" s="44">
        <v>0</v>
      </c>
      <c r="T513" s="44">
        <v>5769565</v>
      </c>
      <c r="U513" s="44">
        <v>3362891</v>
      </c>
      <c r="V513" s="44">
        <v>0</v>
      </c>
      <c r="W513" s="44">
        <v>5624329</v>
      </c>
      <c r="X513" s="44">
        <v>3251831</v>
      </c>
      <c r="Y513" s="44">
        <v>9041616</v>
      </c>
      <c r="Z513" s="44">
        <v>5525701</v>
      </c>
      <c r="AA513" s="44">
        <v>1271913</v>
      </c>
      <c r="AB513" s="44">
        <v>0</v>
      </c>
      <c r="AC513" s="44">
        <v>75141128</v>
      </c>
      <c r="AD513" s="44">
        <v>3598120</v>
      </c>
      <c r="AE513" s="44">
        <v>2302790</v>
      </c>
      <c r="AF513" s="44">
        <v>1432613</v>
      </c>
      <c r="AG513" s="44">
        <v>82474651</v>
      </c>
      <c r="AH513" s="44">
        <v>4451</v>
      </c>
      <c r="AI513" s="44">
        <v>19920</v>
      </c>
      <c r="AJ513" s="44">
        <v>18529</v>
      </c>
      <c r="AK513" s="44">
        <v>480632</v>
      </c>
      <c r="AL513" s="44">
        <v>105707</v>
      </c>
      <c r="AM513" s="44">
        <v>1.0609999999999999</v>
      </c>
      <c r="AN513" s="44">
        <v>0.59185045839114858</v>
      </c>
      <c r="AO513" s="44">
        <v>0.184</v>
      </c>
      <c r="AP513" s="44">
        <v>0.77585045839114852</v>
      </c>
      <c r="AQ513" s="44">
        <v>0.8488</v>
      </c>
      <c r="AR513" s="44">
        <v>18.440000000000001</v>
      </c>
    </row>
    <row r="514" spans="1:44">
      <c r="A514" t="s">
        <v>1982</v>
      </c>
      <c r="B514" t="s">
        <v>710</v>
      </c>
      <c r="D514" t="s">
        <v>1639</v>
      </c>
      <c r="E514" s="44">
        <v>43127</v>
      </c>
      <c r="F514" s="44">
        <v>29131314</v>
      </c>
      <c r="G514" s="44">
        <v>1515324</v>
      </c>
      <c r="H514" s="126">
        <v>30646638</v>
      </c>
      <c r="I514" s="127">
        <v>16858348</v>
      </c>
      <c r="J514" s="128">
        <v>3085974</v>
      </c>
      <c r="K514" s="130">
        <v>50590960</v>
      </c>
      <c r="L514" s="44">
        <v>637544</v>
      </c>
      <c r="M514" s="44">
        <v>918491</v>
      </c>
      <c r="N514" s="44">
        <v>12730906</v>
      </c>
      <c r="O514" s="44">
        <v>595863</v>
      </c>
      <c r="P514" s="44">
        <v>1868567</v>
      </c>
      <c r="Q514" s="44">
        <v>8087431</v>
      </c>
      <c r="R514" s="44">
        <v>757307</v>
      </c>
      <c r="S514" s="44">
        <v>13435</v>
      </c>
      <c r="T514" s="44">
        <v>2281726</v>
      </c>
      <c r="U514" s="44">
        <v>2140918</v>
      </c>
      <c r="V514" s="44">
        <v>0</v>
      </c>
      <c r="W514" s="44">
        <v>4086959</v>
      </c>
      <c r="X514" s="44">
        <v>1170983</v>
      </c>
      <c r="Y514" s="44">
        <v>5662323</v>
      </c>
      <c r="Z514" s="44">
        <v>4562292</v>
      </c>
      <c r="AA514" s="44">
        <v>1247123</v>
      </c>
      <c r="AB514" s="44">
        <v>135413</v>
      </c>
      <c r="AC514" s="44">
        <v>46897281</v>
      </c>
      <c r="AD514" s="44">
        <v>2426357</v>
      </c>
      <c r="AE514" s="44">
        <v>835000</v>
      </c>
      <c r="AF514" s="44">
        <v>586533</v>
      </c>
      <c r="AG514" s="44">
        <v>50745171</v>
      </c>
      <c r="AH514" s="44">
        <v>2220</v>
      </c>
      <c r="AI514" s="44">
        <v>22789</v>
      </c>
      <c r="AJ514" s="44">
        <v>22858</v>
      </c>
      <c r="AK514" s="44">
        <v>201190</v>
      </c>
      <c r="AL514" s="44">
        <v>46918</v>
      </c>
      <c r="AM514" s="44">
        <v>0.45500000000000002</v>
      </c>
      <c r="AN514" s="44">
        <v>0.56115985893514875</v>
      </c>
      <c r="AO514" s="44">
        <v>0.17699999999999999</v>
      </c>
      <c r="AP514" s="44">
        <v>0.73815985893514879</v>
      </c>
      <c r="AQ514" s="44">
        <v>0.79579999999999995</v>
      </c>
      <c r="AR514" s="44">
        <v>23.28</v>
      </c>
    </row>
    <row r="515" spans="1:44">
      <c r="A515" t="s">
        <v>711</v>
      </c>
      <c r="B515" t="s">
        <v>712</v>
      </c>
      <c r="D515" t="s">
        <v>1639</v>
      </c>
      <c r="E515" s="44">
        <v>6217123</v>
      </c>
      <c r="F515" s="44">
        <v>34386192</v>
      </c>
      <c r="G515" s="44">
        <v>12291249</v>
      </c>
      <c r="H515" s="126">
        <v>46677441</v>
      </c>
      <c r="I515" s="127">
        <v>100871256</v>
      </c>
      <c r="J515" s="128">
        <v>1907790</v>
      </c>
      <c r="K515" s="130">
        <v>149456487</v>
      </c>
      <c r="L515" s="44">
        <v>593961</v>
      </c>
      <c r="M515" s="44">
        <v>2674930</v>
      </c>
      <c r="N515" s="44">
        <v>47208072</v>
      </c>
      <c r="O515" s="44">
        <v>3415719</v>
      </c>
      <c r="P515" s="44">
        <v>3174284</v>
      </c>
      <c r="Q515" s="44">
        <v>4609496</v>
      </c>
      <c r="R515" s="44">
        <v>0</v>
      </c>
      <c r="S515" s="44">
        <v>922956</v>
      </c>
      <c r="T515" s="44">
        <v>12747757</v>
      </c>
      <c r="U515" s="44">
        <v>6156987</v>
      </c>
      <c r="V515" s="44">
        <v>1184876</v>
      </c>
      <c r="W515" s="44">
        <v>10971673</v>
      </c>
      <c r="X515" s="44">
        <v>5021676</v>
      </c>
      <c r="Y515" s="44">
        <v>18556202</v>
      </c>
      <c r="Z515" s="44">
        <v>8877635</v>
      </c>
      <c r="AA515" s="44">
        <v>3148327</v>
      </c>
      <c r="AB515" s="44">
        <v>450000</v>
      </c>
      <c r="AC515" s="44">
        <v>129714551</v>
      </c>
      <c r="AD515" s="44">
        <v>7113452</v>
      </c>
      <c r="AE515" s="44">
        <v>3020000</v>
      </c>
      <c r="AF515" s="44">
        <v>2831994</v>
      </c>
      <c r="AG515" s="44">
        <v>142679997</v>
      </c>
      <c r="AH515" s="44">
        <v>8194</v>
      </c>
      <c r="AI515" s="44">
        <v>18240</v>
      </c>
      <c r="AJ515" s="44">
        <v>17413</v>
      </c>
      <c r="AK515" s="44">
        <v>557439</v>
      </c>
      <c r="AL515" s="44">
        <v>175423</v>
      </c>
      <c r="AM515" s="44">
        <v>1.4489999999999998</v>
      </c>
      <c r="AN515" s="44">
        <v>0.54832683378876157</v>
      </c>
      <c r="AO515" s="44">
        <v>0.19900000000000001</v>
      </c>
      <c r="AP515" s="44">
        <v>0.74732683378876152</v>
      </c>
      <c r="AQ515" s="44">
        <v>0.82450000000000001</v>
      </c>
      <c r="AR515" s="44">
        <v>14.07</v>
      </c>
    </row>
    <row r="516" spans="1:44">
      <c r="A516" t="s">
        <v>713</v>
      </c>
      <c r="B516" t="s">
        <v>714</v>
      </c>
      <c r="D516" t="s">
        <v>1639</v>
      </c>
      <c r="E516" s="44">
        <v>4002192</v>
      </c>
      <c r="F516" s="44">
        <v>26735648</v>
      </c>
      <c r="G516" s="44">
        <v>5928776</v>
      </c>
      <c r="H516" s="126">
        <v>32664424</v>
      </c>
      <c r="I516" s="127">
        <v>35075680</v>
      </c>
      <c r="J516" s="128">
        <v>1194461</v>
      </c>
      <c r="K516" s="130">
        <v>68934565</v>
      </c>
      <c r="L516" s="44">
        <v>273026</v>
      </c>
      <c r="M516" s="44">
        <v>1257820</v>
      </c>
      <c r="N516" s="44">
        <v>23965180</v>
      </c>
      <c r="O516" s="44">
        <v>1386537</v>
      </c>
      <c r="P516" s="44">
        <v>1255785</v>
      </c>
      <c r="Q516" s="44">
        <v>5733289</v>
      </c>
      <c r="R516" s="44">
        <v>236542</v>
      </c>
      <c r="S516" s="44">
        <v>315249</v>
      </c>
      <c r="T516" s="44">
        <v>4700621</v>
      </c>
      <c r="U516" s="44">
        <v>2725874</v>
      </c>
      <c r="V516" s="44">
        <v>236077</v>
      </c>
      <c r="W516" s="44">
        <v>4552482</v>
      </c>
      <c r="X516" s="44">
        <v>2389217</v>
      </c>
      <c r="Y516" s="44">
        <v>5830054</v>
      </c>
      <c r="Z516" s="44">
        <v>3949857</v>
      </c>
      <c r="AA516" s="44">
        <v>742989</v>
      </c>
      <c r="AB516" s="44">
        <v>65000</v>
      </c>
      <c r="AC516" s="44">
        <v>59615599</v>
      </c>
      <c r="AD516" s="44">
        <v>3929333</v>
      </c>
      <c r="AE516" s="44">
        <v>821913</v>
      </c>
      <c r="AF516" s="44">
        <v>1367727</v>
      </c>
      <c r="AG516" s="44">
        <v>65734572</v>
      </c>
      <c r="AH516" s="44">
        <v>4064</v>
      </c>
      <c r="AI516" s="44">
        <v>16962</v>
      </c>
      <c r="AJ516" s="44">
        <v>16175</v>
      </c>
      <c r="AK516" s="44">
        <v>417467</v>
      </c>
      <c r="AL516" s="44">
        <v>88662</v>
      </c>
      <c r="AM516" s="44">
        <v>0.90900000000000003</v>
      </c>
      <c r="AN516" s="44">
        <v>0.61336182427718555</v>
      </c>
      <c r="AO516" s="44">
        <v>0.16900000000000001</v>
      </c>
      <c r="AP516" s="44">
        <v>0.78236182427718559</v>
      </c>
      <c r="AQ516" s="44">
        <v>0.86309999999999998</v>
      </c>
      <c r="AR516" s="44">
        <v>12.8</v>
      </c>
    </row>
    <row r="517" spans="1:44">
      <c r="A517" t="s">
        <v>1920</v>
      </c>
      <c r="B517" t="s">
        <v>715</v>
      </c>
      <c r="D517" t="s">
        <v>1639</v>
      </c>
      <c r="E517" s="44">
        <v>15097052</v>
      </c>
      <c r="F517" s="44">
        <v>111788683</v>
      </c>
      <c r="G517" s="44">
        <v>21027576</v>
      </c>
      <c r="H517" s="126">
        <v>132816259</v>
      </c>
      <c r="I517" s="127">
        <v>138192667</v>
      </c>
      <c r="J517" s="128">
        <v>4293470</v>
      </c>
      <c r="K517" s="130">
        <v>275302396</v>
      </c>
      <c r="L517" s="44">
        <v>385358</v>
      </c>
      <c r="M517" s="44">
        <v>4011701</v>
      </c>
      <c r="N517" s="44">
        <v>104058397</v>
      </c>
      <c r="O517" s="44">
        <v>7337901</v>
      </c>
      <c r="P517" s="44">
        <v>4479084</v>
      </c>
      <c r="Q517" s="44">
        <v>14608314</v>
      </c>
      <c r="R517" s="44">
        <v>330212</v>
      </c>
      <c r="S517" s="44">
        <v>1352839</v>
      </c>
      <c r="T517" s="44">
        <v>14024022</v>
      </c>
      <c r="U517" s="44">
        <v>7776956</v>
      </c>
      <c r="V517" s="44">
        <v>133702</v>
      </c>
      <c r="W517" s="44">
        <v>17760548</v>
      </c>
      <c r="X517" s="44">
        <v>11583094</v>
      </c>
      <c r="Y517" s="44">
        <v>23645485</v>
      </c>
      <c r="Z517" s="44">
        <v>15239962</v>
      </c>
      <c r="AA517" s="44">
        <v>3211663</v>
      </c>
      <c r="AB517" s="44">
        <v>1757160</v>
      </c>
      <c r="AC517" s="44">
        <v>231696398</v>
      </c>
      <c r="AD517" s="44">
        <v>15513347</v>
      </c>
      <c r="AE517" s="44">
        <v>11271687</v>
      </c>
      <c r="AF517" s="44">
        <v>10827153</v>
      </c>
      <c r="AG517" s="44">
        <v>269308585</v>
      </c>
      <c r="AH517" s="44">
        <v>15004</v>
      </c>
      <c r="AI517" s="44">
        <v>18349</v>
      </c>
      <c r="AJ517" s="44">
        <v>17949</v>
      </c>
      <c r="AK517" s="44">
        <v>407936</v>
      </c>
      <c r="AL517" s="44">
        <v>101742</v>
      </c>
      <c r="AM517" s="44">
        <v>0.95</v>
      </c>
      <c r="AN517" s="44">
        <v>0.5717148786771874</v>
      </c>
      <c r="AO517" s="44">
        <v>0.16800000000000001</v>
      </c>
      <c r="AP517" s="44">
        <v>0.73971487867718744</v>
      </c>
      <c r="AQ517" s="44">
        <v>0.86599999999999999</v>
      </c>
      <c r="AR517" s="44">
        <v>13.25</v>
      </c>
    </row>
    <row r="518" spans="1:44">
      <c r="A518" t="s">
        <v>716</v>
      </c>
      <c r="B518" t="s">
        <v>717</v>
      </c>
      <c r="D518" t="s">
        <v>1639</v>
      </c>
      <c r="E518" s="44">
        <v>2818850</v>
      </c>
      <c r="F518" s="44">
        <v>3133159</v>
      </c>
      <c r="G518" s="44">
        <v>1260918</v>
      </c>
      <c r="H518" s="126">
        <v>4394077</v>
      </c>
      <c r="I518" s="127">
        <v>28076820</v>
      </c>
      <c r="J518" s="128">
        <v>334697</v>
      </c>
      <c r="K518" s="130">
        <v>32805594</v>
      </c>
      <c r="L518" s="44">
        <v>292851</v>
      </c>
      <c r="M518" s="44">
        <v>866417</v>
      </c>
      <c r="N518" s="44">
        <v>9447946</v>
      </c>
      <c r="O518" s="44">
        <v>617120</v>
      </c>
      <c r="P518" s="44">
        <v>922776</v>
      </c>
      <c r="Q518" s="44">
        <v>300999</v>
      </c>
      <c r="R518" s="44">
        <v>27290</v>
      </c>
      <c r="S518" s="44">
        <v>175788</v>
      </c>
      <c r="T518" s="44">
        <v>3791804</v>
      </c>
      <c r="U518" s="44">
        <v>1833232</v>
      </c>
      <c r="V518" s="44">
        <v>7142</v>
      </c>
      <c r="W518" s="44">
        <v>2329871</v>
      </c>
      <c r="X518" s="44">
        <v>1107620</v>
      </c>
      <c r="Y518" s="44">
        <v>4300375</v>
      </c>
      <c r="Z518" s="44">
        <v>1686816</v>
      </c>
      <c r="AA518" s="44">
        <v>545566</v>
      </c>
      <c r="AB518" s="44">
        <v>430000</v>
      </c>
      <c r="AC518" s="44">
        <v>28683613</v>
      </c>
      <c r="AD518" s="44">
        <v>1651753</v>
      </c>
      <c r="AE518" s="44">
        <v>675000</v>
      </c>
      <c r="AF518" s="44">
        <v>741210</v>
      </c>
      <c r="AG518" s="44">
        <v>31751576</v>
      </c>
      <c r="AH518" s="44">
        <v>1311</v>
      </c>
      <c r="AI518" s="44">
        <v>25023</v>
      </c>
      <c r="AJ518" s="44">
        <v>24219</v>
      </c>
      <c r="AK518" s="44">
        <v>1579404</v>
      </c>
      <c r="AL518" s="44">
        <v>361149</v>
      </c>
      <c r="AM518" s="44">
        <v>3.548</v>
      </c>
      <c r="AN518" s="44">
        <v>0.53908993367762281</v>
      </c>
      <c r="AO518" s="44">
        <v>0.19600000000000001</v>
      </c>
      <c r="AP518" s="44">
        <v>0.73508993367762288</v>
      </c>
      <c r="AQ518" s="44">
        <v>0.82640000000000002</v>
      </c>
      <c r="AR518" s="44">
        <v>9.39</v>
      </c>
    </row>
    <row r="519" spans="1:44">
      <c r="A519" t="s">
        <v>1896</v>
      </c>
      <c r="B519" t="s">
        <v>718</v>
      </c>
      <c r="D519" t="s">
        <v>1639</v>
      </c>
      <c r="E519" s="44">
        <v>4692416</v>
      </c>
      <c r="F519" s="44">
        <v>16208170</v>
      </c>
      <c r="G519" s="44">
        <v>3890287</v>
      </c>
      <c r="H519" s="126">
        <v>20098457</v>
      </c>
      <c r="I519" s="127">
        <v>27238253</v>
      </c>
      <c r="J519" s="128">
        <v>640725</v>
      </c>
      <c r="K519" s="130">
        <v>47977435</v>
      </c>
      <c r="L519" s="44">
        <v>191145</v>
      </c>
      <c r="M519" s="44">
        <v>1046673</v>
      </c>
      <c r="N519" s="44">
        <v>16048101</v>
      </c>
      <c r="O519" s="44">
        <v>1089568</v>
      </c>
      <c r="P519" s="44">
        <v>1261441</v>
      </c>
      <c r="Q519" s="44">
        <v>3028030</v>
      </c>
      <c r="R519" s="44">
        <v>146953</v>
      </c>
      <c r="S519" s="44">
        <v>487419</v>
      </c>
      <c r="T519" s="44">
        <v>3365431</v>
      </c>
      <c r="U519" s="44">
        <v>2247312</v>
      </c>
      <c r="V519" s="44">
        <v>0</v>
      </c>
      <c r="W519" s="44">
        <v>3190286</v>
      </c>
      <c r="X519" s="44">
        <v>1676684</v>
      </c>
      <c r="Y519" s="44">
        <v>3519708</v>
      </c>
      <c r="Z519" s="44">
        <v>2152042</v>
      </c>
      <c r="AA519" s="44">
        <v>633792</v>
      </c>
      <c r="AB519" s="44">
        <v>300000</v>
      </c>
      <c r="AC519" s="44">
        <v>40384585</v>
      </c>
      <c r="AD519" s="44">
        <v>3608101</v>
      </c>
      <c r="AE519" s="44">
        <v>1241226</v>
      </c>
      <c r="AF519" s="44">
        <v>1470346</v>
      </c>
      <c r="AG519" s="44">
        <v>46704258</v>
      </c>
      <c r="AH519" s="44">
        <v>2570</v>
      </c>
      <c r="AI519" s="44">
        <v>18668</v>
      </c>
      <c r="AJ519" s="44">
        <v>18173</v>
      </c>
      <c r="AK519" s="44">
        <v>415659</v>
      </c>
      <c r="AL519" s="44">
        <v>117297</v>
      </c>
      <c r="AM519" s="44">
        <v>1.024</v>
      </c>
      <c r="AN519" s="44">
        <v>0.59254244013468749</v>
      </c>
      <c r="AO519" s="44">
        <v>0.14399999999999999</v>
      </c>
      <c r="AP519" s="44">
        <v>0.7365424401346875</v>
      </c>
      <c r="AQ519" s="44">
        <v>0.85760000000000003</v>
      </c>
      <c r="AR519" s="44">
        <v>15.89</v>
      </c>
    </row>
    <row r="520" spans="1:44">
      <c r="A520" t="s">
        <v>1922</v>
      </c>
      <c r="B520" t="s">
        <v>719</v>
      </c>
      <c r="D520" t="s">
        <v>1639</v>
      </c>
      <c r="E520" s="44">
        <v>2948112</v>
      </c>
      <c r="F520" s="44">
        <v>16508138</v>
      </c>
      <c r="G520" s="44">
        <v>4640146</v>
      </c>
      <c r="H520" s="126">
        <v>21148284</v>
      </c>
      <c r="I520" s="127">
        <v>30447303</v>
      </c>
      <c r="J520" s="128">
        <v>1113938</v>
      </c>
      <c r="K520" s="130">
        <v>52709525</v>
      </c>
      <c r="L520" s="44">
        <v>306730</v>
      </c>
      <c r="M520" s="44">
        <v>1177448</v>
      </c>
      <c r="N520" s="44">
        <v>19185831</v>
      </c>
      <c r="O520" s="44">
        <v>675993</v>
      </c>
      <c r="P520" s="44">
        <v>1377931</v>
      </c>
      <c r="Q520" s="44">
        <v>4599426</v>
      </c>
      <c r="R520" s="44">
        <v>0</v>
      </c>
      <c r="S520" s="44">
        <v>136968</v>
      </c>
      <c r="T520" s="44">
        <v>3116976</v>
      </c>
      <c r="U520" s="44">
        <v>3231632</v>
      </c>
      <c r="V520" s="44">
        <v>0</v>
      </c>
      <c r="W520" s="44">
        <v>3791964</v>
      </c>
      <c r="X520" s="44">
        <v>1881602</v>
      </c>
      <c r="Y520" s="44">
        <v>4460665</v>
      </c>
      <c r="Z520" s="44">
        <v>2783388</v>
      </c>
      <c r="AA520" s="44">
        <v>1019807</v>
      </c>
      <c r="AB520" s="44">
        <v>85000</v>
      </c>
      <c r="AC520" s="44">
        <v>47831361</v>
      </c>
      <c r="AD520" s="44">
        <v>3485829</v>
      </c>
      <c r="AE520" s="44">
        <v>1435000</v>
      </c>
      <c r="AF520" s="44">
        <v>972739</v>
      </c>
      <c r="AG520" s="44">
        <v>53724929</v>
      </c>
      <c r="AH520" s="44">
        <v>3111</v>
      </c>
      <c r="AI520" s="44">
        <v>16943</v>
      </c>
      <c r="AJ520" s="44">
        <v>17269</v>
      </c>
      <c r="AK520" s="44">
        <v>412769</v>
      </c>
      <c r="AL520" s="44">
        <v>114160</v>
      </c>
      <c r="AM520" s="44">
        <v>1.0070000000000001</v>
      </c>
      <c r="AN520" s="44">
        <v>0.60167146986829889</v>
      </c>
      <c r="AO520" s="44">
        <v>0.15</v>
      </c>
      <c r="AP520" s="44">
        <v>0.75167146986829891</v>
      </c>
      <c r="AQ520" s="44">
        <v>0.8458</v>
      </c>
      <c r="AR520" s="44">
        <v>13.86</v>
      </c>
    </row>
    <row r="521" spans="1:44">
      <c r="A521" t="s">
        <v>720</v>
      </c>
      <c r="B521" t="s">
        <v>721</v>
      </c>
      <c r="D521" t="s">
        <v>1639</v>
      </c>
      <c r="E521" s="44">
        <v>3685573</v>
      </c>
      <c r="F521" s="44">
        <v>22376603</v>
      </c>
      <c r="G521" s="44">
        <v>5315813</v>
      </c>
      <c r="H521" s="126">
        <v>27692416</v>
      </c>
      <c r="I521" s="127">
        <v>30598176</v>
      </c>
      <c r="J521" s="128">
        <v>1363398</v>
      </c>
      <c r="K521" s="130">
        <v>59653990</v>
      </c>
      <c r="L521" s="44">
        <v>397257</v>
      </c>
      <c r="M521" s="44">
        <v>1135109</v>
      </c>
      <c r="N521" s="44">
        <v>21006295</v>
      </c>
      <c r="O521" s="44">
        <v>979547</v>
      </c>
      <c r="P521" s="44">
        <v>2029580</v>
      </c>
      <c r="Q521" s="44">
        <v>4202277</v>
      </c>
      <c r="R521" s="44">
        <v>358543</v>
      </c>
      <c r="S521" s="44">
        <v>356875</v>
      </c>
      <c r="T521" s="44">
        <v>4062373</v>
      </c>
      <c r="U521" s="44">
        <v>2729241</v>
      </c>
      <c r="V521" s="44">
        <v>0</v>
      </c>
      <c r="W521" s="44">
        <v>3610942</v>
      </c>
      <c r="X521" s="44">
        <v>2135504</v>
      </c>
      <c r="Y521" s="44">
        <v>3932747</v>
      </c>
      <c r="Z521" s="44">
        <v>2784553</v>
      </c>
      <c r="AA521" s="44">
        <v>1569348</v>
      </c>
      <c r="AB521" s="44">
        <v>300000</v>
      </c>
      <c r="AC521" s="44">
        <v>51590191</v>
      </c>
      <c r="AD521" s="44">
        <v>3829569</v>
      </c>
      <c r="AE521" s="44">
        <v>2025000</v>
      </c>
      <c r="AF521" s="44">
        <v>1499516</v>
      </c>
      <c r="AG521" s="44">
        <v>58944276</v>
      </c>
      <c r="AH521" s="44">
        <v>3608</v>
      </c>
      <c r="AI521" s="44">
        <v>16534</v>
      </c>
      <c r="AJ521" s="44">
        <v>16337</v>
      </c>
      <c r="AK521" s="44">
        <v>339906</v>
      </c>
      <c r="AL521" s="44">
        <v>82675</v>
      </c>
      <c r="AM521" s="44">
        <v>0.78300000000000003</v>
      </c>
      <c r="AN521" s="44">
        <v>0.60607633894765289</v>
      </c>
      <c r="AO521" s="44">
        <v>0.13700000000000001</v>
      </c>
      <c r="AP521" s="44">
        <v>0.7430763389476529</v>
      </c>
      <c r="AQ521" s="44">
        <v>0.85260000000000002</v>
      </c>
      <c r="AR521" s="44">
        <v>15.11</v>
      </c>
    </row>
    <row r="522" spans="1:44">
      <c r="A522" t="s">
        <v>1924</v>
      </c>
      <c r="B522" t="s">
        <v>722</v>
      </c>
      <c r="D522" t="s">
        <v>1639</v>
      </c>
      <c r="E522" s="44">
        <v>9452527</v>
      </c>
      <c r="F522" s="44">
        <v>74354450</v>
      </c>
      <c r="G522" s="44">
        <v>15692738</v>
      </c>
      <c r="H522" s="126">
        <v>90047188</v>
      </c>
      <c r="I522" s="127">
        <v>85072423</v>
      </c>
      <c r="J522" s="128">
        <v>3932109</v>
      </c>
      <c r="K522" s="130">
        <v>179051720</v>
      </c>
      <c r="L522" s="44">
        <v>387173</v>
      </c>
      <c r="M522" s="44">
        <v>3128030</v>
      </c>
      <c r="N522" s="44">
        <v>60342777</v>
      </c>
      <c r="O522" s="44">
        <v>2701667</v>
      </c>
      <c r="P522" s="44">
        <v>3298108</v>
      </c>
      <c r="Q522" s="44">
        <v>10016803</v>
      </c>
      <c r="R522" s="44">
        <v>1637736</v>
      </c>
      <c r="S522" s="44">
        <v>0</v>
      </c>
      <c r="T522" s="44">
        <v>9300375</v>
      </c>
      <c r="U522" s="44">
        <v>6236395</v>
      </c>
      <c r="V522" s="44">
        <v>0</v>
      </c>
      <c r="W522" s="44">
        <v>13183619</v>
      </c>
      <c r="X522" s="44">
        <v>6394704</v>
      </c>
      <c r="Y522" s="44">
        <v>19739946</v>
      </c>
      <c r="Z522" s="44">
        <v>9541036</v>
      </c>
      <c r="AA522" s="44">
        <v>2500234</v>
      </c>
      <c r="AB522" s="44">
        <v>0</v>
      </c>
      <c r="AC522" s="44">
        <v>148408603</v>
      </c>
      <c r="AD522" s="44">
        <v>11407282</v>
      </c>
      <c r="AE522" s="44">
        <v>4065349</v>
      </c>
      <c r="AF522" s="44">
        <v>3236176</v>
      </c>
      <c r="AG522" s="44">
        <v>167117410</v>
      </c>
      <c r="AH522" s="44">
        <v>10984</v>
      </c>
      <c r="AI522" s="44">
        <v>16301</v>
      </c>
      <c r="AJ522" s="44">
        <v>15215</v>
      </c>
      <c r="AK522" s="44">
        <v>344870</v>
      </c>
      <c r="AL522" s="44">
        <v>81367</v>
      </c>
      <c r="AM522" s="44">
        <v>0.78500000000000003</v>
      </c>
      <c r="AN522" s="44">
        <v>0.55968950811288898</v>
      </c>
      <c r="AO522" s="44">
        <v>0.188</v>
      </c>
      <c r="AP522" s="44">
        <v>0.74768950811288892</v>
      </c>
      <c r="AQ522" s="44">
        <v>0.84</v>
      </c>
      <c r="AR522" s="44">
        <v>12.92</v>
      </c>
    </row>
    <row r="523" spans="1:44">
      <c r="A523" t="s">
        <v>1926</v>
      </c>
      <c r="B523" t="s">
        <v>723</v>
      </c>
      <c r="D523" t="s">
        <v>1639</v>
      </c>
      <c r="E523" s="44">
        <v>8676229</v>
      </c>
      <c r="F523" s="44">
        <v>77887799</v>
      </c>
      <c r="G523" s="44">
        <v>18658201</v>
      </c>
      <c r="H523" s="126">
        <v>96546000</v>
      </c>
      <c r="I523" s="127">
        <v>86728108</v>
      </c>
      <c r="J523" s="128">
        <v>4938180</v>
      </c>
      <c r="K523" s="130">
        <v>188212288</v>
      </c>
      <c r="L523" s="44">
        <v>364978</v>
      </c>
      <c r="M523" s="44">
        <v>2218232</v>
      </c>
      <c r="N523" s="44">
        <v>67341294</v>
      </c>
      <c r="O523" s="44">
        <v>3510693</v>
      </c>
      <c r="P523" s="44">
        <v>2911429</v>
      </c>
      <c r="Q523" s="44">
        <v>12253182</v>
      </c>
      <c r="R523" s="44">
        <v>755572</v>
      </c>
      <c r="S523" s="44">
        <v>869328</v>
      </c>
      <c r="T523" s="44">
        <v>12596534</v>
      </c>
      <c r="U523" s="44">
        <v>8641307</v>
      </c>
      <c r="V523" s="44">
        <v>0</v>
      </c>
      <c r="W523" s="44">
        <v>12900628</v>
      </c>
      <c r="X523" s="44">
        <v>6302128</v>
      </c>
      <c r="Y523" s="44">
        <v>15673065</v>
      </c>
      <c r="Z523" s="44">
        <v>11436120</v>
      </c>
      <c r="AA523" s="44">
        <v>2590343</v>
      </c>
      <c r="AB523" s="44">
        <v>596675</v>
      </c>
      <c r="AC523" s="44">
        <v>160961508</v>
      </c>
      <c r="AD523" s="44">
        <v>9793889</v>
      </c>
      <c r="AE523" s="44">
        <v>7651684</v>
      </c>
      <c r="AF523" s="44">
        <v>7003235</v>
      </c>
      <c r="AG523" s="44">
        <v>185410316</v>
      </c>
      <c r="AH523" s="44">
        <v>9649</v>
      </c>
      <c r="AI523" s="44">
        <v>19506</v>
      </c>
      <c r="AJ523" s="44">
        <v>19215</v>
      </c>
      <c r="AK523" s="44">
        <v>386703</v>
      </c>
      <c r="AL523" s="44">
        <v>88737</v>
      </c>
      <c r="AM523" s="44">
        <v>0.86899999999999999</v>
      </c>
      <c r="AN523" s="44">
        <v>0.5872345258286491</v>
      </c>
      <c r="AO523" s="44">
        <v>0.161</v>
      </c>
      <c r="AP523" s="44">
        <v>0.74823452582864913</v>
      </c>
      <c r="AQ523" s="44">
        <v>0.86380000000000001</v>
      </c>
      <c r="AR523" s="44">
        <v>13.52</v>
      </c>
    </row>
    <row r="524" spans="1:44">
      <c r="A524" t="s">
        <v>1928</v>
      </c>
      <c r="B524" t="s">
        <v>724</v>
      </c>
      <c r="D524" t="s">
        <v>1639</v>
      </c>
      <c r="E524" s="44">
        <v>509346</v>
      </c>
      <c r="F524" s="44">
        <v>59290452</v>
      </c>
      <c r="G524" s="44">
        <v>11453322</v>
      </c>
      <c r="H524" s="126">
        <v>70743774</v>
      </c>
      <c r="I524" s="127">
        <v>73681626</v>
      </c>
      <c r="J524" s="128">
        <v>3846529</v>
      </c>
      <c r="K524" s="130">
        <v>148271929</v>
      </c>
      <c r="L524" s="44">
        <v>763266</v>
      </c>
      <c r="M524" s="44">
        <v>1846524</v>
      </c>
      <c r="N524" s="44">
        <v>50197681</v>
      </c>
      <c r="O524" s="44">
        <v>2722675</v>
      </c>
      <c r="P524" s="44">
        <v>2760562</v>
      </c>
      <c r="Q524" s="44">
        <v>10267082</v>
      </c>
      <c r="R524" s="44">
        <v>345548</v>
      </c>
      <c r="S524" s="44">
        <v>1171751</v>
      </c>
      <c r="T524" s="44">
        <v>7434660</v>
      </c>
      <c r="U524" s="44">
        <v>4011473</v>
      </c>
      <c r="V524" s="44">
        <v>906355</v>
      </c>
      <c r="W524" s="44">
        <v>9129023</v>
      </c>
      <c r="X524" s="44">
        <v>4874971</v>
      </c>
      <c r="Y524" s="44">
        <v>13514865</v>
      </c>
      <c r="Z524" s="44">
        <v>8356017</v>
      </c>
      <c r="AA524" s="44">
        <v>2955055</v>
      </c>
      <c r="AB524" s="44">
        <v>0</v>
      </c>
      <c r="AC524" s="44">
        <v>121257508</v>
      </c>
      <c r="AD524" s="44">
        <v>8553823</v>
      </c>
      <c r="AE524" s="44">
        <v>4038034</v>
      </c>
      <c r="AF524" s="44">
        <v>8367895</v>
      </c>
      <c r="AG524" s="44">
        <v>142217260</v>
      </c>
      <c r="AH524" s="44">
        <v>8768</v>
      </c>
      <c r="AI524" s="44">
        <v>16911</v>
      </c>
      <c r="AJ524" s="44">
        <v>16220</v>
      </c>
      <c r="AK524" s="44">
        <v>375422</v>
      </c>
      <c r="AL524" s="44">
        <v>107539</v>
      </c>
      <c r="AM524" s="44">
        <v>0.93199999999999994</v>
      </c>
      <c r="AN524" s="44">
        <v>0.55486536584940538</v>
      </c>
      <c r="AO524" s="44">
        <v>0.16600000000000001</v>
      </c>
      <c r="AP524" s="44">
        <v>0.72086536584940542</v>
      </c>
      <c r="AQ524" s="44">
        <v>0.84499999999999997</v>
      </c>
      <c r="AR524" s="44">
        <v>13.57</v>
      </c>
    </row>
    <row r="525" spans="1:44">
      <c r="A525" t="s">
        <v>1898</v>
      </c>
      <c r="B525" t="s">
        <v>725</v>
      </c>
      <c r="D525" t="s">
        <v>1639</v>
      </c>
      <c r="E525" s="44">
        <v>13353095</v>
      </c>
      <c r="F525" s="44">
        <v>104444276</v>
      </c>
      <c r="G525" s="44">
        <v>12223967</v>
      </c>
      <c r="H525" s="126">
        <v>116668243</v>
      </c>
      <c r="I525" s="127">
        <v>59734896</v>
      </c>
      <c r="J525" s="128">
        <v>6115678</v>
      </c>
      <c r="K525" s="130">
        <v>182518817</v>
      </c>
      <c r="L525" s="44">
        <v>731147</v>
      </c>
      <c r="M525" s="44">
        <v>2329956</v>
      </c>
      <c r="N525" s="44">
        <v>58482801</v>
      </c>
      <c r="O525" s="44">
        <v>3469148</v>
      </c>
      <c r="P525" s="44">
        <v>3917066</v>
      </c>
      <c r="Q525" s="44">
        <v>15441107</v>
      </c>
      <c r="R525" s="44">
        <v>2157159</v>
      </c>
      <c r="S525" s="44">
        <v>889888</v>
      </c>
      <c r="T525" s="44">
        <v>7686806</v>
      </c>
      <c r="U525" s="44">
        <v>6074998</v>
      </c>
      <c r="V525" s="44">
        <v>12419</v>
      </c>
      <c r="W525" s="44">
        <v>12564143</v>
      </c>
      <c r="X525" s="44">
        <v>5423299</v>
      </c>
      <c r="Y525" s="44">
        <v>18051168</v>
      </c>
      <c r="Z525" s="44">
        <v>8501814</v>
      </c>
      <c r="AA525" s="44">
        <v>4201625</v>
      </c>
      <c r="AB525" s="44">
        <v>0</v>
      </c>
      <c r="AC525" s="44">
        <v>149934544</v>
      </c>
      <c r="AD525" s="44">
        <v>11604403</v>
      </c>
      <c r="AE525" s="44">
        <v>9345000</v>
      </c>
      <c r="AF525" s="44">
        <v>7814501</v>
      </c>
      <c r="AG525" s="44">
        <v>178698448</v>
      </c>
      <c r="AH525" s="44">
        <v>10126</v>
      </c>
      <c r="AI525" s="44">
        <v>18025</v>
      </c>
      <c r="AJ525" s="44">
        <v>17647</v>
      </c>
      <c r="AK525" s="44">
        <v>241489</v>
      </c>
      <c r="AL525" s="44">
        <v>62470</v>
      </c>
      <c r="AM525" s="44">
        <v>0.57099999999999995</v>
      </c>
      <c r="AN525" s="44">
        <v>0.54907568643237459</v>
      </c>
      <c r="AO525" s="44">
        <v>0.157</v>
      </c>
      <c r="AP525" s="44">
        <v>0.70607568643237462</v>
      </c>
      <c r="AQ525" s="44">
        <v>0.83950000000000002</v>
      </c>
      <c r="AR525" s="44">
        <v>14.41</v>
      </c>
    </row>
    <row r="526" spans="1:44">
      <c r="A526" t="s">
        <v>1930</v>
      </c>
      <c r="B526" t="s">
        <v>726</v>
      </c>
      <c r="D526" t="s">
        <v>1639</v>
      </c>
      <c r="E526" s="44">
        <v>2813647</v>
      </c>
      <c r="F526" s="44">
        <v>9257890</v>
      </c>
      <c r="G526" s="44">
        <v>2524227</v>
      </c>
      <c r="H526" s="126">
        <v>11782117</v>
      </c>
      <c r="I526" s="127">
        <v>18367675</v>
      </c>
      <c r="J526" s="128">
        <v>707381</v>
      </c>
      <c r="K526" s="130">
        <v>30857173</v>
      </c>
      <c r="L526" s="44">
        <v>197459</v>
      </c>
      <c r="M526" s="44">
        <v>829655</v>
      </c>
      <c r="N526" s="44">
        <v>9883847</v>
      </c>
      <c r="O526" s="44">
        <v>703130</v>
      </c>
      <c r="P526" s="44">
        <v>632452</v>
      </c>
      <c r="Q526" s="44">
        <v>1515605</v>
      </c>
      <c r="R526" s="44">
        <v>247860</v>
      </c>
      <c r="S526" s="44">
        <v>99674</v>
      </c>
      <c r="T526" s="44">
        <v>1819583</v>
      </c>
      <c r="U526" s="44">
        <v>1345601</v>
      </c>
      <c r="V526" s="44">
        <v>0</v>
      </c>
      <c r="W526" s="44">
        <v>2263177</v>
      </c>
      <c r="X526" s="44">
        <v>962806</v>
      </c>
      <c r="Y526" s="44">
        <v>2717487</v>
      </c>
      <c r="Z526" s="44">
        <v>1693290</v>
      </c>
      <c r="AA526" s="44">
        <v>366350</v>
      </c>
      <c r="AB526" s="44">
        <v>200000</v>
      </c>
      <c r="AC526" s="44">
        <v>25477976</v>
      </c>
      <c r="AD526" s="44">
        <v>1463690</v>
      </c>
      <c r="AE526" s="44">
        <v>1362018</v>
      </c>
      <c r="AF526" s="44">
        <v>1282319</v>
      </c>
      <c r="AG526" s="44">
        <v>29586003</v>
      </c>
      <c r="AH526" s="44">
        <v>1498</v>
      </c>
      <c r="AI526" s="44">
        <v>20599</v>
      </c>
      <c r="AJ526" s="44">
        <v>19750</v>
      </c>
      <c r="AK526" s="44">
        <v>395618</v>
      </c>
      <c r="AL526" s="44">
        <v>114861</v>
      </c>
      <c r="AM526" s="44">
        <v>0.98799999999999999</v>
      </c>
      <c r="AN526" s="44">
        <v>0.54917022755659151</v>
      </c>
      <c r="AO526" s="44">
        <v>0.16</v>
      </c>
      <c r="AP526" s="44">
        <v>0.70917022755659154</v>
      </c>
      <c r="AQ526" s="44">
        <v>0.82879999999999998</v>
      </c>
      <c r="AR526" s="44">
        <v>19.489999999999998</v>
      </c>
    </row>
    <row r="527" spans="1:44">
      <c r="A527" t="s">
        <v>1932</v>
      </c>
      <c r="B527" t="s">
        <v>727</v>
      </c>
      <c r="D527" t="s">
        <v>1639</v>
      </c>
      <c r="E527" s="44">
        <v>52844</v>
      </c>
      <c r="F527" s="44">
        <v>6470749</v>
      </c>
      <c r="G527" s="44">
        <v>1686309</v>
      </c>
      <c r="H527" s="126">
        <v>8157058</v>
      </c>
      <c r="I527" s="127">
        <v>16214729</v>
      </c>
      <c r="J527" s="128">
        <v>305913</v>
      </c>
      <c r="K527" s="130">
        <v>24677700</v>
      </c>
      <c r="L527" s="44">
        <v>90972</v>
      </c>
      <c r="M527" s="44">
        <v>409593</v>
      </c>
      <c r="N527" s="44">
        <v>4603433</v>
      </c>
      <c r="O527" s="44">
        <v>49130</v>
      </c>
      <c r="P527" s="44">
        <v>165519</v>
      </c>
      <c r="Q527" s="44">
        <v>2239596</v>
      </c>
      <c r="R527" s="44">
        <v>6304919</v>
      </c>
      <c r="S527" s="44">
        <v>0</v>
      </c>
      <c r="T527" s="44">
        <v>331845</v>
      </c>
      <c r="U527" s="44">
        <v>275489</v>
      </c>
      <c r="V527" s="44">
        <v>0</v>
      </c>
      <c r="W527" s="44">
        <v>792868</v>
      </c>
      <c r="X527" s="44">
        <v>383244</v>
      </c>
      <c r="Y527" s="44">
        <v>1095660</v>
      </c>
      <c r="Z527" s="44">
        <v>668817</v>
      </c>
      <c r="AA527" s="44">
        <v>250425</v>
      </c>
      <c r="AB527" s="44">
        <v>0</v>
      </c>
      <c r="AC527" s="44">
        <v>17661510</v>
      </c>
      <c r="AD527" s="44">
        <v>1221274</v>
      </c>
      <c r="AE527" s="44">
        <v>515000</v>
      </c>
      <c r="AF527" s="44">
        <v>1285960</v>
      </c>
      <c r="AG527" s="44">
        <v>20683744</v>
      </c>
      <c r="AH527" s="44">
        <v>1126</v>
      </c>
      <c r="AI527" s="44">
        <v>21916</v>
      </c>
      <c r="AJ527" s="44">
        <v>18369</v>
      </c>
      <c r="AK527" s="44">
        <v>437937</v>
      </c>
      <c r="AL527" s="44">
        <v>115539</v>
      </c>
      <c r="AM527" s="44">
        <v>1.0459999999999998</v>
      </c>
      <c r="AN527" s="44">
        <v>0.67540629974921373</v>
      </c>
      <c r="AO527" s="44">
        <v>9.0999999999999998E-2</v>
      </c>
      <c r="AP527" s="44">
        <v>0.7664062997492137</v>
      </c>
      <c r="AQ527" s="44">
        <v>0.84</v>
      </c>
      <c r="AR527" s="44">
        <v>18.59</v>
      </c>
    </row>
    <row r="528" spans="1:44">
      <c r="A528" t="s">
        <v>1934</v>
      </c>
      <c r="B528" t="s">
        <v>728</v>
      </c>
      <c r="D528" t="s">
        <v>1639</v>
      </c>
      <c r="E528" s="44">
        <v>1333256</v>
      </c>
      <c r="F528" s="44">
        <v>40624984</v>
      </c>
      <c r="G528" s="44">
        <v>6238143</v>
      </c>
      <c r="H528" s="126">
        <v>46863127</v>
      </c>
      <c r="I528" s="127">
        <v>44026468</v>
      </c>
      <c r="J528" s="128">
        <v>4130519</v>
      </c>
      <c r="K528" s="130">
        <v>95020114</v>
      </c>
      <c r="L528" s="44">
        <v>481300</v>
      </c>
      <c r="M528" s="44">
        <v>1646327</v>
      </c>
      <c r="N528" s="44">
        <v>31874410</v>
      </c>
      <c r="O528" s="44">
        <v>1841267</v>
      </c>
      <c r="P528" s="44">
        <v>2941605</v>
      </c>
      <c r="Q528" s="44">
        <v>7931226</v>
      </c>
      <c r="R528" s="44">
        <v>1027044</v>
      </c>
      <c r="S528" s="44">
        <v>903648</v>
      </c>
      <c r="T528" s="44">
        <v>4998455</v>
      </c>
      <c r="U528" s="44">
        <v>2933556</v>
      </c>
      <c r="V528" s="44">
        <v>4792</v>
      </c>
      <c r="W528" s="44">
        <v>5247797</v>
      </c>
      <c r="X528" s="44">
        <v>2779492</v>
      </c>
      <c r="Y528" s="44">
        <v>9178354</v>
      </c>
      <c r="Z528" s="44">
        <v>5730440</v>
      </c>
      <c r="AA528" s="44">
        <v>1942038</v>
      </c>
      <c r="AB528" s="44">
        <v>0</v>
      </c>
      <c r="AC528" s="44">
        <v>81461751</v>
      </c>
      <c r="AD528" s="44">
        <v>5350379</v>
      </c>
      <c r="AE528" s="44">
        <v>1325000</v>
      </c>
      <c r="AF528" s="44">
        <v>1587741</v>
      </c>
      <c r="AG528" s="44">
        <v>89724871</v>
      </c>
      <c r="AH528" s="44">
        <v>4597</v>
      </c>
      <c r="AI528" s="44">
        <v>20670</v>
      </c>
      <c r="AJ528" s="44">
        <v>19518</v>
      </c>
      <c r="AK528" s="44">
        <v>403894</v>
      </c>
      <c r="AL528" s="44">
        <v>75286</v>
      </c>
      <c r="AM528" s="44">
        <v>0.83699999999999997</v>
      </c>
      <c r="AN528" s="44">
        <v>0.60686864626420023</v>
      </c>
      <c r="AO528" s="44">
        <v>0.17699999999999999</v>
      </c>
      <c r="AP528" s="44">
        <v>0.78386864626420016</v>
      </c>
      <c r="AQ528" s="44">
        <v>0.86150000000000004</v>
      </c>
      <c r="AR528" s="44">
        <v>13.72</v>
      </c>
    </row>
    <row r="529" spans="1:44">
      <c r="A529" t="s">
        <v>1900</v>
      </c>
      <c r="B529" t="s">
        <v>729</v>
      </c>
      <c r="D529" t="s">
        <v>1639</v>
      </c>
      <c r="E529" s="44">
        <v>4327458</v>
      </c>
      <c r="F529" s="44">
        <v>2238604</v>
      </c>
      <c r="G529" s="44">
        <v>455077</v>
      </c>
      <c r="H529" s="126">
        <v>2693681</v>
      </c>
      <c r="I529" s="127">
        <v>49070897</v>
      </c>
      <c r="J529" s="128">
        <v>657572</v>
      </c>
      <c r="K529" s="130">
        <v>52422150</v>
      </c>
      <c r="L529" s="44">
        <v>647321</v>
      </c>
      <c r="M529" s="44">
        <v>853513</v>
      </c>
      <c r="N529" s="44">
        <v>16467344</v>
      </c>
      <c r="O529" s="44">
        <v>1413494</v>
      </c>
      <c r="P529" s="44">
        <v>1713970</v>
      </c>
      <c r="Q529" s="44">
        <v>1411669</v>
      </c>
      <c r="R529" s="44">
        <v>315697</v>
      </c>
      <c r="S529" s="44">
        <v>142457</v>
      </c>
      <c r="T529" s="44">
        <v>4262655</v>
      </c>
      <c r="U529" s="44">
        <v>2871095</v>
      </c>
      <c r="V529" s="44">
        <v>92814</v>
      </c>
      <c r="W529" s="44">
        <v>3026187</v>
      </c>
      <c r="X529" s="44">
        <v>1727758</v>
      </c>
      <c r="Y529" s="44">
        <v>5302816</v>
      </c>
      <c r="Z529" s="44">
        <v>2954026</v>
      </c>
      <c r="AA529" s="44">
        <v>599602</v>
      </c>
      <c r="AB529" s="44">
        <v>1154944</v>
      </c>
      <c r="AC529" s="44">
        <v>44957362</v>
      </c>
      <c r="AD529" s="44">
        <v>1748389</v>
      </c>
      <c r="AE529" s="44">
        <v>675000</v>
      </c>
      <c r="AF529" s="44">
        <v>1301158</v>
      </c>
      <c r="AG529" s="44">
        <v>48681909</v>
      </c>
      <c r="AH529" s="44">
        <v>1925</v>
      </c>
      <c r="AI529" s="44">
        <v>27232</v>
      </c>
      <c r="AJ529" s="44">
        <v>25289</v>
      </c>
      <c r="AK529" s="44">
        <v>4678391</v>
      </c>
      <c r="AL529" s="44">
        <v>324183</v>
      </c>
      <c r="AM529" s="44">
        <v>7.45</v>
      </c>
      <c r="AN529" s="44">
        <v>0.5874539759728814</v>
      </c>
      <c r="AO529" s="44">
        <v>0.182</v>
      </c>
      <c r="AP529" s="44">
        <v>0.76945397597288134</v>
      </c>
      <c r="AQ529" s="44">
        <v>0.85440000000000005</v>
      </c>
      <c r="AR529" s="44">
        <v>5.14</v>
      </c>
    </row>
    <row r="530" spans="1:44">
      <c r="A530" t="s">
        <v>730</v>
      </c>
      <c r="B530" t="s">
        <v>731</v>
      </c>
      <c r="D530" t="s">
        <v>1639</v>
      </c>
      <c r="E530" s="44">
        <v>847275</v>
      </c>
      <c r="F530" s="44">
        <v>236803</v>
      </c>
      <c r="G530" s="44">
        <v>53024</v>
      </c>
      <c r="H530" s="126">
        <v>289827</v>
      </c>
      <c r="I530" s="127">
        <v>6198644</v>
      </c>
      <c r="J530" s="128">
        <v>89208</v>
      </c>
      <c r="K530" s="130">
        <v>6577679</v>
      </c>
      <c r="L530" s="44">
        <v>153827</v>
      </c>
      <c r="M530" s="44">
        <v>295963</v>
      </c>
      <c r="N530" s="44">
        <v>1812871</v>
      </c>
      <c r="O530" s="44">
        <v>73825</v>
      </c>
      <c r="P530" s="44">
        <v>0</v>
      </c>
      <c r="Q530" s="44">
        <v>34746</v>
      </c>
      <c r="R530" s="44">
        <v>1141258</v>
      </c>
      <c r="S530" s="44">
        <v>0</v>
      </c>
      <c r="T530" s="44">
        <v>252251</v>
      </c>
      <c r="U530" s="44">
        <v>379743</v>
      </c>
      <c r="V530" s="44">
        <v>21973</v>
      </c>
      <c r="W530" s="44">
        <v>393380</v>
      </c>
      <c r="X530" s="44">
        <v>174966</v>
      </c>
      <c r="Y530" s="44">
        <v>423138</v>
      </c>
      <c r="Z530" s="44">
        <v>274514</v>
      </c>
      <c r="AA530" s="44">
        <v>137854</v>
      </c>
      <c r="AB530" s="44">
        <v>145000</v>
      </c>
      <c r="AC530" s="44">
        <v>5715309</v>
      </c>
      <c r="AD530" s="44">
        <v>100374</v>
      </c>
      <c r="AE530" s="44">
        <v>170000</v>
      </c>
      <c r="AF530" s="44">
        <v>95399</v>
      </c>
      <c r="AG530" s="44">
        <v>6081082</v>
      </c>
      <c r="AH530" s="44">
        <v>165</v>
      </c>
      <c r="AI530" s="44">
        <v>39865</v>
      </c>
      <c r="AJ530" s="44">
        <v>36855</v>
      </c>
      <c r="AK530" s="44">
        <v>12949644</v>
      </c>
      <c r="AL530" s="44">
        <v>1516875</v>
      </c>
      <c r="AM530" s="44">
        <v>23.166</v>
      </c>
      <c r="AN530" s="44">
        <v>0.60757181041137087</v>
      </c>
      <c r="AO530" s="44">
        <v>0.114</v>
      </c>
      <c r="AP530" s="44">
        <v>0.72157181041137086</v>
      </c>
      <c r="AQ530" s="44">
        <v>0.7329</v>
      </c>
      <c r="AR530" s="44">
        <v>2.13</v>
      </c>
    </row>
    <row r="531" spans="1:44">
      <c r="A531" t="s">
        <v>1904</v>
      </c>
      <c r="B531" t="s">
        <v>732</v>
      </c>
      <c r="D531" t="s">
        <v>1639</v>
      </c>
      <c r="E531" s="44">
        <v>1673577</v>
      </c>
      <c r="F531" s="44">
        <v>863528</v>
      </c>
      <c r="G531" s="44">
        <v>523824</v>
      </c>
      <c r="H531" s="126">
        <v>1387352</v>
      </c>
      <c r="I531" s="127">
        <v>16571686</v>
      </c>
      <c r="J531" s="128">
        <v>260082</v>
      </c>
      <c r="K531" s="130">
        <v>18219120</v>
      </c>
      <c r="L531" s="44">
        <v>83603</v>
      </c>
      <c r="M531" s="44">
        <v>348343</v>
      </c>
      <c r="N531" s="44">
        <v>4404296</v>
      </c>
      <c r="O531" s="44">
        <v>237670</v>
      </c>
      <c r="P531" s="44">
        <v>119700</v>
      </c>
      <c r="Q531" s="44">
        <v>646795</v>
      </c>
      <c r="R531" s="44">
        <v>4783704</v>
      </c>
      <c r="S531" s="44">
        <v>222745</v>
      </c>
      <c r="T531" s="44">
        <v>1260141</v>
      </c>
      <c r="U531" s="44">
        <v>998080</v>
      </c>
      <c r="V531" s="44">
        <v>0</v>
      </c>
      <c r="W531" s="44">
        <v>783265</v>
      </c>
      <c r="X531" s="44">
        <v>515660</v>
      </c>
      <c r="Y531" s="44">
        <v>1343010</v>
      </c>
      <c r="Z531" s="44">
        <v>621003</v>
      </c>
      <c r="AA531" s="44">
        <v>176960</v>
      </c>
      <c r="AB531" s="44">
        <v>3000</v>
      </c>
      <c r="AC531" s="44">
        <v>16547975</v>
      </c>
      <c r="AD531" s="44">
        <v>1060451</v>
      </c>
      <c r="AE531" s="44">
        <v>75000</v>
      </c>
      <c r="AF531" s="44">
        <v>158088</v>
      </c>
      <c r="AG531" s="44">
        <v>17841514</v>
      </c>
      <c r="AH531" s="44">
        <v>853</v>
      </c>
      <c r="AI531" s="44">
        <v>21359</v>
      </c>
      <c r="AJ531" s="44">
        <v>20916</v>
      </c>
      <c r="AK531" s="44">
        <v>2018430</v>
      </c>
      <c r="AL531" s="44">
        <v>112057</v>
      </c>
      <c r="AM531" s="44">
        <v>3.1</v>
      </c>
      <c r="AN531" s="44">
        <v>0.71031701681819159</v>
      </c>
      <c r="AO531" s="44">
        <v>0.123</v>
      </c>
      <c r="AP531" s="44">
        <v>0.83331701681819159</v>
      </c>
      <c r="AQ531" s="44">
        <v>0.8569</v>
      </c>
      <c r="AR531" s="44">
        <v>6.05</v>
      </c>
    </row>
    <row r="532" spans="1:44">
      <c r="A532" t="s">
        <v>1906</v>
      </c>
      <c r="B532" t="s">
        <v>733</v>
      </c>
      <c r="D532" t="s">
        <v>1639</v>
      </c>
      <c r="E532" s="44">
        <v>3285615</v>
      </c>
      <c r="F532" s="44">
        <v>1563980</v>
      </c>
      <c r="G532" s="44">
        <v>773845</v>
      </c>
      <c r="H532" s="126">
        <v>2337825</v>
      </c>
      <c r="I532" s="127">
        <v>25023627</v>
      </c>
      <c r="J532" s="128">
        <v>227350</v>
      </c>
      <c r="K532" s="130">
        <v>27588802</v>
      </c>
      <c r="L532" s="44">
        <v>204478</v>
      </c>
      <c r="M532" s="44">
        <v>719540</v>
      </c>
      <c r="N532" s="44">
        <v>10022165</v>
      </c>
      <c r="O532" s="44">
        <v>700812</v>
      </c>
      <c r="P532" s="44">
        <v>621054</v>
      </c>
      <c r="Q532" s="44">
        <v>647786</v>
      </c>
      <c r="R532" s="44">
        <v>22088</v>
      </c>
      <c r="S532" s="44">
        <v>585018</v>
      </c>
      <c r="T532" s="44">
        <v>1662512</v>
      </c>
      <c r="U532" s="44">
        <v>1439346</v>
      </c>
      <c r="V532" s="44">
        <v>81650</v>
      </c>
      <c r="W532" s="44">
        <v>1751184</v>
      </c>
      <c r="X532" s="44">
        <v>1018562</v>
      </c>
      <c r="Y532" s="44">
        <v>2441335</v>
      </c>
      <c r="Z532" s="44">
        <v>1289906</v>
      </c>
      <c r="AA532" s="44">
        <v>380377</v>
      </c>
      <c r="AB532" s="44">
        <v>0</v>
      </c>
      <c r="AC532" s="44">
        <v>23587813</v>
      </c>
      <c r="AD532" s="44">
        <v>1221505</v>
      </c>
      <c r="AE532" s="44">
        <v>985000</v>
      </c>
      <c r="AF532" s="44">
        <v>886715</v>
      </c>
      <c r="AG532" s="44">
        <v>26681033</v>
      </c>
      <c r="AH532" s="44">
        <v>876</v>
      </c>
      <c r="AI532" s="44">
        <v>31494</v>
      </c>
      <c r="AJ532" s="44">
        <v>30458</v>
      </c>
      <c r="AK532" s="44">
        <v>2934786</v>
      </c>
      <c r="AL532" s="44">
        <v>248319</v>
      </c>
      <c r="AM532" s="44">
        <v>4.8579999999999997</v>
      </c>
      <c r="AN532" s="44">
        <v>0.58846226081276543</v>
      </c>
      <c r="AO532" s="44">
        <v>0.161</v>
      </c>
      <c r="AP532" s="44">
        <v>0.74946226081276546</v>
      </c>
      <c r="AQ532" s="44">
        <v>0.84740000000000004</v>
      </c>
      <c r="AR532" s="44">
        <v>5.44</v>
      </c>
    </row>
    <row r="533" spans="1:44">
      <c r="A533" t="s">
        <v>1908</v>
      </c>
      <c r="B533" t="s">
        <v>734</v>
      </c>
      <c r="D533" t="s">
        <v>1639</v>
      </c>
      <c r="E533" s="44">
        <v>1082639</v>
      </c>
      <c r="F533" s="44">
        <v>621149</v>
      </c>
      <c r="G533" s="44">
        <v>223565</v>
      </c>
      <c r="H533" s="126">
        <v>844714</v>
      </c>
      <c r="I533" s="127">
        <v>12131654</v>
      </c>
      <c r="J533" s="128">
        <v>168365</v>
      </c>
      <c r="K533" s="130">
        <v>13144733</v>
      </c>
      <c r="L533" s="44">
        <v>172872</v>
      </c>
      <c r="M533" s="44">
        <v>209028</v>
      </c>
      <c r="N533" s="44">
        <v>3465992</v>
      </c>
      <c r="O533" s="44">
        <v>171604</v>
      </c>
      <c r="P533" s="44">
        <v>48608</v>
      </c>
      <c r="Q533" s="44">
        <v>301389</v>
      </c>
      <c r="R533" s="44">
        <v>2627347</v>
      </c>
      <c r="S533" s="44">
        <v>0</v>
      </c>
      <c r="T533" s="44">
        <v>644569</v>
      </c>
      <c r="U533" s="44">
        <v>628875</v>
      </c>
      <c r="V533" s="44">
        <v>0</v>
      </c>
      <c r="W533" s="44">
        <v>566741</v>
      </c>
      <c r="X533" s="44">
        <v>344476</v>
      </c>
      <c r="Y533" s="44">
        <v>943826</v>
      </c>
      <c r="Z533" s="44">
        <v>472843</v>
      </c>
      <c r="AA533" s="44">
        <v>198109</v>
      </c>
      <c r="AB533" s="44">
        <v>483500</v>
      </c>
      <c r="AC533" s="44">
        <v>11279779</v>
      </c>
      <c r="AD533" s="44">
        <v>1020385</v>
      </c>
      <c r="AE533" s="44">
        <v>300000</v>
      </c>
      <c r="AF533" s="44">
        <v>248729</v>
      </c>
      <c r="AG533" s="44">
        <v>12848893</v>
      </c>
      <c r="AH533" s="44">
        <v>495</v>
      </c>
      <c r="AI533" s="44">
        <v>26555</v>
      </c>
      <c r="AJ533" s="44">
        <v>25957</v>
      </c>
      <c r="AK533" s="44">
        <v>4084469</v>
      </c>
      <c r="AL533" s="44">
        <v>154276</v>
      </c>
      <c r="AM533" s="44">
        <v>5.976</v>
      </c>
      <c r="AN533" s="44">
        <v>0.61393491252514909</v>
      </c>
      <c r="AO533" s="44">
        <v>0.123</v>
      </c>
      <c r="AP533" s="44">
        <v>0.73693491252514909</v>
      </c>
      <c r="AQ533" s="44">
        <v>0.83679999999999999</v>
      </c>
      <c r="AR533" s="44">
        <v>3.74</v>
      </c>
    </row>
    <row r="534" spans="1:44">
      <c r="A534" t="s">
        <v>735</v>
      </c>
      <c r="B534" t="s">
        <v>736</v>
      </c>
      <c r="D534" t="s">
        <v>1639</v>
      </c>
      <c r="E534" s="44">
        <v>1687960</v>
      </c>
      <c r="F534" s="44">
        <v>10860274</v>
      </c>
      <c r="G534" s="44">
        <v>3852603</v>
      </c>
      <c r="H534" s="126">
        <v>14712877</v>
      </c>
      <c r="I534" s="127">
        <v>28634208</v>
      </c>
      <c r="J534" s="128">
        <v>667222</v>
      </c>
      <c r="K534" s="130">
        <v>44014307</v>
      </c>
      <c r="L534" s="44">
        <v>213655</v>
      </c>
      <c r="M534" s="44">
        <v>1169978</v>
      </c>
      <c r="N534" s="44">
        <v>16122554</v>
      </c>
      <c r="O534" s="44">
        <v>621263</v>
      </c>
      <c r="P534" s="44">
        <v>1510089</v>
      </c>
      <c r="Q534" s="44">
        <v>2214585</v>
      </c>
      <c r="R534" s="44">
        <v>75865</v>
      </c>
      <c r="S534" s="44">
        <v>59275</v>
      </c>
      <c r="T534" s="44">
        <v>2598145</v>
      </c>
      <c r="U534" s="44">
        <v>1744629</v>
      </c>
      <c r="V534" s="44">
        <v>2699</v>
      </c>
      <c r="W534" s="44">
        <v>3631220</v>
      </c>
      <c r="X534" s="44">
        <v>1696233</v>
      </c>
      <c r="Y534" s="44">
        <v>4515932</v>
      </c>
      <c r="Z534" s="44">
        <v>2631048</v>
      </c>
      <c r="AA534" s="44">
        <v>471912</v>
      </c>
      <c r="AB534" s="44">
        <v>0</v>
      </c>
      <c r="AC534" s="44">
        <v>39279082</v>
      </c>
      <c r="AD534" s="44">
        <v>2119353</v>
      </c>
      <c r="AE534" s="44">
        <v>1145000</v>
      </c>
      <c r="AF534" s="44">
        <v>1178721</v>
      </c>
      <c r="AG534" s="44">
        <v>43722156</v>
      </c>
      <c r="AH534" s="44">
        <v>2518</v>
      </c>
      <c r="AI534" s="44">
        <v>17480</v>
      </c>
      <c r="AJ534" s="44">
        <v>17364</v>
      </c>
      <c r="AK534" s="44">
        <v>576141</v>
      </c>
      <c r="AL534" s="44">
        <v>104017</v>
      </c>
      <c r="AM534" s="44">
        <v>1.179</v>
      </c>
      <c r="AN534" s="44">
        <v>0.57056667104888426</v>
      </c>
      <c r="AO534" s="44">
        <v>0.17499999999999999</v>
      </c>
      <c r="AP534" s="44">
        <v>0.74556667104888419</v>
      </c>
      <c r="AQ534" s="44">
        <v>0.8296</v>
      </c>
      <c r="AR534" s="44">
        <v>13.71</v>
      </c>
    </row>
    <row r="535" spans="1:44">
      <c r="A535" t="s">
        <v>737</v>
      </c>
      <c r="B535" t="s">
        <v>738</v>
      </c>
      <c r="D535" t="s">
        <v>1639</v>
      </c>
      <c r="E535" s="44">
        <v>2834104</v>
      </c>
      <c r="F535" s="44">
        <v>2920439</v>
      </c>
      <c r="G535" s="44">
        <v>1937514</v>
      </c>
      <c r="H535" s="126">
        <v>4857953</v>
      </c>
      <c r="I535" s="127">
        <v>42377616</v>
      </c>
      <c r="J535" s="128">
        <v>349202</v>
      </c>
      <c r="K535" s="130">
        <v>47584771</v>
      </c>
      <c r="L535" s="44">
        <v>261725</v>
      </c>
      <c r="M535" s="44">
        <v>1418586</v>
      </c>
      <c r="N535" s="44">
        <v>16246567</v>
      </c>
      <c r="O535" s="44">
        <v>1081986</v>
      </c>
      <c r="P535" s="44">
        <v>914968</v>
      </c>
      <c r="Q535" s="44">
        <v>885363</v>
      </c>
      <c r="R535" s="44">
        <v>0</v>
      </c>
      <c r="S535" s="44">
        <v>589380</v>
      </c>
      <c r="T535" s="44">
        <v>3491317</v>
      </c>
      <c r="U535" s="44">
        <v>1948314</v>
      </c>
      <c r="V535" s="44">
        <v>0</v>
      </c>
      <c r="W535" s="44">
        <v>3422301</v>
      </c>
      <c r="X535" s="44">
        <v>1722195</v>
      </c>
      <c r="Y535" s="44">
        <v>4444418</v>
      </c>
      <c r="Z535" s="44">
        <v>2257174</v>
      </c>
      <c r="AA535" s="44">
        <v>572627</v>
      </c>
      <c r="AB535" s="44">
        <v>175000</v>
      </c>
      <c r="AC535" s="44">
        <v>39431921</v>
      </c>
      <c r="AD535" s="44">
        <v>3155204</v>
      </c>
      <c r="AE535" s="44">
        <v>1650000</v>
      </c>
      <c r="AF535" s="44">
        <v>1737017</v>
      </c>
      <c r="AG535" s="44">
        <v>45974142</v>
      </c>
      <c r="AH535" s="44">
        <v>2046</v>
      </c>
      <c r="AI535" s="44">
        <v>23257</v>
      </c>
      <c r="AJ535" s="44">
        <v>22470</v>
      </c>
      <c r="AK535" s="44">
        <v>1082389</v>
      </c>
      <c r="AL535" s="44">
        <v>361064</v>
      </c>
      <c r="AM535" s="44">
        <v>2.8970000000000002</v>
      </c>
      <c r="AN535" s="44">
        <v>0.54721836896923493</v>
      </c>
      <c r="AO535" s="44">
        <v>0.159</v>
      </c>
      <c r="AP535" s="44">
        <v>0.70621836896923496</v>
      </c>
      <c r="AQ535" s="44">
        <v>0.82679999999999998</v>
      </c>
      <c r="AR535" s="44">
        <v>12.78</v>
      </c>
    </row>
    <row r="536" spans="1:44">
      <c r="A536" t="s">
        <v>739</v>
      </c>
      <c r="B536" t="s">
        <v>740</v>
      </c>
      <c r="D536" t="s">
        <v>1639</v>
      </c>
      <c r="E536" s="44">
        <v>4325056</v>
      </c>
      <c r="F536" s="44">
        <v>10450874</v>
      </c>
      <c r="G536" s="44">
        <v>9075482</v>
      </c>
      <c r="H536" s="126">
        <v>19526356</v>
      </c>
      <c r="I536" s="127">
        <v>77283436</v>
      </c>
      <c r="J536" s="128">
        <v>2305108</v>
      </c>
      <c r="K536" s="130">
        <v>99114900</v>
      </c>
      <c r="L536" s="44">
        <v>566449</v>
      </c>
      <c r="M536" s="44">
        <v>1722715</v>
      </c>
      <c r="N536" s="44">
        <v>32896424</v>
      </c>
      <c r="O536" s="44">
        <v>1442207</v>
      </c>
      <c r="P536" s="44">
        <v>2353312</v>
      </c>
      <c r="Q536" s="44">
        <v>6341084</v>
      </c>
      <c r="R536" s="44">
        <v>803632</v>
      </c>
      <c r="S536" s="44">
        <v>747207</v>
      </c>
      <c r="T536" s="44">
        <v>7512841</v>
      </c>
      <c r="U536" s="44">
        <v>4217991</v>
      </c>
      <c r="V536" s="44">
        <v>0</v>
      </c>
      <c r="W536" s="44">
        <v>5892359</v>
      </c>
      <c r="X536" s="44">
        <v>3303485</v>
      </c>
      <c r="Y536" s="44">
        <v>11589550</v>
      </c>
      <c r="Z536" s="44">
        <v>5607674</v>
      </c>
      <c r="AA536" s="44">
        <v>1055730</v>
      </c>
      <c r="AB536" s="44">
        <v>3959</v>
      </c>
      <c r="AC536" s="44">
        <v>86056619</v>
      </c>
      <c r="AD536" s="44">
        <v>7088151</v>
      </c>
      <c r="AE536" s="44">
        <v>1981828</v>
      </c>
      <c r="AF536" s="44">
        <v>1231961</v>
      </c>
      <c r="AG536" s="44">
        <v>96358559</v>
      </c>
      <c r="AH536" s="44">
        <v>4268</v>
      </c>
      <c r="AI536" s="44">
        <v>23223</v>
      </c>
      <c r="AJ536" s="44">
        <v>22577</v>
      </c>
      <c r="AK536" s="44">
        <v>834601</v>
      </c>
      <c r="AL536" s="44">
        <v>368122</v>
      </c>
      <c r="AM536" s="44">
        <v>2.6019999999999999</v>
      </c>
      <c r="AN536" s="44">
        <v>0.58442860275650244</v>
      </c>
      <c r="AO536" s="44">
        <v>0.189</v>
      </c>
      <c r="AP536" s="44">
        <v>0.77342860275650249</v>
      </c>
      <c r="AQ536" s="44">
        <v>0.86519999999999997</v>
      </c>
      <c r="AR536" s="44">
        <v>14.45</v>
      </c>
    </row>
    <row r="537" spans="1:44">
      <c r="A537" t="s">
        <v>741</v>
      </c>
      <c r="B537" t="s">
        <v>742</v>
      </c>
      <c r="D537" t="s">
        <v>1639</v>
      </c>
      <c r="E537" s="44">
        <v>6063494</v>
      </c>
      <c r="F537" s="44">
        <v>9786466</v>
      </c>
      <c r="G537" s="44">
        <v>8499468</v>
      </c>
      <c r="H537" s="126">
        <v>18285934</v>
      </c>
      <c r="I537" s="127">
        <v>109925715</v>
      </c>
      <c r="J537" s="128">
        <v>2140904</v>
      </c>
      <c r="K537" s="130">
        <v>130352553</v>
      </c>
      <c r="L537" s="44">
        <v>611778</v>
      </c>
      <c r="M537" s="44">
        <v>1791050</v>
      </c>
      <c r="N537" s="44">
        <v>46898727</v>
      </c>
      <c r="O537" s="44">
        <v>3336241</v>
      </c>
      <c r="P537" s="44">
        <v>3481774</v>
      </c>
      <c r="Q537" s="44">
        <v>6165580</v>
      </c>
      <c r="R537" s="44">
        <v>270026</v>
      </c>
      <c r="S537" s="44">
        <v>480122</v>
      </c>
      <c r="T537" s="44">
        <v>10469779</v>
      </c>
      <c r="U537" s="44">
        <v>4654729</v>
      </c>
      <c r="V537" s="44">
        <v>424935</v>
      </c>
      <c r="W537" s="44">
        <v>9402676</v>
      </c>
      <c r="X537" s="44">
        <v>4876520</v>
      </c>
      <c r="Y537" s="44">
        <v>12006008</v>
      </c>
      <c r="Z537" s="44">
        <v>7886084</v>
      </c>
      <c r="AA537" s="44">
        <v>1922053</v>
      </c>
      <c r="AB537" s="44">
        <v>794000</v>
      </c>
      <c r="AC537" s="44">
        <v>115472082</v>
      </c>
      <c r="AD537" s="44">
        <v>5942076</v>
      </c>
      <c r="AE537" s="44">
        <v>2930325</v>
      </c>
      <c r="AF537" s="44">
        <v>3044946</v>
      </c>
      <c r="AG537" s="44">
        <v>127389429</v>
      </c>
      <c r="AH537" s="44">
        <v>6387</v>
      </c>
      <c r="AI537" s="44">
        <v>20409</v>
      </c>
      <c r="AJ537" s="44">
        <v>19945</v>
      </c>
      <c r="AK537" s="44">
        <v>1025200</v>
      </c>
      <c r="AL537" s="44">
        <v>178204</v>
      </c>
      <c r="AM537" s="44">
        <v>2.0720000000000001</v>
      </c>
      <c r="AN537" s="44">
        <v>0.59468810398702709</v>
      </c>
      <c r="AO537" s="44">
        <v>0.17</v>
      </c>
      <c r="AP537" s="44">
        <v>0.76468810398702713</v>
      </c>
      <c r="AQ537" s="44">
        <v>0.8488</v>
      </c>
      <c r="AR537" s="44">
        <v>11.78</v>
      </c>
    </row>
    <row r="538" spans="1:44">
      <c r="A538" t="s">
        <v>743</v>
      </c>
      <c r="B538" t="s">
        <v>744</v>
      </c>
      <c r="D538" t="s">
        <v>1639</v>
      </c>
      <c r="E538" s="44">
        <v>8137419</v>
      </c>
      <c r="F538" s="44">
        <v>23729845</v>
      </c>
      <c r="G538" s="44">
        <v>10597626</v>
      </c>
      <c r="H538" s="126">
        <v>34327471</v>
      </c>
      <c r="I538" s="127">
        <v>150938515</v>
      </c>
      <c r="J538" s="128">
        <v>2894306</v>
      </c>
      <c r="K538" s="130">
        <v>188160292</v>
      </c>
      <c r="L538" s="44">
        <v>271672</v>
      </c>
      <c r="M538" s="44">
        <v>2579285</v>
      </c>
      <c r="N538" s="44">
        <v>63620627</v>
      </c>
      <c r="O538" s="44">
        <v>3973402</v>
      </c>
      <c r="P538" s="44">
        <v>4373122</v>
      </c>
      <c r="Q538" s="44">
        <v>5400033</v>
      </c>
      <c r="R538" s="44">
        <v>20322</v>
      </c>
      <c r="S538" s="44">
        <v>1503270</v>
      </c>
      <c r="T538" s="44">
        <v>16223527</v>
      </c>
      <c r="U538" s="44">
        <v>7670659</v>
      </c>
      <c r="V538" s="44">
        <v>76413</v>
      </c>
      <c r="W538" s="44">
        <v>11505156</v>
      </c>
      <c r="X538" s="44">
        <v>6340247</v>
      </c>
      <c r="Y538" s="44">
        <v>18197731</v>
      </c>
      <c r="Z538" s="44">
        <v>12789222</v>
      </c>
      <c r="AA538" s="44">
        <v>2571232</v>
      </c>
      <c r="AB538" s="44">
        <v>4121516</v>
      </c>
      <c r="AC538" s="44">
        <v>161237436</v>
      </c>
      <c r="AD538" s="44">
        <v>10786990</v>
      </c>
      <c r="AE538" s="44">
        <v>23880000</v>
      </c>
      <c r="AF538" s="44">
        <v>5263666</v>
      </c>
      <c r="AG538" s="44">
        <v>201168092</v>
      </c>
      <c r="AH538" s="44">
        <v>10270</v>
      </c>
      <c r="AI538" s="44">
        <v>18321</v>
      </c>
      <c r="AJ538" s="44">
        <v>19588</v>
      </c>
      <c r="AK538" s="44">
        <v>808294</v>
      </c>
      <c r="AL538" s="44">
        <v>146540</v>
      </c>
      <c r="AM538" s="44">
        <v>1.6579999999999999</v>
      </c>
      <c r="AN538" s="44">
        <v>0.51094068138798077</v>
      </c>
      <c r="AO538" s="44">
        <v>0.16300000000000001</v>
      </c>
      <c r="AP538" s="44">
        <v>0.6739406813879808</v>
      </c>
      <c r="AQ538" s="44">
        <v>0.86219999999999997</v>
      </c>
      <c r="AR538" s="44">
        <v>12.55</v>
      </c>
    </row>
    <row r="539" spans="1:44">
      <c r="A539" t="s">
        <v>745</v>
      </c>
      <c r="B539" t="s">
        <v>746</v>
      </c>
      <c r="D539" t="s">
        <v>1639</v>
      </c>
      <c r="E539" s="44">
        <v>3032545</v>
      </c>
      <c r="F539" s="44">
        <v>12510724</v>
      </c>
      <c r="G539" s="44">
        <v>5545078</v>
      </c>
      <c r="H539" s="126">
        <v>18055802</v>
      </c>
      <c r="I539" s="127">
        <v>44834151</v>
      </c>
      <c r="J539" s="128">
        <v>947662</v>
      </c>
      <c r="K539" s="130">
        <v>63837615</v>
      </c>
      <c r="L539" s="44">
        <v>295302</v>
      </c>
      <c r="M539" s="44">
        <v>1580075</v>
      </c>
      <c r="N539" s="44">
        <v>19994321</v>
      </c>
      <c r="O539" s="44">
        <v>757937</v>
      </c>
      <c r="P539" s="44">
        <v>1351859</v>
      </c>
      <c r="Q539" s="44">
        <v>3467642</v>
      </c>
      <c r="R539" s="44">
        <v>271501</v>
      </c>
      <c r="S539" s="44">
        <v>711902</v>
      </c>
      <c r="T539" s="44">
        <v>4517721</v>
      </c>
      <c r="U539" s="44">
        <v>3166338</v>
      </c>
      <c r="V539" s="44">
        <v>0</v>
      </c>
      <c r="W539" s="44">
        <v>4281710</v>
      </c>
      <c r="X539" s="44">
        <v>1905775</v>
      </c>
      <c r="Y539" s="44">
        <v>6408582</v>
      </c>
      <c r="Z539" s="44">
        <v>3252597</v>
      </c>
      <c r="AA539" s="44">
        <v>594557</v>
      </c>
      <c r="AB539" s="44">
        <v>600000</v>
      </c>
      <c r="AC539" s="44">
        <v>53157819</v>
      </c>
      <c r="AD539" s="44">
        <v>3600026</v>
      </c>
      <c r="AE539" s="44">
        <v>2747122</v>
      </c>
      <c r="AF539" s="44">
        <v>2388040</v>
      </c>
      <c r="AG539" s="44">
        <v>61893007</v>
      </c>
      <c r="AH539" s="44">
        <v>3630</v>
      </c>
      <c r="AI539" s="44">
        <v>17586</v>
      </c>
      <c r="AJ539" s="44">
        <v>17050</v>
      </c>
      <c r="AK539" s="44">
        <v>566708</v>
      </c>
      <c r="AL539" s="44">
        <v>139855</v>
      </c>
      <c r="AM539" s="44">
        <v>1.3149999999999999</v>
      </c>
      <c r="AN539" s="44">
        <v>0.55320015393661515</v>
      </c>
      <c r="AO539" s="44">
        <v>0.16400000000000001</v>
      </c>
      <c r="AP539" s="44">
        <v>0.71720015393661518</v>
      </c>
      <c r="AQ539" s="44">
        <v>0.84360000000000002</v>
      </c>
      <c r="AR539" s="44">
        <v>14.9</v>
      </c>
    </row>
    <row r="540" spans="1:44">
      <c r="A540" t="s">
        <v>747</v>
      </c>
      <c r="B540" t="s">
        <v>748</v>
      </c>
      <c r="D540" t="s">
        <v>1639</v>
      </c>
      <c r="E540" s="44">
        <v>5215472</v>
      </c>
      <c r="F540" s="44">
        <v>26742378</v>
      </c>
      <c r="G540" s="44">
        <v>12488617</v>
      </c>
      <c r="H540" s="126">
        <v>39230995</v>
      </c>
      <c r="I540" s="127">
        <v>95151199</v>
      </c>
      <c r="J540" s="128">
        <v>2082880</v>
      </c>
      <c r="K540" s="130">
        <v>136465074</v>
      </c>
      <c r="L540" s="44">
        <v>666736</v>
      </c>
      <c r="M540" s="44">
        <v>1870863</v>
      </c>
      <c r="N540" s="44">
        <v>51246129</v>
      </c>
      <c r="O540" s="44">
        <v>1909260</v>
      </c>
      <c r="P540" s="44">
        <v>3131385</v>
      </c>
      <c r="Q540" s="44">
        <v>6524857</v>
      </c>
      <c r="R540" s="44">
        <v>1436091</v>
      </c>
      <c r="S540" s="44">
        <v>64840</v>
      </c>
      <c r="T540" s="44">
        <v>7991302</v>
      </c>
      <c r="U540" s="44">
        <v>4313721</v>
      </c>
      <c r="V540" s="44">
        <v>0</v>
      </c>
      <c r="W540" s="44">
        <v>12376006</v>
      </c>
      <c r="X540" s="44">
        <v>5198365</v>
      </c>
      <c r="Y540" s="44">
        <v>13292586</v>
      </c>
      <c r="Z540" s="44">
        <v>7044383</v>
      </c>
      <c r="AA540" s="44">
        <v>2040501</v>
      </c>
      <c r="AB540" s="44">
        <v>189001</v>
      </c>
      <c r="AC540" s="44">
        <v>119296026</v>
      </c>
      <c r="AD540" s="44">
        <v>8200208</v>
      </c>
      <c r="AE540" s="44">
        <v>3585000</v>
      </c>
      <c r="AF540" s="44">
        <v>4967438</v>
      </c>
      <c r="AG540" s="44">
        <v>136048672</v>
      </c>
      <c r="AH540" s="44">
        <v>7751</v>
      </c>
      <c r="AI540" s="44">
        <v>17606</v>
      </c>
      <c r="AJ540" s="44">
        <v>17552</v>
      </c>
      <c r="AK540" s="44">
        <v>565978</v>
      </c>
      <c r="AL540" s="44">
        <v>125568</v>
      </c>
      <c r="AM540" s="44">
        <v>1.2549999999999999</v>
      </c>
      <c r="AN540" s="44">
        <v>0.56316304947100104</v>
      </c>
      <c r="AO540" s="44">
        <v>0.16300000000000001</v>
      </c>
      <c r="AP540" s="44">
        <v>0.72616304947100108</v>
      </c>
      <c r="AQ540" s="44">
        <v>0.82640000000000002</v>
      </c>
      <c r="AR540" s="44">
        <v>15.01</v>
      </c>
    </row>
    <row r="541" spans="1:44">
      <c r="A541" t="s">
        <v>1936</v>
      </c>
      <c r="B541" t="s">
        <v>749</v>
      </c>
      <c r="D541" t="s">
        <v>1639</v>
      </c>
      <c r="E541" s="44">
        <v>6738571</v>
      </c>
      <c r="F541" s="44">
        <v>24488150</v>
      </c>
      <c r="G541" s="44">
        <v>11342223</v>
      </c>
      <c r="H541" s="126">
        <v>35830373</v>
      </c>
      <c r="I541" s="127">
        <v>82853582</v>
      </c>
      <c r="J541" s="128">
        <v>2044337</v>
      </c>
      <c r="K541" s="130">
        <v>120728292</v>
      </c>
      <c r="L541" s="44">
        <v>551166</v>
      </c>
      <c r="M541" s="44">
        <v>2019057</v>
      </c>
      <c r="N541" s="44">
        <v>42630905</v>
      </c>
      <c r="O541" s="44">
        <v>2012123</v>
      </c>
      <c r="P541" s="44">
        <v>2736374</v>
      </c>
      <c r="Q541" s="44">
        <v>6477355</v>
      </c>
      <c r="R541" s="44">
        <v>0</v>
      </c>
      <c r="S541" s="44">
        <v>0</v>
      </c>
      <c r="T541" s="44">
        <v>9398856</v>
      </c>
      <c r="U541" s="44">
        <v>7111509</v>
      </c>
      <c r="V541" s="44">
        <v>71895</v>
      </c>
      <c r="W541" s="44">
        <v>7944262</v>
      </c>
      <c r="X541" s="44">
        <v>4018469</v>
      </c>
      <c r="Y541" s="44">
        <v>11363820</v>
      </c>
      <c r="Z541" s="44">
        <v>7783942</v>
      </c>
      <c r="AA541" s="44">
        <v>1350222</v>
      </c>
      <c r="AB541" s="44">
        <v>0</v>
      </c>
      <c r="AC541" s="44">
        <v>105469955</v>
      </c>
      <c r="AD541" s="44">
        <v>7529444</v>
      </c>
      <c r="AE541" s="44">
        <v>2001043</v>
      </c>
      <c r="AF541" s="44">
        <v>2182208</v>
      </c>
      <c r="AG541" s="44">
        <v>117182650</v>
      </c>
      <c r="AH541" s="44">
        <v>6049</v>
      </c>
      <c r="AI541" s="44">
        <v>19958</v>
      </c>
      <c r="AJ541" s="44">
        <v>19372</v>
      </c>
      <c r="AK541" s="44">
        <v>613327</v>
      </c>
      <c r="AL541" s="44">
        <v>107422</v>
      </c>
      <c r="AM541" s="44">
        <v>1.242</v>
      </c>
      <c r="AN541" s="44">
        <v>0.60049096005253333</v>
      </c>
      <c r="AO541" s="44">
        <v>0.16900000000000001</v>
      </c>
      <c r="AP541" s="44">
        <v>0.76949096005253337</v>
      </c>
      <c r="AQ541" s="44">
        <v>0.85450000000000004</v>
      </c>
      <c r="AR541" s="44">
        <v>15.26</v>
      </c>
    </row>
    <row r="542" spans="1:44">
      <c r="A542" t="s">
        <v>750</v>
      </c>
      <c r="B542" t="s">
        <v>751</v>
      </c>
      <c r="D542" t="s">
        <v>1639</v>
      </c>
      <c r="E542" s="44">
        <v>6948045</v>
      </c>
      <c r="F542" s="44">
        <v>34055224</v>
      </c>
      <c r="G542" s="44">
        <v>8186943</v>
      </c>
      <c r="H542" s="126">
        <v>42242167</v>
      </c>
      <c r="I542" s="127">
        <v>68864115</v>
      </c>
      <c r="J542" s="128">
        <v>3627328</v>
      </c>
      <c r="K542" s="130">
        <v>114733610</v>
      </c>
      <c r="L542" s="44">
        <v>283349</v>
      </c>
      <c r="M542" s="44">
        <v>1711077</v>
      </c>
      <c r="N542" s="44">
        <v>38901410</v>
      </c>
      <c r="O542" s="44">
        <v>1708461</v>
      </c>
      <c r="P542" s="44">
        <v>4327165</v>
      </c>
      <c r="Q542" s="44">
        <v>9465314</v>
      </c>
      <c r="R542" s="44">
        <v>775939</v>
      </c>
      <c r="S542" s="44">
        <v>1172032</v>
      </c>
      <c r="T542" s="44">
        <v>8949962</v>
      </c>
      <c r="U542" s="44">
        <v>4769491</v>
      </c>
      <c r="V542" s="44">
        <v>0</v>
      </c>
      <c r="W542" s="44">
        <v>7609465</v>
      </c>
      <c r="X542" s="44">
        <v>3785730</v>
      </c>
      <c r="Y542" s="44">
        <v>9869817</v>
      </c>
      <c r="Z542" s="44">
        <v>6081564</v>
      </c>
      <c r="AA542" s="44">
        <v>1320543</v>
      </c>
      <c r="AB542" s="44">
        <v>850000</v>
      </c>
      <c r="AC542" s="44">
        <v>101581319</v>
      </c>
      <c r="AD542" s="44">
        <v>6328379</v>
      </c>
      <c r="AE542" s="44">
        <v>3350000</v>
      </c>
      <c r="AF542" s="44">
        <v>2977072</v>
      </c>
      <c r="AG542" s="44">
        <v>114236770</v>
      </c>
      <c r="AH542" s="44">
        <v>5806</v>
      </c>
      <c r="AI542" s="44">
        <v>19761</v>
      </c>
      <c r="AJ542" s="44">
        <v>19676</v>
      </c>
      <c r="AK542" s="44">
        <v>428393</v>
      </c>
      <c r="AL542" s="44">
        <v>119445</v>
      </c>
      <c r="AM542" s="44">
        <v>1.05</v>
      </c>
      <c r="AN542" s="44">
        <v>0.61337320724316702</v>
      </c>
      <c r="AO542" s="44">
        <v>0.155</v>
      </c>
      <c r="AP542" s="44">
        <v>0.76837320724316704</v>
      </c>
      <c r="AQ542" s="44">
        <v>0.87060000000000004</v>
      </c>
      <c r="AR542" s="44">
        <v>17.079999999999998</v>
      </c>
    </row>
    <row r="543" spans="1:44">
      <c r="A543" t="s">
        <v>752</v>
      </c>
      <c r="B543" t="s">
        <v>753</v>
      </c>
      <c r="D543" t="s">
        <v>1639</v>
      </c>
      <c r="E543" s="44">
        <v>3410788</v>
      </c>
      <c r="F543" s="44">
        <v>18114008</v>
      </c>
      <c r="G543" s="44">
        <v>5249801</v>
      </c>
      <c r="H543" s="126">
        <v>23363809</v>
      </c>
      <c r="I543" s="127">
        <v>35730012</v>
      </c>
      <c r="J543" s="128">
        <v>1238680</v>
      </c>
      <c r="K543" s="130">
        <v>60332501</v>
      </c>
      <c r="L543" s="44">
        <v>195493</v>
      </c>
      <c r="M543" s="44">
        <v>948242</v>
      </c>
      <c r="N543" s="44">
        <v>21345576</v>
      </c>
      <c r="O543" s="44">
        <v>1388627</v>
      </c>
      <c r="P543" s="44">
        <v>1282284</v>
      </c>
      <c r="Q543" s="44">
        <v>2883233</v>
      </c>
      <c r="R543" s="44">
        <v>356869</v>
      </c>
      <c r="S543" s="44">
        <v>315926</v>
      </c>
      <c r="T543" s="44">
        <v>4327551</v>
      </c>
      <c r="U543" s="44">
        <v>2416544</v>
      </c>
      <c r="V543" s="44">
        <v>0</v>
      </c>
      <c r="W543" s="44">
        <v>4457883</v>
      </c>
      <c r="X543" s="44">
        <v>2060025</v>
      </c>
      <c r="Y543" s="44">
        <v>4635809</v>
      </c>
      <c r="Z543" s="44">
        <v>2949551</v>
      </c>
      <c r="AA543" s="44">
        <v>968921</v>
      </c>
      <c r="AB543" s="44">
        <v>0</v>
      </c>
      <c r="AC543" s="44">
        <v>50532534</v>
      </c>
      <c r="AD543" s="44">
        <v>3079381</v>
      </c>
      <c r="AE543" s="44">
        <v>1825000</v>
      </c>
      <c r="AF543" s="44">
        <v>1795743</v>
      </c>
      <c r="AG543" s="44">
        <v>57232658</v>
      </c>
      <c r="AH543" s="44">
        <v>3644</v>
      </c>
      <c r="AI543" s="44">
        <v>16557</v>
      </c>
      <c r="AJ543" s="44">
        <v>15706</v>
      </c>
      <c r="AK543" s="44">
        <v>386968</v>
      </c>
      <c r="AL543" s="44">
        <v>119874</v>
      </c>
      <c r="AM543" s="44">
        <v>0.998</v>
      </c>
      <c r="AN543" s="44">
        <v>0.59959839712494223</v>
      </c>
      <c r="AO543" s="44">
        <v>0.151</v>
      </c>
      <c r="AP543" s="44">
        <v>0.75059839712494225</v>
      </c>
      <c r="AQ543" s="44">
        <v>0.84850000000000003</v>
      </c>
      <c r="AR543" s="44">
        <v>16.02</v>
      </c>
    </row>
    <row r="544" spans="1:44">
      <c r="A544" t="s">
        <v>754</v>
      </c>
      <c r="B544" t="s">
        <v>755</v>
      </c>
      <c r="D544" t="s">
        <v>1639</v>
      </c>
      <c r="E544" s="44">
        <v>4953835</v>
      </c>
      <c r="F544" s="44">
        <v>33155186</v>
      </c>
      <c r="G544" s="44">
        <v>8245069</v>
      </c>
      <c r="H544" s="126">
        <v>41400255</v>
      </c>
      <c r="I544" s="127">
        <v>49222253</v>
      </c>
      <c r="J544" s="128">
        <v>3036658</v>
      </c>
      <c r="K544" s="130">
        <v>93659166</v>
      </c>
      <c r="L544" s="44">
        <v>375100</v>
      </c>
      <c r="M544" s="44">
        <v>1026266</v>
      </c>
      <c r="N544" s="44">
        <v>33258101</v>
      </c>
      <c r="O544" s="44">
        <v>1238412</v>
      </c>
      <c r="P544" s="44">
        <v>1940147</v>
      </c>
      <c r="Q544" s="44">
        <v>3037504</v>
      </c>
      <c r="R544" s="44">
        <v>0</v>
      </c>
      <c r="S544" s="44">
        <v>521342</v>
      </c>
      <c r="T544" s="44">
        <v>6530251</v>
      </c>
      <c r="U544" s="44">
        <v>2540226</v>
      </c>
      <c r="V544" s="44">
        <v>408442</v>
      </c>
      <c r="W544" s="44">
        <v>5947494</v>
      </c>
      <c r="X544" s="44">
        <v>3212069</v>
      </c>
      <c r="Y544" s="44">
        <v>8972505</v>
      </c>
      <c r="Z544" s="44">
        <v>6349341</v>
      </c>
      <c r="AA544" s="44">
        <v>1006983</v>
      </c>
      <c r="AB544" s="44">
        <v>0</v>
      </c>
      <c r="AC544" s="44">
        <v>76364183</v>
      </c>
      <c r="AD544" s="44">
        <v>4244992</v>
      </c>
      <c r="AE544" s="44">
        <v>3830000</v>
      </c>
      <c r="AF544" s="44">
        <v>3726612</v>
      </c>
      <c r="AG544" s="44">
        <v>88165787</v>
      </c>
      <c r="AH544" s="44">
        <v>5180</v>
      </c>
      <c r="AI544" s="44">
        <v>18081</v>
      </c>
      <c r="AJ544" s="44">
        <v>17020</v>
      </c>
      <c r="AK544" s="44">
        <v>360293</v>
      </c>
      <c r="AL544" s="44">
        <v>111015</v>
      </c>
      <c r="AM544" s="44">
        <v>0.92599999999999993</v>
      </c>
      <c r="AN544" s="44">
        <v>0.55651953744823945</v>
      </c>
      <c r="AO544" s="44">
        <v>0.189</v>
      </c>
      <c r="AP544" s="44">
        <v>0.74551953744823951</v>
      </c>
      <c r="AQ544" s="44">
        <v>0.86019999999999996</v>
      </c>
      <c r="AR544" s="44">
        <v>16.79</v>
      </c>
    </row>
    <row r="545" spans="1:44">
      <c r="A545" t="s">
        <v>756</v>
      </c>
      <c r="B545" t="s">
        <v>757</v>
      </c>
      <c r="D545" t="s">
        <v>1639</v>
      </c>
      <c r="E545" s="44">
        <v>5410754</v>
      </c>
      <c r="F545" s="44">
        <v>22204673</v>
      </c>
      <c r="G545" s="44">
        <v>5991260</v>
      </c>
      <c r="H545" s="126">
        <v>28195933</v>
      </c>
      <c r="I545" s="127">
        <v>39936478</v>
      </c>
      <c r="J545" s="128">
        <v>995846</v>
      </c>
      <c r="K545" s="130">
        <v>69128257</v>
      </c>
      <c r="L545" s="44">
        <v>339922</v>
      </c>
      <c r="M545" s="44">
        <v>1301367</v>
      </c>
      <c r="N545" s="44">
        <v>22947694</v>
      </c>
      <c r="O545" s="44">
        <v>1448697</v>
      </c>
      <c r="P545" s="44">
        <v>1894220</v>
      </c>
      <c r="Q545" s="44">
        <v>4146168</v>
      </c>
      <c r="R545" s="44">
        <v>152058</v>
      </c>
      <c r="S545" s="44">
        <v>524638</v>
      </c>
      <c r="T545" s="44">
        <v>4454251</v>
      </c>
      <c r="U545" s="44">
        <v>2987817</v>
      </c>
      <c r="V545" s="44">
        <v>80187</v>
      </c>
      <c r="W545" s="44">
        <v>5787488</v>
      </c>
      <c r="X545" s="44">
        <v>2560132</v>
      </c>
      <c r="Y545" s="44">
        <v>7585499</v>
      </c>
      <c r="Z545" s="44">
        <v>3456740</v>
      </c>
      <c r="AA545" s="44">
        <v>848526</v>
      </c>
      <c r="AB545" s="44">
        <v>550000</v>
      </c>
      <c r="AC545" s="44">
        <v>61065404</v>
      </c>
      <c r="AD545" s="44">
        <v>2602562</v>
      </c>
      <c r="AE545" s="44">
        <v>2165000</v>
      </c>
      <c r="AF545" s="44">
        <v>1228593</v>
      </c>
      <c r="AG545" s="44">
        <v>67061559</v>
      </c>
      <c r="AH545" s="44">
        <v>3532</v>
      </c>
      <c r="AI545" s="44">
        <v>19572</v>
      </c>
      <c r="AJ545" s="44">
        <v>18987</v>
      </c>
      <c r="AK545" s="44">
        <v>404170</v>
      </c>
      <c r="AL545" s="44">
        <v>119864</v>
      </c>
      <c r="AM545" s="44">
        <v>1.02</v>
      </c>
      <c r="AN545" s="44">
        <v>0.57492762731626923</v>
      </c>
      <c r="AO545" s="44">
        <v>0.17799999999999999</v>
      </c>
      <c r="AP545" s="44">
        <v>0.75292762731626928</v>
      </c>
      <c r="AQ545" s="44">
        <v>0.83379999999999999</v>
      </c>
      <c r="AR545" s="44">
        <v>17.27</v>
      </c>
    </row>
    <row r="546" spans="1:44">
      <c r="A546" t="s">
        <v>758</v>
      </c>
      <c r="B546" t="s">
        <v>759</v>
      </c>
      <c r="D546" t="s">
        <v>1639</v>
      </c>
      <c r="E546" s="44">
        <v>3870210</v>
      </c>
      <c r="F546" s="44">
        <v>14534777</v>
      </c>
      <c r="G546" s="44">
        <v>4476452</v>
      </c>
      <c r="H546" s="126">
        <v>19011229</v>
      </c>
      <c r="I546" s="127">
        <v>30716962</v>
      </c>
      <c r="J546" s="128">
        <v>554537</v>
      </c>
      <c r="K546" s="130">
        <v>50282728</v>
      </c>
      <c r="L546" s="44">
        <v>236846</v>
      </c>
      <c r="M546" s="44">
        <v>1189700</v>
      </c>
      <c r="N546" s="44">
        <v>17974276</v>
      </c>
      <c r="O546" s="44">
        <v>813476</v>
      </c>
      <c r="P546" s="44">
        <v>1305671</v>
      </c>
      <c r="Q546" s="44">
        <v>3928653</v>
      </c>
      <c r="R546" s="44">
        <v>252738</v>
      </c>
      <c r="S546" s="44">
        <v>169368</v>
      </c>
      <c r="T546" s="44">
        <v>3876967</v>
      </c>
      <c r="U546" s="44">
        <v>2240611</v>
      </c>
      <c r="V546" s="44">
        <v>0</v>
      </c>
      <c r="W546" s="44">
        <v>4023527</v>
      </c>
      <c r="X546" s="44">
        <v>1873729</v>
      </c>
      <c r="Y546" s="44">
        <v>3943719</v>
      </c>
      <c r="Z546" s="44">
        <v>3326830</v>
      </c>
      <c r="AA546" s="44">
        <v>571120</v>
      </c>
      <c r="AB546" s="44">
        <v>0</v>
      </c>
      <c r="AC546" s="44">
        <v>45727231</v>
      </c>
      <c r="AD546" s="44">
        <v>1674336</v>
      </c>
      <c r="AE546" s="44">
        <v>1825000</v>
      </c>
      <c r="AF546" s="44">
        <v>2376155</v>
      </c>
      <c r="AG546" s="44">
        <v>51602722</v>
      </c>
      <c r="AH546" s="44">
        <v>2530</v>
      </c>
      <c r="AI546" s="44">
        <v>19875</v>
      </c>
      <c r="AJ546" s="44">
        <v>20396</v>
      </c>
      <c r="AK546" s="44">
        <v>467739</v>
      </c>
      <c r="AL546" s="44">
        <v>134460</v>
      </c>
      <c r="AM546" s="44">
        <v>1.1619999999999999</v>
      </c>
      <c r="AN546" s="44">
        <v>0.59225092815840219</v>
      </c>
      <c r="AO546" s="44">
        <v>0.157</v>
      </c>
      <c r="AP546" s="44">
        <v>0.74925092815840222</v>
      </c>
      <c r="AQ546" s="44">
        <v>0.84460000000000002</v>
      </c>
      <c r="AR546" s="44">
        <v>16.63</v>
      </c>
    </row>
    <row r="547" spans="1:44">
      <c r="A547" t="s">
        <v>760</v>
      </c>
      <c r="B547" t="s">
        <v>761</v>
      </c>
      <c r="D547" t="s">
        <v>1639</v>
      </c>
      <c r="E547" s="44">
        <v>5865629</v>
      </c>
      <c r="F547" s="44">
        <v>12668467</v>
      </c>
      <c r="G547" s="44">
        <v>3931479</v>
      </c>
      <c r="H547" s="126">
        <v>16599946</v>
      </c>
      <c r="I547" s="127">
        <v>63838815</v>
      </c>
      <c r="J547" s="128">
        <v>1129402</v>
      </c>
      <c r="K547" s="130">
        <v>81568163</v>
      </c>
      <c r="L547" s="44">
        <v>474735</v>
      </c>
      <c r="M547" s="44">
        <v>1904359</v>
      </c>
      <c r="N547" s="44">
        <v>27418712</v>
      </c>
      <c r="O547" s="44">
        <v>2166345</v>
      </c>
      <c r="P547" s="44">
        <v>2807897</v>
      </c>
      <c r="Q547" s="44">
        <v>3861132</v>
      </c>
      <c r="R547" s="44">
        <v>101275</v>
      </c>
      <c r="S547" s="44">
        <v>1017927</v>
      </c>
      <c r="T547" s="44">
        <v>4136217</v>
      </c>
      <c r="U547" s="44">
        <v>4087958</v>
      </c>
      <c r="V547" s="44">
        <v>108916</v>
      </c>
      <c r="W547" s="44">
        <v>7085352</v>
      </c>
      <c r="X547" s="44">
        <v>2807465</v>
      </c>
      <c r="Y547" s="44">
        <v>6381637</v>
      </c>
      <c r="Z547" s="44">
        <v>6423235</v>
      </c>
      <c r="AA547" s="44">
        <v>1472147</v>
      </c>
      <c r="AB547" s="44">
        <v>48</v>
      </c>
      <c r="AC547" s="44">
        <v>72255357</v>
      </c>
      <c r="AD547" s="44">
        <v>4431750</v>
      </c>
      <c r="AE547" s="44">
        <v>2163719</v>
      </c>
      <c r="AF547" s="44">
        <v>1772919</v>
      </c>
      <c r="AG547" s="44">
        <v>80623745</v>
      </c>
      <c r="AH547" s="44">
        <v>4164</v>
      </c>
      <c r="AI547" s="44">
        <v>19589</v>
      </c>
      <c r="AJ547" s="44">
        <v>19362</v>
      </c>
      <c r="AK547" s="44">
        <v>939088</v>
      </c>
      <c r="AL547" s="44">
        <v>143380</v>
      </c>
      <c r="AM547" s="44">
        <v>1.8159999999999998</v>
      </c>
      <c r="AN547" s="44">
        <v>0.5655587321080161</v>
      </c>
      <c r="AO547" s="44">
        <v>0.16500000000000001</v>
      </c>
      <c r="AP547" s="44">
        <v>0.73055873210801614</v>
      </c>
      <c r="AQ547" s="44">
        <v>0.81479999999999997</v>
      </c>
      <c r="AR547" s="44">
        <v>11.14</v>
      </c>
    </row>
    <row r="548" spans="1:44">
      <c r="A548" t="s">
        <v>762</v>
      </c>
      <c r="B548" t="s">
        <v>763</v>
      </c>
      <c r="D548" t="s">
        <v>1639</v>
      </c>
      <c r="E548" s="44">
        <v>7223788</v>
      </c>
      <c r="F548" s="44">
        <v>40169465</v>
      </c>
      <c r="G548" s="44">
        <v>11145657</v>
      </c>
      <c r="H548" s="126">
        <v>51315122</v>
      </c>
      <c r="I548" s="127">
        <v>87229726</v>
      </c>
      <c r="J548" s="128">
        <v>1786406</v>
      </c>
      <c r="K548" s="130">
        <v>140331254</v>
      </c>
      <c r="L548" s="44">
        <v>1343316</v>
      </c>
      <c r="M548" s="44">
        <v>1590417</v>
      </c>
      <c r="N548" s="44">
        <v>45172283</v>
      </c>
      <c r="O548" s="44">
        <v>3363927</v>
      </c>
      <c r="P548" s="44">
        <v>2754454</v>
      </c>
      <c r="Q548" s="44">
        <v>7327371</v>
      </c>
      <c r="R548" s="44">
        <v>1315983</v>
      </c>
      <c r="S548" s="44">
        <v>53225</v>
      </c>
      <c r="T548" s="44">
        <v>9967571</v>
      </c>
      <c r="U548" s="44">
        <v>3787630</v>
      </c>
      <c r="V548" s="44">
        <v>0</v>
      </c>
      <c r="W548" s="44">
        <v>10830600</v>
      </c>
      <c r="X548" s="44">
        <v>4782375</v>
      </c>
      <c r="Y548" s="44">
        <v>13629318</v>
      </c>
      <c r="Z548" s="44">
        <v>8945500</v>
      </c>
      <c r="AA548" s="44">
        <v>2650105</v>
      </c>
      <c r="AB548" s="44">
        <v>500000</v>
      </c>
      <c r="AC548" s="44">
        <v>118014075</v>
      </c>
      <c r="AD548" s="44">
        <v>6087627</v>
      </c>
      <c r="AE548" s="44">
        <v>5048425</v>
      </c>
      <c r="AF548" s="44">
        <v>4604306</v>
      </c>
      <c r="AG548" s="44">
        <v>133754433</v>
      </c>
      <c r="AH548" s="44">
        <v>7106</v>
      </c>
      <c r="AI548" s="44">
        <v>19748</v>
      </c>
      <c r="AJ548" s="44">
        <v>18823</v>
      </c>
      <c r="AK548" s="44">
        <v>499262</v>
      </c>
      <c r="AL548" s="44">
        <v>108380</v>
      </c>
      <c r="AM548" s="44">
        <v>1.097</v>
      </c>
      <c r="AN548" s="44">
        <v>0.55132710255666817</v>
      </c>
      <c r="AO548" s="44">
        <v>0.16900000000000001</v>
      </c>
      <c r="AP548" s="44">
        <v>0.72032710255666821</v>
      </c>
      <c r="AQ548" s="44">
        <v>0.81830000000000003</v>
      </c>
      <c r="AR548" s="44">
        <v>14.75</v>
      </c>
    </row>
    <row r="549" spans="1:44">
      <c r="A549" t="s">
        <v>764</v>
      </c>
      <c r="B549" t="s">
        <v>765</v>
      </c>
      <c r="D549" t="s">
        <v>1639</v>
      </c>
      <c r="E549" s="44">
        <v>4937365</v>
      </c>
      <c r="F549" s="44">
        <v>31632613</v>
      </c>
      <c r="G549" s="44">
        <v>8964266</v>
      </c>
      <c r="H549" s="126">
        <v>40596879</v>
      </c>
      <c r="I549" s="127">
        <v>53562626</v>
      </c>
      <c r="J549" s="128">
        <v>197496</v>
      </c>
      <c r="K549" s="130">
        <v>94357001</v>
      </c>
      <c r="L549" s="44">
        <v>447066</v>
      </c>
      <c r="M549" s="44">
        <v>1314031</v>
      </c>
      <c r="N549" s="44">
        <v>35713942</v>
      </c>
      <c r="O549" s="44">
        <v>1924398</v>
      </c>
      <c r="P549" s="44">
        <v>2430507</v>
      </c>
      <c r="Q549" s="44">
        <v>4775057</v>
      </c>
      <c r="R549" s="44">
        <v>159600</v>
      </c>
      <c r="S549" s="44">
        <v>843736</v>
      </c>
      <c r="T549" s="44">
        <v>4799353</v>
      </c>
      <c r="U549" s="44">
        <v>4172995</v>
      </c>
      <c r="V549" s="44">
        <v>16000</v>
      </c>
      <c r="W549" s="44">
        <v>7236638</v>
      </c>
      <c r="X549" s="44">
        <v>3571356</v>
      </c>
      <c r="Y549" s="44">
        <v>7923383</v>
      </c>
      <c r="Z549" s="44">
        <v>4886114</v>
      </c>
      <c r="AA549" s="44">
        <v>2132235</v>
      </c>
      <c r="AB549" s="44">
        <v>932080</v>
      </c>
      <c r="AC549" s="44">
        <v>83278491</v>
      </c>
      <c r="AD549" s="44">
        <v>4136305</v>
      </c>
      <c r="AE549" s="44">
        <v>3735000</v>
      </c>
      <c r="AF549" s="44">
        <v>2903783</v>
      </c>
      <c r="AG549" s="44">
        <v>94053579</v>
      </c>
      <c r="AH549" s="44">
        <v>5789</v>
      </c>
      <c r="AI549" s="44">
        <v>16299</v>
      </c>
      <c r="AJ549" s="44">
        <v>16247</v>
      </c>
      <c r="AK549" s="44">
        <v>385036</v>
      </c>
      <c r="AL549" s="44">
        <v>120295</v>
      </c>
      <c r="AM549" s="44">
        <v>0.996</v>
      </c>
      <c r="AN549" s="44">
        <v>0.58285488529894225</v>
      </c>
      <c r="AO549" s="44">
        <v>0.153</v>
      </c>
      <c r="AP549" s="44">
        <v>0.73585488529894227</v>
      </c>
      <c r="AQ549" s="44">
        <v>0.84030000000000005</v>
      </c>
      <c r="AR549" s="44">
        <v>15.25</v>
      </c>
    </row>
    <row r="550" spans="1:44">
      <c r="A550" t="s">
        <v>766</v>
      </c>
      <c r="B550" t="s">
        <v>767</v>
      </c>
      <c r="D550" t="s">
        <v>1639</v>
      </c>
      <c r="E550" s="44">
        <v>7931895</v>
      </c>
      <c r="F550" s="44">
        <v>174764891</v>
      </c>
      <c r="G550" s="44">
        <v>9203879</v>
      </c>
      <c r="H550" s="126">
        <v>183968770</v>
      </c>
      <c r="I550" s="127">
        <v>75783274</v>
      </c>
      <c r="J550" s="128">
        <v>12217222</v>
      </c>
      <c r="K550" s="130">
        <v>271969266</v>
      </c>
      <c r="L550" s="44">
        <v>733260</v>
      </c>
      <c r="M550" s="44">
        <v>3271601</v>
      </c>
      <c r="N550" s="44">
        <v>104369471</v>
      </c>
      <c r="O550" s="44">
        <v>6014347</v>
      </c>
      <c r="P550" s="44">
        <v>7303024</v>
      </c>
      <c r="Q550" s="44">
        <v>20087458</v>
      </c>
      <c r="R550" s="44">
        <v>622904</v>
      </c>
      <c r="S550" s="44">
        <v>2390759</v>
      </c>
      <c r="T550" s="44">
        <v>16358292</v>
      </c>
      <c r="U550" s="44">
        <v>12825107</v>
      </c>
      <c r="V550" s="44">
        <v>0</v>
      </c>
      <c r="W550" s="44">
        <v>17675505</v>
      </c>
      <c r="X550" s="44">
        <v>11204586</v>
      </c>
      <c r="Y550" s="44">
        <v>28632717</v>
      </c>
      <c r="Z550" s="44">
        <v>17024097</v>
      </c>
      <c r="AA550" s="44">
        <v>4136007</v>
      </c>
      <c r="AB550" s="44">
        <v>465000</v>
      </c>
      <c r="AC550" s="44">
        <v>253114135</v>
      </c>
      <c r="AD550" s="44">
        <v>14975814</v>
      </c>
      <c r="AE550" s="44">
        <v>4615000</v>
      </c>
      <c r="AF550" s="44">
        <v>3531155</v>
      </c>
      <c r="AG550" s="44">
        <v>276236104</v>
      </c>
      <c r="AH550" s="44">
        <v>16062</v>
      </c>
      <c r="AI550" s="44">
        <v>16932</v>
      </c>
      <c r="AJ550" s="44">
        <v>17198</v>
      </c>
      <c r="AK550" s="44">
        <v>199349</v>
      </c>
      <c r="AL550" s="44">
        <v>55596</v>
      </c>
      <c r="AM550" s="44">
        <v>0.48799999999999999</v>
      </c>
      <c r="AN550" s="44">
        <v>0.61531189999696778</v>
      </c>
      <c r="AO550" s="44">
        <v>0.184</v>
      </c>
      <c r="AP550" s="44">
        <v>0.79931189999696772</v>
      </c>
      <c r="AQ550" s="44">
        <v>0.874</v>
      </c>
      <c r="AR550" s="44">
        <v>13.56</v>
      </c>
    </row>
    <row r="551" spans="1:44">
      <c r="A551" t="s">
        <v>768</v>
      </c>
      <c r="B551" t="s">
        <v>769</v>
      </c>
      <c r="D551" t="s">
        <v>1639</v>
      </c>
      <c r="E551" s="44">
        <v>6028889</v>
      </c>
      <c r="F551" s="44">
        <v>68539147</v>
      </c>
      <c r="G551" s="44">
        <v>8571321</v>
      </c>
      <c r="H551" s="126">
        <v>77110468</v>
      </c>
      <c r="I551" s="127">
        <v>65440427</v>
      </c>
      <c r="J551" s="128">
        <v>6598965</v>
      </c>
      <c r="K551" s="130">
        <v>149149860</v>
      </c>
      <c r="L551" s="44">
        <v>340374</v>
      </c>
      <c r="M551" s="44">
        <v>2941479</v>
      </c>
      <c r="N551" s="44">
        <v>52242558</v>
      </c>
      <c r="O551" s="44">
        <v>2010183</v>
      </c>
      <c r="P551" s="44">
        <v>2736166</v>
      </c>
      <c r="Q551" s="44">
        <v>12983761</v>
      </c>
      <c r="R551" s="44">
        <v>511375</v>
      </c>
      <c r="S551" s="44">
        <v>1181178</v>
      </c>
      <c r="T551" s="44">
        <v>13184754</v>
      </c>
      <c r="U551" s="44">
        <v>5166954</v>
      </c>
      <c r="V551" s="44">
        <v>147890</v>
      </c>
      <c r="W551" s="44">
        <v>10079085</v>
      </c>
      <c r="X551" s="44">
        <v>4453272</v>
      </c>
      <c r="Y551" s="44">
        <v>14380478</v>
      </c>
      <c r="Z551" s="44">
        <v>9856514</v>
      </c>
      <c r="AA551" s="44">
        <v>2877822</v>
      </c>
      <c r="AB551" s="44">
        <v>461320</v>
      </c>
      <c r="AC551" s="44">
        <v>135555163</v>
      </c>
      <c r="AD551" s="44">
        <v>8155668</v>
      </c>
      <c r="AE551" s="44">
        <v>3215000</v>
      </c>
      <c r="AF551" s="44">
        <v>3430886</v>
      </c>
      <c r="AG551" s="44">
        <v>150356717</v>
      </c>
      <c r="AH551" s="44">
        <v>6351</v>
      </c>
      <c r="AI551" s="44">
        <v>23484</v>
      </c>
      <c r="AJ551" s="44">
        <v>23674</v>
      </c>
      <c r="AK551" s="44">
        <v>263685</v>
      </c>
      <c r="AL551" s="44">
        <v>79229</v>
      </c>
      <c r="AM551" s="44">
        <v>0.66900000000000004</v>
      </c>
      <c r="AN551" s="44">
        <v>0.59868910944630427</v>
      </c>
      <c r="AO551" s="44">
        <v>0.16800000000000001</v>
      </c>
      <c r="AP551" s="44">
        <v>0.76668910944630431</v>
      </c>
      <c r="AQ551" s="44">
        <v>0.84930000000000005</v>
      </c>
      <c r="AR551" s="44">
        <v>25.13</v>
      </c>
    </row>
    <row r="552" spans="1:44">
      <c r="A552" t="s">
        <v>770</v>
      </c>
      <c r="B552" t="s">
        <v>771</v>
      </c>
      <c r="D552" t="s">
        <v>1639</v>
      </c>
      <c r="E552" s="44">
        <v>575254</v>
      </c>
      <c r="F552" s="44">
        <v>263057</v>
      </c>
      <c r="G552" s="44">
        <v>14656</v>
      </c>
      <c r="H552" s="126">
        <v>277713</v>
      </c>
      <c r="I552" s="127">
        <v>4454344</v>
      </c>
      <c r="J552" s="128">
        <v>44524</v>
      </c>
      <c r="K552" s="130">
        <v>4776581</v>
      </c>
      <c r="L552" s="44">
        <v>264027</v>
      </c>
      <c r="M552" s="44">
        <v>259687</v>
      </c>
      <c r="N552" s="44">
        <v>746308</v>
      </c>
      <c r="O552" s="44">
        <v>0</v>
      </c>
      <c r="P552" s="44">
        <v>70485</v>
      </c>
      <c r="Q552" s="44">
        <v>254195</v>
      </c>
      <c r="R552" s="44">
        <v>381538</v>
      </c>
      <c r="S552" s="44">
        <v>0</v>
      </c>
      <c r="T552" s="44">
        <v>173881</v>
      </c>
      <c r="U552" s="44">
        <v>325511</v>
      </c>
      <c r="V552" s="44">
        <v>28989</v>
      </c>
      <c r="W552" s="44">
        <v>280322</v>
      </c>
      <c r="X552" s="44">
        <v>97273</v>
      </c>
      <c r="Y552" s="44">
        <v>439317</v>
      </c>
      <c r="Z552" s="44">
        <v>242457</v>
      </c>
      <c r="AA552" s="44">
        <v>86538</v>
      </c>
      <c r="AB552" s="44">
        <v>32018</v>
      </c>
      <c r="AC552" s="44">
        <v>3682546</v>
      </c>
      <c r="AD552" s="44">
        <v>544263</v>
      </c>
      <c r="AE552" s="44">
        <v>0</v>
      </c>
      <c r="AF552" s="44">
        <v>0</v>
      </c>
      <c r="AG552" s="44">
        <v>4226809</v>
      </c>
      <c r="AH552" s="44">
        <v>72</v>
      </c>
      <c r="AI552" s="44">
        <v>66341</v>
      </c>
      <c r="AJ552" s="44">
        <v>58706</v>
      </c>
      <c r="AK552" s="44">
        <v>22855356</v>
      </c>
      <c r="AL552" s="44">
        <v>280791</v>
      </c>
      <c r="AM552" s="44">
        <v>31.051000000000002</v>
      </c>
      <c r="AN552" s="44">
        <v>0.46179470139294204</v>
      </c>
      <c r="AO552" s="44">
        <v>9.8000000000000004E-2</v>
      </c>
      <c r="AP552" s="44">
        <v>0.55979470139294207</v>
      </c>
      <c r="AQ552" s="44">
        <v>0.60599999999999998</v>
      </c>
      <c r="AR552" s="44">
        <v>1.79</v>
      </c>
    </row>
    <row r="553" spans="1:44">
      <c r="A553" t="s">
        <v>1938</v>
      </c>
      <c r="B553" t="s">
        <v>772</v>
      </c>
      <c r="D553" t="s">
        <v>1639</v>
      </c>
      <c r="E553" s="44">
        <v>1482347</v>
      </c>
      <c r="F553" s="44">
        <v>6915212</v>
      </c>
      <c r="G553" s="44">
        <v>3792248</v>
      </c>
      <c r="H553" s="126">
        <v>10707460</v>
      </c>
      <c r="I553" s="127">
        <v>34703948</v>
      </c>
      <c r="J553" s="128">
        <v>585738</v>
      </c>
      <c r="K553" s="130">
        <v>45997146</v>
      </c>
      <c r="L553" s="44">
        <v>326330</v>
      </c>
      <c r="M553" s="44">
        <v>905863</v>
      </c>
      <c r="N553" s="44">
        <v>16266132</v>
      </c>
      <c r="O553" s="44">
        <v>812917</v>
      </c>
      <c r="P553" s="44">
        <v>1296518</v>
      </c>
      <c r="Q553" s="44">
        <v>1588745</v>
      </c>
      <c r="R553" s="44">
        <v>85241</v>
      </c>
      <c r="S553" s="44">
        <v>31109</v>
      </c>
      <c r="T553" s="44">
        <v>4653800</v>
      </c>
      <c r="U553" s="44">
        <v>2191786</v>
      </c>
      <c r="V553" s="44">
        <v>281297</v>
      </c>
      <c r="W553" s="44">
        <v>4105478</v>
      </c>
      <c r="X553" s="44">
        <v>1870768</v>
      </c>
      <c r="Y553" s="44">
        <v>5694392</v>
      </c>
      <c r="Z553" s="44">
        <v>3275169</v>
      </c>
      <c r="AA553" s="44">
        <v>2651817</v>
      </c>
      <c r="AB553" s="44">
        <v>0</v>
      </c>
      <c r="AC553" s="44">
        <v>46037362</v>
      </c>
      <c r="AD553" s="44">
        <v>3210906</v>
      </c>
      <c r="AE553" s="44">
        <v>0</v>
      </c>
      <c r="AF553" s="44">
        <v>89700</v>
      </c>
      <c r="AG553" s="44">
        <v>49337968</v>
      </c>
      <c r="AH553" s="44">
        <v>2844</v>
      </c>
      <c r="AI553" s="44">
        <v>16173</v>
      </c>
      <c r="AJ553" s="44">
        <v>17348</v>
      </c>
      <c r="AK553" s="44">
        <v>620447</v>
      </c>
      <c r="AL553" s="44">
        <v>111647</v>
      </c>
      <c r="AM553" s="44">
        <v>1.2690000000000001</v>
      </c>
      <c r="AN553" s="44">
        <v>0.54575105322537809</v>
      </c>
      <c r="AO553" s="44">
        <v>0.19400000000000001</v>
      </c>
      <c r="AP553" s="44">
        <v>0.73975105322537815</v>
      </c>
      <c r="AQ553" s="44">
        <v>0.79200000000000004</v>
      </c>
      <c r="AR553" s="44">
        <v>11.93</v>
      </c>
    </row>
    <row r="554" spans="1:44">
      <c r="A554" t="s">
        <v>1940</v>
      </c>
      <c r="B554" t="s">
        <v>773</v>
      </c>
      <c r="D554" t="s">
        <v>1639</v>
      </c>
      <c r="E554" s="44">
        <v>4380114</v>
      </c>
      <c r="F554" s="44">
        <v>18758140</v>
      </c>
      <c r="G554" s="44">
        <v>8516518</v>
      </c>
      <c r="H554" s="126">
        <v>27274658</v>
      </c>
      <c r="I554" s="127">
        <v>67732940</v>
      </c>
      <c r="J554" s="128">
        <v>3139949</v>
      </c>
      <c r="K554" s="130">
        <v>98147547</v>
      </c>
      <c r="L554" s="44">
        <v>584179</v>
      </c>
      <c r="M554" s="44">
        <v>1515647</v>
      </c>
      <c r="N554" s="44">
        <v>33476082</v>
      </c>
      <c r="O554" s="44">
        <v>1585415</v>
      </c>
      <c r="P554" s="44">
        <v>1969309</v>
      </c>
      <c r="Q554" s="44">
        <v>7521872</v>
      </c>
      <c r="R554" s="44">
        <v>833369</v>
      </c>
      <c r="S554" s="44">
        <v>0</v>
      </c>
      <c r="T554" s="44">
        <v>6318730</v>
      </c>
      <c r="U554" s="44">
        <v>8301489</v>
      </c>
      <c r="V554" s="44">
        <v>0</v>
      </c>
      <c r="W554" s="44">
        <v>5899891</v>
      </c>
      <c r="X554" s="44">
        <v>3154219</v>
      </c>
      <c r="Y554" s="44">
        <v>8973431</v>
      </c>
      <c r="Z554" s="44">
        <v>5596897</v>
      </c>
      <c r="AA554" s="44">
        <v>1096220</v>
      </c>
      <c r="AB554" s="44">
        <v>4472584</v>
      </c>
      <c r="AC554" s="44">
        <v>91299334</v>
      </c>
      <c r="AD554" s="44">
        <v>5086107</v>
      </c>
      <c r="AE554" s="44">
        <v>2599500</v>
      </c>
      <c r="AF554" s="44">
        <v>1344966</v>
      </c>
      <c r="AG554" s="44">
        <v>100329907</v>
      </c>
      <c r="AH554" s="44">
        <v>5414</v>
      </c>
      <c r="AI554" s="44">
        <v>18128</v>
      </c>
      <c r="AJ554" s="44">
        <v>18532</v>
      </c>
      <c r="AK554" s="44">
        <v>715729</v>
      </c>
      <c r="AL554" s="44">
        <v>110743</v>
      </c>
      <c r="AM554" s="44">
        <v>1.39</v>
      </c>
      <c r="AN554" s="44">
        <v>0.59808952080459921</v>
      </c>
      <c r="AO554" s="44">
        <v>0.14699999999999999</v>
      </c>
      <c r="AP554" s="44">
        <v>0.74508952080459923</v>
      </c>
      <c r="AQ554" s="44">
        <v>0.85950000000000004</v>
      </c>
      <c r="AR554" s="44">
        <v>10.94</v>
      </c>
    </row>
    <row r="555" spans="1:44">
      <c r="A555" t="s">
        <v>1910</v>
      </c>
      <c r="B555" t="s">
        <v>774</v>
      </c>
      <c r="D555" t="s">
        <v>1639</v>
      </c>
      <c r="E555" s="44">
        <v>630611</v>
      </c>
      <c r="F555" s="44">
        <v>456510</v>
      </c>
      <c r="G555" s="44">
        <v>225065</v>
      </c>
      <c r="H555" s="126">
        <v>681575</v>
      </c>
      <c r="I555" s="127">
        <v>7703750</v>
      </c>
      <c r="J555" s="128">
        <v>82223</v>
      </c>
      <c r="K555" s="130">
        <v>8467548</v>
      </c>
      <c r="L555" s="44">
        <v>87780</v>
      </c>
      <c r="M555" s="44">
        <v>361535</v>
      </c>
      <c r="N555" s="44">
        <v>2817854</v>
      </c>
      <c r="O555" s="44">
        <v>197916</v>
      </c>
      <c r="P555" s="44">
        <v>208765</v>
      </c>
      <c r="Q555" s="44">
        <v>176328</v>
      </c>
      <c r="R555" s="44">
        <v>5613</v>
      </c>
      <c r="S555" s="44">
        <v>31716</v>
      </c>
      <c r="T555" s="44">
        <v>513246</v>
      </c>
      <c r="U555" s="44">
        <v>692425</v>
      </c>
      <c r="V555" s="44">
        <v>3045</v>
      </c>
      <c r="W555" s="44">
        <v>571206</v>
      </c>
      <c r="X555" s="44">
        <v>290711</v>
      </c>
      <c r="Y555" s="44">
        <v>884553</v>
      </c>
      <c r="Z555" s="44">
        <v>409466</v>
      </c>
      <c r="AA555" s="44">
        <v>203777</v>
      </c>
      <c r="AB555" s="44">
        <v>40000</v>
      </c>
      <c r="AC555" s="44">
        <v>7495936</v>
      </c>
      <c r="AD555" s="44">
        <v>342484</v>
      </c>
      <c r="AE555" s="44">
        <v>251057</v>
      </c>
      <c r="AF555" s="44">
        <v>98108</v>
      </c>
      <c r="AG555" s="44">
        <v>8187585</v>
      </c>
      <c r="AH555" s="44">
        <v>275</v>
      </c>
      <c r="AI555" s="44">
        <v>30791</v>
      </c>
      <c r="AJ555" s="44">
        <v>29773</v>
      </c>
      <c r="AK555" s="44">
        <v>5348533</v>
      </c>
      <c r="AL555" s="44">
        <v>255613</v>
      </c>
      <c r="AM555" s="44">
        <v>8.0459999999999994</v>
      </c>
      <c r="AN555" s="44">
        <v>0.56718348572869781</v>
      </c>
      <c r="AO555" s="44">
        <v>0.16600000000000001</v>
      </c>
      <c r="AP555" s="44">
        <v>0.73318348572869785</v>
      </c>
      <c r="AQ555" s="44">
        <v>0.80030000000000001</v>
      </c>
      <c r="AR555" s="44">
        <v>3.37</v>
      </c>
    </row>
    <row r="556" spans="1:44">
      <c r="A556" t="s">
        <v>775</v>
      </c>
      <c r="B556" t="s">
        <v>776</v>
      </c>
      <c r="D556" t="s">
        <v>1639</v>
      </c>
      <c r="E556" s="44">
        <v>9848206</v>
      </c>
      <c r="F556" s="44">
        <v>32897676</v>
      </c>
      <c r="G556" s="44">
        <v>17918129</v>
      </c>
      <c r="H556" s="126">
        <v>50815805</v>
      </c>
      <c r="I556" s="127">
        <v>138544382</v>
      </c>
      <c r="J556" s="128">
        <v>2830704</v>
      </c>
      <c r="K556" s="130">
        <v>192190891</v>
      </c>
      <c r="L556" s="44">
        <v>280133</v>
      </c>
      <c r="M556" s="44">
        <v>2812307</v>
      </c>
      <c r="N556" s="44">
        <v>59093606</v>
      </c>
      <c r="O556" s="44">
        <v>3245287</v>
      </c>
      <c r="P556" s="44">
        <v>4441641</v>
      </c>
      <c r="Q556" s="44">
        <v>6880907</v>
      </c>
      <c r="R556" s="44">
        <v>1810101</v>
      </c>
      <c r="S556" s="44">
        <v>0</v>
      </c>
      <c r="T556" s="44">
        <v>13761848</v>
      </c>
      <c r="U556" s="44">
        <v>7412769</v>
      </c>
      <c r="V556" s="44">
        <v>0</v>
      </c>
      <c r="W556" s="44">
        <v>12577537</v>
      </c>
      <c r="X556" s="44">
        <v>5255118</v>
      </c>
      <c r="Y556" s="44">
        <v>20386176</v>
      </c>
      <c r="Z556" s="44">
        <v>11143527</v>
      </c>
      <c r="AA556" s="44">
        <v>2791639</v>
      </c>
      <c r="AB556" s="44">
        <v>700000</v>
      </c>
      <c r="AC556" s="44">
        <v>152592596</v>
      </c>
      <c r="AD556" s="44">
        <v>13132962</v>
      </c>
      <c r="AE556" s="44">
        <v>7089036</v>
      </c>
      <c r="AF556" s="44">
        <v>7905944</v>
      </c>
      <c r="AG556" s="44">
        <v>180720538</v>
      </c>
      <c r="AH556" s="44">
        <v>10999</v>
      </c>
      <c r="AI556" s="44">
        <v>17473</v>
      </c>
      <c r="AJ556" s="44">
        <v>16431</v>
      </c>
      <c r="AK556" s="44">
        <v>620078</v>
      </c>
      <c r="AL556" s="44">
        <v>153571</v>
      </c>
      <c r="AM556" s="44">
        <v>1.4410000000000001</v>
      </c>
      <c r="AN556" s="44">
        <v>0.53478237763988945</v>
      </c>
      <c r="AO556" s="44">
        <v>0.17599999999999999</v>
      </c>
      <c r="AP556" s="44">
        <v>0.71078237763988938</v>
      </c>
      <c r="AQ556" s="44">
        <v>0.84330000000000005</v>
      </c>
      <c r="AR556" s="44">
        <v>14.68</v>
      </c>
    </row>
    <row r="557" spans="1:44">
      <c r="A557" t="s">
        <v>777</v>
      </c>
      <c r="B557" t="s">
        <v>778</v>
      </c>
      <c r="D557" t="s">
        <v>1639</v>
      </c>
      <c r="E557" s="44">
        <v>3882133</v>
      </c>
      <c r="F557" s="44">
        <v>12531220</v>
      </c>
      <c r="G557" s="44">
        <v>6056936</v>
      </c>
      <c r="H557" s="126">
        <v>18588156</v>
      </c>
      <c r="I557" s="127">
        <v>46087851</v>
      </c>
      <c r="J557" s="128">
        <v>1375030</v>
      </c>
      <c r="K557" s="130">
        <v>66051037</v>
      </c>
      <c r="L557" s="44">
        <v>464300</v>
      </c>
      <c r="M557" s="44">
        <v>958398</v>
      </c>
      <c r="N557" s="44">
        <v>22812224</v>
      </c>
      <c r="O557" s="44">
        <v>1495952</v>
      </c>
      <c r="P557" s="44">
        <v>1381701</v>
      </c>
      <c r="Q557" s="44">
        <v>3135612</v>
      </c>
      <c r="R557" s="44">
        <v>924930</v>
      </c>
      <c r="S557" s="44">
        <v>112226</v>
      </c>
      <c r="T557" s="44">
        <v>4206071</v>
      </c>
      <c r="U557" s="44">
        <v>2476231</v>
      </c>
      <c r="V557" s="44">
        <v>0</v>
      </c>
      <c r="W557" s="44">
        <v>4820645</v>
      </c>
      <c r="X557" s="44">
        <v>2306744</v>
      </c>
      <c r="Y557" s="44">
        <v>8288800</v>
      </c>
      <c r="Z557" s="44">
        <v>4208535</v>
      </c>
      <c r="AA557" s="44">
        <v>768814</v>
      </c>
      <c r="AB557" s="44">
        <v>0</v>
      </c>
      <c r="AC557" s="44">
        <v>58361183</v>
      </c>
      <c r="AD557" s="44">
        <v>3386076</v>
      </c>
      <c r="AE557" s="44">
        <v>428341</v>
      </c>
      <c r="AF557" s="44">
        <v>1074028</v>
      </c>
      <c r="AG557" s="44">
        <v>63249628</v>
      </c>
      <c r="AH557" s="44">
        <v>4019</v>
      </c>
      <c r="AI557" s="44">
        <v>16435</v>
      </c>
      <c r="AJ557" s="44">
        <v>15738</v>
      </c>
      <c r="AK557" s="44">
        <v>638865</v>
      </c>
      <c r="AL557" s="44">
        <v>148078</v>
      </c>
      <c r="AM557" s="44">
        <v>1.4419999999999999</v>
      </c>
      <c r="AN557" s="44">
        <v>0.5777891215423433</v>
      </c>
      <c r="AO557" s="44">
        <v>0.192</v>
      </c>
      <c r="AP557" s="44">
        <v>0.76978912154234336</v>
      </c>
      <c r="AQ557" s="44">
        <v>0.83199999999999996</v>
      </c>
      <c r="AR557" s="44">
        <v>12.54</v>
      </c>
    </row>
    <row r="558" spans="1:44">
      <c r="A558" t="s">
        <v>779</v>
      </c>
      <c r="B558" t="s">
        <v>780</v>
      </c>
      <c r="D558" t="s">
        <v>1639</v>
      </c>
      <c r="E558" s="44">
        <v>1305926</v>
      </c>
      <c r="F558" s="44">
        <v>402318</v>
      </c>
      <c r="G558" s="44">
        <v>197873</v>
      </c>
      <c r="H558" s="126">
        <v>600191</v>
      </c>
      <c r="I558" s="127">
        <v>8845192</v>
      </c>
      <c r="J558" s="128">
        <v>74678</v>
      </c>
      <c r="K558" s="130">
        <v>9520061</v>
      </c>
      <c r="L558" s="44">
        <v>56054</v>
      </c>
      <c r="M558" s="44">
        <v>320022</v>
      </c>
      <c r="N558" s="44">
        <v>2124764</v>
      </c>
      <c r="O558" s="44">
        <v>50002</v>
      </c>
      <c r="P558" s="44">
        <v>118974</v>
      </c>
      <c r="Q558" s="44">
        <v>516021</v>
      </c>
      <c r="R558" s="44">
        <v>2814201</v>
      </c>
      <c r="S558" s="44">
        <v>0</v>
      </c>
      <c r="T558" s="44">
        <v>347278</v>
      </c>
      <c r="U558" s="44">
        <v>260466</v>
      </c>
      <c r="V558" s="44">
        <v>0</v>
      </c>
      <c r="W558" s="44">
        <v>312903</v>
      </c>
      <c r="X558" s="44">
        <v>207576</v>
      </c>
      <c r="Y558" s="44">
        <v>475100</v>
      </c>
      <c r="Z558" s="44">
        <v>316681</v>
      </c>
      <c r="AA558" s="44">
        <v>94669</v>
      </c>
      <c r="AB558" s="44">
        <v>10000</v>
      </c>
      <c r="AC558" s="44">
        <v>8024711</v>
      </c>
      <c r="AD558" s="44">
        <v>501518</v>
      </c>
      <c r="AE558" s="44">
        <v>65000</v>
      </c>
      <c r="AF558" s="44">
        <v>47770</v>
      </c>
      <c r="AG558" s="44">
        <v>8638999</v>
      </c>
      <c r="AH558" s="44">
        <v>358</v>
      </c>
      <c r="AI558" s="44">
        <v>26592</v>
      </c>
      <c r="AJ558" s="44">
        <v>24131</v>
      </c>
      <c r="AK558" s="44">
        <v>3294205</v>
      </c>
      <c r="AL558" s="44">
        <v>204835</v>
      </c>
      <c r="AM558" s="44">
        <v>5.149</v>
      </c>
      <c r="AN558" s="44">
        <v>0.72134584110960076</v>
      </c>
      <c r="AO558" s="44">
        <v>0.1</v>
      </c>
      <c r="AP558" s="44">
        <v>0.82134584110960074</v>
      </c>
      <c r="AQ558" s="44">
        <v>0.8216</v>
      </c>
      <c r="AR558" s="44">
        <v>5.31</v>
      </c>
    </row>
    <row r="559" spans="1:44">
      <c r="A559" t="s">
        <v>1942</v>
      </c>
      <c r="B559" t="s">
        <v>781</v>
      </c>
      <c r="D559" t="s">
        <v>1639</v>
      </c>
      <c r="E559" s="44">
        <v>2361158</v>
      </c>
      <c r="F559" s="44">
        <v>2015044</v>
      </c>
      <c r="G559" s="44">
        <v>507666</v>
      </c>
      <c r="H559" s="126">
        <v>2522710</v>
      </c>
      <c r="I559" s="127">
        <v>38319911</v>
      </c>
      <c r="J559" s="128">
        <v>502270</v>
      </c>
      <c r="K559" s="130">
        <v>41344891</v>
      </c>
      <c r="L559" s="44">
        <v>140602</v>
      </c>
      <c r="M559" s="44">
        <v>749068</v>
      </c>
      <c r="N559" s="44">
        <v>13668925</v>
      </c>
      <c r="O559" s="44">
        <v>1045670</v>
      </c>
      <c r="P559" s="44">
        <v>982557</v>
      </c>
      <c r="Q559" s="44">
        <v>2297185</v>
      </c>
      <c r="R559" s="44">
        <v>144239</v>
      </c>
      <c r="S559" s="44">
        <v>322240</v>
      </c>
      <c r="T559" s="44">
        <v>3612832</v>
      </c>
      <c r="U559" s="44">
        <v>2931969</v>
      </c>
      <c r="V559" s="44">
        <v>132156</v>
      </c>
      <c r="W559" s="44">
        <v>2569328</v>
      </c>
      <c r="X559" s="44">
        <v>1421012</v>
      </c>
      <c r="Y559" s="44">
        <v>3216145</v>
      </c>
      <c r="Z559" s="44">
        <v>2073575</v>
      </c>
      <c r="AA559" s="44">
        <v>756844</v>
      </c>
      <c r="AB559" s="44">
        <v>350000</v>
      </c>
      <c r="AC559" s="44">
        <v>36414347</v>
      </c>
      <c r="AD559" s="44">
        <v>1619336</v>
      </c>
      <c r="AE559" s="44">
        <v>1537272</v>
      </c>
      <c r="AF559" s="44">
        <v>1515229</v>
      </c>
      <c r="AG559" s="44">
        <v>41086184</v>
      </c>
      <c r="AH559" s="44">
        <v>1794</v>
      </c>
      <c r="AI559" s="44">
        <v>23046</v>
      </c>
      <c r="AJ559" s="44">
        <v>22902</v>
      </c>
      <c r="AK559" s="44">
        <v>2666276</v>
      </c>
      <c r="AL559" s="44">
        <v>174292</v>
      </c>
      <c r="AM559" s="44">
        <v>4.2030000000000003</v>
      </c>
      <c r="AN559" s="44">
        <v>0.60861376174531079</v>
      </c>
      <c r="AO559" s="44">
        <v>0.14699999999999999</v>
      </c>
      <c r="AP559" s="44">
        <v>0.75561376174531081</v>
      </c>
      <c r="AQ559" s="44">
        <v>0.85980000000000001</v>
      </c>
      <c r="AR559" s="44">
        <v>10.87</v>
      </c>
    </row>
    <row r="560" spans="1:44">
      <c r="A560" t="s">
        <v>782</v>
      </c>
      <c r="B560" t="s">
        <v>783</v>
      </c>
      <c r="D560" t="s">
        <v>1639</v>
      </c>
      <c r="E560" s="44">
        <v>255866</v>
      </c>
      <c r="F560" s="44">
        <v>228937</v>
      </c>
      <c r="G560" s="44">
        <v>41757</v>
      </c>
      <c r="H560" s="126">
        <v>270694</v>
      </c>
      <c r="I560" s="127">
        <v>5529907</v>
      </c>
      <c r="J560" s="128">
        <v>50442</v>
      </c>
      <c r="K560" s="130">
        <v>5851043</v>
      </c>
      <c r="L560" s="44">
        <v>123670</v>
      </c>
      <c r="M560" s="44">
        <v>253632</v>
      </c>
      <c r="N560" s="44">
        <v>1578702</v>
      </c>
      <c r="O560" s="44">
        <v>17764</v>
      </c>
      <c r="P560" s="44">
        <v>0</v>
      </c>
      <c r="Q560" s="44">
        <v>196920</v>
      </c>
      <c r="R560" s="44">
        <v>1789838</v>
      </c>
      <c r="S560" s="44">
        <v>0</v>
      </c>
      <c r="T560" s="44">
        <v>333106</v>
      </c>
      <c r="U560" s="44">
        <v>168411</v>
      </c>
      <c r="V560" s="44">
        <v>0</v>
      </c>
      <c r="W560" s="44">
        <v>581369</v>
      </c>
      <c r="X560" s="44">
        <v>177671</v>
      </c>
      <c r="Y560" s="44">
        <v>291539</v>
      </c>
      <c r="Z560" s="44">
        <v>230026</v>
      </c>
      <c r="AA560" s="44">
        <v>98215</v>
      </c>
      <c r="AB560" s="44">
        <v>0</v>
      </c>
      <c r="AC560" s="44">
        <v>5840863</v>
      </c>
      <c r="AD560" s="44">
        <v>129408</v>
      </c>
      <c r="AE560" s="44">
        <v>115000</v>
      </c>
      <c r="AF560" s="44">
        <v>73881</v>
      </c>
      <c r="AG560" s="44">
        <v>6159152</v>
      </c>
      <c r="AH560" s="44">
        <v>189</v>
      </c>
      <c r="AI560" s="44">
        <v>30958</v>
      </c>
      <c r="AJ560" s="44">
        <v>32588</v>
      </c>
      <c r="AK560" s="44">
        <v>11541766</v>
      </c>
      <c r="AL560" s="44">
        <v>606800</v>
      </c>
      <c r="AM560" s="44">
        <v>17.588999999999999</v>
      </c>
      <c r="AN560" s="44">
        <v>0.66319860266478248</v>
      </c>
      <c r="AO560" s="44">
        <v>9.1999999999999998E-2</v>
      </c>
      <c r="AP560" s="44">
        <v>0.75519860266478245</v>
      </c>
      <c r="AQ560" s="44">
        <v>0.70650000000000002</v>
      </c>
      <c r="AR560" s="44">
        <v>2.11</v>
      </c>
    </row>
    <row r="561" spans="1:44">
      <c r="A561" t="s">
        <v>1912</v>
      </c>
      <c r="B561" t="s">
        <v>784</v>
      </c>
      <c r="D561" t="s">
        <v>1639</v>
      </c>
      <c r="E561" s="44">
        <v>1163550</v>
      </c>
      <c r="F561" s="44">
        <v>3442372</v>
      </c>
      <c r="G561" s="44">
        <v>2312063</v>
      </c>
      <c r="H561" s="126">
        <v>5754435</v>
      </c>
      <c r="I561" s="127">
        <v>27685696</v>
      </c>
      <c r="J561" s="128">
        <v>797671</v>
      </c>
      <c r="K561" s="130">
        <v>34237802</v>
      </c>
      <c r="L561" s="44">
        <v>173317</v>
      </c>
      <c r="M561" s="44">
        <v>613527</v>
      </c>
      <c r="N561" s="44">
        <v>11031743</v>
      </c>
      <c r="O561" s="44">
        <v>584820</v>
      </c>
      <c r="P561" s="44">
        <v>744171</v>
      </c>
      <c r="Q561" s="44">
        <v>2958505</v>
      </c>
      <c r="R561" s="44">
        <v>125223</v>
      </c>
      <c r="S561" s="44">
        <v>230527</v>
      </c>
      <c r="T561" s="44">
        <v>2294030</v>
      </c>
      <c r="U561" s="44">
        <v>1783556</v>
      </c>
      <c r="V561" s="44">
        <v>5438</v>
      </c>
      <c r="W561" s="44">
        <v>1805273</v>
      </c>
      <c r="X561" s="44">
        <v>1046247</v>
      </c>
      <c r="Y561" s="44">
        <v>3113901</v>
      </c>
      <c r="Z561" s="44">
        <v>1665499</v>
      </c>
      <c r="AA561" s="44">
        <v>464304</v>
      </c>
      <c r="AB561" s="44">
        <v>0</v>
      </c>
      <c r="AC561" s="44">
        <v>28640081</v>
      </c>
      <c r="AD561" s="44">
        <v>2617510</v>
      </c>
      <c r="AE561" s="44">
        <v>880000</v>
      </c>
      <c r="AF561" s="44">
        <v>951373</v>
      </c>
      <c r="AG561" s="44">
        <v>33088964</v>
      </c>
      <c r="AH561" s="44">
        <v>1778</v>
      </c>
      <c r="AI561" s="44">
        <v>19256</v>
      </c>
      <c r="AJ561" s="44">
        <v>18610</v>
      </c>
      <c r="AK561" s="44">
        <v>1112622</v>
      </c>
      <c r="AL561" s="44">
        <v>121202</v>
      </c>
      <c r="AM561" s="44">
        <v>1.952</v>
      </c>
      <c r="AN561" s="44">
        <v>0.59695356433643554</v>
      </c>
      <c r="AO561" s="44">
        <v>0.159</v>
      </c>
      <c r="AP561" s="44">
        <v>0.75595356433643557</v>
      </c>
      <c r="AQ561" s="44">
        <v>0.87229999999999996</v>
      </c>
      <c r="AR561" s="44">
        <v>9.44</v>
      </c>
    </row>
    <row r="562" spans="1:44">
      <c r="A562" t="s">
        <v>1914</v>
      </c>
      <c r="B562" t="s">
        <v>785</v>
      </c>
      <c r="D562" t="s">
        <v>1639</v>
      </c>
      <c r="E562" s="44">
        <v>1484078</v>
      </c>
      <c r="F562" s="44">
        <v>2440323</v>
      </c>
      <c r="G562" s="44">
        <v>536554</v>
      </c>
      <c r="H562" s="126">
        <v>2976877</v>
      </c>
      <c r="I562" s="127">
        <v>46314638</v>
      </c>
      <c r="J562" s="128">
        <v>767315</v>
      </c>
      <c r="K562" s="130">
        <v>50058830</v>
      </c>
      <c r="L562" s="44">
        <v>480725</v>
      </c>
      <c r="M562" s="44">
        <v>1218407</v>
      </c>
      <c r="N562" s="44">
        <v>16851388</v>
      </c>
      <c r="O562" s="44">
        <v>1011184</v>
      </c>
      <c r="P562" s="44">
        <v>958243</v>
      </c>
      <c r="Q562" s="44">
        <v>1784960</v>
      </c>
      <c r="R562" s="44">
        <v>143949</v>
      </c>
      <c r="S562" s="44">
        <v>0</v>
      </c>
      <c r="T562" s="44">
        <v>3910138</v>
      </c>
      <c r="U562" s="44">
        <v>2355146</v>
      </c>
      <c r="V562" s="44">
        <v>526312</v>
      </c>
      <c r="W562" s="44">
        <v>3871261</v>
      </c>
      <c r="X562" s="44">
        <v>1839795</v>
      </c>
      <c r="Y562" s="44">
        <v>4362655</v>
      </c>
      <c r="Z562" s="44">
        <v>2873429</v>
      </c>
      <c r="AA562" s="44">
        <v>1121035</v>
      </c>
      <c r="AB562" s="44">
        <v>2044585</v>
      </c>
      <c r="AC562" s="44">
        <v>45353212</v>
      </c>
      <c r="AD562" s="44">
        <v>2263546</v>
      </c>
      <c r="AE562" s="44">
        <v>502139</v>
      </c>
      <c r="AF562" s="44">
        <v>412427</v>
      </c>
      <c r="AG562" s="44">
        <v>48531324</v>
      </c>
      <c r="AH562" s="44">
        <v>1694</v>
      </c>
      <c r="AI562" s="44">
        <v>29551</v>
      </c>
      <c r="AJ562" s="44">
        <v>28649</v>
      </c>
      <c r="AK562" s="44">
        <v>5459576</v>
      </c>
      <c r="AL562" s="44">
        <v>325048</v>
      </c>
      <c r="AM562" s="44">
        <v>8.4760000000000009</v>
      </c>
      <c r="AN562" s="44">
        <v>0.55665095804927966</v>
      </c>
      <c r="AO562" s="44">
        <v>0.153</v>
      </c>
      <c r="AP562" s="44">
        <v>0.70965095804927969</v>
      </c>
      <c r="AQ562" s="44">
        <v>0.79469999999999996</v>
      </c>
      <c r="AR562" s="44">
        <v>3.11</v>
      </c>
    </row>
    <row r="563" spans="1:44">
      <c r="A563" t="s">
        <v>1916</v>
      </c>
      <c r="B563" t="s">
        <v>786</v>
      </c>
      <c r="D563" t="s">
        <v>1639</v>
      </c>
      <c r="E563" s="44">
        <v>2905560</v>
      </c>
      <c r="F563" s="44">
        <v>523737</v>
      </c>
      <c r="G563" s="44">
        <v>37429</v>
      </c>
      <c r="H563" s="126">
        <v>561166</v>
      </c>
      <c r="I563" s="127">
        <v>5481005</v>
      </c>
      <c r="J563" s="128">
        <v>298550</v>
      </c>
      <c r="K563" s="130">
        <v>6340721</v>
      </c>
      <c r="L563" s="44">
        <v>145940</v>
      </c>
      <c r="M563" s="44">
        <v>454792</v>
      </c>
      <c r="N563" s="44">
        <v>3060834</v>
      </c>
      <c r="O563" s="44">
        <v>180278</v>
      </c>
      <c r="P563" s="44">
        <v>258107</v>
      </c>
      <c r="Q563" s="44">
        <v>209511</v>
      </c>
      <c r="R563" s="44">
        <v>58120</v>
      </c>
      <c r="S563" s="44">
        <v>0</v>
      </c>
      <c r="T563" s="44">
        <v>874447</v>
      </c>
      <c r="U563" s="44">
        <v>827668</v>
      </c>
      <c r="V563" s="44">
        <v>19612</v>
      </c>
      <c r="W563" s="44">
        <v>496143</v>
      </c>
      <c r="X563" s="44">
        <v>346421</v>
      </c>
      <c r="Y563" s="44">
        <v>854751</v>
      </c>
      <c r="Z563" s="44">
        <v>471724</v>
      </c>
      <c r="AA563" s="44">
        <v>160830</v>
      </c>
      <c r="AB563" s="44">
        <v>40000</v>
      </c>
      <c r="AC563" s="44">
        <v>8459178</v>
      </c>
      <c r="AD563" s="44">
        <v>655412</v>
      </c>
      <c r="AE563" s="44">
        <v>0</v>
      </c>
      <c r="AF563" s="44">
        <v>0</v>
      </c>
      <c r="AG563" s="44">
        <v>9114590</v>
      </c>
      <c r="AH563" s="44">
        <v>140</v>
      </c>
      <c r="AI563" s="44">
        <v>45291</v>
      </c>
      <c r="AJ563" s="44">
        <v>65104</v>
      </c>
      <c r="AK563" s="44">
        <v>13238047</v>
      </c>
      <c r="AL563" s="44">
        <v>867195</v>
      </c>
      <c r="AM563" s="44">
        <v>20.877000000000002</v>
      </c>
      <c r="AN563" s="44">
        <v>0.60002314969735338</v>
      </c>
      <c r="AO563" s="44">
        <v>0.16</v>
      </c>
      <c r="AP563" s="44">
        <v>0.76002314969735341</v>
      </c>
      <c r="AQ563" s="44">
        <v>0.81789999999999996</v>
      </c>
      <c r="AR563" s="44">
        <v>1.41</v>
      </c>
    </row>
    <row r="564" spans="1:44">
      <c r="A564" t="s">
        <v>1944</v>
      </c>
      <c r="B564" t="s">
        <v>787</v>
      </c>
      <c r="D564" t="s">
        <v>1639</v>
      </c>
      <c r="E564" s="44">
        <v>6348208</v>
      </c>
      <c r="F564" s="44">
        <v>25572656</v>
      </c>
      <c r="G564" s="44">
        <v>5807573</v>
      </c>
      <c r="H564" s="126">
        <v>31380229</v>
      </c>
      <c r="I564" s="127">
        <v>35268687</v>
      </c>
      <c r="J564" s="128">
        <v>1124585</v>
      </c>
      <c r="K564" s="130">
        <v>67773501</v>
      </c>
      <c r="L564" s="44">
        <v>374224</v>
      </c>
      <c r="M564" s="44">
        <v>1466939</v>
      </c>
      <c r="N564" s="44">
        <v>22693812</v>
      </c>
      <c r="O564" s="44">
        <v>1308973</v>
      </c>
      <c r="P564" s="44">
        <v>1627623</v>
      </c>
      <c r="Q564" s="44">
        <v>4265818</v>
      </c>
      <c r="R564" s="44">
        <v>37860</v>
      </c>
      <c r="S564" s="44">
        <v>705725</v>
      </c>
      <c r="T564" s="44">
        <v>3194407</v>
      </c>
      <c r="U564" s="44">
        <v>2875812</v>
      </c>
      <c r="V564" s="44">
        <v>4878</v>
      </c>
      <c r="W564" s="44">
        <v>4284946</v>
      </c>
      <c r="X564" s="44">
        <v>2498068</v>
      </c>
      <c r="Y564" s="44">
        <v>4404371</v>
      </c>
      <c r="Z564" s="44">
        <v>3858843</v>
      </c>
      <c r="AA564" s="44">
        <v>960494</v>
      </c>
      <c r="AB564" s="44">
        <v>0</v>
      </c>
      <c r="AC564" s="44">
        <v>54562793</v>
      </c>
      <c r="AD564" s="44">
        <v>3898452</v>
      </c>
      <c r="AE564" s="44">
        <v>3056772</v>
      </c>
      <c r="AF564" s="44">
        <v>4295064</v>
      </c>
      <c r="AG564" s="44">
        <v>65813081</v>
      </c>
      <c r="AH564" s="44">
        <v>3856</v>
      </c>
      <c r="AI564" s="44">
        <v>17576</v>
      </c>
      <c r="AJ564" s="44">
        <v>17068</v>
      </c>
      <c r="AK564" s="44">
        <v>402877</v>
      </c>
      <c r="AL564" s="44">
        <v>86722</v>
      </c>
      <c r="AM564" s="44">
        <v>0.88300000000000001</v>
      </c>
      <c r="AN564" s="44">
        <v>0.55779230271866465</v>
      </c>
      <c r="AO564" s="44">
        <v>0.14899999999999999</v>
      </c>
      <c r="AP564" s="44">
        <v>0.70679230271866467</v>
      </c>
      <c r="AQ564" s="44">
        <v>0.85229999999999995</v>
      </c>
      <c r="AR564" s="44">
        <v>14.82</v>
      </c>
    </row>
    <row r="565" spans="1:44">
      <c r="A565" t="s">
        <v>788</v>
      </c>
      <c r="B565" t="s">
        <v>789</v>
      </c>
      <c r="D565" t="s">
        <v>1639</v>
      </c>
      <c r="E565" s="44">
        <v>803320</v>
      </c>
      <c r="F565" s="44">
        <v>714475</v>
      </c>
      <c r="G565" s="44">
        <v>379270</v>
      </c>
      <c r="H565" s="126">
        <v>1093745</v>
      </c>
      <c r="I565" s="127">
        <v>11560004</v>
      </c>
      <c r="J565" s="128">
        <v>143142</v>
      </c>
      <c r="K565" s="130">
        <v>12796891</v>
      </c>
      <c r="L565" s="44">
        <v>83034</v>
      </c>
      <c r="M565" s="44">
        <v>577581</v>
      </c>
      <c r="N565" s="44">
        <v>2982406</v>
      </c>
      <c r="O565" s="44">
        <v>93374</v>
      </c>
      <c r="P565" s="44">
        <v>85491</v>
      </c>
      <c r="Q565" s="44">
        <v>453554</v>
      </c>
      <c r="R565" s="44">
        <v>3479994</v>
      </c>
      <c r="S565" s="44">
        <v>0</v>
      </c>
      <c r="T565" s="44">
        <v>434714</v>
      </c>
      <c r="U565" s="44">
        <v>620147</v>
      </c>
      <c r="V565" s="44">
        <v>0</v>
      </c>
      <c r="W565" s="44">
        <v>680865</v>
      </c>
      <c r="X565" s="44">
        <v>331625</v>
      </c>
      <c r="Y565" s="44">
        <v>864483</v>
      </c>
      <c r="Z565" s="44">
        <v>412860</v>
      </c>
      <c r="AA565" s="44">
        <v>143971</v>
      </c>
      <c r="AB565" s="44">
        <v>115000</v>
      </c>
      <c r="AC565" s="44">
        <v>11359099</v>
      </c>
      <c r="AD565" s="44">
        <v>1082970</v>
      </c>
      <c r="AE565" s="44">
        <v>240000</v>
      </c>
      <c r="AF565" s="44">
        <v>216448</v>
      </c>
      <c r="AG565" s="44">
        <v>12898517</v>
      </c>
      <c r="AH565" s="44">
        <v>460</v>
      </c>
      <c r="AI565" s="44">
        <v>27819</v>
      </c>
      <c r="AJ565" s="44">
        <v>28040</v>
      </c>
      <c r="AK565" s="44">
        <v>2386519</v>
      </c>
      <c r="AL565" s="44">
        <v>61218</v>
      </c>
      <c r="AM565" s="44">
        <v>3.3729999999999998</v>
      </c>
      <c r="AN565" s="44">
        <v>0.63183077558451095</v>
      </c>
      <c r="AO565" s="44">
        <v>0.10299999999999999</v>
      </c>
      <c r="AP565" s="44">
        <v>0.73483077558451093</v>
      </c>
      <c r="AQ565" s="44">
        <v>0.7732</v>
      </c>
      <c r="AR565" s="44">
        <v>6.41</v>
      </c>
    </row>
    <row r="566" spans="1:44">
      <c r="A566" t="s">
        <v>1946</v>
      </c>
      <c r="B566" t="s">
        <v>790</v>
      </c>
      <c r="D566" t="s">
        <v>1639</v>
      </c>
      <c r="E566" s="44">
        <v>1754500</v>
      </c>
      <c r="F566" s="44">
        <v>1159398</v>
      </c>
      <c r="G566" s="44">
        <v>974903</v>
      </c>
      <c r="H566" s="126">
        <v>2134301</v>
      </c>
      <c r="I566" s="127">
        <v>15677264</v>
      </c>
      <c r="J566" s="128">
        <v>205319</v>
      </c>
      <c r="K566" s="130">
        <v>18016884</v>
      </c>
      <c r="L566" s="44">
        <v>111283</v>
      </c>
      <c r="M566" s="44">
        <v>249633</v>
      </c>
      <c r="N566" s="44">
        <v>3108640</v>
      </c>
      <c r="O566" s="44">
        <v>90361</v>
      </c>
      <c r="P566" s="44">
        <v>127173</v>
      </c>
      <c r="Q566" s="44">
        <v>1024190</v>
      </c>
      <c r="R566" s="44">
        <v>7719953</v>
      </c>
      <c r="S566" s="44">
        <v>149767</v>
      </c>
      <c r="T566" s="44">
        <v>428308</v>
      </c>
      <c r="U566" s="44">
        <v>656803</v>
      </c>
      <c r="V566" s="44">
        <v>0</v>
      </c>
      <c r="W566" s="44">
        <v>508358</v>
      </c>
      <c r="X566" s="44">
        <v>275851</v>
      </c>
      <c r="Y566" s="44">
        <v>788915</v>
      </c>
      <c r="Z566" s="44">
        <v>444202</v>
      </c>
      <c r="AA566" s="44">
        <v>146591</v>
      </c>
      <c r="AB566" s="44">
        <v>100000</v>
      </c>
      <c r="AC566" s="44">
        <v>15930028</v>
      </c>
      <c r="AD566" s="44">
        <v>1202194</v>
      </c>
      <c r="AE566" s="44">
        <v>300000</v>
      </c>
      <c r="AF566" s="44">
        <v>289402</v>
      </c>
      <c r="AG566" s="44">
        <v>17721624</v>
      </c>
      <c r="AH566" s="44">
        <v>832</v>
      </c>
      <c r="AI566" s="44">
        <v>21655</v>
      </c>
      <c r="AJ566" s="44">
        <v>21300</v>
      </c>
      <c r="AK566" s="44">
        <v>1294435</v>
      </c>
      <c r="AL566" s="44">
        <v>128174</v>
      </c>
      <c r="AM566" s="44">
        <v>2.2190000000000003</v>
      </c>
      <c r="AN566" s="44">
        <v>0.75078869746926125</v>
      </c>
      <c r="AO566" s="44">
        <v>7.8E-2</v>
      </c>
      <c r="AP566" s="44">
        <v>0.8287886974692612</v>
      </c>
      <c r="AQ566" s="44">
        <v>0.85809999999999997</v>
      </c>
      <c r="AR566" s="44">
        <v>10.76</v>
      </c>
    </row>
    <row r="567" spans="1:44">
      <c r="A567" t="s">
        <v>524</v>
      </c>
      <c r="B567" t="s">
        <v>525</v>
      </c>
      <c r="D567" t="s">
        <v>1639</v>
      </c>
      <c r="E567" s="44">
        <v>493354</v>
      </c>
      <c r="F567" s="44">
        <v>389818</v>
      </c>
      <c r="G567" s="44">
        <v>203039</v>
      </c>
      <c r="H567" s="126">
        <v>592857</v>
      </c>
      <c r="I567" s="127">
        <v>4448447</v>
      </c>
      <c r="J567" s="128">
        <v>113901</v>
      </c>
      <c r="K567" s="130">
        <v>5155205</v>
      </c>
      <c r="L567" s="44">
        <v>145209</v>
      </c>
      <c r="M567" s="44">
        <v>116127</v>
      </c>
      <c r="N567" s="44">
        <v>905087</v>
      </c>
      <c r="O567" s="44">
        <v>26331</v>
      </c>
      <c r="P567" s="44">
        <v>88541</v>
      </c>
      <c r="Q567" s="44">
        <v>508882</v>
      </c>
      <c r="R567" s="44">
        <v>1692933</v>
      </c>
      <c r="S567" s="44">
        <v>0</v>
      </c>
      <c r="T567" s="44">
        <v>129598</v>
      </c>
      <c r="U567" s="44">
        <v>116413</v>
      </c>
      <c r="V567" s="44">
        <v>4548</v>
      </c>
      <c r="W567" s="44">
        <v>192491</v>
      </c>
      <c r="X567" s="44">
        <v>88651</v>
      </c>
      <c r="Y567" s="44">
        <v>268514</v>
      </c>
      <c r="Z567" s="44">
        <v>166591</v>
      </c>
      <c r="AA567" s="44">
        <v>106305</v>
      </c>
      <c r="AB567" s="44">
        <v>0</v>
      </c>
      <c r="AC567" s="44">
        <v>4556221</v>
      </c>
      <c r="AD567" s="44">
        <v>451215</v>
      </c>
      <c r="AE567" s="44">
        <v>50000</v>
      </c>
      <c r="AF567" s="44">
        <v>40372</v>
      </c>
      <c r="AG567" s="44">
        <v>5097808</v>
      </c>
      <c r="AH567" s="44">
        <v>206</v>
      </c>
      <c r="AI567" s="44">
        <v>25025</v>
      </c>
      <c r="AJ567" s="44">
        <v>24747</v>
      </c>
      <c r="AK567" s="44">
        <v>3401585</v>
      </c>
      <c r="AL567" s="44">
        <v>144653</v>
      </c>
      <c r="AM567" s="44">
        <v>5.0430000000000001</v>
      </c>
      <c r="AN567" s="44">
        <v>0.68025021734831914</v>
      </c>
      <c r="AO567" s="44">
        <v>8.5999999999999993E-2</v>
      </c>
      <c r="AP567" s="44">
        <v>0.76625021734831911</v>
      </c>
      <c r="AQ567" s="44">
        <v>0.77239999999999998</v>
      </c>
      <c r="AR567" s="44">
        <v>3.87</v>
      </c>
    </row>
    <row r="568" spans="1:44">
      <c r="A568" t="s">
        <v>526</v>
      </c>
      <c r="B568" t="s">
        <v>527</v>
      </c>
      <c r="D568" t="s">
        <v>1639</v>
      </c>
      <c r="E568" s="44">
        <v>186113</v>
      </c>
      <c r="F568" s="44">
        <v>151810</v>
      </c>
      <c r="G568" s="44">
        <v>14518</v>
      </c>
      <c r="H568" s="126">
        <v>166328</v>
      </c>
      <c r="I568" s="127">
        <v>2882046</v>
      </c>
      <c r="J568" s="128">
        <v>26467</v>
      </c>
      <c r="K568" s="130">
        <v>3074841</v>
      </c>
      <c r="L568" s="44">
        <v>49872</v>
      </c>
      <c r="M568" s="44">
        <v>248447</v>
      </c>
      <c r="N568" s="44">
        <v>1318285</v>
      </c>
      <c r="O568" s="44">
        <v>23799</v>
      </c>
      <c r="P568" s="44">
        <v>1711</v>
      </c>
      <c r="Q568" s="44">
        <v>3940</v>
      </c>
      <c r="R568" s="44">
        <v>0</v>
      </c>
      <c r="S568" s="44">
        <v>75634</v>
      </c>
      <c r="T568" s="44">
        <v>53514</v>
      </c>
      <c r="U568" s="44">
        <v>165640</v>
      </c>
      <c r="V568" s="44">
        <v>4038</v>
      </c>
      <c r="W568" s="44">
        <v>154851</v>
      </c>
      <c r="X568" s="44">
        <v>112353</v>
      </c>
      <c r="Y568" s="44">
        <v>284790</v>
      </c>
      <c r="Z568" s="44">
        <v>162065</v>
      </c>
      <c r="AA568" s="44">
        <v>65798</v>
      </c>
      <c r="AB568" s="44">
        <v>0</v>
      </c>
      <c r="AC568" s="44">
        <v>2724737</v>
      </c>
      <c r="AD568" s="44">
        <v>4680</v>
      </c>
      <c r="AE568" s="44">
        <v>50000</v>
      </c>
      <c r="AF568" s="44">
        <v>41087</v>
      </c>
      <c r="AG568" s="44">
        <v>2820504</v>
      </c>
      <c r="AH568" s="44">
        <v>72</v>
      </c>
      <c r="AI568" s="44">
        <v>42706</v>
      </c>
      <c r="AJ568" s="44">
        <v>39174</v>
      </c>
      <c r="AK568" s="44">
        <v>12979368</v>
      </c>
      <c r="AL568" s="44">
        <v>363009</v>
      </c>
      <c r="AM568" s="44">
        <v>18.468999999999998</v>
      </c>
      <c r="AN568" s="44">
        <v>0.5823508848064034</v>
      </c>
      <c r="AO568" s="44">
        <v>0.16600000000000001</v>
      </c>
      <c r="AP568" s="44">
        <v>0.74835088480640344</v>
      </c>
      <c r="AQ568" s="44">
        <v>0.77459999999999996</v>
      </c>
      <c r="AR568" s="44">
        <v>3.97</v>
      </c>
    </row>
    <row r="569" spans="1:44">
      <c r="A569" t="s">
        <v>528</v>
      </c>
      <c r="B569" t="s">
        <v>529</v>
      </c>
      <c r="D569" t="s">
        <v>1639</v>
      </c>
      <c r="E569" s="44">
        <v>2039545</v>
      </c>
      <c r="F569" s="44">
        <v>1519805</v>
      </c>
      <c r="G569" s="44">
        <v>1409132</v>
      </c>
      <c r="H569" s="126">
        <v>2928937</v>
      </c>
      <c r="I569" s="127">
        <v>19524268</v>
      </c>
      <c r="J569" s="128">
        <v>333692</v>
      </c>
      <c r="K569" s="130">
        <v>22786897</v>
      </c>
      <c r="L569" s="44">
        <v>185987</v>
      </c>
      <c r="M569" s="44">
        <v>536929</v>
      </c>
      <c r="N569" s="44">
        <v>7769632</v>
      </c>
      <c r="O569" s="44">
        <v>312322</v>
      </c>
      <c r="P569" s="44">
        <v>355802</v>
      </c>
      <c r="Q569" s="44">
        <v>954442</v>
      </c>
      <c r="R569" s="44">
        <v>61500</v>
      </c>
      <c r="S569" s="44">
        <v>292258</v>
      </c>
      <c r="T569" s="44">
        <v>1372295</v>
      </c>
      <c r="U569" s="44">
        <v>682189</v>
      </c>
      <c r="V569" s="44">
        <v>0</v>
      </c>
      <c r="W569" s="44">
        <v>1141884</v>
      </c>
      <c r="X569" s="44">
        <v>763614</v>
      </c>
      <c r="Y569" s="44">
        <v>2397824</v>
      </c>
      <c r="Z569" s="44">
        <v>1128644</v>
      </c>
      <c r="AA569" s="44">
        <v>334747</v>
      </c>
      <c r="AB569" s="44">
        <v>0</v>
      </c>
      <c r="AC569" s="44">
        <v>18290069</v>
      </c>
      <c r="AD569" s="44">
        <v>842862</v>
      </c>
      <c r="AE569" s="44">
        <v>790000</v>
      </c>
      <c r="AF569" s="44">
        <v>690325</v>
      </c>
      <c r="AG569" s="44">
        <v>20613256</v>
      </c>
      <c r="AH569" s="44">
        <v>1030</v>
      </c>
      <c r="AI569" s="44">
        <v>22123</v>
      </c>
      <c r="AJ569" s="44">
        <v>20013</v>
      </c>
      <c r="AK569" s="44">
        <v>1568476</v>
      </c>
      <c r="AL569" s="44">
        <v>159041</v>
      </c>
      <c r="AM569" s="44">
        <v>2.7030000000000003</v>
      </c>
      <c r="AN569" s="44">
        <v>0.57246851249506625</v>
      </c>
      <c r="AO569" s="44">
        <v>0.185</v>
      </c>
      <c r="AP569" s="44">
        <v>0.75746851249506619</v>
      </c>
      <c r="AQ569" s="44">
        <v>0.85270000000000001</v>
      </c>
      <c r="AR569" s="44">
        <v>7.31</v>
      </c>
    </row>
    <row r="570" spans="1:44">
      <c r="A570" t="s">
        <v>1918</v>
      </c>
      <c r="B570" t="s">
        <v>530</v>
      </c>
      <c r="D570" t="s">
        <v>1639</v>
      </c>
      <c r="E570" s="44">
        <v>649733</v>
      </c>
      <c r="F570" s="44">
        <v>1197378</v>
      </c>
      <c r="G570" s="44">
        <v>693119</v>
      </c>
      <c r="H570" s="126">
        <v>1890497</v>
      </c>
      <c r="I570" s="127">
        <v>10557058</v>
      </c>
      <c r="J570" s="128">
        <v>596425</v>
      </c>
      <c r="K570" s="130">
        <v>13043980</v>
      </c>
      <c r="L570" s="44">
        <v>172805</v>
      </c>
      <c r="M570" s="44">
        <v>282201</v>
      </c>
      <c r="N570" s="44">
        <v>4903265</v>
      </c>
      <c r="O570" s="44">
        <v>215330</v>
      </c>
      <c r="P570" s="44">
        <v>228423</v>
      </c>
      <c r="Q570" s="44">
        <v>785681</v>
      </c>
      <c r="R570" s="44">
        <v>65026</v>
      </c>
      <c r="S570" s="44">
        <v>70176</v>
      </c>
      <c r="T570" s="44">
        <v>779068</v>
      </c>
      <c r="U570" s="44">
        <v>635671</v>
      </c>
      <c r="V570" s="44">
        <v>0</v>
      </c>
      <c r="W570" s="44">
        <v>613077</v>
      </c>
      <c r="X570" s="44">
        <v>472707</v>
      </c>
      <c r="Y570" s="44">
        <v>104846</v>
      </c>
      <c r="Z570" s="44">
        <v>2391682</v>
      </c>
      <c r="AA570" s="44">
        <v>184891</v>
      </c>
      <c r="AB570" s="44">
        <v>0</v>
      </c>
      <c r="AC570" s="44">
        <v>11904849</v>
      </c>
      <c r="AD570" s="44">
        <v>461837</v>
      </c>
      <c r="AE570" s="44">
        <v>135000</v>
      </c>
      <c r="AF570" s="44">
        <v>189120</v>
      </c>
      <c r="AG570" s="44">
        <v>12690806</v>
      </c>
      <c r="AH570" s="44">
        <v>668</v>
      </c>
      <c r="AI570" s="44">
        <v>19527</v>
      </c>
      <c r="AJ570" s="44">
        <v>18998</v>
      </c>
      <c r="AK570" s="44">
        <v>1276621</v>
      </c>
      <c r="AL570" s="44">
        <v>117360</v>
      </c>
      <c r="AM570" s="44">
        <v>2.1509999999999998</v>
      </c>
      <c r="AN570" s="44">
        <v>0.60537053359731452</v>
      </c>
      <c r="AO570" s="44">
        <v>0.20899999999999999</v>
      </c>
      <c r="AP570" s="44">
        <v>0.81437053359731448</v>
      </c>
      <c r="AQ570" s="44">
        <v>0.86739999999999995</v>
      </c>
      <c r="AR570" s="44">
        <v>7.42</v>
      </c>
    </row>
    <row r="571" spans="1:44">
      <c r="A571" t="s">
        <v>531</v>
      </c>
      <c r="B571" t="s">
        <v>532</v>
      </c>
      <c r="D571" t="s">
        <v>1639</v>
      </c>
      <c r="E571" s="44">
        <v>1946229</v>
      </c>
      <c r="F571" s="44">
        <v>2239879</v>
      </c>
      <c r="G571" s="44">
        <v>1968881</v>
      </c>
      <c r="H571" s="126">
        <v>4208760</v>
      </c>
      <c r="I571" s="127">
        <v>26824156</v>
      </c>
      <c r="J571" s="128">
        <v>512020</v>
      </c>
      <c r="K571" s="130">
        <v>31544936</v>
      </c>
      <c r="L571" s="44">
        <v>253505</v>
      </c>
      <c r="M571" s="44">
        <v>483168</v>
      </c>
      <c r="N571" s="44">
        <v>10747009</v>
      </c>
      <c r="O571" s="44">
        <v>559651</v>
      </c>
      <c r="P571" s="44">
        <v>333466</v>
      </c>
      <c r="Q571" s="44">
        <v>1491977</v>
      </c>
      <c r="R571" s="44">
        <v>0</v>
      </c>
      <c r="S571" s="44">
        <v>0</v>
      </c>
      <c r="T571" s="44">
        <v>1961826</v>
      </c>
      <c r="U571" s="44">
        <v>1576698</v>
      </c>
      <c r="V571" s="44">
        <v>18126</v>
      </c>
      <c r="W571" s="44">
        <v>2163821</v>
      </c>
      <c r="X571" s="44">
        <v>1107499</v>
      </c>
      <c r="Y571" s="44">
        <v>3482777</v>
      </c>
      <c r="Z571" s="44">
        <v>1526459</v>
      </c>
      <c r="AA571" s="44">
        <v>343751</v>
      </c>
      <c r="AB571" s="44">
        <v>70996</v>
      </c>
      <c r="AC571" s="44">
        <v>26120729</v>
      </c>
      <c r="AD571" s="44">
        <v>1297999</v>
      </c>
      <c r="AE571" s="44">
        <v>970000</v>
      </c>
      <c r="AF571" s="44">
        <v>1674738</v>
      </c>
      <c r="AG571" s="44">
        <v>30063466</v>
      </c>
      <c r="AH571" s="44">
        <v>1584</v>
      </c>
      <c r="AI571" s="44">
        <v>19915</v>
      </c>
      <c r="AJ571" s="44">
        <v>18979</v>
      </c>
      <c r="AK571" s="44">
        <v>1388538</v>
      </c>
      <c r="AL571" s="44">
        <v>148500</v>
      </c>
      <c r="AM571" s="44">
        <v>2.4249999999999998</v>
      </c>
      <c r="AN571" s="44">
        <v>0.5545144728156095</v>
      </c>
      <c r="AO571" s="44">
        <v>0.18</v>
      </c>
      <c r="AP571" s="44">
        <v>0.73451447281560944</v>
      </c>
      <c r="AQ571" s="44">
        <v>0.84770000000000001</v>
      </c>
      <c r="AR571" s="44">
        <v>7.67</v>
      </c>
    </row>
    <row r="572" spans="1:44">
      <c r="A572" t="s">
        <v>533</v>
      </c>
      <c r="B572" t="s">
        <v>534</v>
      </c>
      <c r="D572" t="s">
        <v>1639</v>
      </c>
      <c r="E572" s="44">
        <v>2570746</v>
      </c>
      <c r="F572" s="44">
        <v>12793679</v>
      </c>
      <c r="G572" s="44">
        <v>1706781</v>
      </c>
      <c r="H572" s="126">
        <v>14500460</v>
      </c>
      <c r="I572" s="127">
        <v>15259873</v>
      </c>
      <c r="J572" s="128">
        <v>1805623</v>
      </c>
      <c r="K572" s="130">
        <v>31565956</v>
      </c>
      <c r="L572" s="44">
        <v>163423</v>
      </c>
      <c r="M572" s="44">
        <v>611735</v>
      </c>
      <c r="N572" s="44">
        <v>9692635</v>
      </c>
      <c r="O572" s="44">
        <v>730517</v>
      </c>
      <c r="P572" s="44">
        <v>556404</v>
      </c>
      <c r="Q572" s="44">
        <v>3476934</v>
      </c>
      <c r="R572" s="44">
        <v>173358</v>
      </c>
      <c r="S572" s="44">
        <v>97574</v>
      </c>
      <c r="T572" s="44">
        <v>1449763</v>
      </c>
      <c r="U572" s="44">
        <v>1314449</v>
      </c>
      <c r="V572" s="44">
        <v>31093</v>
      </c>
      <c r="W572" s="44">
        <v>1717722</v>
      </c>
      <c r="X572" s="44">
        <v>1202984</v>
      </c>
      <c r="Y572" s="44">
        <v>3517854</v>
      </c>
      <c r="Z572" s="44">
        <v>1487233</v>
      </c>
      <c r="AA572" s="44">
        <v>481400</v>
      </c>
      <c r="AB572" s="44">
        <v>206752</v>
      </c>
      <c r="AC572" s="44">
        <v>26911830</v>
      </c>
      <c r="AD572" s="44">
        <v>1982880</v>
      </c>
      <c r="AE572" s="44">
        <v>1779138</v>
      </c>
      <c r="AF572" s="44">
        <v>395992</v>
      </c>
      <c r="AG572" s="44">
        <v>31069840</v>
      </c>
      <c r="AH572" s="44">
        <v>1419</v>
      </c>
      <c r="AI572" s="44">
        <v>22245</v>
      </c>
      <c r="AJ572" s="44">
        <v>21896</v>
      </c>
      <c r="AK572" s="44">
        <v>310077</v>
      </c>
      <c r="AL572" s="44">
        <v>76117</v>
      </c>
      <c r="AM572" s="44">
        <v>0.71700000000000008</v>
      </c>
      <c r="AN572" s="44">
        <v>0.56297792328508933</v>
      </c>
      <c r="AO572" s="44">
        <v>0.17899999999999999</v>
      </c>
      <c r="AP572" s="44">
        <v>0.74197792328508938</v>
      </c>
      <c r="AQ572" s="44">
        <v>0.85909999999999997</v>
      </c>
      <c r="AR572" s="44">
        <v>25.15</v>
      </c>
    </row>
    <row r="573" spans="1:44">
      <c r="A573" t="s">
        <v>535</v>
      </c>
      <c r="B573" t="s">
        <v>536</v>
      </c>
      <c r="D573" t="s">
        <v>1639</v>
      </c>
      <c r="E573" s="44">
        <v>787950</v>
      </c>
      <c r="F573" s="44">
        <v>4322770</v>
      </c>
      <c r="G573" s="44">
        <v>1091713</v>
      </c>
      <c r="H573" s="126">
        <v>5414483</v>
      </c>
      <c r="I573" s="127">
        <v>9378046</v>
      </c>
      <c r="J573" s="128">
        <v>746203</v>
      </c>
      <c r="K573" s="130">
        <v>15538732</v>
      </c>
      <c r="L573" s="44">
        <v>90525</v>
      </c>
      <c r="M573" s="44">
        <v>522865</v>
      </c>
      <c r="N573" s="44">
        <v>3651568</v>
      </c>
      <c r="O573" s="44">
        <v>240075</v>
      </c>
      <c r="P573" s="44">
        <v>233355</v>
      </c>
      <c r="Q573" s="44">
        <v>2126389</v>
      </c>
      <c r="R573" s="44">
        <v>45008</v>
      </c>
      <c r="S573" s="44">
        <v>335269</v>
      </c>
      <c r="T573" s="44">
        <v>694153</v>
      </c>
      <c r="U573" s="44">
        <v>874845</v>
      </c>
      <c r="V573" s="44">
        <v>0</v>
      </c>
      <c r="W573" s="44">
        <v>877943</v>
      </c>
      <c r="X573" s="44">
        <v>461940</v>
      </c>
      <c r="Y573" s="44">
        <v>1413981</v>
      </c>
      <c r="Z573" s="44">
        <v>698746</v>
      </c>
      <c r="AA573" s="44">
        <v>300626</v>
      </c>
      <c r="AB573" s="44">
        <v>1039443</v>
      </c>
      <c r="AC573" s="44">
        <v>13606731</v>
      </c>
      <c r="AD573" s="44">
        <v>989647</v>
      </c>
      <c r="AE573" s="44">
        <v>601664</v>
      </c>
      <c r="AF573" s="44">
        <v>146824</v>
      </c>
      <c r="AG573" s="44">
        <v>15344866</v>
      </c>
      <c r="AH573" s="44">
        <v>733</v>
      </c>
      <c r="AI573" s="44">
        <v>21199</v>
      </c>
      <c r="AJ573" s="44">
        <v>20934</v>
      </c>
      <c r="AK573" s="44">
        <v>438238</v>
      </c>
      <c r="AL573" s="44">
        <v>72532</v>
      </c>
      <c r="AM573" s="44">
        <v>0.87</v>
      </c>
      <c r="AN573" s="44">
        <v>0.53442382618394968</v>
      </c>
      <c r="AO573" s="44">
        <v>0.129</v>
      </c>
      <c r="AP573" s="44">
        <v>0.66342382618394968</v>
      </c>
      <c r="AQ573" s="44">
        <v>0.80330000000000001</v>
      </c>
      <c r="AR573" s="44">
        <v>15.99</v>
      </c>
    </row>
    <row r="574" spans="1:44">
      <c r="A574" t="s">
        <v>537</v>
      </c>
      <c r="B574" t="s">
        <v>538</v>
      </c>
      <c r="D574" t="s">
        <v>1639</v>
      </c>
      <c r="E574" s="44">
        <v>1063147</v>
      </c>
      <c r="F574" s="44">
        <v>16645172</v>
      </c>
      <c r="G574" s="44">
        <v>2195648</v>
      </c>
      <c r="H574" s="126">
        <v>18840820</v>
      </c>
      <c r="I574" s="127">
        <v>17707898</v>
      </c>
      <c r="J574" s="128">
        <v>1361329</v>
      </c>
      <c r="K574" s="130">
        <v>37910047</v>
      </c>
      <c r="L574" s="44">
        <v>241403</v>
      </c>
      <c r="M574" s="44">
        <v>555923</v>
      </c>
      <c r="N574" s="44">
        <v>10158730</v>
      </c>
      <c r="O574" s="44">
        <v>715562</v>
      </c>
      <c r="P574" s="44">
        <v>923781</v>
      </c>
      <c r="Q574" s="44">
        <v>4529070</v>
      </c>
      <c r="R574" s="44">
        <v>41625</v>
      </c>
      <c r="S574" s="44">
        <v>482757</v>
      </c>
      <c r="T574" s="44">
        <v>2846914</v>
      </c>
      <c r="U574" s="44">
        <v>1178111</v>
      </c>
      <c r="V574" s="44">
        <v>36824</v>
      </c>
      <c r="W574" s="44">
        <v>2454496</v>
      </c>
      <c r="X574" s="44">
        <v>1057121</v>
      </c>
      <c r="Y574" s="44">
        <v>3479053</v>
      </c>
      <c r="Z574" s="44">
        <v>1839315</v>
      </c>
      <c r="AA574" s="44">
        <v>701571</v>
      </c>
      <c r="AB574" s="44">
        <v>1070000</v>
      </c>
      <c r="AC574" s="44">
        <v>32312256</v>
      </c>
      <c r="AD574" s="44">
        <v>2218007</v>
      </c>
      <c r="AE574" s="44">
        <v>500368</v>
      </c>
      <c r="AF574" s="44">
        <v>391072</v>
      </c>
      <c r="AG574" s="44">
        <v>35421703</v>
      </c>
      <c r="AH574" s="44">
        <v>1623</v>
      </c>
      <c r="AI574" s="44">
        <v>23358</v>
      </c>
      <c r="AJ574" s="44">
        <v>21825</v>
      </c>
      <c r="AK574" s="44">
        <v>223152</v>
      </c>
      <c r="AL574" s="44">
        <v>71886</v>
      </c>
      <c r="AM574" s="44">
        <v>0.58599999999999997</v>
      </c>
      <c r="AN574" s="44">
        <v>0.58937171936651378</v>
      </c>
      <c r="AO574" s="44">
        <v>0.161</v>
      </c>
      <c r="AP574" s="44">
        <v>0.75037171936651381</v>
      </c>
      <c r="AQ574" s="44">
        <v>0.84540000000000004</v>
      </c>
      <c r="AR574" s="44">
        <v>29.31</v>
      </c>
    </row>
    <row r="575" spans="1:44">
      <c r="A575" t="s">
        <v>539</v>
      </c>
      <c r="B575" t="s">
        <v>540</v>
      </c>
      <c r="D575" t="s">
        <v>1639</v>
      </c>
      <c r="E575" s="44">
        <v>1857912</v>
      </c>
      <c r="F575" s="44">
        <v>7382777</v>
      </c>
      <c r="G575" s="44">
        <v>1293866</v>
      </c>
      <c r="H575" s="126">
        <v>8676643</v>
      </c>
      <c r="I575" s="127">
        <v>17288824</v>
      </c>
      <c r="J575" s="128">
        <v>722358</v>
      </c>
      <c r="K575" s="130">
        <v>26687825</v>
      </c>
      <c r="L575" s="44">
        <v>255198</v>
      </c>
      <c r="M575" s="44">
        <v>563605</v>
      </c>
      <c r="N575" s="44">
        <v>7843397</v>
      </c>
      <c r="O575" s="44">
        <v>525623</v>
      </c>
      <c r="P575" s="44">
        <v>691181</v>
      </c>
      <c r="Q575" s="44">
        <v>2317111</v>
      </c>
      <c r="R575" s="44">
        <v>102281</v>
      </c>
      <c r="S575" s="44">
        <v>0</v>
      </c>
      <c r="T575" s="44">
        <v>1748697</v>
      </c>
      <c r="U575" s="44">
        <v>979425</v>
      </c>
      <c r="V575" s="44">
        <v>10000</v>
      </c>
      <c r="W575" s="44">
        <v>1814473</v>
      </c>
      <c r="X575" s="44">
        <v>864733</v>
      </c>
      <c r="Y575" s="44">
        <v>2468604</v>
      </c>
      <c r="Z575" s="44">
        <v>1639381</v>
      </c>
      <c r="AA575" s="44">
        <v>495770</v>
      </c>
      <c r="AB575" s="44">
        <v>214510</v>
      </c>
      <c r="AC575" s="44">
        <v>22533989</v>
      </c>
      <c r="AD575" s="44">
        <v>1862259</v>
      </c>
      <c r="AE575" s="44">
        <v>831178</v>
      </c>
      <c r="AF575" s="44">
        <v>592822</v>
      </c>
      <c r="AG575" s="44">
        <v>25820248</v>
      </c>
      <c r="AH575" s="44">
        <v>1243</v>
      </c>
      <c r="AI575" s="44">
        <v>21470</v>
      </c>
      <c r="AJ575" s="44">
        <v>20773</v>
      </c>
      <c r="AK575" s="44">
        <v>424331</v>
      </c>
      <c r="AL575" s="44">
        <v>57741</v>
      </c>
      <c r="AM575" s="44">
        <v>0.79200000000000004</v>
      </c>
      <c r="AN575" s="44">
        <v>0.55025478453963728</v>
      </c>
      <c r="AO575" s="44">
        <v>0.16700000000000001</v>
      </c>
      <c r="AP575" s="44">
        <v>0.71725478453963731</v>
      </c>
      <c r="AQ575" s="44">
        <v>0.82469999999999999</v>
      </c>
      <c r="AR575" s="44">
        <v>18.87</v>
      </c>
    </row>
    <row r="576" spans="1:44">
      <c r="A576" t="s">
        <v>541</v>
      </c>
      <c r="B576" t="s">
        <v>542</v>
      </c>
      <c r="D576" t="s">
        <v>1639</v>
      </c>
      <c r="E576" s="44">
        <v>445498</v>
      </c>
      <c r="F576" s="44">
        <v>2316555</v>
      </c>
      <c r="G576" s="44">
        <v>331379</v>
      </c>
      <c r="H576" s="126">
        <v>2647934</v>
      </c>
      <c r="I576" s="127">
        <v>3654818</v>
      </c>
      <c r="J576" s="128">
        <v>582754</v>
      </c>
      <c r="K576" s="130">
        <v>6885506</v>
      </c>
      <c r="L576" s="44">
        <v>76178</v>
      </c>
      <c r="M576" s="44">
        <v>245936</v>
      </c>
      <c r="N576" s="44">
        <v>2086383</v>
      </c>
      <c r="O576" s="44">
        <v>65574</v>
      </c>
      <c r="P576" s="44">
        <v>90000</v>
      </c>
      <c r="Q576" s="44">
        <v>699834</v>
      </c>
      <c r="R576" s="44">
        <v>0</v>
      </c>
      <c r="S576" s="44">
        <v>61698</v>
      </c>
      <c r="T576" s="44">
        <v>428781</v>
      </c>
      <c r="U576" s="44">
        <v>455893</v>
      </c>
      <c r="V576" s="44">
        <v>16965</v>
      </c>
      <c r="W576" s="44">
        <v>512817</v>
      </c>
      <c r="X576" s="44">
        <v>215379</v>
      </c>
      <c r="Y576" s="44">
        <v>676920</v>
      </c>
      <c r="Z576" s="44">
        <v>369707</v>
      </c>
      <c r="AA576" s="44">
        <v>148291</v>
      </c>
      <c r="AB576" s="44">
        <v>5000</v>
      </c>
      <c r="AC576" s="44">
        <v>6155356</v>
      </c>
      <c r="AD576" s="44">
        <v>478088</v>
      </c>
      <c r="AE576" s="44">
        <v>169883</v>
      </c>
      <c r="AF576" s="44">
        <v>123144</v>
      </c>
      <c r="AG576" s="44">
        <v>6926471</v>
      </c>
      <c r="AH576" s="44">
        <v>281</v>
      </c>
      <c r="AI576" s="44">
        <v>24504</v>
      </c>
      <c r="AJ576" s="44">
        <v>24649</v>
      </c>
      <c r="AK576" s="44">
        <v>587064</v>
      </c>
      <c r="AL576" s="44">
        <v>75744</v>
      </c>
      <c r="AM576" s="44">
        <v>1.0780000000000001</v>
      </c>
      <c r="AN576" s="44">
        <v>0.56134834030200953</v>
      </c>
      <c r="AO576" s="44">
        <v>0.155</v>
      </c>
      <c r="AP576" s="44">
        <v>0.71634834030200956</v>
      </c>
      <c r="AQ576" s="44">
        <v>0.80559999999999998</v>
      </c>
      <c r="AR576" s="44">
        <v>15.05</v>
      </c>
    </row>
    <row r="577" spans="1:44">
      <c r="A577" t="s">
        <v>543</v>
      </c>
      <c r="B577" t="s">
        <v>544</v>
      </c>
      <c r="D577" t="s">
        <v>1639</v>
      </c>
      <c r="E577" s="44">
        <v>3029417</v>
      </c>
      <c r="F577" s="44">
        <v>5399931</v>
      </c>
      <c r="G577" s="44">
        <v>544269</v>
      </c>
      <c r="H577" s="126">
        <v>5944200</v>
      </c>
      <c r="I577" s="127">
        <v>6518531</v>
      </c>
      <c r="J577" s="128">
        <v>591763</v>
      </c>
      <c r="K577" s="130">
        <v>13054494</v>
      </c>
      <c r="L577" s="44">
        <v>81175</v>
      </c>
      <c r="M577" s="44">
        <v>399924</v>
      </c>
      <c r="N577" s="44">
        <v>3622765</v>
      </c>
      <c r="O577" s="44">
        <v>177617</v>
      </c>
      <c r="P577" s="44">
        <v>159255</v>
      </c>
      <c r="Q577" s="44">
        <v>1415818</v>
      </c>
      <c r="R577" s="44">
        <v>128589</v>
      </c>
      <c r="S577" s="44">
        <v>28158</v>
      </c>
      <c r="T577" s="44">
        <v>692515</v>
      </c>
      <c r="U577" s="44">
        <v>678545</v>
      </c>
      <c r="V577" s="44">
        <v>8064</v>
      </c>
      <c r="W577" s="44">
        <v>1131672</v>
      </c>
      <c r="X577" s="44">
        <v>362220</v>
      </c>
      <c r="Y577" s="44">
        <v>1173129</v>
      </c>
      <c r="Z577" s="44">
        <v>580821</v>
      </c>
      <c r="AA577" s="44">
        <v>300476</v>
      </c>
      <c r="AB577" s="44">
        <v>935000</v>
      </c>
      <c r="AC577" s="44">
        <v>11875743</v>
      </c>
      <c r="AD577" s="44">
        <v>575267</v>
      </c>
      <c r="AE577" s="44">
        <v>495000</v>
      </c>
      <c r="AF577" s="44">
        <v>180253</v>
      </c>
      <c r="AG577" s="44">
        <v>13126263</v>
      </c>
      <c r="AH577" s="44">
        <v>624</v>
      </c>
      <c r="AI577" s="44">
        <v>20921</v>
      </c>
      <c r="AJ577" s="44">
        <v>21036</v>
      </c>
      <c r="AK577" s="44">
        <v>422867</v>
      </c>
      <c r="AL577" s="44">
        <v>58297</v>
      </c>
      <c r="AM577" s="44">
        <v>0.79200000000000004</v>
      </c>
      <c r="AN577" s="44">
        <v>0.52591221126683196</v>
      </c>
      <c r="AO577" s="44">
        <v>0.13900000000000001</v>
      </c>
      <c r="AP577" s="44">
        <v>0.66491221126683198</v>
      </c>
      <c r="AQ577" s="44">
        <v>0.79310000000000003</v>
      </c>
      <c r="AR577" s="44">
        <v>16.02</v>
      </c>
    </row>
    <row r="578" spans="1:44">
      <c r="A578" t="s">
        <v>545</v>
      </c>
      <c r="B578" t="s">
        <v>546</v>
      </c>
      <c r="D578" t="s">
        <v>1639</v>
      </c>
      <c r="E578" s="44">
        <v>8410517</v>
      </c>
      <c r="F578" s="44">
        <v>24170781</v>
      </c>
      <c r="G578" s="44">
        <v>3208344</v>
      </c>
      <c r="H578" s="126">
        <v>27379125</v>
      </c>
      <c r="I578" s="127">
        <v>36096902</v>
      </c>
      <c r="J578" s="128">
        <v>3554985</v>
      </c>
      <c r="K578" s="130">
        <v>67031012</v>
      </c>
      <c r="L578" s="44">
        <v>258245</v>
      </c>
      <c r="M578" s="44">
        <v>850450</v>
      </c>
      <c r="N578" s="44">
        <v>20867742</v>
      </c>
      <c r="O578" s="44">
        <v>1518521</v>
      </c>
      <c r="P578" s="44">
        <v>1519668</v>
      </c>
      <c r="Q578" s="44">
        <v>7920268</v>
      </c>
      <c r="R578" s="44">
        <v>438687</v>
      </c>
      <c r="S578" s="44">
        <v>1425017</v>
      </c>
      <c r="T578" s="44">
        <v>3275121</v>
      </c>
      <c r="U578" s="44">
        <v>3273935</v>
      </c>
      <c r="V578" s="44">
        <v>0</v>
      </c>
      <c r="W578" s="44">
        <v>3518350</v>
      </c>
      <c r="X578" s="44">
        <v>2340770</v>
      </c>
      <c r="Y578" s="44">
        <v>5321357</v>
      </c>
      <c r="Z578" s="44">
        <v>4686279</v>
      </c>
      <c r="AA578" s="44">
        <v>1355958</v>
      </c>
      <c r="AB578" s="44">
        <v>0</v>
      </c>
      <c r="AC578" s="44">
        <v>58570368</v>
      </c>
      <c r="AD578" s="44">
        <v>3582047</v>
      </c>
      <c r="AE578" s="44">
        <v>2021136</v>
      </c>
      <c r="AF578" s="44">
        <v>1693438</v>
      </c>
      <c r="AG578" s="44">
        <v>65866989</v>
      </c>
      <c r="AH578" s="44">
        <v>3557</v>
      </c>
      <c r="AI578" s="44">
        <v>18845</v>
      </c>
      <c r="AJ578" s="44">
        <v>18518</v>
      </c>
      <c r="AK578" s="44">
        <v>350747</v>
      </c>
      <c r="AL578" s="44">
        <v>74047</v>
      </c>
      <c r="AM578" s="44">
        <v>0.76100000000000001</v>
      </c>
      <c r="AN578" s="44">
        <v>0.61091237979619806</v>
      </c>
      <c r="AO578" s="44">
        <v>0.16</v>
      </c>
      <c r="AP578" s="44">
        <v>0.77091237979619809</v>
      </c>
      <c r="AQ578" s="44">
        <v>0.86599999999999999</v>
      </c>
      <c r="AR578" s="44">
        <v>17.54</v>
      </c>
    </row>
    <row r="579" spans="1:44">
      <c r="A579" t="s">
        <v>547</v>
      </c>
      <c r="B579" t="s">
        <v>548</v>
      </c>
      <c r="D579" t="s">
        <v>1639</v>
      </c>
      <c r="E579" s="44">
        <v>4126363</v>
      </c>
      <c r="F579" s="44">
        <v>14438986</v>
      </c>
      <c r="G579" s="44">
        <v>2185463</v>
      </c>
      <c r="H579" s="126">
        <v>16624449</v>
      </c>
      <c r="I579" s="127">
        <v>15435523</v>
      </c>
      <c r="J579" s="128">
        <v>907529</v>
      </c>
      <c r="K579" s="130">
        <v>32967501</v>
      </c>
      <c r="L579" s="44">
        <v>393215</v>
      </c>
      <c r="M579" s="44">
        <v>510113</v>
      </c>
      <c r="N579" s="44">
        <v>8506879</v>
      </c>
      <c r="O579" s="44">
        <v>455768</v>
      </c>
      <c r="P579" s="44">
        <v>444537</v>
      </c>
      <c r="Q579" s="44">
        <v>2924323</v>
      </c>
      <c r="R579" s="44">
        <v>121876</v>
      </c>
      <c r="S579" s="44">
        <v>149051</v>
      </c>
      <c r="T579" s="44">
        <v>1314967</v>
      </c>
      <c r="U579" s="44">
        <v>619034</v>
      </c>
      <c r="V579" s="44">
        <v>0</v>
      </c>
      <c r="W579" s="44">
        <v>1829586</v>
      </c>
      <c r="X579" s="44">
        <v>808013</v>
      </c>
      <c r="Y579" s="44">
        <v>3303622</v>
      </c>
      <c r="Z579" s="44">
        <v>1646840</v>
      </c>
      <c r="AA579" s="44">
        <v>692465</v>
      </c>
      <c r="AB579" s="44">
        <v>154905</v>
      </c>
      <c r="AC579" s="44">
        <v>23875194</v>
      </c>
      <c r="AD579" s="44">
        <v>2106393</v>
      </c>
      <c r="AE579" s="44">
        <v>2095000</v>
      </c>
      <c r="AF579" s="44">
        <v>1927260</v>
      </c>
      <c r="AG579" s="44">
        <v>30003847</v>
      </c>
      <c r="AH579" s="44">
        <v>1416</v>
      </c>
      <c r="AI579" s="44">
        <v>23282</v>
      </c>
      <c r="AJ579" s="44">
        <v>21189</v>
      </c>
      <c r="AK579" s="44">
        <v>397977</v>
      </c>
      <c r="AL579" s="44">
        <v>76960</v>
      </c>
      <c r="AM579" s="44">
        <v>0.83499999999999996</v>
      </c>
      <c r="AN579" s="44">
        <v>0.48448570611628566</v>
      </c>
      <c r="AO579" s="44">
        <v>0.17</v>
      </c>
      <c r="AP579" s="44">
        <v>0.65448570611628565</v>
      </c>
      <c r="AQ579" s="44">
        <v>0.82740000000000002</v>
      </c>
      <c r="AR579" s="44">
        <v>16.440000000000001</v>
      </c>
    </row>
    <row r="580" spans="1:44">
      <c r="A580" t="s">
        <v>549</v>
      </c>
      <c r="B580" t="s">
        <v>550</v>
      </c>
      <c r="D580" t="s">
        <v>1639</v>
      </c>
      <c r="E580" s="44">
        <v>821892</v>
      </c>
      <c r="F580" s="44">
        <v>13189999</v>
      </c>
      <c r="G580" s="44">
        <v>1691680</v>
      </c>
      <c r="H580" s="126">
        <v>14881679</v>
      </c>
      <c r="I580" s="127">
        <v>5773681</v>
      </c>
      <c r="J580" s="128">
        <v>1089415</v>
      </c>
      <c r="K580" s="130">
        <v>21744775</v>
      </c>
      <c r="L580" s="44">
        <v>61675</v>
      </c>
      <c r="M580" s="44">
        <v>292448</v>
      </c>
      <c r="N580" s="44">
        <v>6902083</v>
      </c>
      <c r="O580" s="44">
        <v>217255</v>
      </c>
      <c r="P580" s="44">
        <v>489909</v>
      </c>
      <c r="Q580" s="44">
        <v>1689594</v>
      </c>
      <c r="R580" s="44">
        <v>166780</v>
      </c>
      <c r="S580" s="44">
        <v>8462</v>
      </c>
      <c r="T580" s="44">
        <v>1019524</v>
      </c>
      <c r="U580" s="44">
        <v>654608</v>
      </c>
      <c r="V580" s="44">
        <v>123800</v>
      </c>
      <c r="W580" s="44">
        <v>1187825</v>
      </c>
      <c r="X580" s="44">
        <v>576732</v>
      </c>
      <c r="Y580" s="44">
        <v>2988712</v>
      </c>
      <c r="Z580" s="44">
        <v>1156990</v>
      </c>
      <c r="AA580" s="44">
        <v>614305</v>
      </c>
      <c r="AB580" s="44">
        <v>19858</v>
      </c>
      <c r="AC580" s="44">
        <v>18170560</v>
      </c>
      <c r="AD580" s="44">
        <v>778916</v>
      </c>
      <c r="AE580" s="44">
        <v>300000</v>
      </c>
      <c r="AF580" s="44">
        <v>320918</v>
      </c>
      <c r="AG580" s="44">
        <v>19570394</v>
      </c>
      <c r="AH580" s="44">
        <v>1862</v>
      </c>
      <c r="AI580" s="44">
        <v>11678</v>
      </c>
      <c r="AJ580" s="44">
        <v>10510</v>
      </c>
      <c r="AK580" s="44">
        <v>144695</v>
      </c>
      <c r="AL580" s="44">
        <v>62515</v>
      </c>
      <c r="AM580" s="44">
        <v>0.44500000000000001</v>
      </c>
      <c r="AN580" s="44">
        <v>0.5696469371030547</v>
      </c>
      <c r="AO580" s="44">
        <v>0.20799999999999999</v>
      </c>
      <c r="AP580" s="44">
        <v>0.77764693710305466</v>
      </c>
      <c r="AQ580" s="44">
        <v>0.83560000000000001</v>
      </c>
      <c r="AR580" s="44">
        <v>17.84</v>
      </c>
    </row>
    <row r="581" spans="1:44">
      <c r="A581" t="s">
        <v>551</v>
      </c>
      <c r="B581" t="s">
        <v>552</v>
      </c>
      <c r="D581" t="s">
        <v>1639</v>
      </c>
      <c r="E581" s="44">
        <v>797099</v>
      </c>
      <c r="F581" s="44">
        <v>9660435</v>
      </c>
      <c r="G581" s="44">
        <v>1053662</v>
      </c>
      <c r="H581" s="126">
        <v>10714097</v>
      </c>
      <c r="I581" s="127">
        <v>3482903</v>
      </c>
      <c r="J581" s="128">
        <v>906854</v>
      </c>
      <c r="K581" s="130">
        <v>15103854</v>
      </c>
      <c r="L581" s="44">
        <v>133814</v>
      </c>
      <c r="M581" s="44">
        <v>230350</v>
      </c>
      <c r="N581" s="44">
        <v>3997968</v>
      </c>
      <c r="O581" s="44">
        <v>124379</v>
      </c>
      <c r="P581" s="44">
        <v>212833</v>
      </c>
      <c r="Q581" s="44">
        <v>1325881</v>
      </c>
      <c r="R581" s="44">
        <v>12408</v>
      </c>
      <c r="S581" s="44">
        <v>141025</v>
      </c>
      <c r="T581" s="44">
        <v>757340</v>
      </c>
      <c r="U581" s="44">
        <v>690543</v>
      </c>
      <c r="V581" s="44">
        <v>3000</v>
      </c>
      <c r="W581" s="44">
        <v>1177706</v>
      </c>
      <c r="X581" s="44">
        <v>363274</v>
      </c>
      <c r="Y581" s="44">
        <v>1442145</v>
      </c>
      <c r="Z581" s="44">
        <v>770832</v>
      </c>
      <c r="AA581" s="44">
        <v>460064</v>
      </c>
      <c r="AB581" s="44">
        <v>0</v>
      </c>
      <c r="AC581" s="44">
        <v>11843562</v>
      </c>
      <c r="AD581" s="44">
        <v>860436</v>
      </c>
      <c r="AE581" s="44">
        <v>1392803</v>
      </c>
      <c r="AF581" s="44">
        <v>665893</v>
      </c>
      <c r="AG581" s="44">
        <v>14762694</v>
      </c>
      <c r="AH581" s="44">
        <v>880</v>
      </c>
      <c r="AI581" s="44">
        <v>17163</v>
      </c>
      <c r="AJ581" s="44">
        <v>16776</v>
      </c>
      <c r="AK581" s="44">
        <v>143804</v>
      </c>
      <c r="AL581" s="44">
        <v>61614</v>
      </c>
      <c r="AM581" s="44">
        <v>0.44</v>
      </c>
      <c r="AN581" s="44">
        <v>0.49194117279678085</v>
      </c>
      <c r="AO581" s="44">
        <v>0.14099999999999999</v>
      </c>
      <c r="AP581" s="44">
        <v>0.63294117279678086</v>
      </c>
      <c r="AQ581" s="44">
        <v>0.78839999999999999</v>
      </c>
      <c r="AR581" s="44">
        <v>19.09</v>
      </c>
    </row>
    <row r="582" spans="1:44">
      <c r="A582" t="s">
        <v>553</v>
      </c>
      <c r="B582" t="s">
        <v>554</v>
      </c>
      <c r="D582" t="s">
        <v>1639</v>
      </c>
      <c r="E582" s="44">
        <v>1343240</v>
      </c>
      <c r="F582" s="44">
        <v>14613647</v>
      </c>
      <c r="G582" s="44">
        <v>1940974</v>
      </c>
      <c r="H582" s="126">
        <v>16554621</v>
      </c>
      <c r="I582" s="127">
        <v>5700008</v>
      </c>
      <c r="J582" s="128">
        <v>1315050</v>
      </c>
      <c r="K582" s="130">
        <v>23569679</v>
      </c>
      <c r="L582" s="44">
        <v>75415</v>
      </c>
      <c r="M582" s="44">
        <v>477779</v>
      </c>
      <c r="N582" s="44">
        <v>5868932</v>
      </c>
      <c r="O582" s="44">
        <v>216778</v>
      </c>
      <c r="P582" s="44">
        <v>401751</v>
      </c>
      <c r="Q582" s="44">
        <v>2315051</v>
      </c>
      <c r="R582" s="44">
        <v>31101</v>
      </c>
      <c r="S582" s="44">
        <v>0</v>
      </c>
      <c r="T582" s="44">
        <v>1134270</v>
      </c>
      <c r="U582" s="44">
        <v>670862</v>
      </c>
      <c r="V582" s="44">
        <v>1371</v>
      </c>
      <c r="W582" s="44">
        <v>1582080</v>
      </c>
      <c r="X582" s="44">
        <v>536849</v>
      </c>
      <c r="Y582" s="44">
        <v>3134964</v>
      </c>
      <c r="Z582" s="44">
        <v>1150245</v>
      </c>
      <c r="AA582" s="44">
        <v>285379</v>
      </c>
      <c r="AB582" s="44">
        <v>126738</v>
      </c>
      <c r="AC582" s="44">
        <v>18009565</v>
      </c>
      <c r="AD582" s="44">
        <v>1278667</v>
      </c>
      <c r="AE582" s="44">
        <v>1125000</v>
      </c>
      <c r="AF582" s="44">
        <v>808599</v>
      </c>
      <c r="AG582" s="44">
        <v>21221831</v>
      </c>
      <c r="AH582" s="44">
        <v>1360</v>
      </c>
      <c r="AI582" s="44">
        <v>17331</v>
      </c>
      <c r="AJ582" s="44">
        <v>15604</v>
      </c>
      <c r="AK582" s="44">
        <v>145412</v>
      </c>
      <c r="AL582" s="44">
        <v>67156</v>
      </c>
      <c r="AM582" s="44">
        <v>0.46500000000000002</v>
      </c>
      <c r="AN582" s="44">
        <v>0.50131136187070757</v>
      </c>
      <c r="AO582" s="44">
        <v>0.187</v>
      </c>
      <c r="AP582" s="44">
        <v>0.68831136187070752</v>
      </c>
      <c r="AQ582" s="44">
        <v>0.81659999999999999</v>
      </c>
      <c r="AR582" s="44">
        <v>21.59</v>
      </c>
    </row>
    <row r="583" spans="1:44">
      <c r="A583" t="s">
        <v>555</v>
      </c>
      <c r="B583" t="s">
        <v>556</v>
      </c>
      <c r="D583" t="s">
        <v>1639</v>
      </c>
      <c r="E583" s="44">
        <v>3334462</v>
      </c>
      <c r="F583" s="44">
        <v>17355195</v>
      </c>
      <c r="G583" s="44">
        <v>3352898</v>
      </c>
      <c r="H583" s="126">
        <v>20708093</v>
      </c>
      <c r="I583" s="127">
        <v>16281812</v>
      </c>
      <c r="J583" s="128">
        <v>1188519</v>
      </c>
      <c r="K583" s="130">
        <v>38178424</v>
      </c>
      <c r="L583" s="44">
        <v>144546</v>
      </c>
      <c r="M583" s="44">
        <v>995645</v>
      </c>
      <c r="N583" s="44">
        <v>9674232</v>
      </c>
      <c r="O583" s="44">
        <v>545827</v>
      </c>
      <c r="P583" s="44">
        <v>639399</v>
      </c>
      <c r="Q583" s="44">
        <v>2862207</v>
      </c>
      <c r="R583" s="44">
        <v>208251</v>
      </c>
      <c r="S583" s="44">
        <v>0</v>
      </c>
      <c r="T583" s="44">
        <v>2398927</v>
      </c>
      <c r="U583" s="44">
        <v>930000</v>
      </c>
      <c r="V583" s="44">
        <v>0</v>
      </c>
      <c r="W583" s="44">
        <v>3046029</v>
      </c>
      <c r="X583" s="44">
        <v>919922</v>
      </c>
      <c r="Y583" s="44">
        <v>5074202</v>
      </c>
      <c r="Z583" s="44">
        <v>1770097</v>
      </c>
      <c r="AA583" s="44">
        <v>1040134</v>
      </c>
      <c r="AB583" s="44">
        <v>0</v>
      </c>
      <c r="AC583" s="44">
        <v>30249418</v>
      </c>
      <c r="AD583" s="44">
        <v>1701841</v>
      </c>
      <c r="AE583" s="44">
        <v>2754704</v>
      </c>
      <c r="AF583" s="44">
        <v>1352165</v>
      </c>
      <c r="AG583" s="44">
        <v>36058128</v>
      </c>
      <c r="AH583" s="44">
        <v>2288</v>
      </c>
      <c r="AI583" s="44">
        <v>16686</v>
      </c>
      <c r="AJ583" s="44">
        <v>15760</v>
      </c>
      <c r="AK583" s="44">
        <v>217464</v>
      </c>
      <c r="AL583" s="44">
        <v>83410</v>
      </c>
      <c r="AM583" s="44">
        <v>0.626</v>
      </c>
      <c r="AN583" s="44">
        <v>0.47863946237031496</v>
      </c>
      <c r="AO583" s="44">
        <v>0.18099999999999999</v>
      </c>
      <c r="AP583" s="44">
        <v>0.65963946237031501</v>
      </c>
      <c r="AQ583" s="44">
        <v>0.78469999999999995</v>
      </c>
      <c r="AR583" s="44">
        <v>23.03</v>
      </c>
    </row>
    <row r="584" spans="1:44">
      <c r="A584" t="s">
        <v>557</v>
      </c>
      <c r="B584" t="s">
        <v>558</v>
      </c>
      <c r="D584" t="s">
        <v>1639</v>
      </c>
      <c r="E584" s="44">
        <v>191684</v>
      </c>
      <c r="F584" s="44">
        <v>10782953</v>
      </c>
      <c r="G584" s="44">
        <v>1203901</v>
      </c>
      <c r="H584" s="126">
        <v>11986854</v>
      </c>
      <c r="I584" s="127">
        <v>4096794</v>
      </c>
      <c r="J584" s="128">
        <v>558241</v>
      </c>
      <c r="K584" s="130">
        <v>16641889</v>
      </c>
      <c r="L584" s="44">
        <v>51729</v>
      </c>
      <c r="M584" s="44">
        <v>499135</v>
      </c>
      <c r="N584" s="44">
        <v>4295526</v>
      </c>
      <c r="O584" s="44">
        <v>194922</v>
      </c>
      <c r="P584" s="44">
        <v>219122</v>
      </c>
      <c r="Q584" s="44">
        <v>1256110</v>
      </c>
      <c r="R584" s="44">
        <v>37701</v>
      </c>
      <c r="S584" s="44">
        <v>0</v>
      </c>
      <c r="T584" s="44">
        <v>1100776</v>
      </c>
      <c r="U584" s="44">
        <v>381571</v>
      </c>
      <c r="V584" s="44">
        <v>65045</v>
      </c>
      <c r="W584" s="44">
        <v>1093155</v>
      </c>
      <c r="X584" s="44">
        <v>423683</v>
      </c>
      <c r="Y584" s="44">
        <v>1858907</v>
      </c>
      <c r="Z584" s="44">
        <v>927698</v>
      </c>
      <c r="AA584" s="44">
        <v>312538</v>
      </c>
      <c r="AB584" s="44">
        <v>187745</v>
      </c>
      <c r="AC584" s="44">
        <v>12905363</v>
      </c>
      <c r="AD584" s="44">
        <v>603243</v>
      </c>
      <c r="AE584" s="44">
        <v>1552500</v>
      </c>
      <c r="AF584" s="44">
        <v>881424</v>
      </c>
      <c r="AG584" s="44">
        <v>15942530</v>
      </c>
      <c r="AH584" s="44">
        <v>1128</v>
      </c>
      <c r="AI584" s="44">
        <v>14753</v>
      </c>
      <c r="AJ584" s="44">
        <v>14133</v>
      </c>
      <c r="AK584" s="44">
        <v>153019</v>
      </c>
      <c r="AL584" s="44">
        <v>62941</v>
      </c>
      <c r="AM584" s="44">
        <v>0.45800000000000002</v>
      </c>
      <c r="AN584" s="44">
        <v>0.46954454531369866</v>
      </c>
      <c r="AO584" s="44">
        <v>0.17299999999999999</v>
      </c>
      <c r="AP584" s="44">
        <v>0.64254454531369865</v>
      </c>
      <c r="AQ584" s="44">
        <v>0.80449999999999999</v>
      </c>
      <c r="AR584" s="44">
        <v>18.649999999999999</v>
      </c>
    </row>
    <row r="585" spans="1:44">
      <c r="A585" t="s">
        <v>559</v>
      </c>
      <c r="B585" t="s">
        <v>560</v>
      </c>
      <c r="D585" t="s">
        <v>1639</v>
      </c>
      <c r="E585" s="44">
        <v>624526</v>
      </c>
      <c r="F585" s="44">
        <v>10047215</v>
      </c>
      <c r="G585" s="44">
        <v>691281</v>
      </c>
      <c r="H585" s="126">
        <v>10738496</v>
      </c>
      <c r="I585" s="127">
        <v>2329332</v>
      </c>
      <c r="J585" s="128">
        <v>531545</v>
      </c>
      <c r="K585" s="130">
        <v>13599373</v>
      </c>
      <c r="L585" s="44">
        <v>79262</v>
      </c>
      <c r="M585" s="44">
        <v>315132</v>
      </c>
      <c r="N585" s="44">
        <v>3705118</v>
      </c>
      <c r="O585" s="44">
        <v>99919</v>
      </c>
      <c r="P585" s="44">
        <v>388463</v>
      </c>
      <c r="Q585" s="44">
        <v>1209713</v>
      </c>
      <c r="R585" s="44">
        <v>28028</v>
      </c>
      <c r="S585" s="44">
        <v>0</v>
      </c>
      <c r="T585" s="44">
        <v>745380</v>
      </c>
      <c r="U585" s="44">
        <v>394940</v>
      </c>
      <c r="V585" s="44">
        <v>10840</v>
      </c>
      <c r="W585" s="44">
        <v>950862</v>
      </c>
      <c r="X585" s="44">
        <v>386525</v>
      </c>
      <c r="Y585" s="44">
        <v>2124893</v>
      </c>
      <c r="Z585" s="44">
        <v>721070</v>
      </c>
      <c r="AA585" s="44">
        <v>324307</v>
      </c>
      <c r="AB585" s="44">
        <v>30000</v>
      </c>
      <c r="AC585" s="44">
        <v>11514452</v>
      </c>
      <c r="AD585" s="44">
        <v>664061</v>
      </c>
      <c r="AE585" s="44">
        <v>875000</v>
      </c>
      <c r="AF585" s="44">
        <v>614296</v>
      </c>
      <c r="AG585" s="44">
        <v>13667809</v>
      </c>
      <c r="AH585" s="44">
        <v>1158</v>
      </c>
      <c r="AI585" s="44">
        <v>11744</v>
      </c>
      <c r="AJ585" s="44">
        <v>11803</v>
      </c>
      <c r="AK585" s="44">
        <v>116110</v>
      </c>
      <c r="AL585" s="44">
        <v>54454</v>
      </c>
      <c r="AM585" s="44">
        <v>0.374</v>
      </c>
      <c r="AN585" s="44">
        <v>0.48080573850571073</v>
      </c>
      <c r="AO585" s="44">
        <v>0.19500000000000001</v>
      </c>
      <c r="AP585" s="44">
        <v>0.6758057385057108</v>
      </c>
      <c r="AQ585" s="44">
        <v>0.8014</v>
      </c>
      <c r="AR585" s="44">
        <v>12.84</v>
      </c>
    </row>
    <row r="586" spans="1:44">
      <c r="A586" t="s">
        <v>561</v>
      </c>
      <c r="B586" t="s">
        <v>562</v>
      </c>
      <c r="D586" t="s">
        <v>1639</v>
      </c>
      <c r="E586" s="44">
        <v>1278608</v>
      </c>
      <c r="F586" s="44">
        <v>16014458</v>
      </c>
      <c r="G586" s="44">
        <v>2511973</v>
      </c>
      <c r="H586" s="126">
        <v>18526431</v>
      </c>
      <c r="I586" s="127">
        <v>12201520</v>
      </c>
      <c r="J586" s="128">
        <v>1112134</v>
      </c>
      <c r="K586" s="130">
        <v>31840085</v>
      </c>
      <c r="L586" s="44">
        <v>146831</v>
      </c>
      <c r="M586" s="44">
        <v>873262</v>
      </c>
      <c r="N586" s="44">
        <v>8878737</v>
      </c>
      <c r="O586" s="44">
        <v>435673</v>
      </c>
      <c r="P586" s="44">
        <v>667227</v>
      </c>
      <c r="Q586" s="44">
        <v>2913761</v>
      </c>
      <c r="R586" s="44">
        <v>128673</v>
      </c>
      <c r="S586" s="44">
        <v>305</v>
      </c>
      <c r="T586" s="44">
        <v>2015007</v>
      </c>
      <c r="U586" s="44">
        <v>979602</v>
      </c>
      <c r="V586" s="44">
        <v>97131</v>
      </c>
      <c r="W586" s="44">
        <v>1884703</v>
      </c>
      <c r="X586" s="44">
        <v>917076</v>
      </c>
      <c r="Y586" s="44">
        <v>3053170</v>
      </c>
      <c r="Z586" s="44">
        <v>1987680</v>
      </c>
      <c r="AA586" s="44">
        <v>1186865</v>
      </c>
      <c r="AB586" s="44">
        <v>210500</v>
      </c>
      <c r="AC586" s="44">
        <v>26376203</v>
      </c>
      <c r="AD586" s="44">
        <v>1430563</v>
      </c>
      <c r="AE586" s="44">
        <v>1834103</v>
      </c>
      <c r="AF586" s="44">
        <v>1026226</v>
      </c>
      <c r="AG586" s="44">
        <v>30667095</v>
      </c>
      <c r="AH586" s="44">
        <v>2012</v>
      </c>
      <c r="AI586" s="44">
        <v>15825</v>
      </c>
      <c r="AJ586" s="44">
        <v>15242</v>
      </c>
      <c r="AK586" s="44">
        <v>185655</v>
      </c>
      <c r="AL586" s="44">
        <v>82234</v>
      </c>
      <c r="AM586" s="44">
        <v>0.57899999999999996</v>
      </c>
      <c r="AN586" s="44">
        <v>0.52235091064217198</v>
      </c>
      <c r="AO586" s="44">
        <v>0.161</v>
      </c>
      <c r="AP586" s="44">
        <v>0.68335091064217202</v>
      </c>
      <c r="AQ586" s="44">
        <v>0.80010000000000003</v>
      </c>
      <c r="AR586" s="44">
        <v>23.54</v>
      </c>
    </row>
    <row r="587" spans="1:44">
      <c r="A587" t="s">
        <v>563</v>
      </c>
      <c r="B587" t="s">
        <v>564</v>
      </c>
      <c r="D587" t="s">
        <v>1639</v>
      </c>
      <c r="E587" s="44">
        <v>906322</v>
      </c>
      <c r="F587" s="44">
        <v>9632936</v>
      </c>
      <c r="G587" s="44">
        <v>1168412</v>
      </c>
      <c r="H587" s="126">
        <v>10801348</v>
      </c>
      <c r="I587" s="127">
        <v>3620892</v>
      </c>
      <c r="J587" s="128">
        <v>768195</v>
      </c>
      <c r="K587" s="130">
        <v>15190435</v>
      </c>
      <c r="L587" s="44">
        <v>71229</v>
      </c>
      <c r="M587" s="44">
        <v>384654</v>
      </c>
      <c r="N587" s="44">
        <v>4910967</v>
      </c>
      <c r="O587" s="44">
        <v>190352</v>
      </c>
      <c r="P587" s="44">
        <v>310761</v>
      </c>
      <c r="Q587" s="44">
        <v>1961513</v>
      </c>
      <c r="R587" s="44">
        <v>11065</v>
      </c>
      <c r="S587" s="44">
        <v>83656</v>
      </c>
      <c r="T587" s="44">
        <v>989686</v>
      </c>
      <c r="U587" s="44">
        <v>498275</v>
      </c>
      <c r="V587" s="44">
        <v>0</v>
      </c>
      <c r="W587" s="44">
        <v>757569</v>
      </c>
      <c r="X587" s="44">
        <v>483789</v>
      </c>
      <c r="Y587" s="44">
        <v>1664973</v>
      </c>
      <c r="Z587" s="44">
        <v>774609</v>
      </c>
      <c r="AA587" s="44">
        <v>567102</v>
      </c>
      <c r="AB587" s="44">
        <v>0</v>
      </c>
      <c r="AC587" s="44">
        <v>13660200</v>
      </c>
      <c r="AD587" s="44">
        <v>650082</v>
      </c>
      <c r="AE587" s="44">
        <v>436200</v>
      </c>
      <c r="AF587" s="44">
        <v>136687</v>
      </c>
      <c r="AG587" s="44">
        <v>14883169</v>
      </c>
      <c r="AH587" s="44">
        <v>1061</v>
      </c>
      <c r="AI587" s="44">
        <v>14317</v>
      </c>
      <c r="AJ587" s="44">
        <v>14027</v>
      </c>
      <c r="AK587" s="44">
        <v>126379</v>
      </c>
      <c r="AL587" s="44">
        <v>64729</v>
      </c>
      <c r="AM587" s="44">
        <v>0.43</v>
      </c>
      <c r="AN587" s="44">
        <v>0.60177204196229983</v>
      </c>
      <c r="AO587" s="44">
        <v>0.16700000000000001</v>
      </c>
      <c r="AP587" s="44">
        <v>0.76877204196229987</v>
      </c>
      <c r="AQ587" s="44">
        <v>0.83779999999999999</v>
      </c>
      <c r="AR587" s="44">
        <v>17.57</v>
      </c>
    </row>
    <row r="588" spans="1:44">
      <c r="A588" t="s">
        <v>565</v>
      </c>
      <c r="B588" t="s">
        <v>566</v>
      </c>
      <c r="D588" t="s">
        <v>1639</v>
      </c>
      <c r="E588" s="44">
        <v>5089817</v>
      </c>
      <c r="F588" s="44">
        <v>24524774</v>
      </c>
      <c r="G588" s="44">
        <v>6236043</v>
      </c>
      <c r="H588" s="126">
        <v>30760817</v>
      </c>
      <c r="I588" s="127">
        <v>59714376</v>
      </c>
      <c r="J588" s="128">
        <v>3153198</v>
      </c>
      <c r="K588" s="130">
        <v>93628391</v>
      </c>
      <c r="L588" s="44">
        <v>357241</v>
      </c>
      <c r="M588" s="44">
        <v>1277391</v>
      </c>
      <c r="N588" s="44">
        <v>28122768</v>
      </c>
      <c r="O588" s="44">
        <v>1704543</v>
      </c>
      <c r="P588" s="44">
        <v>2138376</v>
      </c>
      <c r="Q588" s="44">
        <v>6891093</v>
      </c>
      <c r="R588" s="44">
        <v>139341</v>
      </c>
      <c r="S588" s="44">
        <v>416993</v>
      </c>
      <c r="T588" s="44">
        <v>8967314</v>
      </c>
      <c r="U588" s="44">
        <v>3863949</v>
      </c>
      <c r="V588" s="44">
        <v>0</v>
      </c>
      <c r="W588" s="44">
        <v>6951198</v>
      </c>
      <c r="X588" s="44">
        <v>2936218</v>
      </c>
      <c r="Y588" s="44">
        <v>10958292</v>
      </c>
      <c r="Z588" s="44">
        <v>5435792</v>
      </c>
      <c r="AA588" s="44">
        <v>4362371</v>
      </c>
      <c r="AB588" s="44">
        <v>1287961</v>
      </c>
      <c r="AC588" s="44">
        <v>85810841</v>
      </c>
      <c r="AD588" s="44">
        <v>4310066</v>
      </c>
      <c r="AE588" s="44">
        <v>2086470</v>
      </c>
      <c r="AF588" s="44">
        <v>886248</v>
      </c>
      <c r="AG588" s="44">
        <v>93093625</v>
      </c>
      <c r="AH588" s="44">
        <v>5434</v>
      </c>
      <c r="AI588" s="44">
        <v>17230</v>
      </c>
      <c r="AJ588" s="44">
        <v>17132</v>
      </c>
      <c r="AK588" s="44">
        <v>398773</v>
      </c>
      <c r="AL588" s="44">
        <v>144878</v>
      </c>
      <c r="AM588" s="44">
        <v>1.115</v>
      </c>
      <c r="AN588" s="44">
        <v>0.56120252058075948</v>
      </c>
      <c r="AO588" s="44">
        <v>0.18</v>
      </c>
      <c r="AP588" s="44">
        <v>0.74120252058075953</v>
      </c>
      <c r="AQ588" s="44">
        <v>0.81630000000000003</v>
      </c>
      <c r="AR588" s="44">
        <v>18.600000000000001</v>
      </c>
    </row>
    <row r="589" spans="1:44">
      <c r="A589" t="s">
        <v>567</v>
      </c>
      <c r="B589" t="s">
        <v>568</v>
      </c>
      <c r="D589" t="s">
        <v>1639</v>
      </c>
      <c r="E589" s="44">
        <v>158705</v>
      </c>
      <c r="F589" s="44">
        <v>6099176</v>
      </c>
      <c r="G589" s="44">
        <v>1306066</v>
      </c>
      <c r="H589" s="126">
        <v>7405242</v>
      </c>
      <c r="I589" s="127">
        <v>13405719</v>
      </c>
      <c r="J589" s="128">
        <v>430904</v>
      </c>
      <c r="K589" s="130">
        <v>21241865</v>
      </c>
      <c r="L589" s="44">
        <v>123570</v>
      </c>
      <c r="M589" s="44">
        <v>545783</v>
      </c>
      <c r="N589" s="44">
        <v>7159393</v>
      </c>
      <c r="O589" s="44">
        <v>339665</v>
      </c>
      <c r="P589" s="44">
        <v>587533</v>
      </c>
      <c r="Q589" s="44">
        <v>1758672</v>
      </c>
      <c r="R589" s="44">
        <v>74004</v>
      </c>
      <c r="S589" s="44">
        <v>0</v>
      </c>
      <c r="T589" s="44">
        <v>1219903</v>
      </c>
      <c r="U589" s="44">
        <v>1108121</v>
      </c>
      <c r="V589" s="44">
        <v>141733</v>
      </c>
      <c r="W589" s="44">
        <v>1523619</v>
      </c>
      <c r="X589" s="44">
        <v>736379</v>
      </c>
      <c r="Y589" s="44">
        <v>2817299</v>
      </c>
      <c r="Z589" s="44">
        <v>1379768</v>
      </c>
      <c r="AA589" s="44">
        <v>675919</v>
      </c>
      <c r="AB589" s="44">
        <v>120000</v>
      </c>
      <c r="AC589" s="44">
        <v>20311361</v>
      </c>
      <c r="AD589" s="44">
        <v>943203</v>
      </c>
      <c r="AE589" s="44">
        <v>1109910</v>
      </c>
      <c r="AF589" s="44">
        <v>519748</v>
      </c>
      <c r="AG589" s="44">
        <v>22884222</v>
      </c>
      <c r="AH589" s="44">
        <v>1309</v>
      </c>
      <c r="AI589" s="44">
        <v>16228</v>
      </c>
      <c r="AJ589" s="44">
        <v>17482</v>
      </c>
      <c r="AK589" s="44">
        <v>378174</v>
      </c>
      <c r="AL589" s="44">
        <v>108814</v>
      </c>
      <c r="AM589" s="44">
        <v>0.94</v>
      </c>
      <c r="AN589" s="44">
        <v>0.53518494096063218</v>
      </c>
      <c r="AO589" s="44">
        <v>0.183</v>
      </c>
      <c r="AP589" s="44">
        <v>0.71818494096063223</v>
      </c>
      <c r="AQ589" s="44">
        <v>0.81320000000000003</v>
      </c>
      <c r="AR589" s="44">
        <v>19.5</v>
      </c>
    </row>
    <row r="590" spans="1:44">
      <c r="A590" t="s">
        <v>569</v>
      </c>
      <c r="B590" t="s">
        <v>570</v>
      </c>
      <c r="D590" t="s">
        <v>1639</v>
      </c>
      <c r="E590" s="44">
        <v>907350</v>
      </c>
      <c r="F590" s="44">
        <v>8482344</v>
      </c>
      <c r="G590" s="44">
        <v>908830</v>
      </c>
      <c r="H590" s="126">
        <v>9391174</v>
      </c>
      <c r="I590" s="127">
        <v>3923717</v>
      </c>
      <c r="J590" s="128">
        <v>585044</v>
      </c>
      <c r="K590" s="130">
        <v>13899935</v>
      </c>
      <c r="L590" s="44">
        <v>75991</v>
      </c>
      <c r="M590" s="44">
        <v>379531</v>
      </c>
      <c r="N590" s="44">
        <v>3793195</v>
      </c>
      <c r="O590" s="44">
        <v>191803</v>
      </c>
      <c r="P590" s="44">
        <v>318370</v>
      </c>
      <c r="Q590" s="44">
        <v>1339636</v>
      </c>
      <c r="R590" s="44">
        <v>0</v>
      </c>
      <c r="S590" s="44">
        <v>0</v>
      </c>
      <c r="T590" s="44">
        <v>984911</v>
      </c>
      <c r="U590" s="44">
        <v>557716</v>
      </c>
      <c r="V590" s="44">
        <v>184666</v>
      </c>
      <c r="W590" s="44">
        <v>903956</v>
      </c>
      <c r="X590" s="44">
        <v>415148</v>
      </c>
      <c r="Y590" s="44">
        <v>1191999</v>
      </c>
      <c r="Z590" s="44">
        <v>757622</v>
      </c>
      <c r="AA590" s="44">
        <v>426415</v>
      </c>
      <c r="AB590" s="44">
        <v>181037</v>
      </c>
      <c r="AC590" s="44">
        <v>11701996</v>
      </c>
      <c r="AD590" s="44">
        <v>756942</v>
      </c>
      <c r="AE590" s="44">
        <v>1038000</v>
      </c>
      <c r="AF590" s="44">
        <v>375726</v>
      </c>
      <c r="AG590" s="44">
        <v>13872664</v>
      </c>
      <c r="AH590" s="44">
        <v>973</v>
      </c>
      <c r="AI590" s="44">
        <v>14286</v>
      </c>
      <c r="AJ590" s="44">
        <v>14258</v>
      </c>
      <c r="AK590" s="44">
        <v>140079</v>
      </c>
      <c r="AL590" s="44">
        <v>66992</v>
      </c>
      <c r="AM590" s="44">
        <v>0.45800000000000002</v>
      </c>
      <c r="AN590" s="44">
        <v>0.51797052101889007</v>
      </c>
      <c r="AO590" s="44">
        <v>0.14000000000000001</v>
      </c>
      <c r="AP590" s="44">
        <v>0.65797052101889009</v>
      </c>
      <c r="AQ590" s="44">
        <v>0.79179999999999995</v>
      </c>
      <c r="AR590" s="44">
        <v>19.37</v>
      </c>
    </row>
    <row r="591" spans="1:44">
      <c r="A591" t="s">
        <v>571</v>
      </c>
      <c r="B591" t="s">
        <v>572</v>
      </c>
      <c r="D591" t="s">
        <v>1639</v>
      </c>
      <c r="E591" s="44">
        <v>1329532</v>
      </c>
      <c r="F591" s="44">
        <v>10940034</v>
      </c>
      <c r="G591" s="44">
        <v>1662656</v>
      </c>
      <c r="H591" s="126">
        <v>12602690</v>
      </c>
      <c r="I591" s="127">
        <v>7968478</v>
      </c>
      <c r="J591" s="128">
        <v>589988</v>
      </c>
      <c r="K591" s="130">
        <v>21161156</v>
      </c>
      <c r="L591" s="44">
        <v>67963</v>
      </c>
      <c r="M591" s="44">
        <v>442752</v>
      </c>
      <c r="N591" s="44">
        <v>5476303</v>
      </c>
      <c r="O591" s="44">
        <v>457594</v>
      </c>
      <c r="P591" s="44">
        <v>323956</v>
      </c>
      <c r="Q591" s="44">
        <v>2418244</v>
      </c>
      <c r="R591" s="44">
        <v>7488</v>
      </c>
      <c r="S591" s="44">
        <v>74176</v>
      </c>
      <c r="T591" s="44">
        <v>1145918</v>
      </c>
      <c r="U591" s="44">
        <v>621134</v>
      </c>
      <c r="V591" s="44">
        <v>0</v>
      </c>
      <c r="W591" s="44">
        <v>1469134</v>
      </c>
      <c r="X591" s="44">
        <v>559601</v>
      </c>
      <c r="Y591" s="44">
        <v>2078478</v>
      </c>
      <c r="Z591" s="44">
        <v>957488</v>
      </c>
      <c r="AA591" s="44">
        <v>778949</v>
      </c>
      <c r="AB591" s="44">
        <v>0</v>
      </c>
      <c r="AC591" s="44">
        <v>16879178</v>
      </c>
      <c r="AD591" s="44">
        <v>1003773</v>
      </c>
      <c r="AE591" s="44">
        <v>1360000</v>
      </c>
      <c r="AF591" s="44">
        <v>620322</v>
      </c>
      <c r="AG591" s="44">
        <v>19863273</v>
      </c>
      <c r="AH591" s="44">
        <v>1268</v>
      </c>
      <c r="AI591" s="44">
        <v>16689</v>
      </c>
      <c r="AJ591" s="44">
        <v>15665</v>
      </c>
      <c r="AK591" s="44">
        <v>180466</v>
      </c>
      <c r="AL591" s="44">
        <v>80115</v>
      </c>
      <c r="AM591" s="44">
        <v>0.56400000000000006</v>
      </c>
      <c r="AN591" s="44">
        <v>0.52986297877494815</v>
      </c>
      <c r="AO591" s="44">
        <v>0.14699999999999999</v>
      </c>
      <c r="AP591" s="44">
        <v>0.67686297877494817</v>
      </c>
      <c r="AQ591" s="44">
        <v>0.79620000000000002</v>
      </c>
      <c r="AR591" s="44">
        <v>21.65</v>
      </c>
    </row>
    <row r="592" spans="1:44">
      <c r="A592" t="s">
        <v>573</v>
      </c>
      <c r="B592" t="s">
        <v>574</v>
      </c>
      <c r="D592" t="s">
        <v>1639</v>
      </c>
      <c r="E592" s="44">
        <v>5924826</v>
      </c>
      <c r="F592" s="44">
        <v>46137354</v>
      </c>
      <c r="G592" s="44">
        <v>9186583</v>
      </c>
      <c r="H592" s="126">
        <v>55323937</v>
      </c>
      <c r="I592" s="127">
        <v>70163642</v>
      </c>
      <c r="J592" s="128">
        <v>6426748</v>
      </c>
      <c r="K592" s="130">
        <v>131914327</v>
      </c>
      <c r="L592" s="44">
        <v>369390</v>
      </c>
      <c r="M592" s="44">
        <v>1041686</v>
      </c>
      <c r="N592" s="44">
        <v>50058447</v>
      </c>
      <c r="O592" s="44">
        <v>1950486</v>
      </c>
      <c r="P592" s="44">
        <v>2692057</v>
      </c>
      <c r="Q592" s="44">
        <v>7447903</v>
      </c>
      <c r="R592" s="44">
        <v>241071</v>
      </c>
      <c r="S592" s="44">
        <v>3680712</v>
      </c>
      <c r="T592" s="44">
        <v>6687944</v>
      </c>
      <c r="U592" s="44">
        <v>5813371</v>
      </c>
      <c r="V592" s="44">
        <v>9759</v>
      </c>
      <c r="W592" s="44">
        <v>6751506</v>
      </c>
      <c r="X592" s="44">
        <v>4541274</v>
      </c>
      <c r="Y592" s="44">
        <v>19880519</v>
      </c>
      <c r="Z592" s="44">
        <v>7073344</v>
      </c>
      <c r="AA592" s="44">
        <v>1845863</v>
      </c>
      <c r="AB592" s="44">
        <v>114288</v>
      </c>
      <c r="AC592" s="44">
        <v>120199620</v>
      </c>
      <c r="AD592" s="44">
        <v>6620522</v>
      </c>
      <c r="AE592" s="44">
        <v>725528</v>
      </c>
      <c r="AF592" s="44">
        <v>261055</v>
      </c>
      <c r="AG592" s="44">
        <v>127806725</v>
      </c>
      <c r="AH592" s="44">
        <v>7604</v>
      </c>
      <c r="AI592" s="44">
        <v>17348</v>
      </c>
      <c r="AJ592" s="44">
        <v>16808</v>
      </c>
      <c r="AK592" s="44">
        <v>307084</v>
      </c>
      <c r="AL592" s="44">
        <v>91271</v>
      </c>
      <c r="AM592" s="44">
        <v>0.77500000000000002</v>
      </c>
      <c r="AN592" s="44">
        <v>0.61477196133458545</v>
      </c>
      <c r="AO592" s="44">
        <v>0.22700000000000001</v>
      </c>
      <c r="AP592" s="44">
        <v>0.84177196133458543</v>
      </c>
      <c r="AQ592" s="44">
        <v>0.8952</v>
      </c>
      <c r="AR592" s="44">
        <v>17.670000000000002</v>
      </c>
    </row>
    <row r="593" spans="1:44">
      <c r="A593" t="s">
        <v>575</v>
      </c>
      <c r="B593" t="s">
        <v>576</v>
      </c>
      <c r="D593" t="s">
        <v>1639</v>
      </c>
      <c r="E593" s="44">
        <v>1235271</v>
      </c>
      <c r="F593" s="44">
        <v>11442930</v>
      </c>
      <c r="G593" s="44">
        <v>2355199</v>
      </c>
      <c r="H593" s="126">
        <v>13798129</v>
      </c>
      <c r="I593" s="127">
        <v>17026073</v>
      </c>
      <c r="J593" s="128">
        <v>821430</v>
      </c>
      <c r="K593" s="130">
        <v>31645632</v>
      </c>
      <c r="L593" s="44">
        <v>130396</v>
      </c>
      <c r="M593" s="44">
        <v>460681</v>
      </c>
      <c r="N593" s="44">
        <v>9842391</v>
      </c>
      <c r="O593" s="44">
        <v>517459</v>
      </c>
      <c r="P593" s="44">
        <v>529016</v>
      </c>
      <c r="Q593" s="44">
        <v>2745230</v>
      </c>
      <c r="R593" s="44">
        <v>26655</v>
      </c>
      <c r="S593" s="44">
        <v>499689</v>
      </c>
      <c r="T593" s="44">
        <v>1524842</v>
      </c>
      <c r="U593" s="44">
        <v>924045</v>
      </c>
      <c r="V593" s="44">
        <v>0</v>
      </c>
      <c r="W593" s="44">
        <v>1763709</v>
      </c>
      <c r="X593" s="44">
        <v>992796</v>
      </c>
      <c r="Y593" s="44">
        <v>5506364</v>
      </c>
      <c r="Z593" s="44">
        <v>1733771</v>
      </c>
      <c r="AA593" s="44">
        <v>595487</v>
      </c>
      <c r="AB593" s="44">
        <v>0</v>
      </c>
      <c r="AC593" s="44">
        <v>27792531</v>
      </c>
      <c r="AD593" s="44">
        <v>1299294</v>
      </c>
      <c r="AE593" s="44">
        <v>1791474</v>
      </c>
      <c r="AF593" s="44">
        <v>928030</v>
      </c>
      <c r="AG593" s="44">
        <v>31811329</v>
      </c>
      <c r="AH593" s="44">
        <v>1906</v>
      </c>
      <c r="AI593" s="44">
        <v>16603</v>
      </c>
      <c r="AJ593" s="44">
        <v>16690</v>
      </c>
      <c r="AK593" s="44">
        <v>305891</v>
      </c>
      <c r="AL593" s="44">
        <v>98710</v>
      </c>
      <c r="AM593" s="44">
        <v>0.80500000000000005</v>
      </c>
      <c r="AN593" s="44">
        <v>0.52211987119431569</v>
      </c>
      <c r="AO593" s="44">
        <v>0.217</v>
      </c>
      <c r="AP593" s="44">
        <v>0.73911987119431566</v>
      </c>
      <c r="AQ593" s="44">
        <v>0.84619999999999995</v>
      </c>
      <c r="AR593" s="44">
        <v>16.38</v>
      </c>
    </row>
    <row r="594" spans="1:44">
      <c r="A594" t="s">
        <v>577</v>
      </c>
      <c r="B594" t="s">
        <v>578</v>
      </c>
      <c r="D594" t="s">
        <v>1639</v>
      </c>
      <c r="E594" s="44">
        <v>10012709</v>
      </c>
      <c r="F594" s="44">
        <v>19515118</v>
      </c>
      <c r="G594" s="44">
        <v>4257232</v>
      </c>
      <c r="H594" s="126">
        <v>23772350</v>
      </c>
      <c r="I594" s="127">
        <v>28825188</v>
      </c>
      <c r="J594" s="128">
        <v>1674534</v>
      </c>
      <c r="K594" s="130">
        <v>54272072</v>
      </c>
      <c r="L594" s="44">
        <v>212034</v>
      </c>
      <c r="M594" s="44">
        <v>877873</v>
      </c>
      <c r="N594" s="44">
        <v>17421939</v>
      </c>
      <c r="O594" s="44">
        <v>1805049</v>
      </c>
      <c r="P594" s="44">
        <v>1115808</v>
      </c>
      <c r="Q594" s="44">
        <v>3179980</v>
      </c>
      <c r="R594" s="44">
        <v>522877</v>
      </c>
      <c r="S594" s="44">
        <v>0</v>
      </c>
      <c r="T594" s="44">
        <v>4400964</v>
      </c>
      <c r="U594" s="44">
        <v>2435786</v>
      </c>
      <c r="V594" s="44">
        <v>0</v>
      </c>
      <c r="W594" s="44">
        <v>3435316</v>
      </c>
      <c r="X594" s="44">
        <v>1921872</v>
      </c>
      <c r="Y594" s="44">
        <v>5728138</v>
      </c>
      <c r="Z594" s="44">
        <v>3376011</v>
      </c>
      <c r="AA594" s="44">
        <v>858232</v>
      </c>
      <c r="AB594" s="44">
        <v>25000</v>
      </c>
      <c r="AC594" s="44">
        <v>47316879</v>
      </c>
      <c r="AD594" s="44">
        <v>2925648</v>
      </c>
      <c r="AE594" s="44">
        <v>2207277</v>
      </c>
      <c r="AF594" s="44">
        <v>942762</v>
      </c>
      <c r="AG594" s="44">
        <v>53392566</v>
      </c>
      <c r="AH594" s="44">
        <v>2710</v>
      </c>
      <c r="AI594" s="44">
        <v>20027</v>
      </c>
      <c r="AJ594" s="44">
        <v>19702</v>
      </c>
      <c r="AK594" s="44">
        <v>369444</v>
      </c>
      <c r="AL594" s="44">
        <v>86066</v>
      </c>
      <c r="AM594" s="44">
        <v>0.83599999999999997</v>
      </c>
      <c r="AN594" s="44">
        <v>0.57840267500910147</v>
      </c>
      <c r="AO594" s="44">
        <v>0.19</v>
      </c>
      <c r="AP594" s="44">
        <v>0.76840267500910153</v>
      </c>
      <c r="AQ594" s="44">
        <v>0.86609999999999998</v>
      </c>
      <c r="AR594" s="44">
        <v>16.010000000000002</v>
      </c>
    </row>
    <row r="595" spans="1:44">
      <c r="A595" t="s">
        <v>579</v>
      </c>
      <c r="B595" t="s">
        <v>580</v>
      </c>
      <c r="D595" t="s">
        <v>1639</v>
      </c>
      <c r="E595" s="44">
        <v>1028071</v>
      </c>
      <c r="F595" s="44">
        <v>7146939</v>
      </c>
      <c r="G595" s="44">
        <v>1896051</v>
      </c>
      <c r="H595" s="126">
        <v>9042990</v>
      </c>
      <c r="I595" s="127">
        <v>31680016</v>
      </c>
      <c r="J595" s="128">
        <v>762745</v>
      </c>
      <c r="K595" s="130">
        <v>41485751</v>
      </c>
      <c r="L595" s="44">
        <v>143771</v>
      </c>
      <c r="M595" s="44">
        <v>696125</v>
      </c>
      <c r="N595" s="44">
        <v>13843916</v>
      </c>
      <c r="O595" s="44">
        <v>863061</v>
      </c>
      <c r="P595" s="44">
        <v>1202684</v>
      </c>
      <c r="Q595" s="44">
        <v>2817534</v>
      </c>
      <c r="R595" s="44">
        <v>977750</v>
      </c>
      <c r="S595" s="44">
        <v>216268</v>
      </c>
      <c r="T595" s="44">
        <v>2587877</v>
      </c>
      <c r="U595" s="44">
        <v>1200234</v>
      </c>
      <c r="V595" s="44">
        <v>19000</v>
      </c>
      <c r="W595" s="44">
        <v>2280511</v>
      </c>
      <c r="X595" s="44">
        <v>1328256</v>
      </c>
      <c r="Y595" s="44">
        <v>4114624</v>
      </c>
      <c r="Z595" s="44">
        <v>2372125</v>
      </c>
      <c r="AA595" s="44">
        <v>1217708</v>
      </c>
      <c r="AB595" s="44">
        <v>0</v>
      </c>
      <c r="AC595" s="44">
        <v>35881444</v>
      </c>
      <c r="AD595" s="44">
        <v>2785146</v>
      </c>
      <c r="AE595" s="44">
        <v>1132890</v>
      </c>
      <c r="AF595" s="44">
        <v>1282090</v>
      </c>
      <c r="AG595" s="44">
        <v>41081570</v>
      </c>
      <c r="AH595" s="44">
        <v>2161</v>
      </c>
      <c r="AI595" s="44">
        <v>19197</v>
      </c>
      <c r="AJ595" s="44">
        <v>19010</v>
      </c>
      <c r="AK595" s="44">
        <v>648743</v>
      </c>
      <c r="AL595" s="44">
        <v>88988</v>
      </c>
      <c r="AM595" s="44">
        <v>1.2130000000000001</v>
      </c>
      <c r="AN595" s="44">
        <v>0.57712799194383269</v>
      </c>
      <c r="AO595" s="44">
        <v>0.17199999999999999</v>
      </c>
      <c r="AP595" s="44">
        <v>0.74912799194383273</v>
      </c>
      <c r="AQ595" s="44">
        <v>0.85419999999999996</v>
      </c>
      <c r="AR595" s="44">
        <v>14.28</v>
      </c>
    </row>
    <row r="596" spans="1:44">
      <c r="A596" t="s">
        <v>581</v>
      </c>
      <c r="B596" t="s">
        <v>582</v>
      </c>
      <c r="D596" t="s">
        <v>1639</v>
      </c>
      <c r="E596" s="44">
        <v>1980990</v>
      </c>
      <c r="F596" s="44">
        <v>13144051</v>
      </c>
      <c r="G596" s="44">
        <v>2995018</v>
      </c>
      <c r="H596" s="126">
        <v>16139069</v>
      </c>
      <c r="I596" s="127">
        <v>26356501</v>
      </c>
      <c r="J596" s="128">
        <v>886987</v>
      </c>
      <c r="K596" s="130">
        <v>43382557</v>
      </c>
      <c r="L596" s="44">
        <v>194472</v>
      </c>
      <c r="M596" s="44">
        <v>659351</v>
      </c>
      <c r="N596" s="44">
        <v>13155290</v>
      </c>
      <c r="O596" s="44">
        <v>875046</v>
      </c>
      <c r="P596" s="44">
        <v>959527</v>
      </c>
      <c r="Q596" s="44">
        <v>3812672</v>
      </c>
      <c r="R596" s="44">
        <v>155180</v>
      </c>
      <c r="S596" s="44">
        <v>612511</v>
      </c>
      <c r="T596" s="44">
        <v>2691419</v>
      </c>
      <c r="U596" s="44">
        <v>1048975</v>
      </c>
      <c r="V596" s="44">
        <v>0</v>
      </c>
      <c r="W596" s="44">
        <v>2460778</v>
      </c>
      <c r="X596" s="44">
        <v>1369555</v>
      </c>
      <c r="Y596" s="44">
        <v>4584357</v>
      </c>
      <c r="Z596" s="44">
        <v>3069424</v>
      </c>
      <c r="AA596" s="44">
        <v>668418</v>
      </c>
      <c r="AB596" s="44">
        <v>99789</v>
      </c>
      <c r="AC596" s="44">
        <v>36416764</v>
      </c>
      <c r="AD596" s="44">
        <v>2795187</v>
      </c>
      <c r="AE596" s="44">
        <v>1775000</v>
      </c>
      <c r="AF596" s="44">
        <v>1007747</v>
      </c>
      <c r="AG596" s="44">
        <v>41994698</v>
      </c>
      <c r="AH596" s="44">
        <v>2331</v>
      </c>
      <c r="AI596" s="44">
        <v>18611</v>
      </c>
      <c r="AJ596" s="44">
        <v>18016</v>
      </c>
      <c r="AK596" s="44">
        <v>396588</v>
      </c>
      <c r="AL596" s="44">
        <v>117810</v>
      </c>
      <c r="AM596" s="44">
        <v>1.0009999999999999</v>
      </c>
      <c r="AN596" s="44">
        <v>0.55508483475699721</v>
      </c>
      <c r="AO596" s="44">
        <v>0.17899999999999999</v>
      </c>
      <c r="AP596" s="44">
        <v>0.73408483475699726</v>
      </c>
      <c r="AQ596" s="44">
        <v>0.8468</v>
      </c>
      <c r="AR596" s="44">
        <v>15.88</v>
      </c>
    </row>
    <row r="597" spans="1:44">
      <c r="A597" t="s">
        <v>583</v>
      </c>
      <c r="B597" t="s">
        <v>584</v>
      </c>
      <c r="D597" t="s">
        <v>1639</v>
      </c>
      <c r="E597" s="44">
        <v>3365813</v>
      </c>
      <c r="F597" s="44">
        <v>9088592</v>
      </c>
      <c r="G597" s="44">
        <v>2769298</v>
      </c>
      <c r="H597" s="126">
        <v>11857890</v>
      </c>
      <c r="I597" s="127">
        <v>33068883</v>
      </c>
      <c r="J597" s="128">
        <v>1060928</v>
      </c>
      <c r="K597" s="130">
        <v>45987701</v>
      </c>
      <c r="L597" s="44">
        <v>186482</v>
      </c>
      <c r="M597" s="44">
        <v>744843</v>
      </c>
      <c r="N597" s="44">
        <v>15532789</v>
      </c>
      <c r="O597" s="44">
        <v>1111749</v>
      </c>
      <c r="P597" s="44">
        <v>728042</v>
      </c>
      <c r="Q597" s="44">
        <v>2399276</v>
      </c>
      <c r="R597" s="44">
        <v>31828</v>
      </c>
      <c r="S597" s="44">
        <v>1077773</v>
      </c>
      <c r="T597" s="44">
        <v>1857425</v>
      </c>
      <c r="U597" s="44">
        <v>1877258</v>
      </c>
      <c r="V597" s="44">
        <v>0</v>
      </c>
      <c r="W597" s="44">
        <v>2372384</v>
      </c>
      <c r="X597" s="44">
        <v>1585364</v>
      </c>
      <c r="Y597" s="44">
        <v>5238657</v>
      </c>
      <c r="Z597" s="44">
        <v>3052841</v>
      </c>
      <c r="AA597" s="44">
        <v>423376</v>
      </c>
      <c r="AB597" s="44">
        <v>284062</v>
      </c>
      <c r="AC597" s="44">
        <v>38504149</v>
      </c>
      <c r="AD597" s="44">
        <v>3434021</v>
      </c>
      <c r="AE597" s="44">
        <v>685000</v>
      </c>
      <c r="AF597" s="44">
        <v>319487</v>
      </c>
      <c r="AG597" s="44">
        <v>42942657</v>
      </c>
      <c r="AH597" s="44">
        <v>1938</v>
      </c>
      <c r="AI597" s="44">
        <v>23729</v>
      </c>
      <c r="AJ597" s="44">
        <v>22158</v>
      </c>
      <c r="AK597" s="44">
        <v>755891</v>
      </c>
      <c r="AL597" s="44">
        <v>105279</v>
      </c>
      <c r="AM597" s="44">
        <v>1.42</v>
      </c>
      <c r="AN597" s="44">
        <v>0.57323281137448012</v>
      </c>
      <c r="AO597" s="44">
        <v>0.20300000000000001</v>
      </c>
      <c r="AP597" s="44">
        <v>0.77623281137448008</v>
      </c>
      <c r="AQ597" s="44">
        <v>0.86539999999999995</v>
      </c>
      <c r="AR597" s="44">
        <v>11.17</v>
      </c>
    </row>
    <row r="598" spans="1:44">
      <c r="A598" t="s">
        <v>585</v>
      </c>
      <c r="B598" t="s">
        <v>586</v>
      </c>
      <c r="D598" t="s">
        <v>1639</v>
      </c>
      <c r="E598" s="44">
        <v>1332538</v>
      </c>
      <c r="F598" s="44">
        <v>17739091</v>
      </c>
      <c r="G598" s="44">
        <v>4229016</v>
      </c>
      <c r="H598" s="126">
        <v>21968107</v>
      </c>
      <c r="I598" s="127">
        <v>22495625</v>
      </c>
      <c r="J598" s="128">
        <v>1706232</v>
      </c>
      <c r="K598" s="130">
        <v>46169964</v>
      </c>
      <c r="L598" s="44">
        <v>200815</v>
      </c>
      <c r="M598" s="44">
        <v>520000</v>
      </c>
      <c r="N598" s="44">
        <v>17441723</v>
      </c>
      <c r="O598" s="44">
        <v>919898</v>
      </c>
      <c r="P598" s="44">
        <v>810201</v>
      </c>
      <c r="Q598" s="44">
        <v>3437097</v>
      </c>
      <c r="R598" s="44">
        <v>914855</v>
      </c>
      <c r="S598" s="44">
        <v>816267</v>
      </c>
      <c r="T598" s="44">
        <v>3218481</v>
      </c>
      <c r="U598" s="44">
        <v>1464726</v>
      </c>
      <c r="V598" s="44">
        <v>0</v>
      </c>
      <c r="W598" s="44">
        <v>2215535</v>
      </c>
      <c r="X598" s="44">
        <v>1676407</v>
      </c>
      <c r="Y598" s="44">
        <v>5858841</v>
      </c>
      <c r="Z598" s="44">
        <v>2492314</v>
      </c>
      <c r="AA598" s="44">
        <v>596070</v>
      </c>
      <c r="AB598" s="44">
        <v>0</v>
      </c>
      <c r="AC598" s="44">
        <v>42583230</v>
      </c>
      <c r="AD598" s="44">
        <v>3085822</v>
      </c>
      <c r="AE598" s="44">
        <v>516926</v>
      </c>
      <c r="AF598" s="44">
        <v>144479</v>
      </c>
      <c r="AG598" s="44">
        <v>46330457</v>
      </c>
      <c r="AH598" s="44">
        <v>3221</v>
      </c>
      <c r="AI598" s="44">
        <v>14334</v>
      </c>
      <c r="AJ598" s="44">
        <v>14384</v>
      </c>
      <c r="AK598" s="44">
        <v>279916</v>
      </c>
      <c r="AL598" s="44">
        <v>89709</v>
      </c>
      <c r="AM598" s="44">
        <v>0.73399999999999999</v>
      </c>
      <c r="AN598" s="44">
        <v>0.62643992482094446</v>
      </c>
      <c r="AO598" s="44">
        <v>0.19900000000000001</v>
      </c>
      <c r="AP598" s="44">
        <v>0.82543992482094453</v>
      </c>
      <c r="AQ598" s="44">
        <v>0.89590000000000003</v>
      </c>
      <c r="AR598" s="44">
        <v>13.14</v>
      </c>
    </row>
    <row r="599" spans="1:44">
      <c r="A599" t="s">
        <v>587</v>
      </c>
      <c r="B599" t="s">
        <v>588</v>
      </c>
      <c r="D599" t="s">
        <v>1639</v>
      </c>
      <c r="E599" s="44">
        <v>3307197</v>
      </c>
      <c r="F599" s="44">
        <v>25344871</v>
      </c>
      <c r="G599" s="44">
        <v>4004209</v>
      </c>
      <c r="H599" s="126">
        <v>29349080</v>
      </c>
      <c r="I599" s="127">
        <v>24837165</v>
      </c>
      <c r="J599" s="128">
        <v>1575747</v>
      </c>
      <c r="K599" s="130">
        <v>55761992</v>
      </c>
      <c r="L599" s="44">
        <v>178245</v>
      </c>
      <c r="M599" s="44">
        <v>633362</v>
      </c>
      <c r="N599" s="44">
        <v>21310051</v>
      </c>
      <c r="O599" s="44">
        <v>947757</v>
      </c>
      <c r="P599" s="44">
        <v>966848</v>
      </c>
      <c r="Q599" s="44">
        <v>3314057</v>
      </c>
      <c r="R599" s="44">
        <v>177479</v>
      </c>
      <c r="S599" s="44">
        <v>692927</v>
      </c>
      <c r="T599" s="44">
        <v>3737023</v>
      </c>
      <c r="U599" s="44">
        <v>2342489</v>
      </c>
      <c r="V599" s="44">
        <v>19000</v>
      </c>
      <c r="W599" s="44">
        <v>2589103</v>
      </c>
      <c r="X599" s="44">
        <v>2225852</v>
      </c>
      <c r="Y599" s="44">
        <v>5258900</v>
      </c>
      <c r="Z599" s="44">
        <v>2726300</v>
      </c>
      <c r="AA599" s="44">
        <v>1277879</v>
      </c>
      <c r="AB599" s="44">
        <v>104772</v>
      </c>
      <c r="AC599" s="44">
        <v>48502044</v>
      </c>
      <c r="AD599" s="44">
        <v>3831065</v>
      </c>
      <c r="AE599" s="44">
        <v>2588809</v>
      </c>
      <c r="AF599" s="44">
        <v>896510</v>
      </c>
      <c r="AG599" s="44">
        <v>55818428</v>
      </c>
      <c r="AH599" s="44">
        <v>3676</v>
      </c>
      <c r="AI599" s="44">
        <v>15169</v>
      </c>
      <c r="AJ599" s="44">
        <v>15185</v>
      </c>
      <c r="AK599" s="44">
        <v>230872</v>
      </c>
      <c r="AL599" s="44">
        <v>80185</v>
      </c>
      <c r="AM599" s="44">
        <v>0.63100000000000001</v>
      </c>
      <c r="AN599" s="44">
        <v>0.59995654123401687</v>
      </c>
      <c r="AO599" s="44">
        <v>0.17100000000000001</v>
      </c>
      <c r="AP599" s="44">
        <v>0.77095654123401691</v>
      </c>
      <c r="AQ599" s="44">
        <v>0.88929999999999998</v>
      </c>
      <c r="AR599" s="44">
        <v>16.850000000000001</v>
      </c>
    </row>
    <row r="600" spans="1:44">
      <c r="A600" t="s">
        <v>589</v>
      </c>
      <c r="B600" t="s">
        <v>590</v>
      </c>
      <c r="D600" t="s">
        <v>1639</v>
      </c>
      <c r="E600" s="44">
        <v>3712050</v>
      </c>
      <c r="F600" s="44">
        <v>14253640</v>
      </c>
      <c r="G600" s="44">
        <v>2077959</v>
      </c>
      <c r="H600" s="126">
        <v>16331599</v>
      </c>
      <c r="I600" s="127">
        <v>20387757</v>
      </c>
      <c r="J600" s="128">
        <v>1697428</v>
      </c>
      <c r="K600" s="130">
        <v>38416784</v>
      </c>
      <c r="L600" s="44">
        <v>307596</v>
      </c>
      <c r="M600" s="44">
        <v>916664</v>
      </c>
      <c r="N600" s="44">
        <v>11640304</v>
      </c>
      <c r="O600" s="44">
        <v>571381</v>
      </c>
      <c r="P600" s="44">
        <v>608095</v>
      </c>
      <c r="Q600" s="44">
        <v>2519313</v>
      </c>
      <c r="R600" s="44">
        <v>205826</v>
      </c>
      <c r="S600" s="44">
        <v>865644</v>
      </c>
      <c r="T600" s="44">
        <v>1892804</v>
      </c>
      <c r="U600" s="44">
        <v>1348987</v>
      </c>
      <c r="V600" s="44">
        <v>0</v>
      </c>
      <c r="W600" s="44">
        <v>2447923</v>
      </c>
      <c r="X600" s="44">
        <v>1113245</v>
      </c>
      <c r="Y600" s="44">
        <v>5512532</v>
      </c>
      <c r="Z600" s="44">
        <v>1924932</v>
      </c>
      <c r="AA600" s="44">
        <v>633164</v>
      </c>
      <c r="AB600" s="44">
        <v>150000</v>
      </c>
      <c r="AC600" s="44">
        <v>32658410</v>
      </c>
      <c r="AD600" s="44">
        <v>2325095</v>
      </c>
      <c r="AE600" s="44">
        <v>1169130</v>
      </c>
      <c r="AF600" s="44">
        <v>844750</v>
      </c>
      <c r="AG600" s="44">
        <v>36997385</v>
      </c>
      <c r="AH600" s="44">
        <v>1836</v>
      </c>
      <c r="AI600" s="44">
        <v>20924</v>
      </c>
      <c r="AJ600" s="44">
        <v>20151</v>
      </c>
      <c r="AK600" s="44">
        <v>322022</v>
      </c>
      <c r="AL600" s="44">
        <v>71190</v>
      </c>
      <c r="AM600" s="44">
        <v>0.71299999999999997</v>
      </c>
      <c r="AN600" s="44">
        <v>0.53118224436673023</v>
      </c>
      <c r="AO600" s="44">
        <v>0.20300000000000001</v>
      </c>
      <c r="AP600" s="44">
        <v>0.7341822443667303</v>
      </c>
      <c r="AQ600" s="44">
        <v>0.8347</v>
      </c>
      <c r="AR600" s="44">
        <v>22.71</v>
      </c>
    </row>
    <row r="601" spans="1:44">
      <c r="A601" t="s">
        <v>591</v>
      </c>
      <c r="B601" t="s">
        <v>592</v>
      </c>
      <c r="D601" t="s">
        <v>1639</v>
      </c>
      <c r="E601" s="44">
        <v>2329018</v>
      </c>
      <c r="F601" s="44">
        <v>603515</v>
      </c>
      <c r="G601" s="44">
        <v>145170</v>
      </c>
      <c r="H601" s="126">
        <v>748685</v>
      </c>
      <c r="I601" s="127">
        <v>6210603</v>
      </c>
      <c r="J601" s="128">
        <v>174611</v>
      </c>
      <c r="K601" s="130">
        <v>7133899</v>
      </c>
      <c r="L601" s="44">
        <v>138875</v>
      </c>
      <c r="M601" s="44">
        <v>192769</v>
      </c>
      <c r="N601" s="44">
        <v>2086150</v>
      </c>
      <c r="O601" s="44">
        <v>182448</v>
      </c>
      <c r="P601" s="44">
        <v>82849</v>
      </c>
      <c r="Q601" s="44">
        <v>350545</v>
      </c>
      <c r="R601" s="44">
        <v>62416</v>
      </c>
      <c r="S601" s="44">
        <v>0</v>
      </c>
      <c r="T601" s="44">
        <v>301684</v>
      </c>
      <c r="U601" s="44">
        <v>373082</v>
      </c>
      <c r="V601" s="44">
        <v>0</v>
      </c>
      <c r="W601" s="44">
        <v>516163</v>
      </c>
      <c r="X601" s="44">
        <v>227135</v>
      </c>
      <c r="Y601" s="44">
        <v>858107</v>
      </c>
      <c r="Z601" s="44">
        <v>346347</v>
      </c>
      <c r="AA601" s="44">
        <v>101128</v>
      </c>
      <c r="AB601" s="44">
        <v>20000</v>
      </c>
      <c r="AC601" s="44">
        <v>5839698</v>
      </c>
      <c r="AD601" s="44">
        <v>263020</v>
      </c>
      <c r="AE601" s="44">
        <v>310522</v>
      </c>
      <c r="AF601" s="44">
        <v>114607</v>
      </c>
      <c r="AG601" s="44">
        <v>6527847</v>
      </c>
      <c r="AH601" s="44">
        <v>282</v>
      </c>
      <c r="AI601" s="44">
        <v>25298</v>
      </c>
      <c r="AJ601" s="44">
        <v>23148</v>
      </c>
      <c r="AK601" s="44">
        <v>1862576</v>
      </c>
      <c r="AL601" s="44">
        <v>113046</v>
      </c>
      <c r="AM601" s="44">
        <v>2.9</v>
      </c>
      <c r="AN601" s="44">
        <v>0.52684660041817766</v>
      </c>
      <c r="AO601" s="44">
        <v>0.17899999999999999</v>
      </c>
      <c r="AP601" s="44">
        <v>0.70584660041817759</v>
      </c>
      <c r="AQ601" s="44">
        <v>0.78649999999999998</v>
      </c>
      <c r="AR601" s="44">
        <v>6.13</v>
      </c>
    </row>
    <row r="602" spans="1:44">
      <c r="A602" t="s">
        <v>593</v>
      </c>
      <c r="B602" t="s">
        <v>594</v>
      </c>
      <c r="D602" t="s">
        <v>1639</v>
      </c>
      <c r="E602" s="44">
        <v>1436753</v>
      </c>
      <c r="F602" s="44">
        <v>3491123</v>
      </c>
      <c r="G602" s="44">
        <v>609663</v>
      </c>
      <c r="H602" s="126">
        <v>4100786</v>
      </c>
      <c r="I602" s="127">
        <v>7262628</v>
      </c>
      <c r="J602" s="128">
        <v>440436</v>
      </c>
      <c r="K602" s="130">
        <v>11803850</v>
      </c>
      <c r="L602" s="44">
        <v>64203</v>
      </c>
      <c r="M602" s="44">
        <v>282634</v>
      </c>
      <c r="N602" s="44">
        <v>3546380</v>
      </c>
      <c r="O602" s="44">
        <v>170758</v>
      </c>
      <c r="P602" s="44">
        <v>159792</v>
      </c>
      <c r="Q602" s="44">
        <v>602065</v>
      </c>
      <c r="R602" s="44">
        <v>4565</v>
      </c>
      <c r="S602" s="44">
        <v>13853</v>
      </c>
      <c r="T602" s="44">
        <v>723180</v>
      </c>
      <c r="U602" s="44">
        <v>580293</v>
      </c>
      <c r="V602" s="44">
        <v>0</v>
      </c>
      <c r="W602" s="44">
        <v>922766</v>
      </c>
      <c r="X602" s="44">
        <v>302487</v>
      </c>
      <c r="Y602" s="44">
        <v>1577494</v>
      </c>
      <c r="Z602" s="44">
        <v>576039</v>
      </c>
      <c r="AA602" s="44">
        <v>160218</v>
      </c>
      <c r="AB602" s="44">
        <v>0</v>
      </c>
      <c r="AC602" s="44">
        <v>9686727</v>
      </c>
      <c r="AD602" s="44">
        <v>615857</v>
      </c>
      <c r="AE602" s="44">
        <v>473000</v>
      </c>
      <c r="AF602" s="44">
        <v>576036</v>
      </c>
      <c r="AG602" s="44">
        <v>11351620</v>
      </c>
      <c r="AH602" s="44">
        <v>576</v>
      </c>
      <c r="AI602" s="44">
        <v>20493</v>
      </c>
      <c r="AJ602" s="44">
        <v>19708</v>
      </c>
      <c r="AK602" s="44">
        <v>836620</v>
      </c>
      <c r="AL602" s="44">
        <v>82917</v>
      </c>
      <c r="AM602" s="44">
        <v>1.4340000000000002</v>
      </c>
      <c r="AN602" s="44">
        <v>0.51101833923263817</v>
      </c>
      <c r="AO602" s="44">
        <v>0.18</v>
      </c>
      <c r="AP602" s="44">
        <v>0.69101833923263811</v>
      </c>
      <c r="AQ602" s="44">
        <v>0.81</v>
      </c>
      <c r="AR602" s="44">
        <v>9.09</v>
      </c>
    </row>
    <row r="603" spans="1:44">
      <c r="A603" t="s">
        <v>595</v>
      </c>
      <c r="B603" t="s">
        <v>596</v>
      </c>
      <c r="D603" t="s">
        <v>1639</v>
      </c>
      <c r="E603" s="44">
        <v>2951529</v>
      </c>
      <c r="F603" s="44">
        <v>14370689</v>
      </c>
      <c r="G603" s="44">
        <v>2960855</v>
      </c>
      <c r="H603" s="126">
        <v>17331544</v>
      </c>
      <c r="I603" s="127">
        <v>15785940</v>
      </c>
      <c r="J603" s="128">
        <v>1808926</v>
      </c>
      <c r="K603" s="130">
        <v>34926410</v>
      </c>
      <c r="L603" s="44">
        <v>191701</v>
      </c>
      <c r="M603" s="44">
        <v>633348</v>
      </c>
      <c r="N603" s="44">
        <v>12038243</v>
      </c>
      <c r="O603" s="44">
        <v>829335</v>
      </c>
      <c r="P603" s="44">
        <v>984561</v>
      </c>
      <c r="Q603" s="44">
        <v>2469238</v>
      </c>
      <c r="R603" s="44">
        <v>77360</v>
      </c>
      <c r="S603" s="44">
        <v>549751</v>
      </c>
      <c r="T603" s="44">
        <v>2562524</v>
      </c>
      <c r="U603" s="44">
        <v>1875913</v>
      </c>
      <c r="V603" s="44">
        <v>0</v>
      </c>
      <c r="W603" s="44">
        <v>3124677</v>
      </c>
      <c r="X603" s="44">
        <v>1234918</v>
      </c>
      <c r="Y603" s="44">
        <v>3920861</v>
      </c>
      <c r="Z603" s="44">
        <v>1896210</v>
      </c>
      <c r="AA603" s="44">
        <v>430961</v>
      </c>
      <c r="AB603" s="44">
        <v>26046</v>
      </c>
      <c r="AC603" s="44">
        <v>32845647</v>
      </c>
      <c r="AD603" s="44">
        <v>922297</v>
      </c>
      <c r="AE603" s="44">
        <v>645000</v>
      </c>
      <c r="AF603" s="44">
        <v>656913</v>
      </c>
      <c r="AG603" s="44">
        <v>35069857</v>
      </c>
      <c r="AH603" s="44">
        <v>2415</v>
      </c>
      <c r="AI603" s="44">
        <v>14462</v>
      </c>
      <c r="AJ603" s="44">
        <v>14522</v>
      </c>
      <c r="AK603" s="44">
        <v>240880</v>
      </c>
      <c r="AL603" s="44">
        <v>87651</v>
      </c>
      <c r="AM603" s="44">
        <v>0.67399999999999993</v>
      </c>
      <c r="AN603" s="44">
        <v>0.60983781599109455</v>
      </c>
      <c r="AO603" s="44">
        <v>0.17599999999999999</v>
      </c>
      <c r="AP603" s="44">
        <v>0.78583781599109459</v>
      </c>
      <c r="AQ603" s="44">
        <v>0.83860000000000001</v>
      </c>
      <c r="AR603" s="44">
        <v>18.940000000000001</v>
      </c>
    </row>
    <row r="604" spans="1:44">
      <c r="A604" t="s">
        <v>597</v>
      </c>
      <c r="B604" t="s">
        <v>598</v>
      </c>
      <c r="D604" t="s">
        <v>1639</v>
      </c>
      <c r="E604" s="44">
        <v>992459</v>
      </c>
      <c r="F604" s="44">
        <v>3055989</v>
      </c>
      <c r="G604" s="44">
        <v>573634</v>
      </c>
      <c r="H604" s="126">
        <v>3629623</v>
      </c>
      <c r="I604" s="127">
        <v>4977906</v>
      </c>
      <c r="J604" s="128">
        <v>300164</v>
      </c>
      <c r="K604" s="130">
        <v>8907693</v>
      </c>
      <c r="L604" s="44">
        <v>102758</v>
      </c>
      <c r="M604" s="44">
        <v>231767</v>
      </c>
      <c r="N604" s="44">
        <v>2639847</v>
      </c>
      <c r="O604" s="44">
        <v>129795</v>
      </c>
      <c r="P604" s="44">
        <v>80700</v>
      </c>
      <c r="Q604" s="44">
        <v>798649</v>
      </c>
      <c r="R604" s="44">
        <v>86441</v>
      </c>
      <c r="S604" s="44">
        <v>0</v>
      </c>
      <c r="T604" s="44">
        <v>390001</v>
      </c>
      <c r="U604" s="44">
        <v>275266</v>
      </c>
      <c r="V604" s="44">
        <v>989</v>
      </c>
      <c r="W604" s="44">
        <v>475091</v>
      </c>
      <c r="X604" s="44">
        <v>252183</v>
      </c>
      <c r="Y604" s="44">
        <v>1524506</v>
      </c>
      <c r="Z604" s="44">
        <v>473696</v>
      </c>
      <c r="AA604" s="44">
        <v>86078</v>
      </c>
      <c r="AB604" s="44">
        <v>50000</v>
      </c>
      <c r="AC604" s="44">
        <v>7597767</v>
      </c>
      <c r="AD604" s="44">
        <v>416108</v>
      </c>
      <c r="AE604" s="44">
        <v>242609</v>
      </c>
      <c r="AF604" s="44">
        <v>273373</v>
      </c>
      <c r="AG604" s="44">
        <v>8529857</v>
      </c>
      <c r="AH604" s="44">
        <v>371</v>
      </c>
      <c r="AI604" s="44">
        <v>24010</v>
      </c>
      <c r="AJ604" s="44">
        <v>22992</v>
      </c>
      <c r="AK604" s="44">
        <v>468152</v>
      </c>
      <c r="AL604" s="44">
        <v>61769</v>
      </c>
      <c r="AM604" s="44">
        <v>0.86499999999999999</v>
      </c>
      <c r="AN604" s="44">
        <v>0.51591708981756668</v>
      </c>
      <c r="AO604" s="44">
        <v>0.218</v>
      </c>
      <c r="AP604" s="44">
        <v>0.73391708981756665</v>
      </c>
      <c r="AQ604" s="44">
        <v>0.82189999999999996</v>
      </c>
      <c r="AR604" s="44">
        <v>16.66</v>
      </c>
    </row>
    <row r="605" spans="1:44">
      <c r="A605" t="s">
        <v>599</v>
      </c>
      <c r="B605" t="s">
        <v>600</v>
      </c>
      <c r="D605" t="s">
        <v>1639</v>
      </c>
      <c r="E605" s="44">
        <v>1130223</v>
      </c>
      <c r="F605" s="44">
        <v>1778576</v>
      </c>
      <c r="G605" s="44">
        <v>581728</v>
      </c>
      <c r="H605" s="126">
        <v>2360304</v>
      </c>
      <c r="I605" s="127">
        <v>15149025</v>
      </c>
      <c r="J605" s="128">
        <v>445435</v>
      </c>
      <c r="K605" s="130">
        <v>17954764</v>
      </c>
      <c r="L605" s="44">
        <v>74552</v>
      </c>
      <c r="M605" s="44">
        <v>417513</v>
      </c>
      <c r="N605" s="44">
        <v>5437707</v>
      </c>
      <c r="O605" s="44">
        <v>236261</v>
      </c>
      <c r="P605" s="44">
        <v>379350</v>
      </c>
      <c r="Q605" s="44">
        <v>1163743</v>
      </c>
      <c r="R605" s="44">
        <v>68124</v>
      </c>
      <c r="S605" s="44">
        <v>210179</v>
      </c>
      <c r="T605" s="44">
        <v>1266120</v>
      </c>
      <c r="U605" s="44">
        <v>907922</v>
      </c>
      <c r="V605" s="44">
        <v>0</v>
      </c>
      <c r="W605" s="44">
        <v>1061608</v>
      </c>
      <c r="X605" s="44">
        <v>608069</v>
      </c>
      <c r="Y605" s="44">
        <v>2749140</v>
      </c>
      <c r="Z605" s="44">
        <v>1076071</v>
      </c>
      <c r="AA605" s="44">
        <v>266205</v>
      </c>
      <c r="AB605" s="44">
        <v>0</v>
      </c>
      <c r="AC605" s="44">
        <v>15922564</v>
      </c>
      <c r="AD605" s="44">
        <v>825428</v>
      </c>
      <c r="AE605" s="44">
        <v>825000</v>
      </c>
      <c r="AF605" s="44">
        <v>288191</v>
      </c>
      <c r="AG605" s="44">
        <v>17861183</v>
      </c>
      <c r="AH605" s="44">
        <v>1074</v>
      </c>
      <c r="AI605" s="44">
        <v>16718</v>
      </c>
      <c r="AJ605" s="44">
        <v>16631</v>
      </c>
      <c r="AK605" s="44">
        <v>1027497</v>
      </c>
      <c r="AL605" s="44">
        <v>145868</v>
      </c>
      <c r="AM605" s="44">
        <v>1.9420000000000002</v>
      </c>
      <c r="AN605" s="44">
        <v>0.54136425342039218</v>
      </c>
      <c r="AO605" s="44">
        <v>0.21199999999999999</v>
      </c>
      <c r="AP605" s="44">
        <v>0.75336425342039215</v>
      </c>
      <c r="AQ605" s="44">
        <v>0.84419999999999995</v>
      </c>
      <c r="AR605" s="44">
        <v>6.91</v>
      </c>
    </row>
    <row r="606" spans="1:44">
      <c r="A606" t="s">
        <v>601</v>
      </c>
      <c r="B606" t="s">
        <v>602</v>
      </c>
      <c r="D606" t="s">
        <v>1639</v>
      </c>
      <c r="E606" s="44">
        <v>2189082</v>
      </c>
      <c r="F606" s="44">
        <v>7597575</v>
      </c>
      <c r="G606" s="44">
        <v>881961</v>
      </c>
      <c r="H606" s="126">
        <v>8479536</v>
      </c>
      <c r="I606" s="127">
        <v>7771925</v>
      </c>
      <c r="J606" s="128">
        <v>1365179</v>
      </c>
      <c r="K606" s="130">
        <v>17616640</v>
      </c>
      <c r="L606" s="44">
        <v>67063</v>
      </c>
      <c r="M606" s="44">
        <v>377258</v>
      </c>
      <c r="N606" s="44">
        <v>5536735</v>
      </c>
      <c r="O606" s="44">
        <v>291278</v>
      </c>
      <c r="P606" s="44">
        <v>268047</v>
      </c>
      <c r="Q606" s="44">
        <v>1576550</v>
      </c>
      <c r="R606" s="44">
        <v>5832</v>
      </c>
      <c r="S606" s="44">
        <v>179356</v>
      </c>
      <c r="T606" s="44">
        <v>813790</v>
      </c>
      <c r="U606" s="44">
        <v>498783</v>
      </c>
      <c r="V606" s="44">
        <v>0</v>
      </c>
      <c r="W606" s="44">
        <v>1310112</v>
      </c>
      <c r="X606" s="44">
        <v>542532</v>
      </c>
      <c r="Y606" s="44">
        <v>2473028</v>
      </c>
      <c r="Z606" s="44">
        <v>1005313</v>
      </c>
      <c r="AA606" s="44">
        <v>256254</v>
      </c>
      <c r="AB606" s="44">
        <v>10000</v>
      </c>
      <c r="AC606" s="44">
        <v>15211931</v>
      </c>
      <c r="AD606" s="44">
        <v>820636</v>
      </c>
      <c r="AE606" s="44">
        <v>1100566</v>
      </c>
      <c r="AF606" s="44">
        <v>518621</v>
      </c>
      <c r="AG606" s="44">
        <v>17651754</v>
      </c>
      <c r="AH606" s="44">
        <v>939</v>
      </c>
      <c r="AI606" s="44">
        <v>18761</v>
      </c>
      <c r="AJ606" s="44">
        <v>18798</v>
      </c>
      <c r="AK606" s="44">
        <v>415154</v>
      </c>
      <c r="AL606" s="44">
        <v>60624</v>
      </c>
      <c r="AM606" s="44">
        <v>0.79100000000000004</v>
      </c>
      <c r="AN606" s="44">
        <v>0.51951613420400033</v>
      </c>
      <c r="AO606" s="44">
        <v>0.191</v>
      </c>
      <c r="AP606" s="44">
        <v>0.71051613420400028</v>
      </c>
      <c r="AQ606" s="44">
        <v>0.82440000000000002</v>
      </c>
      <c r="AR606" s="44">
        <v>11.71</v>
      </c>
    </row>
    <row r="607" spans="1:44">
      <c r="A607" t="s">
        <v>603</v>
      </c>
      <c r="B607" t="s">
        <v>604</v>
      </c>
      <c r="D607" t="s">
        <v>1639</v>
      </c>
      <c r="E607" s="44">
        <v>2664616</v>
      </c>
      <c r="F607" s="44">
        <v>19256333</v>
      </c>
      <c r="G607" s="44">
        <v>3851104</v>
      </c>
      <c r="H607" s="126">
        <v>23107437</v>
      </c>
      <c r="I607" s="127">
        <v>24606419</v>
      </c>
      <c r="J607" s="128">
        <v>1458610</v>
      </c>
      <c r="K607" s="130">
        <v>49172466</v>
      </c>
      <c r="L607" s="44">
        <v>83037</v>
      </c>
      <c r="M607" s="44">
        <v>857787</v>
      </c>
      <c r="N607" s="44">
        <v>15001537</v>
      </c>
      <c r="O607" s="44">
        <v>885563</v>
      </c>
      <c r="P607" s="44">
        <v>1062006</v>
      </c>
      <c r="Q607" s="44">
        <v>2635062</v>
      </c>
      <c r="R607" s="44">
        <v>54288</v>
      </c>
      <c r="S607" s="44">
        <v>801116</v>
      </c>
      <c r="T607" s="44">
        <v>2871162</v>
      </c>
      <c r="U607" s="44">
        <v>1806823</v>
      </c>
      <c r="V607" s="44">
        <v>0</v>
      </c>
      <c r="W607" s="44">
        <v>3570068</v>
      </c>
      <c r="X607" s="44">
        <v>1477722</v>
      </c>
      <c r="Y607" s="44">
        <v>6371772</v>
      </c>
      <c r="Z607" s="44">
        <v>2736677</v>
      </c>
      <c r="AA607" s="44">
        <v>785248</v>
      </c>
      <c r="AB607" s="44">
        <v>175000</v>
      </c>
      <c r="AC607" s="44">
        <v>41174868</v>
      </c>
      <c r="AD607" s="44">
        <v>2241258</v>
      </c>
      <c r="AE607" s="44">
        <v>3270915</v>
      </c>
      <c r="AF607" s="44">
        <v>1833965</v>
      </c>
      <c r="AG607" s="44">
        <v>48521006</v>
      </c>
      <c r="AH607" s="44">
        <v>3931</v>
      </c>
      <c r="AI607" s="44">
        <v>12509</v>
      </c>
      <c r="AJ607" s="44">
        <v>12343</v>
      </c>
      <c r="AK607" s="44">
        <v>252916</v>
      </c>
      <c r="AL607" s="44">
        <v>88515</v>
      </c>
      <c r="AM607" s="44">
        <v>0.69300000000000006</v>
      </c>
      <c r="AN607" s="44">
        <v>0.51766356616761</v>
      </c>
      <c r="AO607" s="44">
        <v>0.186</v>
      </c>
      <c r="AP607" s="44">
        <v>0.70366356616761006</v>
      </c>
      <c r="AQ607" s="44">
        <v>0.83230000000000004</v>
      </c>
      <c r="AR607" s="44">
        <v>16.059999999999999</v>
      </c>
    </row>
    <row r="608" spans="1:44">
      <c r="A608" t="s">
        <v>605</v>
      </c>
      <c r="B608" t="s">
        <v>606</v>
      </c>
      <c r="D608" t="s">
        <v>1639</v>
      </c>
      <c r="E608" s="44">
        <v>48398</v>
      </c>
      <c r="F608" s="44">
        <v>858764</v>
      </c>
      <c r="G608" s="44">
        <v>226862</v>
      </c>
      <c r="H608" s="126">
        <v>1085626</v>
      </c>
      <c r="I608" s="127">
        <v>2224851</v>
      </c>
      <c r="J608" s="128">
        <v>188457</v>
      </c>
      <c r="K608" s="130">
        <v>3498934</v>
      </c>
      <c r="L608" s="44">
        <v>46628</v>
      </c>
      <c r="M608" s="44">
        <v>159643</v>
      </c>
      <c r="N608" s="44">
        <v>1040588</v>
      </c>
      <c r="O608" s="44">
        <v>16936</v>
      </c>
      <c r="P608" s="44">
        <v>2551</v>
      </c>
      <c r="Q608" s="44">
        <v>283325</v>
      </c>
      <c r="R608" s="44">
        <v>990195</v>
      </c>
      <c r="S608" s="44">
        <v>25957</v>
      </c>
      <c r="T608" s="44">
        <v>111329</v>
      </c>
      <c r="U608" s="44">
        <v>141604</v>
      </c>
      <c r="V608" s="44">
        <v>0</v>
      </c>
      <c r="W608" s="44">
        <v>209999</v>
      </c>
      <c r="X608" s="44">
        <v>-1888</v>
      </c>
      <c r="Y608" s="44">
        <v>165772</v>
      </c>
      <c r="Z608" s="44">
        <v>145739</v>
      </c>
      <c r="AA608" s="44">
        <v>75668</v>
      </c>
      <c r="AB608" s="44">
        <v>10000</v>
      </c>
      <c r="AC608" s="44">
        <v>3424046</v>
      </c>
      <c r="AD608" s="44">
        <v>82204</v>
      </c>
      <c r="AE608" s="44">
        <v>95000</v>
      </c>
      <c r="AF608" s="44">
        <v>17335</v>
      </c>
      <c r="AG608" s="44">
        <v>3618585</v>
      </c>
      <c r="AH608" s="44">
        <v>298</v>
      </c>
      <c r="AI608" s="44">
        <v>11741</v>
      </c>
      <c r="AJ608" s="44">
        <v>12143</v>
      </c>
      <c r="AK608" s="44">
        <v>402553</v>
      </c>
      <c r="AL608" s="44">
        <v>55449</v>
      </c>
      <c r="AM608" s="44">
        <v>0.753</v>
      </c>
      <c r="AN608" s="44">
        <v>0.721963143051773</v>
      </c>
      <c r="AO608" s="44">
        <v>6.9000000000000006E-2</v>
      </c>
      <c r="AP608" s="44">
        <v>0.79096314305177295</v>
      </c>
      <c r="AQ608" s="44">
        <v>0.76849999999999996</v>
      </c>
      <c r="AR608" s="44">
        <v>14.25</v>
      </c>
    </row>
    <row r="609" spans="1:44">
      <c r="A609" t="s">
        <v>607</v>
      </c>
      <c r="B609" t="s">
        <v>608</v>
      </c>
      <c r="D609" t="s">
        <v>1639</v>
      </c>
      <c r="E609" s="44">
        <v>613205</v>
      </c>
      <c r="F609" s="44">
        <v>10070807</v>
      </c>
      <c r="G609" s="44">
        <v>1195341</v>
      </c>
      <c r="H609" s="126">
        <v>11266148</v>
      </c>
      <c r="I609" s="127">
        <v>6917764</v>
      </c>
      <c r="J609" s="128">
        <v>657145</v>
      </c>
      <c r="K609" s="130">
        <v>18841057</v>
      </c>
      <c r="L609" s="44">
        <v>36489</v>
      </c>
      <c r="M609" s="44">
        <v>402906</v>
      </c>
      <c r="N609" s="44">
        <v>6060516</v>
      </c>
      <c r="O609" s="44">
        <v>273557</v>
      </c>
      <c r="P609" s="44">
        <v>268203</v>
      </c>
      <c r="Q609" s="44">
        <v>2743619</v>
      </c>
      <c r="R609" s="44">
        <v>0</v>
      </c>
      <c r="S609" s="44">
        <v>307571</v>
      </c>
      <c r="T609" s="44">
        <v>855471</v>
      </c>
      <c r="U609" s="44">
        <v>613471</v>
      </c>
      <c r="V609" s="44">
        <v>0</v>
      </c>
      <c r="W609" s="44">
        <v>1193489</v>
      </c>
      <c r="X609" s="44">
        <v>644793</v>
      </c>
      <c r="Y609" s="44">
        <v>2574349</v>
      </c>
      <c r="Z609" s="44">
        <v>971508</v>
      </c>
      <c r="AA609" s="44">
        <v>312084</v>
      </c>
      <c r="AB609" s="44">
        <v>0</v>
      </c>
      <c r="AC609" s="44">
        <v>17258026</v>
      </c>
      <c r="AD609" s="44">
        <v>740388</v>
      </c>
      <c r="AE609" s="44">
        <v>525000</v>
      </c>
      <c r="AF609" s="44">
        <v>390225</v>
      </c>
      <c r="AG609" s="44">
        <v>18913639</v>
      </c>
      <c r="AH609" s="44">
        <v>949</v>
      </c>
      <c r="AI609" s="44">
        <v>19854</v>
      </c>
      <c r="AJ609" s="44">
        <v>19930</v>
      </c>
      <c r="AK609" s="44">
        <v>255949</v>
      </c>
      <c r="AL609" s="44">
        <v>62312</v>
      </c>
      <c r="AM609" s="44">
        <v>0.58899999999999997</v>
      </c>
      <c r="AN609" s="44">
        <v>0.58806282598499426</v>
      </c>
      <c r="AO609" s="44">
        <v>0.186</v>
      </c>
      <c r="AP609" s="44">
        <v>0.77406282598499421</v>
      </c>
      <c r="AQ609" s="44">
        <v>0.84840000000000004</v>
      </c>
      <c r="AR609" s="44">
        <v>17.8</v>
      </c>
    </row>
    <row r="610" spans="1:44">
      <c r="A610" t="s">
        <v>609</v>
      </c>
      <c r="B610" t="s">
        <v>610</v>
      </c>
      <c r="D610" t="s">
        <v>1639</v>
      </c>
      <c r="E610" s="44">
        <v>486181</v>
      </c>
      <c r="F610" s="44">
        <v>5714524</v>
      </c>
      <c r="G610" s="44">
        <v>883919</v>
      </c>
      <c r="H610" s="126">
        <v>6598443</v>
      </c>
      <c r="I610" s="127">
        <v>3484323</v>
      </c>
      <c r="J610" s="128">
        <v>418324</v>
      </c>
      <c r="K610" s="130">
        <v>10501090</v>
      </c>
      <c r="L610" s="44">
        <v>46606</v>
      </c>
      <c r="M610" s="44">
        <v>262183</v>
      </c>
      <c r="N610" s="44">
        <v>3272063</v>
      </c>
      <c r="O610" s="44">
        <v>109602</v>
      </c>
      <c r="P610" s="44">
        <v>159018</v>
      </c>
      <c r="Q610" s="44">
        <v>1168530</v>
      </c>
      <c r="R610" s="44">
        <v>115050</v>
      </c>
      <c r="S610" s="44">
        <v>82757</v>
      </c>
      <c r="T610" s="44">
        <v>796807</v>
      </c>
      <c r="U610" s="44">
        <v>327452</v>
      </c>
      <c r="V610" s="44">
        <v>0</v>
      </c>
      <c r="W610" s="44">
        <v>794632</v>
      </c>
      <c r="X610" s="44">
        <v>316575</v>
      </c>
      <c r="Y610" s="44">
        <v>1085657</v>
      </c>
      <c r="Z610" s="44">
        <v>626226</v>
      </c>
      <c r="AA610" s="44">
        <v>186038</v>
      </c>
      <c r="AB610" s="44">
        <v>0</v>
      </c>
      <c r="AC610" s="44">
        <v>9349196</v>
      </c>
      <c r="AD610" s="44">
        <v>729192</v>
      </c>
      <c r="AE610" s="44">
        <v>400000</v>
      </c>
      <c r="AF610" s="44">
        <v>166552</v>
      </c>
      <c r="AG610" s="44">
        <v>10644940</v>
      </c>
      <c r="AH610" s="44">
        <v>718</v>
      </c>
      <c r="AI610" s="44">
        <v>14625</v>
      </c>
      <c r="AJ610" s="44">
        <v>14826</v>
      </c>
      <c r="AK610" s="44">
        <v>162975</v>
      </c>
      <c r="AL610" s="44">
        <v>59954</v>
      </c>
      <c r="AM610" s="44">
        <v>0.45899999999999996</v>
      </c>
      <c r="AN610" s="44">
        <v>0.56658647207029822</v>
      </c>
      <c r="AO610" s="44">
        <v>0.155</v>
      </c>
      <c r="AP610" s="44">
        <v>0.72158647207029825</v>
      </c>
      <c r="AQ610" s="44">
        <v>0.81910000000000005</v>
      </c>
      <c r="AR610" s="44">
        <v>19.29</v>
      </c>
    </row>
    <row r="611" spans="1:44">
      <c r="A611" t="s">
        <v>611</v>
      </c>
      <c r="B611" t="s">
        <v>612</v>
      </c>
      <c r="D611" t="s">
        <v>1639</v>
      </c>
      <c r="E611" s="44">
        <v>636783</v>
      </c>
      <c r="F611" s="44">
        <v>5403690</v>
      </c>
      <c r="G611" s="44">
        <v>1074994</v>
      </c>
      <c r="H611" s="126">
        <v>6478684</v>
      </c>
      <c r="I611" s="127">
        <v>4868582</v>
      </c>
      <c r="J611" s="128">
        <v>203520</v>
      </c>
      <c r="K611" s="130">
        <v>11550786</v>
      </c>
      <c r="L611" s="44">
        <v>65815</v>
      </c>
      <c r="M611" s="44">
        <v>279468</v>
      </c>
      <c r="N611" s="44">
        <v>2700998</v>
      </c>
      <c r="O611" s="44">
        <v>119495</v>
      </c>
      <c r="P611" s="44">
        <v>129302</v>
      </c>
      <c r="Q611" s="44">
        <v>1295321</v>
      </c>
      <c r="R611" s="44">
        <v>79805</v>
      </c>
      <c r="S611" s="44">
        <v>56031</v>
      </c>
      <c r="T611" s="44">
        <v>348895</v>
      </c>
      <c r="U611" s="44">
        <v>278519</v>
      </c>
      <c r="V611" s="44">
        <v>2000</v>
      </c>
      <c r="W611" s="44">
        <v>683794</v>
      </c>
      <c r="X611" s="44">
        <v>392310</v>
      </c>
      <c r="Y611" s="44">
        <v>1701882</v>
      </c>
      <c r="Z611" s="44">
        <v>437221</v>
      </c>
      <c r="AA611" s="44">
        <v>230911</v>
      </c>
      <c r="AB611" s="44">
        <v>0</v>
      </c>
      <c r="AC611" s="44">
        <v>8801767</v>
      </c>
      <c r="AD611" s="44">
        <v>527386</v>
      </c>
      <c r="AE611" s="44">
        <v>957704</v>
      </c>
      <c r="AF611" s="44">
        <v>574824</v>
      </c>
      <c r="AG611" s="44">
        <v>10861681</v>
      </c>
      <c r="AH611" s="44">
        <v>637</v>
      </c>
      <c r="AI611" s="44">
        <v>18133</v>
      </c>
      <c r="AJ611" s="44">
        <v>17051</v>
      </c>
      <c r="AK611" s="44">
        <v>279722</v>
      </c>
      <c r="AL611" s="44">
        <v>66773</v>
      </c>
      <c r="AM611" s="44">
        <v>0.63900000000000001</v>
      </c>
      <c r="AN611" s="44">
        <v>0.46110413296063474</v>
      </c>
      <c r="AO611" s="44">
        <v>0.188</v>
      </c>
      <c r="AP611" s="44">
        <v>0.64910413296063474</v>
      </c>
      <c r="AQ611" s="44">
        <v>0.79879999999999995</v>
      </c>
      <c r="AR611" s="44">
        <v>20.29</v>
      </c>
    </row>
    <row r="612" spans="1:44">
      <c r="A612" t="s">
        <v>613</v>
      </c>
      <c r="B612" t="s">
        <v>614</v>
      </c>
      <c r="D612" t="s">
        <v>1639</v>
      </c>
      <c r="E612" s="44">
        <v>642910</v>
      </c>
      <c r="F612" s="44">
        <v>5577797</v>
      </c>
      <c r="G612" s="44">
        <v>822385</v>
      </c>
      <c r="H612" s="126">
        <v>6400182</v>
      </c>
      <c r="I612" s="127">
        <v>2413182</v>
      </c>
      <c r="J612" s="128">
        <v>703539</v>
      </c>
      <c r="K612" s="130">
        <v>9516903</v>
      </c>
      <c r="L612" s="44">
        <v>32092</v>
      </c>
      <c r="M612" s="44">
        <v>287496</v>
      </c>
      <c r="N612" s="44">
        <v>3332238</v>
      </c>
      <c r="O612" s="44">
        <v>242542</v>
      </c>
      <c r="P612" s="44">
        <v>159844</v>
      </c>
      <c r="Q612" s="44">
        <v>623833</v>
      </c>
      <c r="R612" s="44">
        <v>12938</v>
      </c>
      <c r="S612" s="44">
        <v>8186</v>
      </c>
      <c r="T612" s="44">
        <v>512138</v>
      </c>
      <c r="U612" s="44">
        <v>412110</v>
      </c>
      <c r="V612" s="44">
        <v>5000</v>
      </c>
      <c r="W612" s="44">
        <v>494545</v>
      </c>
      <c r="X612" s="44">
        <v>347268</v>
      </c>
      <c r="Y612" s="44">
        <v>955841</v>
      </c>
      <c r="Z612" s="44">
        <v>567826</v>
      </c>
      <c r="AA612" s="44">
        <v>185236</v>
      </c>
      <c r="AB612" s="44">
        <v>20000</v>
      </c>
      <c r="AC612" s="44">
        <v>8199133</v>
      </c>
      <c r="AD612" s="44">
        <v>202410</v>
      </c>
      <c r="AE612" s="44">
        <v>315000</v>
      </c>
      <c r="AF612" s="44">
        <v>224049</v>
      </c>
      <c r="AG612" s="44">
        <v>8940592</v>
      </c>
      <c r="AH612" s="44">
        <v>545</v>
      </c>
      <c r="AI612" s="44">
        <v>17462</v>
      </c>
      <c r="AJ612" s="44">
        <v>16405</v>
      </c>
      <c r="AK612" s="44">
        <v>130619</v>
      </c>
      <c r="AL612" s="44">
        <v>64624</v>
      </c>
      <c r="AM612" s="44">
        <v>0.435</v>
      </c>
      <c r="AN612" s="44">
        <v>0.59323017983596615</v>
      </c>
      <c r="AO612" s="44">
        <v>0.186</v>
      </c>
      <c r="AP612" s="44">
        <v>0.77923017983596621</v>
      </c>
      <c r="AQ612" s="44">
        <v>0.84960000000000002</v>
      </c>
      <c r="AR612" s="44">
        <v>23.67</v>
      </c>
    </row>
    <row r="613" spans="1:44">
      <c r="A613" t="s">
        <v>615</v>
      </c>
      <c r="B613" t="s">
        <v>616</v>
      </c>
      <c r="D613" t="s">
        <v>1639</v>
      </c>
      <c r="E613" s="44">
        <v>265071</v>
      </c>
      <c r="F613" s="44">
        <v>12651883</v>
      </c>
      <c r="G613" s="44">
        <v>1583977</v>
      </c>
      <c r="H613" s="126">
        <v>14235860</v>
      </c>
      <c r="I613" s="127">
        <v>6038185</v>
      </c>
      <c r="J613" s="128">
        <v>1265914</v>
      </c>
      <c r="K613" s="130">
        <v>21539959</v>
      </c>
      <c r="L613" s="44">
        <v>150295</v>
      </c>
      <c r="M613" s="44">
        <v>419213</v>
      </c>
      <c r="N613" s="44">
        <v>6579537</v>
      </c>
      <c r="O613" s="44">
        <v>351316</v>
      </c>
      <c r="P613" s="44">
        <v>341924</v>
      </c>
      <c r="Q613" s="44">
        <v>1991277</v>
      </c>
      <c r="R613" s="44">
        <v>185642</v>
      </c>
      <c r="S613" s="44">
        <v>153871</v>
      </c>
      <c r="T613" s="44">
        <v>1551848</v>
      </c>
      <c r="U613" s="44">
        <v>1155575</v>
      </c>
      <c r="V613" s="44">
        <v>1700</v>
      </c>
      <c r="W613" s="44">
        <v>1212701</v>
      </c>
      <c r="X613" s="44">
        <v>664174</v>
      </c>
      <c r="Y613" s="44">
        <v>3058941</v>
      </c>
      <c r="Z613" s="44">
        <v>1095568</v>
      </c>
      <c r="AA613" s="44">
        <v>439831</v>
      </c>
      <c r="AB613" s="44">
        <v>0</v>
      </c>
      <c r="AC613" s="44">
        <v>19353413</v>
      </c>
      <c r="AD613" s="44">
        <v>532629</v>
      </c>
      <c r="AE613" s="44">
        <v>1268711</v>
      </c>
      <c r="AF613" s="44">
        <v>722293</v>
      </c>
      <c r="AG613" s="44">
        <v>21877046</v>
      </c>
      <c r="AH613" s="44">
        <v>1434</v>
      </c>
      <c r="AI613" s="44">
        <v>15021</v>
      </c>
      <c r="AJ613" s="44">
        <v>15256</v>
      </c>
      <c r="AK613" s="44">
        <v>119771</v>
      </c>
      <c r="AL613" s="44">
        <v>42771</v>
      </c>
      <c r="AM613" s="44">
        <v>0.33099999999999996</v>
      </c>
      <c r="AN613" s="44">
        <v>0.5627354808322842</v>
      </c>
      <c r="AO613" s="44">
        <v>0.193</v>
      </c>
      <c r="AP613" s="44">
        <v>0.75573548083228426</v>
      </c>
      <c r="AQ613" s="44">
        <v>0.85260000000000002</v>
      </c>
      <c r="AR613" s="44">
        <v>18.37</v>
      </c>
    </row>
    <row r="614" spans="1:44">
      <c r="A614" t="s">
        <v>617</v>
      </c>
      <c r="B614" t="s">
        <v>618</v>
      </c>
      <c r="D614" t="s">
        <v>1639</v>
      </c>
      <c r="E614" s="44">
        <v>387318</v>
      </c>
      <c r="F614" s="44">
        <v>8704308</v>
      </c>
      <c r="G614" s="44">
        <v>1625336</v>
      </c>
      <c r="H614" s="126">
        <v>10329644</v>
      </c>
      <c r="I614" s="127">
        <v>7615587</v>
      </c>
      <c r="J614" s="128">
        <v>658223</v>
      </c>
      <c r="K614" s="130">
        <v>18603454</v>
      </c>
      <c r="L614" s="44">
        <v>86471</v>
      </c>
      <c r="M614" s="44">
        <v>423521</v>
      </c>
      <c r="N614" s="44">
        <v>6197157</v>
      </c>
      <c r="O614" s="44">
        <v>205373</v>
      </c>
      <c r="P614" s="44">
        <v>317661</v>
      </c>
      <c r="Q614" s="44">
        <v>1687508</v>
      </c>
      <c r="R614" s="44">
        <v>2708</v>
      </c>
      <c r="S614" s="44">
        <v>294692</v>
      </c>
      <c r="T614" s="44">
        <v>1326514</v>
      </c>
      <c r="U614" s="44">
        <v>508749</v>
      </c>
      <c r="V614" s="44">
        <v>27350</v>
      </c>
      <c r="W614" s="44">
        <v>1338230</v>
      </c>
      <c r="X614" s="44">
        <v>607859</v>
      </c>
      <c r="Y614" s="44">
        <v>2185504</v>
      </c>
      <c r="Z614" s="44">
        <v>1046988</v>
      </c>
      <c r="AA614" s="44">
        <v>419272</v>
      </c>
      <c r="AB614" s="44">
        <v>0</v>
      </c>
      <c r="AC614" s="44">
        <v>16675557</v>
      </c>
      <c r="AD614" s="44">
        <v>599446</v>
      </c>
      <c r="AE614" s="44">
        <v>1268663</v>
      </c>
      <c r="AF614" s="44">
        <v>515858</v>
      </c>
      <c r="AG614" s="44">
        <v>19059524</v>
      </c>
      <c r="AH614" s="44">
        <v>1146</v>
      </c>
      <c r="AI614" s="44">
        <v>16233</v>
      </c>
      <c r="AJ614" s="44">
        <v>16631</v>
      </c>
      <c r="AK614" s="44">
        <v>216044</v>
      </c>
      <c r="AL614" s="44">
        <v>78077</v>
      </c>
      <c r="AM614" s="44">
        <v>0.60199999999999998</v>
      </c>
      <c r="AN614" s="44">
        <v>0.55302335986984774</v>
      </c>
      <c r="AO614" s="44">
        <v>0.17100000000000001</v>
      </c>
      <c r="AP614" s="44">
        <v>0.72402335986984778</v>
      </c>
      <c r="AQ614" s="44">
        <v>0.82789999999999997</v>
      </c>
      <c r="AR614" s="44">
        <v>19.8</v>
      </c>
    </row>
    <row r="615" spans="1:44">
      <c r="A615" t="s">
        <v>619</v>
      </c>
      <c r="B615" t="s">
        <v>620</v>
      </c>
      <c r="D615" t="s">
        <v>1639</v>
      </c>
      <c r="E615" s="44">
        <v>257880</v>
      </c>
      <c r="F615" s="44">
        <v>5049459</v>
      </c>
      <c r="G615" s="44">
        <v>727095</v>
      </c>
      <c r="H615" s="126">
        <v>5776554</v>
      </c>
      <c r="I615" s="127">
        <v>2365668</v>
      </c>
      <c r="J615" s="128">
        <v>267291</v>
      </c>
      <c r="K615" s="130">
        <v>8409513</v>
      </c>
      <c r="L615" s="44">
        <v>16343</v>
      </c>
      <c r="M615" s="44">
        <v>221117</v>
      </c>
      <c r="N615" s="44">
        <v>2669835</v>
      </c>
      <c r="O615" s="44">
        <v>182563</v>
      </c>
      <c r="P615" s="44">
        <v>78525</v>
      </c>
      <c r="Q615" s="44">
        <v>741638</v>
      </c>
      <c r="R615" s="44">
        <v>66651</v>
      </c>
      <c r="S615" s="44">
        <v>91628</v>
      </c>
      <c r="T615" s="44">
        <v>433104</v>
      </c>
      <c r="U615" s="44">
        <v>282148</v>
      </c>
      <c r="V615" s="44">
        <v>0</v>
      </c>
      <c r="W615" s="44">
        <v>381297</v>
      </c>
      <c r="X615" s="44">
        <v>311741</v>
      </c>
      <c r="Y615" s="44">
        <v>1510515</v>
      </c>
      <c r="Z615" s="44">
        <v>413148</v>
      </c>
      <c r="AA615" s="44">
        <v>108422</v>
      </c>
      <c r="AB615" s="44">
        <v>0</v>
      </c>
      <c r="AC615" s="44">
        <v>7508675</v>
      </c>
      <c r="AD615" s="44">
        <v>626069</v>
      </c>
      <c r="AE615" s="44">
        <v>250261</v>
      </c>
      <c r="AF615" s="44">
        <v>94840</v>
      </c>
      <c r="AG615" s="44">
        <v>8479845</v>
      </c>
      <c r="AH615" s="44">
        <v>564</v>
      </c>
      <c r="AI615" s="44">
        <v>14910</v>
      </c>
      <c r="AJ615" s="44">
        <v>15035</v>
      </c>
      <c r="AK615" s="44">
        <v>132961</v>
      </c>
      <c r="AL615" s="44">
        <v>52232</v>
      </c>
      <c r="AM615" s="44">
        <v>0.38700000000000001</v>
      </c>
      <c r="AN615" s="44">
        <v>0.536105553816137</v>
      </c>
      <c r="AO615" s="44">
        <v>0.217</v>
      </c>
      <c r="AP615" s="44">
        <v>0.75310555381613697</v>
      </c>
      <c r="AQ615" s="44">
        <v>0.84870000000000001</v>
      </c>
      <c r="AR615" s="44">
        <v>18.03</v>
      </c>
    </row>
    <row r="616" spans="1:44">
      <c r="A616" t="s">
        <v>621</v>
      </c>
      <c r="B616" t="s">
        <v>622</v>
      </c>
      <c r="D616" t="s">
        <v>1639</v>
      </c>
      <c r="E616" s="44">
        <v>1621046</v>
      </c>
      <c r="F616" s="44">
        <v>18697777</v>
      </c>
      <c r="G616" s="44">
        <v>2866732</v>
      </c>
      <c r="H616" s="126">
        <v>21564509</v>
      </c>
      <c r="I616" s="127">
        <v>9904841</v>
      </c>
      <c r="J616" s="128">
        <v>1856712</v>
      </c>
      <c r="K616" s="130">
        <v>33326062</v>
      </c>
      <c r="L616" s="44">
        <v>57434</v>
      </c>
      <c r="M616" s="44">
        <v>606165</v>
      </c>
      <c r="N616" s="44">
        <v>10164914</v>
      </c>
      <c r="O616" s="44">
        <v>754010</v>
      </c>
      <c r="P616" s="44">
        <v>696851</v>
      </c>
      <c r="Q616" s="44">
        <v>2660361</v>
      </c>
      <c r="R616" s="44">
        <v>114856</v>
      </c>
      <c r="S616" s="44">
        <v>171106</v>
      </c>
      <c r="T616" s="44">
        <v>1889406</v>
      </c>
      <c r="U616" s="44">
        <v>1477352</v>
      </c>
      <c r="V616" s="44">
        <v>0</v>
      </c>
      <c r="W616" s="44">
        <v>2531794</v>
      </c>
      <c r="X616" s="44">
        <v>969609</v>
      </c>
      <c r="Y616" s="44">
        <v>3912780</v>
      </c>
      <c r="Z616" s="44">
        <v>2215134</v>
      </c>
      <c r="AA616" s="44">
        <v>560360</v>
      </c>
      <c r="AB616" s="44">
        <v>31878</v>
      </c>
      <c r="AC616" s="44">
        <v>28814010</v>
      </c>
      <c r="AD616" s="44">
        <v>1768534</v>
      </c>
      <c r="AE616" s="44">
        <v>1455000</v>
      </c>
      <c r="AF616" s="44">
        <v>771506</v>
      </c>
      <c r="AG616" s="44">
        <v>32809050</v>
      </c>
      <c r="AH616" s="44">
        <v>2357</v>
      </c>
      <c r="AI616" s="44">
        <v>14139</v>
      </c>
      <c r="AJ616" s="44">
        <v>13920</v>
      </c>
      <c r="AK616" s="44">
        <v>143443</v>
      </c>
      <c r="AL616" s="44">
        <v>63290</v>
      </c>
      <c r="AM616" s="44">
        <v>0.44600000000000001</v>
      </c>
      <c r="AN616" s="44">
        <v>0.54646068691412886</v>
      </c>
      <c r="AO616" s="44">
        <v>0.18</v>
      </c>
      <c r="AP616" s="44">
        <v>0.72646068691412879</v>
      </c>
      <c r="AQ616" s="44">
        <v>0.82679999999999998</v>
      </c>
      <c r="AR616" s="44">
        <v>19.22</v>
      </c>
    </row>
    <row r="617" spans="1:44">
      <c r="A617" t="s">
        <v>623</v>
      </c>
      <c r="B617" t="s">
        <v>624</v>
      </c>
      <c r="D617" t="s">
        <v>1639</v>
      </c>
      <c r="E617" s="44">
        <v>230818</v>
      </c>
      <c r="F617" s="44">
        <v>203270</v>
      </c>
      <c r="G617" s="44">
        <v>66975</v>
      </c>
      <c r="H617" s="126">
        <v>270245</v>
      </c>
      <c r="I617" s="127">
        <v>1435815</v>
      </c>
      <c r="J617" s="128">
        <v>52404</v>
      </c>
      <c r="K617" s="130">
        <v>1758464</v>
      </c>
      <c r="L617" s="44">
        <v>54309</v>
      </c>
      <c r="M617" s="44">
        <v>100368</v>
      </c>
      <c r="N617" s="44">
        <v>299201</v>
      </c>
      <c r="O617" s="44">
        <v>0</v>
      </c>
      <c r="P617" s="44">
        <v>1500</v>
      </c>
      <c r="Q617" s="44">
        <v>82356</v>
      </c>
      <c r="R617" s="44">
        <v>553398</v>
      </c>
      <c r="S617" s="44">
        <v>12454</v>
      </c>
      <c r="T617" s="44">
        <v>102839</v>
      </c>
      <c r="U617" s="44">
        <v>87951</v>
      </c>
      <c r="V617" s="44">
        <v>0</v>
      </c>
      <c r="W617" s="44">
        <v>83866</v>
      </c>
      <c r="X617" s="44">
        <v>38452</v>
      </c>
      <c r="Y617" s="44">
        <v>152825</v>
      </c>
      <c r="Z617" s="44">
        <v>51043</v>
      </c>
      <c r="AA617" s="44">
        <v>21869</v>
      </c>
      <c r="AB617" s="44">
        <v>5000</v>
      </c>
      <c r="AC617" s="44">
        <v>1647431</v>
      </c>
      <c r="AD617" s="44">
        <v>146730</v>
      </c>
      <c r="AE617" s="44">
        <v>0</v>
      </c>
      <c r="AF617" s="44">
        <v>0</v>
      </c>
      <c r="AG617" s="44">
        <v>1794161</v>
      </c>
      <c r="AH617" s="44">
        <v>88</v>
      </c>
      <c r="AI617" s="44">
        <v>19983</v>
      </c>
      <c r="AJ617" s="44">
        <v>20388</v>
      </c>
      <c r="AK617" s="44">
        <v>1314028</v>
      </c>
      <c r="AL617" s="44">
        <v>112561</v>
      </c>
      <c r="AM617" s="44">
        <v>2.181</v>
      </c>
      <c r="AN617" s="44">
        <v>0.63522671599705938</v>
      </c>
      <c r="AO617" s="44">
        <v>9.4E-2</v>
      </c>
      <c r="AP617" s="44">
        <v>0.72922671599705935</v>
      </c>
      <c r="AQ617" s="44">
        <v>0.69</v>
      </c>
      <c r="AR617" s="44">
        <v>7.67</v>
      </c>
    </row>
    <row r="618" spans="1:44">
      <c r="A618" t="s">
        <v>625</v>
      </c>
      <c r="B618" t="s">
        <v>626</v>
      </c>
      <c r="D618" t="s">
        <v>1639</v>
      </c>
      <c r="E618" s="44">
        <v>915260</v>
      </c>
      <c r="F618" s="44">
        <v>5798353</v>
      </c>
      <c r="G618" s="44">
        <v>843932</v>
      </c>
      <c r="H618" s="126">
        <v>6642285</v>
      </c>
      <c r="I618" s="127">
        <v>3858388</v>
      </c>
      <c r="J618" s="128">
        <v>385471</v>
      </c>
      <c r="K618" s="130">
        <v>10886144</v>
      </c>
      <c r="L618" s="44">
        <v>113180</v>
      </c>
      <c r="M618" s="44">
        <v>219566</v>
      </c>
      <c r="N618" s="44">
        <v>3902905</v>
      </c>
      <c r="O618" s="44">
        <v>199089</v>
      </c>
      <c r="P618" s="44">
        <v>232370</v>
      </c>
      <c r="Q618" s="44">
        <v>696726</v>
      </c>
      <c r="R618" s="44">
        <v>0</v>
      </c>
      <c r="S618" s="44">
        <v>42270</v>
      </c>
      <c r="T618" s="44">
        <v>668519</v>
      </c>
      <c r="U618" s="44">
        <v>319127</v>
      </c>
      <c r="V618" s="44">
        <v>26650</v>
      </c>
      <c r="W618" s="44">
        <v>662462</v>
      </c>
      <c r="X618" s="44">
        <v>385364</v>
      </c>
      <c r="Y618" s="44">
        <v>1040192</v>
      </c>
      <c r="Z618" s="44">
        <v>597177</v>
      </c>
      <c r="AA618" s="44">
        <v>202769</v>
      </c>
      <c r="AB618" s="44">
        <v>0</v>
      </c>
      <c r="AC618" s="44">
        <v>9308366</v>
      </c>
      <c r="AD618" s="44">
        <v>645788</v>
      </c>
      <c r="AE618" s="44">
        <v>190000</v>
      </c>
      <c r="AF618" s="44">
        <v>129669</v>
      </c>
      <c r="AG618" s="44">
        <v>10273823</v>
      </c>
      <c r="AH618" s="44">
        <v>694</v>
      </c>
      <c r="AI618" s="44">
        <v>15686</v>
      </c>
      <c r="AJ618" s="44">
        <v>14804</v>
      </c>
      <c r="AK618" s="44">
        <v>222633</v>
      </c>
      <c r="AL618" s="44">
        <v>64866</v>
      </c>
      <c r="AM618" s="44">
        <v>0.55699999999999994</v>
      </c>
      <c r="AN618" s="44">
        <v>0.58994650774108137</v>
      </c>
      <c r="AO618" s="44">
        <v>0.16700000000000001</v>
      </c>
      <c r="AP618" s="44">
        <v>0.75694650774108141</v>
      </c>
      <c r="AQ618" s="44">
        <v>0.83540000000000003</v>
      </c>
      <c r="AR618" s="44">
        <v>16.71</v>
      </c>
    </row>
    <row r="619" spans="1:44">
      <c r="A619" t="s">
        <v>627</v>
      </c>
      <c r="B619" t="s">
        <v>628</v>
      </c>
      <c r="D619" t="s">
        <v>1639</v>
      </c>
      <c r="E619" s="44">
        <v>607346</v>
      </c>
      <c r="F619" s="44">
        <v>8247837</v>
      </c>
      <c r="G619" s="44">
        <v>1313667</v>
      </c>
      <c r="H619" s="126">
        <v>9561504</v>
      </c>
      <c r="I619" s="127">
        <v>5415286</v>
      </c>
      <c r="J619" s="128">
        <v>625441</v>
      </c>
      <c r="K619" s="130">
        <v>15602231</v>
      </c>
      <c r="L619" s="44">
        <v>121860</v>
      </c>
      <c r="M619" s="44">
        <v>342163</v>
      </c>
      <c r="N619" s="44">
        <v>5272977</v>
      </c>
      <c r="O619" s="44">
        <v>314568</v>
      </c>
      <c r="P619" s="44">
        <v>310534</v>
      </c>
      <c r="Q619" s="44">
        <v>779806</v>
      </c>
      <c r="R619" s="44">
        <v>24277</v>
      </c>
      <c r="S619" s="44">
        <v>120307</v>
      </c>
      <c r="T619" s="44">
        <v>729263</v>
      </c>
      <c r="U619" s="44">
        <v>742927</v>
      </c>
      <c r="V619" s="44">
        <v>0</v>
      </c>
      <c r="W619" s="44">
        <v>1003260</v>
      </c>
      <c r="X619" s="44">
        <v>546426</v>
      </c>
      <c r="Y619" s="44">
        <v>2618807</v>
      </c>
      <c r="Z619" s="44">
        <v>776563</v>
      </c>
      <c r="AA619" s="44">
        <v>209362</v>
      </c>
      <c r="AB619" s="44">
        <v>0</v>
      </c>
      <c r="AC619" s="44">
        <v>13913100</v>
      </c>
      <c r="AD619" s="44">
        <v>834626</v>
      </c>
      <c r="AE619" s="44">
        <v>901564</v>
      </c>
      <c r="AF619" s="44">
        <v>355056</v>
      </c>
      <c r="AG619" s="44">
        <v>16004346</v>
      </c>
      <c r="AH619" s="44">
        <v>1085</v>
      </c>
      <c r="AI619" s="44">
        <v>14380</v>
      </c>
      <c r="AJ619" s="44">
        <v>14751</v>
      </c>
      <c r="AK619" s="44">
        <v>202343</v>
      </c>
      <c r="AL619" s="44">
        <v>68666</v>
      </c>
      <c r="AM619" s="44">
        <v>0.54500000000000004</v>
      </c>
      <c r="AN619" s="44">
        <v>0.51827541094150298</v>
      </c>
      <c r="AO619" s="44">
        <v>0.21099999999999999</v>
      </c>
      <c r="AP619" s="44">
        <v>0.72927541094150294</v>
      </c>
      <c r="AQ619" s="44">
        <v>0.83830000000000005</v>
      </c>
      <c r="AR619" s="44">
        <v>15.17</v>
      </c>
    </row>
    <row r="620" spans="1:44">
      <c r="A620" t="s">
        <v>629</v>
      </c>
      <c r="B620" t="s">
        <v>630</v>
      </c>
      <c r="D620" t="s">
        <v>1639</v>
      </c>
      <c r="E620" s="44">
        <v>658341</v>
      </c>
      <c r="F620" s="44">
        <v>6912158</v>
      </c>
      <c r="G620" s="44">
        <v>723055</v>
      </c>
      <c r="H620" s="126">
        <v>7635213</v>
      </c>
      <c r="I620" s="127">
        <v>4709137</v>
      </c>
      <c r="J620" s="128">
        <v>711900</v>
      </c>
      <c r="K620" s="130">
        <v>13056250</v>
      </c>
      <c r="L620" s="44">
        <v>64699</v>
      </c>
      <c r="M620" s="44">
        <v>284471</v>
      </c>
      <c r="N620" s="44">
        <v>4175503</v>
      </c>
      <c r="O620" s="44">
        <v>175722</v>
      </c>
      <c r="P620" s="44">
        <v>150383</v>
      </c>
      <c r="Q620" s="44">
        <v>710831</v>
      </c>
      <c r="R620" s="44">
        <v>0</v>
      </c>
      <c r="S620" s="44">
        <v>336690</v>
      </c>
      <c r="T620" s="44">
        <v>892715</v>
      </c>
      <c r="U620" s="44">
        <v>487693</v>
      </c>
      <c r="V620" s="44">
        <v>17027</v>
      </c>
      <c r="W620" s="44">
        <v>868737</v>
      </c>
      <c r="X620" s="44">
        <v>392199</v>
      </c>
      <c r="Y620" s="44">
        <v>1889103</v>
      </c>
      <c r="Z620" s="44">
        <v>911567</v>
      </c>
      <c r="AA620" s="44">
        <v>229993</v>
      </c>
      <c r="AB620" s="44">
        <v>825595</v>
      </c>
      <c r="AC620" s="44">
        <v>12412928</v>
      </c>
      <c r="AD620" s="44">
        <v>941613</v>
      </c>
      <c r="AE620" s="44">
        <v>0</v>
      </c>
      <c r="AF620" s="44">
        <v>5330</v>
      </c>
      <c r="AG620" s="44">
        <v>13359871</v>
      </c>
      <c r="AH620" s="44">
        <v>879</v>
      </c>
      <c r="AI620" s="44">
        <v>14854</v>
      </c>
      <c r="AJ620" s="44">
        <v>15199</v>
      </c>
      <c r="AK620" s="44">
        <v>234730</v>
      </c>
      <c r="AL620" s="44">
        <v>54434</v>
      </c>
      <c r="AM620" s="44">
        <v>0.53</v>
      </c>
      <c r="AN620" s="44">
        <v>0.51868292740251754</v>
      </c>
      <c r="AO620" s="44">
        <v>0.19900000000000001</v>
      </c>
      <c r="AP620" s="44">
        <v>0.7176829274025176</v>
      </c>
      <c r="AQ620" s="44">
        <v>0.82609999999999995</v>
      </c>
      <c r="AR620" s="44">
        <v>15.33</v>
      </c>
    </row>
    <row r="621" spans="1:44">
      <c r="A621" t="s">
        <v>631</v>
      </c>
      <c r="B621" t="s">
        <v>632</v>
      </c>
      <c r="D621" t="s">
        <v>1639</v>
      </c>
      <c r="E621" s="44">
        <v>2211670</v>
      </c>
      <c r="F621" s="44">
        <v>23176584</v>
      </c>
      <c r="G621" s="44">
        <v>3363775</v>
      </c>
      <c r="H621" s="126">
        <v>26540359</v>
      </c>
      <c r="I621" s="127">
        <v>12662872</v>
      </c>
      <c r="J621" s="128">
        <v>1779787</v>
      </c>
      <c r="K621" s="130">
        <v>40983018</v>
      </c>
      <c r="L621" s="44">
        <v>223664</v>
      </c>
      <c r="M621" s="44">
        <v>932210</v>
      </c>
      <c r="N621" s="44">
        <v>10676520</v>
      </c>
      <c r="O621" s="44">
        <v>688237</v>
      </c>
      <c r="P621" s="44">
        <v>829338</v>
      </c>
      <c r="Q621" s="44">
        <v>3660912</v>
      </c>
      <c r="R621" s="44">
        <v>202241</v>
      </c>
      <c r="S621" s="44">
        <v>0</v>
      </c>
      <c r="T621" s="44">
        <v>2308063</v>
      </c>
      <c r="U621" s="44">
        <v>1088788</v>
      </c>
      <c r="V621" s="44">
        <v>0</v>
      </c>
      <c r="W621" s="44">
        <v>2429594</v>
      </c>
      <c r="X621" s="44">
        <v>1062714</v>
      </c>
      <c r="Y621" s="44">
        <v>3551931</v>
      </c>
      <c r="Z621" s="44">
        <v>2094587</v>
      </c>
      <c r="AA621" s="44">
        <v>784048</v>
      </c>
      <c r="AB621" s="44">
        <v>0</v>
      </c>
      <c r="AC621" s="44">
        <v>30532847</v>
      </c>
      <c r="AD621" s="44">
        <v>1331205</v>
      </c>
      <c r="AE621" s="44">
        <v>4013726</v>
      </c>
      <c r="AF621" s="44">
        <v>1608150</v>
      </c>
      <c r="AG621" s="44">
        <v>37485928</v>
      </c>
      <c r="AH621" s="44">
        <v>2446</v>
      </c>
      <c r="AI621" s="44">
        <v>16755</v>
      </c>
      <c r="AJ621" s="44">
        <v>15325</v>
      </c>
      <c r="AK621" s="44">
        <v>146056</v>
      </c>
      <c r="AL621" s="44">
        <v>65715</v>
      </c>
      <c r="AM621" s="44">
        <v>0.46</v>
      </c>
      <c r="AN621" s="44">
        <v>0.51897071882547496</v>
      </c>
      <c r="AO621" s="44">
        <v>0.152</v>
      </c>
      <c r="AP621" s="44">
        <v>0.67097071882547499</v>
      </c>
      <c r="AQ621" s="44">
        <v>0.82310000000000005</v>
      </c>
      <c r="AR621" s="44">
        <v>25.06</v>
      </c>
    </row>
    <row r="622" spans="1:44">
      <c r="A622" t="s">
        <v>633</v>
      </c>
      <c r="B622" t="s">
        <v>634</v>
      </c>
      <c r="D622" t="s">
        <v>1639</v>
      </c>
      <c r="E622" s="44">
        <v>729927</v>
      </c>
      <c r="F622" s="44">
        <v>10568936</v>
      </c>
      <c r="G622" s="44">
        <v>1421709</v>
      </c>
      <c r="H622" s="126">
        <v>11990645</v>
      </c>
      <c r="I622" s="127">
        <v>3866497</v>
      </c>
      <c r="J622" s="128">
        <v>1002692</v>
      </c>
      <c r="K622" s="130">
        <v>16859834</v>
      </c>
      <c r="L622" s="44">
        <v>153419</v>
      </c>
      <c r="M622" s="44">
        <v>369072</v>
      </c>
      <c r="N622" s="44">
        <v>5357308</v>
      </c>
      <c r="O622" s="44">
        <v>211688</v>
      </c>
      <c r="P622" s="44">
        <v>365493</v>
      </c>
      <c r="Q622" s="44">
        <v>1541042</v>
      </c>
      <c r="R622" s="44">
        <v>102965</v>
      </c>
      <c r="S622" s="44">
        <v>0</v>
      </c>
      <c r="T622" s="44">
        <v>815744</v>
      </c>
      <c r="U622" s="44">
        <v>567289</v>
      </c>
      <c r="V622" s="44">
        <v>4994</v>
      </c>
      <c r="W622" s="44">
        <v>1175598</v>
      </c>
      <c r="X622" s="44">
        <v>539601</v>
      </c>
      <c r="Y622" s="44">
        <v>1588779</v>
      </c>
      <c r="Z622" s="44">
        <v>928630</v>
      </c>
      <c r="AA622" s="44">
        <v>362153</v>
      </c>
      <c r="AB622" s="44">
        <v>0</v>
      </c>
      <c r="AC622" s="44">
        <v>14083775</v>
      </c>
      <c r="AD622" s="44">
        <v>779721</v>
      </c>
      <c r="AE622" s="44">
        <v>1170000</v>
      </c>
      <c r="AF622" s="44">
        <v>439525</v>
      </c>
      <c r="AG622" s="44">
        <v>16473021</v>
      </c>
      <c r="AH622" s="44">
        <v>972</v>
      </c>
      <c r="AI622" s="44">
        <v>17346</v>
      </c>
      <c r="AJ622" s="44">
        <v>16948</v>
      </c>
      <c r="AK622" s="44">
        <v>121976</v>
      </c>
      <c r="AL622" s="44">
        <v>55762</v>
      </c>
      <c r="AM622" s="44">
        <v>0.38700000000000001</v>
      </c>
      <c r="AN622" s="44">
        <v>0.54401247955672494</v>
      </c>
      <c r="AO622" s="44">
        <v>0.16</v>
      </c>
      <c r="AP622" s="44">
        <v>0.70401247955672497</v>
      </c>
      <c r="AQ622" s="44">
        <v>0.82240000000000002</v>
      </c>
      <c r="AR622" s="44">
        <v>22.68</v>
      </c>
    </row>
    <row r="623" spans="1:44">
      <c r="A623" t="s">
        <v>635</v>
      </c>
      <c r="B623" t="s">
        <v>636</v>
      </c>
      <c r="D623" t="s">
        <v>1639</v>
      </c>
      <c r="E623" s="44">
        <v>851624</v>
      </c>
      <c r="F623" s="44">
        <v>9923990</v>
      </c>
      <c r="G623" s="44">
        <v>1163616</v>
      </c>
      <c r="H623" s="126">
        <v>11087606</v>
      </c>
      <c r="I623" s="127">
        <v>4114007</v>
      </c>
      <c r="J623" s="128">
        <v>2057181</v>
      </c>
      <c r="K623" s="130">
        <v>17258794</v>
      </c>
      <c r="L623" s="44">
        <v>80197</v>
      </c>
      <c r="M623" s="44">
        <v>400753</v>
      </c>
      <c r="N623" s="44">
        <v>4654267</v>
      </c>
      <c r="O623" s="44">
        <v>301738</v>
      </c>
      <c r="P623" s="44">
        <v>454541</v>
      </c>
      <c r="Q623" s="44">
        <v>2097369</v>
      </c>
      <c r="R623" s="44">
        <v>196957</v>
      </c>
      <c r="S623" s="44">
        <v>0</v>
      </c>
      <c r="T623" s="44">
        <v>1306812</v>
      </c>
      <c r="U623" s="44">
        <v>1428052</v>
      </c>
      <c r="V623" s="44">
        <v>0</v>
      </c>
      <c r="W623" s="44">
        <v>965046</v>
      </c>
      <c r="X623" s="44">
        <v>451638</v>
      </c>
      <c r="Y623" s="44">
        <v>1423474</v>
      </c>
      <c r="Z623" s="44">
        <v>957792</v>
      </c>
      <c r="AA623" s="44">
        <v>341243</v>
      </c>
      <c r="AB623" s="44">
        <v>109939</v>
      </c>
      <c r="AC623" s="44">
        <v>15169818</v>
      </c>
      <c r="AD623" s="44">
        <v>880352</v>
      </c>
      <c r="AE623" s="44">
        <v>985000</v>
      </c>
      <c r="AF623" s="44">
        <v>291379</v>
      </c>
      <c r="AG623" s="44">
        <v>17326549</v>
      </c>
      <c r="AH623" s="44">
        <v>1021</v>
      </c>
      <c r="AI623" s="44">
        <v>16904</v>
      </c>
      <c r="AJ623" s="44">
        <v>16970</v>
      </c>
      <c r="AK623" s="44">
        <v>140843</v>
      </c>
      <c r="AL623" s="44">
        <v>63527</v>
      </c>
      <c r="AM623" s="44">
        <v>0.44400000000000001</v>
      </c>
      <c r="AN623" s="44">
        <v>0.60252829342992653</v>
      </c>
      <c r="AO623" s="44">
        <v>0.14299999999999999</v>
      </c>
      <c r="AP623" s="44">
        <v>0.74552829342992655</v>
      </c>
      <c r="AQ623" s="44">
        <v>0.84909999999999997</v>
      </c>
      <c r="AR623" s="44">
        <v>20.48</v>
      </c>
    </row>
    <row r="624" spans="1:44">
      <c r="A624" t="s">
        <v>637</v>
      </c>
      <c r="B624" t="s">
        <v>638</v>
      </c>
      <c r="D624" t="s">
        <v>1639</v>
      </c>
      <c r="E624" s="44">
        <v>1075425</v>
      </c>
      <c r="F624" s="44">
        <v>9707054</v>
      </c>
      <c r="G624" s="44">
        <v>1410394</v>
      </c>
      <c r="H624" s="126">
        <v>11117448</v>
      </c>
      <c r="I624" s="127">
        <v>5028278</v>
      </c>
      <c r="J624" s="128">
        <v>431441</v>
      </c>
      <c r="K624" s="130">
        <v>16577167</v>
      </c>
      <c r="L624" s="44">
        <v>52821</v>
      </c>
      <c r="M624" s="44">
        <v>393779</v>
      </c>
      <c r="N624" s="44">
        <v>5141804</v>
      </c>
      <c r="O624" s="44">
        <v>235430</v>
      </c>
      <c r="P624" s="44">
        <v>399306</v>
      </c>
      <c r="Q624" s="44">
        <v>1526673</v>
      </c>
      <c r="R624" s="44">
        <v>316658</v>
      </c>
      <c r="S624" s="44">
        <v>0</v>
      </c>
      <c r="T624" s="44">
        <v>968472</v>
      </c>
      <c r="U624" s="44">
        <v>595869</v>
      </c>
      <c r="V624" s="44">
        <v>0</v>
      </c>
      <c r="W624" s="44">
        <v>769440</v>
      </c>
      <c r="X624" s="44">
        <v>488743</v>
      </c>
      <c r="Y624" s="44">
        <v>1834380</v>
      </c>
      <c r="Z624" s="44">
        <v>924760</v>
      </c>
      <c r="AA624" s="44">
        <v>398372</v>
      </c>
      <c r="AB624" s="44">
        <v>0</v>
      </c>
      <c r="AC624" s="44">
        <v>14046507</v>
      </c>
      <c r="AD624" s="44">
        <v>978495</v>
      </c>
      <c r="AE624" s="44">
        <v>759315</v>
      </c>
      <c r="AF624" s="44">
        <v>513249</v>
      </c>
      <c r="AG624" s="44">
        <v>16297566</v>
      </c>
      <c r="AH624" s="44">
        <v>1088</v>
      </c>
      <c r="AI624" s="44">
        <v>15236</v>
      </c>
      <c r="AJ624" s="44">
        <v>14979</v>
      </c>
      <c r="AK624" s="44">
        <v>145536</v>
      </c>
      <c r="AL624" s="44">
        <v>70570</v>
      </c>
      <c r="AM624" s="44">
        <v>0.47899999999999998</v>
      </c>
      <c r="AN624" s="44">
        <v>0.56353273856967356</v>
      </c>
      <c r="AO624" s="44">
        <v>0.16600000000000001</v>
      </c>
      <c r="AP624" s="44">
        <v>0.7295327385696736</v>
      </c>
      <c r="AQ624" s="44">
        <v>0.84279999999999999</v>
      </c>
      <c r="AR624" s="44">
        <v>23.5</v>
      </c>
    </row>
    <row r="625" spans="1:44">
      <c r="A625" t="s">
        <v>639</v>
      </c>
      <c r="B625" t="s">
        <v>640</v>
      </c>
      <c r="D625" t="s">
        <v>1639</v>
      </c>
      <c r="E625" s="44">
        <v>2087173</v>
      </c>
      <c r="F625" s="44">
        <v>13658830</v>
      </c>
      <c r="G625" s="44">
        <v>3222788</v>
      </c>
      <c r="H625" s="126">
        <v>16881618</v>
      </c>
      <c r="I625" s="127">
        <v>22358192</v>
      </c>
      <c r="J625" s="128">
        <v>893355</v>
      </c>
      <c r="K625" s="130">
        <v>40133165</v>
      </c>
      <c r="L625" s="44">
        <v>131442</v>
      </c>
      <c r="M625" s="44">
        <v>876673</v>
      </c>
      <c r="N625" s="44">
        <v>12747793</v>
      </c>
      <c r="O625" s="44">
        <v>768677</v>
      </c>
      <c r="P625" s="44">
        <v>979677</v>
      </c>
      <c r="Q625" s="44">
        <v>1384412</v>
      </c>
      <c r="R625" s="44">
        <v>166140</v>
      </c>
      <c r="S625" s="44">
        <v>23305</v>
      </c>
      <c r="T625" s="44">
        <v>2784697</v>
      </c>
      <c r="U625" s="44">
        <v>1472460</v>
      </c>
      <c r="V625" s="44">
        <v>14160</v>
      </c>
      <c r="W625" s="44">
        <v>2221942</v>
      </c>
      <c r="X625" s="44">
        <v>1258305</v>
      </c>
      <c r="Y625" s="44">
        <v>3635826</v>
      </c>
      <c r="Z625" s="44">
        <v>2158268</v>
      </c>
      <c r="AA625" s="44">
        <v>1333092</v>
      </c>
      <c r="AB625" s="44">
        <v>425253</v>
      </c>
      <c r="AC625" s="44">
        <v>32382122</v>
      </c>
      <c r="AD625" s="44">
        <v>1847477</v>
      </c>
      <c r="AE625" s="44">
        <v>1725000</v>
      </c>
      <c r="AF625" s="44">
        <v>736913</v>
      </c>
      <c r="AG625" s="44">
        <v>36691512</v>
      </c>
      <c r="AH625" s="44">
        <v>2616</v>
      </c>
      <c r="AI625" s="44">
        <v>15341</v>
      </c>
      <c r="AJ625" s="44">
        <v>14026</v>
      </c>
      <c r="AK625" s="44">
        <v>258968</v>
      </c>
      <c r="AL625" s="44">
        <v>89814</v>
      </c>
      <c r="AM625" s="44">
        <v>0.70599999999999996</v>
      </c>
      <c r="AN625" s="44">
        <v>0.55400172661186597</v>
      </c>
      <c r="AO625" s="44">
        <v>0.16</v>
      </c>
      <c r="AP625" s="44">
        <v>0.71400172661186601</v>
      </c>
      <c r="AQ625" s="44">
        <v>0.81840000000000002</v>
      </c>
      <c r="AR625" s="44">
        <v>21.45</v>
      </c>
    </row>
    <row r="626" spans="1:44">
      <c r="A626" t="s">
        <v>641</v>
      </c>
      <c r="B626" t="s">
        <v>642</v>
      </c>
      <c r="D626" t="s">
        <v>1639</v>
      </c>
      <c r="E626" s="44">
        <v>1479774</v>
      </c>
      <c r="F626" s="44">
        <v>13516433</v>
      </c>
      <c r="G626" s="44">
        <v>3105255</v>
      </c>
      <c r="H626" s="126">
        <v>16621688</v>
      </c>
      <c r="I626" s="127">
        <v>14882831</v>
      </c>
      <c r="J626" s="128">
        <v>1005727</v>
      </c>
      <c r="K626" s="130">
        <v>32510246</v>
      </c>
      <c r="L626" s="44">
        <v>236495</v>
      </c>
      <c r="M626" s="44">
        <v>526226</v>
      </c>
      <c r="N626" s="44">
        <v>9699823</v>
      </c>
      <c r="O626" s="44">
        <v>472599</v>
      </c>
      <c r="P626" s="44">
        <v>665223</v>
      </c>
      <c r="Q626" s="44">
        <v>3612360</v>
      </c>
      <c r="R626" s="44">
        <v>77152</v>
      </c>
      <c r="S626" s="44">
        <v>167330</v>
      </c>
      <c r="T626" s="44">
        <v>1938039</v>
      </c>
      <c r="U626" s="44">
        <v>1440263</v>
      </c>
      <c r="V626" s="44">
        <v>24779</v>
      </c>
      <c r="W626" s="44">
        <v>2593964</v>
      </c>
      <c r="X626" s="44">
        <v>945304</v>
      </c>
      <c r="Y626" s="44">
        <v>3754840</v>
      </c>
      <c r="Z626" s="44">
        <v>1675146</v>
      </c>
      <c r="AA626" s="44">
        <v>744073</v>
      </c>
      <c r="AB626" s="44">
        <v>0</v>
      </c>
      <c r="AC626" s="44">
        <v>28573616</v>
      </c>
      <c r="AD626" s="44">
        <v>1812599</v>
      </c>
      <c r="AE626" s="44">
        <v>1203285</v>
      </c>
      <c r="AF626" s="44">
        <v>445574</v>
      </c>
      <c r="AG626" s="44">
        <v>32035074</v>
      </c>
      <c r="AH626" s="44">
        <v>2165</v>
      </c>
      <c r="AI626" s="44">
        <v>15016</v>
      </c>
      <c r="AJ626" s="44">
        <v>14797</v>
      </c>
      <c r="AK626" s="44">
        <v>196871</v>
      </c>
      <c r="AL626" s="44">
        <v>84771</v>
      </c>
      <c r="AM626" s="44">
        <v>0.60399999999999998</v>
      </c>
      <c r="AN626" s="44">
        <v>0.56415630567920649</v>
      </c>
      <c r="AO626" s="44">
        <v>0.16400000000000001</v>
      </c>
      <c r="AP626" s="44">
        <v>0.72815630567920653</v>
      </c>
      <c r="AQ626" s="44">
        <v>0.81569999999999998</v>
      </c>
      <c r="AR626" s="44">
        <v>26.72</v>
      </c>
    </row>
    <row r="627" spans="1:44">
      <c r="A627" t="s">
        <v>643</v>
      </c>
      <c r="B627" t="s">
        <v>644</v>
      </c>
      <c r="D627" t="s">
        <v>1639</v>
      </c>
      <c r="E627" s="44">
        <v>722779</v>
      </c>
      <c r="F627" s="44">
        <v>8229337</v>
      </c>
      <c r="G627" s="44">
        <v>1427784</v>
      </c>
      <c r="H627" s="126">
        <v>9657121</v>
      </c>
      <c r="I627" s="127">
        <v>7346866</v>
      </c>
      <c r="J627" s="128">
        <v>387787</v>
      </c>
      <c r="K627" s="130">
        <v>17391774</v>
      </c>
      <c r="L627" s="44">
        <v>125749</v>
      </c>
      <c r="M627" s="44">
        <v>280537</v>
      </c>
      <c r="N627" s="44">
        <v>4639061</v>
      </c>
      <c r="O627" s="44">
        <v>299306</v>
      </c>
      <c r="P627" s="44">
        <v>295345</v>
      </c>
      <c r="Q627" s="44">
        <v>1289205</v>
      </c>
      <c r="R627" s="44">
        <v>190648</v>
      </c>
      <c r="S627" s="44">
        <v>0</v>
      </c>
      <c r="T627" s="44">
        <v>895556</v>
      </c>
      <c r="U627" s="44">
        <v>461241</v>
      </c>
      <c r="V627" s="44">
        <v>0</v>
      </c>
      <c r="W627" s="44">
        <v>1397846</v>
      </c>
      <c r="X627" s="44">
        <v>479257</v>
      </c>
      <c r="Y627" s="44">
        <v>989797</v>
      </c>
      <c r="Z627" s="44">
        <v>901705</v>
      </c>
      <c r="AA627" s="44">
        <v>416473</v>
      </c>
      <c r="AB627" s="44">
        <v>119576</v>
      </c>
      <c r="AC627" s="44">
        <v>12781302</v>
      </c>
      <c r="AD627" s="44">
        <v>866611</v>
      </c>
      <c r="AE627" s="44">
        <v>1705000</v>
      </c>
      <c r="AF627" s="44">
        <v>1329164</v>
      </c>
      <c r="AG627" s="44">
        <v>16682077</v>
      </c>
      <c r="AH627" s="44">
        <v>1176</v>
      </c>
      <c r="AI627" s="44">
        <v>14789</v>
      </c>
      <c r="AJ627" s="44">
        <v>14185</v>
      </c>
      <c r="AK627" s="44">
        <v>164037</v>
      </c>
      <c r="AL627" s="44">
        <v>79950</v>
      </c>
      <c r="AM627" s="44">
        <v>0.54200000000000004</v>
      </c>
      <c r="AN627" s="44">
        <v>0.48377441250271175</v>
      </c>
      <c r="AO627" s="44">
        <v>0.12</v>
      </c>
      <c r="AP627" s="44">
        <v>0.6037744125027118</v>
      </c>
      <c r="AQ627" s="44">
        <v>0.78449999999999998</v>
      </c>
      <c r="AR627" s="44">
        <v>29.28</v>
      </c>
    </row>
    <row r="628" spans="1:44">
      <c r="A628" t="s">
        <v>645</v>
      </c>
      <c r="B628" t="s">
        <v>646</v>
      </c>
      <c r="D628" t="s">
        <v>1639</v>
      </c>
      <c r="E628" s="44">
        <v>969487</v>
      </c>
      <c r="F628" s="44">
        <v>13416179</v>
      </c>
      <c r="G628" s="44">
        <v>1566279</v>
      </c>
      <c r="H628" s="126">
        <v>14982458</v>
      </c>
      <c r="I628" s="127">
        <v>7435498</v>
      </c>
      <c r="J628" s="128">
        <v>1984321</v>
      </c>
      <c r="K628" s="130">
        <v>24402277</v>
      </c>
      <c r="L628" s="44">
        <v>97230</v>
      </c>
      <c r="M628" s="44">
        <v>429197</v>
      </c>
      <c r="N628" s="44">
        <v>7419909</v>
      </c>
      <c r="O628" s="44">
        <v>349240</v>
      </c>
      <c r="P628" s="44">
        <v>647106</v>
      </c>
      <c r="Q628" s="44">
        <v>2455055</v>
      </c>
      <c r="R628" s="44">
        <v>156521</v>
      </c>
      <c r="S628" s="44">
        <v>0</v>
      </c>
      <c r="T628" s="44">
        <v>1612228</v>
      </c>
      <c r="U628" s="44">
        <v>801572</v>
      </c>
      <c r="V628" s="44">
        <v>582347</v>
      </c>
      <c r="W628" s="44">
        <v>1608682</v>
      </c>
      <c r="X628" s="44">
        <v>720860</v>
      </c>
      <c r="Y628" s="44">
        <v>2481430</v>
      </c>
      <c r="Z628" s="44">
        <v>1498075</v>
      </c>
      <c r="AA628" s="44">
        <v>733511</v>
      </c>
      <c r="AB628" s="44">
        <v>98271</v>
      </c>
      <c r="AC628" s="44">
        <v>21691234</v>
      </c>
      <c r="AD628" s="44">
        <v>1023446</v>
      </c>
      <c r="AE628" s="44">
        <v>1125000</v>
      </c>
      <c r="AF628" s="44">
        <v>636626</v>
      </c>
      <c r="AG628" s="44">
        <v>24476306</v>
      </c>
      <c r="AH628" s="44">
        <v>1356</v>
      </c>
      <c r="AI628" s="44">
        <v>17996</v>
      </c>
      <c r="AJ628" s="44">
        <v>18050</v>
      </c>
      <c r="AK628" s="44">
        <v>186774</v>
      </c>
      <c r="AL628" s="44">
        <v>69706</v>
      </c>
      <c r="AM628" s="44">
        <v>0.53</v>
      </c>
      <c r="AN628" s="44">
        <v>0.54916910255983886</v>
      </c>
      <c r="AO628" s="44">
        <v>0.159</v>
      </c>
      <c r="AP628" s="44">
        <v>0.70816910255983889</v>
      </c>
      <c r="AQ628" s="44">
        <v>0.80069999999999997</v>
      </c>
      <c r="AR628" s="44">
        <v>21.05</v>
      </c>
    </row>
    <row r="629" spans="1:44">
      <c r="A629" t="s">
        <v>647</v>
      </c>
      <c r="B629" t="s">
        <v>648</v>
      </c>
      <c r="D629" t="s">
        <v>1639</v>
      </c>
      <c r="E629" s="44">
        <v>849615</v>
      </c>
      <c r="F629" s="44">
        <v>9753070</v>
      </c>
      <c r="G629" s="44">
        <v>1718310</v>
      </c>
      <c r="H629" s="126">
        <v>11471380</v>
      </c>
      <c r="I629" s="127">
        <v>7458369</v>
      </c>
      <c r="J629" s="128">
        <v>598620</v>
      </c>
      <c r="K629" s="130">
        <v>19528369</v>
      </c>
      <c r="L629" s="44">
        <v>53463</v>
      </c>
      <c r="M629" s="44">
        <v>418503</v>
      </c>
      <c r="N629" s="44">
        <v>6647879</v>
      </c>
      <c r="O629" s="44">
        <v>476149</v>
      </c>
      <c r="P629" s="44">
        <v>521435</v>
      </c>
      <c r="Q629" s="44">
        <v>1302662</v>
      </c>
      <c r="R629" s="44">
        <v>38939</v>
      </c>
      <c r="S629" s="44">
        <v>108850</v>
      </c>
      <c r="T629" s="44">
        <v>1465577</v>
      </c>
      <c r="U629" s="44">
        <v>776167</v>
      </c>
      <c r="V629" s="44">
        <v>23831</v>
      </c>
      <c r="W629" s="44">
        <v>1244505</v>
      </c>
      <c r="X629" s="44">
        <v>656369</v>
      </c>
      <c r="Y629" s="44">
        <v>1815771</v>
      </c>
      <c r="Z629" s="44">
        <v>1084554</v>
      </c>
      <c r="AA629" s="44">
        <v>353989</v>
      </c>
      <c r="AB629" s="44">
        <v>0</v>
      </c>
      <c r="AC629" s="44">
        <v>16988643</v>
      </c>
      <c r="AD629" s="44">
        <v>895035</v>
      </c>
      <c r="AE629" s="44">
        <v>755000</v>
      </c>
      <c r="AF629" s="44">
        <v>507390</v>
      </c>
      <c r="AG629" s="44">
        <v>19146068</v>
      </c>
      <c r="AH629" s="44">
        <v>1267</v>
      </c>
      <c r="AI629" s="44">
        <v>15413</v>
      </c>
      <c r="AJ629" s="44">
        <v>15111</v>
      </c>
      <c r="AK629" s="44">
        <v>179002</v>
      </c>
      <c r="AL629" s="44">
        <v>74989</v>
      </c>
      <c r="AM629" s="44">
        <v>0.54100000000000004</v>
      </c>
      <c r="AN629" s="44">
        <v>0.59216639155360773</v>
      </c>
      <c r="AO629" s="44">
        <v>0.16200000000000001</v>
      </c>
      <c r="AP629" s="44">
        <v>0.75416639155360776</v>
      </c>
      <c r="AQ629" s="44">
        <v>0.84989999999999999</v>
      </c>
      <c r="AR629" s="44">
        <v>23.33</v>
      </c>
    </row>
    <row r="630" spans="1:44">
      <c r="A630" t="s">
        <v>649</v>
      </c>
      <c r="B630" t="s">
        <v>650</v>
      </c>
      <c r="D630" t="s">
        <v>1639</v>
      </c>
      <c r="E630" s="44">
        <v>2812489</v>
      </c>
      <c r="F630" s="44">
        <v>13978259</v>
      </c>
      <c r="G630" s="44">
        <v>1777932</v>
      </c>
      <c r="H630" s="126">
        <v>15756191</v>
      </c>
      <c r="I630" s="127">
        <v>8617408</v>
      </c>
      <c r="J630" s="128">
        <v>1690154</v>
      </c>
      <c r="K630" s="130">
        <v>26063753</v>
      </c>
      <c r="L630" s="44">
        <v>175604</v>
      </c>
      <c r="M630" s="44">
        <v>494932</v>
      </c>
      <c r="N630" s="44">
        <v>7712495</v>
      </c>
      <c r="O630" s="44">
        <v>424262</v>
      </c>
      <c r="P630" s="44">
        <v>560576</v>
      </c>
      <c r="Q630" s="44">
        <v>1960373</v>
      </c>
      <c r="R630" s="44">
        <v>204910</v>
      </c>
      <c r="S630" s="44">
        <v>0</v>
      </c>
      <c r="T630" s="44">
        <v>1691082</v>
      </c>
      <c r="U630" s="44">
        <v>1186230</v>
      </c>
      <c r="V630" s="44">
        <v>7803</v>
      </c>
      <c r="W630" s="44">
        <v>1561495</v>
      </c>
      <c r="X630" s="44">
        <v>742393</v>
      </c>
      <c r="Y630" s="44">
        <v>2432912</v>
      </c>
      <c r="Z630" s="44">
        <v>1408893</v>
      </c>
      <c r="AA630" s="44">
        <v>504765</v>
      </c>
      <c r="AB630" s="44">
        <v>2000000</v>
      </c>
      <c r="AC630" s="44">
        <v>23068725</v>
      </c>
      <c r="AD630" s="44">
        <v>1093576</v>
      </c>
      <c r="AE630" s="44">
        <v>1649134</v>
      </c>
      <c r="AF630" s="44">
        <v>441809</v>
      </c>
      <c r="AG630" s="44">
        <v>26253244</v>
      </c>
      <c r="AH630" s="44">
        <v>1473</v>
      </c>
      <c r="AI630" s="44">
        <v>17694</v>
      </c>
      <c r="AJ630" s="44">
        <v>17823</v>
      </c>
      <c r="AK630" s="44">
        <v>205876</v>
      </c>
      <c r="AL630" s="44">
        <v>64243</v>
      </c>
      <c r="AM630" s="44">
        <v>0.53200000000000003</v>
      </c>
      <c r="AN630" s="44">
        <v>0.52336115110193615</v>
      </c>
      <c r="AO630" s="44">
        <v>0.14799999999999999</v>
      </c>
      <c r="AP630" s="44">
        <v>0.67136115110193617</v>
      </c>
      <c r="AQ630" s="44">
        <v>0.83540000000000003</v>
      </c>
      <c r="AR630" s="44">
        <v>20.03</v>
      </c>
    </row>
    <row r="631" spans="1:44">
      <c r="A631" t="s">
        <v>651</v>
      </c>
      <c r="B631" t="s">
        <v>652</v>
      </c>
      <c r="D631" t="s">
        <v>1639</v>
      </c>
      <c r="E631" s="44">
        <v>815740</v>
      </c>
      <c r="F631" s="44">
        <v>10518563</v>
      </c>
      <c r="G631" s="44">
        <v>929204</v>
      </c>
      <c r="H631" s="126">
        <v>11447767</v>
      </c>
      <c r="I631" s="127">
        <v>3550645</v>
      </c>
      <c r="J631" s="128">
        <v>1048111</v>
      </c>
      <c r="K631" s="130">
        <v>16046523</v>
      </c>
      <c r="L631" s="44">
        <v>102960</v>
      </c>
      <c r="M631" s="44">
        <v>402182</v>
      </c>
      <c r="N631" s="44">
        <v>4839256</v>
      </c>
      <c r="O631" s="44">
        <v>215103</v>
      </c>
      <c r="P631" s="44">
        <v>316178</v>
      </c>
      <c r="Q631" s="44">
        <v>1705226</v>
      </c>
      <c r="R631" s="44">
        <v>63920</v>
      </c>
      <c r="S631" s="44">
        <v>40300</v>
      </c>
      <c r="T631" s="44">
        <v>1028526</v>
      </c>
      <c r="U631" s="44">
        <v>461252</v>
      </c>
      <c r="V631" s="44">
        <v>122289</v>
      </c>
      <c r="W631" s="44">
        <v>960102</v>
      </c>
      <c r="X631" s="44">
        <v>473029</v>
      </c>
      <c r="Y631" s="44">
        <v>1367100</v>
      </c>
      <c r="Z631" s="44">
        <v>833785</v>
      </c>
      <c r="AA631" s="44">
        <v>312903</v>
      </c>
      <c r="AB631" s="44">
        <v>0</v>
      </c>
      <c r="AC631" s="44">
        <v>13244111</v>
      </c>
      <c r="AD631" s="44">
        <v>1150438</v>
      </c>
      <c r="AE631" s="44">
        <v>740000</v>
      </c>
      <c r="AF631" s="44">
        <v>490851</v>
      </c>
      <c r="AG631" s="44">
        <v>15625400</v>
      </c>
      <c r="AH631" s="44">
        <v>1043</v>
      </c>
      <c r="AI631" s="44">
        <v>15385</v>
      </c>
      <c r="AJ631" s="44">
        <v>14981</v>
      </c>
      <c r="AK631" s="44">
        <v>141411</v>
      </c>
      <c r="AL631" s="44">
        <v>48166</v>
      </c>
      <c r="AM631" s="44">
        <v>0.38100000000000001</v>
      </c>
      <c r="AN631" s="44">
        <v>0.55485049982720447</v>
      </c>
      <c r="AO631" s="44">
        <v>0.14399999999999999</v>
      </c>
      <c r="AP631" s="44">
        <v>0.69885049982720449</v>
      </c>
      <c r="AQ631" s="44">
        <v>0.82330000000000003</v>
      </c>
      <c r="AR631" s="44">
        <v>17</v>
      </c>
    </row>
    <row r="632" spans="1:44">
      <c r="A632" t="s">
        <v>653</v>
      </c>
      <c r="B632" t="s">
        <v>654</v>
      </c>
      <c r="D632" t="s">
        <v>1639</v>
      </c>
      <c r="E632" s="44">
        <v>4477844</v>
      </c>
      <c r="F632" s="44">
        <v>7461267</v>
      </c>
      <c r="G632" s="44">
        <v>9670996</v>
      </c>
      <c r="H632" s="126">
        <v>17132263</v>
      </c>
      <c r="I632" s="127">
        <v>83895412</v>
      </c>
      <c r="J632" s="128">
        <v>903116</v>
      </c>
      <c r="K632" s="130">
        <v>101930791</v>
      </c>
      <c r="L632" s="44">
        <v>364261</v>
      </c>
      <c r="M632" s="44">
        <v>2029894</v>
      </c>
      <c r="N632" s="44">
        <v>30915008</v>
      </c>
      <c r="O632" s="44">
        <v>2512616</v>
      </c>
      <c r="P632" s="44">
        <v>3683730</v>
      </c>
      <c r="Q632" s="44">
        <v>2833298</v>
      </c>
      <c r="R632" s="44">
        <v>328339</v>
      </c>
      <c r="S632" s="44">
        <v>999820</v>
      </c>
      <c r="T632" s="44">
        <v>6077235</v>
      </c>
      <c r="U632" s="44">
        <v>3558474</v>
      </c>
      <c r="V632" s="44">
        <v>34023</v>
      </c>
      <c r="W632" s="44">
        <v>6173632</v>
      </c>
      <c r="X632" s="44">
        <v>3410258</v>
      </c>
      <c r="Y632" s="44">
        <v>10679883</v>
      </c>
      <c r="Z632" s="44">
        <v>6782779</v>
      </c>
      <c r="AA632" s="44">
        <v>1767976</v>
      </c>
      <c r="AB632" s="44">
        <v>425000</v>
      </c>
      <c r="AC632" s="44">
        <v>82576226</v>
      </c>
      <c r="AD632" s="44">
        <v>4572357</v>
      </c>
      <c r="AE632" s="44">
        <v>5355538</v>
      </c>
      <c r="AF632" s="44">
        <v>2615273</v>
      </c>
      <c r="AG632" s="44">
        <v>95119394</v>
      </c>
      <c r="AH632" s="44">
        <v>3928</v>
      </c>
      <c r="AI632" s="44">
        <v>25950</v>
      </c>
      <c r="AJ632" s="44">
        <v>24216</v>
      </c>
      <c r="AK632" s="44">
        <v>941817</v>
      </c>
      <c r="AL632" s="44">
        <v>308283</v>
      </c>
      <c r="AM632" s="44">
        <v>2.4969999999999999</v>
      </c>
      <c r="AN632" s="44">
        <v>0.53520652160588833</v>
      </c>
      <c r="AO632" s="44">
        <v>0.182</v>
      </c>
      <c r="AP632" s="44">
        <v>0.71720652160588827</v>
      </c>
      <c r="AQ632" s="44">
        <v>0.82979999999999998</v>
      </c>
      <c r="AR632" s="44">
        <v>15.35</v>
      </c>
    </row>
    <row r="633" spans="1:44">
      <c r="A633" t="s">
        <v>655</v>
      </c>
      <c r="B633" t="s">
        <v>656</v>
      </c>
      <c r="D633" t="s">
        <v>1639</v>
      </c>
      <c r="E633" s="44">
        <v>5232803</v>
      </c>
      <c r="F633" s="44">
        <v>6528075</v>
      </c>
      <c r="G633" s="44">
        <v>7260330</v>
      </c>
      <c r="H633" s="126">
        <v>13788405</v>
      </c>
      <c r="I633" s="127">
        <v>90068810</v>
      </c>
      <c r="J633" s="128">
        <v>1257703</v>
      </c>
      <c r="K633" s="130">
        <v>105114918</v>
      </c>
      <c r="L633" s="44">
        <v>662604</v>
      </c>
      <c r="M633" s="44">
        <v>2247617</v>
      </c>
      <c r="N633" s="44">
        <v>36106472</v>
      </c>
      <c r="O633" s="44">
        <v>2685551</v>
      </c>
      <c r="P633" s="44">
        <v>2399684</v>
      </c>
      <c r="Q633" s="44">
        <v>1773789</v>
      </c>
      <c r="R633" s="44">
        <v>0</v>
      </c>
      <c r="S633" s="44">
        <v>421961</v>
      </c>
      <c r="T633" s="44">
        <v>10192651</v>
      </c>
      <c r="U633" s="44">
        <v>4832034</v>
      </c>
      <c r="V633" s="44">
        <v>0</v>
      </c>
      <c r="W633" s="44">
        <v>7012572</v>
      </c>
      <c r="X633" s="44">
        <v>3640178</v>
      </c>
      <c r="Y633" s="44">
        <v>11048211</v>
      </c>
      <c r="Z633" s="44">
        <v>6119428</v>
      </c>
      <c r="AA633" s="44">
        <v>1928877</v>
      </c>
      <c r="AB633" s="44">
        <v>1004464</v>
      </c>
      <c r="AC633" s="44">
        <v>92076093</v>
      </c>
      <c r="AD633" s="44">
        <v>7161919</v>
      </c>
      <c r="AE633" s="44">
        <v>3218848</v>
      </c>
      <c r="AF633" s="44">
        <v>3171223</v>
      </c>
      <c r="AG633" s="44">
        <v>105628083</v>
      </c>
      <c r="AH633" s="44">
        <v>4351</v>
      </c>
      <c r="AI633" s="44">
        <v>24159</v>
      </c>
      <c r="AJ633" s="44">
        <v>24277</v>
      </c>
      <c r="AK633" s="44">
        <v>1437790</v>
      </c>
      <c r="AL633" s="44">
        <v>417522</v>
      </c>
      <c r="AM633" s="44">
        <v>3.593</v>
      </c>
      <c r="AN633" s="44">
        <v>0.55299822112647823</v>
      </c>
      <c r="AO633" s="44">
        <v>0.17299999999999999</v>
      </c>
      <c r="AP633" s="44">
        <v>0.72599822112647816</v>
      </c>
      <c r="AQ633" s="44">
        <v>0.84160000000000001</v>
      </c>
      <c r="AR633" s="44">
        <v>10.54</v>
      </c>
    </row>
    <row r="634" spans="1:44">
      <c r="A634" t="s">
        <v>657</v>
      </c>
      <c r="B634" t="s">
        <v>658</v>
      </c>
      <c r="D634" t="s">
        <v>1639</v>
      </c>
      <c r="E634" s="44">
        <v>3638930</v>
      </c>
      <c r="F634" s="44">
        <v>3935881</v>
      </c>
      <c r="G634" s="44">
        <v>6180792</v>
      </c>
      <c r="H634" s="126">
        <v>10116673</v>
      </c>
      <c r="I634" s="127">
        <v>27610469</v>
      </c>
      <c r="J634" s="128">
        <v>460822</v>
      </c>
      <c r="K634" s="130">
        <v>38187964</v>
      </c>
      <c r="L634" s="44">
        <v>390160</v>
      </c>
      <c r="M634" s="44">
        <v>997378</v>
      </c>
      <c r="N634" s="44">
        <v>10675011</v>
      </c>
      <c r="O634" s="44">
        <v>654837</v>
      </c>
      <c r="P634" s="44">
        <v>893761</v>
      </c>
      <c r="Q634" s="44">
        <v>2868058</v>
      </c>
      <c r="R634" s="44">
        <v>480828</v>
      </c>
      <c r="S634" s="44">
        <v>519432</v>
      </c>
      <c r="T634" s="44">
        <v>2725683</v>
      </c>
      <c r="U634" s="44">
        <v>2086424</v>
      </c>
      <c r="V634" s="44">
        <v>0</v>
      </c>
      <c r="W634" s="44">
        <v>2559675</v>
      </c>
      <c r="X634" s="44">
        <v>1122848</v>
      </c>
      <c r="Y634" s="44">
        <v>1891712</v>
      </c>
      <c r="Z634" s="44">
        <v>2095156</v>
      </c>
      <c r="AA634" s="44">
        <v>1497431</v>
      </c>
      <c r="AB634" s="44">
        <v>265000</v>
      </c>
      <c r="AC634" s="44">
        <v>31723394</v>
      </c>
      <c r="AD634" s="44">
        <v>1790812</v>
      </c>
      <c r="AE634" s="44">
        <v>2440000</v>
      </c>
      <c r="AF634" s="44">
        <v>1449253</v>
      </c>
      <c r="AG634" s="44">
        <v>37403459</v>
      </c>
      <c r="AH634" s="44">
        <v>1802</v>
      </c>
      <c r="AI634" s="44">
        <v>21192</v>
      </c>
      <c r="AJ634" s="44">
        <v>20757</v>
      </c>
      <c r="AK634" s="44">
        <v>857934</v>
      </c>
      <c r="AL634" s="44">
        <v>235221</v>
      </c>
      <c r="AM634" s="44">
        <v>2.0870000000000002</v>
      </c>
      <c r="AN634" s="44">
        <v>0.558879701473599</v>
      </c>
      <c r="AO634" s="44">
        <v>0.11</v>
      </c>
      <c r="AP634" s="44">
        <v>0.66887970147359899</v>
      </c>
      <c r="AQ634" s="44">
        <v>0.7903</v>
      </c>
      <c r="AR634" s="44">
        <v>14.3</v>
      </c>
    </row>
    <row r="635" spans="1:44">
      <c r="A635" t="s">
        <v>659</v>
      </c>
      <c r="B635" t="s">
        <v>660</v>
      </c>
      <c r="D635" t="s">
        <v>1639</v>
      </c>
      <c r="E635" s="44">
        <v>7795566</v>
      </c>
      <c r="F635" s="44">
        <v>3768497</v>
      </c>
      <c r="G635" s="44">
        <v>7487649</v>
      </c>
      <c r="H635" s="126">
        <v>11256146</v>
      </c>
      <c r="I635" s="127">
        <v>44980907</v>
      </c>
      <c r="J635" s="128">
        <v>894285</v>
      </c>
      <c r="K635" s="130">
        <v>57131338</v>
      </c>
      <c r="L635" s="44">
        <v>227069</v>
      </c>
      <c r="M635" s="44">
        <v>1173198</v>
      </c>
      <c r="N635" s="44">
        <v>22568387</v>
      </c>
      <c r="O635" s="44">
        <v>743136</v>
      </c>
      <c r="P635" s="44">
        <v>1336363</v>
      </c>
      <c r="Q635" s="44">
        <v>3346639</v>
      </c>
      <c r="R635" s="44">
        <v>518380</v>
      </c>
      <c r="S635" s="44">
        <v>571642</v>
      </c>
      <c r="T635" s="44">
        <v>4354458</v>
      </c>
      <c r="U635" s="44">
        <v>2006804</v>
      </c>
      <c r="V635" s="44">
        <v>0</v>
      </c>
      <c r="W635" s="44">
        <v>3795956</v>
      </c>
      <c r="X635" s="44">
        <v>2242922</v>
      </c>
      <c r="Y635" s="44">
        <v>5380157</v>
      </c>
      <c r="Z635" s="44">
        <v>4326466</v>
      </c>
      <c r="AA635" s="44">
        <v>604697</v>
      </c>
      <c r="AB635" s="44">
        <v>13180</v>
      </c>
      <c r="AC635" s="44">
        <v>53209454</v>
      </c>
      <c r="AD635" s="44">
        <v>2568511</v>
      </c>
      <c r="AE635" s="44">
        <v>2411660</v>
      </c>
      <c r="AF635" s="44">
        <v>1746204</v>
      </c>
      <c r="AG635" s="44">
        <v>59935829</v>
      </c>
      <c r="AH635" s="44">
        <v>2841</v>
      </c>
      <c r="AI635" s="44">
        <v>20110</v>
      </c>
      <c r="AJ635" s="44">
        <v>21097</v>
      </c>
      <c r="AK635" s="44">
        <v>1115063</v>
      </c>
      <c r="AL635" s="44">
        <v>132719</v>
      </c>
      <c r="AM635" s="44">
        <v>2.0019999999999998</v>
      </c>
      <c r="AN635" s="44">
        <v>0.59139599120252428</v>
      </c>
      <c r="AO635" s="44">
        <v>0.16700000000000001</v>
      </c>
      <c r="AP635" s="44">
        <v>0.75839599120252432</v>
      </c>
      <c r="AQ635" s="44">
        <v>0.85329999999999995</v>
      </c>
      <c r="AR635" s="44">
        <v>11.9</v>
      </c>
    </row>
    <row r="636" spans="1:44">
      <c r="A636" t="s">
        <v>661</v>
      </c>
      <c r="B636" t="s">
        <v>418</v>
      </c>
      <c r="D636" t="s">
        <v>1639</v>
      </c>
      <c r="E636" s="44">
        <v>1731495</v>
      </c>
      <c r="F636" s="44">
        <v>3031967</v>
      </c>
      <c r="G636" s="44">
        <v>9338505</v>
      </c>
      <c r="H636" s="126">
        <v>12370472</v>
      </c>
      <c r="I636" s="127">
        <v>47022133</v>
      </c>
      <c r="J636" s="128">
        <v>658098</v>
      </c>
      <c r="K636" s="130">
        <v>60050703</v>
      </c>
      <c r="L636" s="44">
        <v>424876</v>
      </c>
      <c r="M636" s="44">
        <v>1541076</v>
      </c>
      <c r="N636" s="44">
        <v>23678554</v>
      </c>
      <c r="O636" s="44">
        <v>1433799</v>
      </c>
      <c r="P636" s="44">
        <v>1501983</v>
      </c>
      <c r="Q636" s="44">
        <v>1629401</v>
      </c>
      <c r="R636" s="44">
        <v>173198</v>
      </c>
      <c r="S636" s="44">
        <v>116507</v>
      </c>
      <c r="T636" s="44">
        <v>4397961</v>
      </c>
      <c r="U636" s="44">
        <v>2024491</v>
      </c>
      <c r="V636" s="44">
        <v>11420</v>
      </c>
      <c r="W636" s="44">
        <v>3668268</v>
      </c>
      <c r="X636" s="44">
        <v>2263674</v>
      </c>
      <c r="Y636" s="44">
        <v>5287075</v>
      </c>
      <c r="Z636" s="44">
        <v>3850047</v>
      </c>
      <c r="AA636" s="44">
        <v>1680002</v>
      </c>
      <c r="AB636" s="44">
        <v>0</v>
      </c>
      <c r="AC636" s="44">
        <v>53682332</v>
      </c>
      <c r="AD636" s="44">
        <v>2027922</v>
      </c>
      <c r="AE636" s="44">
        <v>2031907</v>
      </c>
      <c r="AF636" s="44">
        <v>1358257</v>
      </c>
      <c r="AG636" s="44">
        <v>59100418</v>
      </c>
      <c r="AH636" s="44">
        <v>3005</v>
      </c>
      <c r="AI636" s="44">
        <v>19984</v>
      </c>
      <c r="AJ636" s="44">
        <v>19667</v>
      </c>
      <c r="AK636" s="44">
        <v>1056658</v>
      </c>
      <c r="AL636" s="44">
        <v>199715</v>
      </c>
      <c r="AM636" s="44">
        <v>2.2009999999999996</v>
      </c>
      <c r="AN636" s="44">
        <v>0.59146610435141089</v>
      </c>
      <c r="AO636" s="44">
        <v>0.17199999999999999</v>
      </c>
      <c r="AP636" s="44">
        <v>0.76346610435141082</v>
      </c>
      <c r="AQ636" s="44">
        <v>0.83950000000000002</v>
      </c>
      <c r="AR636" s="44">
        <v>12.26</v>
      </c>
    </row>
    <row r="637" spans="1:44">
      <c r="A637" t="s">
        <v>419</v>
      </c>
      <c r="B637" t="s">
        <v>420</v>
      </c>
      <c r="D637" t="s">
        <v>1639</v>
      </c>
      <c r="E637" s="44">
        <v>-79060</v>
      </c>
      <c r="F637" s="44">
        <v>1828091</v>
      </c>
      <c r="G637" s="44">
        <v>3114512</v>
      </c>
      <c r="H637" s="126">
        <v>4942603</v>
      </c>
      <c r="I637" s="127">
        <v>18833737</v>
      </c>
      <c r="J637" s="128">
        <v>436523</v>
      </c>
      <c r="K637" s="130">
        <v>24212863</v>
      </c>
      <c r="L637" s="44">
        <v>235963</v>
      </c>
      <c r="M637" s="44">
        <v>614778</v>
      </c>
      <c r="N637" s="44">
        <v>8310622</v>
      </c>
      <c r="O637" s="44">
        <v>230223</v>
      </c>
      <c r="P637" s="44">
        <v>495733</v>
      </c>
      <c r="Q637" s="44">
        <v>1480130</v>
      </c>
      <c r="R637" s="44">
        <v>425397</v>
      </c>
      <c r="S637" s="44">
        <v>256933</v>
      </c>
      <c r="T637" s="44">
        <v>1783469</v>
      </c>
      <c r="U637" s="44">
        <v>985313</v>
      </c>
      <c r="V637" s="44">
        <v>0</v>
      </c>
      <c r="W637" s="44">
        <v>1100095</v>
      </c>
      <c r="X637" s="44">
        <v>892482</v>
      </c>
      <c r="Y637" s="44">
        <v>1554970</v>
      </c>
      <c r="Z637" s="44">
        <v>1263680</v>
      </c>
      <c r="AA637" s="44">
        <v>437808</v>
      </c>
      <c r="AB637" s="44">
        <v>0</v>
      </c>
      <c r="AC637" s="44">
        <v>20067596</v>
      </c>
      <c r="AD637" s="44">
        <v>1336692</v>
      </c>
      <c r="AE637" s="44">
        <v>1108850</v>
      </c>
      <c r="AF637" s="44">
        <v>627380</v>
      </c>
      <c r="AG637" s="44">
        <v>23140518</v>
      </c>
      <c r="AH637" s="44">
        <v>1000</v>
      </c>
      <c r="AI637" s="44">
        <v>24213</v>
      </c>
      <c r="AJ637" s="44">
        <v>23141</v>
      </c>
      <c r="AK637" s="44">
        <v>1015924</v>
      </c>
      <c r="AL637" s="44">
        <v>275853</v>
      </c>
      <c r="AM637" s="44">
        <v>2.4609999999999999</v>
      </c>
      <c r="AN637" s="44">
        <v>0.60360878697702447</v>
      </c>
      <c r="AO637" s="44">
        <v>0.14499999999999999</v>
      </c>
      <c r="AP637" s="44">
        <v>0.74860878697702449</v>
      </c>
      <c r="AQ637" s="44">
        <v>0.86019999999999996</v>
      </c>
      <c r="AR637" s="44">
        <v>14.41</v>
      </c>
    </row>
    <row r="638" spans="1:44">
      <c r="A638" t="s">
        <v>421</v>
      </c>
      <c r="B638" t="s">
        <v>422</v>
      </c>
      <c r="D638" t="s">
        <v>1639</v>
      </c>
      <c r="E638" s="44">
        <v>1226383</v>
      </c>
      <c r="F638" s="44">
        <v>2344767</v>
      </c>
      <c r="G638" s="44">
        <v>3014811</v>
      </c>
      <c r="H638" s="126">
        <v>5359578</v>
      </c>
      <c r="I638" s="127">
        <v>36182225</v>
      </c>
      <c r="J638" s="128">
        <v>415052</v>
      </c>
      <c r="K638" s="130">
        <v>41956855</v>
      </c>
      <c r="L638" s="44">
        <v>292813</v>
      </c>
      <c r="M638" s="44">
        <v>1063391</v>
      </c>
      <c r="N638" s="44">
        <v>15703906</v>
      </c>
      <c r="O638" s="44">
        <v>695576</v>
      </c>
      <c r="P638" s="44">
        <v>1458212</v>
      </c>
      <c r="Q638" s="44">
        <v>567935</v>
      </c>
      <c r="R638" s="44">
        <v>373265</v>
      </c>
      <c r="S638" s="44">
        <v>0</v>
      </c>
      <c r="T638" s="44">
        <v>2198378</v>
      </c>
      <c r="U638" s="44">
        <v>1630323</v>
      </c>
      <c r="V638" s="44">
        <v>0</v>
      </c>
      <c r="W638" s="44">
        <v>3930961</v>
      </c>
      <c r="X638" s="44">
        <v>1593665</v>
      </c>
      <c r="Y638" s="44">
        <v>2705002</v>
      </c>
      <c r="Z638" s="44">
        <v>2336594</v>
      </c>
      <c r="AA638" s="44">
        <v>2170794</v>
      </c>
      <c r="AB638" s="44">
        <v>483608</v>
      </c>
      <c r="AC638" s="44">
        <v>37204423</v>
      </c>
      <c r="AD638" s="44">
        <v>653624</v>
      </c>
      <c r="AE638" s="44">
        <v>1945000</v>
      </c>
      <c r="AF638" s="44">
        <v>1205272</v>
      </c>
      <c r="AG638" s="44">
        <v>41008319</v>
      </c>
      <c r="AH638" s="44">
        <v>1536</v>
      </c>
      <c r="AI638" s="44">
        <v>27316</v>
      </c>
      <c r="AJ638" s="44">
        <v>26698</v>
      </c>
      <c r="AK638" s="44">
        <v>1091053</v>
      </c>
      <c r="AL638" s="44">
        <v>719588</v>
      </c>
      <c r="AM638" s="44">
        <v>4.38</v>
      </c>
      <c r="AN638" s="44">
        <v>0.55178060334538459</v>
      </c>
      <c r="AO638" s="44">
        <v>0.14399999999999999</v>
      </c>
      <c r="AP638" s="44">
        <v>0.69578060334538461</v>
      </c>
      <c r="AQ638" s="44">
        <v>0.77439999999999998</v>
      </c>
      <c r="AR638" s="44">
        <v>18.07</v>
      </c>
    </row>
    <row r="639" spans="1:44">
      <c r="A639" t="s">
        <v>423</v>
      </c>
      <c r="B639" t="s">
        <v>424</v>
      </c>
      <c r="D639" t="s">
        <v>1639</v>
      </c>
      <c r="E639" s="44">
        <v>2104365</v>
      </c>
      <c r="F639" s="44">
        <v>7775081</v>
      </c>
      <c r="G639" s="44">
        <v>6931957</v>
      </c>
      <c r="H639" s="126">
        <v>14707038</v>
      </c>
      <c r="I639" s="127">
        <v>42528848</v>
      </c>
      <c r="J639" s="128">
        <v>1781089</v>
      </c>
      <c r="K639" s="130">
        <v>59016975</v>
      </c>
      <c r="L639" s="44">
        <v>298276</v>
      </c>
      <c r="M639" s="44">
        <v>823601</v>
      </c>
      <c r="N639" s="44">
        <v>20759726</v>
      </c>
      <c r="O639" s="44">
        <v>1477778</v>
      </c>
      <c r="P639" s="44">
        <v>1290873</v>
      </c>
      <c r="Q639" s="44">
        <v>2802536</v>
      </c>
      <c r="R639" s="44">
        <v>650</v>
      </c>
      <c r="S639" s="44">
        <v>665250</v>
      </c>
      <c r="T639" s="44">
        <v>3268510</v>
      </c>
      <c r="U639" s="44">
        <v>3433903</v>
      </c>
      <c r="V639" s="44">
        <v>0</v>
      </c>
      <c r="W639" s="44">
        <v>2867084</v>
      </c>
      <c r="X639" s="44">
        <v>2048950</v>
      </c>
      <c r="Y639" s="44">
        <v>4869079</v>
      </c>
      <c r="Z639" s="44">
        <v>3323885</v>
      </c>
      <c r="AA639" s="44">
        <v>1831767</v>
      </c>
      <c r="AB639" s="44">
        <v>82828</v>
      </c>
      <c r="AC639" s="44">
        <v>49844696</v>
      </c>
      <c r="AD639" s="44">
        <v>2103692</v>
      </c>
      <c r="AE639" s="44">
        <v>2052703</v>
      </c>
      <c r="AF639" s="44">
        <v>1070589</v>
      </c>
      <c r="AG639" s="44">
        <v>55071680</v>
      </c>
      <c r="AH639" s="44">
        <v>2537</v>
      </c>
      <c r="AI639" s="44">
        <v>23263</v>
      </c>
      <c r="AJ639" s="44">
        <v>21707</v>
      </c>
      <c r="AK639" s="44">
        <v>625048</v>
      </c>
      <c r="AL639" s="44">
        <v>204275</v>
      </c>
      <c r="AM639" s="44">
        <v>1.655</v>
      </c>
      <c r="AN639" s="44">
        <v>0.61191570694774522</v>
      </c>
      <c r="AO639" s="44">
        <v>0.16300000000000001</v>
      </c>
      <c r="AP639" s="44">
        <v>0.77491570694774525</v>
      </c>
      <c r="AQ639" s="44">
        <v>0.85699999999999998</v>
      </c>
      <c r="AR639" s="44">
        <v>18.09</v>
      </c>
    </row>
    <row r="640" spans="1:44">
      <c r="A640" t="s">
        <v>425</v>
      </c>
      <c r="B640" t="s">
        <v>426</v>
      </c>
      <c r="D640" t="s">
        <v>1639</v>
      </c>
      <c r="E640" s="44">
        <v>1622765</v>
      </c>
      <c r="F640" s="44">
        <v>2843135</v>
      </c>
      <c r="G640" s="44">
        <v>4908963</v>
      </c>
      <c r="H640" s="126">
        <v>7752098</v>
      </c>
      <c r="I640" s="127">
        <v>39179547</v>
      </c>
      <c r="J640" s="128">
        <v>515473</v>
      </c>
      <c r="K640" s="130">
        <v>47447118</v>
      </c>
      <c r="L640" s="44">
        <v>385827</v>
      </c>
      <c r="M640" s="44">
        <v>1061837</v>
      </c>
      <c r="N640" s="44">
        <v>14870659</v>
      </c>
      <c r="O640" s="44">
        <v>894415</v>
      </c>
      <c r="P640" s="44">
        <v>1077246</v>
      </c>
      <c r="Q640" s="44">
        <v>1489939</v>
      </c>
      <c r="R640" s="44">
        <v>599733</v>
      </c>
      <c r="S640" s="44">
        <v>147698</v>
      </c>
      <c r="T640" s="44">
        <v>4084300</v>
      </c>
      <c r="U640" s="44">
        <v>1690139</v>
      </c>
      <c r="V640" s="44">
        <v>0</v>
      </c>
      <c r="W640" s="44">
        <v>3074418</v>
      </c>
      <c r="X640" s="44">
        <v>1560940</v>
      </c>
      <c r="Y640" s="44">
        <v>3673662</v>
      </c>
      <c r="Z640" s="44">
        <v>2645274</v>
      </c>
      <c r="AA640" s="44">
        <v>1021493</v>
      </c>
      <c r="AB640" s="44">
        <v>1400000</v>
      </c>
      <c r="AC640" s="44">
        <v>39677580</v>
      </c>
      <c r="AD640" s="44">
        <v>1804212</v>
      </c>
      <c r="AE640" s="44">
        <v>2309170</v>
      </c>
      <c r="AF640" s="44">
        <v>2713404</v>
      </c>
      <c r="AG640" s="44">
        <v>46504366</v>
      </c>
      <c r="AH640" s="44">
        <v>1947</v>
      </c>
      <c r="AI640" s="44">
        <v>24369</v>
      </c>
      <c r="AJ640" s="44">
        <v>23885</v>
      </c>
      <c r="AK640" s="44">
        <v>819918</v>
      </c>
      <c r="AL640" s="44">
        <v>256366</v>
      </c>
      <c r="AM640" s="44">
        <v>2.1240000000000001</v>
      </c>
      <c r="AN640" s="44">
        <v>0.53444721727848088</v>
      </c>
      <c r="AO640" s="44">
        <v>0.151</v>
      </c>
      <c r="AP640" s="44">
        <v>0.6854472172784809</v>
      </c>
      <c r="AQ640" s="44">
        <v>0.83030000000000004</v>
      </c>
      <c r="AR640" s="44">
        <v>16.09</v>
      </c>
    </row>
    <row r="641" spans="1:44">
      <c r="A641" t="s">
        <v>427</v>
      </c>
      <c r="B641" t="s">
        <v>428</v>
      </c>
      <c r="D641" t="s">
        <v>1639</v>
      </c>
      <c r="E641" s="44">
        <v>1069721</v>
      </c>
      <c r="F641" s="44">
        <v>3635842</v>
      </c>
      <c r="G641" s="44">
        <v>5138454</v>
      </c>
      <c r="H641" s="126">
        <v>8774296</v>
      </c>
      <c r="I641" s="127">
        <v>26662796</v>
      </c>
      <c r="J641" s="128">
        <v>393117</v>
      </c>
      <c r="K641" s="130">
        <v>35830209</v>
      </c>
      <c r="L641" s="44">
        <v>245658</v>
      </c>
      <c r="M641" s="44">
        <v>926720</v>
      </c>
      <c r="N641" s="44">
        <v>12003552</v>
      </c>
      <c r="O641" s="44">
        <v>705736</v>
      </c>
      <c r="P641" s="44">
        <v>770161</v>
      </c>
      <c r="Q641" s="44">
        <v>1398182</v>
      </c>
      <c r="R641" s="44">
        <v>522385</v>
      </c>
      <c r="S641" s="44">
        <v>0</v>
      </c>
      <c r="T641" s="44">
        <v>2089329</v>
      </c>
      <c r="U641" s="44">
        <v>1329137</v>
      </c>
      <c r="V641" s="44">
        <v>63430</v>
      </c>
      <c r="W641" s="44">
        <v>2165250</v>
      </c>
      <c r="X641" s="44">
        <v>1221544</v>
      </c>
      <c r="Y641" s="44">
        <v>2960354</v>
      </c>
      <c r="Z641" s="44">
        <v>1850502</v>
      </c>
      <c r="AA641" s="44">
        <v>524135</v>
      </c>
      <c r="AB641" s="44">
        <v>135605</v>
      </c>
      <c r="AC641" s="44">
        <v>28911680</v>
      </c>
      <c r="AD641" s="44">
        <v>1054976</v>
      </c>
      <c r="AE641" s="44">
        <v>1803000</v>
      </c>
      <c r="AF641" s="44">
        <v>1144140</v>
      </c>
      <c r="AG641" s="44">
        <v>32913796</v>
      </c>
      <c r="AH641" s="44">
        <v>1450</v>
      </c>
      <c r="AI641" s="44">
        <v>24710</v>
      </c>
      <c r="AJ641" s="44">
        <v>22699</v>
      </c>
      <c r="AK641" s="44">
        <v>704961</v>
      </c>
      <c r="AL641" s="44">
        <v>273061</v>
      </c>
      <c r="AM641" s="44">
        <v>2.0420000000000003</v>
      </c>
      <c r="AN641" s="44">
        <v>0.57175058142792157</v>
      </c>
      <c r="AO641" s="44">
        <v>0.16700000000000001</v>
      </c>
      <c r="AP641" s="44">
        <v>0.7387505814279216</v>
      </c>
      <c r="AQ641" s="44">
        <v>0.83750000000000002</v>
      </c>
      <c r="AR641" s="44">
        <v>19.18</v>
      </c>
    </row>
    <row r="642" spans="1:44">
      <c r="A642" t="s">
        <v>429</v>
      </c>
      <c r="B642" t="s">
        <v>430</v>
      </c>
      <c r="D642" t="s">
        <v>1639</v>
      </c>
      <c r="E642" s="44">
        <v>2225118</v>
      </c>
      <c r="F642" s="44">
        <v>4395501</v>
      </c>
      <c r="G642" s="44">
        <v>5972397</v>
      </c>
      <c r="H642" s="126">
        <v>10367898</v>
      </c>
      <c r="I642" s="127">
        <v>26808146</v>
      </c>
      <c r="J642" s="128">
        <v>423841</v>
      </c>
      <c r="K642" s="130">
        <v>37599885</v>
      </c>
      <c r="L642" s="44">
        <v>246860</v>
      </c>
      <c r="M642" s="44">
        <v>906788</v>
      </c>
      <c r="N642" s="44">
        <v>13254636</v>
      </c>
      <c r="O642" s="44">
        <v>1064768</v>
      </c>
      <c r="P642" s="44">
        <v>809671</v>
      </c>
      <c r="Q642" s="44">
        <v>2185287</v>
      </c>
      <c r="R642" s="44">
        <v>1288711</v>
      </c>
      <c r="S642" s="44">
        <v>0</v>
      </c>
      <c r="T642" s="44">
        <v>2589711</v>
      </c>
      <c r="U642" s="44">
        <v>1216662</v>
      </c>
      <c r="V642" s="44">
        <v>0</v>
      </c>
      <c r="W642" s="44">
        <v>2034572</v>
      </c>
      <c r="X642" s="44">
        <v>1372967</v>
      </c>
      <c r="Y642" s="44">
        <v>3238000</v>
      </c>
      <c r="Z642" s="44">
        <v>2128707</v>
      </c>
      <c r="AA642" s="44">
        <v>567814</v>
      </c>
      <c r="AB642" s="44">
        <v>917969</v>
      </c>
      <c r="AC642" s="44">
        <v>33823123</v>
      </c>
      <c r="AD642" s="44">
        <v>1315035</v>
      </c>
      <c r="AE642" s="44">
        <v>1225000</v>
      </c>
      <c r="AF642" s="44">
        <v>643935</v>
      </c>
      <c r="AG642" s="44">
        <v>37007093</v>
      </c>
      <c r="AH642" s="44">
        <v>1691</v>
      </c>
      <c r="AI642" s="44">
        <v>22235</v>
      </c>
      <c r="AJ642" s="44">
        <v>21885</v>
      </c>
      <c r="AK642" s="44">
        <v>557848</v>
      </c>
      <c r="AL642" s="44">
        <v>219600</v>
      </c>
      <c r="AM642" s="44">
        <v>1.63</v>
      </c>
      <c r="AN642" s="44">
        <v>0.60554461816279381</v>
      </c>
      <c r="AO642" s="44">
        <v>0.16300000000000001</v>
      </c>
      <c r="AP642" s="44">
        <v>0.76854461816279385</v>
      </c>
      <c r="AQ642" s="44">
        <v>0.85909999999999997</v>
      </c>
      <c r="AR642" s="44">
        <v>18.87</v>
      </c>
    </row>
    <row r="643" spans="1:44">
      <c r="A643" t="s">
        <v>431</v>
      </c>
      <c r="B643" t="s">
        <v>432</v>
      </c>
      <c r="D643" t="s">
        <v>1639</v>
      </c>
      <c r="E643" s="44">
        <v>2131824</v>
      </c>
      <c r="F643" s="44">
        <v>5416381</v>
      </c>
      <c r="G643" s="44">
        <v>6210331</v>
      </c>
      <c r="H643" s="126">
        <v>11626712</v>
      </c>
      <c r="I643" s="127">
        <v>41162556</v>
      </c>
      <c r="J643" s="128">
        <v>607645</v>
      </c>
      <c r="K643" s="130">
        <v>53396913</v>
      </c>
      <c r="L643" s="44">
        <v>271137</v>
      </c>
      <c r="M643" s="44">
        <v>960574</v>
      </c>
      <c r="N643" s="44">
        <v>16867626</v>
      </c>
      <c r="O643" s="44">
        <v>1800002</v>
      </c>
      <c r="P643" s="44">
        <v>1166070</v>
      </c>
      <c r="Q643" s="44">
        <v>2036606</v>
      </c>
      <c r="R643" s="44">
        <v>594999</v>
      </c>
      <c r="S643" s="44">
        <v>0</v>
      </c>
      <c r="T643" s="44">
        <v>5789602</v>
      </c>
      <c r="U643" s="44">
        <v>1733083</v>
      </c>
      <c r="V643" s="44">
        <v>616271</v>
      </c>
      <c r="W643" s="44">
        <v>2443226</v>
      </c>
      <c r="X643" s="44">
        <v>1966633</v>
      </c>
      <c r="Y643" s="44">
        <v>4995976</v>
      </c>
      <c r="Z643" s="44">
        <v>3011426</v>
      </c>
      <c r="AA643" s="44">
        <v>1711950</v>
      </c>
      <c r="AB643" s="44">
        <v>200000</v>
      </c>
      <c r="AC643" s="44">
        <v>46165181</v>
      </c>
      <c r="AD643" s="44">
        <v>1967895</v>
      </c>
      <c r="AE643" s="44">
        <v>2172000</v>
      </c>
      <c r="AF643" s="44">
        <v>1578370</v>
      </c>
      <c r="AG643" s="44">
        <v>51883446</v>
      </c>
      <c r="AH643" s="44">
        <v>2257</v>
      </c>
      <c r="AI643" s="44">
        <v>23658</v>
      </c>
      <c r="AJ643" s="44">
        <v>22988</v>
      </c>
      <c r="AK643" s="44">
        <v>667805</v>
      </c>
      <c r="AL643" s="44">
        <v>193014</v>
      </c>
      <c r="AM643" s="44">
        <v>1.665</v>
      </c>
      <c r="AN643" s="44">
        <v>0.57798759164917457</v>
      </c>
      <c r="AO643" s="44">
        <v>0.17299999999999999</v>
      </c>
      <c r="AP643" s="44">
        <v>0.75098759164917461</v>
      </c>
      <c r="AQ643" s="44">
        <v>0.84599999999999997</v>
      </c>
      <c r="AR643" s="44">
        <v>18.91</v>
      </c>
    </row>
    <row r="644" spans="1:44">
      <c r="A644" t="s">
        <v>433</v>
      </c>
      <c r="B644" t="s">
        <v>434</v>
      </c>
      <c r="D644" t="s">
        <v>1639</v>
      </c>
      <c r="E644" s="44">
        <v>1688295</v>
      </c>
      <c r="F644" s="44">
        <v>1832105</v>
      </c>
      <c r="G644" s="44">
        <v>4477572</v>
      </c>
      <c r="H644" s="126">
        <v>6309677</v>
      </c>
      <c r="I644" s="127">
        <v>34109276</v>
      </c>
      <c r="J644" s="128">
        <v>408914</v>
      </c>
      <c r="K644" s="130">
        <v>40827867</v>
      </c>
      <c r="L644" s="44">
        <v>308000</v>
      </c>
      <c r="M644" s="44">
        <v>898359</v>
      </c>
      <c r="N644" s="44">
        <v>13875558</v>
      </c>
      <c r="O644" s="44">
        <v>868787</v>
      </c>
      <c r="P644" s="44">
        <v>757012</v>
      </c>
      <c r="Q644" s="44">
        <v>1252016</v>
      </c>
      <c r="R644" s="44">
        <v>156339</v>
      </c>
      <c r="S644" s="44">
        <v>344892</v>
      </c>
      <c r="T644" s="44">
        <v>3065944</v>
      </c>
      <c r="U644" s="44">
        <v>1669967</v>
      </c>
      <c r="V644" s="44">
        <v>0</v>
      </c>
      <c r="W644" s="44">
        <v>3340517</v>
      </c>
      <c r="X644" s="44">
        <v>1379050</v>
      </c>
      <c r="Y644" s="44">
        <v>3505335</v>
      </c>
      <c r="Z644" s="44">
        <v>2529127</v>
      </c>
      <c r="AA644" s="44">
        <v>1113363</v>
      </c>
      <c r="AB644" s="44">
        <v>0</v>
      </c>
      <c r="AC644" s="44">
        <v>35064266</v>
      </c>
      <c r="AD644" s="44">
        <v>572813</v>
      </c>
      <c r="AE644" s="44">
        <v>1200000</v>
      </c>
      <c r="AF644" s="44">
        <v>928518</v>
      </c>
      <c r="AG644" s="44">
        <v>37765597</v>
      </c>
      <c r="AH644" s="44">
        <v>1985</v>
      </c>
      <c r="AI644" s="44">
        <v>20568</v>
      </c>
      <c r="AJ644" s="44">
        <v>19025</v>
      </c>
      <c r="AK644" s="44">
        <v>802724</v>
      </c>
      <c r="AL644" s="44">
        <v>261262</v>
      </c>
      <c r="AM644" s="44">
        <v>2.1219999999999999</v>
      </c>
      <c r="AN644" s="44">
        <v>0.58228961665825119</v>
      </c>
      <c r="AO644" s="44">
        <v>0.17499999999999999</v>
      </c>
      <c r="AP644" s="44">
        <v>0.75728961665825123</v>
      </c>
      <c r="AQ644" s="44">
        <v>0.81430000000000002</v>
      </c>
      <c r="AR644" s="44">
        <v>15.84</v>
      </c>
    </row>
    <row r="645" spans="1:44">
      <c r="A645" t="s">
        <v>435</v>
      </c>
      <c r="B645" t="s">
        <v>436</v>
      </c>
      <c r="D645" t="s">
        <v>1639</v>
      </c>
      <c r="E645" s="44">
        <v>2975282</v>
      </c>
      <c r="F645" s="44">
        <v>7526067</v>
      </c>
      <c r="G645" s="44">
        <v>9689392</v>
      </c>
      <c r="H645" s="126">
        <v>17215459</v>
      </c>
      <c r="I645" s="127">
        <v>40288539</v>
      </c>
      <c r="J645" s="128">
        <v>2159545</v>
      </c>
      <c r="K645" s="130">
        <v>59663543</v>
      </c>
      <c r="L645" s="44">
        <v>455852</v>
      </c>
      <c r="M645" s="44">
        <v>953729</v>
      </c>
      <c r="N645" s="44">
        <v>15649404</v>
      </c>
      <c r="O645" s="44">
        <v>1216570</v>
      </c>
      <c r="P645" s="44">
        <v>1239968</v>
      </c>
      <c r="Q645" s="44">
        <v>2211280</v>
      </c>
      <c r="R645" s="44">
        <v>580944</v>
      </c>
      <c r="S645" s="44">
        <v>603478</v>
      </c>
      <c r="T645" s="44">
        <v>4838704</v>
      </c>
      <c r="U645" s="44">
        <v>3631485</v>
      </c>
      <c r="V645" s="44">
        <v>0</v>
      </c>
      <c r="W645" s="44">
        <v>3518252</v>
      </c>
      <c r="X645" s="44">
        <v>1659513</v>
      </c>
      <c r="Y645" s="44">
        <v>4936634</v>
      </c>
      <c r="Z645" s="44">
        <v>3177044</v>
      </c>
      <c r="AA645" s="44">
        <v>1881019</v>
      </c>
      <c r="AB645" s="44">
        <v>600000</v>
      </c>
      <c r="AC645" s="44">
        <v>47153876</v>
      </c>
      <c r="AD645" s="44">
        <v>5065983</v>
      </c>
      <c r="AE645" s="44">
        <v>1312024</v>
      </c>
      <c r="AF645" s="44">
        <v>303055</v>
      </c>
      <c r="AG645" s="44">
        <v>53834938</v>
      </c>
      <c r="AH645" s="44">
        <v>1815</v>
      </c>
      <c r="AI645" s="44">
        <v>32872</v>
      </c>
      <c r="AJ645" s="44">
        <v>29661</v>
      </c>
      <c r="AK645" s="44">
        <v>1273472</v>
      </c>
      <c r="AL645" s="44">
        <v>271852</v>
      </c>
      <c r="AM645" s="44">
        <v>2.78</v>
      </c>
      <c r="AN645" s="44">
        <v>0.55673572058353626</v>
      </c>
      <c r="AO645" s="44">
        <v>0.16500000000000001</v>
      </c>
      <c r="AP645" s="44">
        <v>0.7217357205835363</v>
      </c>
      <c r="AQ645" s="44">
        <v>0.83289999999999997</v>
      </c>
      <c r="AR645" s="44">
        <v>10.76</v>
      </c>
    </row>
    <row r="646" spans="1:44">
      <c r="A646" t="s">
        <v>437</v>
      </c>
      <c r="B646" t="s">
        <v>438</v>
      </c>
      <c r="D646" t="s">
        <v>1639</v>
      </c>
      <c r="E646" s="44">
        <v>1808529</v>
      </c>
      <c r="F646" s="44">
        <v>1696396</v>
      </c>
      <c r="G646" s="44">
        <v>3184937</v>
      </c>
      <c r="H646" s="126">
        <v>4881333</v>
      </c>
      <c r="I646" s="127">
        <v>21057439</v>
      </c>
      <c r="J646" s="128">
        <v>410277</v>
      </c>
      <c r="K646" s="130">
        <v>26349049</v>
      </c>
      <c r="L646" s="44">
        <v>213551</v>
      </c>
      <c r="M646" s="44">
        <v>590366</v>
      </c>
      <c r="N646" s="44">
        <v>8692623</v>
      </c>
      <c r="O646" s="44">
        <v>437441</v>
      </c>
      <c r="P646" s="44">
        <v>574370</v>
      </c>
      <c r="Q646" s="44">
        <v>1508966</v>
      </c>
      <c r="R646" s="44">
        <v>223506</v>
      </c>
      <c r="S646" s="44">
        <v>1493</v>
      </c>
      <c r="T646" s="44">
        <v>1473295</v>
      </c>
      <c r="U646" s="44">
        <v>1170002</v>
      </c>
      <c r="V646" s="44">
        <v>0</v>
      </c>
      <c r="W646" s="44">
        <v>1678752</v>
      </c>
      <c r="X646" s="44">
        <v>891603</v>
      </c>
      <c r="Y646" s="44">
        <v>1991343</v>
      </c>
      <c r="Z646" s="44">
        <v>1341033</v>
      </c>
      <c r="AA646" s="44">
        <v>704825</v>
      </c>
      <c r="AB646" s="44">
        <v>0</v>
      </c>
      <c r="AC646" s="44">
        <v>21493169</v>
      </c>
      <c r="AD646" s="44">
        <v>1891541</v>
      </c>
      <c r="AE646" s="44">
        <v>160000</v>
      </c>
      <c r="AF646" s="44">
        <v>5280</v>
      </c>
      <c r="AG646" s="44">
        <v>23549990</v>
      </c>
      <c r="AH646" s="44">
        <v>988</v>
      </c>
      <c r="AI646" s="44">
        <v>26669</v>
      </c>
      <c r="AJ646" s="44">
        <v>23836</v>
      </c>
      <c r="AK646" s="44">
        <v>1111612</v>
      </c>
      <c r="AL646" s="44">
        <v>177455</v>
      </c>
      <c r="AM646" s="44">
        <v>2.1819999999999999</v>
      </c>
      <c r="AN646" s="44">
        <v>0.59794912864081895</v>
      </c>
      <c r="AO646" s="44">
        <v>0.16</v>
      </c>
      <c r="AP646" s="44">
        <v>0.75794912864081898</v>
      </c>
      <c r="AQ646" s="44">
        <v>0.82909999999999995</v>
      </c>
      <c r="AR646" s="44">
        <v>13.52</v>
      </c>
    </row>
    <row r="647" spans="1:44">
      <c r="A647" t="s">
        <v>439</v>
      </c>
      <c r="B647" t="s">
        <v>440</v>
      </c>
      <c r="D647" t="s">
        <v>1639</v>
      </c>
      <c r="E647" s="44">
        <v>3505055</v>
      </c>
      <c r="F647" s="44">
        <v>4124189</v>
      </c>
      <c r="G647" s="44">
        <v>4943738</v>
      </c>
      <c r="H647" s="126">
        <v>9067927</v>
      </c>
      <c r="I647" s="127">
        <v>81274492</v>
      </c>
      <c r="J647" s="128">
        <v>971003</v>
      </c>
      <c r="K647" s="130">
        <v>91313422</v>
      </c>
      <c r="L647" s="44">
        <v>556872</v>
      </c>
      <c r="M647" s="44">
        <v>1674568</v>
      </c>
      <c r="N647" s="44">
        <v>30279469</v>
      </c>
      <c r="O647" s="44">
        <v>1656705</v>
      </c>
      <c r="P647" s="44">
        <v>2602511</v>
      </c>
      <c r="Q647" s="44">
        <v>2441164</v>
      </c>
      <c r="R647" s="44">
        <v>758976</v>
      </c>
      <c r="S647" s="44">
        <v>1493555</v>
      </c>
      <c r="T647" s="44">
        <v>6496355</v>
      </c>
      <c r="U647" s="44">
        <v>4054184</v>
      </c>
      <c r="V647" s="44">
        <v>0</v>
      </c>
      <c r="W647" s="44">
        <v>8010865</v>
      </c>
      <c r="X647" s="44">
        <v>3135243</v>
      </c>
      <c r="Y647" s="44">
        <v>9272126</v>
      </c>
      <c r="Z647" s="44">
        <v>4519980</v>
      </c>
      <c r="AA647" s="44">
        <v>1805413</v>
      </c>
      <c r="AB647" s="44">
        <v>385000</v>
      </c>
      <c r="AC647" s="44">
        <v>79142986</v>
      </c>
      <c r="AD647" s="44">
        <v>4924524</v>
      </c>
      <c r="AE647" s="44">
        <v>2270000</v>
      </c>
      <c r="AF647" s="44">
        <v>731949</v>
      </c>
      <c r="AG647" s="44">
        <v>87069459</v>
      </c>
      <c r="AH647" s="44">
        <v>3549</v>
      </c>
      <c r="AI647" s="44">
        <v>25729</v>
      </c>
      <c r="AJ647" s="44">
        <v>24534</v>
      </c>
      <c r="AK647" s="44">
        <v>1714519</v>
      </c>
      <c r="AL647" s="44">
        <v>562966</v>
      </c>
      <c r="AM647" s="44">
        <v>4.5529999999999999</v>
      </c>
      <c r="AN647" s="44">
        <v>0.57176097763510858</v>
      </c>
      <c r="AO647" s="44">
        <v>0.17199999999999999</v>
      </c>
      <c r="AP647" s="44">
        <v>0.74376097763510862</v>
      </c>
      <c r="AQ647" s="44">
        <v>0.82050000000000001</v>
      </c>
      <c r="AR647" s="44">
        <v>9.2100000000000009</v>
      </c>
    </row>
    <row r="648" spans="1:44">
      <c r="A648" t="s">
        <v>441</v>
      </c>
      <c r="B648" t="s">
        <v>442</v>
      </c>
      <c r="D648" t="s">
        <v>1639</v>
      </c>
      <c r="E648" s="44">
        <v>4612166</v>
      </c>
      <c r="F648" s="44">
        <v>7656873</v>
      </c>
      <c r="G648" s="44">
        <v>9188874</v>
      </c>
      <c r="H648" s="126">
        <v>16845747</v>
      </c>
      <c r="I648" s="127">
        <v>90699094</v>
      </c>
      <c r="J648" s="128">
        <v>1427906</v>
      </c>
      <c r="K648" s="130">
        <v>108972747</v>
      </c>
      <c r="L648" s="44">
        <v>479784</v>
      </c>
      <c r="M648" s="44">
        <v>1990006</v>
      </c>
      <c r="N648" s="44">
        <v>37770853</v>
      </c>
      <c r="O648" s="44">
        <v>2307577</v>
      </c>
      <c r="P648" s="44">
        <v>2420600</v>
      </c>
      <c r="Q648" s="44">
        <v>2290981</v>
      </c>
      <c r="R648" s="44">
        <v>118752</v>
      </c>
      <c r="S648" s="44">
        <v>2045725</v>
      </c>
      <c r="T648" s="44">
        <v>8570356</v>
      </c>
      <c r="U648" s="44">
        <v>4647160</v>
      </c>
      <c r="V648" s="44">
        <v>71346</v>
      </c>
      <c r="W648" s="44">
        <v>8212193</v>
      </c>
      <c r="X648" s="44">
        <v>3930459</v>
      </c>
      <c r="Y648" s="44">
        <v>9826813</v>
      </c>
      <c r="Z648" s="44">
        <v>6698955</v>
      </c>
      <c r="AA648" s="44">
        <v>2395366</v>
      </c>
      <c r="AB648" s="44">
        <v>482500</v>
      </c>
      <c r="AC648" s="44">
        <v>94259426</v>
      </c>
      <c r="AD648" s="44">
        <v>2494429</v>
      </c>
      <c r="AE648" s="44">
        <v>4740000</v>
      </c>
      <c r="AF648" s="44">
        <v>2503665</v>
      </c>
      <c r="AG648" s="44">
        <v>103997520</v>
      </c>
      <c r="AH648" s="44">
        <v>5057</v>
      </c>
      <c r="AI648" s="44">
        <v>21549</v>
      </c>
      <c r="AJ648" s="44">
        <v>20565</v>
      </c>
      <c r="AK648" s="44">
        <v>1199151</v>
      </c>
      <c r="AL648" s="44">
        <v>415764</v>
      </c>
      <c r="AM648" s="44">
        <v>3.274</v>
      </c>
      <c r="AN648" s="44">
        <v>0.57859075870270749</v>
      </c>
      <c r="AO648" s="44">
        <v>0.17100000000000001</v>
      </c>
      <c r="AP648" s="44">
        <v>0.74959075870270753</v>
      </c>
      <c r="AQ648" s="44">
        <v>0.83079999999999998</v>
      </c>
      <c r="AR648" s="44">
        <v>11.98</v>
      </c>
    </row>
    <row r="649" spans="1:44">
      <c r="A649" t="s">
        <v>443</v>
      </c>
      <c r="B649" t="s">
        <v>444</v>
      </c>
      <c r="D649" t="s">
        <v>1639</v>
      </c>
      <c r="E649" s="44">
        <v>1799392</v>
      </c>
      <c r="F649" s="44">
        <v>4286334</v>
      </c>
      <c r="G649" s="44">
        <v>6202023</v>
      </c>
      <c r="H649" s="126">
        <v>10488357</v>
      </c>
      <c r="I649" s="127">
        <v>35175708</v>
      </c>
      <c r="J649" s="128">
        <v>500284</v>
      </c>
      <c r="K649" s="130">
        <v>46164349</v>
      </c>
      <c r="L649" s="44">
        <v>288763</v>
      </c>
      <c r="M649" s="44">
        <v>720315</v>
      </c>
      <c r="N649" s="44">
        <v>16146877</v>
      </c>
      <c r="O649" s="44">
        <v>1214231</v>
      </c>
      <c r="P649" s="44">
        <v>1013259</v>
      </c>
      <c r="Q649" s="44">
        <v>2124825</v>
      </c>
      <c r="R649" s="44">
        <v>522270</v>
      </c>
      <c r="S649" s="44">
        <v>668722</v>
      </c>
      <c r="T649" s="44">
        <v>2574066</v>
      </c>
      <c r="U649" s="44">
        <v>2299014</v>
      </c>
      <c r="V649" s="44">
        <v>0</v>
      </c>
      <c r="W649" s="44">
        <v>2260158</v>
      </c>
      <c r="X649" s="44">
        <v>1927686</v>
      </c>
      <c r="Y649" s="44">
        <v>3637550</v>
      </c>
      <c r="Z649" s="44">
        <v>2471923</v>
      </c>
      <c r="AA649" s="44">
        <v>1511888</v>
      </c>
      <c r="AB649" s="44">
        <v>267100</v>
      </c>
      <c r="AC649" s="44">
        <v>39648647</v>
      </c>
      <c r="AD649" s="44">
        <v>2894851</v>
      </c>
      <c r="AE649" s="44">
        <v>1498000</v>
      </c>
      <c r="AF649" s="44">
        <v>1163626</v>
      </c>
      <c r="AG649" s="44">
        <v>45205124</v>
      </c>
      <c r="AH649" s="44">
        <v>1992</v>
      </c>
      <c r="AI649" s="44">
        <v>23175</v>
      </c>
      <c r="AJ649" s="44">
        <v>22693</v>
      </c>
      <c r="AK649" s="44">
        <v>1044658</v>
      </c>
      <c r="AL649" s="44">
        <v>167770</v>
      </c>
      <c r="AM649" s="44">
        <v>2.0540000000000003</v>
      </c>
      <c r="AN649" s="44">
        <v>0.58761621801988639</v>
      </c>
      <c r="AO649" s="44">
        <v>0.16500000000000001</v>
      </c>
      <c r="AP649" s="44">
        <v>0.75261621801988643</v>
      </c>
      <c r="AQ649" s="44">
        <v>0.86250000000000004</v>
      </c>
      <c r="AR649" s="44">
        <v>12.11</v>
      </c>
    </row>
    <row r="650" spans="1:44">
      <c r="A650" t="s">
        <v>445</v>
      </c>
      <c r="B650" t="s">
        <v>446</v>
      </c>
      <c r="D650" t="s">
        <v>1639</v>
      </c>
      <c r="E650" s="44">
        <v>1088036</v>
      </c>
      <c r="F650" s="44">
        <v>2931811</v>
      </c>
      <c r="G650" s="44">
        <v>526916</v>
      </c>
      <c r="H650" s="126">
        <v>3458727</v>
      </c>
      <c r="I650" s="127">
        <v>17112951</v>
      </c>
      <c r="J650" s="128">
        <v>346631</v>
      </c>
      <c r="K650" s="130">
        <v>20918309</v>
      </c>
      <c r="L650" s="44">
        <v>214421</v>
      </c>
      <c r="M650" s="44">
        <v>428457</v>
      </c>
      <c r="N650" s="44">
        <v>4034953</v>
      </c>
      <c r="O650" s="44">
        <v>205663</v>
      </c>
      <c r="P650" s="44">
        <v>191717</v>
      </c>
      <c r="Q650" s="44">
        <v>2550039</v>
      </c>
      <c r="R650" s="44">
        <v>5156313</v>
      </c>
      <c r="S650" s="44">
        <v>0</v>
      </c>
      <c r="T650" s="44">
        <v>645172</v>
      </c>
      <c r="U650" s="44">
        <v>565766</v>
      </c>
      <c r="V650" s="44">
        <v>482056</v>
      </c>
      <c r="W650" s="44">
        <v>1009857</v>
      </c>
      <c r="X650" s="44">
        <v>433902</v>
      </c>
      <c r="Y650" s="44">
        <v>1175609</v>
      </c>
      <c r="Z650" s="44">
        <v>783031</v>
      </c>
      <c r="AA650" s="44">
        <v>1858401</v>
      </c>
      <c r="AB650" s="44">
        <v>510000</v>
      </c>
      <c r="AC650" s="44">
        <v>20245357</v>
      </c>
      <c r="AD650" s="44">
        <v>1098721</v>
      </c>
      <c r="AE650" s="44">
        <v>315000</v>
      </c>
      <c r="AF650" s="44">
        <v>149259</v>
      </c>
      <c r="AG650" s="44">
        <v>21808337</v>
      </c>
      <c r="AH650" s="44">
        <v>679</v>
      </c>
      <c r="AI650" s="44">
        <v>30808</v>
      </c>
      <c r="AJ650" s="44">
        <v>32118</v>
      </c>
      <c r="AK650" s="44">
        <v>2842671</v>
      </c>
      <c r="AL650" s="44">
        <v>183336</v>
      </c>
      <c r="AM650" s="44">
        <v>4.47</v>
      </c>
      <c r="AN650" s="44">
        <v>0.61213392841462422</v>
      </c>
      <c r="AO650" s="44">
        <v>8.2000000000000003E-2</v>
      </c>
      <c r="AP650" s="44">
        <v>0.69413392841462418</v>
      </c>
      <c r="AQ650" s="44">
        <v>0.68210000000000004</v>
      </c>
      <c r="AR650" s="44">
        <v>7.63</v>
      </c>
    </row>
    <row r="651" spans="1:44">
      <c r="A651" t="s">
        <v>447</v>
      </c>
      <c r="B651" t="s">
        <v>448</v>
      </c>
      <c r="D651" t="s">
        <v>1639</v>
      </c>
      <c r="E651" s="44">
        <v>2236029</v>
      </c>
      <c r="F651" s="44">
        <v>2967032</v>
      </c>
      <c r="G651" s="44">
        <v>4663460</v>
      </c>
      <c r="H651" s="126">
        <v>7630492</v>
      </c>
      <c r="I651" s="127">
        <v>29796798</v>
      </c>
      <c r="J651" s="128">
        <v>359202</v>
      </c>
      <c r="K651" s="130">
        <v>37786492</v>
      </c>
      <c r="L651" s="44">
        <v>155697</v>
      </c>
      <c r="M651" s="44">
        <v>860202</v>
      </c>
      <c r="N651" s="44">
        <v>13083685</v>
      </c>
      <c r="O651" s="44">
        <v>1006382</v>
      </c>
      <c r="P651" s="44">
        <v>729205</v>
      </c>
      <c r="Q651" s="44">
        <v>1505657</v>
      </c>
      <c r="R651" s="44">
        <v>0</v>
      </c>
      <c r="S651" s="44">
        <v>871543</v>
      </c>
      <c r="T651" s="44">
        <v>2321976</v>
      </c>
      <c r="U651" s="44">
        <v>2000375</v>
      </c>
      <c r="V651" s="44">
        <v>0</v>
      </c>
      <c r="W651" s="44">
        <v>2123430</v>
      </c>
      <c r="X651" s="44">
        <v>1487609</v>
      </c>
      <c r="Y651" s="44">
        <v>3355701</v>
      </c>
      <c r="Z651" s="44">
        <v>2266932</v>
      </c>
      <c r="AA651" s="44">
        <v>635286</v>
      </c>
      <c r="AB651" s="44">
        <v>3385</v>
      </c>
      <c r="AC651" s="44">
        <v>32407065</v>
      </c>
      <c r="AD651" s="44">
        <v>2475746</v>
      </c>
      <c r="AE651" s="44">
        <v>854100</v>
      </c>
      <c r="AF651" s="44">
        <v>1175889</v>
      </c>
      <c r="AG651" s="44">
        <v>36912800</v>
      </c>
      <c r="AH651" s="44">
        <v>1526</v>
      </c>
      <c r="AI651" s="44">
        <v>24762</v>
      </c>
      <c r="AJ651" s="44">
        <v>24189</v>
      </c>
      <c r="AK651" s="44">
        <v>974331</v>
      </c>
      <c r="AL651" s="44">
        <v>149027</v>
      </c>
      <c r="AM651" s="44">
        <v>1.885</v>
      </c>
      <c r="AN651" s="44">
        <v>0.58296371448386464</v>
      </c>
      <c r="AO651" s="44">
        <v>0.17199999999999999</v>
      </c>
      <c r="AP651" s="44">
        <v>0.75496371448386457</v>
      </c>
      <c r="AQ651" s="44">
        <v>0.86019999999999996</v>
      </c>
      <c r="AR651" s="44">
        <v>14.18</v>
      </c>
    </row>
    <row r="652" spans="1:44">
      <c r="A652" t="s">
        <v>449</v>
      </c>
      <c r="B652" t="s">
        <v>450</v>
      </c>
      <c r="D652" t="s">
        <v>1639</v>
      </c>
      <c r="E652" s="44">
        <v>2161211</v>
      </c>
      <c r="F652" s="44">
        <v>4323119</v>
      </c>
      <c r="G652" s="44">
        <v>5335973</v>
      </c>
      <c r="H652" s="126">
        <v>9659092</v>
      </c>
      <c r="I652" s="127">
        <v>26913950</v>
      </c>
      <c r="J652" s="128">
        <v>384159</v>
      </c>
      <c r="K652" s="130">
        <v>36957201</v>
      </c>
      <c r="L652" s="44">
        <v>222518</v>
      </c>
      <c r="M652" s="44">
        <v>802859</v>
      </c>
      <c r="N652" s="44">
        <v>12626265</v>
      </c>
      <c r="O652" s="44">
        <v>1056543</v>
      </c>
      <c r="P652" s="44">
        <v>773140</v>
      </c>
      <c r="Q652" s="44">
        <v>1935855</v>
      </c>
      <c r="R652" s="44">
        <v>177623</v>
      </c>
      <c r="S652" s="44">
        <v>363486</v>
      </c>
      <c r="T652" s="44">
        <v>3014642</v>
      </c>
      <c r="U652" s="44">
        <v>1603696</v>
      </c>
      <c r="V652" s="44">
        <v>0</v>
      </c>
      <c r="W652" s="44">
        <v>2116541</v>
      </c>
      <c r="X652" s="44">
        <v>1266447</v>
      </c>
      <c r="Y652" s="44">
        <v>2995264</v>
      </c>
      <c r="Z652" s="44">
        <v>2179192</v>
      </c>
      <c r="AA652" s="44">
        <v>532944</v>
      </c>
      <c r="AB652" s="44">
        <v>301323</v>
      </c>
      <c r="AC652" s="44">
        <v>31968338</v>
      </c>
      <c r="AD652" s="44">
        <v>711531</v>
      </c>
      <c r="AE652" s="44">
        <v>1042176</v>
      </c>
      <c r="AF652" s="44">
        <v>1444028</v>
      </c>
      <c r="AG652" s="44">
        <v>35166073</v>
      </c>
      <c r="AH652" s="44">
        <v>1809</v>
      </c>
      <c r="AI652" s="44">
        <v>20430</v>
      </c>
      <c r="AJ652" s="44">
        <v>19440</v>
      </c>
      <c r="AK652" s="44">
        <v>645710</v>
      </c>
      <c r="AL652" s="44">
        <v>207732</v>
      </c>
      <c r="AM652" s="44">
        <v>1.696</v>
      </c>
      <c r="AN652" s="44">
        <v>0.61284209925856659</v>
      </c>
      <c r="AO652" s="44">
        <v>0.16500000000000001</v>
      </c>
      <c r="AP652" s="44">
        <v>0.77784209925856662</v>
      </c>
      <c r="AQ652" s="44">
        <v>0.86339999999999995</v>
      </c>
      <c r="AR652" s="44">
        <v>16.37</v>
      </c>
    </row>
    <row r="653" spans="1:44">
      <c r="A653" t="s">
        <v>451</v>
      </c>
      <c r="B653" t="s">
        <v>452</v>
      </c>
      <c r="D653" t="s">
        <v>1639</v>
      </c>
      <c r="E653" s="44">
        <v>2018246</v>
      </c>
      <c r="F653" s="44">
        <v>78655931</v>
      </c>
      <c r="G653" s="44">
        <v>19511532</v>
      </c>
      <c r="H653" s="126">
        <v>98167463</v>
      </c>
      <c r="I653" s="127">
        <v>75557201</v>
      </c>
      <c r="J653" s="128">
        <v>10150296</v>
      </c>
      <c r="K653" s="130">
        <v>183874960</v>
      </c>
      <c r="L653" s="44">
        <v>628902</v>
      </c>
      <c r="M653" s="44">
        <v>2168138</v>
      </c>
      <c r="N653" s="44">
        <v>74200006</v>
      </c>
      <c r="O653" s="44">
        <v>4469473</v>
      </c>
      <c r="P653" s="44">
        <v>6004220</v>
      </c>
      <c r="Q653" s="44">
        <v>5212113</v>
      </c>
      <c r="R653" s="44">
        <v>3078116</v>
      </c>
      <c r="S653" s="44">
        <v>63458</v>
      </c>
      <c r="T653" s="44">
        <v>11193216</v>
      </c>
      <c r="U653" s="44">
        <v>9358647</v>
      </c>
      <c r="V653" s="44">
        <v>289537</v>
      </c>
      <c r="W653" s="44">
        <v>11522319</v>
      </c>
      <c r="X653" s="44">
        <v>5361279</v>
      </c>
      <c r="Y653" s="44">
        <v>13703163</v>
      </c>
      <c r="Z653" s="44">
        <v>13998732</v>
      </c>
      <c r="AA653" s="44">
        <v>5509336</v>
      </c>
      <c r="AB653" s="44">
        <v>0</v>
      </c>
      <c r="AC653" s="44">
        <v>166760655</v>
      </c>
      <c r="AD653" s="44">
        <v>5459064</v>
      </c>
      <c r="AE653" s="44">
        <v>5302735</v>
      </c>
      <c r="AF653" s="44">
        <v>4931954</v>
      </c>
      <c r="AG653" s="44">
        <v>182454408</v>
      </c>
      <c r="AH653" s="44">
        <v>9853</v>
      </c>
      <c r="AI653" s="44">
        <v>18662</v>
      </c>
      <c r="AJ653" s="44">
        <v>18518</v>
      </c>
      <c r="AK653" s="44">
        <v>387194</v>
      </c>
      <c r="AL653" s="44">
        <v>113227</v>
      </c>
      <c r="AM653" s="44">
        <v>0.97</v>
      </c>
      <c r="AN653" s="44">
        <v>0.62250756364296778</v>
      </c>
      <c r="AO653" s="44">
        <v>0.16800000000000001</v>
      </c>
      <c r="AP653" s="44">
        <v>0.79050756364296781</v>
      </c>
      <c r="AQ653" s="44">
        <v>0.86250000000000004</v>
      </c>
      <c r="AR653" s="44">
        <v>14.2</v>
      </c>
    </row>
    <row r="654" spans="1:44">
      <c r="A654" t="s">
        <v>453</v>
      </c>
      <c r="B654" t="s">
        <v>454</v>
      </c>
      <c r="D654" t="s">
        <v>1639</v>
      </c>
      <c r="E654" s="44">
        <v>3585032</v>
      </c>
      <c r="F654" s="44">
        <v>6858692</v>
      </c>
      <c r="G654" s="44">
        <v>7913662</v>
      </c>
      <c r="H654" s="126">
        <v>14772354</v>
      </c>
      <c r="I654" s="127">
        <v>83811631</v>
      </c>
      <c r="J654" s="128">
        <v>949463</v>
      </c>
      <c r="K654" s="130">
        <v>99533448</v>
      </c>
      <c r="L654" s="44">
        <v>337954</v>
      </c>
      <c r="M654" s="44">
        <v>1417079</v>
      </c>
      <c r="N654" s="44">
        <v>35663749</v>
      </c>
      <c r="O654" s="44">
        <v>1528903</v>
      </c>
      <c r="P654" s="44">
        <v>3403954</v>
      </c>
      <c r="Q654" s="44">
        <v>1813118</v>
      </c>
      <c r="R654" s="44">
        <v>266677</v>
      </c>
      <c r="S654" s="44">
        <v>922647</v>
      </c>
      <c r="T654" s="44">
        <v>5587968</v>
      </c>
      <c r="U654" s="44">
        <v>5576120</v>
      </c>
      <c r="V654" s="44">
        <v>0</v>
      </c>
      <c r="W654" s="44">
        <v>7753123</v>
      </c>
      <c r="X654" s="44">
        <v>3721516</v>
      </c>
      <c r="Y654" s="44">
        <v>8184560</v>
      </c>
      <c r="Z654" s="44">
        <v>5775754</v>
      </c>
      <c r="AA654" s="44">
        <v>1317545</v>
      </c>
      <c r="AB654" s="44">
        <v>2828000</v>
      </c>
      <c r="AC654" s="44">
        <v>86098667</v>
      </c>
      <c r="AD654" s="44">
        <v>5542712</v>
      </c>
      <c r="AE654" s="44">
        <v>2610000</v>
      </c>
      <c r="AF654" s="44">
        <v>2811965</v>
      </c>
      <c r="AG654" s="44">
        <v>97063344</v>
      </c>
      <c r="AH654" s="44">
        <v>4229</v>
      </c>
      <c r="AI654" s="44">
        <v>23536</v>
      </c>
      <c r="AJ654" s="44">
        <v>22952</v>
      </c>
      <c r="AK654" s="44">
        <v>966181</v>
      </c>
      <c r="AL654" s="44">
        <v>368504</v>
      </c>
      <c r="AM654" s="44">
        <v>2.7749999999999999</v>
      </c>
      <c r="AN654" s="44">
        <v>0.56419997233971253</v>
      </c>
      <c r="AO654" s="44">
        <v>0.16400000000000001</v>
      </c>
      <c r="AP654" s="44">
        <v>0.72819997233971256</v>
      </c>
      <c r="AQ654" s="44">
        <v>0.84789999999999999</v>
      </c>
      <c r="AR654" s="44">
        <v>15.22</v>
      </c>
    </row>
    <row r="655" spans="1:44">
      <c r="A655" t="s">
        <v>455</v>
      </c>
      <c r="B655" t="s">
        <v>456</v>
      </c>
      <c r="D655" t="s">
        <v>1639</v>
      </c>
      <c r="E655" s="44">
        <v>10640668</v>
      </c>
      <c r="F655" s="44">
        <v>32074675</v>
      </c>
      <c r="G655" s="44">
        <v>24654090</v>
      </c>
      <c r="H655" s="126">
        <v>56728765</v>
      </c>
      <c r="I655" s="127">
        <v>140888526</v>
      </c>
      <c r="J655" s="128">
        <v>5951335</v>
      </c>
      <c r="K655" s="130">
        <v>203568626</v>
      </c>
      <c r="L655" s="44">
        <v>853646</v>
      </c>
      <c r="M655" s="44">
        <v>2753489</v>
      </c>
      <c r="N655" s="44">
        <v>69114452</v>
      </c>
      <c r="O655" s="44">
        <v>4990576</v>
      </c>
      <c r="P655" s="44">
        <v>6146574</v>
      </c>
      <c r="Q655" s="44">
        <v>9233573</v>
      </c>
      <c r="R655" s="44">
        <v>2766227</v>
      </c>
      <c r="S655" s="44">
        <v>0</v>
      </c>
      <c r="T655" s="44">
        <v>16032160</v>
      </c>
      <c r="U655" s="44">
        <v>6354344</v>
      </c>
      <c r="V655" s="44">
        <v>17877</v>
      </c>
      <c r="W655" s="44">
        <v>16040414</v>
      </c>
      <c r="X655" s="44">
        <v>6548730</v>
      </c>
      <c r="Y655" s="44">
        <v>15030007</v>
      </c>
      <c r="Z655" s="44">
        <v>14420772</v>
      </c>
      <c r="AA655" s="44">
        <v>4786019</v>
      </c>
      <c r="AB655" s="44">
        <v>778168</v>
      </c>
      <c r="AC655" s="44">
        <v>175867028</v>
      </c>
      <c r="AD655" s="44">
        <v>12122368</v>
      </c>
      <c r="AE655" s="44">
        <v>6885000</v>
      </c>
      <c r="AF655" s="44">
        <v>4340257</v>
      </c>
      <c r="AG655" s="44">
        <v>199214653</v>
      </c>
      <c r="AH655" s="44">
        <v>10292</v>
      </c>
      <c r="AI655" s="44">
        <v>19779</v>
      </c>
      <c r="AJ655" s="44">
        <v>19356</v>
      </c>
      <c r="AK655" s="44">
        <v>632660</v>
      </c>
      <c r="AL655" s="44">
        <v>192755</v>
      </c>
      <c r="AM655" s="44">
        <v>1.6179999999999999</v>
      </c>
      <c r="AN655" s="44">
        <v>0.57544916638235444</v>
      </c>
      <c r="AO655" s="44">
        <v>0.161</v>
      </c>
      <c r="AP655" s="44">
        <v>0.73644916638235447</v>
      </c>
      <c r="AQ655" s="44">
        <v>0.83479999999999999</v>
      </c>
      <c r="AR655" s="44">
        <v>14.35</v>
      </c>
    </row>
    <row r="656" spans="1:44">
      <c r="A656" t="s">
        <v>457</v>
      </c>
      <c r="B656" t="s">
        <v>458</v>
      </c>
      <c r="D656" t="s">
        <v>1639</v>
      </c>
      <c r="E656" s="44">
        <v>3541605</v>
      </c>
      <c r="F656" s="44">
        <v>3382567</v>
      </c>
      <c r="G656" s="44">
        <v>4302237</v>
      </c>
      <c r="H656" s="126">
        <v>7684804</v>
      </c>
      <c r="I656" s="127">
        <v>60206701</v>
      </c>
      <c r="J656" s="128">
        <v>355595</v>
      </c>
      <c r="K656" s="130">
        <v>68247100</v>
      </c>
      <c r="L656" s="44">
        <v>371036</v>
      </c>
      <c r="M656" s="44">
        <v>1683213</v>
      </c>
      <c r="N656" s="44">
        <v>20822602</v>
      </c>
      <c r="O656" s="44">
        <v>1193888</v>
      </c>
      <c r="P656" s="44">
        <v>1258509</v>
      </c>
      <c r="Q656" s="44">
        <v>1467206</v>
      </c>
      <c r="R656" s="44">
        <v>676553</v>
      </c>
      <c r="S656" s="44">
        <v>130855</v>
      </c>
      <c r="T656" s="44">
        <v>5415778</v>
      </c>
      <c r="U656" s="44">
        <v>4029371</v>
      </c>
      <c r="V656" s="44">
        <v>0</v>
      </c>
      <c r="W656" s="44">
        <v>5338544</v>
      </c>
      <c r="X656" s="44">
        <v>2055750</v>
      </c>
      <c r="Y656" s="44">
        <v>5858690</v>
      </c>
      <c r="Z656" s="44">
        <v>4116458</v>
      </c>
      <c r="AA656" s="44">
        <v>464106</v>
      </c>
      <c r="AB656" s="44">
        <v>0</v>
      </c>
      <c r="AC656" s="44">
        <v>54882559</v>
      </c>
      <c r="AD656" s="44">
        <v>2963791</v>
      </c>
      <c r="AE656" s="44">
        <v>4390000</v>
      </c>
      <c r="AF656" s="44">
        <v>4501905</v>
      </c>
      <c r="AG656" s="44">
        <v>66738255</v>
      </c>
      <c r="AH656" s="44">
        <v>2759</v>
      </c>
      <c r="AI656" s="44">
        <v>24736</v>
      </c>
      <c r="AJ656" s="44">
        <v>24189</v>
      </c>
      <c r="AK656" s="44">
        <v>1310278</v>
      </c>
      <c r="AL656" s="44">
        <v>451607</v>
      </c>
      <c r="AM656" s="44">
        <v>3.5670000000000002</v>
      </c>
      <c r="AN656" s="44">
        <v>0.52435836088312471</v>
      </c>
      <c r="AO656" s="44">
        <v>0.151</v>
      </c>
      <c r="AP656" s="44">
        <v>0.67535836088312473</v>
      </c>
      <c r="AQ656" s="44">
        <v>0.81879999999999997</v>
      </c>
      <c r="AR656" s="44">
        <v>12.16</v>
      </c>
    </row>
    <row r="657" spans="1:44">
      <c r="A657" t="s">
        <v>459</v>
      </c>
      <c r="B657" t="s">
        <v>460</v>
      </c>
      <c r="D657" t="s">
        <v>1639</v>
      </c>
      <c r="E657" s="44">
        <v>2758249</v>
      </c>
      <c r="F657" s="44">
        <v>2645647</v>
      </c>
      <c r="G657" s="44">
        <v>3330525</v>
      </c>
      <c r="H657" s="126">
        <v>5976172</v>
      </c>
      <c r="I657" s="127">
        <v>30028648</v>
      </c>
      <c r="J657" s="128">
        <v>360121</v>
      </c>
      <c r="K657" s="130">
        <v>36364941</v>
      </c>
      <c r="L657" s="44">
        <v>201227</v>
      </c>
      <c r="M657" s="44">
        <v>766614</v>
      </c>
      <c r="N657" s="44">
        <v>11545918</v>
      </c>
      <c r="O657" s="44">
        <v>793303</v>
      </c>
      <c r="P657" s="44">
        <v>744852</v>
      </c>
      <c r="Q657" s="44">
        <v>1373398</v>
      </c>
      <c r="R657" s="44">
        <v>327152</v>
      </c>
      <c r="S657" s="44">
        <v>434536</v>
      </c>
      <c r="T657" s="44">
        <v>1973130</v>
      </c>
      <c r="U657" s="44">
        <v>1850712</v>
      </c>
      <c r="V657" s="44">
        <v>0</v>
      </c>
      <c r="W657" s="44">
        <v>2202966</v>
      </c>
      <c r="X657" s="44">
        <v>1142121</v>
      </c>
      <c r="Y657" s="44">
        <v>3998062</v>
      </c>
      <c r="Z657" s="44">
        <v>1977006</v>
      </c>
      <c r="AA657" s="44">
        <v>413099</v>
      </c>
      <c r="AB657" s="44">
        <v>2143418</v>
      </c>
      <c r="AC657" s="44">
        <v>31887514</v>
      </c>
      <c r="AD657" s="44">
        <v>2019771</v>
      </c>
      <c r="AE657" s="44">
        <v>1199600</v>
      </c>
      <c r="AF657" s="44">
        <v>604183</v>
      </c>
      <c r="AG657" s="44">
        <v>35711068</v>
      </c>
      <c r="AH657" s="44">
        <v>1360</v>
      </c>
      <c r="AI657" s="44">
        <v>26739</v>
      </c>
      <c r="AJ657" s="44">
        <v>26258</v>
      </c>
      <c r="AK657" s="44">
        <v>1144918</v>
      </c>
      <c r="AL657" s="44">
        <v>252878</v>
      </c>
      <c r="AM657" s="44">
        <v>2.5350000000000001</v>
      </c>
      <c r="AN657" s="44">
        <v>0.53325207187866797</v>
      </c>
      <c r="AO657" s="44">
        <v>0.16400000000000001</v>
      </c>
      <c r="AP657" s="44">
        <v>0.697252071878668</v>
      </c>
      <c r="AQ657" s="44">
        <v>0.83340000000000003</v>
      </c>
      <c r="AR657" s="44">
        <v>14.18</v>
      </c>
    </row>
    <row r="658" spans="1:44">
      <c r="A658" t="s">
        <v>461</v>
      </c>
      <c r="B658" t="s">
        <v>462</v>
      </c>
      <c r="D658" t="s">
        <v>1639</v>
      </c>
      <c r="E658" s="44">
        <v>8680544</v>
      </c>
      <c r="F658" s="44">
        <v>11297835</v>
      </c>
      <c r="G658" s="44">
        <v>15249376</v>
      </c>
      <c r="H658" s="126">
        <v>26547211</v>
      </c>
      <c r="I658" s="127">
        <v>66405785</v>
      </c>
      <c r="J658" s="128">
        <v>2106782</v>
      </c>
      <c r="K658" s="130">
        <v>95059778</v>
      </c>
      <c r="L658" s="44">
        <v>308716</v>
      </c>
      <c r="M658" s="44">
        <v>2026525</v>
      </c>
      <c r="N658" s="44">
        <v>34445690</v>
      </c>
      <c r="O658" s="44">
        <v>1856859</v>
      </c>
      <c r="P658" s="44">
        <v>2821230</v>
      </c>
      <c r="Q658" s="44">
        <v>4546838</v>
      </c>
      <c r="R658" s="44">
        <v>833340</v>
      </c>
      <c r="S658" s="44">
        <v>1002581</v>
      </c>
      <c r="T658" s="44">
        <v>5637768</v>
      </c>
      <c r="U658" s="44">
        <v>3662465</v>
      </c>
      <c r="V658" s="44">
        <v>0</v>
      </c>
      <c r="W658" s="44">
        <v>5149626</v>
      </c>
      <c r="X658" s="44">
        <v>3258672</v>
      </c>
      <c r="Y658" s="44">
        <v>7827742</v>
      </c>
      <c r="Z658" s="44">
        <v>5340821</v>
      </c>
      <c r="AA658" s="44">
        <v>1608054</v>
      </c>
      <c r="AB658" s="44">
        <v>1826169</v>
      </c>
      <c r="AC658" s="44">
        <v>82153096</v>
      </c>
      <c r="AD658" s="44">
        <v>5520098</v>
      </c>
      <c r="AE658" s="44">
        <v>2195000</v>
      </c>
      <c r="AF658" s="44">
        <v>1286359</v>
      </c>
      <c r="AG658" s="44">
        <v>91154553</v>
      </c>
      <c r="AH658" s="44">
        <v>4065</v>
      </c>
      <c r="AI658" s="44">
        <v>23385</v>
      </c>
      <c r="AJ658" s="44">
        <v>22424</v>
      </c>
      <c r="AK658" s="44">
        <v>640628</v>
      </c>
      <c r="AL658" s="44">
        <v>195942</v>
      </c>
      <c r="AM658" s="44">
        <v>1.6419999999999999</v>
      </c>
      <c r="AN658" s="44">
        <v>0.60125105325238115</v>
      </c>
      <c r="AO658" s="44">
        <v>0.16200000000000001</v>
      </c>
      <c r="AP658" s="44">
        <v>0.76325105325238118</v>
      </c>
      <c r="AQ658" s="44">
        <v>0.8639</v>
      </c>
      <c r="AR658" s="44">
        <v>16.920000000000002</v>
      </c>
    </row>
    <row r="659" spans="1:44">
      <c r="A659" t="s">
        <v>463</v>
      </c>
      <c r="B659" t="s">
        <v>464</v>
      </c>
      <c r="D659" t="s">
        <v>1639</v>
      </c>
      <c r="E659" s="44">
        <v>4276503</v>
      </c>
      <c r="F659" s="44">
        <v>3683796</v>
      </c>
      <c r="G659" s="44">
        <v>4284082</v>
      </c>
      <c r="H659" s="126">
        <v>7967878</v>
      </c>
      <c r="I659" s="127">
        <v>38843570</v>
      </c>
      <c r="J659" s="128">
        <v>338378</v>
      </c>
      <c r="K659" s="130">
        <v>47149826</v>
      </c>
      <c r="L659" s="44">
        <v>391995</v>
      </c>
      <c r="M659" s="44">
        <v>1015004</v>
      </c>
      <c r="N659" s="44">
        <v>15011365</v>
      </c>
      <c r="O659" s="44">
        <v>913106</v>
      </c>
      <c r="P659" s="44">
        <v>1130265</v>
      </c>
      <c r="Q659" s="44">
        <v>1847336</v>
      </c>
      <c r="R659" s="44">
        <v>540665</v>
      </c>
      <c r="S659" s="44">
        <v>0</v>
      </c>
      <c r="T659" s="44">
        <v>3885588</v>
      </c>
      <c r="U659" s="44">
        <v>1731200</v>
      </c>
      <c r="V659" s="44">
        <v>0</v>
      </c>
      <c r="W659" s="44">
        <v>4248174</v>
      </c>
      <c r="X659" s="44">
        <v>1502444</v>
      </c>
      <c r="Y659" s="44">
        <v>2795065</v>
      </c>
      <c r="Z659" s="44">
        <v>2575658</v>
      </c>
      <c r="AA659" s="44">
        <v>955432</v>
      </c>
      <c r="AB659" s="44">
        <v>495000</v>
      </c>
      <c r="AC659" s="44">
        <v>39038297</v>
      </c>
      <c r="AD659" s="44">
        <v>1718250</v>
      </c>
      <c r="AE659" s="44">
        <v>2055000</v>
      </c>
      <c r="AF659" s="44">
        <v>1582823</v>
      </c>
      <c r="AG659" s="44">
        <v>44394370</v>
      </c>
      <c r="AH659" s="44">
        <v>1807</v>
      </c>
      <c r="AI659" s="44">
        <v>26093</v>
      </c>
      <c r="AJ659" s="44">
        <v>24568</v>
      </c>
      <c r="AK659" s="44">
        <v>750882</v>
      </c>
      <c r="AL659" s="44">
        <v>316792</v>
      </c>
      <c r="AM659" s="44">
        <v>2.282</v>
      </c>
      <c r="AN659" s="44">
        <v>0.5644752927004032</v>
      </c>
      <c r="AO659" s="44">
        <v>0.13700000000000001</v>
      </c>
      <c r="AP659" s="44">
        <v>0.70147529270040321</v>
      </c>
      <c r="AQ659" s="44">
        <v>0.80549999999999999</v>
      </c>
      <c r="AR659" s="44">
        <v>20.55</v>
      </c>
    </row>
    <row r="660" spans="1:44">
      <c r="A660" t="s">
        <v>465</v>
      </c>
      <c r="B660" t="s">
        <v>466</v>
      </c>
      <c r="D660" t="s">
        <v>1639</v>
      </c>
      <c r="E660" s="44">
        <v>5196767</v>
      </c>
      <c r="F660" s="44">
        <v>28294182</v>
      </c>
      <c r="G660" s="44">
        <v>10073254</v>
      </c>
      <c r="H660" s="126">
        <v>38367436</v>
      </c>
      <c r="I660" s="127">
        <v>25368595</v>
      </c>
      <c r="J660" s="128">
        <v>4257323</v>
      </c>
      <c r="K660" s="130">
        <v>67993354</v>
      </c>
      <c r="L660" s="44">
        <v>238186</v>
      </c>
      <c r="M660" s="44">
        <v>1169855</v>
      </c>
      <c r="N660" s="44">
        <v>23402966</v>
      </c>
      <c r="O660" s="44">
        <v>1867990</v>
      </c>
      <c r="P660" s="44">
        <v>1232738</v>
      </c>
      <c r="Q660" s="44">
        <v>6498135</v>
      </c>
      <c r="R660" s="44">
        <v>339764</v>
      </c>
      <c r="S660" s="44">
        <v>1311275</v>
      </c>
      <c r="T660" s="44">
        <v>4221103</v>
      </c>
      <c r="U660" s="44">
        <v>2568803</v>
      </c>
      <c r="V660" s="44">
        <v>0</v>
      </c>
      <c r="W660" s="44">
        <v>3792352</v>
      </c>
      <c r="X660" s="44">
        <v>1874635</v>
      </c>
      <c r="Y660" s="44">
        <v>5718766</v>
      </c>
      <c r="Z660" s="44">
        <v>4131387</v>
      </c>
      <c r="AA660" s="44">
        <v>810727</v>
      </c>
      <c r="AB660" s="44">
        <v>95000</v>
      </c>
      <c r="AC660" s="44">
        <v>59273682</v>
      </c>
      <c r="AD660" s="44">
        <v>3168868</v>
      </c>
      <c r="AE660" s="44">
        <v>1155000</v>
      </c>
      <c r="AF660" s="44">
        <v>1689107</v>
      </c>
      <c r="AG660" s="44">
        <v>65286657</v>
      </c>
      <c r="AH660" s="44">
        <v>3043</v>
      </c>
      <c r="AI660" s="44">
        <v>22344</v>
      </c>
      <c r="AJ660" s="44">
        <v>21455</v>
      </c>
      <c r="AK660" s="44">
        <v>322854</v>
      </c>
      <c r="AL660" s="44">
        <v>135005</v>
      </c>
      <c r="AM660" s="44">
        <v>0.97599999999999998</v>
      </c>
      <c r="AN660" s="44">
        <v>0.63478168287893799</v>
      </c>
      <c r="AO660" s="44">
        <v>0.16200000000000001</v>
      </c>
      <c r="AP660" s="44">
        <v>0.79678168287893802</v>
      </c>
      <c r="AQ660" s="44">
        <v>0.87870000000000004</v>
      </c>
      <c r="AR660" s="44">
        <v>16.579999999999998</v>
      </c>
    </row>
    <row r="661" spans="1:44">
      <c r="A661" t="s">
        <v>467</v>
      </c>
      <c r="B661" t="s">
        <v>468</v>
      </c>
      <c r="D661" t="s">
        <v>1639</v>
      </c>
      <c r="E661" s="44">
        <v>2847635</v>
      </c>
      <c r="F661" s="44">
        <v>4506459</v>
      </c>
      <c r="G661" s="44">
        <v>5185119</v>
      </c>
      <c r="H661" s="126">
        <v>9691578</v>
      </c>
      <c r="I661" s="127">
        <v>41963522</v>
      </c>
      <c r="J661" s="128">
        <v>654262</v>
      </c>
      <c r="K661" s="130">
        <v>52309362</v>
      </c>
      <c r="L661" s="44">
        <v>268233</v>
      </c>
      <c r="M661" s="44">
        <v>1110802</v>
      </c>
      <c r="N661" s="44">
        <v>18859771</v>
      </c>
      <c r="O661" s="44">
        <v>1791818</v>
      </c>
      <c r="P661" s="44">
        <v>1466119</v>
      </c>
      <c r="Q661" s="44">
        <v>2940431</v>
      </c>
      <c r="R661" s="44">
        <v>303605</v>
      </c>
      <c r="S661" s="44">
        <v>432303</v>
      </c>
      <c r="T661" s="44">
        <v>2634310</v>
      </c>
      <c r="U661" s="44">
        <v>1900259</v>
      </c>
      <c r="V661" s="44">
        <v>269290</v>
      </c>
      <c r="W661" s="44">
        <v>3402429</v>
      </c>
      <c r="X661" s="44">
        <v>1928175</v>
      </c>
      <c r="Y661" s="44">
        <v>4781818</v>
      </c>
      <c r="Z661" s="44">
        <v>2886914</v>
      </c>
      <c r="AA661" s="44">
        <v>413064</v>
      </c>
      <c r="AB661" s="44">
        <v>80000</v>
      </c>
      <c r="AC661" s="44">
        <v>45469341</v>
      </c>
      <c r="AD661" s="44">
        <v>962034</v>
      </c>
      <c r="AE661" s="44">
        <v>1924135</v>
      </c>
      <c r="AF661" s="44">
        <v>1176066</v>
      </c>
      <c r="AG661" s="44">
        <v>49531576</v>
      </c>
      <c r="AH661" s="44">
        <v>2791</v>
      </c>
      <c r="AI661" s="44">
        <v>18742</v>
      </c>
      <c r="AJ661" s="44">
        <v>17747</v>
      </c>
      <c r="AK661" s="44">
        <v>765316</v>
      </c>
      <c r="AL661" s="44">
        <v>240574</v>
      </c>
      <c r="AM661" s="44">
        <v>1.988</v>
      </c>
      <c r="AN661" s="44">
        <v>0.61230872201603281</v>
      </c>
      <c r="AO661" s="44">
        <v>0.17299999999999999</v>
      </c>
      <c r="AP661" s="44">
        <v>0.78530872201603286</v>
      </c>
      <c r="AQ661" s="44">
        <v>0.85640000000000005</v>
      </c>
      <c r="AR661" s="44">
        <v>15.51</v>
      </c>
    </row>
    <row r="662" spans="1:44">
      <c r="A662" t="s">
        <v>469</v>
      </c>
      <c r="B662" t="s">
        <v>470</v>
      </c>
      <c r="D662" t="s">
        <v>1639</v>
      </c>
      <c r="E662" s="44">
        <v>2725428</v>
      </c>
      <c r="F662" s="44">
        <v>2580669</v>
      </c>
      <c r="G662" s="44">
        <v>4518645</v>
      </c>
      <c r="H662" s="126">
        <v>7099314</v>
      </c>
      <c r="I662" s="127">
        <v>53223543</v>
      </c>
      <c r="J662" s="128">
        <v>644302</v>
      </c>
      <c r="K662" s="130">
        <v>60967159</v>
      </c>
      <c r="L662" s="44">
        <v>1488274</v>
      </c>
      <c r="M662" s="44">
        <v>1320865</v>
      </c>
      <c r="N662" s="44">
        <v>22955000</v>
      </c>
      <c r="O662" s="44">
        <v>1565084</v>
      </c>
      <c r="P662" s="44">
        <v>1800540</v>
      </c>
      <c r="Q662" s="44">
        <v>783256</v>
      </c>
      <c r="R662" s="44">
        <v>574501</v>
      </c>
      <c r="S662" s="44">
        <v>139798</v>
      </c>
      <c r="T662" s="44">
        <v>4728180</v>
      </c>
      <c r="U662" s="44">
        <v>3484751</v>
      </c>
      <c r="V662" s="44">
        <v>66100</v>
      </c>
      <c r="W662" s="44">
        <v>4412484</v>
      </c>
      <c r="X662" s="44">
        <v>2478554</v>
      </c>
      <c r="Y662" s="44">
        <v>6005586</v>
      </c>
      <c r="Z662" s="44">
        <v>3173051</v>
      </c>
      <c r="AA662" s="44">
        <v>2902702</v>
      </c>
      <c r="AB662" s="44">
        <v>65283</v>
      </c>
      <c r="AC662" s="44">
        <v>57944009</v>
      </c>
      <c r="AD662" s="44">
        <v>679413</v>
      </c>
      <c r="AE662" s="44">
        <v>2070000</v>
      </c>
      <c r="AF662" s="44">
        <v>1271689</v>
      </c>
      <c r="AG662" s="44">
        <v>61965111</v>
      </c>
      <c r="AH662" s="44">
        <v>2906</v>
      </c>
      <c r="AI662" s="44">
        <v>20980</v>
      </c>
      <c r="AJ662" s="44">
        <v>21323</v>
      </c>
      <c r="AK662" s="44">
        <v>1540280</v>
      </c>
      <c r="AL662" s="44">
        <v>710830</v>
      </c>
      <c r="AM662" s="44">
        <v>4.9329999999999998</v>
      </c>
      <c r="AN662" s="44">
        <v>0.58147414599160485</v>
      </c>
      <c r="AO662" s="44">
        <v>0.17199999999999999</v>
      </c>
      <c r="AP662" s="44">
        <v>0.75347414599160478</v>
      </c>
      <c r="AQ662" s="44">
        <v>0.80479999999999996</v>
      </c>
      <c r="AR662" s="44">
        <v>10.14</v>
      </c>
    </row>
    <row r="663" spans="1:44">
      <c r="A663" t="s">
        <v>471</v>
      </c>
      <c r="B663" t="s">
        <v>472</v>
      </c>
      <c r="D663" t="s">
        <v>1639</v>
      </c>
      <c r="E663" s="44">
        <v>1853489</v>
      </c>
      <c r="F663" s="44">
        <v>1729423</v>
      </c>
      <c r="G663" s="44">
        <v>3156156</v>
      </c>
      <c r="H663" s="126">
        <v>4885579</v>
      </c>
      <c r="I663" s="127">
        <v>24775070</v>
      </c>
      <c r="J663" s="128">
        <v>391935</v>
      </c>
      <c r="K663" s="130">
        <v>30052584</v>
      </c>
      <c r="L663" s="44">
        <v>93675</v>
      </c>
      <c r="M663" s="44">
        <v>951884</v>
      </c>
      <c r="N663" s="44">
        <v>10463739</v>
      </c>
      <c r="O663" s="44">
        <v>893978</v>
      </c>
      <c r="P663" s="44">
        <v>671993</v>
      </c>
      <c r="Q663" s="44">
        <v>785699</v>
      </c>
      <c r="R663" s="44">
        <v>151704</v>
      </c>
      <c r="S663" s="44">
        <v>329297</v>
      </c>
      <c r="T663" s="44">
        <v>2526516</v>
      </c>
      <c r="U663" s="44">
        <v>2070921</v>
      </c>
      <c r="V663" s="44">
        <v>0</v>
      </c>
      <c r="W663" s="44">
        <v>2470899</v>
      </c>
      <c r="X663" s="44">
        <v>1440128</v>
      </c>
      <c r="Y663" s="44">
        <v>2757007</v>
      </c>
      <c r="Z663" s="44">
        <v>1758494</v>
      </c>
      <c r="AA663" s="44">
        <v>530148</v>
      </c>
      <c r="AB663" s="44">
        <v>0</v>
      </c>
      <c r="AC663" s="44">
        <v>27896082</v>
      </c>
      <c r="AD663" s="44">
        <v>583508</v>
      </c>
      <c r="AE663" s="44">
        <v>725000</v>
      </c>
      <c r="AF663" s="44">
        <v>466090</v>
      </c>
      <c r="AG663" s="44">
        <v>29670680</v>
      </c>
      <c r="AH663" s="44">
        <v>1465</v>
      </c>
      <c r="AI663" s="44">
        <v>20514</v>
      </c>
      <c r="AJ663" s="44">
        <v>20253</v>
      </c>
      <c r="AK663" s="44">
        <v>911484</v>
      </c>
      <c r="AL663" s="44">
        <v>237207</v>
      </c>
      <c r="AM663" s="44">
        <v>2.165</v>
      </c>
      <c r="AN663" s="44">
        <v>0.60308179657493521</v>
      </c>
      <c r="AO663" s="44">
        <v>0.17799999999999999</v>
      </c>
      <c r="AP663" s="44">
        <v>0.78108179657493526</v>
      </c>
      <c r="AQ663" s="44">
        <v>0.82940000000000003</v>
      </c>
      <c r="AR663" s="44">
        <v>11.89</v>
      </c>
    </row>
    <row r="664" spans="1:44">
      <c r="A664" t="s">
        <v>473</v>
      </c>
      <c r="B664" t="s">
        <v>474</v>
      </c>
      <c r="D664" t="s">
        <v>1639</v>
      </c>
      <c r="E664" s="44">
        <v>1814690</v>
      </c>
      <c r="F664" s="44">
        <v>12048951</v>
      </c>
      <c r="G664" s="44">
        <v>6657979</v>
      </c>
      <c r="H664" s="126">
        <v>18706930</v>
      </c>
      <c r="I664" s="127">
        <v>42487329</v>
      </c>
      <c r="J664" s="128">
        <v>2779276</v>
      </c>
      <c r="K664" s="130">
        <v>63973535</v>
      </c>
      <c r="L664" s="44">
        <v>286862</v>
      </c>
      <c r="M664" s="44">
        <v>915798</v>
      </c>
      <c r="N664" s="44">
        <v>23235374</v>
      </c>
      <c r="O664" s="44">
        <v>1306952</v>
      </c>
      <c r="P664" s="44">
        <v>3128508</v>
      </c>
      <c r="Q664" s="44">
        <v>4209710</v>
      </c>
      <c r="R664" s="44">
        <v>460010</v>
      </c>
      <c r="S664" s="44">
        <v>484955</v>
      </c>
      <c r="T664" s="44">
        <v>3797949</v>
      </c>
      <c r="U664" s="44">
        <v>3775713</v>
      </c>
      <c r="V664" s="44">
        <v>956</v>
      </c>
      <c r="W664" s="44">
        <v>5127816</v>
      </c>
      <c r="X664" s="44">
        <v>2397090</v>
      </c>
      <c r="Y664" s="44">
        <v>5347899</v>
      </c>
      <c r="Z664" s="44">
        <v>4089910</v>
      </c>
      <c r="AA664" s="44">
        <v>1121075</v>
      </c>
      <c r="AB664" s="44">
        <v>0</v>
      </c>
      <c r="AC664" s="44">
        <v>59686577</v>
      </c>
      <c r="AD664" s="44">
        <v>2138860</v>
      </c>
      <c r="AE664" s="44">
        <v>1480000</v>
      </c>
      <c r="AF664" s="44">
        <v>1093302</v>
      </c>
      <c r="AG664" s="44">
        <v>64398739</v>
      </c>
      <c r="AH664" s="44">
        <v>3778</v>
      </c>
      <c r="AI664" s="44">
        <v>16933</v>
      </c>
      <c r="AJ664" s="44">
        <v>17046</v>
      </c>
      <c r="AK664" s="44">
        <v>677949</v>
      </c>
      <c r="AL664" s="44">
        <v>128474</v>
      </c>
      <c r="AM664" s="44">
        <v>1.413</v>
      </c>
      <c r="AN664" s="44">
        <v>0.62732860343740582</v>
      </c>
      <c r="AO664" s="44">
        <v>0.16800000000000001</v>
      </c>
      <c r="AP664" s="44">
        <v>0.79532860343740586</v>
      </c>
      <c r="AQ664" s="44">
        <v>0.85709999999999997</v>
      </c>
      <c r="AR664" s="44">
        <v>12.69</v>
      </c>
    </row>
    <row r="665" spans="1:44">
      <c r="A665" t="s">
        <v>475</v>
      </c>
      <c r="B665" t="s">
        <v>476</v>
      </c>
      <c r="D665" t="s">
        <v>1639</v>
      </c>
      <c r="E665" s="44">
        <v>2869519</v>
      </c>
      <c r="F665" s="44">
        <v>2262042</v>
      </c>
      <c r="G665" s="44">
        <v>2916672</v>
      </c>
      <c r="H665" s="126">
        <v>5178714</v>
      </c>
      <c r="I665" s="127">
        <v>27939783</v>
      </c>
      <c r="J665" s="128">
        <v>300164</v>
      </c>
      <c r="K665" s="130">
        <v>33418661</v>
      </c>
      <c r="L665" s="44">
        <v>202953</v>
      </c>
      <c r="M665" s="44">
        <v>779473</v>
      </c>
      <c r="N665" s="44">
        <v>11608267</v>
      </c>
      <c r="O665" s="44">
        <v>947900</v>
      </c>
      <c r="P665" s="44">
        <v>859824</v>
      </c>
      <c r="Q665" s="44">
        <v>646991</v>
      </c>
      <c r="R665" s="44">
        <v>802163</v>
      </c>
      <c r="S665" s="44">
        <v>47044</v>
      </c>
      <c r="T665" s="44">
        <v>2513953</v>
      </c>
      <c r="U665" s="44">
        <v>1772294</v>
      </c>
      <c r="V665" s="44">
        <v>5175</v>
      </c>
      <c r="W665" s="44">
        <v>2352361</v>
      </c>
      <c r="X665" s="44">
        <v>1189239</v>
      </c>
      <c r="Y665" s="44">
        <v>2727942</v>
      </c>
      <c r="Z665" s="44">
        <v>2150404</v>
      </c>
      <c r="AA665" s="44">
        <v>319184</v>
      </c>
      <c r="AB665" s="44">
        <v>143957</v>
      </c>
      <c r="AC665" s="44">
        <v>29069124</v>
      </c>
      <c r="AD665" s="44">
        <v>839135</v>
      </c>
      <c r="AE665" s="44">
        <v>1213721</v>
      </c>
      <c r="AF665" s="44">
        <v>1776603</v>
      </c>
      <c r="AG665" s="44">
        <v>32898583</v>
      </c>
      <c r="AH665" s="44">
        <v>1524</v>
      </c>
      <c r="AI665" s="44">
        <v>21928</v>
      </c>
      <c r="AJ665" s="44">
        <v>21587</v>
      </c>
      <c r="AK665" s="44">
        <v>1009974</v>
      </c>
      <c r="AL665" s="44">
        <v>186983</v>
      </c>
      <c r="AM665" s="44">
        <v>2.0880000000000001</v>
      </c>
      <c r="AN665" s="44">
        <v>0.58356422220373438</v>
      </c>
      <c r="AO665" s="44">
        <v>0.16400000000000001</v>
      </c>
      <c r="AP665" s="44">
        <v>0.74756422220373442</v>
      </c>
      <c r="AQ665" s="44">
        <v>0.8448</v>
      </c>
      <c r="AR665" s="44">
        <v>13.46</v>
      </c>
    </row>
    <row r="666" spans="1:44">
      <c r="A666" t="s">
        <v>477</v>
      </c>
      <c r="B666" t="s">
        <v>478</v>
      </c>
      <c r="D666" t="s">
        <v>1639</v>
      </c>
      <c r="E666" s="44">
        <v>6652565</v>
      </c>
      <c r="F666" s="44">
        <v>6507828</v>
      </c>
      <c r="G666" s="44">
        <v>6856897</v>
      </c>
      <c r="H666" s="126">
        <v>13364725</v>
      </c>
      <c r="I666" s="127">
        <v>103102454</v>
      </c>
      <c r="J666" s="128">
        <v>945207</v>
      </c>
      <c r="K666" s="130">
        <v>117412386</v>
      </c>
      <c r="L666" s="44">
        <v>264864</v>
      </c>
      <c r="M666" s="44">
        <v>1781554</v>
      </c>
      <c r="N666" s="44">
        <v>43913413</v>
      </c>
      <c r="O666" s="44">
        <v>2673171</v>
      </c>
      <c r="P666" s="44">
        <v>1895815</v>
      </c>
      <c r="Q666" s="44">
        <v>1349513</v>
      </c>
      <c r="R666" s="44">
        <v>385612</v>
      </c>
      <c r="S666" s="44">
        <v>2075539</v>
      </c>
      <c r="T666" s="44">
        <v>8097134</v>
      </c>
      <c r="U666" s="44">
        <v>4132640</v>
      </c>
      <c r="V666" s="44">
        <v>238926</v>
      </c>
      <c r="W666" s="44">
        <v>9751965</v>
      </c>
      <c r="X666" s="44">
        <v>4285916</v>
      </c>
      <c r="Y666" s="44">
        <v>11276478</v>
      </c>
      <c r="Z666" s="44">
        <v>6359916</v>
      </c>
      <c r="AA666" s="44">
        <v>1386227</v>
      </c>
      <c r="AB666" s="44">
        <v>470000</v>
      </c>
      <c r="AC666" s="44">
        <v>100338683</v>
      </c>
      <c r="AD666" s="44">
        <v>3105832</v>
      </c>
      <c r="AE666" s="44">
        <v>6489307</v>
      </c>
      <c r="AF666" s="44">
        <v>3158652</v>
      </c>
      <c r="AG666" s="44">
        <v>113092474</v>
      </c>
      <c r="AH666" s="44">
        <v>4728</v>
      </c>
      <c r="AI666" s="44">
        <v>24833</v>
      </c>
      <c r="AJ666" s="44">
        <v>23920</v>
      </c>
      <c r="AK666" s="44">
        <v>1322851</v>
      </c>
      <c r="AL666" s="44">
        <v>613988</v>
      </c>
      <c r="AM666" s="44">
        <v>4.25</v>
      </c>
      <c r="AN666" s="44">
        <v>0.57053166066558947</v>
      </c>
      <c r="AO666" s="44">
        <v>0.17</v>
      </c>
      <c r="AP666" s="44">
        <v>0.74053166066558951</v>
      </c>
      <c r="AQ666" s="44">
        <v>0.83799999999999997</v>
      </c>
      <c r="AR666" s="44">
        <v>12.77</v>
      </c>
    </row>
    <row r="667" spans="1:44">
      <c r="A667" t="s">
        <v>479</v>
      </c>
      <c r="B667" t="s">
        <v>480</v>
      </c>
      <c r="D667" t="s">
        <v>1639</v>
      </c>
      <c r="E667" s="44">
        <v>2577161</v>
      </c>
      <c r="F667" s="44">
        <v>5539727</v>
      </c>
      <c r="G667" s="44">
        <v>10119593</v>
      </c>
      <c r="H667" s="126">
        <v>15659320</v>
      </c>
      <c r="I667" s="127">
        <v>53519534</v>
      </c>
      <c r="J667" s="128">
        <v>1532232</v>
      </c>
      <c r="K667" s="130">
        <v>70711086</v>
      </c>
      <c r="L667" s="44">
        <v>178107</v>
      </c>
      <c r="M667" s="44">
        <v>1439669</v>
      </c>
      <c r="N667" s="44">
        <v>25956809</v>
      </c>
      <c r="O667" s="44">
        <v>1464880</v>
      </c>
      <c r="P667" s="44">
        <v>1790465</v>
      </c>
      <c r="Q667" s="44">
        <v>2462317</v>
      </c>
      <c r="R667" s="44">
        <v>181290</v>
      </c>
      <c r="S667" s="44">
        <v>768486</v>
      </c>
      <c r="T667" s="44">
        <v>4121063</v>
      </c>
      <c r="U667" s="44">
        <v>3210845</v>
      </c>
      <c r="V667" s="44">
        <v>0</v>
      </c>
      <c r="W667" s="44">
        <v>4184233</v>
      </c>
      <c r="X667" s="44">
        <v>2580188</v>
      </c>
      <c r="Y667" s="44">
        <v>6672384</v>
      </c>
      <c r="Z667" s="44">
        <v>3911815</v>
      </c>
      <c r="AA667" s="44">
        <v>1037063</v>
      </c>
      <c r="AB667" s="44">
        <v>0</v>
      </c>
      <c r="AC667" s="44">
        <v>59959614</v>
      </c>
      <c r="AD667" s="44">
        <v>4716496</v>
      </c>
      <c r="AE667" s="44">
        <v>1337926</v>
      </c>
      <c r="AF667" s="44">
        <v>1230173</v>
      </c>
      <c r="AG667" s="44">
        <v>67244209</v>
      </c>
      <c r="AH667" s="44">
        <v>3412</v>
      </c>
      <c r="AI667" s="44">
        <v>20724</v>
      </c>
      <c r="AJ667" s="44">
        <v>19708</v>
      </c>
      <c r="AK667" s="44">
        <v>900449</v>
      </c>
      <c r="AL667" s="44">
        <v>232692</v>
      </c>
      <c r="AM667" s="44">
        <v>2.1320000000000001</v>
      </c>
      <c r="AN667" s="44">
        <v>0.59419473578758286</v>
      </c>
      <c r="AO667" s="44">
        <v>0.17799999999999999</v>
      </c>
      <c r="AP667" s="44">
        <v>0.77219473578758291</v>
      </c>
      <c r="AQ667" s="44">
        <v>0.86609999999999998</v>
      </c>
      <c r="AR667" s="44">
        <v>12.47</v>
      </c>
    </row>
    <row r="668" spans="1:44">
      <c r="A668" t="s">
        <v>481</v>
      </c>
      <c r="B668" t="s">
        <v>482</v>
      </c>
      <c r="D668" t="s">
        <v>1639</v>
      </c>
      <c r="E668" s="44">
        <v>5222101</v>
      </c>
      <c r="F668" s="44">
        <v>14428304</v>
      </c>
      <c r="G668" s="44">
        <v>18925271</v>
      </c>
      <c r="H668" s="126">
        <v>33353575</v>
      </c>
      <c r="I668" s="127">
        <v>145541507</v>
      </c>
      <c r="J668" s="128">
        <v>3836773</v>
      </c>
      <c r="K668" s="130">
        <v>182731855</v>
      </c>
      <c r="L668" s="44">
        <v>877974</v>
      </c>
      <c r="M668" s="44">
        <v>3194936</v>
      </c>
      <c r="N668" s="44">
        <v>66351117</v>
      </c>
      <c r="O668" s="44">
        <v>3267745</v>
      </c>
      <c r="P668" s="44">
        <v>5545067</v>
      </c>
      <c r="Q668" s="44">
        <v>8417674</v>
      </c>
      <c r="R668" s="44">
        <v>269181</v>
      </c>
      <c r="S668" s="44">
        <v>1865160</v>
      </c>
      <c r="T668" s="44">
        <v>10861820</v>
      </c>
      <c r="U668" s="44">
        <v>6006339</v>
      </c>
      <c r="V668" s="44">
        <v>85725</v>
      </c>
      <c r="W668" s="44">
        <v>10472887</v>
      </c>
      <c r="X668" s="44">
        <v>6437824</v>
      </c>
      <c r="Y668" s="44">
        <v>17141451</v>
      </c>
      <c r="Z668" s="44">
        <v>10463578</v>
      </c>
      <c r="AA668" s="44">
        <v>6670249</v>
      </c>
      <c r="AB668" s="44">
        <v>352000</v>
      </c>
      <c r="AC668" s="44">
        <v>158280727</v>
      </c>
      <c r="AD668" s="44">
        <v>8493045</v>
      </c>
      <c r="AE668" s="44">
        <v>4540000</v>
      </c>
      <c r="AF668" s="44">
        <v>1347169</v>
      </c>
      <c r="AG668" s="44">
        <v>172660941</v>
      </c>
      <c r="AH668" s="44">
        <v>7132</v>
      </c>
      <c r="AI668" s="44">
        <v>25621</v>
      </c>
      <c r="AJ668" s="44">
        <v>24209</v>
      </c>
      <c r="AK668" s="44">
        <v>863024</v>
      </c>
      <c r="AL668" s="44">
        <v>219518</v>
      </c>
      <c r="AM668" s="44">
        <v>2.0299999999999998</v>
      </c>
      <c r="AN668" s="44">
        <v>0.59413612833257989</v>
      </c>
      <c r="AO668" s="44">
        <v>0.18099999999999999</v>
      </c>
      <c r="AP668" s="44">
        <v>0.77513612833257994</v>
      </c>
      <c r="AQ668" s="44">
        <v>0.84750000000000003</v>
      </c>
      <c r="AR668" s="44">
        <v>16.920000000000002</v>
      </c>
    </row>
    <row r="669" spans="1:44">
      <c r="A669" t="s">
        <v>1949</v>
      </c>
      <c r="B669" t="s">
        <v>483</v>
      </c>
      <c r="D669" t="s">
        <v>1639</v>
      </c>
      <c r="E669" s="44">
        <v>0</v>
      </c>
      <c r="F669" s="44">
        <v>226730997</v>
      </c>
      <c r="G669" s="44">
        <v>38793903</v>
      </c>
      <c r="H669" s="126">
        <v>265524900</v>
      </c>
      <c r="I669" s="127">
        <v>183439683</v>
      </c>
      <c r="J669" s="128">
        <v>37006082</v>
      </c>
      <c r="K669" s="130">
        <v>485970665</v>
      </c>
      <c r="L669" s="44">
        <v>1946835</v>
      </c>
      <c r="M669" s="44">
        <v>5136111</v>
      </c>
      <c r="N669" s="44">
        <v>163012762</v>
      </c>
      <c r="O669" s="44">
        <v>8979499</v>
      </c>
      <c r="P669" s="44">
        <v>12769181</v>
      </c>
      <c r="Q669" s="44">
        <v>15387729</v>
      </c>
      <c r="R669" s="44">
        <v>5433399</v>
      </c>
      <c r="S669" s="44">
        <v>7090019</v>
      </c>
      <c r="T669" s="44">
        <v>42757895</v>
      </c>
      <c r="U669" s="44">
        <v>23233510</v>
      </c>
      <c r="V669" s="44">
        <v>782705</v>
      </c>
      <c r="W669" s="44">
        <v>33482539</v>
      </c>
      <c r="X669" s="44">
        <v>14545198</v>
      </c>
      <c r="Y669" s="44">
        <v>47123366</v>
      </c>
      <c r="Z669" s="44">
        <v>42463864</v>
      </c>
      <c r="AA669" s="44">
        <v>3791016</v>
      </c>
      <c r="AB669" s="44">
        <v>812865</v>
      </c>
      <c r="AC669" s="44">
        <v>428748493</v>
      </c>
      <c r="AD669" s="44">
        <v>28497509</v>
      </c>
      <c r="AE669" s="44">
        <v>12513461</v>
      </c>
      <c r="AF669" s="44">
        <v>5907238</v>
      </c>
      <c r="AG669" s="44">
        <v>475666701</v>
      </c>
      <c r="AH669" s="44">
        <v>24251</v>
      </c>
      <c r="AI669" s="44">
        <v>20039</v>
      </c>
      <c r="AJ669" s="44">
        <v>19614</v>
      </c>
      <c r="AK669" s="44">
        <v>470117</v>
      </c>
      <c r="AL669" s="44">
        <v>118489</v>
      </c>
      <c r="AM669" s="44">
        <v>1.101</v>
      </c>
      <c r="AN669" s="44">
        <v>0.58583876780561106</v>
      </c>
      <c r="AO669" s="44">
        <v>0.2</v>
      </c>
      <c r="AP669" s="44">
        <v>0.78583876780561113</v>
      </c>
      <c r="AQ669" s="44">
        <v>0.87060000000000004</v>
      </c>
      <c r="AR669" s="44">
        <v>11.49</v>
      </c>
    </row>
    <row r="670" spans="1:44">
      <c r="A670" t="s">
        <v>484</v>
      </c>
      <c r="B670" t="s">
        <v>485</v>
      </c>
      <c r="D670" t="s">
        <v>1639</v>
      </c>
      <c r="E670" s="44">
        <v>5503291</v>
      </c>
      <c r="F670" s="44">
        <v>35044436</v>
      </c>
      <c r="G670" s="44">
        <v>24003604</v>
      </c>
      <c r="H670" s="126">
        <v>59048040</v>
      </c>
      <c r="I670" s="127">
        <v>72468265</v>
      </c>
      <c r="J670" s="128">
        <v>2050094</v>
      </c>
      <c r="K670" s="130">
        <v>133566399</v>
      </c>
      <c r="L670" s="44">
        <v>360741</v>
      </c>
      <c r="M670" s="44">
        <v>1683940</v>
      </c>
      <c r="N670" s="44">
        <v>42698133</v>
      </c>
      <c r="O670" s="44">
        <v>2497903</v>
      </c>
      <c r="P670" s="44">
        <v>3225399</v>
      </c>
      <c r="Q670" s="44">
        <v>7096822</v>
      </c>
      <c r="R670" s="44">
        <v>150459</v>
      </c>
      <c r="S670" s="44">
        <v>1829106</v>
      </c>
      <c r="T670" s="44">
        <v>8824957</v>
      </c>
      <c r="U670" s="44">
        <v>3422676</v>
      </c>
      <c r="V670" s="44">
        <v>0</v>
      </c>
      <c r="W670" s="44">
        <v>7594342</v>
      </c>
      <c r="X670" s="44">
        <v>5116740</v>
      </c>
      <c r="Y670" s="44">
        <v>14460685</v>
      </c>
      <c r="Z670" s="44">
        <v>7788250</v>
      </c>
      <c r="AA670" s="44">
        <v>1803337</v>
      </c>
      <c r="AB670" s="44">
        <v>1380272</v>
      </c>
      <c r="AC670" s="44">
        <v>109933762</v>
      </c>
      <c r="AD670" s="44">
        <v>6946530</v>
      </c>
      <c r="AE670" s="44">
        <v>3886265</v>
      </c>
      <c r="AF670" s="44">
        <v>3128975</v>
      </c>
      <c r="AG670" s="44">
        <v>123895532</v>
      </c>
      <c r="AH670" s="44">
        <v>6339</v>
      </c>
      <c r="AI670" s="44">
        <v>21071</v>
      </c>
      <c r="AJ670" s="44">
        <v>19545</v>
      </c>
      <c r="AK670" s="44">
        <v>517380</v>
      </c>
      <c r="AL670" s="44">
        <v>106235</v>
      </c>
      <c r="AM670" s="44">
        <v>1.1120000000000001</v>
      </c>
      <c r="AN670" s="44">
        <v>0.56293761263319808</v>
      </c>
      <c r="AO670" s="44">
        <v>0.183</v>
      </c>
      <c r="AP670" s="44">
        <v>0.74593761263319802</v>
      </c>
      <c r="AQ670" s="44">
        <v>0.85160000000000002</v>
      </c>
      <c r="AR670" s="44">
        <v>15.48</v>
      </c>
    </row>
    <row r="671" spans="1:44">
      <c r="A671" t="s">
        <v>486</v>
      </c>
      <c r="B671" t="s">
        <v>487</v>
      </c>
      <c r="D671" t="s">
        <v>1639</v>
      </c>
      <c r="E671" s="44">
        <v>2462198</v>
      </c>
      <c r="F671" s="44">
        <v>13333956</v>
      </c>
      <c r="G671" s="44">
        <v>12531992</v>
      </c>
      <c r="H671" s="126">
        <v>25865948</v>
      </c>
      <c r="I671" s="127">
        <v>52538588</v>
      </c>
      <c r="J671" s="128">
        <v>1326068</v>
      </c>
      <c r="K671" s="130">
        <v>79730604</v>
      </c>
      <c r="L671" s="44">
        <v>224279</v>
      </c>
      <c r="M671" s="44">
        <v>1086675</v>
      </c>
      <c r="N671" s="44">
        <v>29703235</v>
      </c>
      <c r="O671" s="44">
        <v>1836693</v>
      </c>
      <c r="P671" s="44">
        <v>1344851</v>
      </c>
      <c r="Q671" s="44">
        <v>3720759</v>
      </c>
      <c r="R671" s="44">
        <v>133334</v>
      </c>
      <c r="S671" s="44">
        <v>1434484</v>
      </c>
      <c r="T671" s="44">
        <v>6565736</v>
      </c>
      <c r="U671" s="44">
        <v>3292273</v>
      </c>
      <c r="V671" s="44">
        <v>2150</v>
      </c>
      <c r="W671" s="44">
        <v>5120842</v>
      </c>
      <c r="X671" s="44">
        <v>3089953</v>
      </c>
      <c r="Y671" s="44">
        <v>5043786</v>
      </c>
      <c r="Z671" s="44">
        <v>5266571</v>
      </c>
      <c r="AA671" s="44">
        <v>1030934</v>
      </c>
      <c r="AB671" s="44">
        <v>290000</v>
      </c>
      <c r="AC671" s="44">
        <v>69186555</v>
      </c>
      <c r="AD671" s="44">
        <v>5884613</v>
      </c>
      <c r="AE671" s="44">
        <v>2165000</v>
      </c>
      <c r="AF671" s="44">
        <v>1551468</v>
      </c>
      <c r="AG671" s="44">
        <v>78787636</v>
      </c>
      <c r="AH671" s="44">
        <v>4064</v>
      </c>
      <c r="AI671" s="44">
        <v>19619</v>
      </c>
      <c r="AJ671" s="44">
        <v>19387</v>
      </c>
      <c r="AK671" s="44">
        <v>586777</v>
      </c>
      <c r="AL671" s="44">
        <v>172790</v>
      </c>
      <c r="AM671" s="44">
        <v>1.476</v>
      </c>
      <c r="AN671" s="44">
        <v>0.60963074206211743</v>
      </c>
      <c r="AO671" s="44">
        <v>0.155</v>
      </c>
      <c r="AP671" s="44">
        <v>0.76463074206211745</v>
      </c>
      <c r="AQ671" s="44">
        <v>0.87380000000000002</v>
      </c>
      <c r="AR671" s="44">
        <v>15.36</v>
      </c>
    </row>
    <row r="672" spans="1:44">
      <c r="A672" t="s">
        <v>488</v>
      </c>
      <c r="B672" t="s">
        <v>489</v>
      </c>
      <c r="D672" t="s">
        <v>1639</v>
      </c>
      <c r="E672" s="44">
        <v>1270930</v>
      </c>
      <c r="F672" s="44">
        <v>14840624</v>
      </c>
      <c r="G672" s="44">
        <v>1888524</v>
      </c>
      <c r="H672" s="126">
        <v>16729148</v>
      </c>
      <c r="I672" s="127">
        <v>7809315</v>
      </c>
      <c r="J672" s="128">
        <v>994146</v>
      </c>
      <c r="K672" s="130">
        <v>25532609</v>
      </c>
      <c r="L672" s="44">
        <v>144443</v>
      </c>
      <c r="M672" s="44">
        <v>381398</v>
      </c>
      <c r="N672" s="44">
        <v>7839032</v>
      </c>
      <c r="O672" s="44">
        <v>237115</v>
      </c>
      <c r="P672" s="44">
        <v>426376</v>
      </c>
      <c r="Q672" s="44">
        <v>1572405</v>
      </c>
      <c r="R672" s="44">
        <v>96497</v>
      </c>
      <c r="S672" s="44">
        <v>136423</v>
      </c>
      <c r="T672" s="44">
        <v>885254</v>
      </c>
      <c r="U672" s="44">
        <v>852641</v>
      </c>
      <c r="V672" s="44">
        <v>0</v>
      </c>
      <c r="W672" s="44">
        <v>1766723</v>
      </c>
      <c r="X672" s="44">
        <v>756553</v>
      </c>
      <c r="Y672" s="44">
        <v>2399660</v>
      </c>
      <c r="Z672" s="44">
        <v>1032769</v>
      </c>
      <c r="AA672" s="44">
        <v>942857</v>
      </c>
      <c r="AB672" s="44">
        <v>0</v>
      </c>
      <c r="AC672" s="44">
        <v>19470146</v>
      </c>
      <c r="AD672" s="44">
        <v>1453944</v>
      </c>
      <c r="AE672" s="44">
        <v>2044750</v>
      </c>
      <c r="AF672" s="44">
        <v>965316</v>
      </c>
      <c r="AG672" s="44">
        <v>23934156</v>
      </c>
      <c r="AH672" s="44">
        <v>1682</v>
      </c>
      <c r="AI672" s="44">
        <v>15180</v>
      </c>
      <c r="AJ672" s="44">
        <v>14230</v>
      </c>
      <c r="AK672" s="44">
        <v>213561</v>
      </c>
      <c r="AL672" s="44">
        <v>78909</v>
      </c>
      <c r="AM672" s="44">
        <v>0.60200000000000009</v>
      </c>
      <c r="AN672" s="44">
        <v>0.50328672546464559</v>
      </c>
      <c r="AO672" s="44">
        <v>0.158</v>
      </c>
      <c r="AP672" s="44">
        <v>0.66128672546464562</v>
      </c>
      <c r="AQ672" s="44">
        <v>0.8115</v>
      </c>
      <c r="AR672" s="44">
        <v>16.43</v>
      </c>
    </row>
    <row r="673" spans="1:44">
      <c r="A673" t="s">
        <v>490</v>
      </c>
      <c r="B673" t="s">
        <v>491</v>
      </c>
      <c r="D673" t="s">
        <v>1639</v>
      </c>
      <c r="E673" s="44">
        <v>782983</v>
      </c>
      <c r="F673" s="44">
        <v>10698434</v>
      </c>
      <c r="G673" s="44">
        <v>1061487</v>
      </c>
      <c r="H673" s="126">
        <v>11759921</v>
      </c>
      <c r="I673" s="127">
        <v>3565287</v>
      </c>
      <c r="J673" s="128">
        <v>736475</v>
      </c>
      <c r="K673" s="130">
        <v>16061683</v>
      </c>
      <c r="L673" s="44">
        <v>101524</v>
      </c>
      <c r="M673" s="44">
        <v>349235</v>
      </c>
      <c r="N673" s="44">
        <v>5148302</v>
      </c>
      <c r="O673" s="44">
        <v>205803</v>
      </c>
      <c r="P673" s="44">
        <v>379667</v>
      </c>
      <c r="Q673" s="44">
        <v>1155083</v>
      </c>
      <c r="R673" s="44">
        <v>79066</v>
      </c>
      <c r="S673" s="44">
        <v>5474</v>
      </c>
      <c r="T673" s="44">
        <v>906492</v>
      </c>
      <c r="U673" s="44">
        <v>559180</v>
      </c>
      <c r="V673" s="44">
        <v>0</v>
      </c>
      <c r="W673" s="44">
        <v>1220166</v>
      </c>
      <c r="X673" s="44">
        <v>514496</v>
      </c>
      <c r="Y673" s="44">
        <v>1488405</v>
      </c>
      <c r="Z673" s="44">
        <v>951878</v>
      </c>
      <c r="AA673" s="44">
        <v>324788</v>
      </c>
      <c r="AB673" s="44">
        <v>0</v>
      </c>
      <c r="AC673" s="44">
        <v>13389559</v>
      </c>
      <c r="AD673" s="44">
        <v>993245</v>
      </c>
      <c r="AE673" s="44">
        <v>600000</v>
      </c>
      <c r="AF673" s="44">
        <v>323979</v>
      </c>
      <c r="AG673" s="44">
        <v>15306783</v>
      </c>
      <c r="AH673" s="44">
        <v>1107</v>
      </c>
      <c r="AI673" s="44">
        <v>14509</v>
      </c>
      <c r="AJ673" s="44">
        <v>13827</v>
      </c>
      <c r="AK673" s="44">
        <v>141435</v>
      </c>
      <c r="AL673" s="44">
        <v>55874</v>
      </c>
      <c r="AM673" s="44">
        <v>0.41400000000000003</v>
      </c>
      <c r="AN673" s="44">
        <v>0.55132858419695374</v>
      </c>
      <c r="AO673" s="44">
        <v>0.16</v>
      </c>
      <c r="AP673" s="44">
        <v>0.71132858419695377</v>
      </c>
      <c r="AQ673" s="44">
        <v>0.81159999999999999</v>
      </c>
      <c r="AR673" s="44">
        <v>16.11</v>
      </c>
    </row>
    <row r="674" spans="1:44">
      <c r="A674" t="s">
        <v>492</v>
      </c>
      <c r="B674" t="s">
        <v>493</v>
      </c>
      <c r="D674" t="s">
        <v>1639</v>
      </c>
      <c r="E674" s="44">
        <v>330282</v>
      </c>
      <c r="F674" s="44">
        <v>2345167</v>
      </c>
      <c r="G674" s="44">
        <v>334163</v>
      </c>
      <c r="H674" s="126">
        <v>2679330</v>
      </c>
      <c r="I674" s="127">
        <v>1420438</v>
      </c>
      <c r="J674" s="128">
        <v>156822</v>
      </c>
      <c r="K674" s="130">
        <v>4256590</v>
      </c>
      <c r="L674" s="44">
        <v>52392</v>
      </c>
      <c r="M674" s="44">
        <v>238261</v>
      </c>
      <c r="N674" s="44">
        <v>1101608</v>
      </c>
      <c r="O674" s="44">
        <v>81360</v>
      </c>
      <c r="P674" s="44">
        <v>0</v>
      </c>
      <c r="Q674" s="44">
        <v>303501</v>
      </c>
      <c r="R674" s="44">
        <v>392403</v>
      </c>
      <c r="S674" s="44">
        <v>7594</v>
      </c>
      <c r="T674" s="44">
        <v>121836</v>
      </c>
      <c r="U674" s="44">
        <v>161665</v>
      </c>
      <c r="V674" s="44">
        <v>1935</v>
      </c>
      <c r="W674" s="44">
        <v>244348</v>
      </c>
      <c r="X674" s="44">
        <v>107635</v>
      </c>
      <c r="Y674" s="44">
        <v>437940</v>
      </c>
      <c r="Z674" s="44">
        <v>194779</v>
      </c>
      <c r="AA674" s="44">
        <v>183298</v>
      </c>
      <c r="AB674" s="44">
        <v>498500</v>
      </c>
      <c r="AC674" s="44">
        <v>4129055</v>
      </c>
      <c r="AD674" s="44">
        <v>318604</v>
      </c>
      <c r="AE674" s="44">
        <v>161000</v>
      </c>
      <c r="AF674" s="44">
        <v>37860</v>
      </c>
      <c r="AG674" s="44">
        <v>4646519</v>
      </c>
      <c r="AH674" s="44">
        <v>326</v>
      </c>
      <c r="AI674" s="44">
        <v>13057</v>
      </c>
      <c r="AJ674" s="44">
        <v>14253</v>
      </c>
      <c r="AK674" s="44">
        <v>196730</v>
      </c>
      <c r="AL674" s="44">
        <v>69642</v>
      </c>
      <c r="AM674" s="44">
        <v>0.54200000000000004</v>
      </c>
      <c r="AN674" s="44">
        <v>0.46700917396442371</v>
      </c>
      <c r="AO674" s="44">
        <v>0.11899999999999999</v>
      </c>
      <c r="AP674" s="44">
        <v>0.58600917396442376</v>
      </c>
      <c r="AQ674" s="44">
        <v>0.70830000000000004</v>
      </c>
      <c r="AR674" s="44">
        <v>17.37</v>
      </c>
    </row>
    <row r="675" spans="1:44">
      <c r="A675" t="s">
        <v>494</v>
      </c>
      <c r="B675" t="s">
        <v>495</v>
      </c>
      <c r="D675" t="s">
        <v>1639</v>
      </c>
      <c r="E675" s="44">
        <v>859442</v>
      </c>
      <c r="F675" s="44">
        <v>9275691</v>
      </c>
      <c r="G675" s="44">
        <v>1169598</v>
      </c>
      <c r="H675" s="126">
        <v>10445289</v>
      </c>
      <c r="I675" s="127">
        <v>4890619</v>
      </c>
      <c r="J675" s="128">
        <v>546335</v>
      </c>
      <c r="K675" s="130">
        <v>15882243</v>
      </c>
      <c r="L675" s="44">
        <v>113340</v>
      </c>
      <c r="M675" s="44">
        <v>312032</v>
      </c>
      <c r="N675" s="44">
        <v>4917403</v>
      </c>
      <c r="O675" s="44">
        <v>233910</v>
      </c>
      <c r="P675" s="44">
        <v>351530</v>
      </c>
      <c r="Q675" s="44">
        <v>944808</v>
      </c>
      <c r="R675" s="44">
        <v>77000</v>
      </c>
      <c r="S675" s="44">
        <v>281627</v>
      </c>
      <c r="T675" s="44">
        <v>854842</v>
      </c>
      <c r="U675" s="44">
        <v>699086</v>
      </c>
      <c r="V675" s="44">
        <v>0</v>
      </c>
      <c r="W675" s="44">
        <v>1123378</v>
      </c>
      <c r="X675" s="44">
        <v>483304</v>
      </c>
      <c r="Y675" s="44">
        <v>1396864</v>
      </c>
      <c r="Z675" s="44">
        <v>660395</v>
      </c>
      <c r="AA675" s="44">
        <v>511944</v>
      </c>
      <c r="AB675" s="44">
        <v>650000</v>
      </c>
      <c r="AC675" s="44">
        <v>13611463</v>
      </c>
      <c r="AD675" s="44">
        <v>794593</v>
      </c>
      <c r="AE675" s="44">
        <v>888514</v>
      </c>
      <c r="AF675" s="44">
        <v>821459</v>
      </c>
      <c r="AG675" s="44">
        <v>16116029</v>
      </c>
      <c r="AH675" s="44">
        <v>1005</v>
      </c>
      <c r="AI675" s="44">
        <v>15803</v>
      </c>
      <c r="AJ675" s="44">
        <v>16036</v>
      </c>
      <c r="AK675" s="44">
        <v>198533</v>
      </c>
      <c r="AL675" s="44">
        <v>72102</v>
      </c>
      <c r="AM675" s="44">
        <v>0.55400000000000005</v>
      </c>
      <c r="AN675" s="44">
        <v>0.51875099008570913</v>
      </c>
      <c r="AO675" s="44">
        <v>0.14000000000000001</v>
      </c>
      <c r="AP675" s="44">
        <v>0.65875099008570914</v>
      </c>
      <c r="AQ675" s="44">
        <v>0.8175</v>
      </c>
      <c r="AR675" s="44">
        <v>18.52</v>
      </c>
    </row>
    <row r="676" spans="1:44">
      <c r="A676" t="s">
        <v>496</v>
      </c>
      <c r="B676" t="s">
        <v>497</v>
      </c>
      <c r="D676" t="s">
        <v>1639</v>
      </c>
      <c r="E676" s="44">
        <v>684006</v>
      </c>
      <c r="F676" s="44">
        <v>11208913</v>
      </c>
      <c r="G676" s="44">
        <v>1353280</v>
      </c>
      <c r="H676" s="126">
        <v>12562193</v>
      </c>
      <c r="I676" s="127">
        <v>4867975</v>
      </c>
      <c r="J676" s="128">
        <v>531863</v>
      </c>
      <c r="K676" s="130">
        <v>17962031</v>
      </c>
      <c r="L676" s="44">
        <v>125579</v>
      </c>
      <c r="M676" s="44">
        <v>401135</v>
      </c>
      <c r="N676" s="44">
        <v>4774235</v>
      </c>
      <c r="O676" s="44">
        <v>268625</v>
      </c>
      <c r="P676" s="44">
        <v>409012</v>
      </c>
      <c r="Q676" s="44">
        <v>1992873</v>
      </c>
      <c r="R676" s="44">
        <v>126686</v>
      </c>
      <c r="S676" s="44">
        <v>252943</v>
      </c>
      <c r="T676" s="44">
        <v>956782</v>
      </c>
      <c r="U676" s="44">
        <v>745751</v>
      </c>
      <c r="V676" s="44">
        <v>0</v>
      </c>
      <c r="W676" s="44">
        <v>1069364</v>
      </c>
      <c r="X676" s="44">
        <v>420679</v>
      </c>
      <c r="Y676" s="44">
        <v>1211961</v>
      </c>
      <c r="Z676" s="44">
        <v>719667</v>
      </c>
      <c r="AA676" s="44">
        <v>383093</v>
      </c>
      <c r="AB676" s="44">
        <v>0</v>
      </c>
      <c r="AC676" s="44">
        <v>13858385</v>
      </c>
      <c r="AD676" s="44">
        <v>902008</v>
      </c>
      <c r="AE676" s="44">
        <v>1190000</v>
      </c>
      <c r="AF676" s="44">
        <v>1705202</v>
      </c>
      <c r="AG676" s="44">
        <v>17655595</v>
      </c>
      <c r="AH676" s="44">
        <v>1038</v>
      </c>
      <c r="AI676" s="44">
        <v>17304</v>
      </c>
      <c r="AJ676" s="44">
        <v>17009</v>
      </c>
      <c r="AK676" s="44">
        <v>189116</v>
      </c>
      <c r="AL676" s="44">
        <v>73820</v>
      </c>
      <c r="AM676" s="44">
        <v>0.55000000000000004</v>
      </c>
      <c r="AN676" s="44">
        <v>0.53959705124636126</v>
      </c>
      <c r="AO676" s="44">
        <v>0.11799999999999999</v>
      </c>
      <c r="AP676" s="44">
        <v>0.65759705124636125</v>
      </c>
      <c r="AQ676" s="44">
        <v>0.83620000000000005</v>
      </c>
      <c r="AR676" s="44">
        <v>18.62</v>
      </c>
    </row>
    <row r="677" spans="1:44">
      <c r="A677" t="s">
        <v>498</v>
      </c>
      <c r="B677" t="s">
        <v>499</v>
      </c>
      <c r="D677" t="s">
        <v>1639</v>
      </c>
      <c r="E677" s="44">
        <v>954174</v>
      </c>
      <c r="F677" s="44">
        <v>12397546</v>
      </c>
      <c r="G677" s="44">
        <v>2099302</v>
      </c>
      <c r="H677" s="126">
        <v>14496848</v>
      </c>
      <c r="I677" s="127">
        <v>13868157</v>
      </c>
      <c r="J677" s="128">
        <v>2399445</v>
      </c>
      <c r="K677" s="130">
        <v>30764450</v>
      </c>
      <c r="L677" s="44">
        <v>125403</v>
      </c>
      <c r="M677" s="44">
        <v>586278</v>
      </c>
      <c r="N677" s="44">
        <v>9525418</v>
      </c>
      <c r="O677" s="44">
        <v>695733</v>
      </c>
      <c r="P677" s="44">
        <v>482417</v>
      </c>
      <c r="Q677" s="44">
        <v>2984403</v>
      </c>
      <c r="R677" s="44">
        <v>55900</v>
      </c>
      <c r="S677" s="44">
        <v>95195</v>
      </c>
      <c r="T677" s="44">
        <v>2394807</v>
      </c>
      <c r="U677" s="44">
        <v>1956102</v>
      </c>
      <c r="V677" s="44">
        <v>49821</v>
      </c>
      <c r="W677" s="44">
        <v>1684419</v>
      </c>
      <c r="X677" s="44">
        <v>907926</v>
      </c>
      <c r="Y677" s="44">
        <v>1944359</v>
      </c>
      <c r="Z677" s="44">
        <v>1890359</v>
      </c>
      <c r="AA677" s="44">
        <v>720683</v>
      </c>
      <c r="AB677" s="44">
        <v>234414</v>
      </c>
      <c r="AC677" s="44">
        <v>26333637</v>
      </c>
      <c r="AD677" s="44">
        <v>1958639</v>
      </c>
      <c r="AE677" s="44">
        <v>995000</v>
      </c>
      <c r="AF677" s="44">
        <v>715650</v>
      </c>
      <c r="AG677" s="44">
        <v>30002926</v>
      </c>
      <c r="AH677" s="44">
        <v>1925</v>
      </c>
      <c r="AI677" s="44">
        <v>15982</v>
      </c>
      <c r="AJ677" s="44">
        <v>15586</v>
      </c>
      <c r="AK677" s="44">
        <v>390765</v>
      </c>
      <c r="AL677" s="44">
        <v>78475</v>
      </c>
      <c r="AM677" s="44">
        <v>0.83299999999999996</v>
      </c>
      <c r="AN677" s="44">
        <v>0.60627336813749433</v>
      </c>
      <c r="AO677" s="44">
        <v>0.13300000000000001</v>
      </c>
      <c r="AP677" s="44">
        <v>0.73927336813749434</v>
      </c>
      <c r="AQ677" s="44">
        <v>0.84950000000000003</v>
      </c>
      <c r="AR677" s="44">
        <v>12.16</v>
      </c>
    </row>
    <row r="678" spans="1:44">
      <c r="A678" t="s">
        <v>500</v>
      </c>
      <c r="B678" t="s">
        <v>501</v>
      </c>
      <c r="D678" t="s">
        <v>1639</v>
      </c>
      <c r="E678" s="44">
        <v>1398007</v>
      </c>
      <c r="F678" s="44">
        <v>7234758</v>
      </c>
      <c r="G678" s="44">
        <v>909846</v>
      </c>
      <c r="H678" s="126">
        <v>8144604</v>
      </c>
      <c r="I678" s="127">
        <v>3704917</v>
      </c>
      <c r="J678" s="128">
        <v>1419336</v>
      </c>
      <c r="K678" s="130">
        <v>13268857</v>
      </c>
      <c r="L678" s="44">
        <v>59684</v>
      </c>
      <c r="M678" s="44">
        <v>342285</v>
      </c>
      <c r="N678" s="44">
        <v>4687275</v>
      </c>
      <c r="O678" s="44">
        <v>148534</v>
      </c>
      <c r="P678" s="44">
        <v>175706</v>
      </c>
      <c r="Q678" s="44">
        <v>720948</v>
      </c>
      <c r="R678" s="44">
        <v>12873</v>
      </c>
      <c r="S678" s="44">
        <v>200</v>
      </c>
      <c r="T678" s="44">
        <v>921766</v>
      </c>
      <c r="U678" s="44">
        <v>683970</v>
      </c>
      <c r="V678" s="44">
        <v>0</v>
      </c>
      <c r="W678" s="44">
        <v>795694</v>
      </c>
      <c r="X678" s="44">
        <v>358266</v>
      </c>
      <c r="Y678" s="44">
        <v>1120627</v>
      </c>
      <c r="Z678" s="44">
        <v>883663</v>
      </c>
      <c r="AA678" s="44">
        <v>207925</v>
      </c>
      <c r="AB678" s="44">
        <v>0</v>
      </c>
      <c r="AC678" s="44">
        <v>11119416</v>
      </c>
      <c r="AD678" s="44">
        <v>681800</v>
      </c>
      <c r="AE678" s="44">
        <v>760000</v>
      </c>
      <c r="AF678" s="44">
        <v>292257</v>
      </c>
      <c r="AG678" s="44">
        <v>12853473</v>
      </c>
      <c r="AH678" s="44">
        <v>945</v>
      </c>
      <c r="AI678" s="44">
        <v>14041</v>
      </c>
      <c r="AJ678" s="44">
        <v>13602</v>
      </c>
      <c r="AK678" s="44">
        <v>215306</v>
      </c>
      <c r="AL678" s="44">
        <v>57357</v>
      </c>
      <c r="AM678" s="44">
        <v>0.51600000000000001</v>
      </c>
      <c r="AN678" s="44">
        <v>0.57192884755738782</v>
      </c>
      <c r="AO678" s="44">
        <v>0.156</v>
      </c>
      <c r="AP678" s="44">
        <v>0.72792884755738785</v>
      </c>
      <c r="AQ678" s="44">
        <v>0.84179999999999999</v>
      </c>
      <c r="AR678" s="44">
        <v>13.25</v>
      </c>
    </row>
    <row r="679" spans="1:44">
      <c r="A679">
        <v>999999</v>
      </c>
      <c r="B679" t="s">
        <v>502</v>
      </c>
      <c r="D679" t="s">
        <v>1639</v>
      </c>
      <c r="E679" s="44">
        <v>1619994566</v>
      </c>
      <c r="F679" s="44">
        <v>18037704210</v>
      </c>
      <c r="G679" s="44">
        <v>3553529613</v>
      </c>
      <c r="H679" s="126">
        <v>21591233823</v>
      </c>
      <c r="I679" s="127">
        <v>24965812794</v>
      </c>
      <c r="J679" s="128">
        <v>2739671347</v>
      </c>
      <c r="K679" s="130">
        <v>49296717964</v>
      </c>
      <c r="L679" s="44">
        <v>160370576</v>
      </c>
      <c r="M679" s="44">
        <v>792673793</v>
      </c>
      <c r="N679" s="44">
        <v>17031940292</v>
      </c>
      <c r="O679" s="44">
        <v>611843369</v>
      </c>
      <c r="P679" s="44">
        <v>1118113354</v>
      </c>
      <c r="Q679" s="44">
        <v>1846045277</v>
      </c>
      <c r="R679" s="44">
        <v>518070232</v>
      </c>
      <c r="S679" s="44">
        <v>767917815</v>
      </c>
      <c r="T679" s="44">
        <v>2961786133</v>
      </c>
      <c r="U679" s="44">
        <v>3085149569</v>
      </c>
      <c r="V679" s="44">
        <v>98570011</v>
      </c>
      <c r="W679" s="44">
        <v>3113401466</v>
      </c>
      <c r="X679" s="44">
        <v>2506230028</v>
      </c>
      <c r="Y679" s="44">
        <v>4033668462</v>
      </c>
      <c r="Z679" s="44">
        <v>3345900549</v>
      </c>
      <c r="AA679" s="44">
        <v>1012618868</v>
      </c>
      <c r="AB679" s="44">
        <v>267206592</v>
      </c>
      <c r="AC679" s="44">
        <v>43271506386</v>
      </c>
      <c r="AD679" s="44">
        <v>2515971434</v>
      </c>
      <c r="AE679" s="44">
        <v>1583042758</v>
      </c>
      <c r="AF679" s="44">
        <v>1196065168</v>
      </c>
      <c r="AG679" s="44">
        <v>48566585746</v>
      </c>
      <c r="AH679" s="44">
        <v>2802441</v>
      </c>
      <c r="AI679" s="44">
        <v>17591</v>
      </c>
      <c r="AJ679" s="44">
        <v>17330</v>
      </c>
      <c r="AK679" s="44">
        <v>382200</v>
      </c>
      <c r="AL679" s="44">
        <v>121800</v>
      </c>
      <c r="AM679" s="44">
        <v>1</v>
      </c>
      <c r="AN679" s="44">
        <v>0.57531048583750288</v>
      </c>
      <c r="AO679" s="44">
        <v>0.18</v>
      </c>
      <c r="AP679" s="44">
        <v>0.75531048583750282</v>
      </c>
      <c r="AQ679" s="44">
        <v>0.85019999999999996</v>
      </c>
      <c r="AR679" s="44">
        <v>15.1</v>
      </c>
    </row>
  </sheetData>
  <phoneticPr fontId="1"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R717"/>
  <sheetViews>
    <sheetView workbookViewId="0">
      <pane ySplit="1" topLeftCell="A665" activePane="bottomLeft" state="frozen"/>
      <selection pane="bottomLeft" activeCell="N682" sqref="N682"/>
    </sheetView>
  </sheetViews>
  <sheetFormatPr baseColWidth="10" defaultColWidth="8.83203125" defaultRowHeight="12"/>
  <cols>
    <col min="2" max="2" width="32" customWidth="1"/>
    <col min="3" max="3" width="8.83203125" style="7"/>
    <col min="5" max="5" width="15.6640625" style="127" customWidth="1"/>
    <col min="6" max="6" width="15.6640625" style="126" customWidth="1"/>
    <col min="7" max="7" width="15.6640625" style="128" customWidth="1"/>
    <col min="8" max="8" width="15.6640625" style="129" customWidth="1"/>
    <col min="9" max="9" width="15.6640625" style="132" customWidth="1"/>
    <col min="10" max="10" width="15.6640625" style="130" customWidth="1"/>
    <col min="13" max="13" width="13.5" bestFit="1" customWidth="1"/>
    <col min="14" max="14" width="13" customWidth="1"/>
  </cols>
  <sheetData>
    <row r="1" spans="1:10">
      <c r="A1" t="s">
        <v>1596</v>
      </c>
      <c r="C1" s="138" t="s">
        <v>81</v>
      </c>
      <c r="D1" t="s">
        <v>1597</v>
      </c>
      <c r="E1" s="127" t="s">
        <v>1602</v>
      </c>
      <c r="F1" s="126" t="s">
        <v>1601</v>
      </c>
      <c r="G1" s="128" t="s">
        <v>1603</v>
      </c>
      <c r="H1" s="133" t="s">
        <v>298</v>
      </c>
      <c r="I1" s="131" t="s">
        <v>300</v>
      </c>
      <c r="J1" s="130" t="s">
        <v>1604</v>
      </c>
    </row>
    <row r="2" spans="1:10" s="1" customFormat="1">
      <c r="A2" s="1" t="s">
        <v>2130</v>
      </c>
      <c r="B2" s="1" t="s">
        <v>1638</v>
      </c>
      <c r="C2" s="137"/>
      <c r="D2" s="1" t="s">
        <v>1639</v>
      </c>
      <c r="E2" s="68">
        <v>100099355</v>
      </c>
      <c r="F2" s="68">
        <v>72766966</v>
      </c>
      <c r="G2" s="68">
        <v>14202125</v>
      </c>
      <c r="H2" s="68"/>
      <c r="I2" s="68"/>
      <c r="J2" s="130">
        <v>187068446</v>
      </c>
    </row>
    <row r="3" spans="1:10">
      <c r="A3" t="s">
        <v>1773</v>
      </c>
      <c r="B3" t="s">
        <v>1640</v>
      </c>
      <c r="D3" t="s">
        <v>1639</v>
      </c>
      <c r="E3" s="127">
        <v>8674623</v>
      </c>
      <c r="F3" s="126">
        <v>10063110</v>
      </c>
      <c r="G3" s="128">
        <v>738334</v>
      </c>
      <c r="J3" s="130">
        <v>19476067</v>
      </c>
    </row>
    <row r="4" spans="1:10">
      <c r="A4" t="s">
        <v>1641</v>
      </c>
      <c r="B4" t="s">
        <v>1642</v>
      </c>
      <c r="D4" t="s">
        <v>1639</v>
      </c>
      <c r="E4" s="127">
        <v>48092263</v>
      </c>
      <c r="F4" s="126">
        <v>29898542</v>
      </c>
      <c r="G4" s="128">
        <v>1665041</v>
      </c>
      <c r="J4" s="130">
        <v>79655846</v>
      </c>
    </row>
    <row r="5" spans="1:10">
      <c r="A5" t="s">
        <v>1772</v>
      </c>
      <c r="B5" t="s">
        <v>1643</v>
      </c>
      <c r="D5" t="s">
        <v>1639</v>
      </c>
      <c r="E5" s="127">
        <v>20443166</v>
      </c>
      <c r="F5" s="126">
        <v>18867412</v>
      </c>
      <c r="G5" s="128">
        <v>1829530</v>
      </c>
      <c r="J5" s="130">
        <v>41140108</v>
      </c>
    </row>
    <row r="6" spans="1:10">
      <c r="A6" t="s">
        <v>1774</v>
      </c>
      <c r="B6" t="s">
        <v>1644</v>
      </c>
      <c r="D6" t="s">
        <v>1639</v>
      </c>
      <c r="E6" s="127">
        <v>11467144</v>
      </c>
      <c r="F6" s="126">
        <v>18730128</v>
      </c>
      <c r="G6" s="128">
        <v>2284729</v>
      </c>
      <c r="J6" s="130">
        <v>32482001</v>
      </c>
    </row>
    <row r="7" spans="1:10">
      <c r="A7" t="s">
        <v>1645</v>
      </c>
      <c r="B7" t="s">
        <v>1646</v>
      </c>
      <c r="D7" t="s">
        <v>1639</v>
      </c>
      <c r="E7" s="127">
        <v>52765846</v>
      </c>
      <c r="F7" s="126">
        <v>28023570</v>
      </c>
      <c r="G7" s="128">
        <v>2204028</v>
      </c>
      <c r="J7" s="130">
        <v>82993444</v>
      </c>
    </row>
    <row r="8" spans="1:10">
      <c r="A8" t="s">
        <v>2018</v>
      </c>
      <c r="B8" t="s">
        <v>1647</v>
      </c>
      <c r="D8" t="s">
        <v>1639</v>
      </c>
      <c r="E8" s="127">
        <v>57007023</v>
      </c>
      <c r="F8" s="126">
        <v>18561519</v>
      </c>
      <c r="G8" s="128">
        <v>1292895</v>
      </c>
      <c r="J8" s="130">
        <v>76861437</v>
      </c>
    </row>
    <row r="9" spans="1:10">
      <c r="A9" t="s">
        <v>2144</v>
      </c>
      <c r="B9" t="s">
        <v>1648</v>
      </c>
      <c r="D9" t="s">
        <v>1639</v>
      </c>
      <c r="E9" s="127">
        <v>5824532</v>
      </c>
      <c r="F9" s="126">
        <v>838656</v>
      </c>
      <c r="G9" s="128">
        <v>83593</v>
      </c>
      <c r="J9" s="130">
        <v>6746781</v>
      </c>
    </row>
    <row r="10" spans="1:10">
      <c r="A10" t="s">
        <v>1649</v>
      </c>
      <c r="B10" t="s">
        <v>1650</v>
      </c>
      <c r="D10" t="s">
        <v>1639</v>
      </c>
      <c r="E10" s="127">
        <v>1732089</v>
      </c>
      <c r="F10" s="126">
        <v>722109</v>
      </c>
      <c r="G10" s="128">
        <v>64148</v>
      </c>
      <c r="J10" s="130">
        <v>2518346</v>
      </c>
    </row>
    <row r="11" spans="1:10">
      <c r="A11" t="s">
        <v>2011</v>
      </c>
      <c r="B11" t="s">
        <v>1651</v>
      </c>
      <c r="D11" t="s">
        <v>1639</v>
      </c>
      <c r="E11" s="127">
        <v>3153237</v>
      </c>
      <c r="F11" s="126">
        <v>2366576</v>
      </c>
      <c r="G11" s="128">
        <v>177335</v>
      </c>
      <c r="J11" s="130">
        <v>5697148</v>
      </c>
    </row>
    <row r="12" spans="1:10">
      <c r="A12" t="s">
        <v>1595</v>
      </c>
      <c r="B12" t="s">
        <v>1652</v>
      </c>
      <c r="D12" t="s">
        <v>1639</v>
      </c>
      <c r="E12" s="127">
        <v>50963291</v>
      </c>
      <c r="F12" s="126">
        <v>29634856</v>
      </c>
      <c r="G12" s="128">
        <v>1460334</v>
      </c>
      <c r="J12" s="130">
        <v>82058481</v>
      </c>
    </row>
    <row r="13" spans="1:10">
      <c r="A13" t="s">
        <v>1653</v>
      </c>
      <c r="B13" t="s">
        <v>1654</v>
      </c>
      <c r="D13" t="s">
        <v>1639</v>
      </c>
      <c r="E13" s="127">
        <v>12761920</v>
      </c>
      <c r="F13" s="126">
        <v>7531517</v>
      </c>
      <c r="G13" s="128">
        <v>346222</v>
      </c>
      <c r="J13" s="130">
        <v>20639659</v>
      </c>
    </row>
    <row r="14" spans="1:10">
      <c r="A14" t="s">
        <v>2145</v>
      </c>
      <c r="B14" t="s">
        <v>1655</v>
      </c>
      <c r="D14" t="s">
        <v>1639</v>
      </c>
      <c r="E14" s="127">
        <v>5715581</v>
      </c>
      <c r="F14" s="126">
        <v>12965555</v>
      </c>
      <c r="G14" s="128">
        <v>1350743</v>
      </c>
      <c r="J14" s="130">
        <v>20031879</v>
      </c>
    </row>
    <row r="15" spans="1:10">
      <c r="A15" t="s">
        <v>1656</v>
      </c>
      <c r="B15" t="s">
        <v>1657</v>
      </c>
      <c r="D15" t="s">
        <v>1639</v>
      </c>
      <c r="E15" s="127">
        <v>3624310</v>
      </c>
      <c r="F15" s="126">
        <v>6297411</v>
      </c>
      <c r="G15" s="128">
        <v>318403</v>
      </c>
      <c r="J15" s="130">
        <v>10240124</v>
      </c>
    </row>
    <row r="16" spans="1:10">
      <c r="A16" t="s">
        <v>1658</v>
      </c>
      <c r="B16" t="s">
        <v>1659</v>
      </c>
      <c r="D16" t="s">
        <v>1639</v>
      </c>
      <c r="E16" s="127">
        <v>2008866</v>
      </c>
      <c r="F16" s="126">
        <v>5077130</v>
      </c>
      <c r="G16" s="128">
        <v>282076</v>
      </c>
      <c r="J16" s="130">
        <v>7368072</v>
      </c>
    </row>
    <row r="17" spans="1:10">
      <c r="A17" t="s">
        <v>1660</v>
      </c>
      <c r="B17" t="s">
        <v>1661</v>
      </c>
      <c r="D17" t="s">
        <v>1639</v>
      </c>
      <c r="E17" s="127">
        <v>2215334</v>
      </c>
      <c r="F17" s="126">
        <v>10060613</v>
      </c>
      <c r="G17" s="128">
        <v>902805</v>
      </c>
      <c r="J17" s="130">
        <v>13178752</v>
      </c>
    </row>
    <row r="18" spans="1:10">
      <c r="A18" t="s">
        <v>1662</v>
      </c>
      <c r="B18" t="s">
        <v>1663</v>
      </c>
      <c r="D18" t="s">
        <v>1639</v>
      </c>
      <c r="E18" s="127">
        <v>1143216</v>
      </c>
      <c r="F18" s="126">
        <v>5859102</v>
      </c>
      <c r="G18" s="128">
        <v>762010</v>
      </c>
      <c r="J18" s="130">
        <v>7764328</v>
      </c>
    </row>
    <row r="19" spans="1:10">
      <c r="A19" t="s">
        <v>1664</v>
      </c>
      <c r="B19" t="s">
        <v>1665</v>
      </c>
      <c r="D19" t="s">
        <v>1639</v>
      </c>
      <c r="E19" s="127">
        <v>1450205</v>
      </c>
      <c r="F19" s="126">
        <v>3991579</v>
      </c>
      <c r="G19" s="128">
        <v>263133</v>
      </c>
      <c r="J19" s="130">
        <v>5704917</v>
      </c>
    </row>
    <row r="20" spans="1:10">
      <c r="A20" t="s">
        <v>1666</v>
      </c>
      <c r="B20" t="s">
        <v>1667</v>
      </c>
      <c r="D20" t="s">
        <v>1639</v>
      </c>
      <c r="E20" s="127">
        <v>1239742</v>
      </c>
      <c r="F20" s="126">
        <v>5983920</v>
      </c>
      <c r="G20" s="128">
        <v>919042</v>
      </c>
      <c r="J20" s="130">
        <v>8142704</v>
      </c>
    </row>
    <row r="21" spans="1:10">
      <c r="A21" t="s">
        <v>1668</v>
      </c>
      <c r="B21" t="s">
        <v>1669</v>
      </c>
      <c r="D21" t="s">
        <v>1639</v>
      </c>
      <c r="E21" s="127">
        <v>2764165</v>
      </c>
      <c r="F21" s="126">
        <v>8034907</v>
      </c>
      <c r="G21" s="128">
        <v>1248733</v>
      </c>
      <c r="J21" s="130">
        <v>12047805</v>
      </c>
    </row>
    <row r="22" spans="1:10">
      <c r="A22" t="s">
        <v>1670</v>
      </c>
      <c r="B22" t="s">
        <v>1671</v>
      </c>
      <c r="D22" t="s">
        <v>1639</v>
      </c>
      <c r="E22" s="127">
        <v>952453</v>
      </c>
      <c r="F22" s="126">
        <v>3962951</v>
      </c>
      <c r="G22" s="128">
        <v>581054</v>
      </c>
      <c r="J22" s="130">
        <v>5496458</v>
      </c>
    </row>
    <row r="23" spans="1:10">
      <c r="A23" t="s">
        <v>1672</v>
      </c>
      <c r="B23" t="s">
        <v>1673</v>
      </c>
      <c r="D23" t="s">
        <v>1639</v>
      </c>
      <c r="E23" s="127">
        <v>5809495</v>
      </c>
      <c r="F23" s="126">
        <v>13758624</v>
      </c>
      <c r="G23" s="128">
        <v>1358722</v>
      </c>
      <c r="J23" s="130">
        <v>20926841</v>
      </c>
    </row>
    <row r="24" spans="1:10">
      <c r="A24" t="s">
        <v>1674</v>
      </c>
      <c r="B24" t="s">
        <v>1675</v>
      </c>
      <c r="D24" t="s">
        <v>1639</v>
      </c>
      <c r="E24" s="127">
        <v>1522665</v>
      </c>
      <c r="F24" s="126">
        <v>6909040</v>
      </c>
      <c r="G24" s="128">
        <v>470408</v>
      </c>
      <c r="J24" s="130">
        <v>8902113</v>
      </c>
    </row>
    <row r="25" spans="1:10">
      <c r="A25" t="s">
        <v>1676</v>
      </c>
      <c r="B25" t="s">
        <v>1677</v>
      </c>
      <c r="D25" t="s">
        <v>1639</v>
      </c>
      <c r="E25" s="127">
        <v>5142327</v>
      </c>
      <c r="F25" s="126">
        <v>14701530</v>
      </c>
      <c r="G25" s="128">
        <v>1950090</v>
      </c>
      <c r="J25" s="130">
        <v>21793947</v>
      </c>
    </row>
    <row r="26" spans="1:10">
      <c r="A26" t="s">
        <v>1678</v>
      </c>
      <c r="B26" t="s">
        <v>1679</v>
      </c>
      <c r="D26" t="s">
        <v>1639</v>
      </c>
      <c r="E26" s="127">
        <v>2063994</v>
      </c>
      <c r="F26" s="126">
        <v>15288648</v>
      </c>
      <c r="G26" s="128">
        <v>728314</v>
      </c>
      <c r="J26" s="130">
        <v>18080956</v>
      </c>
    </row>
    <row r="27" spans="1:10">
      <c r="A27" t="s">
        <v>1680</v>
      </c>
      <c r="B27" t="s">
        <v>1681</v>
      </c>
      <c r="D27" t="s">
        <v>1639</v>
      </c>
      <c r="E27" s="127">
        <v>7601389</v>
      </c>
      <c r="F27" s="126">
        <v>18956611</v>
      </c>
      <c r="G27" s="128">
        <v>787481</v>
      </c>
      <c r="J27" s="130">
        <v>27345481</v>
      </c>
    </row>
    <row r="28" spans="1:10">
      <c r="A28" t="s">
        <v>1682</v>
      </c>
      <c r="B28" t="s">
        <v>1683</v>
      </c>
      <c r="D28" t="s">
        <v>1639</v>
      </c>
      <c r="E28" s="127">
        <v>31089422</v>
      </c>
      <c r="F28" s="126">
        <v>50957962</v>
      </c>
      <c r="G28" s="128">
        <v>7879124</v>
      </c>
      <c r="J28" s="130">
        <v>89926508</v>
      </c>
    </row>
    <row r="29" spans="1:10">
      <c r="A29" t="s">
        <v>1684</v>
      </c>
      <c r="B29" t="s">
        <v>1685</v>
      </c>
      <c r="D29" t="s">
        <v>1639</v>
      </c>
      <c r="E29" s="127">
        <v>3128005</v>
      </c>
      <c r="F29" s="126">
        <v>11744724</v>
      </c>
      <c r="G29" s="128">
        <v>857848</v>
      </c>
      <c r="J29" s="130">
        <v>15730577</v>
      </c>
    </row>
    <row r="30" spans="1:10">
      <c r="A30" t="s">
        <v>1686</v>
      </c>
      <c r="B30" t="s">
        <v>1687</v>
      </c>
      <c r="D30" t="s">
        <v>1639</v>
      </c>
      <c r="E30" s="127">
        <v>10671066</v>
      </c>
      <c r="F30" s="126">
        <v>19146857</v>
      </c>
      <c r="G30" s="128">
        <v>920517</v>
      </c>
      <c r="J30" s="130">
        <v>30738440</v>
      </c>
    </row>
    <row r="31" spans="1:10">
      <c r="A31" t="s">
        <v>1688</v>
      </c>
      <c r="B31" t="s">
        <v>1689</v>
      </c>
      <c r="D31" t="s">
        <v>1639</v>
      </c>
      <c r="E31" s="127">
        <v>10429691</v>
      </c>
      <c r="F31" s="126">
        <v>15717573</v>
      </c>
      <c r="G31" s="128">
        <v>981228</v>
      </c>
      <c r="J31" s="130">
        <v>27128492</v>
      </c>
    </row>
    <row r="32" spans="1:10">
      <c r="A32" t="s">
        <v>1690</v>
      </c>
      <c r="B32" t="s">
        <v>1691</v>
      </c>
      <c r="D32" t="s">
        <v>1639</v>
      </c>
      <c r="E32" s="127">
        <v>14855960</v>
      </c>
      <c r="F32" s="126">
        <v>22608490</v>
      </c>
      <c r="G32" s="128">
        <v>1017171</v>
      </c>
      <c r="J32" s="130">
        <v>38481621</v>
      </c>
    </row>
    <row r="33" spans="1:10">
      <c r="A33" t="s">
        <v>1692</v>
      </c>
      <c r="B33" t="s">
        <v>1693</v>
      </c>
      <c r="D33" t="s">
        <v>1639</v>
      </c>
      <c r="E33" s="127">
        <v>6432590</v>
      </c>
      <c r="F33" s="126">
        <v>6206665</v>
      </c>
      <c r="G33" s="128">
        <v>658604</v>
      </c>
      <c r="J33" s="130">
        <v>13297859</v>
      </c>
    </row>
    <row r="34" spans="1:10">
      <c r="A34" t="s">
        <v>1694</v>
      </c>
      <c r="B34" t="s">
        <v>1695</v>
      </c>
      <c r="D34" t="s">
        <v>1639</v>
      </c>
      <c r="E34" s="127">
        <v>4649186</v>
      </c>
      <c r="F34" s="126">
        <v>19483473</v>
      </c>
      <c r="G34" s="128">
        <v>1263406</v>
      </c>
      <c r="J34" s="130">
        <v>25396065</v>
      </c>
    </row>
    <row r="35" spans="1:10">
      <c r="A35" t="s">
        <v>1696</v>
      </c>
      <c r="B35" t="s">
        <v>1697</v>
      </c>
      <c r="D35" t="s">
        <v>1639</v>
      </c>
      <c r="E35" s="127">
        <v>28489647</v>
      </c>
      <c r="F35" s="126">
        <v>33514033</v>
      </c>
      <c r="G35" s="128">
        <v>4694212</v>
      </c>
      <c r="J35" s="130">
        <v>66697892</v>
      </c>
    </row>
    <row r="36" spans="1:10">
      <c r="A36" t="s">
        <v>1698</v>
      </c>
      <c r="B36" t="s">
        <v>1699</v>
      </c>
      <c r="D36" t="s">
        <v>1639</v>
      </c>
      <c r="E36" s="127">
        <v>17595142</v>
      </c>
      <c r="F36" s="126">
        <v>23223248</v>
      </c>
      <c r="G36" s="128">
        <v>1967579</v>
      </c>
      <c r="J36" s="130">
        <v>42785969</v>
      </c>
    </row>
    <row r="37" spans="1:10">
      <c r="A37" t="s">
        <v>1700</v>
      </c>
      <c r="B37" t="s">
        <v>1701</v>
      </c>
      <c r="D37" t="s">
        <v>1639</v>
      </c>
      <c r="E37" s="127">
        <v>34201612</v>
      </c>
      <c r="F37" s="126">
        <v>25627461</v>
      </c>
      <c r="G37" s="128">
        <v>1621284</v>
      </c>
      <c r="J37" s="130">
        <v>61450357</v>
      </c>
    </row>
    <row r="38" spans="1:10">
      <c r="A38" t="s">
        <v>1702</v>
      </c>
      <c r="B38" t="s">
        <v>1703</v>
      </c>
      <c r="D38" t="s">
        <v>1639</v>
      </c>
      <c r="E38" s="127">
        <v>10138332</v>
      </c>
      <c r="F38" s="126">
        <v>17978532</v>
      </c>
      <c r="G38" s="128">
        <v>1985143</v>
      </c>
      <c r="J38" s="130">
        <v>30102007</v>
      </c>
    </row>
    <row r="39" spans="1:10">
      <c r="A39" t="s">
        <v>1704</v>
      </c>
      <c r="B39" t="s">
        <v>1705</v>
      </c>
      <c r="D39" t="s">
        <v>1639</v>
      </c>
      <c r="E39" s="127">
        <v>2305290</v>
      </c>
      <c r="F39" s="126">
        <v>5363468</v>
      </c>
      <c r="G39" s="128">
        <v>240420</v>
      </c>
      <c r="J39" s="130">
        <v>7909178</v>
      </c>
    </row>
    <row r="40" spans="1:10">
      <c r="A40" t="s">
        <v>1706</v>
      </c>
      <c r="B40" t="s">
        <v>1707</v>
      </c>
      <c r="D40" t="s">
        <v>1639</v>
      </c>
      <c r="E40" s="127">
        <v>5219519</v>
      </c>
      <c r="F40" s="126">
        <v>14066564</v>
      </c>
      <c r="G40" s="128">
        <v>589128</v>
      </c>
      <c r="J40" s="130">
        <v>19875211</v>
      </c>
    </row>
    <row r="41" spans="1:10">
      <c r="A41" t="s">
        <v>1708</v>
      </c>
      <c r="B41" t="s">
        <v>1709</v>
      </c>
      <c r="D41" t="s">
        <v>1639</v>
      </c>
      <c r="E41" s="127">
        <v>5188431</v>
      </c>
      <c r="F41" s="126">
        <v>4363734</v>
      </c>
      <c r="G41" s="128">
        <v>244808</v>
      </c>
      <c r="J41" s="130">
        <v>9796973</v>
      </c>
    </row>
    <row r="42" spans="1:10">
      <c r="A42" t="s">
        <v>1710</v>
      </c>
      <c r="B42" t="s">
        <v>1711</v>
      </c>
      <c r="D42" t="s">
        <v>1639</v>
      </c>
      <c r="E42" s="127">
        <v>2968539</v>
      </c>
      <c r="F42" s="126">
        <v>11700047</v>
      </c>
      <c r="G42" s="128">
        <v>1209815</v>
      </c>
      <c r="J42" s="130">
        <v>15878401</v>
      </c>
    </row>
    <row r="43" spans="1:10">
      <c r="A43" t="s">
        <v>1712</v>
      </c>
      <c r="B43" t="s">
        <v>1713</v>
      </c>
      <c r="D43" t="s">
        <v>1639</v>
      </c>
      <c r="E43" s="127">
        <v>1357714</v>
      </c>
      <c r="F43" s="126">
        <v>6528002</v>
      </c>
      <c r="G43" s="128">
        <v>379309</v>
      </c>
      <c r="J43" s="130">
        <v>8265025</v>
      </c>
    </row>
    <row r="44" spans="1:10">
      <c r="A44" t="s">
        <v>1714</v>
      </c>
      <c r="B44" t="s">
        <v>1715</v>
      </c>
      <c r="D44" t="s">
        <v>1639</v>
      </c>
      <c r="E44" s="127">
        <v>3721952</v>
      </c>
      <c r="F44" s="126">
        <v>13621544</v>
      </c>
      <c r="G44" s="128">
        <v>808706</v>
      </c>
      <c r="J44" s="130">
        <v>18152202</v>
      </c>
    </row>
    <row r="45" spans="1:10">
      <c r="A45" t="s">
        <v>1716</v>
      </c>
      <c r="B45" t="s">
        <v>1717</v>
      </c>
      <c r="D45" t="s">
        <v>1639</v>
      </c>
      <c r="E45" s="127">
        <v>9082573</v>
      </c>
      <c r="F45" s="126">
        <v>21557809</v>
      </c>
      <c r="G45" s="128">
        <v>3378567</v>
      </c>
      <c r="J45" s="130">
        <v>34018949</v>
      </c>
    </row>
    <row r="46" spans="1:10">
      <c r="A46" t="s">
        <v>1718</v>
      </c>
      <c r="B46" t="s">
        <v>1719</v>
      </c>
      <c r="D46" t="s">
        <v>1639</v>
      </c>
      <c r="E46" s="127">
        <v>6453621</v>
      </c>
      <c r="F46" s="126">
        <v>17540099</v>
      </c>
      <c r="G46" s="128">
        <v>1164952</v>
      </c>
      <c r="J46" s="130">
        <v>25158672</v>
      </c>
    </row>
    <row r="47" spans="1:10">
      <c r="A47" t="s">
        <v>1720</v>
      </c>
      <c r="B47" t="s">
        <v>1721</v>
      </c>
      <c r="D47" t="s">
        <v>1639</v>
      </c>
      <c r="E47" s="127">
        <v>2951871</v>
      </c>
      <c r="F47" s="126">
        <v>10889266</v>
      </c>
      <c r="G47" s="128">
        <v>590141</v>
      </c>
      <c r="J47" s="130">
        <v>14431278</v>
      </c>
    </row>
    <row r="48" spans="1:10">
      <c r="A48" t="s">
        <v>1722</v>
      </c>
      <c r="B48" t="s">
        <v>1723</v>
      </c>
      <c r="D48" t="s">
        <v>1639</v>
      </c>
      <c r="E48" s="127">
        <v>4297159</v>
      </c>
      <c r="F48" s="126">
        <v>11109486</v>
      </c>
      <c r="G48" s="128">
        <v>1421964</v>
      </c>
      <c r="J48" s="130">
        <v>16828609</v>
      </c>
    </row>
    <row r="49" spans="1:10">
      <c r="A49" t="s">
        <v>1724</v>
      </c>
      <c r="B49" t="s">
        <v>1725</v>
      </c>
      <c r="D49" t="s">
        <v>1639</v>
      </c>
      <c r="E49" s="127">
        <v>6411565</v>
      </c>
      <c r="F49" s="126">
        <v>25039158</v>
      </c>
      <c r="G49" s="128">
        <v>2647107</v>
      </c>
      <c r="J49" s="130">
        <v>34097830</v>
      </c>
    </row>
    <row r="50" spans="1:10">
      <c r="A50" t="s">
        <v>1726</v>
      </c>
      <c r="B50" t="s">
        <v>1727</v>
      </c>
      <c r="D50" t="s">
        <v>1639</v>
      </c>
      <c r="E50" s="127">
        <v>10043280</v>
      </c>
      <c r="F50" s="126">
        <v>30061654</v>
      </c>
      <c r="G50" s="128">
        <v>2081071</v>
      </c>
      <c r="J50" s="130">
        <v>42186005</v>
      </c>
    </row>
    <row r="51" spans="1:10">
      <c r="A51" t="s">
        <v>1728</v>
      </c>
      <c r="B51" t="s">
        <v>1729</v>
      </c>
      <c r="D51" t="s">
        <v>1639</v>
      </c>
      <c r="E51" s="127">
        <v>22028335</v>
      </c>
      <c r="F51" s="126">
        <v>37908324</v>
      </c>
      <c r="G51" s="128">
        <v>4115118</v>
      </c>
      <c r="J51" s="130">
        <v>64051777</v>
      </c>
    </row>
    <row r="52" spans="1:10">
      <c r="A52" t="s">
        <v>1457</v>
      </c>
      <c r="B52" t="s">
        <v>1458</v>
      </c>
      <c r="D52" t="s">
        <v>1639</v>
      </c>
      <c r="E52" s="127">
        <v>5267211</v>
      </c>
      <c r="F52" s="126">
        <v>9864320</v>
      </c>
      <c r="G52" s="128">
        <v>541305</v>
      </c>
      <c r="J52" s="130">
        <v>15672836</v>
      </c>
    </row>
    <row r="53" spans="1:10">
      <c r="A53" t="s">
        <v>1459</v>
      </c>
      <c r="B53" t="s">
        <v>1460</v>
      </c>
      <c r="D53" t="s">
        <v>1639</v>
      </c>
      <c r="E53" s="127">
        <v>3971268</v>
      </c>
      <c r="F53" s="126">
        <v>12303495</v>
      </c>
      <c r="G53" s="128">
        <v>751153</v>
      </c>
      <c r="J53" s="130">
        <v>17025916</v>
      </c>
    </row>
    <row r="54" spans="1:10">
      <c r="A54" t="s">
        <v>1461</v>
      </c>
      <c r="B54" t="s">
        <v>1462</v>
      </c>
      <c r="D54" t="s">
        <v>1639</v>
      </c>
      <c r="E54" s="127">
        <v>5544632</v>
      </c>
      <c r="F54" s="126">
        <v>9266046</v>
      </c>
      <c r="G54" s="128">
        <v>365906</v>
      </c>
      <c r="J54" s="130">
        <v>15176584</v>
      </c>
    </row>
    <row r="55" spans="1:10">
      <c r="A55" t="s">
        <v>1463</v>
      </c>
      <c r="B55" t="s">
        <v>1464</v>
      </c>
      <c r="D55" t="s">
        <v>1639</v>
      </c>
      <c r="E55" s="127">
        <v>3815937</v>
      </c>
      <c r="F55" s="126">
        <v>11774645</v>
      </c>
      <c r="G55" s="128">
        <v>628042</v>
      </c>
      <c r="J55" s="130">
        <v>16218624</v>
      </c>
    </row>
    <row r="56" spans="1:10">
      <c r="A56" t="s">
        <v>1465</v>
      </c>
      <c r="B56" t="s">
        <v>1466</v>
      </c>
      <c r="D56" t="s">
        <v>1639</v>
      </c>
      <c r="E56" s="127">
        <v>5062930</v>
      </c>
      <c r="F56" s="126">
        <v>10955731</v>
      </c>
      <c r="G56" s="128">
        <v>790154</v>
      </c>
      <c r="J56" s="130">
        <v>16808815</v>
      </c>
    </row>
    <row r="57" spans="1:10">
      <c r="A57" t="s">
        <v>1467</v>
      </c>
      <c r="B57" t="s">
        <v>1468</v>
      </c>
      <c r="D57" t="s">
        <v>1639</v>
      </c>
      <c r="E57" s="127">
        <v>5978679</v>
      </c>
      <c r="F57" s="126">
        <v>10993213</v>
      </c>
      <c r="G57" s="128">
        <v>489084</v>
      </c>
      <c r="J57" s="130">
        <v>17460976</v>
      </c>
    </row>
    <row r="58" spans="1:10">
      <c r="A58" t="s">
        <v>1469</v>
      </c>
      <c r="B58" t="s">
        <v>1470</v>
      </c>
      <c r="D58" t="s">
        <v>1639</v>
      </c>
      <c r="E58" s="127">
        <v>9891527</v>
      </c>
      <c r="F58" s="126">
        <v>12623714</v>
      </c>
      <c r="G58" s="128">
        <v>600660</v>
      </c>
      <c r="J58" s="130">
        <v>23115901</v>
      </c>
    </row>
    <row r="59" spans="1:10">
      <c r="A59" t="s">
        <v>1471</v>
      </c>
      <c r="B59" t="s">
        <v>1472</v>
      </c>
      <c r="D59" t="s">
        <v>1639</v>
      </c>
      <c r="E59" s="127">
        <v>3223315</v>
      </c>
      <c r="F59" s="126">
        <v>9452712</v>
      </c>
      <c r="G59" s="128">
        <v>356282</v>
      </c>
      <c r="J59" s="130">
        <v>13032309</v>
      </c>
    </row>
    <row r="60" spans="1:10">
      <c r="A60" t="s">
        <v>1473</v>
      </c>
      <c r="B60" t="s">
        <v>1474</v>
      </c>
      <c r="D60" t="s">
        <v>1639</v>
      </c>
      <c r="E60" s="127">
        <v>3316078</v>
      </c>
      <c r="F60" s="126">
        <v>12829393</v>
      </c>
      <c r="G60" s="128">
        <v>803025</v>
      </c>
      <c r="J60" s="130">
        <v>16948496</v>
      </c>
    </row>
    <row r="61" spans="1:10">
      <c r="A61" t="s">
        <v>1475</v>
      </c>
      <c r="B61" t="s">
        <v>1476</v>
      </c>
      <c r="D61" t="s">
        <v>1639</v>
      </c>
      <c r="E61" s="127">
        <v>10691903</v>
      </c>
      <c r="F61" s="126">
        <v>6673428</v>
      </c>
      <c r="G61" s="128">
        <v>419903</v>
      </c>
      <c r="J61" s="130">
        <v>17785234</v>
      </c>
    </row>
    <row r="62" spans="1:10">
      <c r="A62" t="s">
        <v>1477</v>
      </c>
      <c r="B62" t="s">
        <v>1478</v>
      </c>
      <c r="D62" t="s">
        <v>1639</v>
      </c>
      <c r="E62" s="127">
        <v>2767179</v>
      </c>
      <c r="F62" s="126">
        <v>9224030</v>
      </c>
      <c r="G62" s="128">
        <v>1296308</v>
      </c>
      <c r="J62" s="130">
        <v>13287517</v>
      </c>
    </row>
    <row r="63" spans="1:10">
      <c r="A63" t="s">
        <v>1479</v>
      </c>
      <c r="B63" t="s">
        <v>1480</v>
      </c>
      <c r="D63" t="s">
        <v>1639</v>
      </c>
      <c r="E63" s="127">
        <v>3407424</v>
      </c>
      <c r="F63" s="126">
        <v>5525007</v>
      </c>
      <c r="G63" s="128">
        <v>291948</v>
      </c>
      <c r="J63" s="130">
        <v>9224379</v>
      </c>
    </row>
    <row r="64" spans="1:10">
      <c r="A64" t="s">
        <v>1481</v>
      </c>
      <c r="B64" t="s">
        <v>1482</v>
      </c>
      <c r="D64" t="s">
        <v>1639</v>
      </c>
      <c r="E64" s="127">
        <v>11798433</v>
      </c>
      <c r="F64" s="126">
        <v>21277991</v>
      </c>
      <c r="G64" s="128">
        <v>6013076</v>
      </c>
      <c r="J64" s="130">
        <v>39089500</v>
      </c>
    </row>
    <row r="65" spans="1:10">
      <c r="A65" t="s">
        <v>1483</v>
      </c>
      <c r="B65" t="s">
        <v>1484</v>
      </c>
      <c r="D65" t="s">
        <v>1639</v>
      </c>
      <c r="E65" s="127">
        <v>5664908</v>
      </c>
      <c r="F65" s="126">
        <v>5493200</v>
      </c>
      <c r="G65" s="128">
        <v>377566</v>
      </c>
      <c r="J65" s="130">
        <v>11535674</v>
      </c>
    </row>
    <row r="66" spans="1:10">
      <c r="A66" t="s">
        <v>1485</v>
      </c>
      <c r="B66" t="s">
        <v>1486</v>
      </c>
      <c r="D66" t="s">
        <v>1639</v>
      </c>
      <c r="E66" s="127">
        <v>5849185</v>
      </c>
      <c r="F66" s="126">
        <v>11691248</v>
      </c>
      <c r="G66" s="128">
        <v>728718</v>
      </c>
      <c r="J66" s="130">
        <v>18269151</v>
      </c>
    </row>
    <row r="67" spans="1:10">
      <c r="A67" t="s">
        <v>1487</v>
      </c>
      <c r="B67" t="s">
        <v>1488</v>
      </c>
      <c r="D67" t="s">
        <v>1639</v>
      </c>
      <c r="E67" s="127">
        <v>7000284</v>
      </c>
      <c r="F67" s="126">
        <v>12343158</v>
      </c>
      <c r="G67" s="128">
        <v>961501</v>
      </c>
      <c r="J67" s="130">
        <v>20304943</v>
      </c>
    </row>
    <row r="68" spans="1:10">
      <c r="A68" t="s">
        <v>1489</v>
      </c>
      <c r="B68" t="s">
        <v>1490</v>
      </c>
      <c r="D68" t="s">
        <v>1639</v>
      </c>
      <c r="E68" s="127">
        <v>2560673</v>
      </c>
      <c r="F68" s="126">
        <v>5920259</v>
      </c>
      <c r="G68" s="128">
        <v>400155</v>
      </c>
      <c r="J68" s="130">
        <v>8881087</v>
      </c>
    </row>
    <row r="69" spans="1:10">
      <c r="A69" t="s">
        <v>1491</v>
      </c>
      <c r="B69" t="s">
        <v>1492</v>
      </c>
      <c r="D69" t="s">
        <v>1639</v>
      </c>
      <c r="E69" s="127">
        <v>2569508</v>
      </c>
      <c r="F69" s="126">
        <v>8126618</v>
      </c>
      <c r="G69" s="128">
        <v>811193</v>
      </c>
      <c r="J69" s="130">
        <v>11507319</v>
      </c>
    </row>
    <row r="70" spans="1:10">
      <c r="A70" t="s">
        <v>1493</v>
      </c>
      <c r="B70" t="s">
        <v>1494</v>
      </c>
      <c r="D70" t="s">
        <v>1639</v>
      </c>
      <c r="E70" s="127">
        <v>13552232</v>
      </c>
      <c r="F70" s="126">
        <v>49587312</v>
      </c>
      <c r="G70" s="128">
        <v>8050322</v>
      </c>
      <c r="J70" s="130">
        <v>71189866</v>
      </c>
    </row>
    <row r="71" spans="1:10">
      <c r="A71" t="s">
        <v>1495</v>
      </c>
      <c r="B71" t="s">
        <v>1496</v>
      </c>
      <c r="D71" t="s">
        <v>1639</v>
      </c>
      <c r="E71" s="127">
        <v>10244936</v>
      </c>
      <c r="F71" s="126">
        <v>14883707</v>
      </c>
      <c r="G71" s="128">
        <v>1307045</v>
      </c>
      <c r="J71" s="130">
        <v>26435688</v>
      </c>
    </row>
    <row r="72" spans="1:10">
      <c r="A72" t="s">
        <v>1497</v>
      </c>
      <c r="B72" t="s">
        <v>1498</v>
      </c>
      <c r="D72" t="s">
        <v>1639</v>
      </c>
      <c r="E72" s="127">
        <v>2617317</v>
      </c>
      <c r="F72" s="126">
        <v>10208089</v>
      </c>
      <c r="G72" s="128">
        <v>472643</v>
      </c>
      <c r="J72" s="130">
        <v>13298049</v>
      </c>
    </row>
    <row r="73" spans="1:10">
      <c r="A73" t="s">
        <v>1499</v>
      </c>
      <c r="B73" t="s">
        <v>1500</v>
      </c>
      <c r="D73" t="s">
        <v>1639</v>
      </c>
      <c r="E73" s="127">
        <v>1847133</v>
      </c>
      <c r="F73" s="126">
        <v>6205183</v>
      </c>
      <c r="G73" s="128">
        <v>263585</v>
      </c>
      <c r="J73" s="130">
        <v>8315901</v>
      </c>
    </row>
    <row r="74" spans="1:10">
      <c r="A74" t="s">
        <v>1501</v>
      </c>
      <c r="B74" t="s">
        <v>1502</v>
      </c>
      <c r="D74" t="s">
        <v>1639</v>
      </c>
      <c r="E74" s="127">
        <v>1811622</v>
      </c>
      <c r="F74" s="126">
        <v>5462397</v>
      </c>
      <c r="G74" s="128">
        <v>468984</v>
      </c>
      <c r="J74" s="130">
        <v>7743003</v>
      </c>
    </row>
    <row r="75" spans="1:10">
      <c r="A75" t="s">
        <v>1503</v>
      </c>
      <c r="B75" t="s">
        <v>1504</v>
      </c>
      <c r="D75" t="s">
        <v>1639</v>
      </c>
      <c r="E75" s="127">
        <v>4645519</v>
      </c>
      <c r="F75" s="126">
        <v>8742429</v>
      </c>
      <c r="G75" s="128">
        <v>418829</v>
      </c>
      <c r="J75" s="130">
        <v>13806777</v>
      </c>
    </row>
    <row r="76" spans="1:10">
      <c r="A76" t="s">
        <v>1505</v>
      </c>
      <c r="B76" t="s">
        <v>1506</v>
      </c>
      <c r="D76" t="s">
        <v>1639</v>
      </c>
      <c r="E76" s="127">
        <v>25741476</v>
      </c>
      <c r="F76" s="126">
        <v>73547273</v>
      </c>
      <c r="G76" s="128">
        <v>8148300</v>
      </c>
      <c r="J76" s="130">
        <v>107437049</v>
      </c>
    </row>
    <row r="77" spans="1:10">
      <c r="A77" t="s">
        <v>1507</v>
      </c>
      <c r="B77" t="s">
        <v>1508</v>
      </c>
      <c r="D77" t="s">
        <v>1639</v>
      </c>
      <c r="E77" s="127">
        <v>27970776</v>
      </c>
      <c r="F77" s="126">
        <v>32037299</v>
      </c>
      <c r="G77" s="128">
        <v>1718658</v>
      </c>
      <c r="J77" s="130">
        <v>61726733</v>
      </c>
    </row>
    <row r="78" spans="1:10">
      <c r="A78" t="s">
        <v>1509</v>
      </c>
      <c r="B78" t="s">
        <v>1510</v>
      </c>
      <c r="D78" t="s">
        <v>1639</v>
      </c>
      <c r="E78" s="127">
        <v>5770052</v>
      </c>
      <c r="F78" s="126">
        <v>11484983</v>
      </c>
      <c r="G78" s="128">
        <v>1023688</v>
      </c>
      <c r="J78" s="130">
        <v>18278723</v>
      </c>
    </row>
    <row r="79" spans="1:10">
      <c r="A79" t="s">
        <v>1511</v>
      </c>
      <c r="B79" t="s">
        <v>1512</v>
      </c>
      <c r="D79" t="s">
        <v>1639</v>
      </c>
      <c r="E79" s="127">
        <v>3153272</v>
      </c>
      <c r="F79" s="126">
        <v>10050727</v>
      </c>
      <c r="G79" s="128">
        <v>709999</v>
      </c>
      <c r="J79" s="130">
        <v>13913998</v>
      </c>
    </row>
    <row r="80" spans="1:10">
      <c r="A80" t="s">
        <v>1513</v>
      </c>
      <c r="B80" t="s">
        <v>1514</v>
      </c>
      <c r="D80" t="s">
        <v>1639</v>
      </c>
      <c r="E80" s="127">
        <v>3921264</v>
      </c>
      <c r="F80" s="126">
        <v>10208342</v>
      </c>
      <c r="G80" s="128">
        <v>671267</v>
      </c>
      <c r="J80" s="130">
        <v>14800873</v>
      </c>
    </row>
    <row r="81" spans="1:10">
      <c r="A81" t="s">
        <v>1515</v>
      </c>
      <c r="B81" t="s">
        <v>1516</v>
      </c>
      <c r="D81" t="s">
        <v>1639</v>
      </c>
      <c r="E81" s="127">
        <v>5154635</v>
      </c>
      <c r="F81" s="126">
        <v>13609950</v>
      </c>
      <c r="G81" s="128">
        <v>872902</v>
      </c>
      <c r="J81" s="130">
        <v>19637487</v>
      </c>
    </row>
    <row r="82" spans="1:10">
      <c r="A82" t="s">
        <v>1517</v>
      </c>
      <c r="B82" t="s">
        <v>1518</v>
      </c>
      <c r="D82" t="s">
        <v>1639</v>
      </c>
      <c r="E82" s="127">
        <v>3292607</v>
      </c>
      <c r="F82" s="126">
        <v>13823758</v>
      </c>
      <c r="G82" s="128">
        <v>1222069</v>
      </c>
      <c r="J82" s="130">
        <v>18338434</v>
      </c>
    </row>
    <row r="83" spans="1:10">
      <c r="A83" t="s">
        <v>1519</v>
      </c>
      <c r="B83" t="s">
        <v>1520</v>
      </c>
      <c r="D83" t="s">
        <v>1639</v>
      </c>
      <c r="E83" s="127">
        <v>8807881</v>
      </c>
      <c r="F83" s="126">
        <v>20640477</v>
      </c>
      <c r="G83" s="128">
        <v>2267219</v>
      </c>
      <c r="J83" s="130">
        <v>31715577</v>
      </c>
    </row>
    <row r="84" spans="1:10">
      <c r="A84" t="s">
        <v>1521</v>
      </c>
      <c r="B84" t="s">
        <v>1522</v>
      </c>
      <c r="D84" t="s">
        <v>1639</v>
      </c>
      <c r="E84" s="127">
        <v>2405921</v>
      </c>
      <c r="F84" s="126">
        <v>5222865</v>
      </c>
      <c r="G84" s="128">
        <v>690139</v>
      </c>
      <c r="J84" s="130">
        <v>8318925</v>
      </c>
    </row>
    <row r="85" spans="1:10">
      <c r="A85" t="s">
        <v>1523</v>
      </c>
      <c r="B85" t="s">
        <v>1524</v>
      </c>
      <c r="D85" t="s">
        <v>1639</v>
      </c>
      <c r="E85" s="127">
        <v>3156055</v>
      </c>
      <c r="F85" s="126">
        <v>11546972</v>
      </c>
      <c r="G85" s="128">
        <v>540489</v>
      </c>
      <c r="J85" s="130">
        <v>15243516</v>
      </c>
    </row>
    <row r="86" spans="1:10">
      <c r="A86" t="s">
        <v>1525</v>
      </c>
      <c r="B86" t="s">
        <v>1526</v>
      </c>
      <c r="D86" t="s">
        <v>1639</v>
      </c>
      <c r="E86" s="127">
        <v>5339610</v>
      </c>
      <c r="F86" s="126">
        <v>18542980</v>
      </c>
      <c r="G86" s="128">
        <v>1306257</v>
      </c>
      <c r="J86" s="130">
        <v>25188847</v>
      </c>
    </row>
    <row r="87" spans="1:10">
      <c r="A87" t="s">
        <v>1527</v>
      </c>
      <c r="B87" t="s">
        <v>1528</v>
      </c>
      <c r="D87" t="s">
        <v>1639</v>
      </c>
      <c r="E87" s="127">
        <v>8422923</v>
      </c>
      <c r="F87" s="126">
        <v>14479892</v>
      </c>
      <c r="G87" s="128">
        <v>1276949</v>
      </c>
      <c r="J87" s="130">
        <v>24179764</v>
      </c>
    </row>
    <row r="88" spans="1:10">
      <c r="A88" t="s">
        <v>1529</v>
      </c>
      <c r="B88" t="s">
        <v>1530</v>
      </c>
      <c r="D88" t="s">
        <v>1639</v>
      </c>
      <c r="E88" s="127">
        <v>15282814</v>
      </c>
      <c r="F88" s="126">
        <v>17885644</v>
      </c>
      <c r="G88" s="128">
        <v>1415832</v>
      </c>
      <c r="J88" s="130">
        <v>34584290</v>
      </c>
    </row>
    <row r="89" spans="1:10">
      <c r="A89" t="s">
        <v>1531</v>
      </c>
      <c r="B89" t="s">
        <v>1532</v>
      </c>
      <c r="D89" t="s">
        <v>1639</v>
      </c>
      <c r="E89" s="127">
        <v>9074144</v>
      </c>
      <c r="F89" s="126">
        <v>15113479</v>
      </c>
      <c r="G89" s="128">
        <v>1072996</v>
      </c>
      <c r="J89" s="130">
        <v>25260619</v>
      </c>
    </row>
    <row r="90" spans="1:10">
      <c r="A90" t="s">
        <v>1533</v>
      </c>
      <c r="B90" t="s">
        <v>1534</v>
      </c>
      <c r="D90" t="s">
        <v>1639</v>
      </c>
      <c r="E90" s="127">
        <v>3758902</v>
      </c>
      <c r="F90" s="126">
        <v>4587896</v>
      </c>
      <c r="G90" s="128">
        <v>223968</v>
      </c>
      <c r="J90" s="130">
        <v>8570766</v>
      </c>
    </row>
    <row r="91" spans="1:10">
      <c r="A91" t="s">
        <v>1535</v>
      </c>
      <c r="B91" t="s">
        <v>1536</v>
      </c>
      <c r="D91" t="s">
        <v>1639</v>
      </c>
      <c r="E91" s="127">
        <v>3466021</v>
      </c>
      <c r="F91" s="126">
        <v>12247529</v>
      </c>
      <c r="G91" s="128">
        <v>753787</v>
      </c>
      <c r="J91" s="130">
        <v>16467337</v>
      </c>
    </row>
    <row r="92" spans="1:10">
      <c r="A92" t="s">
        <v>1537</v>
      </c>
      <c r="B92" t="s">
        <v>1538</v>
      </c>
      <c r="D92" t="s">
        <v>1639</v>
      </c>
      <c r="E92" s="127">
        <v>11579663</v>
      </c>
      <c r="F92" s="126">
        <v>24198545</v>
      </c>
      <c r="G92" s="128">
        <v>1825745</v>
      </c>
      <c r="J92" s="130">
        <v>37603953</v>
      </c>
    </row>
    <row r="93" spans="1:10">
      <c r="A93" t="s">
        <v>1539</v>
      </c>
      <c r="B93" t="s">
        <v>1540</v>
      </c>
      <c r="D93" t="s">
        <v>1639</v>
      </c>
      <c r="E93" s="127">
        <v>15455530</v>
      </c>
      <c r="F93" s="126">
        <v>18318022</v>
      </c>
      <c r="G93" s="128">
        <v>1430815</v>
      </c>
      <c r="J93" s="130">
        <v>35204367</v>
      </c>
    </row>
    <row r="94" spans="1:10">
      <c r="A94" t="s">
        <v>1541</v>
      </c>
      <c r="B94" t="s">
        <v>1542</v>
      </c>
      <c r="D94" t="s">
        <v>1639</v>
      </c>
      <c r="E94" s="127">
        <v>8728783</v>
      </c>
      <c r="F94" s="126">
        <v>17926899</v>
      </c>
      <c r="G94" s="128">
        <v>1430506</v>
      </c>
      <c r="J94" s="130">
        <v>28086188</v>
      </c>
    </row>
    <row r="95" spans="1:10">
      <c r="A95" t="s">
        <v>1543</v>
      </c>
      <c r="B95" t="s">
        <v>1544</v>
      </c>
      <c r="D95" t="s">
        <v>1639</v>
      </c>
      <c r="E95" s="127">
        <v>18216903</v>
      </c>
      <c r="F95" s="126">
        <v>12329689</v>
      </c>
      <c r="G95" s="128">
        <v>1087389</v>
      </c>
      <c r="J95" s="130">
        <v>31633981</v>
      </c>
    </row>
    <row r="96" spans="1:10">
      <c r="A96" t="s">
        <v>1545</v>
      </c>
      <c r="B96" t="s">
        <v>1546</v>
      </c>
      <c r="D96" t="s">
        <v>1639</v>
      </c>
      <c r="E96" s="127">
        <v>6392717</v>
      </c>
      <c r="F96" s="126">
        <v>5795880</v>
      </c>
      <c r="G96" s="128">
        <v>285441</v>
      </c>
      <c r="J96" s="130">
        <v>12474038</v>
      </c>
    </row>
    <row r="97" spans="1:10">
      <c r="A97" t="s">
        <v>1547</v>
      </c>
      <c r="B97" t="s">
        <v>1548</v>
      </c>
      <c r="D97" t="s">
        <v>1639</v>
      </c>
      <c r="E97" s="127">
        <v>15874048</v>
      </c>
      <c r="F97" s="126">
        <v>8005290</v>
      </c>
      <c r="G97" s="128">
        <v>575290</v>
      </c>
      <c r="J97" s="130">
        <v>24454628</v>
      </c>
    </row>
    <row r="98" spans="1:10">
      <c r="A98" t="s">
        <v>1549</v>
      </c>
      <c r="B98" t="s">
        <v>1550</v>
      </c>
      <c r="D98" t="s">
        <v>1639</v>
      </c>
      <c r="E98" s="127">
        <v>15255238</v>
      </c>
      <c r="F98" s="126">
        <v>18274935</v>
      </c>
      <c r="G98" s="128">
        <v>3595903</v>
      </c>
      <c r="J98" s="130">
        <v>37126076</v>
      </c>
    </row>
    <row r="99" spans="1:10">
      <c r="A99" t="s">
        <v>1551</v>
      </c>
      <c r="B99" t="s">
        <v>1552</v>
      </c>
      <c r="D99" t="s">
        <v>1639</v>
      </c>
      <c r="E99" s="127">
        <v>15000146</v>
      </c>
      <c r="F99" s="126">
        <v>15877209</v>
      </c>
      <c r="G99" s="128">
        <v>864817</v>
      </c>
      <c r="J99" s="130">
        <v>31742172</v>
      </c>
    </row>
    <row r="100" spans="1:10">
      <c r="A100" t="s">
        <v>1553</v>
      </c>
      <c r="B100" t="s">
        <v>1554</v>
      </c>
      <c r="D100" t="s">
        <v>1639</v>
      </c>
      <c r="E100" s="127">
        <v>7405885</v>
      </c>
      <c r="F100" s="126">
        <v>4321924</v>
      </c>
      <c r="G100" s="128">
        <v>390828</v>
      </c>
      <c r="J100" s="130">
        <v>12118637</v>
      </c>
    </row>
    <row r="101" spans="1:10">
      <c r="A101" t="s">
        <v>1555</v>
      </c>
      <c r="B101" t="s">
        <v>1556</v>
      </c>
      <c r="D101" t="s">
        <v>1639</v>
      </c>
      <c r="E101" s="127">
        <v>2528425</v>
      </c>
      <c r="F101" s="126">
        <v>8018491</v>
      </c>
      <c r="G101" s="128">
        <v>579032</v>
      </c>
      <c r="J101" s="130">
        <v>11125948</v>
      </c>
    </row>
    <row r="102" spans="1:10">
      <c r="A102" t="s">
        <v>1557</v>
      </c>
      <c r="B102" t="s">
        <v>1558</v>
      </c>
      <c r="D102" t="s">
        <v>1639</v>
      </c>
      <c r="E102" s="127">
        <v>11675562</v>
      </c>
      <c r="F102" s="126">
        <v>23629975</v>
      </c>
      <c r="G102" s="128">
        <v>2398456</v>
      </c>
      <c r="J102" s="130">
        <v>37703993</v>
      </c>
    </row>
    <row r="103" spans="1:10">
      <c r="A103" t="s">
        <v>1559</v>
      </c>
      <c r="B103" t="s">
        <v>1560</v>
      </c>
      <c r="D103" t="s">
        <v>1639</v>
      </c>
      <c r="E103" s="127">
        <v>1988722</v>
      </c>
      <c r="F103" s="126">
        <v>6468444</v>
      </c>
      <c r="G103" s="128">
        <v>671539</v>
      </c>
      <c r="J103" s="130">
        <v>9128705</v>
      </c>
    </row>
    <row r="104" spans="1:10">
      <c r="A104" t="s">
        <v>1561</v>
      </c>
      <c r="B104" t="s">
        <v>1562</v>
      </c>
      <c r="D104" t="s">
        <v>1639</v>
      </c>
      <c r="E104" s="127">
        <v>11947092</v>
      </c>
      <c r="F104" s="126">
        <v>20955241</v>
      </c>
      <c r="G104" s="128">
        <v>1183733</v>
      </c>
      <c r="J104" s="130">
        <v>34086066</v>
      </c>
    </row>
    <row r="105" spans="1:10">
      <c r="A105" t="s">
        <v>1563</v>
      </c>
      <c r="B105" t="s">
        <v>1564</v>
      </c>
      <c r="D105" t="s">
        <v>1639</v>
      </c>
      <c r="E105" s="127">
        <v>3088747</v>
      </c>
      <c r="F105" s="126">
        <v>9633431</v>
      </c>
      <c r="G105" s="128">
        <v>755766</v>
      </c>
      <c r="J105" s="130">
        <v>13477944</v>
      </c>
    </row>
    <row r="106" spans="1:10">
      <c r="A106" t="s">
        <v>1565</v>
      </c>
      <c r="B106" t="s">
        <v>1566</v>
      </c>
      <c r="D106" t="s">
        <v>1639</v>
      </c>
      <c r="E106" s="127">
        <v>2286901</v>
      </c>
      <c r="F106" s="126">
        <v>920637</v>
      </c>
      <c r="G106" s="128">
        <v>195120</v>
      </c>
      <c r="J106" s="130">
        <v>3402658</v>
      </c>
    </row>
    <row r="107" spans="1:10">
      <c r="A107" t="s">
        <v>1567</v>
      </c>
      <c r="B107" t="s">
        <v>1568</v>
      </c>
      <c r="D107" t="s">
        <v>1639</v>
      </c>
      <c r="E107" s="127">
        <v>6647239</v>
      </c>
      <c r="F107" s="126">
        <v>1680861</v>
      </c>
      <c r="G107" s="128">
        <v>263723</v>
      </c>
      <c r="J107" s="130">
        <v>8591823</v>
      </c>
    </row>
    <row r="108" spans="1:10">
      <c r="A108" t="s">
        <v>1569</v>
      </c>
      <c r="B108" t="s">
        <v>1570</v>
      </c>
      <c r="D108" t="s">
        <v>1639</v>
      </c>
      <c r="E108" s="127">
        <v>2237391</v>
      </c>
      <c r="F108" s="126">
        <v>4759562</v>
      </c>
      <c r="G108" s="128">
        <v>884648</v>
      </c>
      <c r="J108" s="130">
        <v>7881601</v>
      </c>
    </row>
    <row r="109" spans="1:10">
      <c r="A109" t="s">
        <v>1571</v>
      </c>
      <c r="B109" t="s">
        <v>1572</v>
      </c>
      <c r="D109" t="s">
        <v>1639</v>
      </c>
      <c r="E109" s="127">
        <v>7486474</v>
      </c>
      <c r="F109" s="126">
        <v>9706976</v>
      </c>
      <c r="G109" s="128">
        <v>599619</v>
      </c>
      <c r="J109" s="130">
        <v>17793069</v>
      </c>
    </row>
    <row r="110" spans="1:10">
      <c r="A110" t="s">
        <v>1573</v>
      </c>
      <c r="B110" t="s">
        <v>1574</v>
      </c>
      <c r="D110" t="s">
        <v>1639</v>
      </c>
      <c r="E110" s="127">
        <v>1859969</v>
      </c>
      <c r="F110" s="126">
        <v>3312989</v>
      </c>
      <c r="G110" s="128">
        <v>240955</v>
      </c>
      <c r="J110" s="130">
        <v>5413913</v>
      </c>
    </row>
    <row r="111" spans="1:10">
      <c r="A111" t="s">
        <v>1575</v>
      </c>
      <c r="B111" t="s">
        <v>1576</v>
      </c>
      <c r="D111" t="s">
        <v>1639</v>
      </c>
      <c r="E111" s="127">
        <v>3683627</v>
      </c>
      <c r="F111" s="126">
        <v>5579630</v>
      </c>
      <c r="G111" s="128">
        <v>321610</v>
      </c>
      <c r="J111" s="130">
        <v>9584867</v>
      </c>
    </row>
    <row r="112" spans="1:10">
      <c r="A112" t="s">
        <v>1577</v>
      </c>
      <c r="B112" t="s">
        <v>1578</v>
      </c>
      <c r="D112" t="s">
        <v>1639</v>
      </c>
      <c r="E112" s="127">
        <v>5822358</v>
      </c>
      <c r="F112" s="126">
        <v>3454721</v>
      </c>
      <c r="G112" s="128">
        <v>449187</v>
      </c>
      <c r="J112" s="130">
        <v>9726266</v>
      </c>
    </row>
    <row r="113" spans="1:10">
      <c r="A113" t="s">
        <v>1579</v>
      </c>
      <c r="B113" t="s">
        <v>1580</v>
      </c>
      <c r="D113" t="s">
        <v>1639</v>
      </c>
      <c r="E113" s="127">
        <v>5037274</v>
      </c>
      <c r="F113" s="126">
        <v>3763357</v>
      </c>
      <c r="G113" s="128">
        <v>308122</v>
      </c>
      <c r="J113" s="130">
        <v>9108753</v>
      </c>
    </row>
    <row r="114" spans="1:10">
      <c r="A114" t="s">
        <v>1581</v>
      </c>
      <c r="B114" t="s">
        <v>1582</v>
      </c>
      <c r="D114" t="s">
        <v>1639</v>
      </c>
      <c r="E114" s="127">
        <v>5769897</v>
      </c>
      <c r="F114" s="126">
        <v>14968997</v>
      </c>
      <c r="G114" s="128">
        <v>699153</v>
      </c>
      <c r="J114" s="130">
        <v>21438047</v>
      </c>
    </row>
    <row r="115" spans="1:10">
      <c r="A115" t="s">
        <v>1583</v>
      </c>
      <c r="B115" t="s">
        <v>1584</v>
      </c>
      <c r="D115" t="s">
        <v>1639</v>
      </c>
      <c r="E115" s="127">
        <v>3045788</v>
      </c>
      <c r="F115" s="126">
        <v>5042722</v>
      </c>
      <c r="G115" s="128">
        <v>576995</v>
      </c>
      <c r="J115" s="130">
        <v>8665505</v>
      </c>
    </row>
    <row r="116" spans="1:10">
      <c r="A116" t="s">
        <v>1585</v>
      </c>
      <c r="B116" t="s">
        <v>1586</v>
      </c>
      <c r="D116" t="s">
        <v>1639</v>
      </c>
      <c r="E116" s="127">
        <v>3349900</v>
      </c>
      <c r="F116" s="126">
        <v>4394351</v>
      </c>
      <c r="G116" s="128">
        <v>288075</v>
      </c>
      <c r="J116" s="130">
        <v>8032326</v>
      </c>
    </row>
    <row r="117" spans="1:10">
      <c r="A117" t="s">
        <v>1587</v>
      </c>
      <c r="B117" t="s">
        <v>1588</v>
      </c>
      <c r="D117" t="s">
        <v>1639</v>
      </c>
      <c r="E117" s="127">
        <v>6760429</v>
      </c>
      <c r="F117" s="126">
        <v>11448733</v>
      </c>
      <c r="G117" s="128">
        <v>1251633</v>
      </c>
      <c r="J117" s="130">
        <v>19460795</v>
      </c>
    </row>
    <row r="118" spans="1:10">
      <c r="A118" t="s">
        <v>1589</v>
      </c>
      <c r="B118" t="s">
        <v>1590</v>
      </c>
      <c r="D118" t="s">
        <v>1639</v>
      </c>
      <c r="E118" s="127">
        <v>24156668</v>
      </c>
      <c r="F118" s="126">
        <v>26506674</v>
      </c>
      <c r="G118" s="128">
        <v>2030644</v>
      </c>
      <c r="J118" s="130">
        <v>52693986</v>
      </c>
    </row>
    <row r="119" spans="1:10">
      <c r="A119" t="s">
        <v>1591</v>
      </c>
      <c r="B119" t="s">
        <v>1592</v>
      </c>
      <c r="D119" t="s">
        <v>1639</v>
      </c>
      <c r="E119" s="127">
        <v>13288967</v>
      </c>
      <c r="F119" s="126">
        <v>12201878</v>
      </c>
      <c r="G119" s="128">
        <v>699194</v>
      </c>
      <c r="J119" s="130">
        <v>26190039</v>
      </c>
    </row>
    <row r="120" spans="1:10">
      <c r="A120" t="s">
        <v>1593</v>
      </c>
      <c r="B120" t="s">
        <v>1594</v>
      </c>
      <c r="D120" t="s">
        <v>1639</v>
      </c>
      <c r="E120" s="127">
        <v>42032476</v>
      </c>
      <c r="F120" s="126">
        <v>29166936</v>
      </c>
      <c r="G120" s="128">
        <v>2224348</v>
      </c>
      <c r="J120" s="130">
        <v>73423760</v>
      </c>
    </row>
    <row r="121" spans="1:10">
      <c r="A121" t="s">
        <v>1323</v>
      </c>
      <c r="B121" t="s">
        <v>1324</v>
      </c>
      <c r="D121" t="s">
        <v>1639</v>
      </c>
      <c r="E121" s="127">
        <v>10493716</v>
      </c>
      <c r="F121" s="126">
        <v>7472803</v>
      </c>
      <c r="G121" s="128">
        <v>448442</v>
      </c>
      <c r="J121" s="130">
        <v>18414961</v>
      </c>
    </row>
    <row r="122" spans="1:10">
      <c r="A122" t="s">
        <v>1325</v>
      </c>
      <c r="B122" t="s">
        <v>1326</v>
      </c>
      <c r="D122" t="s">
        <v>1639</v>
      </c>
      <c r="E122" s="127">
        <v>22042340</v>
      </c>
      <c r="F122" s="126">
        <v>7006474</v>
      </c>
      <c r="G122" s="128">
        <v>364800</v>
      </c>
      <c r="J122" s="130">
        <v>29413614</v>
      </c>
    </row>
    <row r="123" spans="1:10">
      <c r="A123" t="s">
        <v>1327</v>
      </c>
      <c r="B123" t="s">
        <v>1328</v>
      </c>
      <c r="D123" t="s">
        <v>1639</v>
      </c>
      <c r="E123" s="127">
        <v>13505044</v>
      </c>
      <c r="F123" s="126">
        <v>8466708</v>
      </c>
      <c r="G123" s="128">
        <v>606457</v>
      </c>
      <c r="J123" s="130">
        <v>22578209</v>
      </c>
    </row>
    <row r="124" spans="1:10">
      <c r="A124" t="s">
        <v>1329</v>
      </c>
      <c r="B124" t="s">
        <v>1330</v>
      </c>
      <c r="D124" t="s">
        <v>1639</v>
      </c>
      <c r="E124" s="127">
        <v>20346600</v>
      </c>
      <c r="F124" s="126">
        <v>50492434</v>
      </c>
      <c r="G124" s="128">
        <v>6267079</v>
      </c>
      <c r="J124" s="130">
        <v>77106113</v>
      </c>
    </row>
    <row r="125" spans="1:10">
      <c r="A125" t="s">
        <v>1331</v>
      </c>
      <c r="B125" t="s">
        <v>1332</v>
      </c>
      <c r="D125" t="s">
        <v>1639</v>
      </c>
      <c r="E125" s="127">
        <v>92207632</v>
      </c>
      <c r="F125" s="126">
        <v>51447680</v>
      </c>
      <c r="G125" s="128">
        <v>2959105</v>
      </c>
      <c r="J125" s="130">
        <v>146614417</v>
      </c>
    </row>
    <row r="126" spans="1:10">
      <c r="A126" t="s">
        <v>1333</v>
      </c>
      <c r="B126" t="s">
        <v>1334</v>
      </c>
      <c r="D126" t="s">
        <v>1639</v>
      </c>
      <c r="E126" s="127">
        <v>23426426</v>
      </c>
      <c r="F126" s="126">
        <v>7990634</v>
      </c>
      <c r="G126" s="128">
        <v>441439</v>
      </c>
      <c r="J126" s="130">
        <v>31858499</v>
      </c>
    </row>
    <row r="127" spans="1:10">
      <c r="A127" t="s">
        <v>1335</v>
      </c>
      <c r="B127" t="s">
        <v>1336</v>
      </c>
      <c r="D127" t="s">
        <v>1639</v>
      </c>
      <c r="E127" s="127">
        <v>20605575</v>
      </c>
      <c r="F127" s="126">
        <v>17195373</v>
      </c>
      <c r="G127" s="128">
        <v>862432</v>
      </c>
      <c r="J127" s="130">
        <v>38663380</v>
      </c>
    </row>
    <row r="128" spans="1:10">
      <c r="A128" t="s">
        <v>1337</v>
      </c>
      <c r="B128" t="s">
        <v>1338</v>
      </c>
      <c r="D128" t="s">
        <v>1639</v>
      </c>
      <c r="E128" s="127">
        <v>18646110</v>
      </c>
      <c r="F128" s="126">
        <v>5177175</v>
      </c>
      <c r="G128" s="128">
        <v>527799</v>
      </c>
      <c r="J128" s="130">
        <v>24351084</v>
      </c>
    </row>
    <row r="129" spans="1:10">
      <c r="A129" t="s">
        <v>1339</v>
      </c>
      <c r="B129" t="s">
        <v>1340</v>
      </c>
      <c r="D129" t="s">
        <v>1639</v>
      </c>
      <c r="E129" s="127">
        <v>101073561</v>
      </c>
      <c r="F129" s="126">
        <v>54214137</v>
      </c>
      <c r="G129" s="128">
        <v>3668230</v>
      </c>
      <c r="J129" s="130">
        <v>158955928</v>
      </c>
    </row>
    <row r="130" spans="1:10">
      <c r="A130" t="s">
        <v>1341</v>
      </c>
      <c r="B130" t="s">
        <v>1342</v>
      </c>
      <c r="D130" t="s">
        <v>1639</v>
      </c>
      <c r="E130" s="127">
        <v>19282223</v>
      </c>
      <c r="F130" s="126">
        <v>3858405</v>
      </c>
      <c r="G130" s="128">
        <v>454502</v>
      </c>
      <c r="J130" s="130">
        <v>23595130</v>
      </c>
    </row>
    <row r="131" spans="1:10">
      <c r="A131" t="s">
        <v>1343</v>
      </c>
      <c r="B131" t="s">
        <v>1344</v>
      </c>
      <c r="D131" t="s">
        <v>1639</v>
      </c>
      <c r="E131" s="127">
        <v>11114806</v>
      </c>
      <c r="F131" s="126">
        <v>16564579</v>
      </c>
      <c r="G131" s="128">
        <v>824200</v>
      </c>
      <c r="J131" s="130">
        <v>28503585</v>
      </c>
    </row>
    <row r="132" spans="1:10">
      <c r="A132" t="s">
        <v>2042</v>
      </c>
      <c r="B132" t="s">
        <v>1345</v>
      </c>
      <c r="D132" t="s">
        <v>1639</v>
      </c>
      <c r="E132" s="127">
        <v>24799252</v>
      </c>
      <c r="F132" s="126">
        <v>13989531</v>
      </c>
      <c r="G132" s="128">
        <v>1797448</v>
      </c>
      <c r="J132" s="130">
        <v>40586231</v>
      </c>
    </row>
    <row r="133" spans="1:10">
      <c r="A133" t="s">
        <v>2044</v>
      </c>
      <c r="B133" t="s">
        <v>1346</v>
      </c>
      <c r="D133" t="s">
        <v>1639</v>
      </c>
      <c r="E133" s="127">
        <v>100316210</v>
      </c>
      <c r="F133" s="126">
        <v>45011211</v>
      </c>
      <c r="G133" s="128">
        <v>3953782</v>
      </c>
      <c r="J133" s="130">
        <v>149281203</v>
      </c>
    </row>
    <row r="134" spans="1:10">
      <c r="A134" t="s">
        <v>2040</v>
      </c>
      <c r="B134" t="s">
        <v>1347</v>
      </c>
      <c r="D134" t="s">
        <v>1639</v>
      </c>
      <c r="E134" s="127">
        <v>34620584</v>
      </c>
      <c r="F134" s="126">
        <v>24709419</v>
      </c>
      <c r="G134" s="128">
        <v>2002298</v>
      </c>
      <c r="J134" s="130">
        <v>61332301</v>
      </c>
    </row>
    <row r="135" spans="1:10">
      <c r="A135" t="s">
        <v>1348</v>
      </c>
      <c r="B135" t="s">
        <v>1349</v>
      </c>
      <c r="D135" t="s">
        <v>1639</v>
      </c>
      <c r="E135" s="127">
        <v>16285420</v>
      </c>
      <c r="F135" s="126">
        <v>8897808</v>
      </c>
      <c r="G135" s="128">
        <v>634959</v>
      </c>
      <c r="J135" s="130">
        <v>25818187</v>
      </c>
    </row>
    <row r="136" spans="1:10" s="1" customFormat="1">
      <c r="A136" s="1" t="s">
        <v>2151</v>
      </c>
      <c r="B136" s="1" t="s">
        <v>1350</v>
      </c>
      <c r="C136" s="137"/>
      <c r="D136" s="1" t="s">
        <v>1639</v>
      </c>
      <c r="E136" s="68">
        <v>106159756</v>
      </c>
      <c r="F136" s="68">
        <v>548458716</v>
      </c>
      <c r="G136" s="68">
        <v>69637969</v>
      </c>
      <c r="H136" s="68"/>
      <c r="I136" s="68"/>
      <c r="J136" s="130">
        <v>724256441</v>
      </c>
    </row>
    <row r="137" spans="1:10">
      <c r="A137" t="s">
        <v>2153</v>
      </c>
      <c r="B137" t="s">
        <v>1351</v>
      </c>
      <c r="D137" t="s">
        <v>1639</v>
      </c>
      <c r="E137" s="127">
        <v>20024407</v>
      </c>
      <c r="F137" s="126">
        <v>14077312</v>
      </c>
      <c r="G137" s="128">
        <v>969839</v>
      </c>
      <c r="J137" s="130">
        <v>35071558</v>
      </c>
    </row>
    <row r="138" spans="1:10">
      <c r="A138" t="s">
        <v>2155</v>
      </c>
      <c r="B138" t="s">
        <v>1352</v>
      </c>
      <c r="D138" t="s">
        <v>1639</v>
      </c>
      <c r="E138" s="127">
        <v>15346079</v>
      </c>
      <c r="F138" s="126">
        <v>17484541</v>
      </c>
      <c r="G138" s="128">
        <v>1178633</v>
      </c>
      <c r="J138" s="130">
        <v>34009253</v>
      </c>
    </row>
    <row r="139" spans="1:10">
      <c r="A139" t="s">
        <v>2024</v>
      </c>
      <c r="B139" t="s">
        <v>1353</v>
      </c>
      <c r="D139" t="s">
        <v>1639</v>
      </c>
      <c r="E139" s="127">
        <v>8978444</v>
      </c>
      <c r="F139" s="126">
        <v>14302555</v>
      </c>
      <c r="G139" s="128">
        <v>785905</v>
      </c>
      <c r="J139" s="130">
        <v>24066904</v>
      </c>
    </row>
    <row r="140" spans="1:10">
      <c r="A140" t="s">
        <v>2046</v>
      </c>
      <c r="B140" t="s">
        <v>1354</v>
      </c>
      <c r="D140" t="s">
        <v>1639</v>
      </c>
      <c r="E140" s="127">
        <v>14905431</v>
      </c>
      <c r="F140" s="126">
        <v>19346050</v>
      </c>
      <c r="G140" s="128">
        <v>858037</v>
      </c>
      <c r="J140" s="130">
        <v>35109518</v>
      </c>
    </row>
    <row r="141" spans="1:10">
      <c r="A141" t="s">
        <v>2038</v>
      </c>
      <c r="B141" t="s">
        <v>1355</v>
      </c>
      <c r="D141" t="s">
        <v>1639</v>
      </c>
      <c r="E141" s="127">
        <v>10773943</v>
      </c>
      <c r="F141" s="126">
        <v>15177118</v>
      </c>
      <c r="G141" s="128">
        <v>696313</v>
      </c>
      <c r="J141" s="130">
        <v>26647374</v>
      </c>
    </row>
    <row r="142" spans="1:10">
      <c r="A142" t="s">
        <v>2057</v>
      </c>
      <c r="B142" t="s">
        <v>1356</v>
      </c>
      <c r="D142" t="s">
        <v>1639</v>
      </c>
      <c r="E142" s="127">
        <v>40243820</v>
      </c>
      <c r="F142" s="126">
        <v>23055493</v>
      </c>
      <c r="G142" s="128">
        <v>1352966</v>
      </c>
      <c r="J142" s="130">
        <v>64652279</v>
      </c>
    </row>
    <row r="143" spans="1:10">
      <c r="A143" t="s">
        <v>2026</v>
      </c>
      <c r="B143" t="s">
        <v>1357</v>
      </c>
      <c r="D143" t="s">
        <v>1639</v>
      </c>
      <c r="E143" s="127">
        <v>14097564</v>
      </c>
      <c r="F143" s="126">
        <v>18103547</v>
      </c>
      <c r="G143" s="128">
        <v>1058885</v>
      </c>
      <c r="J143" s="130">
        <v>33259996</v>
      </c>
    </row>
    <row r="144" spans="1:10">
      <c r="A144" t="s">
        <v>1358</v>
      </c>
      <c r="B144" t="s">
        <v>1359</v>
      </c>
      <c r="D144" t="s">
        <v>1639</v>
      </c>
      <c r="E144" s="127">
        <v>10188796</v>
      </c>
      <c r="F144" s="126">
        <v>11682659</v>
      </c>
      <c r="G144" s="128">
        <v>534474</v>
      </c>
      <c r="J144" s="130">
        <v>22405929</v>
      </c>
    </row>
    <row r="145" spans="1:10">
      <c r="A145" t="s">
        <v>1360</v>
      </c>
      <c r="B145" t="s">
        <v>1361</v>
      </c>
      <c r="D145" t="s">
        <v>1639</v>
      </c>
      <c r="E145" s="127">
        <v>19859193</v>
      </c>
      <c r="F145" s="126">
        <v>16027266</v>
      </c>
      <c r="G145" s="128">
        <v>845950</v>
      </c>
      <c r="J145" s="130">
        <v>36732409</v>
      </c>
    </row>
    <row r="146" spans="1:10">
      <c r="A146" t="s">
        <v>1362</v>
      </c>
      <c r="B146" t="s">
        <v>1363</v>
      </c>
      <c r="D146" t="s">
        <v>1639</v>
      </c>
      <c r="E146" s="127">
        <v>16666763</v>
      </c>
      <c r="F146" s="126">
        <v>31640654</v>
      </c>
      <c r="G146" s="128">
        <v>1493747</v>
      </c>
      <c r="J146" s="130">
        <v>49801164</v>
      </c>
    </row>
    <row r="147" spans="1:10">
      <c r="A147" t="s">
        <v>2059</v>
      </c>
      <c r="B147" t="s">
        <v>1364</v>
      </c>
      <c r="D147" t="s">
        <v>1639</v>
      </c>
      <c r="E147" s="127">
        <v>25671987</v>
      </c>
      <c r="F147" s="126">
        <v>19656708</v>
      </c>
      <c r="G147" s="128">
        <v>1072864</v>
      </c>
      <c r="J147" s="130">
        <v>46401559</v>
      </c>
    </row>
    <row r="148" spans="1:10">
      <c r="A148" t="s">
        <v>2048</v>
      </c>
      <c r="B148" t="s">
        <v>1365</v>
      </c>
      <c r="D148" t="s">
        <v>1639</v>
      </c>
      <c r="E148" s="127">
        <v>23374025</v>
      </c>
      <c r="F148" s="126">
        <v>23789148</v>
      </c>
      <c r="G148" s="128">
        <v>1273699</v>
      </c>
      <c r="J148" s="130">
        <v>48436872</v>
      </c>
    </row>
    <row r="149" spans="1:10">
      <c r="A149" t="s">
        <v>2028</v>
      </c>
      <c r="B149" t="s">
        <v>1366</v>
      </c>
      <c r="D149" t="s">
        <v>1639</v>
      </c>
      <c r="E149" s="127">
        <v>31148015</v>
      </c>
      <c r="F149" s="126">
        <v>31526377</v>
      </c>
      <c r="G149" s="128">
        <v>2003723</v>
      </c>
      <c r="J149" s="130">
        <v>64678115</v>
      </c>
    </row>
    <row r="150" spans="1:10">
      <c r="A150" t="s">
        <v>2052</v>
      </c>
      <c r="B150" t="s">
        <v>1367</v>
      </c>
      <c r="D150" t="s">
        <v>1639</v>
      </c>
      <c r="E150" s="127">
        <v>7590329</v>
      </c>
      <c r="F150" s="126">
        <v>10765264</v>
      </c>
      <c r="G150" s="128">
        <v>487718</v>
      </c>
      <c r="J150" s="130">
        <v>18843311</v>
      </c>
    </row>
    <row r="151" spans="1:10">
      <c r="A151" t="s">
        <v>2030</v>
      </c>
      <c r="B151" t="s">
        <v>1368</v>
      </c>
      <c r="D151" t="s">
        <v>1639</v>
      </c>
      <c r="E151" s="127">
        <v>9174947</v>
      </c>
      <c r="F151" s="126">
        <v>25221271</v>
      </c>
      <c r="G151" s="128">
        <v>3817387</v>
      </c>
      <c r="J151" s="130">
        <v>38213605</v>
      </c>
    </row>
    <row r="152" spans="1:10">
      <c r="A152" t="s">
        <v>2050</v>
      </c>
      <c r="B152" t="s">
        <v>1369</v>
      </c>
      <c r="D152" t="s">
        <v>1639</v>
      </c>
      <c r="E152" s="127">
        <v>40292822</v>
      </c>
      <c r="F152" s="126">
        <v>31201661</v>
      </c>
      <c r="G152" s="128">
        <v>2541096</v>
      </c>
      <c r="J152" s="130">
        <v>74035579</v>
      </c>
    </row>
    <row r="153" spans="1:10">
      <c r="A153" t="s">
        <v>1370</v>
      </c>
      <c r="B153" t="s">
        <v>1371</v>
      </c>
      <c r="D153" t="s">
        <v>1639</v>
      </c>
      <c r="E153" s="127">
        <v>9275686</v>
      </c>
      <c r="F153" s="126">
        <v>14391055</v>
      </c>
      <c r="G153" s="128">
        <v>808092</v>
      </c>
      <c r="J153" s="130">
        <v>24474833</v>
      </c>
    </row>
    <row r="154" spans="1:10">
      <c r="A154" t="s">
        <v>1372</v>
      </c>
      <c r="B154" t="s">
        <v>1373</v>
      </c>
      <c r="D154" t="s">
        <v>1639</v>
      </c>
      <c r="E154" s="127">
        <v>5247909</v>
      </c>
      <c r="F154" s="126">
        <v>7520563</v>
      </c>
      <c r="G154" s="128">
        <v>346314</v>
      </c>
      <c r="J154" s="130">
        <v>13114786</v>
      </c>
    </row>
    <row r="155" spans="1:10">
      <c r="A155" t="s">
        <v>2034</v>
      </c>
      <c r="B155" t="s">
        <v>1374</v>
      </c>
      <c r="D155" t="s">
        <v>1639</v>
      </c>
      <c r="E155" s="127">
        <v>42646984</v>
      </c>
      <c r="F155" s="126">
        <v>26471178</v>
      </c>
      <c r="G155" s="128">
        <v>1399615</v>
      </c>
      <c r="J155" s="130">
        <v>70517777</v>
      </c>
    </row>
    <row r="156" spans="1:10">
      <c r="A156" t="s">
        <v>2061</v>
      </c>
      <c r="B156" t="s">
        <v>1375</v>
      </c>
      <c r="D156" t="s">
        <v>1639</v>
      </c>
      <c r="E156" s="127">
        <v>9272181</v>
      </c>
      <c r="F156" s="126">
        <v>19689186</v>
      </c>
      <c r="G156" s="128">
        <v>837549</v>
      </c>
      <c r="J156" s="130">
        <v>29798916</v>
      </c>
    </row>
    <row r="157" spans="1:10">
      <c r="A157" t="s">
        <v>2036</v>
      </c>
      <c r="B157" t="s">
        <v>1376</v>
      </c>
      <c r="D157" t="s">
        <v>1639</v>
      </c>
      <c r="E157" s="127">
        <v>64805311</v>
      </c>
      <c r="F157" s="126">
        <v>60231703</v>
      </c>
      <c r="G157" s="128">
        <v>3935232</v>
      </c>
      <c r="J157" s="130">
        <v>128972246</v>
      </c>
    </row>
    <row r="158" spans="1:10">
      <c r="A158" t="s">
        <v>2032</v>
      </c>
      <c r="B158" t="s">
        <v>1377</v>
      </c>
      <c r="D158" t="s">
        <v>1639</v>
      </c>
      <c r="E158" s="127">
        <v>43978096</v>
      </c>
      <c r="F158" s="126">
        <v>50656140</v>
      </c>
      <c r="G158" s="128">
        <v>2675080</v>
      </c>
      <c r="J158" s="130">
        <v>97309316</v>
      </c>
    </row>
    <row r="159" spans="1:10">
      <c r="A159" t="s">
        <v>1378</v>
      </c>
      <c r="B159" t="s">
        <v>1379</v>
      </c>
      <c r="D159" t="s">
        <v>1639</v>
      </c>
      <c r="E159" s="127">
        <v>1099588</v>
      </c>
      <c r="F159" s="126">
        <v>4421272</v>
      </c>
      <c r="G159" s="128">
        <v>492543</v>
      </c>
      <c r="J159" s="130">
        <v>6013403</v>
      </c>
    </row>
    <row r="160" spans="1:10">
      <c r="A160" t="s">
        <v>1380</v>
      </c>
      <c r="B160" t="s">
        <v>1381</v>
      </c>
      <c r="D160" t="s">
        <v>1639</v>
      </c>
      <c r="E160" s="127">
        <v>2929119</v>
      </c>
      <c r="F160" s="126">
        <v>3927890</v>
      </c>
      <c r="G160" s="128">
        <v>286735</v>
      </c>
      <c r="J160" s="130">
        <v>7143744</v>
      </c>
    </row>
    <row r="161" spans="1:10">
      <c r="A161" t="s">
        <v>1382</v>
      </c>
      <c r="B161" t="s">
        <v>1383</v>
      </c>
      <c r="D161" t="s">
        <v>1639</v>
      </c>
      <c r="E161" s="127">
        <v>4018602</v>
      </c>
      <c r="F161" s="126">
        <v>618190</v>
      </c>
      <c r="G161" s="128">
        <v>97009</v>
      </c>
      <c r="J161" s="130">
        <v>4733801</v>
      </c>
    </row>
    <row r="162" spans="1:10">
      <c r="A162" t="s">
        <v>1384</v>
      </c>
      <c r="B162" t="s">
        <v>1385</v>
      </c>
      <c r="D162" t="s">
        <v>1639</v>
      </c>
      <c r="E162" s="127">
        <v>3477287</v>
      </c>
      <c r="F162" s="126">
        <v>1188373</v>
      </c>
      <c r="G162" s="128">
        <v>102920</v>
      </c>
      <c r="J162" s="130">
        <v>4768580</v>
      </c>
    </row>
    <row r="163" spans="1:10">
      <c r="A163" t="s">
        <v>1386</v>
      </c>
      <c r="B163" t="s">
        <v>1387</v>
      </c>
      <c r="D163" t="s">
        <v>1639</v>
      </c>
      <c r="E163" s="127">
        <v>2394822</v>
      </c>
      <c r="F163" s="126">
        <v>9424441</v>
      </c>
      <c r="G163" s="128">
        <v>751833</v>
      </c>
      <c r="J163" s="130">
        <v>12571096</v>
      </c>
    </row>
    <row r="164" spans="1:10">
      <c r="A164" t="s">
        <v>1388</v>
      </c>
      <c r="B164" t="s">
        <v>1389</v>
      </c>
      <c r="D164" t="s">
        <v>1639</v>
      </c>
      <c r="E164" s="127">
        <v>3269998</v>
      </c>
      <c r="F164" s="126">
        <v>685472</v>
      </c>
      <c r="G164" s="128">
        <v>55723</v>
      </c>
      <c r="J164" s="130">
        <v>4011193</v>
      </c>
    </row>
    <row r="165" spans="1:10">
      <c r="A165" t="s">
        <v>1390</v>
      </c>
      <c r="B165" t="s">
        <v>1391</v>
      </c>
      <c r="D165" t="s">
        <v>1639</v>
      </c>
      <c r="E165" s="127">
        <v>11245320</v>
      </c>
      <c r="F165" s="126">
        <v>2873072</v>
      </c>
      <c r="G165" s="128">
        <v>625340</v>
      </c>
      <c r="J165" s="130">
        <v>14743732</v>
      </c>
    </row>
    <row r="166" spans="1:10">
      <c r="A166" t="s">
        <v>1392</v>
      </c>
      <c r="B166" t="s">
        <v>1393</v>
      </c>
      <c r="D166" t="s">
        <v>1639</v>
      </c>
      <c r="E166" s="127">
        <v>4324494</v>
      </c>
      <c r="F166" s="126">
        <v>1102081</v>
      </c>
      <c r="G166" s="128">
        <v>233354</v>
      </c>
      <c r="J166" s="130">
        <v>5659929</v>
      </c>
    </row>
    <row r="167" spans="1:10">
      <c r="A167" t="s">
        <v>1394</v>
      </c>
      <c r="B167" t="s">
        <v>1395</v>
      </c>
      <c r="D167" t="s">
        <v>1639</v>
      </c>
      <c r="E167" s="127">
        <v>8924931</v>
      </c>
      <c r="F167" s="126">
        <v>6111968</v>
      </c>
      <c r="G167" s="128">
        <v>1421469</v>
      </c>
      <c r="J167" s="130">
        <v>16458368</v>
      </c>
    </row>
    <row r="168" spans="1:10">
      <c r="A168" t="s">
        <v>1396</v>
      </c>
      <c r="B168" t="s">
        <v>1397</v>
      </c>
      <c r="D168" t="s">
        <v>1639</v>
      </c>
      <c r="E168" s="127">
        <v>2578836</v>
      </c>
      <c r="F168" s="126">
        <v>2150481</v>
      </c>
      <c r="G168" s="128">
        <v>375600</v>
      </c>
      <c r="J168" s="130">
        <v>5104917</v>
      </c>
    </row>
    <row r="169" spans="1:10">
      <c r="A169" t="s">
        <v>1398</v>
      </c>
      <c r="B169" t="s">
        <v>1399</v>
      </c>
      <c r="D169" t="s">
        <v>1639</v>
      </c>
      <c r="E169" s="127">
        <v>4418048</v>
      </c>
      <c r="F169" s="126">
        <v>2725988</v>
      </c>
      <c r="G169" s="128">
        <v>214227</v>
      </c>
      <c r="J169" s="130">
        <v>7358263</v>
      </c>
    </row>
    <row r="170" spans="1:10">
      <c r="A170" t="s">
        <v>1400</v>
      </c>
      <c r="B170" t="s">
        <v>1401</v>
      </c>
      <c r="D170" t="s">
        <v>1639</v>
      </c>
      <c r="E170" s="127">
        <v>5305991</v>
      </c>
      <c r="F170" s="126">
        <v>8799955</v>
      </c>
      <c r="G170" s="128">
        <v>704908</v>
      </c>
      <c r="J170" s="130">
        <v>14810854</v>
      </c>
    </row>
    <row r="171" spans="1:10">
      <c r="A171" t="s">
        <v>1402</v>
      </c>
      <c r="B171" t="s">
        <v>1403</v>
      </c>
      <c r="D171" t="s">
        <v>1639</v>
      </c>
      <c r="E171" s="127">
        <v>2338882</v>
      </c>
      <c r="F171" s="126">
        <v>6796057</v>
      </c>
      <c r="G171" s="128">
        <v>444130</v>
      </c>
      <c r="J171" s="130">
        <v>9579069</v>
      </c>
    </row>
    <row r="172" spans="1:10">
      <c r="A172" t="s">
        <v>1404</v>
      </c>
      <c r="B172" t="s">
        <v>1405</v>
      </c>
      <c r="D172" t="s">
        <v>1639</v>
      </c>
      <c r="E172" s="127">
        <v>4429236</v>
      </c>
      <c r="F172" s="126">
        <v>23762154</v>
      </c>
      <c r="G172" s="128">
        <v>2629441</v>
      </c>
      <c r="J172" s="130">
        <v>30820831</v>
      </c>
    </row>
    <row r="173" spans="1:10">
      <c r="A173" t="s">
        <v>1406</v>
      </c>
      <c r="B173" t="s">
        <v>1407</v>
      </c>
      <c r="D173" t="s">
        <v>1639</v>
      </c>
      <c r="E173" s="127">
        <v>15451960</v>
      </c>
      <c r="F173" s="126">
        <v>9248534</v>
      </c>
      <c r="G173" s="128">
        <v>694375</v>
      </c>
      <c r="J173" s="130">
        <v>25394869</v>
      </c>
    </row>
    <row r="174" spans="1:10">
      <c r="A174" t="s">
        <v>1408</v>
      </c>
      <c r="B174" t="s">
        <v>1409</v>
      </c>
      <c r="D174" t="s">
        <v>1639</v>
      </c>
      <c r="E174" s="127">
        <v>9858134</v>
      </c>
      <c r="F174" s="126">
        <v>27268255</v>
      </c>
      <c r="G174" s="128">
        <v>2660051</v>
      </c>
      <c r="J174" s="130">
        <v>39786440</v>
      </c>
    </row>
    <row r="175" spans="1:10">
      <c r="A175" t="s">
        <v>1410</v>
      </c>
      <c r="B175" t="s">
        <v>1411</v>
      </c>
      <c r="D175" t="s">
        <v>1639</v>
      </c>
      <c r="E175" s="127">
        <v>1830874</v>
      </c>
      <c r="F175" s="126">
        <v>11461230</v>
      </c>
      <c r="G175" s="128">
        <v>1124521</v>
      </c>
      <c r="J175" s="130">
        <v>14416625</v>
      </c>
    </row>
    <row r="176" spans="1:10">
      <c r="A176" t="s">
        <v>1412</v>
      </c>
      <c r="B176" t="s">
        <v>1413</v>
      </c>
      <c r="D176" t="s">
        <v>1639</v>
      </c>
      <c r="E176" s="127">
        <v>1913875</v>
      </c>
      <c r="F176" s="126">
        <v>4492519</v>
      </c>
      <c r="G176" s="128">
        <v>652582</v>
      </c>
      <c r="J176" s="130">
        <v>7058976</v>
      </c>
    </row>
    <row r="177" spans="1:10">
      <c r="A177" t="s">
        <v>1414</v>
      </c>
      <c r="B177" t="s">
        <v>1415</v>
      </c>
      <c r="D177" t="s">
        <v>1639</v>
      </c>
      <c r="E177" s="127">
        <v>2004628</v>
      </c>
      <c r="F177" s="126">
        <v>1686496</v>
      </c>
      <c r="G177" s="128">
        <v>99152</v>
      </c>
      <c r="J177" s="130">
        <v>3790276</v>
      </c>
    </row>
    <row r="178" spans="1:10">
      <c r="A178" t="s">
        <v>1416</v>
      </c>
      <c r="B178" t="s">
        <v>1417</v>
      </c>
      <c r="D178" t="s">
        <v>1639</v>
      </c>
      <c r="E178" s="127">
        <v>10987441</v>
      </c>
      <c r="F178" s="126">
        <v>31925611</v>
      </c>
      <c r="G178" s="128">
        <v>5026715</v>
      </c>
      <c r="J178" s="130">
        <v>47939767</v>
      </c>
    </row>
    <row r="179" spans="1:10">
      <c r="A179" t="s">
        <v>1418</v>
      </c>
      <c r="B179" t="s">
        <v>1419</v>
      </c>
      <c r="D179" t="s">
        <v>1639</v>
      </c>
      <c r="E179" s="127">
        <v>7022161</v>
      </c>
      <c r="F179" s="126">
        <v>18422466</v>
      </c>
      <c r="G179" s="128">
        <v>1269037</v>
      </c>
      <c r="J179" s="130">
        <v>26713664</v>
      </c>
    </row>
    <row r="180" spans="1:10">
      <c r="A180" t="s">
        <v>1420</v>
      </c>
      <c r="B180" t="s">
        <v>1421</v>
      </c>
      <c r="D180" t="s">
        <v>1639</v>
      </c>
      <c r="E180" s="127">
        <v>4693050</v>
      </c>
      <c r="F180" s="126">
        <v>10170564</v>
      </c>
      <c r="G180" s="128">
        <v>648706</v>
      </c>
      <c r="J180" s="130">
        <v>15512320</v>
      </c>
    </row>
    <row r="181" spans="1:10">
      <c r="A181" t="s">
        <v>1422</v>
      </c>
      <c r="B181" t="s">
        <v>1423</v>
      </c>
      <c r="D181" t="s">
        <v>1639</v>
      </c>
      <c r="E181" s="127">
        <v>4826568</v>
      </c>
      <c r="F181" s="126">
        <v>4036230</v>
      </c>
      <c r="G181" s="128">
        <v>406598</v>
      </c>
      <c r="J181" s="130">
        <v>9269396</v>
      </c>
    </row>
    <row r="182" spans="1:10">
      <c r="A182" t="s">
        <v>1424</v>
      </c>
      <c r="B182" t="s">
        <v>1425</v>
      </c>
      <c r="D182" t="s">
        <v>1639</v>
      </c>
      <c r="E182" s="127">
        <v>1937731</v>
      </c>
      <c r="F182" s="126">
        <v>5323551</v>
      </c>
      <c r="G182" s="128">
        <v>410089</v>
      </c>
      <c r="J182" s="130">
        <v>7671371</v>
      </c>
    </row>
    <row r="183" spans="1:10">
      <c r="A183" t="s">
        <v>1426</v>
      </c>
      <c r="B183" t="s">
        <v>1427</v>
      </c>
      <c r="D183" t="s">
        <v>1639</v>
      </c>
      <c r="E183" s="127">
        <v>7444809</v>
      </c>
      <c r="F183" s="126">
        <v>16874191</v>
      </c>
      <c r="G183" s="128">
        <v>757481</v>
      </c>
      <c r="J183" s="130">
        <v>25076481</v>
      </c>
    </row>
    <row r="184" spans="1:10">
      <c r="A184" t="s">
        <v>1428</v>
      </c>
      <c r="B184" t="s">
        <v>1429</v>
      </c>
      <c r="D184" t="s">
        <v>1639</v>
      </c>
      <c r="E184" s="127">
        <v>4840617</v>
      </c>
      <c r="F184" s="126">
        <v>10605323</v>
      </c>
      <c r="G184" s="128">
        <v>458893</v>
      </c>
      <c r="J184" s="130">
        <v>15904833</v>
      </c>
    </row>
    <row r="185" spans="1:10">
      <c r="A185" t="s">
        <v>1430</v>
      </c>
      <c r="B185" t="s">
        <v>1431</v>
      </c>
      <c r="D185" t="s">
        <v>1639</v>
      </c>
      <c r="E185" s="127">
        <v>21616832</v>
      </c>
      <c r="F185" s="126">
        <v>20583438</v>
      </c>
      <c r="G185" s="128">
        <v>2027508</v>
      </c>
      <c r="J185" s="130">
        <v>44227778</v>
      </c>
    </row>
    <row r="186" spans="1:10">
      <c r="A186" t="s">
        <v>1432</v>
      </c>
      <c r="B186" t="s">
        <v>1433</v>
      </c>
      <c r="D186" t="s">
        <v>1639</v>
      </c>
      <c r="E186" s="127">
        <v>5975791</v>
      </c>
      <c r="F186" s="126">
        <v>11719881</v>
      </c>
      <c r="G186" s="128">
        <v>659507</v>
      </c>
      <c r="J186" s="130">
        <v>18355179</v>
      </c>
    </row>
    <row r="187" spans="1:10">
      <c r="A187" t="s">
        <v>1434</v>
      </c>
      <c r="B187" t="s">
        <v>1435</v>
      </c>
      <c r="D187" t="s">
        <v>1639</v>
      </c>
      <c r="E187" s="127">
        <v>2887121</v>
      </c>
      <c r="F187" s="126">
        <v>6148847</v>
      </c>
      <c r="G187" s="128">
        <v>407652</v>
      </c>
      <c r="J187" s="130">
        <v>9443620</v>
      </c>
    </row>
    <row r="188" spans="1:10">
      <c r="A188" t="s">
        <v>1436</v>
      </c>
      <c r="B188" t="s">
        <v>1437</v>
      </c>
      <c r="D188" t="s">
        <v>1639</v>
      </c>
      <c r="E188" s="127">
        <v>7362371</v>
      </c>
      <c r="F188" s="126">
        <v>12344296</v>
      </c>
      <c r="G188" s="128">
        <v>660246</v>
      </c>
      <c r="J188" s="130">
        <v>20366913</v>
      </c>
    </row>
    <row r="189" spans="1:10">
      <c r="A189" t="s">
        <v>1438</v>
      </c>
      <c r="B189" t="s">
        <v>1439</v>
      </c>
      <c r="D189" t="s">
        <v>1639</v>
      </c>
      <c r="E189" s="127">
        <v>3373121</v>
      </c>
      <c r="F189" s="126">
        <v>10445225</v>
      </c>
      <c r="G189" s="128">
        <v>578838</v>
      </c>
      <c r="J189" s="130">
        <v>14397184</v>
      </c>
    </row>
    <row r="190" spans="1:10">
      <c r="A190" t="s">
        <v>1440</v>
      </c>
      <c r="B190" t="s">
        <v>1441</v>
      </c>
      <c r="D190" t="s">
        <v>1639</v>
      </c>
      <c r="E190" s="127">
        <v>4257611</v>
      </c>
      <c r="F190" s="126">
        <v>10390375</v>
      </c>
      <c r="G190" s="128">
        <v>511162</v>
      </c>
      <c r="J190" s="130">
        <v>15159148</v>
      </c>
    </row>
    <row r="191" spans="1:10">
      <c r="A191" t="s">
        <v>1442</v>
      </c>
      <c r="B191" t="s">
        <v>1443</v>
      </c>
      <c r="D191" t="s">
        <v>1639</v>
      </c>
      <c r="E191" s="127">
        <v>6418823</v>
      </c>
      <c r="F191" s="126">
        <v>10791554</v>
      </c>
      <c r="G191" s="128">
        <v>992205</v>
      </c>
      <c r="J191" s="130">
        <v>18202582</v>
      </c>
    </row>
    <row r="192" spans="1:10">
      <c r="A192" t="s">
        <v>1444</v>
      </c>
      <c r="B192" t="s">
        <v>1445</v>
      </c>
      <c r="D192" t="s">
        <v>1639</v>
      </c>
      <c r="E192" s="127">
        <v>9323706</v>
      </c>
      <c r="F192" s="126">
        <v>13214791</v>
      </c>
      <c r="G192" s="128">
        <v>879002</v>
      </c>
      <c r="J192" s="130">
        <v>23417499</v>
      </c>
    </row>
    <row r="193" spans="1:10">
      <c r="A193" t="s">
        <v>1446</v>
      </c>
      <c r="B193" t="s">
        <v>1447</v>
      </c>
      <c r="D193" t="s">
        <v>1639</v>
      </c>
      <c r="E193" s="127">
        <v>16084869</v>
      </c>
      <c r="F193" s="126">
        <v>14439035</v>
      </c>
      <c r="G193" s="128">
        <v>2119400</v>
      </c>
      <c r="J193" s="130">
        <v>32643304</v>
      </c>
    </row>
    <row r="194" spans="1:10">
      <c r="A194" t="s">
        <v>1448</v>
      </c>
      <c r="B194" t="s">
        <v>1449</v>
      </c>
      <c r="D194" t="s">
        <v>1639</v>
      </c>
      <c r="E194" s="127">
        <v>12311900</v>
      </c>
      <c r="F194" s="126">
        <v>9744316</v>
      </c>
      <c r="G194" s="128">
        <v>799082</v>
      </c>
      <c r="J194" s="130">
        <v>22855298</v>
      </c>
    </row>
    <row r="195" spans="1:10">
      <c r="A195" t="s">
        <v>1450</v>
      </c>
      <c r="B195" t="s">
        <v>1451</v>
      </c>
      <c r="D195" t="s">
        <v>1639</v>
      </c>
      <c r="E195" s="127">
        <v>11067322</v>
      </c>
      <c r="F195" s="126">
        <v>11328290</v>
      </c>
      <c r="G195" s="128">
        <v>770855</v>
      </c>
      <c r="J195" s="130">
        <v>23166467</v>
      </c>
    </row>
    <row r="196" spans="1:10">
      <c r="A196" t="s">
        <v>1452</v>
      </c>
      <c r="B196" t="s">
        <v>1453</v>
      </c>
      <c r="D196" t="s">
        <v>1639</v>
      </c>
      <c r="E196" s="127">
        <v>8713009</v>
      </c>
      <c r="F196" s="126">
        <v>2639076</v>
      </c>
      <c r="G196" s="128">
        <v>499154</v>
      </c>
      <c r="J196" s="130">
        <v>11851239</v>
      </c>
    </row>
    <row r="197" spans="1:10">
      <c r="A197" t="s">
        <v>1454</v>
      </c>
      <c r="B197" t="s">
        <v>1455</v>
      </c>
      <c r="D197" t="s">
        <v>1639</v>
      </c>
      <c r="E197" s="127">
        <v>7867938</v>
      </c>
      <c r="F197" s="126">
        <v>1704338</v>
      </c>
      <c r="G197" s="128">
        <v>325576</v>
      </c>
      <c r="J197" s="130">
        <v>9897852</v>
      </c>
    </row>
    <row r="198" spans="1:10">
      <c r="A198" t="s">
        <v>1456</v>
      </c>
      <c r="B198" t="s">
        <v>1191</v>
      </c>
      <c r="D198" t="s">
        <v>1639</v>
      </c>
      <c r="E198" s="127">
        <v>4296814</v>
      </c>
      <c r="F198" s="126">
        <v>699723</v>
      </c>
      <c r="G198" s="128">
        <v>141579</v>
      </c>
      <c r="J198" s="130">
        <v>5138116</v>
      </c>
    </row>
    <row r="199" spans="1:10">
      <c r="A199" t="s">
        <v>1192</v>
      </c>
      <c r="B199" t="s">
        <v>1193</v>
      </c>
      <c r="D199" t="s">
        <v>1639</v>
      </c>
      <c r="E199" s="127">
        <v>3070678</v>
      </c>
      <c r="F199" s="126">
        <v>535391</v>
      </c>
      <c r="G199" s="128">
        <v>45200</v>
      </c>
      <c r="J199" s="130">
        <v>3651269</v>
      </c>
    </row>
    <row r="200" spans="1:10">
      <c r="A200" t="s">
        <v>1194</v>
      </c>
      <c r="B200" t="s">
        <v>1195</v>
      </c>
      <c r="D200" t="s">
        <v>1639</v>
      </c>
      <c r="E200" s="127">
        <v>3266306</v>
      </c>
      <c r="F200" s="126">
        <v>341057</v>
      </c>
      <c r="G200" s="128">
        <v>71774</v>
      </c>
      <c r="J200" s="130">
        <v>3679137</v>
      </c>
    </row>
    <row r="201" spans="1:10">
      <c r="A201" t="s">
        <v>1196</v>
      </c>
      <c r="B201" t="s">
        <v>1197</v>
      </c>
      <c r="D201" t="s">
        <v>1639</v>
      </c>
      <c r="E201" s="127">
        <v>3415239</v>
      </c>
      <c r="F201" s="126">
        <v>1022872</v>
      </c>
      <c r="G201" s="128">
        <v>133666</v>
      </c>
      <c r="J201" s="130">
        <v>4571777</v>
      </c>
    </row>
    <row r="202" spans="1:10">
      <c r="A202" t="s">
        <v>1198</v>
      </c>
      <c r="B202" t="s">
        <v>1199</v>
      </c>
      <c r="D202" t="s">
        <v>1639</v>
      </c>
      <c r="E202" s="127">
        <v>3310966</v>
      </c>
      <c r="F202" s="126">
        <v>8963438</v>
      </c>
      <c r="G202" s="128">
        <v>509894</v>
      </c>
      <c r="J202" s="130">
        <v>12784298</v>
      </c>
    </row>
    <row r="203" spans="1:10">
      <c r="A203" t="s">
        <v>1200</v>
      </c>
      <c r="B203" t="s">
        <v>1201</v>
      </c>
      <c r="D203" t="s">
        <v>1639</v>
      </c>
      <c r="E203" s="127">
        <v>4351508</v>
      </c>
      <c r="F203" s="126">
        <v>10419107</v>
      </c>
      <c r="G203" s="128">
        <v>697542</v>
      </c>
      <c r="J203" s="130">
        <v>15468157</v>
      </c>
    </row>
    <row r="204" spans="1:10">
      <c r="A204" t="s">
        <v>1202</v>
      </c>
      <c r="B204" t="s">
        <v>1203</v>
      </c>
      <c r="D204" t="s">
        <v>1639</v>
      </c>
      <c r="E204" s="127">
        <v>3082528</v>
      </c>
      <c r="F204" s="126">
        <v>18630679</v>
      </c>
      <c r="G204" s="128">
        <v>1660360</v>
      </c>
      <c r="J204" s="130">
        <v>23373567</v>
      </c>
    </row>
    <row r="205" spans="1:10">
      <c r="A205" t="s">
        <v>1204</v>
      </c>
      <c r="B205" t="s">
        <v>1205</v>
      </c>
      <c r="D205" t="s">
        <v>1639</v>
      </c>
      <c r="E205" s="127">
        <v>2469308</v>
      </c>
      <c r="F205" s="126">
        <v>9578793</v>
      </c>
      <c r="G205" s="128">
        <v>958762</v>
      </c>
      <c r="J205" s="130">
        <v>13006863</v>
      </c>
    </row>
    <row r="206" spans="1:10">
      <c r="A206" t="s">
        <v>1206</v>
      </c>
      <c r="B206" t="s">
        <v>1207</v>
      </c>
      <c r="D206" t="s">
        <v>1639</v>
      </c>
      <c r="E206" s="127">
        <v>4864803</v>
      </c>
      <c r="F206" s="126">
        <v>11276143</v>
      </c>
      <c r="G206" s="128">
        <v>626623</v>
      </c>
      <c r="J206" s="130">
        <v>16767569</v>
      </c>
    </row>
    <row r="207" spans="1:10">
      <c r="A207" t="s">
        <v>1208</v>
      </c>
      <c r="B207" t="s">
        <v>1209</v>
      </c>
      <c r="D207" t="s">
        <v>1639</v>
      </c>
      <c r="E207" s="127">
        <v>5223782</v>
      </c>
      <c r="F207" s="126">
        <v>12441268</v>
      </c>
      <c r="G207" s="128">
        <v>1491324</v>
      </c>
      <c r="J207" s="130">
        <v>19156374</v>
      </c>
    </row>
    <row r="208" spans="1:10">
      <c r="A208" t="s">
        <v>1210</v>
      </c>
      <c r="B208" t="s">
        <v>1211</v>
      </c>
      <c r="D208" t="s">
        <v>1639</v>
      </c>
      <c r="E208" s="127">
        <v>3225736</v>
      </c>
      <c r="F208" s="126">
        <v>10306239</v>
      </c>
      <c r="G208" s="128">
        <v>941281</v>
      </c>
      <c r="J208" s="130">
        <v>14473256</v>
      </c>
    </row>
    <row r="209" spans="1:10">
      <c r="A209" t="s">
        <v>1212</v>
      </c>
      <c r="B209" t="s">
        <v>1213</v>
      </c>
      <c r="D209" t="s">
        <v>1639</v>
      </c>
      <c r="E209" s="127">
        <v>5276756</v>
      </c>
      <c r="F209" s="126">
        <v>5627877</v>
      </c>
      <c r="G209" s="128">
        <v>536825</v>
      </c>
      <c r="J209" s="130">
        <v>11441458</v>
      </c>
    </row>
    <row r="210" spans="1:10">
      <c r="A210" t="s">
        <v>1214</v>
      </c>
      <c r="B210" t="s">
        <v>1215</v>
      </c>
      <c r="D210" t="s">
        <v>1639</v>
      </c>
      <c r="E210" s="127">
        <v>1236331</v>
      </c>
      <c r="F210" s="126">
        <v>3513200</v>
      </c>
      <c r="G210" s="128">
        <v>270097</v>
      </c>
      <c r="J210" s="130">
        <v>5019628</v>
      </c>
    </row>
    <row r="211" spans="1:10">
      <c r="A211" t="s">
        <v>1216</v>
      </c>
      <c r="B211" t="s">
        <v>1217</v>
      </c>
      <c r="D211" t="s">
        <v>1639</v>
      </c>
      <c r="E211" s="127">
        <v>8063526</v>
      </c>
      <c r="F211" s="126">
        <v>997741</v>
      </c>
      <c r="G211" s="128">
        <v>205012</v>
      </c>
      <c r="J211" s="130">
        <v>9266279</v>
      </c>
    </row>
    <row r="212" spans="1:10">
      <c r="A212" t="s">
        <v>1218</v>
      </c>
      <c r="B212" t="s">
        <v>1219</v>
      </c>
      <c r="D212" t="s">
        <v>1639</v>
      </c>
      <c r="E212" s="127">
        <v>4138972</v>
      </c>
      <c r="F212" s="126">
        <v>14742933</v>
      </c>
      <c r="G212" s="128">
        <v>849998</v>
      </c>
      <c r="J212" s="130">
        <v>19731903</v>
      </c>
    </row>
    <row r="213" spans="1:10">
      <c r="A213" t="s">
        <v>1220</v>
      </c>
      <c r="B213" t="s">
        <v>1221</v>
      </c>
      <c r="D213" t="s">
        <v>1639</v>
      </c>
      <c r="E213" s="127">
        <v>4689267</v>
      </c>
      <c r="F213" s="126">
        <v>18254269</v>
      </c>
      <c r="G213" s="128">
        <v>1204495</v>
      </c>
      <c r="J213" s="130">
        <v>24148031</v>
      </c>
    </row>
    <row r="214" spans="1:10">
      <c r="A214" t="s">
        <v>1222</v>
      </c>
      <c r="B214" t="s">
        <v>1223</v>
      </c>
      <c r="D214" t="s">
        <v>1639</v>
      </c>
      <c r="E214" s="127">
        <v>4960341</v>
      </c>
      <c r="F214" s="126">
        <v>4420166</v>
      </c>
      <c r="G214" s="128">
        <v>410199</v>
      </c>
      <c r="J214" s="130">
        <v>9790706</v>
      </c>
    </row>
    <row r="215" spans="1:10">
      <c r="A215" t="s">
        <v>1224</v>
      </c>
      <c r="B215" t="s">
        <v>1225</v>
      </c>
      <c r="D215" t="s">
        <v>1639</v>
      </c>
      <c r="E215" s="127">
        <v>3085383</v>
      </c>
      <c r="F215" s="126">
        <v>37020580</v>
      </c>
      <c r="G215" s="128">
        <v>9611258</v>
      </c>
      <c r="J215" s="130">
        <v>49717221</v>
      </c>
    </row>
    <row r="216" spans="1:10">
      <c r="A216" t="s">
        <v>1226</v>
      </c>
      <c r="B216" t="s">
        <v>1227</v>
      </c>
      <c r="D216" t="s">
        <v>1639</v>
      </c>
      <c r="E216" s="127">
        <v>4947721</v>
      </c>
      <c r="F216" s="126">
        <v>12622430</v>
      </c>
      <c r="G216" s="128">
        <v>812687</v>
      </c>
      <c r="J216" s="130">
        <v>18382838</v>
      </c>
    </row>
    <row r="217" spans="1:10">
      <c r="A217" t="s">
        <v>1228</v>
      </c>
      <c r="B217" t="s">
        <v>1229</v>
      </c>
      <c r="D217" t="s">
        <v>1639</v>
      </c>
      <c r="E217" s="127">
        <v>7851239</v>
      </c>
      <c r="F217" s="126">
        <v>8522940</v>
      </c>
      <c r="G217" s="128">
        <v>576365</v>
      </c>
      <c r="J217" s="130">
        <v>16950544</v>
      </c>
    </row>
    <row r="218" spans="1:10">
      <c r="A218" t="s">
        <v>1230</v>
      </c>
      <c r="B218" t="s">
        <v>1231</v>
      </c>
      <c r="D218" t="s">
        <v>1639</v>
      </c>
      <c r="E218" s="127">
        <v>3266679</v>
      </c>
      <c r="F218" s="126">
        <v>4692043</v>
      </c>
      <c r="G218" s="128">
        <v>413926</v>
      </c>
      <c r="J218" s="130">
        <v>8372648</v>
      </c>
    </row>
    <row r="219" spans="1:10">
      <c r="A219" t="s">
        <v>1232</v>
      </c>
      <c r="B219" t="s">
        <v>1233</v>
      </c>
      <c r="D219" t="s">
        <v>1639</v>
      </c>
      <c r="E219" s="127">
        <v>2667565</v>
      </c>
      <c r="F219" s="126">
        <v>4055171</v>
      </c>
      <c r="G219" s="128">
        <v>353383</v>
      </c>
      <c r="J219" s="130">
        <v>7076119</v>
      </c>
    </row>
    <row r="220" spans="1:10">
      <c r="A220" t="s">
        <v>1234</v>
      </c>
      <c r="B220" t="s">
        <v>1235</v>
      </c>
      <c r="D220" t="s">
        <v>1639</v>
      </c>
      <c r="E220" s="127">
        <v>2600249</v>
      </c>
      <c r="F220" s="126">
        <v>3038779</v>
      </c>
      <c r="G220" s="128">
        <v>306814</v>
      </c>
      <c r="J220" s="130">
        <v>5945842</v>
      </c>
    </row>
    <row r="221" spans="1:10">
      <c r="A221" t="s">
        <v>1236</v>
      </c>
      <c r="B221" t="s">
        <v>1237</v>
      </c>
      <c r="D221" t="s">
        <v>1639</v>
      </c>
      <c r="E221" s="127">
        <v>2922968</v>
      </c>
      <c r="F221" s="126">
        <v>4850097</v>
      </c>
      <c r="G221" s="128">
        <v>405108</v>
      </c>
      <c r="J221" s="130">
        <v>8178173</v>
      </c>
    </row>
    <row r="222" spans="1:10">
      <c r="A222" t="s">
        <v>1238</v>
      </c>
      <c r="B222" t="s">
        <v>1239</v>
      </c>
      <c r="D222" t="s">
        <v>1639</v>
      </c>
      <c r="E222" s="127">
        <v>14963916</v>
      </c>
      <c r="F222" s="126">
        <v>33581005</v>
      </c>
      <c r="G222" s="128">
        <v>4858932</v>
      </c>
      <c r="J222" s="130">
        <v>53403853</v>
      </c>
    </row>
    <row r="223" spans="1:10">
      <c r="A223" t="s">
        <v>1240</v>
      </c>
      <c r="B223" t="s">
        <v>1241</v>
      </c>
      <c r="D223" t="s">
        <v>1639</v>
      </c>
      <c r="E223" s="127">
        <v>7836488</v>
      </c>
      <c r="F223" s="126">
        <v>30147025</v>
      </c>
      <c r="G223" s="128">
        <v>4414398</v>
      </c>
      <c r="J223" s="130">
        <v>42397911</v>
      </c>
    </row>
    <row r="224" spans="1:10">
      <c r="A224" t="s">
        <v>1242</v>
      </c>
      <c r="B224" t="s">
        <v>1243</v>
      </c>
      <c r="D224" t="s">
        <v>1639</v>
      </c>
      <c r="E224" s="127">
        <v>1121695</v>
      </c>
      <c r="F224" s="126">
        <v>6082756</v>
      </c>
      <c r="G224" s="128">
        <v>575219</v>
      </c>
      <c r="J224" s="130">
        <v>7779670</v>
      </c>
    </row>
    <row r="225" spans="1:10">
      <c r="A225" t="s">
        <v>1244</v>
      </c>
      <c r="B225" t="s">
        <v>1245</v>
      </c>
      <c r="D225" t="s">
        <v>1639</v>
      </c>
      <c r="E225" s="127">
        <v>2670248</v>
      </c>
      <c r="F225" s="126">
        <v>5129239</v>
      </c>
      <c r="G225" s="128">
        <v>228125</v>
      </c>
      <c r="J225" s="130">
        <v>8027612</v>
      </c>
    </row>
    <row r="226" spans="1:10">
      <c r="A226" t="s">
        <v>1246</v>
      </c>
      <c r="B226" t="s">
        <v>1247</v>
      </c>
      <c r="D226" t="s">
        <v>1639</v>
      </c>
      <c r="E226" s="127">
        <v>6485184</v>
      </c>
      <c r="F226" s="126">
        <v>13365625</v>
      </c>
      <c r="G226" s="128">
        <v>1098576</v>
      </c>
      <c r="J226" s="130">
        <v>20949385</v>
      </c>
    </row>
    <row r="227" spans="1:10">
      <c r="A227" t="s">
        <v>1248</v>
      </c>
      <c r="B227" t="s">
        <v>1249</v>
      </c>
      <c r="D227" t="s">
        <v>1639</v>
      </c>
      <c r="E227" s="127">
        <v>5885334</v>
      </c>
      <c r="F227" s="126">
        <v>14283615</v>
      </c>
      <c r="G227" s="128">
        <v>964150</v>
      </c>
      <c r="J227" s="130">
        <v>21133099</v>
      </c>
    </row>
    <row r="228" spans="1:10">
      <c r="A228" t="s">
        <v>1250</v>
      </c>
      <c r="B228" t="s">
        <v>1251</v>
      </c>
      <c r="D228" t="s">
        <v>1639</v>
      </c>
      <c r="E228" s="127">
        <v>3657578</v>
      </c>
      <c r="F228" s="126">
        <v>9860699</v>
      </c>
      <c r="G228" s="128">
        <v>557212</v>
      </c>
      <c r="J228" s="130">
        <v>14075489</v>
      </c>
    </row>
    <row r="229" spans="1:10">
      <c r="A229" t="s">
        <v>1252</v>
      </c>
      <c r="B229" t="s">
        <v>1253</v>
      </c>
      <c r="D229" t="s">
        <v>1639</v>
      </c>
      <c r="E229" s="127">
        <v>7195042</v>
      </c>
      <c r="F229" s="126">
        <v>9047376</v>
      </c>
      <c r="G229" s="128">
        <v>535447</v>
      </c>
      <c r="J229" s="130">
        <v>16777865</v>
      </c>
    </row>
    <row r="230" spans="1:10">
      <c r="A230" t="s">
        <v>1254</v>
      </c>
      <c r="B230" t="s">
        <v>1255</v>
      </c>
      <c r="D230" t="s">
        <v>1639</v>
      </c>
      <c r="E230" s="127">
        <v>5857931</v>
      </c>
      <c r="F230" s="126">
        <v>8828461</v>
      </c>
      <c r="G230" s="128">
        <v>366461</v>
      </c>
      <c r="J230" s="130">
        <v>15052853</v>
      </c>
    </row>
    <row r="231" spans="1:10">
      <c r="A231" t="s">
        <v>1256</v>
      </c>
      <c r="B231" t="s">
        <v>1257</v>
      </c>
      <c r="D231" t="s">
        <v>1639</v>
      </c>
      <c r="E231" s="127">
        <v>8071980</v>
      </c>
      <c r="F231" s="126">
        <v>6946734</v>
      </c>
      <c r="G231" s="128">
        <v>467972</v>
      </c>
      <c r="J231" s="130">
        <v>15486686</v>
      </c>
    </row>
    <row r="232" spans="1:10">
      <c r="A232" t="s">
        <v>1258</v>
      </c>
      <c r="B232" t="s">
        <v>1259</v>
      </c>
      <c r="D232" t="s">
        <v>1639</v>
      </c>
      <c r="E232" s="127">
        <v>11492955</v>
      </c>
      <c r="F232" s="126">
        <v>16173602</v>
      </c>
      <c r="G232" s="128">
        <v>787613</v>
      </c>
      <c r="J232" s="130">
        <v>28454170</v>
      </c>
    </row>
    <row r="233" spans="1:10">
      <c r="A233" t="s">
        <v>1260</v>
      </c>
      <c r="B233" t="s">
        <v>1261</v>
      </c>
      <c r="D233" t="s">
        <v>1639</v>
      </c>
      <c r="E233" s="127">
        <v>3125128</v>
      </c>
      <c r="F233" s="126">
        <v>8300248</v>
      </c>
      <c r="G233" s="128">
        <v>998811</v>
      </c>
      <c r="J233" s="130">
        <v>12424187</v>
      </c>
    </row>
    <row r="234" spans="1:10">
      <c r="A234" t="s">
        <v>1262</v>
      </c>
      <c r="B234" t="s">
        <v>1263</v>
      </c>
      <c r="D234" t="s">
        <v>1639</v>
      </c>
      <c r="E234" s="127">
        <v>5474935</v>
      </c>
      <c r="F234" s="126">
        <v>19365510</v>
      </c>
      <c r="G234" s="128">
        <v>1101981</v>
      </c>
      <c r="J234" s="130">
        <v>25942426</v>
      </c>
    </row>
    <row r="235" spans="1:10">
      <c r="A235" t="s">
        <v>1264</v>
      </c>
      <c r="B235" t="s">
        <v>1265</v>
      </c>
      <c r="D235" t="s">
        <v>1639</v>
      </c>
      <c r="E235" s="127">
        <v>3502652</v>
      </c>
      <c r="F235" s="126">
        <v>12714715</v>
      </c>
      <c r="G235" s="128">
        <v>867057</v>
      </c>
      <c r="J235" s="130">
        <v>17084424</v>
      </c>
    </row>
    <row r="236" spans="1:10">
      <c r="A236" t="s">
        <v>1266</v>
      </c>
      <c r="B236" t="s">
        <v>1267</v>
      </c>
      <c r="D236" t="s">
        <v>1639</v>
      </c>
      <c r="E236" s="127">
        <v>4160440</v>
      </c>
      <c r="F236" s="126">
        <v>9354957</v>
      </c>
      <c r="G236" s="128">
        <v>574464</v>
      </c>
      <c r="J236" s="130">
        <v>14089861</v>
      </c>
    </row>
    <row r="237" spans="1:10">
      <c r="A237" t="s">
        <v>1268</v>
      </c>
      <c r="B237" t="s">
        <v>1269</v>
      </c>
      <c r="D237" t="s">
        <v>1639</v>
      </c>
      <c r="E237" s="127">
        <v>853948</v>
      </c>
      <c r="F237" s="126">
        <v>3333327</v>
      </c>
      <c r="G237" s="128">
        <v>471818</v>
      </c>
      <c r="J237" s="130">
        <v>4659093</v>
      </c>
    </row>
    <row r="238" spans="1:10">
      <c r="A238" t="s">
        <v>1270</v>
      </c>
      <c r="B238" t="s">
        <v>1271</v>
      </c>
      <c r="D238" t="s">
        <v>1639</v>
      </c>
      <c r="E238" s="127">
        <v>13265756</v>
      </c>
      <c r="F238" s="126">
        <v>10372042</v>
      </c>
      <c r="G238" s="128">
        <v>557414</v>
      </c>
      <c r="J238" s="130">
        <v>24195212</v>
      </c>
    </row>
    <row r="239" spans="1:10">
      <c r="A239" t="s">
        <v>1272</v>
      </c>
      <c r="B239" t="s">
        <v>1273</v>
      </c>
      <c r="D239" t="s">
        <v>1639</v>
      </c>
      <c r="E239" s="127">
        <v>2661442</v>
      </c>
      <c r="F239" s="126">
        <v>5211074</v>
      </c>
      <c r="G239" s="128">
        <v>331943</v>
      </c>
      <c r="J239" s="130">
        <v>8204459</v>
      </c>
    </row>
    <row r="240" spans="1:10">
      <c r="A240" t="s">
        <v>1274</v>
      </c>
      <c r="B240" t="s">
        <v>1275</v>
      </c>
      <c r="D240" t="s">
        <v>1639</v>
      </c>
      <c r="E240" s="127">
        <v>3104890</v>
      </c>
      <c r="F240" s="126">
        <v>9822277</v>
      </c>
      <c r="G240" s="128">
        <v>641170</v>
      </c>
      <c r="J240" s="130">
        <v>13568337</v>
      </c>
    </row>
    <row r="241" spans="1:10">
      <c r="A241" t="s">
        <v>1276</v>
      </c>
      <c r="B241" t="s">
        <v>1277</v>
      </c>
      <c r="D241" t="s">
        <v>1639</v>
      </c>
      <c r="E241" s="127">
        <v>4677385</v>
      </c>
      <c r="F241" s="126">
        <v>4807497</v>
      </c>
      <c r="G241" s="128">
        <v>525907</v>
      </c>
      <c r="J241" s="130">
        <v>10010789</v>
      </c>
    </row>
    <row r="242" spans="1:10">
      <c r="A242" t="s">
        <v>1278</v>
      </c>
      <c r="B242" t="s">
        <v>1279</v>
      </c>
      <c r="D242" t="s">
        <v>1639</v>
      </c>
      <c r="E242" s="127">
        <v>8131922</v>
      </c>
      <c r="F242" s="126">
        <v>13878305</v>
      </c>
      <c r="G242" s="128">
        <v>862799</v>
      </c>
      <c r="J242" s="130">
        <v>22873026</v>
      </c>
    </row>
    <row r="243" spans="1:10">
      <c r="A243" t="s">
        <v>1280</v>
      </c>
      <c r="B243" t="s">
        <v>1281</v>
      </c>
      <c r="D243" t="s">
        <v>1639</v>
      </c>
      <c r="E243" s="127">
        <v>2182785</v>
      </c>
      <c r="F243" s="126">
        <v>5668806</v>
      </c>
      <c r="G243" s="128">
        <v>608208</v>
      </c>
      <c r="J243" s="130">
        <v>8459799</v>
      </c>
    </row>
    <row r="244" spans="1:10">
      <c r="A244" t="s">
        <v>1282</v>
      </c>
      <c r="B244" t="s">
        <v>1283</v>
      </c>
      <c r="D244" t="s">
        <v>1639</v>
      </c>
      <c r="E244" s="127">
        <v>10668366</v>
      </c>
      <c r="F244" s="126">
        <v>22112712</v>
      </c>
      <c r="G244" s="128">
        <v>1536590</v>
      </c>
      <c r="J244" s="130">
        <v>34317668</v>
      </c>
    </row>
    <row r="245" spans="1:10">
      <c r="A245" t="s">
        <v>1284</v>
      </c>
      <c r="B245" t="s">
        <v>1285</v>
      </c>
      <c r="D245" t="s">
        <v>1639</v>
      </c>
      <c r="E245" s="127">
        <v>2325043</v>
      </c>
      <c r="F245" s="126">
        <v>6726357</v>
      </c>
      <c r="G245" s="128">
        <v>410097</v>
      </c>
      <c r="J245" s="130">
        <v>9461497</v>
      </c>
    </row>
    <row r="246" spans="1:10">
      <c r="A246" t="s">
        <v>1286</v>
      </c>
      <c r="B246" t="s">
        <v>1287</v>
      </c>
      <c r="D246" t="s">
        <v>1639</v>
      </c>
      <c r="E246" s="127">
        <v>11413041</v>
      </c>
      <c r="F246" s="126">
        <v>22314461</v>
      </c>
      <c r="G246" s="128">
        <v>1278643</v>
      </c>
      <c r="J246" s="130">
        <v>35006145</v>
      </c>
    </row>
    <row r="247" spans="1:10">
      <c r="A247" t="s">
        <v>2085</v>
      </c>
      <c r="B247" t="s">
        <v>1288</v>
      </c>
      <c r="D247" t="s">
        <v>1639</v>
      </c>
      <c r="E247" s="127">
        <v>41072012</v>
      </c>
      <c r="F247" s="126">
        <v>15774895</v>
      </c>
      <c r="G247" s="128">
        <v>1176811</v>
      </c>
      <c r="J247" s="130">
        <v>58023718</v>
      </c>
    </row>
    <row r="248" spans="1:10">
      <c r="A248" t="s">
        <v>2087</v>
      </c>
      <c r="B248" t="s">
        <v>1289</v>
      </c>
      <c r="D248" t="s">
        <v>1639</v>
      </c>
      <c r="E248" s="127">
        <v>40461099</v>
      </c>
      <c r="F248" s="126">
        <v>33976816</v>
      </c>
      <c r="G248" s="128">
        <v>1861450</v>
      </c>
      <c r="J248" s="130">
        <v>76299365</v>
      </c>
    </row>
    <row r="249" spans="1:10">
      <c r="A249" t="s">
        <v>2069</v>
      </c>
      <c r="B249" t="s">
        <v>1290</v>
      </c>
      <c r="D249" t="s">
        <v>1639</v>
      </c>
      <c r="E249" s="127">
        <v>88852506</v>
      </c>
      <c r="F249" s="126">
        <v>92306006</v>
      </c>
      <c r="G249" s="128">
        <v>8678016</v>
      </c>
      <c r="J249" s="130">
        <v>189836528</v>
      </c>
    </row>
    <row r="250" spans="1:10">
      <c r="A250" t="s">
        <v>2071</v>
      </c>
      <c r="B250" t="s">
        <v>1291</v>
      </c>
      <c r="D250" t="s">
        <v>1639</v>
      </c>
      <c r="E250" s="127">
        <v>28704750</v>
      </c>
      <c r="F250" s="126">
        <v>27620447</v>
      </c>
      <c r="G250" s="128">
        <v>2128724</v>
      </c>
      <c r="J250" s="130">
        <v>58453921</v>
      </c>
    </row>
    <row r="251" spans="1:10">
      <c r="A251" t="s">
        <v>2073</v>
      </c>
      <c r="B251" t="s">
        <v>1292</v>
      </c>
      <c r="D251" t="s">
        <v>1639</v>
      </c>
      <c r="E251" s="127">
        <v>28242929</v>
      </c>
      <c r="F251" s="126">
        <v>29665193</v>
      </c>
      <c r="G251" s="128">
        <v>1040190</v>
      </c>
      <c r="J251" s="130">
        <v>58948312</v>
      </c>
    </row>
    <row r="252" spans="1:10">
      <c r="A252" t="s">
        <v>1293</v>
      </c>
      <c r="B252" t="s">
        <v>1294</v>
      </c>
      <c r="D252" t="s">
        <v>1639</v>
      </c>
      <c r="E252" s="127">
        <v>21218814</v>
      </c>
      <c r="F252" s="126">
        <v>15000544</v>
      </c>
      <c r="G252" s="128">
        <v>721402</v>
      </c>
      <c r="J252" s="130">
        <v>36940760</v>
      </c>
    </row>
    <row r="253" spans="1:10">
      <c r="A253" t="s">
        <v>1295</v>
      </c>
      <c r="B253" t="s">
        <v>1296</v>
      </c>
      <c r="D253" t="s">
        <v>1639</v>
      </c>
      <c r="E253" s="127">
        <v>30188519</v>
      </c>
      <c r="F253" s="126">
        <v>31303040</v>
      </c>
      <c r="G253" s="128">
        <v>1467491</v>
      </c>
      <c r="J253" s="130">
        <v>62959050</v>
      </c>
    </row>
    <row r="254" spans="1:10">
      <c r="A254" t="s">
        <v>2075</v>
      </c>
      <c r="B254" t="s">
        <v>1297</v>
      </c>
      <c r="D254" t="s">
        <v>1639</v>
      </c>
      <c r="E254" s="127">
        <v>28478393</v>
      </c>
      <c r="F254" s="126">
        <v>33642576</v>
      </c>
      <c r="G254" s="128">
        <v>1474976</v>
      </c>
      <c r="J254" s="130">
        <v>63595945</v>
      </c>
    </row>
    <row r="255" spans="1:10">
      <c r="A255" t="s">
        <v>2089</v>
      </c>
      <c r="B255" t="s">
        <v>1298</v>
      </c>
      <c r="D255" t="s">
        <v>1639</v>
      </c>
      <c r="E255" s="127">
        <v>49495165</v>
      </c>
      <c r="F255" s="126">
        <v>26625388</v>
      </c>
      <c r="G255" s="128">
        <v>1694818</v>
      </c>
      <c r="J255" s="130">
        <v>77815371</v>
      </c>
    </row>
    <row r="256" spans="1:10">
      <c r="A256" t="s">
        <v>2091</v>
      </c>
      <c r="B256" t="s">
        <v>1299</v>
      </c>
      <c r="D256" t="s">
        <v>1639</v>
      </c>
      <c r="E256" s="127">
        <v>58618657</v>
      </c>
      <c r="F256" s="126">
        <v>39997218</v>
      </c>
      <c r="G256" s="128">
        <v>2006622</v>
      </c>
      <c r="J256" s="130">
        <v>100622497</v>
      </c>
    </row>
    <row r="257" spans="1:10">
      <c r="A257" t="s">
        <v>2077</v>
      </c>
      <c r="B257" t="s">
        <v>1300</v>
      </c>
      <c r="D257" t="s">
        <v>1639</v>
      </c>
      <c r="E257" s="127">
        <v>12171379</v>
      </c>
      <c r="F257" s="126">
        <v>11235735</v>
      </c>
      <c r="G257" s="128">
        <v>695470</v>
      </c>
      <c r="J257" s="130">
        <v>24102584</v>
      </c>
    </row>
    <row r="258" spans="1:10">
      <c r="A258" t="s">
        <v>1301</v>
      </c>
      <c r="B258" t="s">
        <v>1302</v>
      </c>
      <c r="D258" t="s">
        <v>1639</v>
      </c>
      <c r="E258" s="127">
        <v>73309214</v>
      </c>
      <c r="F258" s="126">
        <v>24173448</v>
      </c>
      <c r="G258" s="128">
        <v>1395834</v>
      </c>
      <c r="J258" s="130">
        <v>98878496</v>
      </c>
    </row>
    <row r="259" spans="1:10">
      <c r="A259" t="s">
        <v>1303</v>
      </c>
      <c r="B259" t="s">
        <v>1304</v>
      </c>
      <c r="D259" t="s">
        <v>1639</v>
      </c>
      <c r="E259" s="127">
        <v>28577229</v>
      </c>
      <c r="F259" s="126">
        <v>35043857</v>
      </c>
      <c r="G259" s="128">
        <v>1476887</v>
      </c>
      <c r="J259" s="130">
        <v>65097973</v>
      </c>
    </row>
    <row r="260" spans="1:10">
      <c r="A260" t="s">
        <v>2079</v>
      </c>
      <c r="B260" t="s">
        <v>1305</v>
      </c>
      <c r="D260" t="s">
        <v>1639</v>
      </c>
      <c r="E260" s="127">
        <v>119686673</v>
      </c>
      <c r="F260" s="126">
        <v>409421718</v>
      </c>
      <c r="G260" s="128">
        <v>59969468</v>
      </c>
      <c r="J260" s="130">
        <v>589077859</v>
      </c>
    </row>
    <row r="261" spans="1:10">
      <c r="A261" t="s">
        <v>2081</v>
      </c>
      <c r="B261" t="s">
        <v>1306</v>
      </c>
      <c r="D261" t="s">
        <v>1639</v>
      </c>
      <c r="E261" s="127">
        <v>63267779</v>
      </c>
      <c r="F261" s="126">
        <v>33264542</v>
      </c>
      <c r="G261" s="128">
        <v>2660464</v>
      </c>
      <c r="J261" s="130">
        <v>99192785</v>
      </c>
    </row>
    <row r="262" spans="1:10">
      <c r="A262" t="s">
        <v>1307</v>
      </c>
      <c r="B262" t="s">
        <v>1308</v>
      </c>
      <c r="D262" t="s">
        <v>1639</v>
      </c>
      <c r="E262" s="127">
        <v>26026780</v>
      </c>
      <c r="F262" s="126">
        <v>37872171</v>
      </c>
      <c r="G262" s="128">
        <v>2736101</v>
      </c>
      <c r="J262" s="130">
        <v>66635052</v>
      </c>
    </row>
    <row r="263" spans="1:10">
      <c r="A263" t="s">
        <v>2083</v>
      </c>
      <c r="B263" t="s">
        <v>1309</v>
      </c>
      <c r="D263" t="s">
        <v>1639</v>
      </c>
      <c r="E263" s="127">
        <v>77059082</v>
      </c>
      <c r="F263" s="126">
        <v>48051642</v>
      </c>
      <c r="G263" s="128">
        <v>2629914</v>
      </c>
      <c r="J263" s="130">
        <v>127740638</v>
      </c>
    </row>
    <row r="264" spans="1:10">
      <c r="A264" t="s">
        <v>1310</v>
      </c>
      <c r="B264" t="s">
        <v>1311</v>
      </c>
      <c r="D264" t="s">
        <v>1639</v>
      </c>
      <c r="E264" s="127">
        <v>8361504</v>
      </c>
      <c r="F264" s="126">
        <v>7308730</v>
      </c>
      <c r="G264" s="128">
        <v>457941</v>
      </c>
      <c r="J264" s="130">
        <v>16128175</v>
      </c>
    </row>
    <row r="265" spans="1:10">
      <c r="A265" t="s">
        <v>2020</v>
      </c>
      <c r="B265" t="s">
        <v>1312</v>
      </c>
      <c r="D265" t="s">
        <v>1639</v>
      </c>
      <c r="E265" s="127">
        <v>13772933</v>
      </c>
      <c r="F265" s="126">
        <v>32846829</v>
      </c>
      <c r="G265" s="128">
        <v>2761776</v>
      </c>
      <c r="J265" s="130">
        <v>49381538</v>
      </c>
    </row>
    <row r="266" spans="1:10">
      <c r="A266" t="s">
        <v>1313</v>
      </c>
      <c r="B266" t="s">
        <v>1314</v>
      </c>
      <c r="D266" t="s">
        <v>1639</v>
      </c>
      <c r="E266" s="127">
        <v>4626801</v>
      </c>
      <c r="F266" s="126">
        <v>11250474</v>
      </c>
      <c r="G266" s="128">
        <v>570268</v>
      </c>
      <c r="J266" s="130">
        <v>16447543</v>
      </c>
    </row>
    <row r="267" spans="1:10">
      <c r="A267" t="s">
        <v>1315</v>
      </c>
      <c r="B267" t="s">
        <v>1316</v>
      </c>
      <c r="D267" t="s">
        <v>1639</v>
      </c>
      <c r="E267" s="127">
        <v>6982339</v>
      </c>
      <c r="F267" s="126">
        <v>15989474</v>
      </c>
      <c r="G267" s="128">
        <v>1185542</v>
      </c>
      <c r="J267" s="130">
        <v>24157355</v>
      </c>
    </row>
    <row r="268" spans="1:10">
      <c r="A268" t="s">
        <v>1317</v>
      </c>
      <c r="B268" t="s">
        <v>1318</v>
      </c>
      <c r="D268" t="s">
        <v>1639</v>
      </c>
      <c r="E268" s="127">
        <v>4073365</v>
      </c>
      <c r="F268" s="126">
        <v>11371028</v>
      </c>
      <c r="G268" s="128">
        <v>925867</v>
      </c>
      <c r="J268" s="130">
        <v>16370260</v>
      </c>
    </row>
    <row r="269" spans="1:10">
      <c r="A269" t="s">
        <v>1319</v>
      </c>
      <c r="B269" t="s">
        <v>1320</v>
      </c>
      <c r="D269" t="s">
        <v>1639</v>
      </c>
      <c r="E269" s="127">
        <v>1934958</v>
      </c>
      <c r="F269" s="126">
        <v>6016622</v>
      </c>
      <c r="G269" s="128">
        <v>682561</v>
      </c>
      <c r="J269" s="130">
        <v>8634141</v>
      </c>
    </row>
    <row r="270" spans="1:10">
      <c r="A270" t="s">
        <v>1321</v>
      </c>
      <c r="B270" t="s">
        <v>1322</v>
      </c>
      <c r="D270" t="s">
        <v>1639</v>
      </c>
      <c r="E270" s="127">
        <v>49623412</v>
      </c>
      <c r="F270" s="126">
        <v>12654938</v>
      </c>
      <c r="G270" s="128">
        <v>1984680</v>
      </c>
      <c r="J270" s="130">
        <v>64263030</v>
      </c>
    </row>
    <row r="271" spans="1:10">
      <c r="A271" t="s">
        <v>2093</v>
      </c>
      <c r="B271" t="s">
        <v>1059</v>
      </c>
      <c r="D271" t="s">
        <v>1639</v>
      </c>
      <c r="E271" s="127">
        <v>55433882</v>
      </c>
      <c r="F271" s="126">
        <v>77442759</v>
      </c>
      <c r="G271" s="128">
        <v>5741486</v>
      </c>
      <c r="J271" s="130">
        <v>138618127</v>
      </c>
    </row>
    <row r="272" spans="1:10">
      <c r="A272" t="s">
        <v>2095</v>
      </c>
      <c r="B272" t="s">
        <v>1060</v>
      </c>
      <c r="D272" t="s">
        <v>1639</v>
      </c>
      <c r="E272" s="127">
        <v>107427338</v>
      </c>
      <c r="F272" s="126">
        <v>35116622</v>
      </c>
      <c r="G272" s="128">
        <v>2501283</v>
      </c>
      <c r="J272" s="130">
        <v>145045243</v>
      </c>
    </row>
    <row r="273" spans="1:10">
      <c r="A273" t="s">
        <v>1061</v>
      </c>
      <c r="B273" t="s">
        <v>1062</v>
      </c>
      <c r="D273" t="s">
        <v>1639</v>
      </c>
      <c r="E273" s="127">
        <v>98261900</v>
      </c>
      <c r="F273" s="126">
        <v>54815368</v>
      </c>
      <c r="G273" s="128">
        <v>2723031</v>
      </c>
      <c r="J273" s="130">
        <v>155800299</v>
      </c>
    </row>
    <row r="274" spans="1:10">
      <c r="A274" t="s">
        <v>1063</v>
      </c>
      <c r="B274" t="s">
        <v>1064</v>
      </c>
      <c r="D274" t="s">
        <v>1639</v>
      </c>
      <c r="E274" s="127">
        <v>18872281</v>
      </c>
      <c r="F274" s="126">
        <v>20376510</v>
      </c>
      <c r="G274" s="128">
        <v>790556</v>
      </c>
      <c r="J274" s="130">
        <v>40039347</v>
      </c>
    </row>
    <row r="275" spans="1:10">
      <c r="A275" t="s">
        <v>1955</v>
      </c>
      <c r="B275" t="s">
        <v>1065</v>
      </c>
      <c r="D275" t="s">
        <v>1639</v>
      </c>
      <c r="E275" s="127">
        <v>92181258</v>
      </c>
      <c r="F275" s="126">
        <v>66568907</v>
      </c>
      <c r="G275" s="128">
        <v>2838942</v>
      </c>
      <c r="J275" s="130">
        <v>161589107</v>
      </c>
    </row>
    <row r="276" spans="1:10">
      <c r="A276" t="s">
        <v>1066</v>
      </c>
      <c r="B276" t="s">
        <v>1067</v>
      </c>
      <c r="D276" t="s">
        <v>1639</v>
      </c>
      <c r="E276" s="127">
        <v>31660018</v>
      </c>
      <c r="F276" s="126">
        <v>14415837</v>
      </c>
      <c r="G276" s="128">
        <v>628407</v>
      </c>
      <c r="J276" s="130">
        <v>46704262</v>
      </c>
    </row>
    <row r="277" spans="1:10">
      <c r="A277" t="s">
        <v>1068</v>
      </c>
      <c r="B277" t="s">
        <v>1069</v>
      </c>
      <c r="D277" t="s">
        <v>1639</v>
      </c>
      <c r="E277" s="127">
        <v>18604760</v>
      </c>
      <c r="F277" s="126">
        <v>5982258</v>
      </c>
      <c r="G277" s="128">
        <v>394540</v>
      </c>
      <c r="J277" s="130">
        <v>24981558</v>
      </c>
    </row>
    <row r="278" spans="1:10">
      <c r="A278" t="s">
        <v>1957</v>
      </c>
      <c r="B278" t="s">
        <v>1070</v>
      </c>
      <c r="D278" t="s">
        <v>1639</v>
      </c>
      <c r="E278" s="127">
        <v>20814444</v>
      </c>
      <c r="F278" s="126">
        <v>46654219</v>
      </c>
      <c r="G278" s="128">
        <v>4076574</v>
      </c>
      <c r="J278" s="130">
        <v>71545237</v>
      </c>
    </row>
    <row r="279" spans="1:10">
      <c r="A279" t="s">
        <v>1959</v>
      </c>
      <c r="B279" t="s">
        <v>1071</v>
      </c>
      <c r="D279" t="s">
        <v>1639</v>
      </c>
      <c r="E279" s="127">
        <v>68495817</v>
      </c>
      <c r="F279" s="126">
        <v>58783297</v>
      </c>
      <c r="G279" s="128">
        <v>6327565</v>
      </c>
      <c r="J279" s="130">
        <v>133606679</v>
      </c>
    </row>
    <row r="280" spans="1:10">
      <c r="A280" t="s">
        <v>1961</v>
      </c>
      <c r="B280" t="s">
        <v>1072</v>
      </c>
      <c r="D280" t="s">
        <v>1639</v>
      </c>
      <c r="E280" s="127">
        <v>66135583</v>
      </c>
      <c r="F280" s="126">
        <v>33931431</v>
      </c>
      <c r="G280" s="128">
        <v>1790647</v>
      </c>
      <c r="J280" s="130">
        <v>101857661</v>
      </c>
    </row>
    <row r="281" spans="1:10">
      <c r="A281" t="s">
        <v>1073</v>
      </c>
      <c r="B281" t="s">
        <v>1074</v>
      </c>
      <c r="D281" t="s">
        <v>1639</v>
      </c>
      <c r="E281" s="127">
        <v>84496103</v>
      </c>
      <c r="F281" s="126">
        <v>27982653</v>
      </c>
      <c r="G281" s="128">
        <v>1736342</v>
      </c>
      <c r="J281" s="130">
        <v>114215098</v>
      </c>
    </row>
    <row r="282" spans="1:10">
      <c r="A282" t="s">
        <v>1963</v>
      </c>
      <c r="B282" t="s">
        <v>1075</v>
      </c>
      <c r="D282" t="s">
        <v>1639</v>
      </c>
      <c r="E282" s="127">
        <v>26297606</v>
      </c>
      <c r="F282" s="126">
        <v>12760674</v>
      </c>
      <c r="G282" s="128">
        <v>844762</v>
      </c>
      <c r="J282" s="130">
        <v>39903042</v>
      </c>
    </row>
    <row r="283" spans="1:10">
      <c r="A283" t="s">
        <v>1076</v>
      </c>
      <c r="B283" t="s">
        <v>1077</v>
      </c>
      <c r="D283" t="s">
        <v>1639</v>
      </c>
      <c r="E283" s="127">
        <v>22978723</v>
      </c>
      <c r="F283" s="126">
        <v>13437556</v>
      </c>
      <c r="G283" s="128">
        <v>714357</v>
      </c>
      <c r="J283" s="130">
        <v>37130636</v>
      </c>
    </row>
    <row r="284" spans="1:10">
      <c r="A284" t="s">
        <v>1078</v>
      </c>
      <c r="B284" t="s">
        <v>1079</v>
      </c>
      <c r="D284" t="s">
        <v>1639</v>
      </c>
      <c r="E284" s="127">
        <v>70981845</v>
      </c>
      <c r="F284" s="126">
        <v>13363731</v>
      </c>
      <c r="G284" s="128">
        <v>1329395</v>
      </c>
      <c r="J284" s="130">
        <v>85674971</v>
      </c>
    </row>
    <row r="285" spans="1:10">
      <c r="A285" t="s">
        <v>1080</v>
      </c>
      <c r="B285" t="s">
        <v>1081</v>
      </c>
      <c r="D285" t="s">
        <v>1639</v>
      </c>
      <c r="E285" s="127">
        <v>74747942</v>
      </c>
      <c r="F285" s="126">
        <v>14027648</v>
      </c>
      <c r="G285" s="128">
        <v>2385322</v>
      </c>
      <c r="J285" s="130">
        <v>91160912</v>
      </c>
    </row>
    <row r="286" spans="1:10">
      <c r="A286" t="s">
        <v>1965</v>
      </c>
      <c r="B286" t="s">
        <v>1082</v>
      </c>
      <c r="D286" t="s">
        <v>1639</v>
      </c>
      <c r="E286" s="127">
        <v>38662544</v>
      </c>
      <c r="F286" s="126">
        <v>24037107</v>
      </c>
      <c r="G286" s="128">
        <v>1552648</v>
      </c>
      <c r="J286" s="130">
        <v>64252299</v>
      </c>
    </row>
    <row r="287" spans="1:10">
      <c r="A287" t="s">
        <v>1083</v>
      </c>
      <c r="B287" t="s">
        <v>1084</v>
      </c>
      <c r="D287" t="s">
        <v>1639</v>
      </c>
      <c r="E287" s="127">
        <v>18606081</v>
      </c>
      <c r="F287" s="126">
        <v>10256919</v>
      </c>
      <c r="G287" s="128">
        <v>623082</v>
      </c>
      <c r="J287" s="130">
        <v>29486082</v>
      </c>
    </row>
    <row r="288" spans="1:10">
      <c r="A288" t="s">
        <v>1085</v>
      </c>
      <c r="B288" t="s">
        <v>1086</v>
      </c>
      <c r="D288" t="s">
        <v>1639</v>
      </c>
      <c r="E288" s="127">
        <v>75004176</v>
      </c>
      <c r="F288" s="126">
        <v>9952894</v>
      </c>
      <c r="G288" s="128">
        <v>983648</v>
      </c>
      <c r="J288" s="130">
        <v>85940718</v>
      </c>
    </row>
    <row r="289" spans="1:10">
      <c r="A289" t="s">
        <v>1087</v>
      </c>
      <c r="B289" t="s">
        <v>1088</v>
      </c>
      <c r="D289" t="s">
        <v>1639</v>
      </c>
      <c r="E289" s="127">
        <v>19055806</v>
      </c>
      <c r="F289" s="126">
        <v>8773372</v>
      </c>
      <c r="G289" s="128">
        <v>538225</v>
      </c>
      <c r="J289" s="130">
        <v>28367403</v>
      </c>
    </row>
    <row r="290" spans="1:10">
      <c r="A290" t="s">
        <v>1089</v>
      </c>
      <c r="B290" t="s">
        <v>1090</v>
      </c>
      <c r="D290" t="s">
        <v>1639</v>
      </c>
      <c r="E290" s="127">
        <v>47513429</v>
      </c>
      <c r="F290" s="126">
        <v>12577435</v>
      </c>
      <c r="G290" s="128">
        <v>748103</v>
      </c>
      <c r="J290" s="130">
        <v>60838967</v>
      </c>
    </row>
    <row r="291" spans="1:10">
      <c r="A291" t="s">
        <v>1967</v>
      </c>
      <c r="B291" t="s">
        <v>1091</v>
      </c>
      <c r="D291" t="s">
        <v>1639</v>
      </c>
      <c r="E291" s="127">
        <v>65937450</v>
      </c>
      <c r="F291" s="126">
        <v>13458154</v>
      </c>
      <c r="G291" s="128">
        <v>1142193</v>
      </c>
      <c r="J291" s="130">
        <v>80537797</v>
      </c>
    </row>
    <row r="292" spans="1:10">
      <c r="A292" t="s">
        <v>1092</v>
      </c>
      <c r="B292" t="s">
        <v>1093</v>
      </c>
      <c r="D292" t="s">
        <v>1639</v>
      </c>
      <c r="E292" s="127">
        <v>15850914</v>
      </c>
      <c r="F292" s="126">
        <v>5619272</v>
      </c>
      <c r="G292" s="128">
        <v>394547</v>
      </c>
      <c r="J292" s="130">
        <v>21864733</v>
      </c>
    </row>
    <row r="293" spans="1:10">
      <c r="A293" t="s">
        <v>1094</v>
      </c>
      <c r="B293" t="s">
        <v>1095</v>
      </c>
      <c r="D293" t="s">
        <v>1639</v>
      </c>
      <c r="E293" s="127">
        <v>37589424</v>
      </c>
      <c r="F293" s="126">
        <v>19504524</v>
      </c>
      <c r="G293" s="128">
        <v>794167</v>
      </c>
      <c r="J293" s="130">
        <v>57888115</v>
      </c>
    </row>
    <row r="294" spans="1:10">
      <c r="A294" t="s">
        <v>1969</v>
      </c>
      <c r="B294" t="s">
        <v>1096</v>
      </c>
      <c r="D294" t="s">
        <v>1639</v>
      </c>
      <c r="E294" s="127">
        <v>17166717</v>
      </c>
      <c r="F294" s="126">
        <v>5705345</v>
      </c>
      <c r="G294" s="128">
        <v>427527</v>
      </c>
      <c r="J294" s="130">
        <v>23299589</v>
      </c>
    </row>
    <row r="295" spans="1:10">
      <c r="A295" t="s">
        <v>1097</v>
      </c>
      <c r="B295" t="s">
        <v>1098</v>
      </c>
      <c r="D295" t="s">
        <v>1639</v>
      </c>
      <c r="E295" s="127">
        <v>26752537</v>
      </c>
      <c r="F295" s="126">
        <v>8590287</v>
      </c>
      <c r="G295" s="128">
        <v>688503</v>
      </c>
      <c r="J295" s="130">
        <v>36031327</v>
      </c>
    </row>
    <row r="296" spans="1:10">
      <c r="A296" t="s">
        <v>1099</v>
      </c>
      <c r="B296" t="s">
        <v>1100</v>
      </c>
      <c r="D296" t="s">
        <v>1639</v>
      </c>
      <c r="E296" s="127">
        <v>30213961</v>
      </c>
      <c r="F296" s="126">
        <v>17517793</v>
      </c>
      <c r="G296" s="128">
        <v>895741</v>
      </c>
      <c r="J296" s="130">
        <v>48627495</v>
      </c>
    </row>
    <row r="297" spans="1:10">
      <c r="A297" t="s">
        <v>1101</v>
      </c>
      <c r="B297" t="s">
        <v>1102</v>
      </c>
      <c r="D297" t="s">
        <v>1639</v>
      </c>
      <c r="E297" s="127">
        <v>37660686</v>
      </c>
      <c r="F297" s="126">
        <v>12077513</v>
      </c>
      <c r="G297" s="128">
        <v>1020440</v>
      </c>
      <c r="J297" s="130">
        <v>50758639</v>
      </c>
    </row>
    <row r="298" spans="1:10">
      <c r="A298" t="s">
        <v>1971</v>
      </c>
      <c r="B298" t="s">
        <v>1103</v>
      </c>
      <c r="D298" t="s">
        <v>1639</v>
      </c>
      <c r="E298" s="127">
        <v>13515884</v>
      </c>
      <c r="F298" s="126">
        <v>8548930</v>
      </c>
      <c r="G298" s="128">
        <v>492188</v>
      </c>
      <c r="J298" s="130">
        <v>22557002</v>
      </c>
    </row>
    <row r="299" spans="1:10">
      <c r="A299" t="s">
        <v>1993</v>
      </c>
      <c r="B299" t="s">
        <v>1104</v>
      </c>
      <c r="D299" t="s">
        <v>1639</v>
      </c>
      <c r="E299" s="127">
        <v>20495117</v>
      </c>
      <c r="F299" s="126">
        <v>6161238</v>
      </c>
      <c r="G299" s="128">
        <v>617049</v>
      </c>
      <c r="J299" s="130">
        <v>27273404</v>
      </c>
    </row>
    <row r="300" spans="1:10">
      <c r="A300" t="s">
        <v>1105</v>
      </c>
      <c r="B300" t="s">
        <v>1106</v>
      </c>
      <c r="D300" t="s">
        <v>1639</v>
      </c>
      <c r="E300" s="127">
        <v>24776443</v>
      </c>
      <c r="F300" s="126">
        <v>3728423</v>
      </c>
      <c r="G300" s="128">
        <v>404843</v>
      </c>
      <c r="J300" s="130">
        <v>28909709</v>
      </c>
    </row>
    <row r="301" spans="1:10">
      <c r="A301" t="s">
        <v>1107</v>
      </c>
      <c r="B301" t="s">
        <v>1108</v>
      </c>
      <c r="D301" t="s">
        <v>1639</v>
      </c>
      <c r="E301" s="127">
        <v>62542060</v>
      </c>
      <c r="F301" s="126">
        <v>23365490</v>
      </c>
      <c r="G301" s="128">
        <v>1177263</v>
      </c>
      <c r="J301" s="130">
        <v>87084813</v>
      </c>
    </row>
    <row r="302" spans="1:10">
      <c r="A302" t="s">
        <v>1109</v>
      </c>
      <c r="B302" t="s">
        <v>1110</v>
      </c>
      <c r="D302" t="s">
        <v>1639</v>
      </c>
      <c r="E302" s="127">
        <v>96531454</v>
      </c>
      <c r="F302" s="126">
        <v>37113599</v>
      </c>
      <c r="G302" s="128">
        <v>2089999</v>
      </c>
      <c r="J302" s="130">
        <v>135735052</v>
      </c>
    </row>
    <row r="303" spans="1:10">
      <c r="A303" t="s">
        <v>1111</v>
      </c>
      <c r="B303" t="s">
        <v>1112</v>
      </c>
      <c r="D303" t="s">
        <v>1639</v>
      </c>
      <c r="E303" s="127">
        <v>75996546</v>
      </c>
      <c r="F303" s="126">
        <v>28596125</v>
      </c>
      <c r="G303" s="128">
        <v>1484673</v>
      </c>
      <c r="J303" s="130">
        <v>106077344</v>
      </c>
    </row>
    <row r="304" spans="1:10">
      <c r="A304" t="s">
        <v>1973</v>
      </c>
      <c r="B304" t="s">
        <v>1113</v>
      </c>
      <c r="D304" t="s">
        <v>1639</v>
      </c>
      <c r="E304" s="127">
        <v>76651997</v>
      </c>
      <c r="F304" s="126">
        <v>25755310</v>
      </c>
      <c r="G304" s="128">
        <v>3662407</v>
      </c>
      <c r="J304" s="130">
        <v>106069714</v>
      </c>
    </row>
    <row r="305" spans="1:10">
      <c r="A305" t="s">
        <v>1114</v>
      </c>
      <c r="B305" t="s">
        <v>1115</v>
      </c>
      <c r="D305" t="s">
        <v>1639</v>
      </c>
      <c r="E305" s="127">
        <v>58570651</v>
      </c>
      <c r="F305" s="126">
        <v>30865865</v>
      </c>
      <c r="G305" s="128">
        <v>4146195</v>
      </c>
      <c r="J305" s="130">
        <v>93582711</v>
      </c>
    </row>
    <row r="306" spans="1:10">
      <c r="A306" t="s">
        <v>1116</v>
      </c>
      <c r="B306" t="s">
        <v>1117</v>
      </c>
      <c r="D306" t="s">
        <v>1639</v>
      </c>
      <c r="E306" s="127">
        <v>38212517</v>
      </c>
      <c r="F306" s="126">
        <v>4856058</v>
      </c>
      <c r="G306" s="128">
        <v>454794</v>
      </c>
      <c r="J306" s="130">
        <v>43523369</v>
      </c>
    </row>
    <row r="307" spans="1:10">
      <c r="A307" t="s">
        <v>1975</v>
      </c>
      <c r="B307" t="s">
        <v>1118</v>
      </c>
      <c r="D307" t="s">
        <v>1639</v>
      </c>
      <c r="E307" s="127">
        <v>79395386</v>
      </c>
      <c r="F307" s="126">
        <v>8608669</v>
      </c>
      <c r="G307" s="128">
        <v>843779</v>
      </c>
      <c r="J307" s="130">
        <v>88847834</v>
      </c>
    </row>
    <row r="308" spans="1:10">
      <c r="A308" t="s">
        <v>1119</v>
      </c>
      <c r="B308" t="s">
        <v>1120</v>
      </c>
      <c r="D308" t="s">
        <v>1639</v>
      </c>
      <c r="E308" s="127">
        <v>100846937</v>
      </c>
      <c r="F308" s="126">
        <v>12458991</v>
      </c>
      <c r="G308" s="128">
        <v>1845448</v>
      </c>
      <c r="J308" s="130">
        <v>115151376</v>
      </c>
    </row>
    <row r="309" spans="1:10">
      <c r="A309" t="s">
        <v>1121</v>
      </c>
      <c r="B309" t="s">
        <v>1122</v>
      </c>
      <c r="D309" t="s">
        <v>1639</v>
      </c>
      <c r="E309" s="127">
        <v>22454665</v>
      </c>
      <c r="F309" s="126">
        <v>6414323</v>
      </c>
      <c r="G309" s="128">
        <v>438628</v>
      </c>
      <c r="J309" s="130">
        <v>29307616</v>
      </c>
    </row>
    <row r="310" spans="1:10">
      <c r="A310" t="s">
        <v>1123</v>
      </c>
      <c r="B310" t="s">
        <v>1124</v>
      </c>
      <c r="D310" t="s">
        <v>1639</v>
      </c>
      <c r="E310" s="127">
        <v>66572742</v>
      </c>
      <c r="F310" s="126">
        <v>6689348</v>
      </c>
      <c r="G310" s="128">
        <v>798429</v>
      </c>
      <c r="J310" s="130">
        <v>74060519</v>
      </c>
    </row>
    <row r="311" spans="1:10">
      <c r="A311" t="s">
        <v>1125</v>
      </c>
      <c r="B311" t="s">
        <v>1126</v>
      </c>
      <c r="D311" t="s">
        <v>1639</v>
      </c>
      <c r="E311" s="127">
        <v>150419881</v>
      </c>
      <c r="F311" s="126">
        <v>15303303</v>
      </c>
      <c r="G311" s="128">
        <v>2801678</v>
      </c>
      <c r="J311" s="130">
        <v>168524862</v>
      </c>
    </row>
    <row r="312" spans="1:10">
      <c r="A312" t="s">
        <v>1127</v>
      </c>
      <c r="B312" t="s">
        <v>1128</v>
      </c>
      <c r="D312" t="s">
        <v>1639</v>
      </c>
      <c r="E312" s="127">
        <v>67882971</v>
      </c>
      <c r="F312" s="126">
        <v>15752552</v>
      </c>
      <c r="G312" s="128">
        <v>1436233</v>
      </c>
      <c r="J312" s="130">
        <v>85071756</v>
      </c>
    </row>
    <row r="313" spans="1:10">
      <c r="A313" t="s">
        <v>1129</v>
      </c>
      <c r="B313" t="s">
        <v>1130</v>
      </c>
      <c r="D313" t="s">
        <v>1639</v>
      </c>
      <c r="E313" s="127">
        <v>62416632</v>
      </c>
      <c r="F313" s="126">
        <v>10478428</v>
      </c>
      <c r="G313" s="128">
        <v>914476</v>
      </c>
      <c r="J313" s="130">
        <v>73809536</v>
      </c>
    </row>
    <row r="314" spans="1:10">
      <c r="A314" t="s">
        <v>1131</v>
      </c>
      <c r="B314" t="s">
        <v>1132</v>
      </c>
      <c r="D314" t="s">
        <v>1639</v>
      </c>
      <c r="E314" s="127">
        <v>32513841</v>
      </c>
      <c r="F314" s="126">
        <v>5756411</v>
      </c>
      <c r="G314" s="128">
        <v>613781</v>
      </c>
      <c r="J314" s="130">
        <v>38884033</v>
      </c>
    </row>
    <row r="315" spans="1:10">
      <c r="A315" t="s">
        <v>1133</v>
      </c>
      <c r="B315" t="s">
        <v>1134</v>
      </c>
      <c r="D315" t="s">
        <v>1639</v>
      </c>
      <c r="E315" s="127">
        <v>64048202</v>
      </c>
      <c r="F315" s="126">
        <v>7321680</v>
      </c>
      <c r="G315" s="128">
        <v>578157</v>
      </c>
      <c r="J315" s="130">
        <v>71948039</v>
      </c>
    </row>
    <row r="316" spans="1:10">
      <c r="A316" t="s">
        <v>1135</v>
      </c>
      <c r="B316" t="s">
        <v>1136</v>
      </c>
      <c r="D316" t="s">
        <v>1639</v>
      </c>
      <c r="E316" s="127">
        <v>138113400</v>
      </c>
      <c r="F316" s="126">
        <v>19673867</v>
      </c>
      <c r="G316" s="128">
        <v>1644121</v>
      </c>
      <c r="J316" s="130">
        <v>159431388</v>
      </c>
    </row>
    <row r="317" spans="1:10">
      <c r="A317" t="s">
        <v>1137</v>
      </c>
      <c r="B317" t="s">
        <v>1138</v>
      </c>
      <c r="D317" t="s">
        <v>1639</v>
      </c>
      <c r="E317" s="127">
        <v>53844867</v>
      </c>
      <c r="F317" s="126">
        <v>6142833</v>
      </c>
      <c r="G317" s="128">
        <v>629868</v>
      </c>
      <c r="J317" s="130">
        <v>60617568</v>
      </c>
    </row>
    <row r="318" spans="1:10">
      <c r="A318" t="s">
        <v>1139</v>
      </c>
      <c r="B318" t="s">
        <v>1140</v>
      </c>
      <c r="D318" t="s">
        <v>1639</v>
      </c>
      <c r="E318" s="127">
        <v>89318331</v>
      </c>
      <c r="F318" s="126">
        <v>23297571</v>
      </c>
      <c r="G318" s="128">
        <v>1325897</v>
      </c>
      <c r="J318" s="130">
        <v>113941799</v>
      </c>
    </row>
    <row r="319" spans="1:10">
      <c r="A319" t="s">
        <v>1141</v>
      </c>
      <c r="B319" t="s">
        <v>1142</v>
      </c>
      <c r="D319" t="s">
        <v>1639</v>
      </c>
      <c r="E319" s="127">
        <v>37407699</v>
      </c>
      <c r="F319" s="126">
        <v>4541726</v>
      </c>
      <c r="G319" s="128">
        <v>788873</v>
      </c>
      <c r="J319" s="130">
        <v>42738298</v>
      </c>
    </row>
    <row r="320" spans="1:10">
      <c r="A320" t="s">
        <v>1143</v>
      </c>
      <c r="B320" t="s">
        <v>1144</v>
      </c>
      <c r="D320" t="s">
        <v>1639</v>
      </c>
      <c r="E320" s="127">
        <v>81994140</v>
      </c>
      <c r="F320" s="126">
        <v>7864632</v>
      </c>
      <c r="G320" s="128">
        <v>473999</v>
      </c>
      <c r="J320" s="130">
        <v>90332771</v>
      </c>
    </row>
    <row r="321" spans="1:10">
      <c r="A321" t="s">
        <v>1145</v>
      </c>
      <c r="B321" t="s">
        <v>1146</v>
      </c>
      <c r="D321" t="s">
        <v>1639</v>
      </c>
      <c r="E321" s="127">
        <v>80017813</v>
      </c>
      <c r="F321" s="126">
        <v>21071764</v>
      </c>
      <c r="G321" s="128">
        <v>1770792</v>
      </c>
      <c r="J321" s="130">
        <v>102860369</v>
      </c>
    </row>
    <row r="322" spans="1:10">
      <c r="A322" t="s">
        <v>1147</v>
      </c>
      <c r="B322" t="s">
        <v>1148</v>
      </c>
      <c r="D322" t="s">
        <v>1639</v>
      </c>
      <c r="E322" s="127">
        <v>40982390</v>
      </c>
      <c r="F322" s="126">
        <v>23932851</v>
      </c>
      <c r="G322" s="128">
        <v>849506</v>
      </c>
      <c r="J322" s="130">
        <v>65764747</v>
      </c>
    </row>
    <row r="323" spans="1:10">
      <c r="A323" t="s">
        <v>1149</v>
      </c>
      <c r="B323" t="s">
        <v>1150</v>
      </c>
      <c r="D323" t="s">
        <v>1639</v>
      </c>
      <c r="E323" s="127">
        <v>49193480</v>
      </c>
      <c r="F323" s="126">
        <v>13231602</v>
      </c>
      <c r="G323" s="128">
        <v>1007773</v>
      </c>
      <c r="J323" s="130">
        <v>63432855</v>
      </c>
    </row>
    <row r="324" spans="1:10">
      <c r="A324" t="s">
        <v>1151</v>
      </c>
      <c r="B324" t="s">
        <v>1152</v>
      </c>
      <c r="D324" t="s">
        <v>1639</v>
      </c>
      <c r="E324" s="127">
        <v>89881337</v>
      </c>
      <c r="F324" s="126">
        <v>39763409</v>
      </c>
      <c r="G324" s="128">
        <v>2326425</v>
      </c>
      <c r="J324" s="130">
        <v>131971171</v>
      </c>
    </row>
    <row r="325" spans="1:10">
      <c r="A325" t="s">
        <v>1153</v>
      </c>
      <c r="B325" t="s">
        <v>1154</v>
      </c>
      <c r="D325" t="s">
        <v>1639</v>
      </c>
      <c r="E325" s="127">
        <v>111168608</v>
      </c>
      <c r="F325" s="126">
        <v>37363478</v>
      </c>
      <c r="G325" s="128">
        <v>2238281</v>
      </c>
      <c r="J325" s="130">
        <v>150770367</v>
      </c>
    </row>
    <row r="326" spans="1:10" s="1" customFormat="1">
      <c r="A326" s="1" t="s">
        <v>1977</v>
      </c>
      <c r="B326" s="1" t="s">
        <v>1155</v>
      </c>
      <c r="C326" s="137"/>
      <c r="D326" s="1" t="s">
        <v>1639</v>
      </c>
      <c r="E326" s="68">
        <v>8536341160</v>
      </c>
      <c r="F326" s="68">
        <v>8073019131</v>
      </c>
      <c r="G326" s="68">
        <v>1586091039</v>
      </c>
      <c r="H326" s="68"/>
      <c r="I326" s="68"/>
      <c r="J326" s="130">
        <v>18195451330</v>
      </c>
    </row>
    <row r="327" spans="1:10">
      <c r="A327" t="s">
        <v>1156</v>
      </c>
      <c r="B327" t="s">
        <v>1157</v>
      </c>
      <c r="D327" t="s">
        <v>1639</v>
      </c>
      <c r="E327" s="127">
        <v>19297391</v>
      </c>
      <c r="F327" s="126">
        <v>17740285</v>
      </c>
      <c r="G327" s="128">
        <v>810593</v>
      </c>
      <c r="J327" s="130">
        <v>37848269</v>
      </c>
    </row>
    <row r="328" spans="1:10">
      <c r="A328" t="s">
        <v>2063</v>
      </c>
      <c r="B328" t="s">
        <v>1158</v>
      </c>
      <c r="D328" t="s">
        <v>1639</v>
      </c>
      <c r="E328" s="127">
        <v>26581429</v>
      </c>
      <c r="F328" s="126">
        <v>43515302</v>
      </c>
      <c r="G328" s="128">
        <v>3622958</v>
      </c>
      <c r="J328" s="130">
        <v>73719689</v>
      </c>
    </row>
    <row r="329" spans="1:10">
      <c r="A329" t="s">
        <v>1159</v>
      </c>
      <c r="B329" t="s">
        <v>1160</v>
      </c>
      <c r="D329" t="s">
        <v>1639</v>
      </c>
      <c r="E329" s="127">
        <v>8925947</v>
      </c>
      <c r="F329" s="126">
        <v>20325706</v>
      </c>
      <c r="G329" s="128">
        <v>905097</v>
      </c>
      <c r="J329" s="130">
        <v>30156750</v>
      </c>
    </row>
    <row r="330" spans="1:10">
      <c r="A330" t="s">
        <v>2065</v>
      </c>
      <c r="B330" t="s">
        <v>1161</v>
      </c>
      <c r="D330" t="s">
        <v>1639</v>
      </c>
      <c r="E330" s="127">
        <v>27233496</v>
      </c>
      <c r="F330" s="126">
        <v>33169417</v>
      </c>
      <c r="G330" s="128">
        <v>1670307</v>
      </c>
      <c r="J330" s="130">
        <v>62073220</v>
      </c>
    </row>
    <row r="331" spans="1:10">
      <c r="A331" t="s">
        <v>2054</v>
      </c>
      <c r="B331" t="s">
        <v>1162</v>
      </c>
      <c r="D331" t="s">
        <v>1639</v>
      </c>
      <c r="E331" s="127">
        <v>26076545</v>
      </c>
      <c r="F331" s="126">
        <v>93463631</v>
      </c>
      <c r="G331" s="128">
        <v>13373739</v>
      </c>
      <c r="J331" s="130">
        <v>132913915</v>
      </c>
    </row>
    <row r="332" spans="1:10">
      <c r="A332" t="s">
        <v>2067</v>
      </c>
      <c r="B332" t="s">
        <v>1163</v>
      </c>
      <c r="D332" t="s">
        <v>1639</v>
      </c>
      <c r="E332" s="127">
        <v>19980246</v>
      </c>
      <c r="F332" s="126">
        <v>39056995</v>
      </c>
      <c r="G332" s="128">
        <v>2349793</v>
      </c>
      <c r="J332" s="130">
        <v>61387034</v>
      </c>
    </row>
    <row r="333" spans="1:10">
      <c r="A333" t="s">
        <v>1164</v>
      </c>
      <c r="B333" t="s">
        <v>1165</v>
      </c>
      <c r="D333" t="s">
        <v>1639</v>
      </c>
      <c r="E333" s="127">
        <v>17644765</v>
      </c>
      <c r="F333" s="126">
        <v>21597106</v>
      </c>
      <c r="G333" s="128">
        <v>862179</v>
      </c>
      <c r="J333" s="130">
        <v>40104050</v>
      </c>
    </row>
    <row r="334" spans="1:10">
      <c r="A334" t="s">
        <v>1166</v>
      </c>
      <c r="B334" t="s">
        <v>1167</v>
      </c>
      <c r="D334" t="s">
        <v>1639</v>
      </c>
      <c r="E334" s="127">
        <v>6957140</v>
      </c>
      <c r="F334" s="126">
        <v>14497878</v>
      </c>
      <c r="G334" s="128">
        <v>613007</v>
      </c>
      <c r="J334" s="130">
        <v>22068025</v>
      </c>
    </row>
    <row r="335" spans="1:10">
      <c r="A335" t="s">
        <v>1168</v>
      </c>
      <c r="B335" t="s">
        <v>1169</v>
      </c>
      <c r="D335" t="s">
        <v>1639</v>
      </c>
      <c r="E335" s="127">
        <v>13937102</v>
      </c>
      <c r="F335" s="126">
        <v>6572919</v>
      </c>
      <c r="G335" s="128">
        <v>566228</v>
      </c>
      <c r="J335" s="130">
        <v>21076249</v>
      </c>
    </row>
    <row r="336" spans="1:10">
      <c r="A336" t="s">
        <v>1170</v>
      </c>
      <c r="B336" t="s">
        <v>1171</v>
      </c>
      <c r="D336" t="s">
        <v>1639</v>
      </c>
      <c r="E336" s="127">
        <v>8176444</v>
      </c>
      <c r="F336" s="126">
        <v>14112732</v>
      </c>
      <c r="G336" s="128">
        <v>672344</v>
      </c>
      <c r="J336" s="130">
        <v>22961520</v>
      </c>
    </row>
    <row r="337" spans="1:10">
      <c r="A337" t="s">
        <v>1172</v>
      </c>
      <c r="B337" t="s">
        <v>1173</v>
      </c>
      <c r="D337" t="s">
        <v>1639</v>
      </c>
      <c r="E337" s="127">
        <v>7299163</v>
      </c>
      <c r="F337" s="126">
        <v>15257613</v>
      </c>
      <c r="G337" s="128">
        <v>983562</v>
      </c>
      <c r="J337" s="130">
        <v>23540338</v>
      </c>
    </row>
    <row r="338" spans="1:10">
      <c r="A338" t="s">
        <v>1174</v>
      </c>
      <c r="B338" t="s">
        <v>1175</v>
      </c>
      <c r="D338" t="s">
        <v>1639</v>
      </c>
      <c r="E338" s="127">
        <v>9348701</v>
      </c>
      <c r="F338" s="126">
        <v>27793755</v>
      </c>
      <c r="G338" s="128">
        <v>1958832</v>
      </c>
      <c r="J338" s="130">
        <v>39101288</v>
      </c>
    </row>
    <row r="339" spans="1:10">
      <c r="A339" t="s">
        <v>1176</v>
      </c>
      <c r="B339" t="s">
        <v>1177</v>
      </c>
      <c r="D339" t="s">
        <v>1639</v>
      </c>
      <c r="E339" s="127">
        <v>9981295</v>
      </c>
      <c r="F339" s="126">
        <v>12142303</v>
      </c>
      <c r="G339" s="128">
        <v>446884</v>
      </c>
      <c r="J339" s="130">
        <v>22570482</v>
      </c>
    </row>
    <row r="340" spans="1:10">
      <c r="A340" t="s">
        <v>1178</v>
      </c>
      <c r="B340" t="s">
        <v>1179</v>
      </c>
      <c r="D340" t="s">
        <v>1639</v>
      </c>
      <c r="E340" s="127">
        <v>23925552</v>
      </c>
      <c r="F340" s="126">
        <v>15363992</v>
      </c>
      <c r="G340" s="128">
        <v>853207</v>
      </c>
      <c r="J340" s="130">
        <v>40142751</v>
      </c>
    </row>
    <row r="341" spans="1:10">
      <c r="A341" t="s">
        <v>1180</v>
      </c>
      <c r="B341" t="s">
        <v>1181</v>
      </c>
      <c r="D341" t="s">
        <v>1639</v>
      </c>
      <c r="E341" s="127">
        <v>5022004</v>
      </c>
      <c r="F341" s="126">
        <v>4660881</v>
      </c>
      <c r="G341" s="128">
        <v>484597</v>
      </c>
      <c r="J341" s="130">
        <v>10167482</v>
      </c>
    </row>
    <row r="342" spans="1:10">
      <c r="A342" t="s">
        <v>1182</v>
      </c>
      <c r="B342" t="s">
        <v>1183</v>
      </c>
      <c r="D342" t="s">
        <v>1639</v>
      </c>
      <c r="E342" s="127">
        <v>5341355</v>
      </c>
      <c r="F342" s="126">
        <v>11322231</v>
      </c>
      <c r="G342" s="128">
        <v>420001</v>
      </c>
      <c r="J342" s="130">
        <v>17083587</v>
      </c>
    </row>
    <row r="343" spans="1:10">
      <c r="A343" t="s">
        <v>1184</v>
      </c>
      <c r="B343" t="s">
        <v>1185</v>
      </c>
      <c r="D343" t="s">
        <v>1639</v>
      </c>
      <c r="E343" s="127">
        <v>2948540</v>
      </c>
      <c r="F343" s="126">
        <v>6135493</v>
      </c>
      <c r="G343" s="128">
        <v>670094</v>
      </c>
      <c r="J343" s="130">
        <v>9754127</v>
      </c>
    </row>
    <row r="344" spans="1:10">
      <c r="A344" t="s">
        <v>1186</v>
      </c>
      <c r="B344" t="s">
        <v>1187</v>
      </c>
      <c r="D344" t="s">
        <v>1639</v>
      </c>
      <c r="E344" s="127">
        <v>24317928</v>
      </c>
      <c r="F344" s="126">
        <v>65930259</v>
      </c>
      <c r="G344" s="128">
        <v>7775713</v>
      </c>
      <c r="J344" s="130">
        <v>98023900</v>
      </c>
    </row>
    <row r="345" spans="1:10">
      <c r="A345" t="s">
        <v>1188</v>
      </c>
      <c r="B345" t="s">
        <v>1189</v>
      </c>
      <c r="D345" t="s">
        <v>1639</v>
      </c>
      <c r="E345" s="127">
        <v>3576433</v>
      </c>
      <c r="F345" s="126">
        <v>10079347</v>
      </c>
      <c r="G345" s="128">
        <v>537589</v>
      </c>
      <c r="J345" s="130">
        <v>14193369</v>
      </c>
    </row>
    <row r="346" spans="1:10">
      <c r="A346" t="s">
        <v>1190</v>
      </c>
      <c r="B346" t="s">
        <v>924</v>
      </c>
      <c r="D346" t="s">
        <v>1639</v>
      </c>
      <c r="E346" s="127">
        <v>10036840</v>
      </c>
      <c r="F346" s="126">
        <v>20333361</v>
      </c>
      <c r="G346" s="128">
        <v>955295</v>
      </c>
      <c r="J346" s="130">
        <v>31325496</v>
      </c>
    </row>
    <row r="347" spans="1:10">
      <c r="A347" t="s">
        <v>925</v>
      </c>
      <c r="B347" t="s">
        <v>926</v>
      </c>
      <c r="D347" t="s">
        <v>1639</v>
      </c>
      <c r="E347" s="127">
        <v>8562390</v>
      </c>
      <c r="F347" s="126">
        <v>16654534</v>
      </c>
      <c r="G347" s="128">
        <v>534146</v>
      </c>
      <c r="J347" s="130">
        <v>25751070</v>
      </c>
    </row>
    <row r="348" spans="1:10">
      <c r="A348" t="s">
        <v>927</v>
      </c>
      <c r="B348" t="s">
        <v>928</v>
      </c>
      <c r="D348" t="s">
        <v>1639</v>
      </c>
      <c r="E348" s="127">
        <v>22935073</v>
      </c>
      <c r="F348" s="126">
        <v>87706543</v>
      </c>
      <c r="G348" s="128">
        <v>10728600</v>
      </c>
      <c r="J348" s="130">
        <v>121370216</v>
      </c>
    </row>
    <row r="349" spans="1:10">
      <c r="A349" t="s">
        <v>929</v>
      </c>
      <c r="B349" t="s">
        <v>930</v>
      </c>
      <c r="D349" t="s">
        <v>1639</v>
      </c>
      <c r="E349" s="127">
        <v>4970023</v>
      </c>
      <c r="F349" s="126">
        <v>11296678</v>
      </c>
      <c r="G349" s="128">
        <v>457304</v>
      </c>
      <c r="J349" s="130">
        <v>16724005</v>
      </c>
    </row>
    <row r="350" spans="1:10">
      <c r="A350" t="s">
        <v>931</v>
      </c>
      <c r="B350" t="s">
        <v>932</v>
      </c>
      <c r="D350" t="s">
        <v>1639</v>
      </c>
      <c r="E350" s="127">
        <v>4104618</v>
      </c>
      <c r="F350" s="126">
        <v>7384686</v>
      </c>
      <c r="G350" s="128">
        <v>390557</v>
      </c>
      <c r="J350" s="130">
        <v>11879861</v>
      </c>
    </row>
    <row r="351" spans="1:10">
      <c r="A351" t="s">
        <v>933</v>
      </c>
      <c r="B351" t="s">
        <v>934</v>
      </c>
      <c r="D351" t="s">
        <v>1639</v>
      </c>
      <c r="E351" s="127">
        <v>18266062</v>
      </c>
      <c r="F351" s="126">
        <v>27952662</v>
      </c>
      <c r="G351" s="128">
        <v>1727213</v>
      </c>
      <c r="J351" s="130">
        <v>47945937</v>
      </c>
    </row>
    <row r="352" spans="1:10">
      <c r="A352" t="s">
        <v>2001</v>
      </c>
      <c r="B352" t="s">
        <v>935</v>
      </c>
      <c r="D352" t="s">
        <v>1639</v>
      </c>
      <c r="E352" s="127">
        <v>29602313</v>
      </c>
      <c r="F352" s="126">
        <v>33782604</v>
      </c>
      <c r="G352" s="128">
        <v>1433091</v>
      </c>
      <c r="J352" s="130">
        <v>64818008</v>
      </c>
    </row>
    <row r="353" spans="1:10">
      <c r="A353" t="s">
        <v>1995</v>
      </c>
      <c r="B353" t="s">
        <v>936</v>
      </c>
      <c r="D353" t="s">
        <v>1639</v>
      </c>
      <c r="E353" s="127">
        <v>59505525</v>
      </c>
      <c r="F353" s="126">
        <v>67636791</v>
      </c>
      <c r="G353" s="128">
        <v>3955653</v>
      </c>
      <c r="J353" s="130">
        <v>131097969</v>
      </c>
    </row>
    <row r="354" spans="1:10">
      <c r="A354" t="s">
        <v>937</v>
      </c>
      <c r="B354" t="s">
        <v>938</v>
      </c>
      <c r="D354" t="s">
        <v>1639</v>
      </c>
      <c r="E354" s="127">
        <v>35958217</v>
      </c>
      <c r="F354" s="126">
        <v>27178719</v>
      </c>
      <c r="G354" s="128">
        <v>1559604</v>
      </c>
      <c r="J354" s="130">
        <v>64696540</v>
      </c>
    </row>
    <row r="355" spans="1:10">
      <c r="A355" t="s">
        <v>2003</v>
      </c>
      <c r="B355" t="s">
        <v>939</v>
      </c>
      <c r="D355" t="s">
        <v>1639</v>
      </c>
      <c r="E355" s="127">
        <v>28380695</v>
      </c>
      <c r="F355" s="126">
        <v>13276526</v>
      </c>
      <c r="G355" s="128">
        <v>1162913</v>
      </c>
      <c r="J355" s="130">
        <v>42820134</v>
      </c>
    </row>
    <row r="356" spans="1:10">
      <c r="A356" t="s">
        <v>940</v>
      </c>
      <c r="B356" t="s">
        <v>941</v>
      </c>
      <c r="D356" t="s">
        <v>1639</v>
      </c>
      <c r="E356" s="127">
        <v>8733315</v>
      </c>
      <c r="F356" s="126">
        <v>15349513</v>
      </c>
      <c r="G356" s="128">
        <v>711737</v>
      </c>
      <c r="J356" s="130">
        <v>24794565</v>
      </c>
    </row>
    <row r="357" spans="1:10">
      <c r="A357" t="s">
        <v>942</v>
      </c>
      <c r="B357" t="s">
        <v>943</v>
      </c>
      <c r="D357" t="s">
        <v>1639</v>
      </c>
      <c r="E357" s="127">
        <v>6149302</v>
      </c>
      <c r="F357" s="126">
        <v>9033183</v>
      </c>
      <c r="G357" s="128">
        <v>383513</v>
      </c>
      <c r="J357" s="130">
        <v>15565998</v>
      </c>
    </row>
    <row r="358" spans="1:10">
      <c r="A358" t="s">
        <v>944</v>
      </c>
      <c r="B358" t="s">
        <v>945</v>
      </c>
      <c r="D358" t="s">
        <v>1639</v>
      </c>
      <c r="E358" s="127">
        <v>13632675</v>
      </c>
      <c r="F358" s="126">
        <v>14445958</v>
      </c>
      <c r="G358" s="128">
        <v>714055</v>
      </c>
      <c r="J358" s="130">
        <v>28792688</v>
      </c>
    </row>
    <row r="359" spans="1:10">
      <c r="A359" t="s">
        <v>2005</v>
      </c>
      <c r="B359" t="s">
        <v>946</v>
      </c>
      <c r="D359" t="s">
        <v>1639</v>
      </c>
      <c r="E359" s="127">
        <v>11915607</v>
      </c>
      <c r="F359" s="126">
        <v>14306434</v>
      </c>
      <c r="G359" s="128">
        <v>864193</v>
      </c>
      <c r="J359" s="130">
        <v>27086234</v>
      </c>
    </row>
    <row r="360" spans="1:10">
      <c r="A360" t="s">
        <v>947</v>
      </c>
      <c r="B360" t="s">
        <v>948</v>
      </c>
      <c r="D360" t="s">
        <v>1639</v>
      </c>
      <c r="E360" s="127">
        <v>7020416</v>
      </c>
      <c r="F360" s="126">
        <v>12056398</v>
      </c>
      <c r="G360" s="128">
        <v>1327277</v>
      </c>
      <c r="J360" s="130">
        <v>20404091</v>
      </c>
    </row>
    <row r="361" spans="1:10">
      <c r="A361" t="s">
        <v>2007</v>
      </c>
      <c r="B361" t="s">
        <v>949</v>
      </c>
      <c r="D361" t="s">
        <v>1639</v>
      </c>
      <c r="E361" s="127">
        <v>40883938</v>
      </c>
      <c r="F361" s="126">
        <v>43926240</v>
      </c>
      <c r="G361" s="128">
        <v>2145223</v>
      </c>
      <c r="J361" s="130">
        <v>86955401</v>
      </c>
    </row>
    <row r="362" spans="1:10">
      <c r="A362" t="s">
        <v>950</v>
      </c>
      <c r="B362" t="s">
        <v>951</v>
      </c>
      <c r="D362" t="s">
        <v>1639</v>
      </c>
      <c r="E362" s="127">
        <v>44109970</v>
      </c>
      <c r="F362" s="126">
        <v>21983261</v>
      </c>
      <c r="G362" s="128">
        <v>1205551</v>
      </c>
      <c r="J362" s="130">
        <v>67298782</v>
      </c>
    </row>
    <row r="363" spans="1:10">
      <c r="A363" t="s">
        <v>952</v>
      </c>
      <c r="B363" t="s">
        <v>953</v>
      </c>
      <c r="D363" t="s">
        <v>1639</v>
      </c>
      <c r="E363" s="127">
        <v>11583935</v>
      </c>
      <c r="F363" s="126">
        <v>12410969</v>
      </c>
      <c r="G363" s="128">
        <v>530813</v>
      </c>
      <c r="J363" s="130">
        <v>24525717</v>
      </c>
    </row>
    <row r="364" spans="1:10">
      <c r="A364" t="s">
        <v>2009</v>
      </c>
      <c r="B364" t="s">
        <v>954</v>
      </c>
      <c r="D364" t="s">
        <v>1639</v>
      </c>
      <c r="E364" s="127">
        <v>6876916</v>
      </c>
      <c r="F364" s="126">
        <v>9545739</v>
      </c>
      <c r="G364" s="128">
        <v>357053</v>
      </c>
      <c r="J364" s="130">
        <v>16779708</v>
      </c>
    </row>
    <row r="365" spans="1:10">
      <c r="A365" t="s">
        <v>1997</v>
      </c>
      <c r="B365" t="s">
        <v>955</v>
      </c>
      <c r="D365" t="s">
        <v>1639</v>
      </c>
      <c r="E365" s="127">
        <v>57876896</v>
      </c>
      <c r="F365" s="126">
        <v>67264205</v>
      </c>
      <c r="G365" s="128">
        <v>3552803</v>
      </c>
      <c r="J365" s="130">
        <v>128693904</v>
      </c>
    </row>
    <row r="366" spans="1:10">
      <c r="A366" t="s">
        <v>956</v>
      </c>
      <c r="B366" t="s">
        <v>957</v>
      </c>
      <c r="D366" t="s">
        <v>1639</v>
      </c>
      <c r="E366" s="127">
        <v>3304379</v>
      </c>
      <c r="F366" s="126">
        <v>3534947</v>
      </c>
      <c r="G366" s="128">
        <v>185875</v>
      </c>
      <c r="J366" s="130">
        <v>7025201</v>
      </c>
    </row>
    <row r="367" spans="1:10">
      <c r="A367" t="s">
        <v>958</v>
      </c>
      <c r="B367" t="s">
        <v>959</v>
      </c>
      <c r="D367" t="s">
        <v>1639</v>
      </c>
      <c r="E367" s="127">
        <v>17421044</v>
      </c>
      <c r="F367" s="126">
        <v>8501343</v>
      </c>
      <c r="G367" s="128">
        <v>447712</v>
      </c>
      <c r="J367" s="130">
        <v>26370099</v>
      </c>
    </row>
    <row r="368" spans="1:10">
      <c r="A368" t="s">
        <v>1999</v>
      </c>
      <c r="B368" t="s">
        <v>960</v>
      </c>
      <c r="D368" t="s">
        <v>1639</v>
      </c>
      <c r="E368" s="127">
        <v>71591734</v>
      </c>
      <c r="F368" s="126">
        <v>238539793</v>
      </c>
      <c r="G368" s="128">
        <v>43769760</v>
      </c>
      <c r="J368" s="130">
        <v>353901287</v>
      </c>
    </row>
    <row r="369" spans="1:10">
      <c r="A369" t="s">
        <v>961</v>
      </c>
      <c r="B369" t="s">
        <v>962</v>
      </c>
      <c r="D369" t="s">
        <v>1639</v>
      </c>
      <c r="E369" s="127">
        <v>6856958</v>
      </c>
      <c r="F369" s="126">
        <v>8676844</v>
      </c>
      <c r="G369" s="128">
        <v>456070</v>
      </c>
      <c r="J369" s="130">
        <v>15989872</v>
      </c>
    </row>
    <row r="370" spans="1:10">
      <c r="A370" t="s">
        <v>963</v>
      </c>
      <c r="B370" t="s">
        <v>964</v>
      </c>
      <c r="D370" t="s">
        <v>1639</v>
      </c>
      <c r="E370" s="127">
        <v>28323163</v>
      </c>
      <c r="F370" s="126">
        <v>26348561</v>
      </c>
      <c r="G370" s="128">
        <v>2662266</v>
      </c>
      <c r="J370" s="130">
        <v>57333990</v>
      </c>
    </row>
    <row r="371" spans="1:10">
      <c r="A371" t="s">
        <v>965</v>
      </c>
      <c r="B371" t="s">
        <v>966</v>
      </c>
      <c r="D371" t="s">
        <v>1639</v>
      </c>
      <c r="E371" s="127">
        <v>7722323</v>
      </c>
      <c r="F371" s="126">
        <v>9739814</v>
      </c>
      <c r="G371" s="128">
        <v>830427</v>
      </c>
      <c r="J371" s="130">
        <v>18292564</v>
      </c>
    </row>
    <row r="372" spans="1:10">
      <c r="A372" t="s">
        <v>967</v>
      </c>
      <c r="B372" t="s">
        <v>968</v>
      </c>
      <c r="D372" t="s">
        <v>1639</v>
      </c>
      <c r="E372" s="127">
        <v>13676174</v>
      </c>
      <c r="F372" s="126">
        <v>23769254</v>
      </c>
      <c r="G372" s="128">
        <v>3626506</v>
      </c>
      <c r="J372" s="130">
        <v>41071934</v>
      </c>
    </row>
    <row r="373" spans="1:10">
      <c r="A373" t="s">
        <v>969</v>
      </c>
      <c r="B373" t="s">
        <v>970</v>
      </c>
      <c r="D373" t="s">
        <v>1639</v>
      </c>
      <c r="E373" s="127">
        <v>10712167</v>
      </c>
      <c r="F373" s="126">
        <v>14885555</v>
      </c>
      <c r="G373" s="128">
        <v>928872</v>
      </c>
      <c r="J373" s="130">
        <v>26526594</v>
      </c>
    </row>
    <row r="374" spans="1:10">
      <c r="A374" t="s">
        <v>971</v>
      </c>
      <c r="B374" t="s">
        <v>972</v>
      </c>
      <c r="D374" t="s">
        <v>1639</v>
      </c>
      <c r="E374" s="127">
        <v>5520484</v>
      </c>
      <c r="F374" s="126">
        <v>8400501</v>
      </c>
      <c r="G374" s="128">
        <v>457916</v>
      </c>
      <c r="J374" s="130">
        <v>14378901</v>
      </c>
    </row>
    <row r="375" spans="1:10">
      <c r="A375" t="s">
        <v>973</v>
      </c>
      <c r="B375" t="s">
        <v>974</v>
      </c>
      <c r="D375" t="s">
        <v>1639</v>
      </c>
      <c r="E375" s="127">
        <v>7536338</v>
      </c>
      <c r="F375" s="126">
        <v>6127508</v>
      </c>
      <c r="G375" s="128">
        <v>535076</v>
      </c>
      <c r="J375" s="130">
        <v>14198922</v>
      </c>
    </row>
    <row r="376" spans="1:10">
      <c r="A376" t="s">
        <v>975</v>
      </c>
      <c r="B376" t="s">
        <v>976</v>
      </c>
      <c r="D376" t="s">
        <v>1639</v>
      </c>
      <c r="E376" s="127">
        <v>10078684</v>
      </c>
      <c r="F376" s="126">
        <v>21718623</v>
      </c>
      <c r="G376" s="128">
        <v>890114</v>
      </c>
      <c r="J376" s="130">
        <v>32687421</v>
      </c>
    </row>
    <row r="377" spans="1:10">
      <c r="A377" t="s">
        <v>977</v>
      </c>
      <c r="B377" t="s">
        <v>978</v>
      </c>
      <c r="D377" t="s">
        <v>1639</v>
      </c>
      <c r="E377" s="127">
        <v>7201186</v>
      </c>
      <c r="F377" s="126">
        <v>8020589</v>
      </c>
      <c r="G377" s="128">
        <v>481317</v>
      </c>
      <c r="J377" s="130">
        <v>15703092</v>
      </c>
    </row>
    <row r="378" spans="1:10">
      <c r="A378" t="s">
        <v>979</v>
      </c>
      <c r="B378" t="s">
        <v>980</v>
      </c>
      <c r="D378" t="s">
        <v>1639</v>
      </c>
      <c r="E378" s="127">
        <v>30194899</v>
      </c>
      <c r="F378" s="126">
        <v>19139533</v>
      </c>
      <c r="G378" s="128">
        <v>1311653</v>
      </c>
      <c r="J378" s="130">
        <v>50646085</v>
      </c>
    </row>
    <row r="379" spans="1:10">
      <c r="A379" t="s">
        <v>981</v>
      </c>
      <c r="B379" t="s">
        <v>982</v>
      </c>
      <c r="D379" t="s">
        <v>1639</v>
      </c>
      <c r="E379" s="127">
        <v>41649460</v>
      </c>
      <c r="F379" s="126">
        <v>32419321</v>
      </c>
      <c r="G379" s="128">
        <v>1615145</v>
      </c>
      <c r="J379" s="130">
        <v>75683926</v>
      </c>
    </row>
    <row r="380" spans="1:10">
      <c r="A380" t="s">
        <v>983</v>
      </c>
      <c r="B380" t="s">
        <v>984</v>
      </c>
      <c r="D380" t="s">
        <v>1639</v>
      </c>
      <c r="E380" s="127">
        <v>12425287</v>
      </c>
      <c r="F380" s="126">
        <v>6950735</v>
      </c>
      <c r="G380" s="128">
        <v>399699</v>
      </c>
      <c r="J380" s="130">
        <v>19775721</v>
      </c>
    </row>
    <row r="381" spans="1:10">
      <c r="A381" t="s">
        <v>985</v>
      </c>
      <c r="B381" t="s">
        <v>986</v>
      </c>
      <c r="D381" t="s">
        <v>1639</v>
      </c>
      <c r="E381" s="127">
        <v>31474452</v>
      </c>
      <c r="F381" s="126">
        <v>16759631</v>
      </c>
      <c r="G381" s="128">
        <v>879728</v>
      </c>
      <c r="J381" s="130">
        <v>49113811</v>
      </c>
    </row>
    <row r="382" spans="1:10">
      <c r="A382" t="s">
        <v>987</v>
      </c>
      <c r="B382" t="s">
        <v>988</v>
      </c>
      <c r="D382" t="s">
        <v>1639</v>
      </c>
      <c r="E382" s="127">
        <v>37103932</v>
      </c>
      <c r="F382" s="126">
        <v>53628262</v>
      </c>
      <c r="G382" s="128">
        <v>2542248</v>
      </c>
      <c r="J382" s="130">
        <v>93274442</v>
      </c>
    </row>
    <row r="383" spans="1:10">
      <c r="A383" t="s">
        <v>989</v>
      </c>
      <c r="B383" t="s">
        <v>990</v>
      </c>
      <c r="D383" t="s">
        <v>1639</v>
      </c>
      <c r="E383" s="127">
        <v>34686033</v>
      </c>
      <c r="F383" s="126">
        <v>17091293</v>
      </c>
      <c r="G383" s="128">
        <v>910902</v>
      </c>
      <c r="J383" s="130">
        <v>52688228</v>
      </c>
    </row>
    <row r="384" spans="1:10">
      <c r="A384" t="s">
        <v>991</v>
      </c>
      <c r="B384" t="s">
        <v>992</v>
      </c>
      <c r="D384" t="s">
        <v>1639</v>
      </c>
      <c r="E384" s="127">
        <v>7024462</v>
      </c>
      <c r="F384" s="126">
        <v>8509990</v>
      </c>
      <c r="G384" s="128">
        <v>6686354</v>
      </c>
      <c r="J384" s="130">
        <v>22220806</v>
      </c>
    </row>
    <row r="385" spans="1:10">
      <c r="A385" t="s">
        <v>993</v>
      </c>
      <c r="B385" t="s">
        <v>994</v>
      </c>
      <c r="D385" t="s">
        <v>1639</v>
      </c>
      <c r="E385" s="127">
        <v>49780128</v>
      </c>
      <c r="F385" s="126">
        <v>60283566</v>
      </c>
      <c r="G385" s="128">
        <v>5381870</v>
      </c>
      <c r="J385" s="130">
        <v>115445564</v>
      </c>
    </row>
    <row r="386" spans="1:10">
      <c r="A386" t="s">
        <v>995</v>
      </c>
      <c r="B386" t="s">
        <v>996</v>
      </c>
      <c r="D386" t="s">
        <v>1639</v>
      </c>
      <c r="E386" s="127">
        <v>30216454</v>
      </c>
      <c r="F386" s="126">
        <v>38207552</v>
      </c>
      <c r="G386" s="128">
        <v>1440939</v>
      </c>
      <c r="J386" s="130">
        <v>69864945</v>
      </c>
    </row>
    <row r="387" spans="1:10">
      <c r="A387" t="s">
        <v>997</v>
      </c>
      <c r="B387" t="s">
        <v>998</v>
      </c>
      <c r="D387" t="s">
        <v>1639</v>
      </c>
      <c r="E387" s="127">
        <v>82049802</v>
      </c>
      <c r="F387" s="126">
        <v>48693295</v>
      </c>
      <c r="G387" s="128">
        <v>2284065</v>
      </c>
      <c r="J387" s="130">
        <v>133027162</v>
      </c>
    </row>
    <row r="388" spans="1:10">
      <c r="A388" t="s">
        <v>999</v>
      </c>
      <c r="B388" t="s">
        <v>1000</v>
      </c>
      <c r="D388" t="s">
        <v>1639</v>
      </c>
      <c r="E388" s="127">
        <v>8565938</v>
      </c>
      <c r="F388" s="126">
        <v>3824278</v>
      </c>
      <c r="G388" s="128">
        <v>7775802</v>
      </c>
      <c r="J388" s="130">
        <v>20166018</v>
      </c>
    </row>
    <row r="389" spans="1:10">
      <c r="A389" t="s">
        <v>1001</v>
      </c>
      <c r="B389" t="s">
        <v>1002</v>
      </c>
      <c r="D389" t="s">
        <v>1639</v>
      </c>
      <c r="E389" s="127">
        <v>38246061</v>
      </c>
      <c r="F389" s="126">
        <v>35294229</v>
      </c>
      <c r="G389" s="128">
        <v>2112779</v>
      </c>
      <c r="J389" s="130">
        <v>75653069</v>
      </c>
    </row>
    <row r="390" spans="1:10">
      <c r="A390" t="s">
        <v>1003</v>
      </c>
      <c r="B390" t="s">
        <v>1004</v>
      </c>
      <c r="D390" t="s">
        <v>1639</v>
      </c>
      <c r="E390" s="127">
        <v>79921853</v>
      </c>
      <c r="F390" s="126">
        <v>115501272</v>
      </c>
      <c r="G390" s="128">
        <v>9655115</v>
      </c>
      <c r="J390" s="130">
        <v>205078240</v>
      </c>
    </row>
    <row r="391" spans="1:10">
      <c r="A391" t="s">
        <v>1005</v>
      </c>
      <c r="B391" t="s">
        <v>1006</v>
      </c>
      <c r="D391" t="s">
        <v>1639</v>
      </c>
      <c r="E391" s="127">
        <v>20963524</v>
      </c>
      <c r="F391" s="126">
        <v>31087971</v>
      </c>
      <c r="G391" s="128">
        <v>2518383</v>
      </c>
      <c r="J391" s="130">
        <v>54569878</v>
      </c>
    </row>
    <row r="392" spans="1:10">
      <c r="A392" t="s">
        <v>1007</v>
      </c>
      <c r="B392" t="s">
        <v>1008</v>
      </c>
      <c r="D392" t="s">
        <v>1639</v>
      </c>
      <c r="E392" s="127">
        <v>13592615</v>
      </c>
      <c r="F392" s="126">
        <v>1335974</v>
      </c>
      <c r="G392" s="128">
        <v>147682</v>
      </c>
      <c r="J392" s="130">
        <v>15076271</v>
      </c>
    </row>
    <row r="393" spans="1:10">
      <c r="A393" t="s">
        <v>1009</v>
      </c>
      <c r="B393" t="s">
        <v>1010</v>
      </c>
      <c r="D393" t="s">
        <v>1639</v>
      </c>
      <c r="E393" s="127">
        <v>45895617</v>
      </c>
      <c r="F393" s="126">
        <v>26777962</v>
      </c>
      <c r="G393" s="128">
        <v>1064664</v>
      </c>
      <c r="J393" s="130">
        <v>73738243</v>
      </c>
    </row>
    <row r="394" spans="1:10">
      <c r="A394" t="s">
        <v>1011</v>
      </c>
      <c r="B394" t="s">
        <v>1012</v>
      </c>
      <c r="D394" t="s">
        <v>1639</v>
      </c>
      <c r="E394" s="127">
        <v>13241815</v>
      </c>
      <c r="F394" s="126">
        <v>7340727</v>
      </c>
      <c r="G394" s="128">
        <v>322047</v>
      </c>
      <c r="J394" s="130">
        <v>20904589</v>
      </c>
    </row>
    <row r="395" spans="1:10">
      <c r="A395" t="s">
        <v>1013</v>
      </c>
      <c r="B395" t="s">
        <v>1014</v>
      </c>
      <c r="D395" t="s">
        <v>1639</v>
      </c>
      <c r="E395" s="127">
        <v>9938715</v>
      </c>
      <c r="F395" s="126">
        <v>5450639</v>
      </c>
      <c r="G395" s="128">
        <v>286582</v>
      </c>
      <c r="J395" s="130">
        <v>15675936</v>
      </c>
    </row>
    <row r="396" spans="1:10">
      <c r="A396" t="s">
        <v>1015</v>
      </c>
      <c r="B396" t="s">
        <v>1016</v>
      </c>
      <c r="D396" t="s">
        <v>1639</v>
      </c>
      <c r="E396" s="127">
        <v>7959539</v>
      </c>
      <c r="F396" s="126">
        <v>22121513</v>
      </c>
      <c r="G396" s="128">
        <v>2088372</v>
      </c>
      <c r="J396" s="130">
        <v>32169424</v>
      </c>
    </row>
    <row r="397" spans="1:10">
      <c r="A397" t="s">
        <v>1017</v>
      </c>
      <c r="B397" t="s">
        <v>1018</v>
      </c>
      <c r="D397" t="s">
        <v>1639</v>
      </c>
      <c r="E397" s="127">
        <v>4895717</v>
      </c>
      <c r="F397" s="126">
        <v>9639508</v>
      </c>
      <c r="G397" s="128">
        <v>544536</v>
      </c>
      <c r="J397" s="130">
        <v>15079761</v>
      </c>
    </row>
    <row r="398" spans="1:10">
      <c r="A398" t="s">
        <v>1019</v>
      </c>
      <c r="B398" t="s">
        <v>1020</v>
      </c>
      <c r="D398" t="s">
        <v>1639</v>
      </c>
      <c r="E398" s="127">
        <v>6246259</v>
      </c>
      <c r="F398" s="126">
        <v>13004567</v>
      </c>
      <c r="G398" s="128">
        <v>912854</v>
      </c>
      <c r="J398" s="130">
        <v>20163680</v>
      </c>
    </row>
    <row r="399" spans="1:10">
      <c r="A399" t="s">
        <v>1021</v>
      </c>
      <c r="B399" t="s">
        <v>1022</v>
      </c>
      <c r="D399" t="s">
        <v>1639</v>
      </c>
      <c r="E399" s="127">
        <v>6553888</v>
      </c>
      <c r="F399" s="126">
        <v>19942847</v>
      </c>
      <c r="G399" s="128">
        <v>1891068</v>
      </c>
      <c r="J399" s="130">
        <v>28387803</v>
      </c>
    </row>
    <row r="400" spans="1:10">
      <c r="A400" t="s">
        <v>1023</v>
      </c>
      <c r="B400" t="s">
        <v>1024</v>
      </c>
      <c r="D400" t="s">
        <v>1639</v>
      </c>
      <c r="E400" s="127">
        <v>3909259</v>
      </c>
      <c r="F400" s="126">
        <v>7915402</v>
      </c>
      <c r="G400" s="128">
        <v>827143</v>
      </c>
      <c r="J400" s="130">
        <v>12651804</v>
      </c>
    </row>
    <row r="401" spans="1:10">
      <c r="A401" t="s">
        <v>1025</v>
      </c>
      <c r="B401" t="s">
        <v>1026</v>
      </c>
      <c r="D401" t="s">
        <v>1639</v>
      </c>
      <c r="E401" s="127">
        <v>5197194</v>
      </c>
      <c r="F401" s="126">
        <v>18764620</v>
      </c>
      <c r="G401" s="128">
        <v>1733668</v>
      </c>
      <c r="J401" s="130">
        <v>25695482</v>
      </c>
    </row>
    <row r="402" spans="1:10">
      <c r="A402" t="s">
        <v>1027</v>
      </c>
      <c r="B402" t="s">
        <v>1028</v>
      </c>
      <c r="D402" t="s">
        <v>1639</v>
      </c>
      <c r="E402" s="127">
        <v>14815769</v>
      </c>
      <c r="F402" s="126">
        <v>37333535</v>
      </c>
      <c r="G402" s="128">
        <v>3234773</v>
      </c>
      <c r="J402" s="130">
        <v>55384077</v>
      </c>
    </row>
    <row r="403" spans="1:10">
      <c r="A403" t="s">
        <v>1029</v>
      </c>
      <c r="B403" t="s">
        <v>1030</v>
      </c>
      <c r="D403" t="s">
        <v>1639</v>
      </c>
      <c r="E403" s="127">
        <v>3955314</v>
      </c>
      <c r="F403" s="126">
        <v>17713772</v>
      </c>
      <c r="G403" s="128">
        <v>2340728</v>
      </c>
      <c r="J403" s="130">
        <v>24009814</v>
      </c>
    </row>
    <row r="404" spans="1:10">
      <c r="A404" t="s">
        <v>1031</v>
      </c>
      <c r="B404" t="s">
        <v>1032</v>
      </c>
      <c r="D404" t="s">
        <v>1639</v>
      </c>
      <c r="E404" s="127">
        <v>16211196</v>
      </c>
      <c r="F404" s="126">
        <v>39940882</v>
      </c>
      <c r="G404" s="128">
        <v>2375886</v>
      </c>
      <c r="J404" s="130">
        <v>58527964</v>
      </c>
    </row>
    <row r="405" spans="1:10">
      <c r="A405" t="s">
        <v>1033</v>
      </c>
      <c r="B405" t="s">
        <v>1034</v>
      </c>
      <c r="D405" t="s">
        <v>1639</v>
      </c>
      <c r="E405" s="127">
        <v>12023313</v>
      </c>
      <c r="F405" s="126">
        <v>24385157</v>
      </c>
      <c r="G405" s="128">
        <v>2584315</v>
      </c>
      <c r="J405" s="130">
        <v>38992785</v>
      </c>
    </row>
    <row r="406" spans="1:10">
      <c r="A406" t="s">
        <v>1035</v>
      </c>
      <c r="B406" t="s">
        <v>1036</v>
      </c>
      <c r="D406" t="s">
        <v>1639</v>
      </c>
      <c r="E406" s="127">
        <v>42935272</v>
      </c>
      <c r="F406" s="126">
        <v>19679122</v>
      </c>
      <c r="G406" s="128">
        <v>4314544</v>
      </c>
      <c r="J406" s="130">
        <v>66928938</v>
      </c>
    </row>
    <row r="407" spans="1:10">
      <c r="A407" t="s">
        <v>1037</v>
      </c>
      <c r="B407" t="s">
        <v>1038</v>
      </c>
      <c r="D407" t="s">
        <v>1639</v>
      </c>
      <c r="E407" s="127">
        <v>4974786</v>
      </c>
      <c r="F407" s="126">
        <v>11266692</v>
      </c>
      <c r="G407" s="128">
        <v>1289451</v>
      </c>
      <c r="J407" s="130">
        <v>17530929</v>
      </c>
    </row>
    <row r="408" spans="1:10">
      <c r="A408" t="s">
        <v>1039</v>
      </c>
      <c r="B408" t="s">
        <v>1040</v>
      </c>
      <c r="D408" t="s">
        <v>1639</v>
      </c>
      <c r="E408" s="127">
        <v>5939887</v>
      </c>
      <c r="F408" s="126">
        <v>14152860</v>
      </c>
      <c r="G408" s="128">
        <v>1021767</v>
      </c>
      <c r="J408" s="130">
        <v>21114514</v>
      </c>
    </row>
    <row r="409" spans="1:10">
      <c r="A409" t="s">
        <v>1041</v>
      </c>
      <c r="B409" t="s">
        <v>1042</v>
      </c>
      <c r="D409" t="s">
        <v>1639</v>
      </c>
      <c r="E409" s="127">
        <v>10839512</v>
      </c>
      <c r="F409" s="126">
        <v>23597103</v>
      </c>
      <c r="G409" s="128">
        <v>1786590</v>
      </c>
      <c r="J409" s="130">
        <v>36223205</v>
      </c>
    </row>
    <row r="410" spans="1:10">
      <c r="A410" t="s">
        <v>1043</v>
      </c>
      <c r="B410" t="s">
        <v>1044</v>
      </c>
      <c r="D410" t="s">
        <v>1639</v>
      </c>
      <c r="E410" s="127">
        <v>1765519</v>
      </c>
      <c r="F410" s="126">
        <v>5095464</v>
      </c>
      <c r="G410" s="128">
        <v>366093</v>
      </c>
      <c r="J410" s="130">
        <v>7227076</v>
      </c>
    </row>
    <row r="411" spans="1:10">
      <c r="A411" t="s">
        <v>1045</v>
      </c>
      <c r="B411" t="s">
        <v>1046</v>
      </c>
      <c r="D411" t="s">
        <v>1639</v>
      </c>
      <c r="E411" s="127">
        <v>2109034</v>
      </c>
      <c r="F411" s="126">
        <v>6207172</v>
      </c>
      <c r="G411" s="128">
        <v>317104</v>
      </c>
      <c r="J411" s="130">
        <v>8633310</v>
      </c>
    </row>
    <row r="412" spans="1:10">
      <c r="A412" t="s">
        <v>1047</v>
      </c>
      <c r="B412" t="s">
        <v>1048</v>
      </c>
      <c r="D412" t="s">
        <v>1639</v>
      </c>
      <c r="E412" s="127">
        <v>1713041</v>
      </c>
      <c r="F412" s="126">
        <v>4552945</v>
      </c>
      <c r="G412" s="128">
        <v>257337</v>
      </c>
      <c r="J412" s="130">
        <v>6523323</v>
      </c>
    </row>
    <row r="413" spans="1:10">
      <c r="A413" t="s">
        <v>1049</v>
      </c>
      <c r="B413" t="s">
        <v>1050</v>
      </c>
      <c r="D413" t="s">
        <v>1639</v>
      </c>
      <c r="E413" s="127">
        <v>2110555</v>
      </c>
      <c r="F413" s="126">
        <v>4656793</v>
      </c>
      <c r="G413" s="128">
        <v>367528</v>
      </c>
      <c r="J413" s="130">
        <v>7134876</v>
      </c>
    </row>
    <row r="414" spans="1:10">
      <c r="A414" t="s">
        <v>1051</v>
      </c>
      <c r="B414" t="s">
        <v>1052</v>
      </c>
      <c r="D414" t="s">
        <v>1639</v>
      </c>
      <c r="E414" s="127">
        <v>3134979</v>
      </c>
      <c r="F414" s="126">
        <v>5187806</v>
      </c>
      <c r="G414" s="128">
        <v>380761</v>
      </c>
      <c r="J414" s="130">
        <v>8703546</v>
      </c>
    </row>
    <row r="415" spans="1:10">
      <c r="A415" t="s">
        <v>1053</v>
      </c>
      <c r="B415" t="s">
        <v>1054</v>
      </c>
      <c r="D415" t="s">
        <v>1639</v>
      </c>
      <c r="E415" s="127">
        <v>2125544</v>
      </c>
      <c r="F415" s="126">
        <v>5543425</v>
      </c>
      <c r="G415" s="128">
        <v>461665</v>
      </c>
      <c r="J415" s="130">
        <v>8130634</v>
      </c>
    </row>
    <row r="416" spans="1:10">
      <c r="A416" t="s">
        <v>1055</v>
      </c>
      <c r="B416" t="s">
        <v>1056</v>
      </c>
      <c r="D416" t="s">
        <v>1639</v>
      </c>
      <c r="E416" s="127">
        <v>14499363</v>
      </c>
      <c r="F416" s="126">
        <v>16216869</v>
      </c>
      <c r="G416" s="128">
        <v>1449596</v>
      </c>
      <c r="J416" s="130">
        <v>32165828</v>
      </c>
    </row>
    <row r="417" spans="1:10">
      <c r="A417" t="s">
        <v>1057</v>
      </c>
      <c r="B417" t="s">
        <v>1058</v>
      </c>
      <c r="D417" t="s">
        <v>1639</v>
      </c>
      <c r="E417" s="127">
        <v>4459861</v>
      </c>
      <c r="F417" s="126">
        <v>11738812</v>
      </c>
      <c r="G417" s="128">
        <v>813461</v>
      </c>
      <c r="J417" s="130">
        <v>17012134</v>
      </c>
    </row>
    <row r="418" spans="1:10">
      <c r="A418" t="s">
        <v>791</v>
      </c>
      <c r="B418" t="s">
        <v>792</v>
      </c>
      <c r="D418" t="s">
        <v>1639</v>
      </c>
      <c r="E418" s="127">
        <v>8586281</v>
      </c>
      <c r="F418" s="126">
        <v>6163886</v>
      </c>
      <c r="G418" s="128">
        <v>589507</v>
      </c>
      <c r="J418" s="130">
        <v>15339674</v>
      </c>
    </row>
    <row r="419" spans="1:10">
      <c r="A419" t="s">
        <v>793</v>
      </c>
      <c r="B419" t="s">
        <v>794</v>
      </c>
      <c r="D419" t="s">
        <v>1639</v>
      </c>
      <c r="E419" s="127">
        <v>2983476</v>
      </c>
      <c r="F419" s="126">
        <v>6801482</v>
      </c>
      <c r="G419" s="128">
        <v>524990</v>
      </c>
      <c r="J419" s="130">
        <v>10309948</v>
      </c>
    </row>
    <row r="420" spans="1:10">
      <c r="A420" t="s">
        <v>795</v>
      </c>
      <c r="B420" t="s">
        <v>796</v>
      </c>
      <c r="D420" t="s">
        <v>1639</v>
      </c>
      <c r="E420" s="127">
        <v>3723756</v>
      </c>
      <c r="F420" s="126">
        <v>7092023</v>
      </c>
      <c r="G420" s="128">
        <v>853213</v>
      </c>
      <c r="J420" s="130">
        <v>11668992</v>
      </c>
    </row>
    <row r="421" spans="1:10">
      <c r="A421" t="s">
        <v>797</v>
      </c>
      <c r="B421" t="s">
        <v>798</v>
      </c>
      <c r="D421" t="s">
        <v>1639</v>
      </c>
      <c r="E421" s="127">
        <v>2094910</v>
      </c>
      <c r="F421" s="126">
        <v>4641160</v>
      </c>
      <c r="G421" s="128">
        <v>394836</v>
      </c>
      <c r="J421" s="130">
        <v>7130906</v>
      </c>
    </row>
    <row r="422" spans="1:10">
      <c r="A422" t="s">
        <v>799</v>
      </c>
      <c r="B422" t="s">
        <v>800</v>
      </c>
      <c r="D422" t="s">
        <v>1639</v>
      </c>
      <c r="E422" s="127">
        <v>62623351</v>
      </c>
      <c r="F422" s="126">
        <v>34142190</v>
      </c>
      <c r="G422" s="128">
        <v>1169736</v>
      </c>
      <c r="J422" s="130">
        <v>97935277</v>
      </c>
    </row>
    <row r="423" spans="1:10">
      <c r="A423" t="s">
        <v>801</v>
      </c>
      <c r="B423" t="s">
        <v>802</v>
      </c>
      <c r="D423" t="s">
        <v>1639</v>
      </c>
      <c r="E423" s="127">
        <v>64705090</v>
      </c>
      <c r="F423" s="126">
        <v>31263053</v>
      </c>
      <c r="G423" s="128">
        <v>1649409</v>
      </c>
      <c r="J423" s="130">
        <v>97617552</v>
      </c>
    </row>
    <row r="424" spans="1:10">
      <c r="A424" t="s">
        <v>803</v>
      </c>
      <c r="B424" t="s">
        <v>804</v>
      </c>
      <c r="D424" t="s">
        <v>1639</v>
      </c>
      <c r="E424" s="127">
        <v>13798467</v>
      </c>
      <c r="F424" s="126">
        <v>3831092</v>
      </c>
      <c r="G424" s="128">
        <v>301967</v>
      </c>
      <c r="J424" s="130">
        <v>17931526</v>
      </c>
    </row>
    <row r="425" spans="1:10">
      <c r="A425" t="s">
        <v>805</v>
      </c>
      <c r="B425" t="s">
        <v>806</v>
      </c>
      <c r="D425" t="s">
        <v>1639</v>
      </c>
      <c r="E425" s="127">
        <v>7478049</v>
      </c>
      <c r="F425" s="126">
        <v>1183129</v>
      </c>
      <c r="G425" s="128">
        <v>107600</v>
      </c>
      <c r="J425" s="130">
        <v>8768778</v>
      </c>
    </row>
    <row r="426" spans="1:10">
      <c r="A426" t="s">
        <v>807</v>
      </c>
      <c r="B426" t="s">
        <v>808</v>
      </c>
      <c r="D426" t="s">
        <v>1639</v>
      </c>
      <c r="E426" s="127">
        <v>27861711</v>
      </c>
      <c r="F426" s="126">
        <v>12089002</v>
      </c>
      <c r="G426" s="128">
        <v>693472</v>
      </c>
      <c r="J426" s="130">
        <v>40644185</v>
      </c>
    </row>
    <row r="427" spans="1:10">
      <c r="A427" t="s">
        <v>809</v>
      </c>
      <c r="B427" t="s">
        <v>810</v>
      </c>
      <c r="D427" t="s">
        <v>1639</v>
      </c>
      <c r="E427" s="127">
        <v>53249200</v>
      </c>
      <c r="F427" s="126">
        <v>21252542</v>
      </c>
      <c r="G427" s="128">
        <v>1395849</v>
      </c>
      <c r="J427" s="130">
        <v>75897591</v>
      </c>
    </row>
    <row r="428" spans="1:10">
      <c r="A428" t="s">
        <v>811</v>
      </c>
      <c r="B428" t="s">
        <v>812</v>
      </c>
      <c r="D428" t="s">
        <v>1639</v>
      </c>
      <c r="E428" s="127">
        <v>6735708</v>
      </c>
      <c r="F428" s="126">
        <v>10556117</v>
      </c>
      <c r="G428" s="128">
        <v>655457</v>
      </c>
      <c r="J428" s="130">
        <v>17947282</v>
      </c>
    </row>
    <row r="429" spans="1:10">
      <c r="A429" t="s">
        <v>813</v>
      </c>
      <c r="B429" t="s">
        <v>814</v>
      </c>
      <c r="D429" t="s">
        <v>1639</v>
      </c>
      <c r="E429" s="127">
        <v>9565110</v>
      </c>
      <c r="F429" s="126">
        <v>10582343</v>
      </c>
      <c r="G429" s="128">
        <v>430769</v>
      </c>
      <c r="J429" s="130">
        <v>20578222</v>
      </c>
    </row>
    <row r="430" spans="1:10">
      <c r="A430" t="s">
        <v>815</v>
      </c>
      <c r="B430" t="s">
        <v>816</v>
      </c>
      <c r="D430" t="s">
        <v>1639</v>
      </c>
      <c r="E430" s="127">
        <v>41185073</v>
      </c>
      <c r="F430" s="126">
        <v>33928678</v>
      </c>
      <c r="G430" s="128">
        <v>1733351</v>
      </c>
      <c r="J430" s="130">
        <v>76847102</v>
      </c>
    </row>
    <row r="431" spans="1:10">
      <c r="A431" t="s">
        <v>817</v>
      </c>
      <c r="B431" t="s">
        <v>818</v>
      </c>
      <c r="D431" t="s">
        <v>1639</v>
      </c>
      <c r="E431" s="127">
        <v>6975829</v>
      </c>
      <c r="F431" s="126">
        <v>10125391</v>
      </c>
      <c r="G431" s="128">
        <v>748002</v>
      </c>
      <c r="J431" s="130">
        <v>17849222</v>
      </c>
    </row>
    <row r="432" spans="1:10">
      <c r="A432" t="s">
        <v>2014</v>
      </c>
      <c r="B432" t="s">
        <v>819</v>
      </c>
      <c r="D432" t="s">
        <v>1639</v>
      </c>
      <c r="E432" s="127">
        <v>10450738</v>
      </c>
      <c r="F432" s="126">
        <v>20953248</v>
      </c>
      <c r="G432" s="128">
        <v>2026539</v>
      </c>
      <c r="J432" s="130">
        <v>33430525</v>
      </c>
    </row>
    <row r="433" spans="1:10">
      <c r="A433" t="s">
        <v>820</v>
      </c>
      <c r="B433" t="s">
        <v>821</v>
      </c>
      <c r="D433" t="s">
        <v>1639</v>
      </c>
      <c r="E433" s="127">
        <v>3970262</v>
      </c>
      <c r="F433" s="126">
        <v>3650575</v>
      </c>
      <c r="G433" s="128">
        <v>320618</v>
      </c>
      <c r="J433" s="130">
        <v>7941455</v>
      </c>
    </row>
    <row r="434" spans="1:10">
      <c r="A434" t="s">
        <v>822</v>
      </c>
      <c r="B434" t="s">
        <v>823</v>
      </c>
      <c r="D434" t="s">
        <v>1639</v>
      </c>
      <c r="E434" s="127">
        <v>6654110</v>
      </c>
      <c r="F434" s="126">
        <v>9338661</v>
      </c>
      <c r="G434" s="128">
        <v>843457</v>
      </c>
      <c r="J434" s="130">
        <v>16836228</v>
      </c>
    </row>
    <row r="435" spans="1:10">
      <c r="A435" t="s">
        <v>824</v>
      </c>
      <c r="B435" t="s">
        <v>825</v>
      </c>
      <c r="D435" t="s">
        <v>1639</v>
      </c>
      <c r="E435" s="127">
        <v>20514076</v>
      </c>
      <c r="F435" s="126">
        <v>28076393</v>
      </c>
      <c r="G435" s="128">
        <v>1560939</v>
      </c>
      <c r="J435" s="130">
        <v>50151408</v>
      </c>
    </row>
    <row r="436" spans="1:10">
      <c r="A436" t="s">
        <v>826</v>
      </c>
      <c r="B436" t="s">
        <v>827</v>
      </c>
      <c r="D436" t="s">
        <v>1639</v>
      </c>
      <c r="E436" s="127">
        <v>7021412</v>
      </c>
      <c r="F436" s="126">
        <v>9998453</v>
      </c>
      <c r="G436" s="128">
        <v>579002</v>
      </c>
      <c r="J436" s="130">
        <v>17598867</v>
      </c>
    </row>
    <row r="437" spans="1:10">
      <c r="A437" t="s">
        <v>828</v>
      </c>
      <c r="B437" t="s">
        <v>829</v>
      </c>
      <c r="D437" t="s">
        <v>1639</v>
      </c>
      <c r="E437" s="127">
        <v>9649127</v>
      </c>
      <c r="F437" s="126">
        <v>8463109</v>
      </c>
      <c r="G437" s="128">
        <v>544065</v>
      </c>
      <c r="J437" s="130">
        <v>18656301</v>
      </c>
    </row>
    <row r="438" spans="1:10">
      <c r="A438" t="s">
        <v>2016</v>
      </c>
      <c r="B438" t="s">
        <v>830</v>
      </c>
      <c r="D438" t="s">
        <v>1639</v>
      </c>
      <c r="E438" s="127">
        <v>29128079</v>
      </c>
      <c r="F438" s="126">
        <v>52425688</v>
      </c>
      <c r="G438" s="128">
        <v>6032410</v>
      </c>
      <c r="J438" s="130">
        <v>87586177</v>
      </c>
    </row>
    <row r="439" spans="1:10">
      <c r="A439" t="s">
        <v>831</v>
      </c>
      <c r="B439" t="s">
        <v>832</v>
      </c>
      <c r="D439" t="s">
        <v>1639</v>
      </c>
      <c r="E439" s="127">
        <v>104822123</v>
      </c>
      <c r="F439" s="126">
        <v>38916398</v>
      </c>
      <c r="G439" s="128">
        <v>2330421</v>
      </c>
      <c r="J439" s="130">
        <v>146068942</v>
      </c>
    </row>
    <row r="440" spans="1:10">
      <c r="A440" t="s">
        <v>833</v>
      </c>
      <c r="B440" t="s">
        <v>834</v>
      </c>
      <c r="D440" t="s">
        <v>1639</v>
      </c>
      <c r="E440" s="127">
        <v>45192926</v>
      </c>
      <c r="F440" s="126">
        <v>8537192</v>
      </c>
      <c r="G440" s="128">
        <v>197088</v>
      </c>
      <c r="J440" s="130">
        <v>53927206</v>
      </c>
    </row>
    <row r="441" spans="1:10">
      <c r="A441" t="s">
        <v>835</v>
      </c>
      <c r="B441" t="s">
        <v>836</v>
      </c>
      <c r="D441" t="s">
        <v>1639</v>
      </c>
      <c r="E441" s="127">
        <v>325681121</v>
      </c>
      <c r="F441" s="126">
        <v>61727664</v>
      </c>
      <c r="G441" s="128">
        <v>4001402</v>
      </c>
      <c r="J441" s="130">
        <v>391410187</v>
      </c>
    </row>
    <row r="442" spans="1:10">
      <c r="A442" t="s">
        <v>837</v>
      </c>
      <c r="B442" t="s">
        <v>838</v>
      </c>
      <c r="D442" t="s">
        <v>1639</v>
      </c>
      <c r="E442" s="127">
        <v>55544749</v>
      </c>
      <c r="F442" s="126">
        <v>15173916</v>
      </c>
      <c r="G442" s="128">
        <v>1048477</v>
      </c>
      <c r="J442" s="130">
        <v>71767142</v>
      </c>
    </row>
    <row r="443" spans="1:10">
      <c r="A443" t="s">
        <v>839</v>
      </c>
      <c r="B443" t="s">
        <v>840</v>
      </c>
      <c r="D443" t="s">
        <v>1639</v>
      </c>
      <c r="E443" s="127">
        <v>47472046</v>
      </c>
      <c r="F443" s="126">
        <v>15300043</v>
      </c>
      <c r="G443" s="128">
        <v>1160937</v>
      </c>
      <c r="J443" s="130">
        <v>63933026</v>
      </c>
    </row>
    <row r="444" spans="1:10">
      <c r="A444" t="s">
        <v>841</v>
      </c>
      <c r="B444" t="s">
        <v>842</v>
      </c>
      <c r="D444" t="s">
        <v>1639</v>
      </c>
      <c r="E444" s="127">
        <v>38107821</v>
      </c>
      <c r="F444" s="126">
        <v>11206798</v>
      </c>
      <c r="G444" s="128">
        <v>737400</v>
      </c>
      <c r="J444" s="130">
        <v>50052019</v>
      </c>
    </row>
    <row r="445" spans="1:10">
      <c r="A445" t="s">
        <v>843</v>
      </c>
      <c r="B445" t="s">
        <v>844</v>
      </c>
      <c r="D445" t="s">
        <v>1639</v>
      </c>
      <c r="E445" s="127">
        <v>75490407</v>
      </c>
      <c r="F445" s="126">
        <v>28314549</v>
      </c>
      <c r="G445" s="128">
        <v>1156707</v>
      </c>
      <c r="J445" s="130">
        <v>104961663</v>
      </c>
    </row>
    <row r="446" spans="1:10">
      <c r="A446" t="s">
        <v>1988</v>
      </c>
      <c r="B446" t="s">
        <v>845</v>
      </c>
      <c r="D446" t="s">
        <v>1639</v>
      </c>
      <c r="E446" s="127">
        <v>105127011</v>
      </c>
      <c r="F446" s="126">
        <v>68778157</v>
      </c>
      <c r="G446" s="128">
        <v>17037143</v>
      </c>
      <c r="J446" s="130">
        <v>190942311</v>
      </c>
    </row>
    <row r="447" spans="1:10">
      <c r="A447" t="s">
        <v>846</v>
      </c>
      <c r="B447" t="s">
        <v>847</v>
      </c>
      <c r="D447" t="s">
        <v>1639</v>
      </c>
      <c r="E447" s="127">
        <v>2485733</v>
      </c>
      <c r="F447" s="126">
        <v>13204515</v>
      </c>
      <c r="G447" s="128">
        <v>1162323</v>
      </c>
      <c r="J447" s="130">
        <v>16852571</v>
      </c>
    </row>
    <row r="448" spans="1:10">
      <c r="A448" t="s">
        <v>848</v>
      </c>
      <c r="B448" t="s">
        <v>849</v>
      </c>
      <c r="D448" t="s">
        <v>1639</v>
      </c>
      <c r="E448" s="127">
        <v>5793200</v>
      </c>
      <c r="F448" s="126">
        <v>15500822</v>
      </c>
      <c r="G448" s="128">
        <v>793289</v>
      </c>
      <c r="J448" s="130">
        <v>22087311</v>
      </c>
    </row>
    <row r="449" spans="1:10">
      <c r="A449" t="s">
        <v>850</v>
      </c>
      <c r="B449" t="s">
        <v>851</v>
      </c>
      <c r="D449" t="s">
        <v>1639</v>
      </c>
      <c r="E449" s="127">
        <v>3652181</v>
      </c>
      <c r="F449" s="126">
        <v>4616354</v>
      </c>
      <c r="G449" s="128">
        <v>375009</v>
      </c>
      <c r="J449" s="130">
        <v>8643544</v>
      </c>
    </row>
    <row r="450" spans="1:10">
      <c r="A450" t="s">
        <v>852</v>
      </c>
      <c r="B450" t="s">
        <v>853</v>
      </c>
      <c r="D450" t="s">
        <v>1639</v>
      </c>
      <c r="E450" s="127">
        <v>5367136</v>
      </c>
      <c r="F450" s="126">
        <v>3155204</v>
      </c>
      <c r="G450" s="128">
        <v>245719</v>
      </c>
      <c r="J450" s="130">
        <v>8768059</v>
      </c>
    </row>
    <row r="451" spans="1:10">
      <c r="A451" t="s">
        <v>854</v>
      </c>
      <c r="B451" t="s">
        <v>855</v>
      </c>
      <c r="D451" t="s">
        <v>1639</v>
      </c>
      <c r="E451" s="127">
        <v>4407372</v>
      </c>
      <c r="F451" s="126">
        <v>21029007</v>
      </c>
      <c r="G451" s="128">
        <v>1264037</v>
      </c>
      <c r="J451" s="130">
        <v>26700416</v>
      </c>
    </row>
    <row r="452" spans="1:10">
      <c r="A452" t="s">
        <v>856</v>
      </c>
      <c r="B452" t="s">
        <v>857</v>
      </c>
      <c r="D452" t="s">
        <v>1639</v>
      </c>
      <c r="E452" s="127">
        <v>1863531</v>
      </c>
      <c r="F452" s="126">
        <v>2986543</v>
      </c>
      <c r="G452" s="128">
        <v>211218</v>
      </c>
      <c r="J452" s="130">
        <v>5061292</v>
      </c>
    </row>
    <row r="453" spans="1:10">
      <c r="A453" t="s">
        <v>858</v>
      </c>
      <c r="B453" t="s">
        <v>859</v>
      </c>
      <c r="D453" t="s">
        <v>1639</v>
      </c>
      <c r="E453" s="127">
        <v>2285125</v>
      </c>
      <c r="F453" s="126">
        <v>5735130</v>
      </c>
      <c r="G453" s="128">
        <v>369043</v>
      </c>
      <c r="J453" s="130">
        <v>8389298</v>
      </c>
    </row>
    <row r="454" spans="1:10">
      <c r="A454" t="s">
        <v>860</v>
      </c>
      <c r="B454" t="s">
        <v>861</v>
      </c>
      <c r="D454" t="s">
        <v>1639</v>
      </c>
      <c r="E454" s="127">
        <v>1883230</v>
      </c>
      <c r="F454" s="126">
        <v>7268060</v>
      </c>
      <c r="G454" s="128">
        <v>1120922</v>
      </c>
      <c r="J454" s="130">
        <v>10272212</v>
      </c>
    </row>
    <row r="455" spans="1:10">
      <c r="A455" t="s">
        <v>862</v>
      </c>
      <c r="B455" t="s">
        <v>863</v>
      </c>
      <c r="D455" t="s">
        <v>1639</v>
      </c>
      <c r="E455" s="127">
        <v>2846679</v>
      </c>
      <c r="F455" s="126">
        <v>8305868</v>
      </c>
      <c r="G455" s="128">
        <v>470841</v>
      </c>
      <c r="J455" s="130">
        <v>11623388</v>
      </c>
    </row>
    <row r="456" spans="1:10">
      <c r="A456" t="s">
        <v>864</v>
      </c>
      <c r="B456" t="s">
        <v>865</v>
      </c>
      <c r="D456" t="s">
        <v>1639</v>
      </c>
      <c r="E456" s="127">
        <v>16461902</v>
      </c>
      <c r="F456" s="126">
        <v>22626253</v>
      </c>
      <c r="G456" s="128">
        <v>2085990</v>
      </c>
      <c r="J456" s="130">
        <v>41174145</v>
      </c>
    </row>
    <row r="457" spans="1:10">
      <c r="A457" t="s">
        <v>866</v>
      </c>
      <c r="B457" t="s">
        <v>867</v>
      </c>
      <c r="D457" t="s">
        <v>1639</v>
      </c>
      <c r="E457" s="127">
        <v>2830313</v>
      </c>
      <c r="F457" s="126">
        <v>5244264</v>
      </c>
      <c r="G457" s="128">
        <v>318592</v>
      </c>
      <c r="J457" s="130">
        <v>8393169</v>
      </c>
    </row>
    <row r="458" spans="1:10">
      <c r="A458" t="s">
        <v>868</v>
      </c>
      <c r="B458" t="s">
        <v>869</v>
      </c>
      <c r="D458" t="s">
        <v>1639</v>
      </c>
      <c r="E458" s="127">
        <v>3415992</v>
      </c>
      <c r="F458" s="126">
        <v>12716646</v>
      </c>
      <c r="G458" s="128">
        <v>719316</v>
      </c>
      <c r="J458" s="130">
        <v>16851954</v>
      </c>
    </row>
    <row r="459" spans="1:10">
      <c r="A459" t="s">
        <v>870</v>
      </c>
      <c r="B459" t="s">
        <v>871</v>
      </c>
      <c r="D459" t="s">
        <v>1639</v>
      </c>
      <c r="E459" s="127">
        <v>6548743</v>
      </c>
      <c r="F459" s="126">
        <v>22636720</v>
      </c>
      <c r="G459" s="128">
        <v>1494783</v>
      </c>
      <c r="J459" s="130">
        <v>30680246</v>
      </c>
    </row>
    <row r="460" spans="1:10">
      <c r="A460" t="s">
        <v>872</v>
      </c>
      <c r="B460" t="s">
        <v>873</v>
      </c>
      <c r="D460" t="s">
        <v>1639</v>
      </c>
      <c r="E460" s="127">
        <v>1863612</v>
      </c>
      <c r="F460" s="126">
        <v>7809379</v>
      </c>
      <c r="G460" s="128">
        <v>756313</v>
      </c>
      <c r="J460" s="130">
        <v>10429304</v>
      </c>
    </row>
    <row r="461" spans="1:10">
      <c r="A461" t="s">
        <v>874</v>
      </c>
      <c r="B461" t="s">
        <v>875</v>
      </c>
      <c r="D461" t="s">
        <v>1639</v>
      </c>
      <c r="E461" s="127">
        <v>2511801</v>
      </c>
      <c r="F461" s="126">
        <v>5341951</v>
      </c>
      <c r="G461" s="128">
        <v>312983</v>
      </c>
      <c r="J461" s="130">
        <v>8166735</v>
      </c>
    </row>
    <row r="462" spans="1:10">
      <c r="A462" t="s">
        <v>876</v>
      </c>
      <c r="B462" t="s">
        <v>877</v>
      </c>
      <c r="D462" t="s">
        <v>1639</v>
      </c>
      <c r="E462" s="127">
        <v>8531414</v>
      </c>
      <c r="F462" s="126">
        <v>13759602</v>
      </c>
      <c r="G462" s="128">
        <v>973516</v>
      </c>
      <c r="J462" s="130">
        <v>23264532</v>
      </c>
    </row>
    <row r="463" spans="1:10">
      <c r="A463" t="s">
        <v>878</v>
      </c>
      <c r="B463" t="s">
        <v>879</v>
      </c>
      <c r="D463" t="s">
        <v>1639</v>
      </c>
      <c r="E463" s="127">
        <v>1508385</v>
      </c>
      <c r="F463" s="126">
        <v>8455023</v>
      </c>
      <c r="G463" s="128">
        <v>493835</v>
      </c>
      <c r="J463" s="130">
        <v>10457243</v>
      </c>
    </row>
    <row r="464" spans="1:10">
      <c r="A464" t="s">
        <v>880</v>
      </c>
      <c r="B464" t="s">
        <v>881</v>
      </c>
      <c r="D464" t="s">
        <v>1639</v>
      </c>
      <c r="E464" s="127">
        <v>24426855</v>
      </c>
      <c r="F464" s="126">
        <v>23606349</v>
      </c>
      <c r="G464" s="128">
        <v>1020446</v>
      </c>
      <c r="J464" s="130">
        <v>49053650</v>
      </c>
    </row>
    <row r="465" spans="1:10">
      <c r="A465" t="s">
        <v>2022</v>
      </c>
      <c r="B465" t="s">
        <v>882</v>
      </c>
      <c r="D465" t="s">
        <v>1639</v>
      </c>
      <c r="E465" s="127">
        <v>79427621</v>
      </c>
      <c r="F465" s="126">
        <v>50178685</v>
      </c>
      <c r="G465" s="128">
        <v>2533069</v>
      </c>
      <c r="J465" s="130">
        <v>132139375</v>
      </c>
    </row>
    <row r="466" spans="1:10">
      <c r="A466" t="s">
        <v>883</v>
      </c>
      <c r="B466" t="s">
        <v>884</v>
      </c>
      <c r="D466" t="s">
        <v>1639</v>
      </c>
      <c r="E466" s="127">
        <v>7270072</v>
      </c>
      <c r="F466" s="126">
        <v>10948135</v>
      </c>
      <c r="G466" s="128">
        <v>1012191</v>
      </c>
      <c r="J466" s="130">
        <v>19230398</v>
      </c>
    </row>
    <row r="467" spans="1:10">
      <c r="A467" t="s">
        <v>885</v>
      </c>
      <c r="B467" t="s">
        <v>886</v>
      </c>
      <c r="D467" t="s">
        <v>1639</v>
      </c>
      <c r="E467" s="127">
        <v>1657523</v>
      </c>
      <c r="F467" s="126">
        <v>799326</v>
      </c>
      <c r="G467" s="128">
        <v>96866</v>
      </c>
      <c r="J467" s="130">
        <v>2553715</v>
      </c>
    </row>
    <row r="468" spans="1:10">
      <c r="A468" t="s">
        <v>887</v>
      </c>
      <c r="B468" t="s">
        <v>888</v>
      </c>
      <c r="D468" t="s">
        <v>1639</v>
      </c>
      <c r="E468" s="127">
        <v>6941164</v>
      </c>
      <c r="F468" s="126">
        <v>8350254</v>
      </c>
      <c r="G468" s="128">
        <v>554127</v>
      </c>
      <c r="J468" s="130">
        <v>15845545</v>
      </c>
    </row>
    <row r="469" spans="1:10">
      <c r="A469" t="s">
        <v>889</v>
      </c>
      <c r="B469" t="s">
        <v>890</v>
      </c>
      <c r="D469" t="s">
        <v>1639</v>
      </c>
      <c r="E469" s="127">
        <v>8263255</v>
      </c>
      <c r="F469" s="126">
        <v>10015518</v>
      </c>
      <c r="G469" s="128">
        <v>649212</v>
      </c>
      <c r="J469" s="130">
        <v>18927985</v>
      </c>
    </row>
    <row r="470" spans="1:10">
      <c r="A470" t="s">
        <v>891</v>
      </c>
      <c r="B470" t="s">
        <v>892</v>
      </c>
      <c r="D470" t="s">
        <v>1639</v>
      </c>
      <c r="E470" s="127">
        <v>33336288</v>
      </c>
      <c r="F470" s="126">
        <v>30052012</v>
      </c>
      <c r="G470" s="128">
        <v>2130048</v>
      </c>
      <c r="J470" s="130">
        <v>65518348</v>
      </c>
    </row>
    <row r="471" spans="1:10">
      <c r="A471" t="s">
        <v>893</v>
      </c>
      <c r="B471" t="s">
        <v>894</v>
      </c>
      <c r="D471" t="s">
        <v>1639</v>
      </c>
      <c r="E471" s="127">
        <v>21489232</v>
      </c>
      <c r="F471" s="126">
        <v>25180000</v>
      </c>
      <c r="G471" s="128">
        <v>1106503</v>
      </c>
      <c r="J471" s="130">
        <v>47775735</v>
      </c>
    </row>
    <row r="472" spans="1:10">
      <c r="A472" t="s">
        <v>895</v>
      </c>
      <c r="B472" t="s">
        <v>896</v>
      </c>
      <c r="D472" t="s">
        <v>1639</v>
      </c>
      <c r="E472" s="127">
        <v>11805269</v>
      </c>
      <c r="F472" s="126">
        <v>16572330</v>
      </c>
      <c r="G472" s="128">
        <v>797296</v>
      </c>
      <c r="J472" s="130">
        <v>29174895</v>
      </c>
    </row>
    <row r="473" spans="1:10">
      <c r="A473" t="s">
        <v>897</v>
      </c>
      <c r="B473" t="s">
        <v>898</v>
      </c>
      <c r="D473" t="s">
        <v>1639</v>
      </c>
      <c r="E473" s="127">
        <v>58405967</v>
      </c>
      <c r="F473" s="126">
        <v>36819798</v>
      </c>
      <c r="G473" s="128">
        <v>3172195</v>
      </c>
      <c r="J473" s="130">
        <v>98397960</v>
      </c>
    </row>
    <row r="474" spans="1:10">
      <c r="A474" t="s">
        <v>899</v>
      </c>
      <c r="B474" t="s">
        <v>900</v>
      </c>
      <c r="D474" t="s">
        <v>1639</v>
      </c>
      <c r="E474" s="127">
        <v>6471297</v>
      </c>
      <c r="F474" s="126">
        <v>10669134</v>
      </c>
      <c r="G474" s="128">
        <v>623015</v>
      </c>
      <c r="J474" s="130">
        <v>17763446</v>
      </c>
    </row>
    <row r="475" spans="1:10">
      <c r="A475" t="s">
        <v>901</v>
      </c>
      <c r="B475" t="s">
        <v>902</v>
      </c>
      <c r="D475" t="s">
        <v>1639</v>
      </c>
      <c r="E475" s="127">
        <v>9138603</v>
      </c>
      <c r="F475" s="126">
        <v>6965183</v>
      </c>
      <c r="G475" s="128">
        <v>558217</v>
      </c>
      <c r="J475" s="130">
        <v>16662003</v>
      </c>
    </row>
    <row r="476" spans="1:10">
      <c r="A476" t="s">
        <v>903</v>
      </c>
      <c r="B476" t="s">
        <v>904</v>
      </c>
      <c r="D476" t="s">
        <v>1639</v>
      </c>
      <c r="E476" s="127">
        <v>5601843</v>
      </c>
      <c r="F476" s="126">
        <v>7280288</v>
      </c>
      <c r="G476" s="128">
        <v>438193</v>
      </c>
      <c r="J476" s="130">
        <v>13320324</v>
      </c>
    </row>
    <row r="477" spans="1:10">
      <c r="A477" t="s">
        <v>1885</v>
      </c>
      <c r="B477" t="s">
        <v>905</v>
      </c>
      <c r="D477" t="s">
        <v>1639</v>
      </c>
      <c r="E477" s="127">
        <v>20374944</v>
      </c>
      <c r="F477" s="126">
        <v>21535533</v>
      </c>
      <c r="G477" s="128">
        <v>1305346</v>
      </c>
      <c r="J477" s="130">
        <v>43215823</v>
      </c>
    </row>
    <row r="478" spans="1:10">
      <c r="A478" t="s">
        <v>1887</v>
      </c>
      <c r="B478" t="s">
        <v>906</v>
      </c>
      <c r="D478" t="s">
        <v>1639</v>
      </c>
      <c r="E478" s="127">
        <v>40375342</v>
      </c>
      <c r="F478" s="126">
        <v>18646724</v>
      </c>
      <c r="G478" s="128">
        <v>1071763</v>
      </c>
      <c r="J478" s="130">
        <v>60093829</v>
      </c>
    </row>
    <row r="479" spans="1:10">
      <c r="A479" t="s">
        <v>1889</v>
      </c>
      <c r="B479" t="s">
        <v>907</v>
      </c>
      <c r="D479" t="s">
        <v>1639</v>
      </c>
      <c r="E479" s="127">
        <v>24002530</v>
      </c>
      <c r="F479" s="126">
        <v>15512768</v>
      </c>
      <c r="G479" s="128">
        <v>612135</v>
      </c>
      <c r="J479" s="130">
        <v>40127433</v>
      </c>
    </row>
    <row r="480" spans="1:10">
      <c r="A480" t="s">
        <v>1891</v>
      </c>
      <c r="B480" t="s">
        <v>908</v>
      </c>
      <c r="D480" t="s">
        <v>1639</v>
      </c>
      <c r="E480" s="127">
        <v>16430306</v>
      </c>
      <c r="F480" s="126">
        <v>22804789</v>
      </c>
      <c r="G480" s="128">
        <v>1283232</v>
      </c>
      <c r="J480" s="130">
        <v>40518327</v>
      </c>
    </row>
    <row r="481" spans="1:10">
      <c r="A481" t="s">
        <v>1893</v>
      </c>
      <c r="B481" t="s">
        <v>909</v>
      </c>
      <c r="D481" t="s">
        <v>1639</v>
      </c>
      <c r="E481" s="127">
        <v>45549878</v>
      </c>
      <c r="F481" s="126">
        <v>84053856</v>
      </c>
      <c r="G481" s="128">
        <v>11300501</v>
      </c>
      <c r="J481" s="130">
        <v>140904235</v>
      </c>
    </row>
    <row r="482" spans="1:10">
      <c r="A482" t="s">
        <v>910</v>
      </c>
      <c r="B482" t="s">
        <v>911</v>
      </c>
      <c r="D482" t="s">
        <v>1639</v>
      </c>
      <c r="E482" s="127">
        <v>4954087</v>
      </c>
      <c r="F482" s="126">
        <v>3531022</v>
      </c>
      <c r="G482" s="128">
        <v>287390</v>
      </c>
      <c r="J482" s="130">
        <v>8772499</v>
      </c>
    </row>
    <row r="483" spans="1:10">
      <c r="A483" t="s">
        <v>912</v>
      </c>
      <c r="B483" t="s">
        <v>913</v>
      </c>
      <c r="D483" t="s">
        <v>1639</v>
      </c>
      <c r="E483" s="127">
        <v>1789353</v>
      </c>
      <c r="F483" s="126">
        <v>2889436</v>
      </c>
      <c r="G483" s="128">
        <v>363227</v>
      </c>
      <c r="J483" s="130">
        <v>5042016</v>
      </c>
    </row>
    <row r="484" spans="1:10">
      <c r="A484" t="s">
        <v>914</v>
      </c>
      <c r="B484" t="s">
        <v>915</v>
      </c>
      <c r="D484" t="s">
        <v>1639</v>
      </c>
      <c r="E484" s="127">
        <v>6805642</v>
      </c>
      <c r="F484" s="126">
        <v>11288665</v>
      </c>
      <c r="G484" s="128">
        <v>643568</v>
      </c>
      <c r="J484" s="130">
        <v>18737875</v>
      </c>
    </row>
    <row r="485" spans="1:10">
      <c r="A485" t="s">
        <v>916</v>
      </c>
      <c r="B485" t="s">
        <v>917</v>
      </c>
      <c r="D485" t="s">
        <v>1639</v>
      </c>
      <c r="E485" s="127">
        <v>11456430</v>
      </c>
      <c r="F485" s="126">
        <v>21950702</v>
      </c>
      <c r="G485" s="128">
        <v>1077723</v>
      </c>
      <c r="J485" s="130">
        <v>34484855</v>
      </c>
    </row>
    <row r="486" spans="1:10">
      <c r="A486" t="s">
        <v>918</v>
      </c>
      <c r="B486" t="s">
        <v>919</v>
      </c>
      <c r="D486" t="s">
        <v>1639</v>
      </c>
      <c r="E486" s="127">
        <v>6908799</v>
      </c>
      <c r="F486" s="126">
        <v>10949162</v>
      </c>
      <c r="G486" s="128">
        <v>591046</v>
      </c>
      <c r="J486" s="130">
        <v>18449007</v>
      </c>
    </row>
    <row r="487" spans="1:10">
      <c r="A487" t="s">
        <v>920</v>
      </c>
      <c r="B487" t="s">
        <v>921</v>
      </c>
      <c r="D487" t="s">
        <v>1639</v>
      </c>
      <c r="E487" s="127">
        <v>2099325</v>
      </c>
      <c r="F487" s="126">
        <v>4760402</v>
      </c>
      <c r="G487" s="128">
        <v>290135</v>
      </c>
      <c r="J487" s="130">
        <v>7149862</v>
      </c>
    </row>
    <row r="488" spans="1:10">
      <c r="A488" t="s">
        <v>922</v>
      </c>
      <c r="B488" t="s">
        <v>923</v>
      </c>
      <c r="D488" t="s">
        <v>1639</v>
      </c>
      <c r="E488" s="127">
        <v>3912511</v>
      </c>
      <c r="F488" s="126">
        <v>9107641</v>
      </c>
      <c r="G488" s="128">
        <v>686691</v>
      </c>
      <c r="J488" s="130">
        <v>13706843</v>
      </c>
    </row>
    <row r="489" spans="1:10">
      <c r="A489" t="s">
        <v>662</v>
      </c>
      <c r="B489" t="s">
        <v>663</v>
      </c>
      <c r="D489" t="s">
        <v>1639</v>
      </c>
      <c r="E489" s="127">
        <v>6707494</v>
      </c>
      <c r="F489" s="126">
        <v>14118785</v>
      </c>
      <c r="G489" s="128">
        <v>799714</v>
      </c>
      <c r="J489" s="130">
        <v>21625993</v>
      </c>
    </row>
    <row r="490" spans="1:10">
      <c r="A490" t="s">
        <v>664</v>
      </c>
      <c r="B490" t="s">
        <v>665</v>
      </c>
      <c r="D490" t="s">
        <v>1639</v>
      </c>
      <c r="E490" s="127">
        <v>5614692</v>
      </c>
      <c r="F490" s="126">
        <v>11364904</v>
      </c>
      <c r="G490" s="128">
        <v>628959</v>
      </c>
      <c r="J490" s="130">
        <v>17608555</v>
      </c>
    </row>
    <row r="491" spans="1:10">
      <c r="A491" t="s">
        <v>666</v>
      </c>
      <c r="B491" t="s">
        <v>667</v>
      </c>
      <c r="D491" t="s">
        <v>1639</v>
      </c>
      <c r="E491" s="127">
        <v>3919255</v>
      </c>
      <c r="F491" s="126">
        <v>5499926</v>
      </c>
      <c r="G491" s="128">
        <v>541997</v>
      </c>
      <c r="J491" s="130">
        <v>9961178</v>
      </c>
    </row>
    <row r="492" spans="1:10">
      <c r="A492" t="s">
        <v>668</v>
      </c>
      <c r="B492" t="s">
        <v>669</v>
      </c>
      <c r="D492" t="s">
        <v>1639</v>
      </c>
      <c r="E492" s="127">
        <v>8196603</v>
      </c>
      <c r="F492" s="126">
        <v>12817991</v>
      </c>
      <c r="G492" s="128">
        <v>770340</v>
      </c>
      <c r="J492" s="130">
        <v>21784934</v>
      </c>
    </row>
    <row r="493" spans="1:10">
      <c r="A493" t="s">
        <v>670</v>
      </c>
      <c r="B493" t="s">
        <v>671</v>
      </c>
      <c r="D493" t="s">
        <v>1639</v>
      </c>
      <c r="E493" s="127">
        <v>9270490</v>
      </c>
      <c r="F493" s="126">
        <v>20392044</v>
      </c>
      <c r="G493" s="128">
        <v>1498006</v>
      </c>
      <c r="J493" s="130">
        <v>31160540</v>
      </c>
    </row>
    <row r="494" spans="1:10">
      <c r="A494" t="s">
        <v>672</v>
      </c>
      <c r="B494" t="s">
        <v>673</v>
      </c>
      <c r="D494" t="s">
        <v>1639</v>
      </c>
      <c r="E494" s="127">
        <v>5450481</v>
      </c>
      <c r="F494" s="126">
        <v>14393532</v>
      </c>
      <c r="G494" s="128">
        <v>1681961</v>
      </c>
      <c r="J494" s="130">
        <v>21525974</v>
      </c>
    </row>
    <row r="495" spans="1:10">
      <c r="A495" t="s">
        <v>674</v>
      </c>
      <c r="B495" t="s">
        <v>675</v>
      </c>
      <c r="D495" t="s">
        <v>1639</v>
      </c>
      <c r="E495" s="127">
        <v>2190298</v>
      </c>
      <c r="F495" s="126">
        <v>7505083</v>
      </c>
      <c r="G495" s="128">
        <v>463056</v>
      </c>
      <c r="J495" s="130">
        <v>10158437</v>
      </c>
    </row>
    <row r="496" spans="1:10">
      <c r="A496" t="s">
        <v>676</v>
      </c>
      <c r="B496" t="s">
        <v>677</v>
      </c>
      <c r="D496" t="s">
        <v>1639</v>
      </c>
      <c r="E496" s="127">
        <v>6248435</v>
      </c>
      <c r="F496" s="126">
        <v>20386108</v>
      </c>
      <c r="G496" s="128">
        <v>1184376</v>
      </c>
      <c r="J496" s="130">
        <v>27818919</v>
      </c>
    </row>
    <row r="497" spans="1:10">
      <c r="A497" t="s">
        <v>678</v>
      </c>
      <c r="B497" t="s">
        <v>679</v>
      </c>
      <c r="D497" t="s">
        <v>1639</v>
      </c>
      <c r="E497" s="127">
        <v>1806514</v>
      </c>
      <c r="F497" s="126">
        <v>4507940</v>
      </c>
      <c r="G497" s="128">
        <v>222415</v>
      </c>
      <c r="J497" s="130">
        <v>6536869</v>
      </c>
    </row>
    <row r="498" spans="1:10">
      <c r="A498" t="s">
        <v>680</v>
      </c>
      <c r="B498" t="s">
        <v>681</v>
      </c>
      <c r="D498" t="s">
        <v>1639</v>
      </c>
      <c r="E498" s="127">
        <v>7053680</v>
      </c>
      <c r="F498" s="126">
        <v>13993641</v>
      </c>
      <c r="G498" s="128">
        <v>630072</v>
      </c>
      <c r="J498" s="130">
        <v>21677393</v>
      </c>
    </row>
    <row r="499" spans="1:10">
      <c r="A499" t="s">
        <v>682</v>
      </c>
      <c r="B499" t="s">
        <v>683</v>
      </c>
      <c r="D499" t="s">
        <v>1639</v>
      </c>
      <c r="E499" s="127">
        <v>34881375</v>
      </c>
      <c r="F499" s="126">
        <v>40113328</v>
      </c>
      <c r="G499" s="128">
        <v>3056224</v>
      </c>
      <c r="J499" s="130">
        <v>78050927</v>
      </c>
    </row>
    <row r="500" spans="1:10">
      <c r="A500" t="s">
        <v>684</v>
      </c>
      <c r="B500" t="s">
        <v>685</v>
      </c>
      <c r="D500" t="s">
        <v>1639</v>
      </c>
      <c r="E500" s="127">
        <v>3104930</v>
      </c>
      <c r="F500" s="126">
        <v>15541136</v>
      </c>
      <c r="G500" s="128">
        <v>731083</v>
      </c>
      <c r="J500" s="130">
        <v>19377149</v>
      </c>
    </row>
    <row r="501" spans="1:10">
      <c r="A501" t="s">
        <v>686</v>
      </c>
      <c r="B501" t="s">
        <v>687</v>
      </c>
      <c r="D501" t="s">
        <v>1639</v>
      </c>
      <c r="E501" s="127">
        <v>6076889</v>
      </c>
      <c r="F501" s="126">
        <v>20080898</v>
      </c>
      <c r="G501" s="128">
        <v>2183191</v>
      </c>
      <c r="J501" s="130">
        <v>28340978</v>
      </c>
    </row>
    <row r="502" spans="1:10">
      <c r="A502" t="s">
        <v>688</v>
      </c>
      <c r="B502" t="s">
        <v>689</v>
      </c>
      <c r="D502" t="s">
        <v>1639</v>
      </c>
      <c r="E502" s="127">
        <v>2533097</v>
      </c>
      <c r="F502" s="126">
        <v>5177186</v>
      </c>
      <c r="G502" s="128">
        <v>429670</v>
      </c>
      <c r="J502" s="130">
        <v>8139953</v>
      </c>
    </row>
    <row r="503" spans="1:10">
      <c r="A503" t="s">
        <v>690</v>
      </c>
      <c r="B503" t="s">
        <v>691</v>
      </c>
      <c r="D503" t="s">
        <v>1639</v>
      </c>
      <c r="E503" s="127">
        <v>1911718</v>
      </c>
      <c r="F503" s="126">
        <v>5563809</v>
      </c>
      <c r="G503" s="128">
        <v>351795</v>
      </c>
      <c r="J503" s="130">
        <v>7827322</v>
      </c>
    </row>
    <row r="504" spans="1:10">
      <c r="A504" t="s">
        <v>692</v>
      </c>
      <c r="B504" t="s">
        <v>693</v>
      </c>
      <c r="D504" t="s">
        <v>1639</v>
      </c>
      <c r="E504" s="127">
        <v>1672834</v>
      </c>
      <c r="F504" s="126">
        <v>7034210</v>
      </c>
      <c r="G504" s="128">
        <v>622032</v>
      </c>
      <c r="J504" s="130">
        <v>9329076</v>
      </c>
    </row>
    <row r="505" spans="1:10">
      <c r="A505" t="s">
        <v>694</v>
      </c>
      <c r="B505" t="s">
        <v>695</v>
      </c>
      <c r="D505" t="s">
        <v>1639</v>
      </c>
      <c r="E505" s="127">
        <v>6911361</v>
      </c>
      <c r="F505" s="126">
        <v>4415885</v>
      </c>
      <c r="G505" s="128">
        <v>536801</v>
      </c>
      <c r="J505" s="130">
        <v>11864047</v>
      </c>
    </row>
    <row r="506" spans="1:10">
      <c r="A506" t="s">
        <v>696</v>
      </c>
      <c r="B506" t="s">
        <v>697</v>
      </c>
      <c r="D506" t="s">
        <v>1639</v>
      </c>
      <c r="E506" s="127">
        <v>5378987</v>
      </c>
      <c r="F506" s="126">
        <v>19068854</v>
      </c>
      <c r="G506" s="128">
        <v>1071627</v>
      </c>
      <c r="J506" s="130">
        <v>25519468</v>
      </c>
    </row>
    <row r="507" spans="1:10">
      <c r="A507" t="s">
        <v>698</v>
      </c>
      <c r="B507" t="s">
        <v>699</v>
      </c>
      <c r="D507" t="s">
        <v>1639</v>
      </c>
      <c r="E507" s="127">
        <v>27037456</v>
      </c>
      <c r="F507" s="126">
        <v>11447976</v>
      </c>
      <c r="G507" s="128">
        <v>540931</v>
      </c>
      <c r="J507" s="130">
        <v>39026363</v>
      </c>
    </row>
    <row r="508" spans="1:10">
      <c r="A508" t="s">
        <v>700</v>
      </c>
      <c r="B508" t="s">
        <v>701</v>
      </c>
      <c r="D508" t="s">
        <v>1639</v>
      </c>
      <c r="E508" s="127">
        <v>46303249</v>
      </c>
      <c r="F508" s="126">
        <v>35298027</v>
      </c>
      <c r="G508" s="128">
        <v>1774920</v>
      </c>
      <c r="J508" s="130">
        <v>83376196</v>
      </c>
    </row>
    <row r="509" spans="1:10">
      <c r="A509" t="s">
        <v>702</v>
      </c>
      <c r="B509" t="s">
        <v>703</v>
      </c>
      <c r="D509" t="s">
        <v>1639</v>
      </c>
      <c r="E509" s="127">
        <v>42726171</v>
      </c>
      <c r="F509" s="126">
        <v>51113633</v>
      </c>
      <c r="G509" s="128">
        <v>1873940</v>
      </c>
      <c r="J509" s="130">
        <v>95713744</v>
      </c>
    </row>
    <row r="510" spans="1:10">
      <c r="A510" t="s">
        <v>704</v>
      </c>
      <c r="B510" t="s">
        <v>705</v>
      </c>
      <c r="D510" t="s">
        <v>1639</v>
      </c>
      <c r="E510" s="127">
        <v>61092207</v>
      </c>
      <c r="F510" s="126">
        <v>56766806</v>
      </c>
      <c r="G510" s="128">
        <v>2177247</v>
      </c>
      <c r="J510" s="130">
        <v>120036260</v>
      </c>
    </row>
    <row r="511" spans="1:10">
      <c r="A511" t="s">
        <v>1978</v>
      </c>
      <c r="B511" t="s">
        <v>706</v>
      </c>
      <c r="D511" t="s">
        <v>1639</v>
      </c>
      <c r="E511" s="127">
        <v>42831397</v>
      </c>
      <c r="F511" s="126">
        <v>43290353</v>
      </c>
      <c r="G511" s="128">
        <v>3124613</v>
      </c>
      <c r="J511" s="130">
        <v>89246363</v>
      </c>
    </row>
    <row r="512" spans="1:10">
      <c r="A512" t="s">
        <v>1980</v>
      </c>
      <c r="B512" t="s">
        <v>707</v>
      </c>
      <c r="D512" t="s">
        <v>1639</v>
      </c>
      <c r="E512" s="127">
        <v>40799331</v>
      </c>
      <c r="F512" s="126">
        <v>23604475</v>
      </c>
      <c r="G512" s="128">
        <v>2048976</v>
      </c>
      <c r="J512" s="130">
        <v>66452782</v>
      </c>
    </row>
    <row r="513" spans="1:10">
      <c r="A513" t="s">
        <v>708</v>
      </c>
      <c r="B513" t="s">
        <v>709</v>
      </c>
      <c r="D513" t="s">
        <v>1639</v>
      </c>
      <c r="E513" s="127">
        <v>57244073</v>
      </c>
      <c r="F513" s="126">
        <v>30008873</v>
      </c>
      <c r="G513" s="128">
        <v>1408921</v>
      </c>
      <c r="J513" s="130">
        <v>88661867</v>
      </c>
    </row>
    <row r="514" spans="1:10">
      <c r="A514" t="s">
        <v>1982</v>
      </c>
      <c r="B514" t="s">
        <v>710</v>
      </c>
      <c r="D514" t="s">
        <v>1639</v>
      </c>
      <c r="E514" s="127">
        <v>16858348</v>
      </c>
      <c r="F514" s="126">
        <v>30646638</v>
      </c>
      <c r="G514" s="128">
        <v>3085974</v>
      </c>
      <c r="J514" s="130">
        <v>50590960</v>
      </c>
    </row>
    <row r="515" spans="1:10">
      <c r="A515" t="s">
        <v>711</v>
      </c>
      <c r="B515" t="s">
        <v>712</v>
      </c>
      <c r="D515" t="s">
        <v>1639</v>
      </c>
      <c r="E515" s="127">
        <v>100871256</v>
      </c>
      <c r="F515" s="126">
        <v>46677441</v>
      </c>
      <c r="G515" s="128">
        <v>1907790</v>
      </c>
      <c r="J515" s="130">
        <v>149456487</v>
      </c>
    </row>
    <row r="516" spans="1:10">
      <c r="A516" t="s">
        <v>713</v>
      </c>
      <c r="B516" t="s">
        <v>714</v>
      </c>
      <c r="D516" t="s">
        <v>1639</v>
      </c>
      <c r="E516" s="127">
        <v>35075680</v>
      </c>
      <c r="F516" s="126">
        <v>32664424</v>
      </c>
      <c r="G516" s="128">
        <v>1194461</v>
      </c>
      <c r="J516" s="130">
        <v>68934565</v>
      </c>
    </row>
    <row r="517" spans="1:10">
      <c r="A517" t="s">
        <v>1920</v>
      </c>
      <c r="B517" t="s">
        <v>715</v>
      </c>
      <c r="D517" t="s">
        <v>1639</v>
      </c>
      <c r="E517" s="127">
        <v>138192667</v>
      </c>
      <c r="F517" s="126">
        <v>132816259</v>
      </c>
      <c r="G517" s="128">
        <v>4293470</v>
      </c>
      <c r="J517" s="130">
        <v>275302396</v>
      </c>
    </row>
    <row r="518" spans="1:10">
      <c r="A518" t="s">
        <v>716</v>
      </c>
      <c r="B518" t="s">
        <v>717</v>
      </c>
      <c r="D518" t="s">
        <v>1639</v>
      </c>
      <c r="E518" s="127">
        <v>28076820</v>
      </c>
      <c r="F518" s="126">
        <v>4394077</v>
      </c>
      <c r="G518" s="128">
        <v>334697</v>
      </c>
      <c r="J518" s="130">
        <v>32805594</v>
      </c>
    </row>
    <row r="519" spans="1:10">
      <c r="A519" t="s">
        <v>1896</v>
      </c>
      <c r="B519" t="s">
        <v>718</v>
      </c>
      <c r="D519" t="s">
        <v>1639</v>
      </c>
      <c r="E519" s="127">
        <v>27238253</v>
      </c>
      <c r="F519" s="126">
        <v>20098457</v>
      </c>
      <c r="G519" s="128">
        <v>640725</v>
      </c>
      <c r="J519" s="130">
        <v>47977435</v>
      </c>
    </row>
    <row r="520" spans="1:10">
      <c r="A520" t="s">
        <v>1922</v>
      </c>
      <c r="B520" t="s">
        <v>719</v>
      </c>
      <c r="D520" t="s">
        <v>1639</v>
      </c>
      <c r="E520" s="127">
        <v>30447303</v>
      </c>
      <c r="F520" s="126">
        <v>21148284</v>
      </c>
      <c r="G520" s="128">
        <v>1113938</v>
      </c>
      <c r="J520" s="130">
        <v>52709525</v>
      </c>
    </row>
    <row r="521" spans="1:10">
      <c r="A521" t="s">
        <v>720</v>
      </c>
      <c r="B521" t="s">
        <v>721</v>
      </c>
      <c r="D521" t="s">
        <v>1639</v>
      </c>
      <c r="E521" s="127">
        <v>30598176</v>
      </c>
      <c r="F521" s="126">
        <v>27692416</v>
      </c>
      <c r="G521" s="128">
        <v>1363398</v>
      </c>
      <c r="J521" s="130">
        <v>59653990</v>
      </c>
    </row>
    <row r="522" spans="1:10">
      <c r="A522" t="s">
        <v>1924</v>
      </c>
      <c r="B522" t="s">
        <v>722</v>
      </c>
      <c r="D522" t="s">
        <v>1639</v>
      </c>
      <c r="E522" s="127">
        <v>85072423</v>
      </c>
      <c r="F522" s="126">
        <v>90047188</v>
      </c>
      <c r="G522" s="128">
        <v>3932109</v>
      </c>
      <c r="J522" s="130">
        <v>179051720</v>
      </c>
    </row>
    <row r="523" spans="1:10">
      <c r="A523" t="s">
        <v>1926</v>
      </c>
      <c r="B523" t="s">
        <v>723</v>
      </c>
      <c r="D523" t="s">
        <v>1639</v>
      </c>
      <c r="E523" s="127">
        <v>86728108</v>
      </c>
      <c r="F523" s="126">
        <v>96546000</v>
      </c>
      <c r="G523" s="128">
        <v>4938180</v>
      </c>
      <c r="J523" s="130">
        <v>188212288</v>
      </c>
    </row>
    <row r="524" spans="1:10">
      <c r="A524" t="s">
        <v>1928</v>
      </c>
      <c r="B524" t="s">
        <v>724</v>
      </c>
      <c r="D524" t="s">
        <v>1639</v>
      </c>
      <c r="E524" s="127">
        <v>73681626</v>
      </c>
      <c r="F524" s="126">
        <v>70743774</v>
      </c>
      <c r="G524" s="128">
        <v>3846529</v>
      </c>
      <c r="J524" s="130">
        <v>148271929</v>
      </c>
    </row>
    <row r="525" spans="1:10">
      <c r="A525" t="s">
        <v>1898</v>
      </c>
      <c r="B525" t="s">
        <v>725</v>
      </c>
      <c r="D525" t="s">
        <v>1639</v>
      </c>
      <c r="E525" s="127">
        <v>59734896</v>
      </c>
      <c r="F525" s="126">
        <v>116668243</v>
      </c>
      <c r="G525" s="128">
        <v>6115678</v>
      </c>
      <c r="J525" s="130">
        <v>182518817</v>
      </c>
    </row>
    <row r="526" spans="1:10">
      <c r="A526" t="s">
        <v>1930</v>
      </c>
      <c r="B526" t="s">
        <v>726</v>
      </c>
      <c r="D526" t="s">
        <v>1639</v>
      </c>
      <c r="E526" s="127">
        <v>18367675</v>
      </c>
      <c r="F526" s="126">
        <v>11782117</v>
      </c>
      <c r="G526" s="128">
        <v>707381</v>
      </c>
      <c r="J526" s="130">
        <v>30857173</v>
      </c>
    </row>
    <row r="527" spans="1:10">
      <c r="A527" t="s">
        <v>1932</v>
      </c>
      <c r="B527" t="s">
        <v>727</v>
      </c>
      <c r="D527" t="s">
        <v>1639</v>
      </c>
      <c r="E527" s="127">
        <v>16214729</v>
      </c>
      <c r="F527" s="126">
        <v>8157058</v>
      </c>
      <c r="G527" s="128">
        <v>305913</v>
      </c>
      <c r="J527" s="130">
        <v>24677700</v>
      </c>
    </row>
    <row r="528" spans="1:10">
      <c r="A528" t="s">
        <v>1934</v>
      </c>
      <c r="B528" t="s">
        <v>728</v>
      </c>
      <c r="D528" t="s">
        <v>1639</v>
      </c>
      <c r="E528" s="127">
        <v>44026468</v>
      </c>
      <c r="F528" s="126">
        <v>46863127</v>
      </c>
      <c r="G528" s="128">
        <v>4130519</v>
      </c>
      <c r="J528" s="130">
        <v>95020114</v>
      </c>
    </row>
    <row r="529" spans="1:10">
      <c r="A529" t="s">
        <v>1900</v>
      </c>
      <c r="B529" t="s">
        <v>729</v>
      </c>
      <c r="D529" t="s">
        <v>1639</v>
      </c>
      <c r="E529" s="127">
        <v>49070897</v>
      </c>
      <c r="F529" s="126">
        <v>2693681</v>
      </c>
      <c r="G529" s="128">
        <v>657572</v>
      </c>
      <c r="J529" s="130">
        <v>52422150</v>
      </c>
    </row>
    <row r="530" spans="1:10">
      <c r="A530" t="s">
        <v>730</v>
      </c>
      <c r="B530" t="s">
        <v>731</v>
      </c>
      <c r="D530" t="s">
        <v>1639</v>
      </c>
      <c r="E530" s="127">
        <v>6198644</v>
      </c>
      <c r="F530" s="126">
        <v>289827</v>
      </c>
      <c r="G530" s="128">
        <v>89208</v>
      </c>
      <c r="J530" s="130">
        <v>6577679</v>
      </c>
    </row>
    <row r="531" spans="1:10">
      <c r="A531" t="s">
        <v>1904</v>
      </c>
      <c r="B531" t="s">
        <v>732</v>
      </c>
      <c r="D531" t="s">
        <v>1639</v>
      </c>
      <c r="E531" s="127">
        <v>16571686</v>
      </c>
      <c r="F531" s="126">
        <v>1387352</v>
      </c>
      <c r="G531" s="128">
        <v>260082</v>
      </c>
      <c r="J531" s="130">
        <v>18219120</v>
      </c>
    </row>
    <row r="532" spans="1:10">
      <c r="A532" t="s">
        <v>1906</v>
      </c>
      <c r="B532" t="s">
        <v>733</v>
      </c>
      <c r="D532" t="s">
        <v>1639</v>
      </c>
      <c r="E532" s="127">
        <v>25023627</v>
      </c>
      <c r="F532" s="126">
        <v>2337825</v>
      </c>
      <c r="G532" s="128">
        <v>227350</v>
      </c>
      <c r="J532" s="130">
        <v>27588802</v>
      </c>
    </row>
    <row r="533" spans="1:10">
      <c r="A533" t="s">
        <v>1908</v>
      </c>
      <c r="B533" t="s">
        <v>734</v>
      </c>
      <c r="D533" t="s">
        <v>1639</v>
      </c>
      <c r="E533" s="127">
        <v>12131654</v>
      </c>
      <c r="F533" s="126">
        <v>844714</v>
      </c>
      <c r="G533" s="128">
        <v>168365</v>
      </c>
      <c r="J533" s="130">
        <v>13144733</v>
      </c>
    </row>
    <row r="534" spans="1:10">
      <c r="A534" t="s">
        <v>735</v>
      </c>
      <c r="B534" t="s">
        <v>736</v>
      </c>
      <c r="D534" t="s">
        <v>1639</v>
      </c>
      <c r="E534" s="127">
        <v>28634208</v>
      </c>
      <c r="F534" s="126">
        <v>14712877</v>
      </c>
      <c r="G534" s="128">
        <v>667222</v>
      </c>
      <c r="J534" s="130">
        <v>44014307</v>
      </c>
    </row>
    <row r="535" spans="1:10">
      <c r="A535" t="s">
        <v>737</v>
      </c>
      <c r="B535" t="s">
        <v>738</v>
      </c>
      <c r="D535" t="s">
        <v>1639</v>
      </c>
      <c r="E535" s="127">
        <v>42377616</v>
      </c>
      <c r="F535" s="126">
        <v>4857953</v>
      </c>
      <c r="G535" s="128">
        <v>349202</v>
      </c>
      <c r="J535" s="130">
        <v>47584771</v>
      </c>
    </row>
    <row r="536" spans="1:10">
      <c r="A536" t="s">
        <v>739</v>
      </c>
      <c r="B536" t="s">
        <v>740</v>
      </c>
      <c r="D536" t="s">
        <v>1639</v>
      </c>
      <c r="E536" s="127">
        <v>77283436</v>
      </c>
      <c r="F536" s="126">
        <v>19526356</v>
      </c>
      <c r="G536" s="128">
        <v>2305108</v>
      </c>
      <c r="J536" s="130">
        <v>99114900</v>
      </c>
    </row>
    <row r="537" spans="1:10">
      <c r="A537" t="s">
        <v>741</v>
      </c>
      <c r="B537" t="s">
        <v>742</v>
      </c>
      <c r="D537" t="s">
        <v>1639</v>
      </c>
      <c r="E537" s="127">
        <v>109925715</v>
      </c>
      <c r="F537" s="126">
        <v>18285934</v>
      </c>
      <c r="G537" s="128">
        <v>2140904</v>
      </c>
      <c r="J537" s="130">
        <v>130352553</v>
      </c>
    </row>
    <row r="538" spans="1:10">
      <c r="A538" t="s">
        <v>743</v>
      </c>
      <c r="B538" t="s">
        <v>744</v>
      </c>
      <c r="D538" t="s">
        <v>1639</v>
      </c>
      <c r="E538" s="127">
        <v>150938515</v>
      </c>
      <c r="F538" s="126">
        <v>34327471</v>
      </c>
      <c r="G538" s="128">
        <v>2894306</v>
      </c>
      <c r="J538" s="130">
        <v>188160292</v>
      </c>
    </row>
    <row r="539" spans="1:10">
      <c r="A539" t="s">
        <v>745</v>
      </c>
      <c r="B539" t="s">
        <v>746</v>
      </c>
      <c r="D539" t="s">
        <v>1639</v>
      </c>
      <c r="E539" s="127">
        <v>44834151</v>
      </c>
      <c r="F539" s="126">
        <v>18055802</v>
      </c>
      <c r="G539" s="128">
        <v>947662</v>
      </c>
      <c r="J539" s="130">
        <v>63837615</v>
      </c>
    </row>
    <row r="540" spans="1:10">
      <c r="A540" t="s">
        <v>747</v>
      </c>
      <c r="B540" t="s">
        <v>748</v>
      </c>
      <c r="D540" t="s">
        <v>1639</v>
      </c>
      <c r="E540" s="127">
        <v>95151199</v>
      </c>
      <c r="F540" s="126">
        <v>39230995</v>
      </c>
      <c r="G540" s="128">
        <v>2082880</v>
      </c>
      <c r="J540" s="130">
        <v>136465074</v>
      </c>
    </row>
    <row r="541" spans="1:10">
      <c r="A541" t="s">
        <v>1936</v>
      </c>
      <c r="B541" t="s">
        <v>749</v>
      </c>
      <c r="D541" t="s">
        <v>1639</v>
      </c>
      <c r="E541" s="127">
        <v>82853582</v>
      </c>
      <c r="F541" s="126">
        <v>35830373</v>
      </c>
      <c r="G541" s="128">
        <v>2044337</v>
      </c>
      <c r="J541" s="130">
        <v>120728292</v>
      </c>
    </row>
    <row r="542" spans="1:10">
      <c r="A542" t="s">
        <v>750</v>
      </c>
      <c r="B542" t="s">
        <v>751</v>
      </c>
      <c r="D542" t="s">
        <v>1639</v>
      </c>
      <c r="E542" s="127">
        <v>68864115</v>
      </c>
      <c r="F542" s="126">
        <v>42242167</v>
      </c>
      <c r="G542" s="128">
        <v>3627328</v>
      </c>
      <c r="J542" s="130">
        <v>114733610</v>
      </c>
    </row>
    <row r="543" spans="1:10">
      <c r="A543" t="s">
        <v>752</v>
      </c>
      <c r="B543" t="s">
        <v>753</v>
      </c>
      <c r="D543" t="s">
        <v>1639</v>
      </c>
      <c r="E543" s="127">
        <v>35730012</v>
      </c>
      <c r="F543" s="126">
        <v>23363809</v>
      </c>
      <c r="G543" s="128">
        <v>1238680</v>
      </c>
      <c r="J543" s="130">
        <v>60332501</v>
      </c>
    </row>
    <row r="544" spans="1:10">
      <c r="A544" t="s">
        <v>754</v>
      </c>
      <c r="B544" t="s">
        <v>755</v>
      </c>
      <c r="D544" t="s">
        <v>1639</v>
      </c>
      <c r="E544" s="127">
        <v>49222253</v>
      </c>
      <c r="F544" s="126">
        <v>41400255</v>
      </c>
      <c r="G544" s="128">
        <v>3036658</v>
      </c>
      <c r="J544" s="130">
        <v>93659166</v>
      </c>
    </row>
    <row r="545" spans="1:10">
      <c r="A545" t="s">
        <v>756</v>
      </c>
      <c r="B545" t="s">
        <v>757</v>
      </c>
      <c r="D545" t="s">
        <v>1639</v>
      </c>
      <c r="E545" s="127">
        <v>39936478</v>
      </c>
      <c r="F545" s="126">
        <v>28195933</v>
      </c>
      <c r="G545" s="128">
        <v>995846</v>
      </c>
      <c r="J545" s="130">
        <v>69128257</v>
      </c>
    </row>
    <row r="546" spans="1:10">
      <c r="A546" t="s">
        <v>758</v>
      </c>
      <c r="B546" t="s">
        <v>759</v>
      </c>
      <c r="D546" t="s">
        <v>1639</v>
      </c>
      <c r="E546" s="127">
        <v>30716962</v>
      </c>
      <c r="F546" s="126">
        <v>19011229</v>
      </c>
      <c r="G546" s="128">
        <v>554537</v>
      </c>
      <c r="J546" s="130">
        <v>50282728</v>
      </c>
    </row>
    <row r="547" spans="1:10">
      <c r="A547" t="s">
        <v>760</v>
      </c>
      <c r="B547" t="s">
        <v>761</v>
      </c>
      <c r="D547" t="s">
        <v>1639</v>
      </c>
      <c r="E547" s="127">
        <v>63838815</v>
      </c>
      <c r="F547" s="126">
        <v>16599946</v>
      </c>
      <c r="G547" s="128">
        <v>1129402</v>
      </c>
      <c r="J547" s="130">
        <v>81568163</v>
      </c>
    </row>
    <row r="548" spans="1:10">
      <c r="A548" t="s">
        <v>762</v>
      </c>
      <c r="B548" t="s">
        <v>763</v>
      </c>
      <c r="D548" t="s">
        <v>1639</v>
      </c>
      <c r="E548" s="127">
        <v>87229726</v>
      </c>
      <c r="F548" s="126">
        <v>51315122</v>
      </c>
      <c r="G548" s="128">
        <v>1786406</v>
      </c>
      <c r="J548" s="130">
        <v>140331254</v>
      </c>
    </row>
    <row r="549" spans="1:10">
      <c r="A549" t="s">
        <v>764</v>
      </c>
      <c r="B549" t="s">
        <v>765</v>
      </c>
      <c r="D549" t="s">
        <v>1639</v>
      </c>
      <c r="E549" s="127">
        <v>53562626</v>
      </c>
      <c r="F549" s="126">
        <v>40596879</v>
      </c>
      <c r="G549" s="128">
        <v>197496</v>
      </c>
      <c r="J549" s="130">
        <v>94357001</v>
      </c>
    </row>
    <row r="550" spans="1:10">
      <c r="A550" t="s">
        <v>766</v>
      </c>
      <c r="B550" t="s">
        <v>767</v>
      </c>
      <c r="D550" t="s">
        <v>1639</v>
      </c>
      <c r="E550" s="127">
        <v>75783274</v>
      </c>
      <c r="F550" s="126">
        <v>183968770</v>
      </c>
      <c r="G550" s="128">
        <v>12217222</v>
      </c>
      <c r="J550" s="130">
        <v>271969266</v>
      </c>
    </row>
    <row r="551" spans="1:10">
      <c r="A551" t="s">
        <v>768</v>
      </c>
      <c r="B551" t="s">
        <v>769</v>
      </c>
      <c r="D551" t="s">
        <v>1639</v>
      </c>
      <c r="E551" s="127">
        <v>65440427</v>
      </c>
      <c r="F551" s="126">
        <v>77110468</v>
      </c>
      <c r="G551" s="128">
        <v>6598965</v>
      </c>
      <c r="J551" s="130">
        <v>149149860</v>
      </c>
    </row>
    <row r="552" spans="1:10">
      <c r="A552" t="s">
        <v>770</v>
      </c>
      <c r="B552" t="s">
        <v>771</v>
      </c>
      <c r="D552" t="s">
        <v>1639</v>
      </c>
      <c r="E552" s="127">
        <v>4454344</v>
      </c>
      <c r="F552" s="126">
        <v>277713</v>
      </c>
      <c r="G552" s="128">
        <v>44524</v>
      </c>
      <c r="J552" s="130">
        <v>4776581</v>
      </c>
    </row>
    <row r="553" spans="1:10">
      <c r="A553" t="s">
        <v>1938</v>
      </c>
      <c r="B553" t="s">
        <v>772</v>
      </c>
      <c r="D553" t="s">
        <v>1639</v>
      </c>
      <c r="E553" s="127">
        <v>34703948</v>
      </c>
      <c r="F553" s="126">
        <v>10707460</v>
      </c>
      <c r="G553" s="128">
        <v>585738</v>
      </c>
      <c r="J553" s="130">
        <v>45997146</v>
      </c>
    </row>
    <row r="554" spans="1:10">
      <c r="A554" t="s">
        <v>1940</v>
      </c>
      <c r="B554" t="s">
        <v>773</v>
      </c>
      <c r="D554" t="s">
        <v>1639</v>
      </c>
      <c r="E554" s="127">
        <v>67732940</v>
      </c>
      <c r="F554" s="126">
        <v>27274658</v>
      </c>
      <c r="G554" s="128">
        <v>3139949</v>
      </c>
      <c r="J554" s="130">
        <v>98147547</v>
      </c>
    </row>
    <row r="555" spans="1:10">
      <c r="A555" t="s">
        <v>1910</v>
      </c>
      <c r="B555" t="s">
        <v>774</v>
      </c>
      <c r="D555" t="s">
        <v>1639</v>
      </c>
      <c r="E555" s="127">
        <v>7703750</v>
      </c>
      <c r="F555" s="126">
        <v>681575</v>
      </c>
      <c r="G555" s="128">
        <v>82223</v>
      </c>
      <c r="J555" s="130">
        <v>8467548</v>
      </c>
    </row>
    <row r="556" spans="1:10">
      <c r="A556" t="s">
        <v>775</v>
      </c>
      <c r="B556" t="s">
        <v>776</v>
      </c>
      <c r="D556" t="s">
        <v>1639</v>
      </c>
      <c r="E556" s="127">
        <v>138544382</v>
      </c>
      <c r="F556" s="126">
        <v>50815805</v>
      </c>
      <c r="G556" s="128">
        <v>2830704</v>
      </c>
      <c r="J556" s="130">
        <v>192190891</v>
      </c>
    </row>
    <row r="557" spans="1:10">
      <c r="A557" t="s">
        <v>777</v>
      </c>
      <c r="B557" t="s">
        <v>778</v>
      </c>
      <c r="D557" t="s">
        <v>1639</v>
      </c>
      <c r="E557" s="127">
        <v>46087851</v>
      </c>
      <c r="F557" s="126">
        <v>18588156</v>
      </c>
      <c r="G557" s="128">
        <v>1375030</v>
      </c>
      <c r="J557" s="130">
        <v>66051037</v>
      </c>
    </row>
    <row r="558" spans="1:10">
      <c r="A558" t="s">
        <v>779</v>
      </c>
      <c r="B558" t="s">
        <v>780</v>
      </c>
      <c r="D558" t="s">
        <v>1639</v>
      </c>
      <c r="E558" s="127">
        <v>8845192</v>
      </c>
      <c r="F558" s="126">
        <v>600191</v>
      </c>
      <c r="G558" s="128">
        <v>74678</v>
      </c>
      <c r="J558" s="130">
        <v>9520061</v>
      </c>
    </row>
    <row r="559" spans="1:10">
      <c r="A559" t="s">
        <v>1942</v>
      </c>
      <c r="B559" t="s">
        <v>781</v>
      </c>
      <c r="D559" t="s">
        <v>1639</v>
      </c>
      <c r="E559" s="127">
        <v>38319911</v>
      </c>
      <c r="F559" s="126">
        <v>2522710</v>
      </c>
      <c r="G559" s="128">
        <v>502270</v>
      </c>
      <c r="J559" s="130">
        <v>41344891</v>
      </c>
    </row>
    <row r="560" spans="1:10">
      <c r="A560" t="s">
        <v>782</v>
      </c>
      <c r="B560" t="s">
        <v>783</v>
      </c>
      <c r="D560" t="s">
        <v>1639</v>
      </c>
      <c r="E560" s="127">
        <v>5529907</v>
      </c>
      <c r="F560" s="126">
        <v>270694</v>
      </c>
      <c r="G560" s="128">
        <v>50442</v>
      </c>
      <c r="J560" s="130">
        <v>5851043</v>
      </c>
    </row>
    <row r="561" spans="1:10">
      <c r="A561" t="s">
        <v>1912</v>
      </c>
      <c r="B561" t="s">
        <v>784</v>
      </c>
      <c r="D561" t="s">
        <v>1639</v>
      </c>
      <c r="E561" s="127">
        <v>27685696</v>
      </c>
      <c r="F561" s="126">
        <v>5754435</v>
      </c>
      <c r="G561" s="128">
        <v>797671</v>
      </c>
      <c r="J561" s="130">
        <v>34237802</v>
      </c>
    </row>
    <row r="562" spans="1:10">
      <c r="A562" t="s">
        <v>1914</v>
      </c>
      <c r="B562" t="s">
        <v>785</v>
      </c>
      <c r="D562" t="s">
        <v>1639</v>
      </c>
      <c r="E562" s="127">
        <v>46314638</v>
      </c>
      <c r="F562" s="126">
        <v>2976877</v>
      </c>
      <c r="G562" s="128">
        <v>767315</v>
      </c>
      <c r="J562" s="130">
        <v>50058830</v>
      </c>
    </row>
    <row r="563" spans="1:10">
      <c r="A563" t="s">
        <v>1916</v>
      </c>
      <c r="B563" t="s">
        <v>786</v>
      </c>
      <c r="D563" t="s">
        <v>1639</v>
      </c>
      <c r="E563" s="127">
        <v>5481005</v>
      </c>
      <c r="F563" s="126">
        <v>561166</v>
      </c>
      <c r="G563" s="128">
        <v>298550</v>
      </c>
      <c r="J563" s="130">
        <v>6340721</v>
      </c>
    </row>
    <row r="564" spans="1:10">
      <c r="A564" t="s">
        <v>1944</v>
      </c>
      <c r="B564" t="s">
        <v>787</v>
      </c>
      <c r="D564" t="s">
        <v>1639</v>
      </c>
      <c r="E564" s="127">
        <v>35268687</v>
      </c>
      <c r="F564" s="126">
        <v>31380229</v>
      </c>
      <c r="G564" s="128">
        <v>1124585</v>
      </c>
      <c r="J564" s="130">
        <v>67773501</v>
      </c>
    </row>
    <row r="565" spans="1:10">
      <c r="A565" t="s">
        <v>788</v>
      </c>
      <c r="B565" t="s">
        <v>789</v>
      </c>
      <c r="D565" t="s">
        <v>1639</v>
      </c>
      <c r="E565" s="127">
        <v>11560004</v>
      </c>
      <c r="F565" s="126">
        <v>1093745</v>
      </c>
      <c r="G565" s="128">
        <v>143142</v>
      </c>
      <c r="J565" s="130">
        <v>12796891</v>
      </c>
    </row>
    <row r="566" spans="1:10">
      <c r="A566" t="s">
        <v>1946</v>
      </c>
      <c r="B566" t="s">
        <v>790</v>
      </c>
      <c r="D566" t="s">
        <v>1639</v>
      </c>
      <c r="E566" s="127">
        <v>15677264</v>
      </c>
      <c r="F566" s="126">
        <v>2134301</v>
      </c>
      <c r="G566" s="128">
        <v>205319</v>
      </c>
      <c r="J566" s="130">
        <v>18016884</v>
      </c>
    </row>
    <row r="567" spans="1:10">
      <c r="A567" t="s">
        <v>524</v>
      </c>
      <c r="B567" t="s">
        <v>525</v>
      </c>
      <c r="D567" t="s">
        <v>1639</v>
      </c>
      <c r="E567" s="127">
        <v>4448447</v>
      </c>
      <c r="F567" s="126">
        <v>592857</v>
      </c>
      <c r="G567" s="128">
        <v>113901</v>
      </c>
      <c r="J567" s="130">
        <v>5155205</v>
      </c>
    </row>
    <row r="568" spans="1:10">
      <c r="A568" t="s">
        <v>526</v>
      </c>
      <c r="B568" t="s">
        <v>527</v>
      </c>
      <c r="D568" t="s">
        <v>1639</v>
      </c>
      <c r="E568" s="127">
        <v>2882046</v>
      </c>
      <c r="F568" s="126">
        <v>166328</v>
      </c>
      <c r="G568" s="128">
        <v>26467</v>
      </c>
      <c r="J568" s="130">
        <v>3074841</v>
      </c>
    </row>
    <row r="569" spans="1:10">
      <c r="A569" t="s">
        <v>528</v>
      </c>
      <c r="B569" t="s">
        <v>529</v>
      </c>
      <c r="D569" t="s">
        <v>1639</v>
      </c>
      <c r="E569" s="127">
        <v>19524268</v>
      </c>
      <c r="F569" s="126">
        <v>2928937</v>
      </c>
      <c r="G569" s="128">
        <v>333692</v>
      </c>
      <c r="J569" s="130">
        <v>22786897</v>
      </c>
    </row>
    <row r="570" spans="1:10">
      <c r="A570" t="s">
        <v>1918</v>
      </c>
      <c r="B570" t="s">
        <v>530</v>
      </c>
      <c r="D570" t="s">
        <v>1639</v>
      </c>
      <c r="E570" s="127">
        <v>10557058</v>
      </c>
      <c r="F570" s="126">
        <v>1890497</v>
      </c>
      <c r="G570" s="128">
        <v>596425</v>
      </c>
      <c r="J570" s="130">
        <v>13043980</v>
      </c>
    </row>
    <row r="571" spans="1:10">
      <c r="A571" t="s">
        <v>531</v>
      </c>
      <c r="B571" t="s">
        <v>532</v>
      </c>
      <c r="D571" t="s">
        <v>1639</v>
      </c>
      <c r="E571" s="127">
        <v>26824156</v>
      </c>
      <c r="F571" s="126">
        <v>4208760</v>
      </c>
      <c r="G571" s="128">
        <v>512020</v>
      </c>
      <c r="J571" s="130">
        <v>31544936</v>
      </c>
    </row>
    <row r="572" spans="1:10">
      <c r="A572" t="s">
        <v>533</v>
      </c>
      <c r="B572" t="s">
        <v>534</v>
      </c>
      <c r="D572" t="s">
        <v>1639</v>
      </c>
      <c r="E572" s="127">
        <v>15259873</v>
      </c>
      <c r="F572" s="126">
        <v>14500460</v>
      </c>
      <c r="G572" s="128">
        <v>1805623</v>
      </c>
      <c r="J572" s="130">
        <v>31565956</v>
      </c>
    </row>
    <row r="573" spans="1:10">
      <c r="A573" t="s">
        <v>535</v>
      </c>
      <c r="B573" t="s">
        <v>536</v>
      </c>
      <c r="D573" t="s">
        <v>1639</v>
      </c>
      <c r="E573" s="127">
        <v>9378046</v>
      </c>
      <c r="F573" s="126">
        <v>5414483</v>
      </c>
      <c r="G573" s="128">
        <v>746203</v>
      </c>
      <c r="J573" s="130">
        <v>15538732</v>
      </c>
    </row>
    <row r="574" spans="1:10">
      <c r="A574" t="s">
        <v>537</v>
      </c>
      <c r="B574" t="s">
        <v>538</v>
      </c>
      <c r="D574" t="s">
        <v>1639</v>
      </c>
      <c r="E574" s="127">
        <v>17707898</v>
      </c>
      <c r="F574" s="126">
        <v>18840820</v>
      </c>
      <c r="G574" s="128">
        <v>1361329</v>
      </c>
      <c r="J574" s="130">
        <v>37910047</v>
      </c>
    </row>
    <row r="575" spans="1:10">
      <c r="A575" t="s">
        <v>539</v>
      </c>
      <c r="B575" t="s">
        <v>540</v>
      </c>
      <c r="D575" t="s">
        <v>1639</v>
      </c>
      <c r="E575" s="127">
        <v>17288824</v>
      </c>
      <c r="F575" s="126">
        <v>8676643</v>
      </c>
      <c r="G575" s="128">
        <v>722358</v>
      </c>
      <c r="J575" s="130">
        <v>26687825</v>
      </c>
    </row>
    <row r="576" spans="1:10">
      <c r="A576" t="s">
        <v>541</v>
      </c>
      <c r="B576" t="s">
        <v>542</v>
      </c>
      <c r="D576" t="s">
        <v>1639</v>
      </c>
      <c r="E576" s="127">
        <v>3654818</v>
      </c>
      <c r="F576" s="126">
        <v>2647934</v>
      </c>
      <c r="G576" s="128">
        <v>582754</v>
      </c>
      <c r="J576" s="130">
        <v>6885506</v>
      </c>
    </row>
    <row r="577" spans="1:10">
      <c r="A577" t="s">
        <v>543</v>
      </c>
      <c r="B577" t="s">
        <v>544</v>
      </c>
      <c r="D577" t="s">
        <v>1639</v>
      </c>
      <c r="E577" s="127">
        <v>6518531</v>
      </c>
      <c r="F577" s="126">
        <v>5944200</v>
      </c>
      <c r="G577" s="128">
        <v>591763</v>
      </c>
      <c r="J577" s="130">
        <v>13054494</v>
      </c>
    </row>
    <row r="578" spans="1:10">
      <c r="A578" t="s">
        <v>545</v>
      </c>
      <c r="B578" t="s">
        <v>546</v>
      </c>
      <c r="D578" t="s">
        <v>1639</v>
      </c>
      <c r="E578" s="127">
        <v>36096902</v>
      </c>
      <c r="F578" s="126">
        <v>27379125</v>
      </c>
      <c r="G578" s="128">
        <v>3554985</v>
      </c>
      <c r="J578" s="130">
        <v>67031012</v>
      </c>
    </row>
    <row r="579" spans="1:10">
      <c r="A579" t="s">
        <v>547</v>
      </c>
      <c r="B579" t="s">
        <v>548</v>
      </c>
      <c r="D579" t="s">
        <v>1639</v>
      </c>
      <c r="E579" s="127">
        <v>15435523</v>
      </c>
      <c r="F579" s="126">
        <v>16624449</v>
      </c>
      <c r="G579" s="128">
        <v>907529</v>
      </c>
      <c r="J579" s="130">
        <v>32967501</v>
      </c>
    </row>
    <row r="580" spans="1:10">
      <c r="A580" t="s">
        <v>549</v>
      </c>
      <c r="B580" t="s">
        <v>550</v>
      </c>
      <c r="D580" t="s">
        <v>1639</v>
      </c>
      <c r="E580" s="127">
        <v>5773681</v>
      </c>
      <c r="F580" s="126">
        <v>14881679</v>
      </c>
      <c r="G580" s="128">
        <v>1089415</v>
      </c>
      <c r="J580" s="130">
        <v>21744775</v>
      </c>
    </row>
    <row r="581" spans="1:10">
      <c r="A581" t="s">
        <v>551</v>
      </c>
      <c r="B581" t="s">
        <v>552</v>
      </c>
      <c r="D581" t="s">
        <v>1639</v>
      </c>
      <c r="E581" s="127">
        <v>3482903</v>
      </c>
      <c r="F581" s="126">
        <v>10714097</v>
      </c>
      <c r="G581" s="128">
        <v>906854</v>
      </c>
      <c r="J581" s="130">
        <v>15103854</v>
      </c>
    </row>
    <row r="582" spans="1:10">
      <c r="A582" t="s">
        <v>553</v>
      </c>
      <c r="B582" t="s">
        <v>554</v>
      </c>
      <c r="D582" t="s">
        <v>1639</v>
      </c>
      <c r="E582" s="127">
        <v>5700008</v>
      </c>
      <c r="F582" s="126">
        <v>16554621</v>
      </c>
      <c r="G582" s="128">
        <v>1315050</v>
      </c>
      <c r="J582" s="130">
        <v>23569679</v>
      </c>
    </row>
    <row r="583" spans="1:10">
      <c r="A583" t="s">
        <v>555</v>
      </c>
      <c r="B583" t="s">
        <v>556</v>
      </c>
      <c r="D583" t="s">
        <v>1639</v>
      </c>
      <c r="E583" s="127">
        <v>16281812</v>
      </c>
      <c r="F583" s="126">
        <v>20708093</v>
      </c>
      <c r="G583" s="128">
        <v>1188519</v>
      </c>
      <c r="J583" s="130">
        <v>38178424</v>
      </c>
    </row>
    <row r="584" spans="1:10">
      <c r="A584" t="s">
        <v>557</v>
      </c>
      <c r="B584" t="s">
        <v>558</v>
      </c>
      <c r="D584" t="s">
        <v>1639</v>
      </c>
      <c r="E584" s="127">
        <v>4096794</v>
      </c>
      <c r="F584" s="126">
        <v>11986854</v>
      </c>
      <c r="G584" s="128">
        <v>558241</v>
      </c>
      <c r="J584" s="130">
        <v>16641889</v>
      </c>
    </row>
    <row r="585" spans="1:10">
      <c r="A585" t="s">
        <v>559</v>
      </c>
      <c r="B585" t="s">
        <v>560</v>
      </c>
      <c r="D585" t="s">
        <v>1639</v>
      </c>
      <c r="E585" s="127">
        <v>2329332</v>
      </c>
      <c r="F585" s="126">
        <v>10738496</v>
      </c>
      <c r="G585" s="128">
        <v>531545</v>
      </c>
      <c r="J585" s="130">
        <v>13599373</v>
      </c>
    </row>
    <row r="586" spans="1:10">
      <c r="A586" t="s">
        <v>561</v>
      </c>
      <c r="B586" t="s">
        <v>562</v>
      </c>
      <c r="D586" t="s">
        <v>1639</v>
      </c>
      <c r="E586" s="127">
        <v>12201520</v>
      </c>
      <c r="F586" s="126">
        <v>18526431</v>
      </c>
      <c r="G586" s="128">
        <v>1112134</v>
      </c>
      <c r="J586" s="130">
        <v>31840085</v>
      </c>
    </row>
    <row r="587" spans="1:10">
      <c r="A587" t="s">
        <v>563</v>
      </c>
      <c r="B587" t="s">
        <v>564</v>
      </c>
      <c r="D587" t="s">
        <v>1639</v>
      </c>
      <c r="E587" s="127">
        <v>3620892</v>
      </c>
      <c r="F587" s="126">
        <v>10801348</v>
      </c>
      <c r="G587" s="128">
        <v>768195</v>
      </c>
      <c r="J587" s="130">
        <v>15190435</v>
      </c>
    </row>
    <row r="588" spans="1:10">
      <c r="A588" t="s">
        <v>565</v>
      </c>
      <c r="B588" t="s">
        <v>566</v>
      </c>
      <c r="D588" t="s">
        <v>1639</v>
      </c>
      <c r="E588" s="127">
        <v>59714376</v>
      </c>
      <c r="F588" s="126">
        <v>30760817</v>
      </c>
      <c r="G588" s="128">
        <v>3153198</v>
      </c>
      <c r="J588" s="130">
        <v>93628391</v>
      </c>
    </row>
    <row r="589" spans="1:10">
      <c r="A589" t="s">
        <v>567</v>
      </c>
      <c r="B589" t="s">
        <v>568</v>
      </c>
      <c r="D589" t="s">
        <v>1639</v>
      </c>
      <c r="E589" s="127">
        <v>13405719</v>
      </c>
      <c r="F589" s="126">
        <v>7405242</v>
      </c>
      <c r="G589" s="128">
        <v>430904</v>
      </c>
      <c r="J589" s="130">
        <v>21241865</v>
      </c>
    </row>
    <row r="590" spans="1:10">
      <c r="A590" t="s">
        <v>569</v>
      </c>
      <c r="B590" t="s">
        <v>570</v>
      </c>
      <c r="D590" t="s">
        <v>1639</v>
      </c>
      <c r="E590" s="127">
        <v>3923717</v>
      </c>
      <c r="F590" s="126">
        <v>9391174</v>
      </c>
      <c r="G590" s="128">
        <v>585044</v>
      </c>
      <c r="J590" s="130">
        <v>13899935</v>
      </c>
    </row>
    <row r="591" spans="1:10">
      <c r="A591" t="s">
        <v>571</v>
      </c>
      <c r="B591" t="s">
        <v>572</v>
      </c>
      <c r="D591" t="s">
        <v>1639</v>
      </c>
      <c r="E591" s="127">
        <v>7968478</v>
      </c>
      <c r="F591" s="126">
        <v>12602690</v>
      </c>
      <c r="G591" s="128">
        <v>589988</v>
      </c>
      <c r="J591" s="130">
        <v>21161156</v>
      </c>
    </row>
    <row r="592" spans="1:10">
      <c r="A592" t="s">
        <v>573</v>
      </c>
      <c r="B592" t="s">
        <v>574</v>
      </c>
      <c r="D592" t="s">
        <v>1639</v>
      </c>
      <c r="E592" s="127">
        <v>70163642</v>
      </c>
      <c r="F592" s="126">
        <v>55323937</v>
      </c>
      <c r="G592" s="128">
        <v>6426748</v>
      </c>
      <c r="J592" s="130">
        <v>131914327</v>
      </c>
    </row>
    <row r="593" spans="1:10">
      <c r="A593" t="s">
        <v>575</v>
      </c>
      <c r="B593" t="s">
        <v>576</v>
      </c>
      <c r="D593" t="s">
        <v>1639</v>
      </c>
      <c r="E593" s="127">
        <v>17026073</v>
      </c>
      <c r="F593" s="126">
        <v>13798129</v>
      </c>
      <c r="G593" s="128">
        <v>821430</v>
      </c>
      <c r="J593" s="130">
        <v>31645632</v>
      </c>
    </row>
    <row r="594" spans="1:10">
      <c r="A594" t="s">
        <v>577</v>
      </c>
      <c r="B594" t="s">
        <v>578</v>
      </c>
      <c r="D594" t="s">
        <v>1639</v>
      </c>
      <c r="E594" s="127">
        <v>28825188</v>
      </c>
      <c r="F594" s="126">
        <v>23772350</v>
      </c>
      <c r="G594" s="128">
        <v>1674534</v>
      </c>
      <c r="J594" s="130">
        <v>54272072</v>
      </c>
    </row>
    <row r="595" spans="1:10">
      <c r="A595" t="s">
        <v>579</v>
      </c>
      <c r="B595" t="s">
        <v>580</v>
      </c>
      <c r="D595" t="s">
        <v>1639</v>
      </c>
      <c r="E595" s="127">
        <v>31680016</v>
      </c>
      <c r="F595" s="126">
        <v>9042990</v>
      </c>
      <c r="G595" s="128">
        <v>762745</v>
      </c>
      <c r="J595" s="130">
        <v>41485751</v>
      </c>
    </row>
    <row r="596" spans="1:10">
      <c r="A596" t="s">
        <v>581</v>
      </c>
      <c r="B596" t="s">
        <v>582</v>
      </c>
      <c r="D596" t="s">
        <v>1639</v>
      </c>
      <c r="E596" s="127">
        <v>26356501</v>
      </c>
      <c r="F596" s="126">
        <v>16139069</v>
      </c>
      <c r="G596" s="128">
        <v>886987</v>
      </c>
      <c r="J596" s="130">
        <v>43382557</v>
      </c>
    </row>
    <row r="597" spans="1:10">
      <c r="A597" t="s">
        <v>583</v>
      </c>
      <c r="B597" t="s">
        <v>584</v>
      </c>
      <c r="D597" t="s">
        <v>1639</v>
      </c>
      <c r="E597" s="127">
        <v>33068883</v>
      </c>
      <c r="F597" s="126">
        <v>11857890</v>
      </c>
      <c r="G597" s="128">
        <v>1060928</v>
      </c>
      <c r="J597" s="130">
        <v>45987701</v>
      </c>
    </row>
    <row r="598" spans="1:10">
      <c r="A598" t="s">
        <v>585</v>
      </c>
      <c r="B598" t="s">
        <v>586</v>
      </c>
      <c r="D598" t="s">
        <v>1639</v>
      </c>
      <c r="E598" s="127">
        <v>22495625</v>
      </c>
      <c r="F598" s="126">
        <v>21968107</v>
      </c>
      <c r="G598" s="128">
        <v>1706232</v>
      </c>
      <c r="J598" s="130">
        <v>46169964</v>
      </c>
    </row>
    <row r="599" spans="1:10">
      <c r="A599" t="s">
        <v>587</v>
      </c>
      <c r="B599" t="s">
        <v>588</v>
      </c>
      <c r="D599" t="s">
        <v>1639</v>
      </c>
      <c r="E599" s="127">
        <v>24837165</v>
      </c>
      <c r="F599" s="126">
        <v>29349080</v>
      </c>
      <c r="G599" s="128">
        <v>1575747</v>
      </c>
      <c r="J599" s="130">
        <v>55761992</v>
      </c>
    </row>
    <row r="600" spans="1:10">
      <c r="A600" t="s">
        <v>589</v>
      </c>
      <c r="B600" t="s">
        <v>590</v>
      </c>
      <c r="D600" t="s">
        <v>1639</v>
      </c>
      <c r="E600" s="127">
        <v>20387757</v>
      </c>
      <c r="F600" s="126">
        <v>16331599</v>
      </c>
      <c r="G600" s="128">
        <v>1697428</v>
      </c>
      <c r="J600" s="130">
        <v>38416784</v>
      </c>
    </row>
    <row r="601" spans="1:10">
      <c r="A601" t="s">
        <v>591</v>
      </c>
      <c r="B601" t="s">
        <v>592</v>
      </c>
      <c r="D601" t="s">
        <v>1639</v>
      </c>
      <c r="E601" s="127">
        <v>6210603</v>
      </c>
      <c r="F601" s="126">
        <v>748685</v>
      </c>
      <c r="G601" s="128">
        <v>174611</v>
      </c>
      <c r="J601" s="130">
        <v>7133899</v>
      </c>
    </row>
    <row r="602" spans="1:10">
      <c r="A602" t="s">
        <v>593</v>
      </c>
      <c r="B602" t="s">
        <v>594</v>
      </c>
      <c r="D602" t="s">
        <v>1639</v>
      </c>
      <c r="E602" s="127">
        <v>7262628</v>
      </c>
      <c r="F602" s="126">
        <v>4100786</v>
      </c>
      <c r="G602" s="128">
        <v>440436</v>
      </c>
      <c r="J602" s="130">
        <v>11803850</v>
      </c>
    </row>
    <row r="603" spans="1:10">
      <c r="A603" t="s">
        <v>595</v>
      </c>
      <c r="B603" t="s">
        <v>596</v>
      </c>
      <c r="D603" t="s">
        <v>1639</v>
      </c>
      <c r="E603" s="127">
        <v>15785940</v>
      </c>
      <c r="F603" s="126">
        <v>17331544</v>
      </c>
      <c r="G603" s="128">
        <v>1808926</v>
      </c>
      <c r="J603" s="130">
        <v>34926410</v>
      </c>
    </row>
    <row r="604" spans="1:10">
      <c r="A604" t="s">
        <v>597</v>
      </c>
      <c r="B604" t="s">
        <v>598</v>
      </c>
      <c r="D604" t="s">
        <v>1639</v>
      </c>
      <c r="E604" s="127">
        <v>4977906</v>
      </c>
      <c r="F604" s="126">
        <v>3629623</v>
      </c>
      <c r="G604" s="128">
        <v>300164</v>
      </c>
      <c r="J604" s="130">
        <v>8907693</v>
      </c>
    </row>
    <row r="605" spans="1:10">
      <c r="A605" t="s">
        <v>599</v>
      </c>
      <c r="B605" t="s">
        <v>600</v>
      </c>
      <c r="D605" t="s">
        <v>1639</v>
      </c>
      <c r="E605" s="127">
        <v>15149025</v>
      </c>
      <c r="F605" s="126">
        <v>2360304</v>
      </c>
      <c r="G605" s="128">
        <v>445435</v>
      </c>
      <c r="J605" s="130">
        <v>17954764</v>
      </c>
    </row>
    <row r="606" spans="1:10">
      <c r="A606" t="s">
        <v>601</v>
      </c>
      <c r="B606" t="s">
        <v>602</v>
      </c>
      <c r="D606" t="s">
        <v>1639</v>
      </c>
      <c r="E606" s="127">
        <v>7771925</v>
      </c>
      <c r="F606" s="126">
        <v>8479536</v>
      </c>
      <c r="G606" s="128">
        <v>1365179</v>
      </c>
      <c r="J606" s="130">
        <v>17616640</v>
      </c>
    </row>
    <row r="607" spans="1:10">
      <c r="A607" t="s">
        <v>603</v>
      </c>
      <c r="B607" t="s">
        <v>604</v>
      </c>
      <c r="D607" t="s">
        <v>1639</v>
      </c>
      <c r="E607" s="127">
        <v>24606419</v>
      </c>
      <c r="F607" s="126">
        <v>23107437</v>
      </c>
      <c r="G607" s="128">
        <v>1458610</v>
      </c>
      <c r="J607" s="130">
        <v>49172466</v>
      </c>
    </row>
    <row r="608" spans="1:10">
      <c r="A608" t="s">
        <v>605</v>
      </c>
      <c r="B608" t="s">
        <v>606</v>
      </c>
      <c r="D608" t="s">
        <v>1639</v>
      </c>
      <c r="E608" s="127">
        <v>2224851</v>
      </c>
      <c r="F608" s="126">
        <v>1085626</v>
      </c>
      <c r="G608" s="128">
        <v>188457</v>
      </c>
      <c r="J608" s="130">
        <v>3498934</v>
      </c>
    </row>
    <row r="609" spans="1:10">
      <c r="A609" t="s">
        <v>607</v>
      </c>
      <c r="B609" t="s">
        <v>608</v>
      </c>
      <c r="D609" t="s">
        <v>1639</v>
      </c>
      <c r="E609" s="127">
        <v>6917764</v>
      </c>
      <c r="F609" s="126">
        <v>11266148</v>
      </c>
      <c r="G609" s="128">
        <v>657145</v>
      </c>
      <c r="J609" s="130">
        <v>18841057</v>
      </c>
    </row>
    <row r="610" spans="1:10">
      <c r="A610" t="s">
        <v>609</v>
      </c>
      <c r="B610" t="s">
        <v>610</v>
      </c>
      <c r="D610" t="s">
        <v>1639</v>
      </c>
      <c r="E610" s="127">
        <v>3484323</v>
      </c>
      <c r="F610" s="126">
        <v>6598443</v>
      </c>
      <c r="G610" s="128">
        <v>418324</v>
      </c>
      <c r="J610" s="130">
        <v>10501090</v>
      </c>
    </row>
    <row r="611" spans="1:10">
      <c r="A611" t="s">
        <v>611</v>
      </c>
      <c r="B611" t="s">
        <v>612</v>
      </c>
      <c r="D611" t="s">
        <v>1639</v>
      </c>
      <c r="E611" s="127">
        <v>4868582</v>
      </c>
      <c r="F611" s="126">
        <v>6478684</v>
      </c>
      <c r="G611" s="128">
        <v>203520</v>
      </c>
      <c r="J611" s="130">
        <v>11550786</v>
      </c>
    </row>
    <row r="612" spans="1:10">
      <c r="A612" t="s">
        <v>613</v>
      </c>
      <c r="B612" t="s">
        <v>614</v>
      </c>
      <c r="D612" t="s">
        <v>1639</v>
      </c>
      <c r="E612" s="127">
        <v>2413182</v>
      </c>
      <c r="F612" s="126">
        <v>6400182</v>
      </c>
      <c r="G612" s="128">
        <v>703539</v>
      </c>
      <c r="J612" s="130">
        <v>9516903</v>
      </c>
    </row>
    <row r="613" spans="1:10">
      <c r="A613" t="s">
        <v>615</v>
      </c>
      <c r="B613" t="s">
        <v>616</v>
      </c>
      <c r="D613" t="s">
        <v>1639</v>
      </c>
      <c r="E613" s="127">
        <v>6038185</v>
      </c>
      <c r="F613" s="126">
        <v>14235860</v>
      </c>
      <c r="G613" s="128">
        <v>1265914</v>
      </c>
      <c r="J613" s="130">
        <v>21539959</v>
      </c>
    </row>
    <row r="614" spans="1:10">
      <c r="A614" t="s">
        <v>617</v>
      </c>
      <c r="B614" t="s">
        <v>618</v>
      </c>
      <c r="D614" t="s">
        <v>1639</v>
      </c>
      <c r="E614" s="127">
        <v>7615587</v>
      </c>
      <c r="F614" s="126">
        <v>10329644</v>
      </c>
      <c r="G614" s="128">
        <v>658223</v>
      </c>
      <c r="J614" s="130">
        <v>18603454</v>
      </c>
    </row>
    <row r="615" spans="1:10">
      <c r="A615" t="s">
        <v>619</v>
      </c>
      <c r="B615" t="s">
        <v>620</v>
      </c>
      <c r="D615" t="s">
        <v>1639</v>
      </c>
      <c r="E615" s="127">
        <v>2365668</v>
      </c>
      <c r="F615" s="126">
        <v>5776554</v>
      </c>
      <c r="G615" s="128">
        <v>267291</v>
      </c>
      <c r="J615" s="130">
        <v>8409513</v>
      </c>
    </row>
    <row r="616" spans="1:10">
      <c r="A616" t="s">
        <v>621</v>
      </c>
      <c r="B616" t="s">
        <v>622</v>
      </c>
      <c r="D616" t="s">
        <v>1639</v>
      </c>
      <c r="E616" s="127">
        <v>9904841</v>
      </c>
      <c r="F616" s="126">
        <v>21564509</v>
      </c>
      <c r="G616" s="128">
        <v>1856712</v>
      </c>
      <c r="J616" s="130">
        <v>33326062</v>
      </c>
    </row>
    <row r="617" spans="1:10">
      <c r="A617" t="s">
        <v>623</v>
      </c>
      <c r="B617" t="s">
        <v>624</v>
      </c>
      <c r="D617" t="s">
        <v>1639</v>
      </c>
      <c r="E617" s="127">
        <v>1435815</v>
      </c>
      <c r="F617" s="126">
        <v>270245</v>
      </c>
      <c r="G617" s="128">
        <v>52404</v>
      </c>
      <c r="J617" s="130">
        <v>1758464</v>
      </c>
    </row>
    <row r="618" spans="1:10">
      <c r="A618" t="s">
        <v>625</v>
      </c>
      <c r="B618" t="s">
        <v>626</v>
      </c>
      <c r="D618" t="s">
        <v>1639</v>
      </c>
      <c r="E618" s="127">
        <v>3858388</v>
      </c>
      <c r="F618" s="126">
        <v>6642285</v>
      </c>
      <c r="G618" s="128">
        <v>385471</v>
      </c>
      <c r="J618" s="130">
        <v>10886144</v>
      </c>
    </row>
    <row r="619" spans="1:10">
      <c r="A619" t="s">
        <v>627</v>
      </c>
      <c r="B619" t="s">
        <v>628</v>
      </c>
      <c r="D619" t="s">
        <v>1639</v>
      </c>
      <c r="E619" s="127">
        <v>5415286</v>
      </c>
      <c r="F619" s="126">
        <v>9561504</v>
      </c>
      <c r="G619" s="128">
        <v>625441</v>
      </c>
      <c r="J619" s="130">
        <v>15602231</v>
      </c>
    </row>
    <row r="620" spans="1:10">
      <c r="A620" t="s">
        <v>629</v>
      </c>
      <c r="B620" t="s">
        <v>630</v>
      </c>
      <c r="D620" t="s">
        <v>1639</v>
      </c>
      <c r="E620" s="127">
        <v>4709137</v>
      </c>
      <c r="F620" s="126">
        <v>7635213</v>
      </c>
      <c r="G620" s="128">
        <v>711900</v>
      </c>
      <c r="J620" s="130">
        <v>13056250</v>
      </c>
    </row>
    <row r="621" spans="1:10">
      <c r="A621" t="s">
        <v>631</v>
      </c>
      <c r="B621" t="s">
        <v>632</v>
      </c>
      <c r="D621" t="s">
        <v>1639</v>
      </c>
      <c r="E621" s="127">
        <v>12662872</v>
      </c>
      <c r="F621" s="126">
        <v>26540359</v>
      </c>
      <c r="G621" s="128">
        <v>1779787</v>
      </c>
      <c r="J621" s="130">
        <v>40983018</v>
      </c>
    </row>
    <row r="622" spans="1:10">
      <c r="A622" t="s">
        <v>633</v>
      </c>
      <c r="B622" t="s">
        <v>634</v>
      </c>
      <c r="D622" t="s">
        <v>1639</v>
      </c>
      <c r="E622" s="127">
        <v>3866497</v>
      </c>
      <c r="F622" s="126">
        <v>11990645</v>
      </c>
      <c r="G622" s="128">
        <v>1002692</v>
      </c>
      <c r="J622" s="130">
        <v>16859834</v>
      </c>
    </row>
    <row r="623" spans="1:10">
      <c r="A623" t="s">
        <v>635</v>
      </c>
      <c r="B623" t="s">
        <v>636</v>
      </c>
      <c r="D623" t="s">
        <v>1639</v>
      </c>
      <c r="E623" s="127">
        <v>4114007</v>
      </c>
      <c r="F623" s="126">
        <v>11087606</v>
      </c>
      <c r="G623" s="128">
        <v>2057181</v>
      </c>
      <c r="J623" s="130">
        <v>17258794</v>
      </c>
    </row>
    <row r="624" spans="1:10">
      <c r="A624" t="s">
        <v>637</v>
      </c>
      <c r="B624" t="s">
        <v>638</v>
      </c>
      <c r="D624" t="s">
        <v>1639</v>
      </c>
      <c r="E624" s="127">
        <v>5028278</v>
      </c>
      <c r="F624" s="126">
        <v>11117448</v>
      </c>
      <c r="G624" s="128">
        <v>431441</v>
      </c>
      <c r="J624" s="130">
        <v>16577167</v>
      </c>
    </row>
    <row r="625" spans="1:10">
      <c r="A625" t="s">
        <v>639</v>
      </c>
      <c r="B625" t="s">
        <v>640</v>
      </c>
      <c r="D625" t="s">
        <v>1639</v>
      </c>
      <c r="E625" s="127">
        <v>22358192</v>
      </c>
      <c r="F625" s="126">
        <v>16881618</v>
      </c>
      <c r="G625" s="128">
        <v>893355</v>
      </c>
      <c r="J625" s="130">
        <v>40133165</v>
      </c>
    </row>
    <row r="626" spans="1:10">
      <c r="A626" t="s">
        <v>641</v>
      </c>
      <c r="B626" t="s">
        <v>642</v>
      </c>
      <c r="D626" t="s">
        <v>1639</v>
      </c>
      <c r="E626" s="127">
        <v>14882831</v>
      </c>
      <c r="F626" s="126">
        <v>16621688</v>
      </c>
      <c r="G626" s="128">
        <v>1005727</v>
      </c>
      <c r="J626" s="130">
        <v>32510246</v>
      </c>
    </row>
    <row r="627" spans="1:10">
      <c r="A627" t="s">
        <v>643</v>
      </c>
      <c r="B627" t="s">
        <v>644</v>
      </c>
      <c r="D627" t="s">
        <v>1639</v>
      </c>
      <c r="E627" s="127">
        <v>7346866</v>
      </c>
      <c r="F627" s="126">
        <v>9657121</v>
      </c>
      <c r="G627" s="128">
        <v>387787</v>
      </c>
      <c r="J627" s="130">
        <v>17391774</v>
      </c>
    </row>
    <row r="628" spans="1:10">
      <c r="A628" t="s">
        <v>645</v>
      </c>
      <c r="B628" t="s">
        <v>646</v>
      </c>
      <c r="D628" t="s">
        <v>1639</v>
      </c>
      <c r="E628" s="127">
        <v>7435498</v>
      </c>
      <c r="F628" s="126">
        <v>14982458</v>
      </c>
      <c r="G628" s="128">
        <v>1984321</v>
      </c>
      <c r="J628" s="130">
        <v>24402277</v>
      </c>
    </row>
    <row r="629" spans="1:10">
      <c r="A629" t="s">
        <v>647</v>
      </c>
      <c r="B629" t="s">
        <v>648</v>
      </c>
      <c r="D629" t="s">
        <v>1639</v>
      </c>
      <c r="E629" s="127">
        <v>7458369</v>
      </c>
      <c r="F629" s="126">
        <v>11471380</v>
      </c>
      <c r="G629" s="128">
        <v>598620</v>
      </c>
      <c r="J629" s="130">
        <v>19528369</v>
      </c>
    </row>
    <row r="630" spans="1:10">
      <c r="A630" t="s">
        <v>649</v>
      </c>
      <c r="B630" t="s">
        <v>650</v>
      </c>
      <c r="D630" t="s">
        <v>1639</v>
      </c>
      <c r="E630" s="127">
        <v>8617408</v>
      </c>
      <c r="F630" s="126">
        <v>15756191</v>
      </c>
      <c r="G630" s="128">
        <v>1690154</v>
      </c>
      <c r="J630" s="130">
        <v>26063753</v>
      </c>
    </row>
    <row r="631" spans="1:10">
      <c r="A631" t="s">
        <v>651</v>
      </c>
      <c r="B631" t="s">
        <v>652</v>
      </c>
      <c r="D631" t="s">
        <v>1639</v>
      </c>
      <c r="E631" s="127">
        <v>3550645</v>
      </c>
      <c r="F631" s="126">
        <v>11447767</v>
      </c>
      <c r="G631" s="128">
        <v>1048111</v>
      </c>
      <c r="J631" s="130">
        <v>16046523</v>
      </c>
    </row>
    <row r="632" spans="1:10">
      <c r="A632" t="s">
        <v>653</v>
      </c>
      <c r="B632" t="s">
        <v>654</v>
      </c>
      <c r="D632" t="s">
        <v>1639</v>
      </c>
      <c r="E632" s="127">
        <v>83895412</v>
      </c>
      <c r="F632" s="126">
        <v>17132263</v>
      </c>
      <c r="G632" s="128">
        <v>903116</v>
      </c>
      <c r="J632" s="130">
        <v>101930791</v>
      </c>
    </row>
    <row r="633" spans="1:10">
      <c r="A633" t="s">
        <v>655</v>
      </c>
      <c r="B633" t="s">
        <v>656</v>
      </c>
      <c r="D633" t="s">
        <v>1639</v>
      </c>
      <c r="E633" s="127">
        <v>90068810</v>
      </c>
      <c r="F633" s="126">
        <v>13788405</v>
      </c>
      <c r="G633" s="128">
        <v>1257703</v>
      </c>
      <c r="J633" s="130">
        <v>105114918</v>
      </c>
    </row>
    <row r="634" spans="1:10">
      <c r="A634" t="s">
        <v>657</v>
      </c>
      <c r="B634" t="s">
        <v>658</v>
      </c>
      <c r="D634" t="s">
        <v>1639</v>
      </c>
      <c r="E634" s="127">
        <v>27610469</v>
      </c>
      <c r="F634" s="126">
        <v>10116673</v>
      </c>
      <c r="G634" s="128">
        <v>460822</v>
      </c>
      <c r="J634" s="130">
        <v>38187964</v>
      </c>
    </row>
    <row r="635" spans="1:10">
      <c r="A635" t="s">
        <v>659</v>
      </c>
      <c r="B635" t="s">
        <v>660</v>
      </c>
      <c r="D635" t="s">
        <v>1639</v>
      </c>
      <c r="E635" s="127">
        <v>44980907</v>
      </c>
      <c r="F635" s="126">
        <v>11256146</v>
      </c>
      <c r="G635" s="128">
        <v>894285</v>
      </c>
      <c r="J635" s="130">
        <v>57131338</v>
      </c>
    </row>
    <row r="636" spans="1:10">
      <c r="A636" t="s">
        <v>661</v>
      </c>
      <c r="B636" t="s">
        <v>418</v>
      </c>
      <c r="D636" t="s">
        <v>1639</v>
      </c>
      <c r="E636" s="127">
        <v>47022133</v>
      </c>
      <c r="F636" s="126">
        <v>12370472</v>
      </c>
      <c r="G636" s="128">
        <v>658098</v>
      </c>
      <c r="J636" s="130">
        <v>60050703</v>
      </c>
    </row>
    <row r="637" spans="1:10">
      <c r="A637" t="s">
        <v>419</v>
      </c>
      <c r="B637" t="s">
        <v>420</v>
      </c>
      <c r="D637" t="s">
        <v>1639</v>
      </c>
      <c r="E637" s="127">
        <v>18833737</v>
      </c>
      <c r="F637" s="126">
        <v>4942603</v>
      </c>
      <c r="G637" s="128">
        <v>436523</v>
      </c>
      <c r="J637" s="130">
        <v>24212863</v>
      </c>
    </row>
    <row r="638" spans="1:10">
      <c r="A638" t="s">
        <v>421</v>
      </c>
      <c r="B638" t="s">
        <v>422</v>
      </c>
      <c r="D638" t="s">
        <v>1639</v>
      </c>
      <c r="E638" s="127">
        <v>36182225</v>
      </c>
      <c r="F638" s="126">
        <v>5359578</v>
      </c>
      <c r="G638" s="128">
        <v>415052</v>
      </c>
      <c r="J638" s="130">
        <v>41956855</v>
      </c>
    </row>
    <row r="639" spans="1:10">
      <c r="A639" t="s">
        <v>423</v>
      </c>
      <c r="B639" t="s">
        <v>424</v>
      </c>
      <c r="D639" t="s">
        <v>1639</v>
      </c>
      <c r="E639" s="127">
        <v>42528848</v>
      </c>
      <c r="F639" s="126">
        <v>14707038</v>
      </c>
      <c r="G639" s="128">
        <v>1781089</v>
      </c>
      <c r="J639" s="130">
        <v>59016975</v>
      </c>
    </row>
    <row r="640" spans="1:10">
      <c r="A640" t="s">
        <v>425</v>
      </c>
      <c r="B640" t="s">
        <v>426</v>
      </c>
      <c r="D640" t="s">
        <v>1639</v>
      </c>
      <c r="E640" s="127">
        <v>39179547</v>
      </c>
      <c r="F640" s="126">
        <v>7752098</v>
      </c>
      <c r="G640" s="128">
        <v>515473</v>
      </c>
      <c r="J640" s="130">
        <v>47447118</v>
      </c>
    </row>
    <row r="641" spans="1:10">
      <c r="A641" t="s">
        <v>427</v>
      </c>
      <c r="B641" t="s">
        <v>428</v>
      </c>
      <c r="D641" t="s">
        <v>1639</v>
      </c>
      <c r="E641" s="127">
        <v>26662796</v>
      </c>
      <c r="F641" s="126">
        <v>8774296</v>
      </c>
      <c r="G641" s="128">
        <v>393117</v>
      </c>
      <c r="J641" s="130">
        <v>35830209</v>
      </c>
    </row>
    <row r="642" spans="1:10">
      <c r="A642" t="s">
        <v>429</v>
      </c>
      <c r="B642" t="s">
        <v>430</v>
      </c>
      <c r="D642" t="s">
        <v>1639</v>
      </c>
      <c r="E642" s="127">
        <v>26808146</v>
      </c>
      <c r="F642" s="126">
        <v>10367898</v>
      </c>
      <c r="G642" s="128">
        <v>423841</v>
      </c>
      <c r="J642" s="130">
        <v>37599885</v>
      </c>
    </row>
    <row r="643" spans="1:10">
      <c r="A643" t="s">
        <v>431</v>
      </c>
      <c r="B643" t="s">
        <v>432</v>
      </c>
      <c r="D643" t="s">
        <v>1639</v>
      </c>
      <c r="E643" s="127">
        <v>41162556</v>
      </c>
      <c r="F643" s="126">
        <v>11626712</v>
      </c>
      <c r="G643" s="128">
        <v>607645</v>
      </c>
      <c r="J643" s="130">
        <v>53396913</v>
      </c>
    </row>
    <row r="644" spans="1:10">
      <c r="A644" t="s">
        <v>433</v>
      </c>
      <c r="B644" t="s">
        <v>434</v>
      </c>
      <c r="D644" t="s">
        <v>1639</v>
      </c>
      <c r="E644" s="127">
        <v>34109276</v>
      </c>
      <c r="F644" s="126">
        <v>6309677</v>
      </c>
      <c r="G644" s="128">
        <v>408914</v>
      </c>
      <c r="J644" s="130">
        <v>40827867</v>
      </c>
    </row>
    <row r="645" spans="1:10">
      <c r="A645" t="s">
        <v>435</v>
      </c>
      <c r="B645" t="s">
        <v>436</v>
      </c>
      <c r="D645" t="s">
        <v>1639</v>
      </c>
      <c r="E645" s="127">
        <v>40288539</v>
      </c>
      <c r="F645" s="126">
        <v>17215459</v>
      </c>
      <c r="G645" s="128">
        <v>2159545</v>
      </c>
      <c r="J645" s="130">
        <v>59663543</v>
      </c>
    </row>
    <row r="646" spans="1:10">
      <c r="A646" t="s">
        <v>437</v>
      </c>
      <c r="B646" t="s">
        <v>438</v>
      </c>
      <c r="D646" t="s">
        <v>1639</v>
      </c>
      <c r="E646" s="127">
        <v>21057439</v>
      </c>
      <c r="F646" s="126">
        <v>4881333</v>
      </c>
      <c r="G646" s="128">
        <v>410277</v>
      </c>
      <c r="J646" s="130">
        <v>26349049</v>
      </c>
    </row>
    <row r="647" spans="1:10">
      <c r="A647" t="s">
        <v>439</v>
      </c>
      <c r="B647" t="s">
        <v>440</v>
      </c>
      <c r="D647" t="s">
        <v>1639</v>
      </c>
      <c r="E647" s="127">
        <v>81274492</v>
      </c>
      <c r="F647" s="126">
        <v>9067927</v>
      </c>
      <c r="G647" s="128">
        <v>971003</v>
      </c>
      <c r="J647" s="130">
        <v>91313422</v>
      </c>
    </row>
    <row r="648" spans="1:10">
      <c r="A648" t="s">
        <v>441</v>
      </c>
      <c r="B648" t="s">
        <v>442</v>
      </c>
      <c r="D648" t="s">
        <v>1639</v>
      </c>
      <c r="E648" s="127">
        <v>90699094</v>
      </c>
      <c r="F648" s="126">
        <v>16845747</v>
      </c>
      <c r="G648" s="128">
        <v>1427906</v>
      </c>
      <c r="J648" s="130">
        <v>108972747</v>
      </c>
    </row>
    <row r="649" spans="1:10">
      <c r="A649" t="s">
        <v>443</v>
      </c>
      <c r="B649" t="s">
        <v>444</v>
      </c>
      <c r="D649" t="s">
        <v>1639</v>
      </c>
      <c r="E649" s="127">
        <v>35175708</v>
      </c>
      <c r="F649" s="126">
        <v>10488357</v>
      </c>
      <c r="G649" s="128">
        <v>500284</v>
      </c>
      <c r="J649" s="130">
        <v>46164349</v>
      </c>
    </row>
    <row r="650" spans="1:10">
      <c r="A650" t="s">
        <v>445</v>
      </c>
      <c r="B650" t="s">
        <v>446</v>
      </c>
      <c r="D650" t="s">
        <v>1639</v>
      </c>
      <c r="E650" s="127">
        <v>17112951</v>
      </c>
      <c r="F650" s="126">
        <v>3458727</v>
      </c>
      <c r="G650" s="128">
        <v>346631</v>
      </c>
      <c r="J650" s="130">
        <v>20918309</v>
      </c>
    </row>
    <row r="651" spans="1:10">
      <c r="A651" t="s">
        <v>447</v>
      </c>
      <c r="B651" t="s">
        <v>448</v>
      </c>
      <c r="D651" t="s">
        <v>1639</v>
      </c>
      <c r="E651" s="127">
        <v>29796798</v>
      </c>
      <c r="F651" s="126">
        <v>7630492</v>
      </c>
      <c r="G651" s="128">
        <v>359202</v>
      </c>
      <c r="J651" s="130">
        <v>37786492</v>
      </c>
    </row>
    <row r="652" spans="1:10">
      <c r="A652" t="s">
        <v>449</v>
      </c>
      <c r="B652" t="s">
        <v>450</v>
      </c>
      <c r="D652" t="s">
        <v>1639</v>
      </c>
      <c r="E652" s="127">
        <v>26913950</v>
      </c>
      <c r="F652" s="126">
        <v>9659092</v>
      </c>
      <c r="G652" s="128">
        <v>384159</v>
      </c>
      <c r="J652" s="130">
        <v>36957201</v>
      </c>
    </row>
    <row r="653" spans="1:10">
      <c r="A653" t="s">
        <v>451</v>
      </c>
      <c r="B653" t="s">
        <v>452</v>
      </c>
      <c r="D653" t="s">
        <v>1639</v>
      </c>
      <c r="E653" s="127">
        <v>75557201</v>
      </c>
      <c r="F653" s="126">
        <v>98167463</v>
      </c>
      <c r="G653" s="128">
        <v>10150296</v>
      </c>
      <c r="J653" s="130">
        <v>183874960</v>
      </c>
    </row>
    <row r="654" spans="1:10">
      <c r="A654" t="s">
        <v>453</v>
      </c>
      <c r="B654" t="s">
        <v>454</v>
      </c>
      <c r="D654" t="s">
        <v>1639</v>
      </c>
      <c r="E654" s="127">
        <v>83811631</v>
      </c>
      <c r="F654" s="126">
        <v>14772354</v>
      </c>
      <c r="G654" s="128">
        <v>949463</v>
      </c>
      <c r="J654" s="130">
        <v>99533448</v>
      </c>
    </row>
    <row r="655" spans="1:10">
      <c r="A655" t="s">
        <v>455</v>
      </c>
      <c r="B655" t="s">
        <v>456</v>
      </c>
      <c r="D655" t="s">
        <v>1639</v>
      </c>
      <c r="E655" s="127">
        <v>140888526</v>
      </c>
      <c r="F655" s="126">
        <v>56728765</v>
      </c>
      <c r="G655" s="128">
        <v>5951335</v>
      </c>
      <c r="J655" s="130">
        <v>203568626</v>
      </c>
    </row>
    <row r="656" spans="1:10">
      <c r="A656" t="s">
        <v>457</v>
      </c>
      <c r="B656" t="s">
        <v>458</v>
      </c>
      <c r="D656" t="s">
        <v>1639</v>
      </c>
      <c r="E656" s="127">
        <v>60206701</v>
      </c>
      <c r="F656" s="126">
        <v>7684804</v>
      </c>
      <c r="G656" s="128">
        <v>355595</v>
      </c>
      <c r="J656" s="130">
        <v>68247100</v>
      </c>
    </row>
    <row r="657" spans="1:10">
      <c r="A657" t="s">
        <v>459</v>
      </c>
      <c r="B657" t="s">
        <v>460</v>
      </c>
      <c r="D657" t="s">
        <v>1639</v>
      </c>
      <c r="E657" s="127">
        <v>30028648</v>
      </c>
      <c r="F657" s="126">
        <v>5976172</v>
      </c>
      <c r="G657" s="128">
        <v>360121</v>
      </c>
      <c r="J657" s="130">
        <v>36364941</v>
      </c>
    </row>
    <row r="658" spans="1:10">
      <c r="A658" t="s">
        <v>461</v>
      </c>
      <c r="B658" t="s">
        <v>462</v>
      </c>
      <c r="D658" t="s">
        <v>1639</v>
      </c>
      <c r="E658" s="127">
        <v>66405785</v>
      </c>
      <c r="F658" s="126">
        <v>26547211</v>
      </c>
      <c r="G658" s="128">
        <v>2106782</v>
      </c>
      <c r="J658" s="130">
        <v>95059778</v>
      </c>
    </row>
    <row r="659" spans="1:10">
      <c r="A659" t="s">
        <v>463</v>
      </c>
      <c r="B659" t="s">
        <v>464</v>
      </c>
      <c r="D659" t="s">
        <v>1639</v>
      </c>
      <c r="E659" s="127">
        <v>38843570</v>
      </c>
      <c r="F659" s="126">
        <v>7967878</v>
      </c>
      <c r="G659" s="128">
        <v>338378</v>
      </c>
      <c r="J659" s="130">
        <v>47149826</v>
      </c>
    </row>
    <row r="660" spans="1:10">
      <c r="A660" t="s">
        <v>465</v>
      </c>
      <c r="B660" t="s">
        <v>466</v>
      </c>
      <c r="D660" t="s">
        <v>1639</v>
      </c>
      <c r="E660" s="127">
        <v>25368595</v>
      </c>
      <c r="F660" s="126">
        <v>38367436</v>
      </c>
      <c r="G660" s="128">
        <v>4257323</v>
      </c>
      <c r="J660" s="130">
        <v>67993354</v>
      </c>
    </row>
    <row r="661" spans="1:10">
      <c r="A661" t="s">
        <v>467</v>
      </c>
      <c r="B661" t="s">
        <v>468</v>
      </c>
      <c r="D661" t="s">
        <v>1639</v>
      </c>
      <c r="E661" s="127">
        <v>41963522</v>
      </c>
      <c r="F661" s="126">
        <v>9691578</v>
      </c>
      <c r="G661" s="128">
        <v>654262</v>
      </c>
      <c r="J661" s="130">
        <v>52309362</v>
      </c>
    </row>
    <row r="662" spans="1:10">
      <c r="A662" t="s">
        <v>469</v>
      </c>
      <c r="B662" t="s">
        <v>470</v>
      </c>
      <c r="D662" t="s">
        <v>1639</v>
      </c>
      <c r="E662" s="127">
        <v>53223543</v>
      </c>
      <c r="F662" s="126">
        <v>7099314</v>
      </c>
      <c r="G662" s="128">
        <v>644302</v>
      </c>
      <c r="J662" s="130">
        <v>60967159</v>
      </c>
    </row>
    <row r="663" spans="1:10">
      <c r="A663" t="s">
        <v>471</v>
      </c>
      <c r="B663" t="s">
        <v>472</v>
      </c>
      <c r="D663" t="s">
        <v>1639</v>
      </c>
      <c r="E663" s="127">
        <v>24775070</v>
      </c>
      <c r="F663" s="126">
        <v>4885579</v>
      </c>
      <c r="G663" s="128">
        <v>391935</v>
      </c>
      <c r="J663" s="130">
        <v>30052584</v>
      </c>
    </row>
    <row r="664" spans="1:10">
      <c r="A664" t="s">
        <v>473</v>
      </c>
      <c r="B664" t="s">
        <v>474</v>
      </c>
      <c r="D664" t="s">
        <v>1639</v>
      </c>
      <c r="E664" s="127">
        <v>42487329</v>
      </c>
      <c r="F664" s="126">
        <v>18706930</v>
      </c>
      <c r="G664" s="128">
        <v>2779276</v>
      </c>
      <c r="J664" s="130">
        <v>63973535</v>
      </c>
    </row>
    <row r="665" spans="1:10">
      <c r="A665" t="s">
        <v>475</v>
      </c>
      <c r="B665" t="s">
        <v>476</v>
      </c>
      <c r="D665" t="s">
        <v>1639</v>
      </c>
      <c r="E665" s="127">
        <v>27939783</v>
      </c>
      <c r="F665" s="126">
        <v>5178714</v>
      </c>
      <c r="G665" s="128">
        <v>300164</v>
      </c>
      <c r="J665" s="130">
        <v>33418661</v>
      </c>
    </row>
    <row r="666" spans="1:10">
      <c r="A666" t="s">
        <v>477</v>
      </c>
      <c r="B666" t="s">
        <v>478</v>
      </c>
      <c r="D666" t="s">
        <v>1639</v>
      </c>
      <c r="E666" s="127">
        <v>103102454</v>
      </c>
      <c r="F666" s="126">
        <v>13364725</v>
      </c>
      <c r="G666" s="128">
        <v>945207</v>
      </c>
      <c r="J666" s="130">
        <v>117412386</v>
      </c>
    </row>
    <row r="667" spans="1:10">
      <c r="A667" t="s">
        <v>479</v>
      </c>
      <c r="B667" t="s">
        <v>480</v>
      </c>
      <c r="D667" t="s">
        <v>1639</v>
      </c>
      <c r="E667" s="127">
        <v>53519534</v>
      </c>
      <c r="F667" s="126">
        <v>15659320</v>
      </c>
      <c r="G667" s="128">
        <v>1532232</v>
      </c>
      <c r="J667" s="130">
        <v>70711086</v>
      </c>
    </row>
    <row r="668" spans="1:10">
      <c r="A668" t="s">
        <v>481</v>
      </c>
      <c r="B668" t="s">
        <v>482</v>
      </c>
      <c r="D668" t="s">
        <v>1639</v>
      </c>
      <c r="E668" s="127">
        <v>145541507</v>
      </c>
      <c r="F668" s="126">
        <v>33353575</v>
      </c>
      <c r="G668" s="128">
        <v>3836773</v>
      </c>
      <c r="J668" s="130">
        <v>182731855</v>
      </c>
    </row>
    <row r="669" spans="1:10">
      <c r="A669" t="s">
        <v>1949</v>
      </c>
      <c r="B669" t="s">
        <v>483</v>
      </c>
      <c r="D669" t="s">
        <v>1639</v>
      </c>
      <c r="E669" s="127">
        <v>183439683</v>
      </c>
      <c r="F669" s="126">
        <v>265524900</v>
      </c>
      <c r="G669" s="128">
        <v>37006082</v>
      </c>
      <c r="J669" s="130">
        <v>485970665</v>
      </c>
    </row>
    <row r="670" spans="1:10">
      <c r="A670" t="s">
        <v>484</v>
      </c>
      <c r="B670" t="s">
        <v>485</v>
      </c>
      <c r="D670" t="s">
        <v>1639</v>
      </c>
      <c r="E670" s="127">
        <v>72468265</v>
      </c>
      <c r="F670" s="126">
        <v>59048040</v>
      </c>
      <c r="G670" s="128">
        <v>2050094</v>
      </c>
      <c r="J670" s="130">
        <v>133566399</v>
      </c>
    </row>
    <row r="671" spans="1:10">
      <c r="A671" t="s">
        <v>486</v>
      </c>
      <c r="B671" t="s">
        <v>487</v>
      </c>
      <c r="D671" t="s">
        <v>1639</v>
      </c>
      <c r="E671" s="127">
        <v>52538588</v>
      </c>
      <c r="F671" s="126">
        <v>25865948</v>
      </c>
      <c r="G671" s="128">
        <v>1326068</v>
      </c>
      <c r="J671" s="130">
        <v>79730604</v>
      </c>
    </row>
    <row r="672" spans="1:10">
      <c r="A672" t="s">
        <v>488</v>
      </c>
      <c r="B672" t="s">
        <v>489</v>
      </c>
      <c r="D672" t="s">
        <v>1639</v>
      </c>
      <c r="E672" s="127">
        <v>7809315</v>
      </c>
      <c r="F672" s="126">
        <v>16729148</v>
      </c>
      <c r="G672" s="128">
        <v>994146</v>
      </c>
      <c r="J672" s="130">
        <v>25532609</v>
      </c>
    </row>
    <row r="673" spans="1:15">
      <c r="A673" t="s">
        <v>490</v>
      </c>
      <c r="B673" t="s">
        <v>491</v>
      </c>
      <c r="D673" t="s">
        <v>1639</v>
      </c>
      <c r="E673" s="127">
        <v>3565287</v>
      </c>
      <c r="F673" s="126">
        <v>11759921</v>
      </c>
      <c r="G673" s="128">
        <v>736475</v>
      </c>
      <c r="J673" s="130">
        <v>16061683</v>
      </c>
    </row>
    <row r="674" spans="1:15">
      <c r="A674" t="s">
        <v>492</v>
      </c>
      <c r="B674" t="s">
        <v>493</v>
      </c>
      <c r="D674" t="s">
        <v>1639</v>
      </c>
      <c r="E674" s="127">
        <v>1420438</v>
      </c>
      <c r="F674" s="126">
        <v>2679330</v>
      </c>
      <c r="G674" s="128">
        <v>156822</v>
      </c>
      <c r="J674" s="130">
        <v>4256590</v>
      </c>
    </row>
    <row r="675" spans="1:15">
      <c r="A675" t="s">
        <v>494</v>
      </c>
      <c r="B675" t="s">
        <v>495</v>
      </c>
      <c r="D675" t="s">
        <v>1639</v>
      </c>
      <c r="E675" s="127">
        <v>4890619</v>
      </c>
      <c r="F675" s="126">
        <v>10445289</v>
      </c>
      <c r="G675" s="128">
        <v>546335</v>
      </c>
      <c r="J675" s="130">
        <v>15882243</v>
      </c>
    </row>
    <row r="676" spans="1:15">
      <c r="A676" t="s">
        <v>496</v>
      </c>
      <c r="B676" t="s">
        <v>497</v>
      </c>
      <c r="D676" t="s">
        <v>1639</v>
      </c>
      <c r="E676" s="127">
        <v>4867975</v>
      </c>
      <c r="F676" s="126">
        <v>12562193</v>
      </c>
      <c r="G676" s="128">
        <v>531863</v>
      </c>
      <c r="J676" s="130">
        <v>17962031</v>
      </c>
    </row>
    <row r="677" spans="1:15">
      <c r="A677" t="s">
        <v>498</v>
      </c>
      <c r="B677" t="s">
        <v>499</v>
      </c>
      <c r="D677" t="s">
        <v>1639</v>
      </c>
      <c r="E677" s="127">
        <v>13868157</v>
      </c>
      <c r="F677" s="126">
        <v>14496848</v>
      </c>
      <c r="G677" s="128">
        <v>2399445</v>
      </c>
      <c r="J677" s="130">
        <v>30764450</v>
      </c>
    </row>
    <row r="678" spans="1:15">
      <c r="A678" t="s">
        <v>500</v>
      </c>
      <c r="B678" t="s">
        <v>501</v>
      </c>
      <c r="D678" t="s">
        <v>1639</v>
      </c>
      <c r="E678" s="127">
        <v>3704917</v>
      </c>
      <c r="F678" s="126">
        <v>8144604</v>
      </c>
      <c r="G678" s="128">
        <v>1419336</v>
      </c>
      <c r="J678" s="130">
        <v>13268857</v>
      </c>
    </row>
    <row r="679" spans="1:15">
      <c r="A679" s="1"/>
      <c r="B679" s="85" t="s">
        <v>88</v>
      </c>
      <c r="C679" s="137">
        <v>2714773</v>
      </c>
      <c r="D679" s="1" t="s">
        <v>1639</v>
      </c>
      <c r="E679" s="68">
        <v>24965812794</v>
      </c>
      <c r="F679" s="68">
        <v>21591233823</v>
      </c>
      <c r="G679" s="68">
        <v>2739671347</v>
      </c>
      <c r="H679" s="68"/>
      <c r="I679" s="68"/>
      <c r="J679" s="68">
        <v>49296717964</v>
      </c>
    </row>
    <row r="680" spans="1:15">
      <c r="B680" s="34" t="s">
        <v>87</v>
      </c>
      <c r="E680" s="127">
        <f>'Dist Food Sv &amp; Capital'!R21</f>
        <v>1626068312</v>
      </c>
      <c r="F680" s="126">
        <f>'Dist Food Sv &amp; Capital'!R39</f>
        <v>3127106016</v>
      </c>
      <c r="G680" s="128">
        <f>'Dist Food Sv &amp; Capital'!R9</f>
        <v>74027060</v>
      </c>
      <c r="H680" s="129">
        <f>'Dist Food Sv &amp; Capital'!R34</f>
        <v>394627352</v>
      </c>
      <c r="I680" s="132">
        <f>'Dist Food Sv &amp; Capital'!R11</f>
        <v>118662</v>
      </c>
      <c r="L680" s="1" t="s">
        <v>113</v>
      </c>
      <c r="M680" s="1"/>
      <c r="N680" s="1"/>
      <c r="O680" s="1"/>
    </row>
    <row r="681" spans="1:15">
      <c r="B681" s="34" t="s">
        <v>96</v>
      </c>
      <c r="E681" s="127">
        <f>SUM(E679:E680)</f>
        <v>26591881106</v>
      </c>
      <c r="F681" s="126">
        <f>SUM(F679:F680)</f>
        <v>24718339839</v>
      </c>
      <c r="G681" s="128">
        <f>SUM(G679:G680)</f>
        <v>2813698407</v>
      </c>
      <c r="H681" s="129">
        <f>SUM(H679:H680)</f>
        <v>394627352</v>
      </c>
      <c r="I681" s="132">
        <f>SUM(I679:I680)</f>
        <v>118662</v>
      </c>
      <c r="L681" s="1"/>
      <c r="M681" s="85" t="s">
        <v>104</v>
      </c>
      <c r="N681" s="85" t="s">
        <v>105</v>
      </c>
      <c r="O681" s="1"/>
    </row>
    <row r="682" spans="1:15">
      <c r="B682" s="34" t="s">
        <v>89</v>
      </c>
      <c r="C682" s="7">
        <v>40063</v>
      </c>
      <c r="F682" s="126">
        <v>504413929</v>
      </c>
      <c r="G682" s="128">
        <v>740979286</v>
      </c>
      <c r="L682" s="1"/>
      <c r="M682" s="68">
        <f>F682</f>
        <v>504413929</v>
      </c>
      <c r="N682" s="68">
        <f>G682</f>
        <v>740979286</v>
      </c>
      <c r="O682" s="1"/>
    </row>
    <row r="683" spans="1:15">
      <c r="B683" s="34" t="s">
        <v>132</v>
      </c>
      <c r="E683" s="127">
        <f>'Charter Work File'!E97</f>
        <v>105757973.91907205</v>
      </c>
      <c r="F683" s="126">
        <f>'Charter Work File'!K97</f>
        <v>170550212.08092803</v>
      </c>
      <c r="L683" s="85" t="s">
        <v>519</v>
      </c>
      <c r="M683" s="139">
        <f>M682/C682</f>
        <v>12590.518158899733</v>
      </c>
      <c r="N683" s="139">
        <f>N682/C682</f>
        <v>18495.351970646232</v>
      </c>
      <c r="O683" s="1"/>
    </row>
    <row r="684" spans="1:15">
      <c r="B684" s="34" t="s">
        <v>90</v>
      </c>
      <c r="F684" s="126">
        <f>Adult!G24</f>
        <v>954009</v>
      </c>
      <c r="G684" s="128">
        <f>Adult!G59</f>
        <v>8004104</v>
      </c>
    </row>
    <row r="685" spans="1:15">
      <c r="B685" s="136" t="s">
        <v>97</v>
      </c>
      <c r="C685" s="7">
        <f>C679</f>
        <v>2714773</v>
      </c>
      <c r="E685" s="127">
        <f>E681-(E682+E683+E684)</f>
        <v>26486123132.080929</v>
      </c>
      <c r="F685" s="126">
        <f>F681-(F682+F683+F684)</f>
        <v>24042421688.919071</v>
      </c>
      <c r="G685" s="128">
        <f>G681-(G682+G683+G684)</f>
        <v>2064715017</v>
      </c>
      <c r="H685" s="129">
        <f>H681-(H682+H683+H684)</f>
        <v>394627352</v>
      </c>
      <c r="I685" s="132">
        <f>I681-(I682+I683+I684)</f>
        <v>118662</v>
      </c>
      <c r="J685" s="130">
        <f>SUM(E685:I685)</f>
        <v>52988005852</v>
      </c>
      <c r="L685" s="1" t="s">
        <v>106</v>
      </c>
      <c r="M685" s="1"/>
      <c r="N685" s="1"/>
      <c r="O685" s="1"/>
    </row>
    <row r="686" spans="1:15">
      <c r="E686" s="127">
        <f>E685/C685</f>
        <v>9756.2938529596868</v>
      </c>
      <c r="F686" s="126">
        <f>F685/C685</f>
        <v>8856.144395468451</v>
      </c>
      <c r="G686" s="128">
        <f>G685/C685</f>
        <v>760.54794157743572</v>
      </c>
      <c r="H686" s="129">
        <f>H685/C685</f>
        <v>145.36292795014538</v>
      </c>
      <c r="I686" s="132">
        <f>I685/C685</f>
        <v>4.3709731900236228E-2</v>
      </c>
      <c r="L686" s="1" t="s">
        <v>107</v>
      </c>
      <c r="M686" s="1"/>
      <c r="N686" s="1"/>
      <c r="O686" s="1"/>
    </row>
    <row r="687" spans="1:15">
      <c r="E687" s="156">
        <f>E685/J685</f>
        <v>0.49985129098949149</v>
      </c>
      <c r="F687" s="157">
        <f>F685/J685</f>
        <v>0.45373327986849699</v>
      </c>
      <c r="G687" s="158">
        <f>G685/J685</f>
        <v>3.8965705234632234E-2</v>
      </c>
      <c r="H687" s="159">
        <f>H685/J685</f>
        <v>7.4474844949294315E-3</v>
      </c>
      <c r="I687" s="160">
        <f>I685/J685</f>
        <v>2.2394124498935294E-6</v>
      </c>
      <c r="L687" s="1" t="s">
        <v>108</v>
      </c>
      <c r="M687" s="1"/>
      <c r="N687" s="1"/>
      <c r="O687" s="1"/>
    </row>
    <row r="688" spans="1:15" s="1" customFormat="1">
      <c r="A688"/>
      <c r="B688"/>
      <c r="C688" s="7"/>
      <c r="D688"/>
      <c r="E688" s="127"/>
      <c r="F688" s="126"/>
      <c r="G688" s="128"/>
      <c r="H688" s="129"/>
      <c r="I688" s="132"/>
      <c r="J688" s="130"/>
      <c r="L688" s="1" t="s">
        <v>109</v>
      </c>
    </row>
    <row r="689" spans="1:18">
      <c r="A689" s="1" t="s">
        <v>2130</v>
      </c>
      <c r="B689" s="1" t="s">
        <v>1638</v>
      </c>
      <c r="C689" s="137"/>
      <c r="D689" s="1" t="s">
        <v>1639</v>
      </c>
      <c r="E689" s="68">
        <v>100099355</v>
      </c>
      <c r="F689" s="68">
        <v>72766966</v>
      </c>
      <c r="G689" s="68">
        <v>14202125</v>
      </c>
      <c r="H689" s="68"/>
      <c r="I689" s="68"/>
      <c r="L689" s="1" t="s">
        <v>110</v>
      </c>
      <c r="M689" s="1"/>
      <c r="N689" s="1"/>
      <c r="O689" s="1"/>
    </row>
    <row r="690" spans="1:18">
      <c r="B690" s="34" t="s">
        <v>87</v>
      </c>
      <c r="E690" s="127">
        <f>'Dist Food Sv &amp; Capital'!S21</f>
        <v>30435588</v>
      </c>
      <c r="F690" s="126">
        <f>'Dist Food Sv &amp; Capital'!S39</f>
        <v>121389</v>
      </c>
      <c r="G690" s="128">
        <f>'Dist Food Sv &amp; Capital'!S9</f>
        <v>2536855</v>
      </c>
      <c r="H690" s="129">
        <f>'Dist Food Sv &amp; Capital'!S34</f>
        <v>426801</v>
      </c>
      <c r="I690" s="132">
        <f>'Dist Food Sv &amp; Capital'!S11</f>
        <v>0</v>
      </c>
      <c r="L690" s="1" t="s">
        <v>111</v>
      </c>
      <c r="M690" s="1"/>
      <c r="N690" s="1"/>
      <c r="O690" s="1"/>
    </row>
    <row r="691" spans="1:18">
      <c r="B691" s="34" t="s">
        <v>98</v>
      </c>
      <c r="E691" s="127">
        <f>SUM(E689:E690)</f>
        <v>130534943</v>
      </c>
      <c r="F691" s="126">
        <f>SUM(F689:F690)</f>
        <v>72888355</v>
      </c>
      <c r="G691" s="128">
        <f>SUM(G689:G690)</f>
        <v>16738980</v>
      </c>
      <c r="H691" s="129">
        <f>SUM(H689:H690)</f>
        <v>426801</v>
      </c>
      <c r="I691" s="132">
        <f>SUM(I689:I690)</f>
        <v>0</v>
      </c>
      <c r="L691" s="1" t="s">
        <v>112</v>
      </c>
      <c r="M691" s="1"/>
      <c r="N691" s="1"/>
      <c r="O691" s="1"/>
    </row>
    <row r="692" spans="1:18">
      <c r="B692" s="34" t="s">
        <v>89</v>
      </c>
      <c r="C692" s="7">
        <v>321</v>
      </c>
      <c r="F692" s="126">
        <f>M683*C692</f>
        <v>4041556.3290068144</v>
      </c>
      <c r="G692" s="128">
        <f>N683*C692</f>
        <v>5937007.9825774403</v>
      </c>
    </row>
    <row r="693" spans="1:18">
      <c r="B693" s="34" t="s">
        <v>132</v>
      </c>
      <c r="E693" s="127">
        <f>'Charter Work File'!E197</f>
        <v>8017133.7952298848</v>
      </c>
      <c r="F693" s="126">
        <f>'Charter Work File'!K197</f>
        <v>6765834.2047701143</v>
      </c>
      <c r="L693" s="1" t="s">
        <v>137</v>
      </c>
      <c r="M693" s="1"/>
      <c r="N693" s="1"/>
      <c r="O693" s="1"/>
      <c r="P693" s="1"/>
      <c r="Q693" s="1"/>
      <c r="R693" s="1"/>
    </row>
    <row r="694" spans="1:18">
      <c r="B694" s="34" t="s">
        <v>90</v>
      </c>
      <c r="F694" s="126">
        <f>Adult!L3</f>
        <v>14140</v>
      </c>
      <c r="L694" s="1" t="s">
        <v>138</v>
      </c>
      <c r="M694" s="1"/>
      <c r="N694" s="1"/>
      <c r="O694" s="1"/>
      <c r="P694" s="1"/>
      <c r="Q694" s="1"/>
      <c r="R694" s="1"/>
    </row>
    <row r="695" spans="1:18">
      <c r="B695" s="136" t="s">
        <v>99</v>
      </c>
      <c r="C695" s="7">
        <v>8603</v>
      </c>
      <c r="E695" s="127">
        <f>E691-(E692+E693+E694)</f>
        <v>122517809.20477012</v>
      </c>
      <c r="F695" s="126">
        <f>F691-(F692+F693+F694)</f>
        <v>62066824.466223076</v>
      </c>
      <c r="G695" s="128">
        <f>G691-(G692+G693+G694)</f>
        <v>10801972.017422561</v>
      </c>
      <c r="H695" s="129">
        <f>H691-(H692+H693+H694)</f>
        <v>426801</v>
      </c>
      <c r="I695" s="132">
        <f>I691-(I692+I693+I694)</f>
        <v>0</v>
      </c>
      <c r="J695" s="130">
        <f>SUM(E695:I695)</f>
        <v>195813406.68841577</v>
      </c>
      <c r="L695" s="1" t="s">
        <v>36</v>
      </c>
      <c r="M695" s="1"/>
      <c r="N695" s="1"/>
      <c r="O695" s="1"/>
      <c r="P695" s="1"/>
      <c r="Q695" s="1"/>
      <c r="R695" s="1"/>
    </row>
    <row r="696" spans="1:18">
      <c r="B696" s="34"/>
      <c r="E696" s="127">
        <f>E695/C695</f>
        <v>14241.288992766491</v>
      </c>
      <c r="F696" s="126">
        <f>F695/C695</f>
        <v>7214.5559068026359</v>
      </c>
      <c r="G696" s="128">
        <f>G695/C695</f>
        <v>1255.605256006342</v>
      </c>
      <c r="H696" s="129">
        <f>H695/C695</f>
        <v>49.610717191677324</v>
      </c>
      <c r="I696" s="132">
        <f>I695/C695</f>
        <v>0</v>
      </c>
      <c r="L696" s="1" t="s">
        <v>37</v>
      </c>
      <c r="M696" s="1"/>
      <c r="N696" s="1"/>
      <c r="O696" s="1"/>
      <c r="P696" s="1"/>
      <c r="Q696" s="1"/>
      <c r="R696" s="1"/>
    </row>
    <row r="697" spans="1:18">
      <c r="B697" s="34"/>
      <c r="E697" s="156">
        <f>E695/J695</f>
        <v>0.62568652104461964</v>
      </c>
      <c r="F697" s="157">
        <f>F695/J695</f>
        <v>0.31696922859314575</v>
      </c>
      <c r="G697" s="158">
        <f>G695/J695</f>
        <v>5.5164619216349096E-2</v>
      </c>
      <c r="H697" s="159">
        <f>H695/J695</f>
        <v>2.1796311458854231E-3</v>
      </c>
      <c r="I697" s="160">
        <f>I695/J695</f>
        <v>0</v>
      </c>
    </row>
    <row r="698" spans="1:18" s="1" customFormat="1">
      <c r="A698"/>
      <c r="B698"/>
      <c r="C698" s="7"/>
      <c r="D698"/>
      <c r="E698" s="127"/>
      <c r="F698" s="126"/>
      <c r="G698" s="128"/>
      <c r="H698" s="129"/>
      <c r="I698" s="132"/>
      <c r="J698" s="130"/>
    </row>
    <row r="699" spans="1:18">
      <c r="A699" s="1" t="s">
        <v>2151</v>
      </c>
      <c r="B699" s="1" t="s">
        <v>1350</v>
      </c>
      <c r="C699" s="137"/>
      <c r="D699" s="1" t="s">
        <v>1639</v>
      </c>
      <c r="E699" s="68">
        <v>106159756</v>
      </c>
      <c r="F699" s="68">
        <v>548458716</v>
      </c>
      <c r="G699" s="68">
        <v>69637969</v>
      </c>
      <c r="H699" s="68"/>
      <c r="I699" s="68"/>
    </row>
    <row r="700" spans="1:18">
      <c r="B700" s="34" t="s">
        <v>87</v>
      </c>
      <c r="E700" s="127">
        <f>'Dist Food Sv &amp; Capital'!T21</f>
        <v>5942800</v>
      </c>
      <c r="F700" s="126">
        <f>'Dist Food Sv &amp; Capital'!T39</f>
        <v>756078</v>
      </c>
      <c r="G700" s="128">
        <f>'Dist Food Sv &amp; Capital'!T9</f>
        <v>16193712</v>
      </c>
      <c r="H700" s="129">
        <f>'Dist Food Sv &amp; Capital'!T34</f>
        <v>4109734</v>
      </c>
      <c r="I700" s="132">
        <f>'Dist Food Sv &amp; Capital'!T11</f>
        <v>0</v>
      </c>
    </row>
    <row r="701" spans="1:18">
      <c r="B701" s="34" t="s">
        <v>102</v>
      </c>
      <c r="E701" s="127">
        <f>SUM(E699:E700)</f>
        <v>112102556</v>
      </c>
      <c r="F701" s="126">
        <f>SUM(F699:F700)</f>
        <v>549214794</v>
      </c>
      <c r="G701" s="128">
        <f>SUM(G699:G700)</f>
        <v>85831681</v>
      </c>
      <c r="H701" s="129">
        <f>SUM(H699:H700)</f>
        <v>4109734</v>
      </c>
      <c r="I701" s="132">
        <f>SUM(I699:I700)</f>
        <v>0</v>
      </c>
    </row>
    <row r="702" spans="1:18">
      <c r="B702" s="34" t="s">
        <v>89</v>
      </c>
      <c r="C702" s="7">
        <v>1951</v>
      </c>
      <c r="F702" s="126">
        <f>M683*C702</f>
        <v>24564100.928013381</v>
      </c>
      <c r="G702" s="128">
        <f>N683*C702</f>
        <v>36084431.694730796</v>
      </c>
    </row>
    <row r="703" spans="1:18">
      <c r="B703" s="34" t="s">
        <v>132</v>
      </c>
      <c r="E703" s="127">
        <f>'Charter Work File'!E183</f>
        <v>7231849.9014010867</v>
      </c>
      <c r="F703" s="126">
        <f>'Charter Work File'!K183</f>
        <v>37230455.098598912</v>
      </c>
    </row>
    <row r="704" spans="1:18">
      <c r="B704" s="34" t="s">
        <v>90</v>
      </c>
      <c r="F704" s="126">
        <f>Adult!L7</f>
        <v>215890</v>
      </c>
      <c r="G704" s="128">
        <f>Adult!L12</f>
        <v>302988</v>
      </c>
    </row>
    <row r="705" spans="1:12">
      <c r="B705" s="136" t="s">
        <v>103</v>
      </c>
      <c r="C705" s="7">
        <v>34589</v>
      </c>
      <c r="E705" s="127">
        <f>E701-(E702+E703+E704)</f>
        <v>104870706.09859891</v>
      </c>
      <c r="F705" s="126">
        <f>F701-(F702+F703+F704)</f>
        <v>487204347.97338772</v>
      </c>
      <c r="G705" s="128">
        <f>G701-(G702+G703+G704)</f>
        <v>49444261.305269204</v>
      </c>
      <c r="H705" s="129">
        <f>H701-(H702+H703+H704)</f>
        <v>4109734</v>
      </c>
      <c r="I705" s="132">
        <f>I701-(I702+I703+I704)</f>
        <v>0</v>
      </c>
      <c r="J705" s="130">
        <f>SUM(E705:I705)</f>
        <v>645629049.37725592</v>
      </c>
    </row>
    <row r="706" spans="1:12">
      <c r="B706" s="34"/>
      <c r="E706" s="127">
        <f>E705/C705</f>
        <v>3031.9091647228574</v>
      </c>
      <c r="F706" s="126">
        <f>F705/C705</f>
        <v>14085.52857768041</v>
      </c>
      <c r="G706" s="128">
        <f>G705/C705</f>
        <v>1429.4793519693892</v>
      </c>
      <c r="H706" s="129">
        <f>H705/C705</f>
        <v>118.81621324698604</v>
      </c>
      <c r="I706" s="132">
        <f>I705/C705</f>
        <v>0</v>
      </c>
    </row>
    <row r="707" spans="1:12">
      <c r="B707" s="34"/>
      <c r="E707" s="156">
        <f>E705/J705</f>
        <v>0.16243182706811654</v>
      </c>
      <c r="F707" s="157">
        <f>F705/J705</f>
        <v>0.75461962011053041</v>
      </c>
      <c r="G707" s="158">
        <f>G705/J705</f>
        <v>7.6583080257867683E-2</v>
      </c>
      <c r="H707" s="159">
        <f>H705/J705</f>
        <v>6.3654725634852711E-3</v>
      </c>
      <c r="I707" s="160">
        <f>I705/J705</f>
        <v>0</v>
      </c>
    </row>
    <row r="708" spans="1:12" s="1" customFormat="1">
      <c r="A708"/>
      <c r="B708"/>
      <c r="C708" s="7"/>
      <c r="D708"/>
      <c r="E708" s="127"/>
      <c r="F708" s="126"/>
      <c r="G708" s="128"/>
      <c r="H708" s="129"/>
      <c r="I708" s="132"/>
      <c r="J708" s="130"/>
    </row>
    <row r="709" spans="1:12">
      <c r="A709" s="1" t="s">
        <v>1977</v>
      </c>
      <c r="B709" s="1" t="s">
        <v>1155</v>
      </c>
      <c r="C709" s="137"/>
      <c r="D709" s="1" t="s">
        <v>1639</v>
      </c>
      <c r="E709" s="68">
        <v>8536341160</v>
      </c>
      <c r="F709" s="68">
        <v>8073019131</v>
      </c>
      <c r="G709" s="68">
        <v>1586091039</v>
      </c>
      <c r="H709" s="68"/>
      <c r="I709" s="68"/>
    </row>
    <row r="710" spans="1:12">
      <c r="B710" s="34" t="s">
        <v>87</v>
      </c>
      <c r="E710" s="127">
        <f>'Dist Food Sv &amp; Capital'!U21</f>
        <v>0</v>
      </c>
      <c r="F710" s="126">
        <f>'Dist Food Sv &amp; Capital'!U39</f>
        <v>1772729586</v>
      </c>
      <c r="G710" s="128">
        <f>'Dist Food Sv &amp; Capital'!U9</f>
        <v>317023056</v>
      </c>
      <c r="H710" s="129">
        <f>'Dist Food Sv &amp; Capital'!U34</f>
        <v>36648466</v>
      </c>
      <c r="I710" s="132">
        <f>'Dist Food Sv &amp; Capital'!U11</f>
        <v>118662</v>
      </c>
    </row>
    <row r="711" spans="1:12">
      <c r="B711" s="34" t="s">
        <v>100</v>
      </c>
      <c r="E711" s="127">
        <f>SUM(E709:E710)</f>
        <v>8536341160</v>
      </c>
      <c r="F711" s="126">
        <f>SUM(F709:F710)</f>
        <v>9845748717</v>
      </c>
      <c r="G711" s="128">
        <f>SUM(G709:G710)</f>
        <v>1903114095</v>
      </c>
      <c r="H711" s="129">
        <f>SUM(H709:H710)</f>
        <v>36648466</v>
      </c>
      <c r="I711" s="132">
        <f>SUM(I709:I710)</f>
        <v>118662</v>
      </c>
    </row>
    <row r="712" spans="1:12">
      <c r="B712" s="34" t="s">
        <v>89</v>
      </c>
      <c r="C712" s="7">
        <v>19028</v>
      </c>
      <c r="F712" s="126">
        <f>M683*C712</f>
        <v>239572379.52754411</v>
      </c>
      <c r="G712" s="128">
        <f>N683*C712</f>
        <v>351929557.2974565</v>
      </c>
    </row>
    <row r="713" spans="1:12">
      <c r="B713" s="34" t="s">
        <v>132</v>
      </c>
      <c r="E713" s="127">
        <f>'Charter Work File'!E163</f>
        <v>73980321.672863245</v>
      </c>
      <c r="F713" s="126">
        <f>'Charter Work File'!K163</f>
        <v>85402905.32713674</v>
      </c>
    </row>
    <row r="714" spans="1:12">
      <c r="B714" s="34" t="s">
        <v>90</v>
      </c>
      <c r="F714" s="126">
        <f>Adult!L15</f>
        <v>220647</v>
      </c>
      <c r="G714" s="128">
        <f>Adult!L21</f>
        <v>4717402</v>
      </c>
    </row>
    <row r="715" spans="1:12">
      <c r="B715" s="136" t="s">
        <v>101</v>
      </c>
      <c r="C715" s="7">
        <f>956263+21007</f>
        <v>977270</v>
      </c>
      <c r="E715" s="127">
        <f>E711-(E712+E713+E714)</f>
        <v>8462360838.327137</v>
      </c>
      <c r="F715" s="126">
        <f>F711-(F712+F713+F714)</f>
        <v>9520552785.145319</v>
      </c>
      <c r="G715" s="128">
        <f>G711-(G712+G713+G714)</f>
        <v>1546467135.7025435</v>
      </c>
      <c r="H715" s="129">
        <f>H711-(H712+H713+H714)</f>
        <v>36648466</v>
      </c>
      <c r="I715" s="132">
        <f>I711-(I712+I713+I714)</f>
        <v>118662</v>
      </c>
      <c r="J715" s="130">
        <f>SUM(E715:I715)</f>
        <v>19566147887.175003</v>
      </c>
      <c r="L715" t="s">
        <v>38</v>
      </c>
    </row>
    <row r="716" spans="1:12">
      <c r="E716" s="127">
        <f>E715/C715</f>
        <v>8659.1840927554695</v>
      </c>
      <c r="F716" s="126">
        <f>F715/C715</f>
        <v>9741.9881763947724</v>
      </c>
      <c r="G716" s="128">
        <f>G715/C715</f>
        <v>1582.4359037958225</v>
      </c>
      <c r="H716" s="129">
        <f>H715/C715</f>
        <v>37.500860560541099</v>
      </c>
      <c r="I716" s="132">
        <f>I715/C715</f>
        <v>0.12142192024721929</v>
      </c>
      <c r="J716" s="130">
        <f>SUM(E716:I716)</f>
        <v>20021.230455426856</v>
      </c>
      <c r="L716" t="s">
        <v>39</v>
      </c>
    </row>
    <row r="717" spans="1:12">
      <c r="E717" s="156">
        <f>E715/J715</f>
        <v>0.43250009593732802</v>
      </c>
      <c r="F717" s="157">
        <f>F715/J715</f>
        <v>0.48658289000185584</v>
      </c>
      <c r="G717" s="158">
        <f>G715/J715</f>
        <v>7.9037894664805444E-2</v>
      </c>
      <c r="H717" s="159">
        <f>H715/J715</f>
        <v>1.8730547377709397E-3</v>
      </c>
      <c r="I717" s="160">
        <f>I715/J715</f>
        <v>6.0646582395392825E-6</v>
      </c>
    </row>
  </sheetData>
  <pageMargins left="0.7" right="0.7" top="0.75" bottom="0.75" header="0.3" footer="0.3"/>
  <legacyDrawing r:id="rId1"/>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U89"/>
  <sheetViews>
    <sheetView topLeftCell="N1" workbookViewId="0">
      <selection activeCell="S3" sqref="S3:U3"/>
    </sheetView>
  </sheetViews>
  <sheetFormatPr baseColWidth="10" defaultColWidth="8.83203125" defaultRowHeight="12"/>
  <cols>
    <col min="1" max="1" width="38.1640625" customWidth="1"/>
    <col min="2" max="2" width="17.1640625" customWidth="1"/>
    <col min="3" max="3" width="8.83203125" customWidth="1"/>
    <col min="4" max="4" width="9.6640625" customWidth="1"/>
    <col min="5" max="5" width="12" customWidth="1"/>
    <col min="6" max="19" width="21.5" customWidth="1"/>
    <col min="20" max="20" width="11.33203125" bestFit="1" customWidth="1"/>
    <col min="21" max="21" width="14" bestFit="1" customWidth="1"/>
  </cols>
  <sheetData>
    <row r="1" spans="1:21">
      <c r="A1" t="s">
        <v>377</v>
      </c>
    </row>
    <row r="2" spans="1:21">
      <c r="S2" s="77" t="s">
        <v>2130</v>
      </c>
      <c r="T2">
        <v>140600</v>
      </c>
      <c r="U2">
        <v>300000</v>
      </c>
    </row>
    <row r="3" spans="1:21">
      <c r="F3" t="s">
        <v>391</v>
      </c>
      <c r="S3" s="50" t="s">
        <v>2117</v>
      </c>
      <c r="T3" s="80" t="s">
        <v>1765</v>
      </c>
      <c r="U3" s="82" t="s">
        <v>392</v>
      </c>
    </row>
    <row r="4" spans="1:21">
      <c r="B4" t="s">
        <v>302</v>
      </c>
      <c r="C4" t="s">
        <v>301</v>
      </c>
      <c r="D4" t="s">
        <v>295</v>
      </c>
      <c r="E4" t="s">
        <v>296</v>
      </c>
      <c r="F4" s="78" t="s">
        <v>406</v>
      </c>
      <c r="G4" s="34" t="s">
        <v>407</v>
      </c>
      <c r="H4" s="79" t="s">
        <v>408</v>
      </c>
      <c r="I4" s="34" t="s">
        <v>409</v>
      </c>
      <c r="J4" s="34" t="s">
        <v>410</v>
      </c>
      <c r="K4" s="81" t="s">
        <v>411</v>
      </c>
      <c r="L4" s="34" t="s">
        <v>412</v>
      </c>
      <c r="M4" s="34" t="s">
        <v>413</v>
      </c>
      <c r="N4" s="34" t="s">
        <v>414</v>
      </c>
      <c r="O4" s="34" t="s">
        <v>415</v>
      </c>
      <c r="P4" s="34" t="s">
        <v>416</v>
      </c>
      <c r="R4" s="34" t="s">
        <v>1737</v>
      </c>
    </row>
    <row r="5" spans="1:21">
      <c r="A5" t="s">
        <v>383</v>
      </c>
      <c r="B5" t="s">
        <v>2247</v>
      </c>
      <c r="C5">
        <v>58</v>
      </c>
      <c r="D5" s="5">
        <v>6</v>
      </c>
      <c r="E5" t="s">
        <v>362</v>
      </c>
      <c r="F5" s="42">
        <v>7851</v>
      </c>
      <c r="G5" s="42">
        <v>8515</v>
      </c>
      <c r="H5" s="42">
        <v>51310</v>
      </c>
      <c r="I5" s="42">
        <v>30117</v>
      </c>
      <c r="J5" s="42">
        <v>5788</v>
      </c>
      <c r="K5" s="42">
        <v>230945</v>
      </c>
      <c r="L5" s="42">
        <v>31256</v>
      </c>
      <c r="M5" s="42">
        <v>63297</v>
      </c>
      <c r="N5" s="42">
        <v>40565</v>
      </c>
      <c r="O5" s="42">
        <v>107872</v>
      </c>
      <c r="P5" s="42">
        <v>6831</v>
      </c>
      <c r="Q5" s="42">
        <v>26419</v>
      </c>
      <c r="R5" s="42">
        <f>SUM(F5:Q5)</f>
        <v>610766</v>
      </c>
      <c r="S5" s="42"/>
      <c r="T5" s="42"/>
      <c r="U5" s="42"/>
    </row>
    <row r="6" spans="1:21">
      <c r="A6" t="s">
        <v>388</v>
      </c>
      <c r="B6" t="s">
        <v>2247</v>
      </c>
      <c r="C6">
        <v>58</v>
      </c>
      <c r="D6" s="5">
        <v>11</v>
      </c>
      <c r="E6" t="s">
        <v>362</v>
      </c>
      <c r="F6" s="42">
        <v>1624879</v>
      </c>
      <c r="G6" s="42">
        <v>1534558</v>
      </c>
      <c r="H6" s="42">
        <v>3351610</v>
      </c>
      <c r="I6" s="42">
        <v>1360418</v>
      </c>
      <c r="J6" s="42">
        <v>4260180</v>
      </c>
      <c r="K6" s="42">
        <v>22021197</v>
      </c>
      <c r="L6" s="42">
        <v>3259191</v>
      </c>
      <c r="M6" s="42">
        <v>2209894</v>
      </c>
      <c r="N6" s="42">
        <v>3718058</v>
      </c>
      <c r="O6" s="42">
        <v>3349830</v>
      </c>
      <c r="P6" s="42">
        <v>1382418</v>
      </c>
      <c r="Q6" s="42">
        <v>1479437</v>
      </c>
      <c r="R6" s="42">
        <f>SUM(F6:Q6)</f>
        <v>49551670</v>
      </c>
      <c r="S6" s="42">
        <v>2449784</v>
      </c>
      <c r="T6" s="42">
        <v>14761848</v>
      </c>
      <c r="U6" s="42">
        <v>297023056</v>
      </c>
    </row>
    <row r="7" spans="1:21">
      <c r="A7" t="s">
        <v>389</v>
      </c>
      <c r="B7" t="s">
        <v>2247</v>
      </c>
      <c r="C7">
        <v>58</v>
      </c>
      <c r="D7" s="5">
        <v>12</v>
      </c>
      <c r="E7" t="s">
        <v>362</v>
      </c>
      <c r="F7" s="42">
        <v>270794</v>
      </c>
      <c r="G7" s="42">
        <v>53619</v>
      </c>
      <c r="H7" s="42">
        <v>1243078</v>
      </c>
      <c r="I7" s="42">
        <v>206192</v>
      </c>
      <c r="J7" s="42">
        <v>376057</v>
      </c>
      <c r="K7" s="42">
        <v>16616413</v>
      </c>
      <c r="L7" s="42">
        <v>823220</v>
      </c>
      <c r="M7" s="42">
        <v>188135</v>
      </c>
      <c r="N7" s="42">
        <v>72916</v>
      </c>
      <c r="O7" s="42">
        <v>193806</v>
      </c>
      <c r="P7" s="42">
        <v>132571</v>
      </c>
      <c r="Q7" s="42">
        <v>388573</v>
      </c>
      <c r="R7" s="42">
        <f>SUM(F7:Q7)</f>
        <v>20565374</v>
      </c>
      <c r="S7" s="42">
        <v>87071</v>
      </c>
      <c r="T7" s="42">
        <v>1431864</v>
      </c>
      <c r="U7" s="42">
        <v>20000000</v>
      </c>
    </row>
    <row r="8" spans="1:21">
      <c r="A8" s="34" t="s">
        <v>2211</v>
      </c>
      <c r="B8" s="34" t="s">
        <v>393</v>
      </c>
      <c r="C8" s="34">
        <v>65</v>
      </c>
      <c r="D8" s="5">
        <v>6</v>
      </c>
      <c r="E8" s="34" t="s">
        <v>362</v>
      </c>
      <c r="F8" s="42"/>
      <c r="G8" s="42">
        <v>0</v>
      </c>
      <c r="H8" s="42">
        <v>0</v>
      </c>
      <c r="I8" s="42">
        <v>0</v>
      </c>
      <c r="J8" s="42">
        <v>0</v>
      </c>
      <c r="K8" s="42">
        <v>0</v>
      </c>
      <c r="L8" s="42">
        <v>2977873</v>
      </c>
      <c r="M8" s="42">
        <v>321377</v>
      </c>
      <c r="N8" s="43">
        <v>0</v>
      </c>
      <c r="O8" s="42">
        <v>0</v>
      </c>
      <c r="P8" s="42">
        <v>0</v>
      </c>
      <c r="Q8" s="42">
        <v>0</v>
      </c>
      <c r="R8" s="42">
        <f>SUM(F8:Q8)</f>
        <v>3299250</v>
      </c>
      <c r="S8" s="42"/>
      <c r="T8" s="42"/>
      <c r="U8" s="42"/>
    </row>
    <row r="9" spans="1:21">
      <c r="A9" s="34"/>
      <c r="B9" s="34"/>
      <c r="C9" s="34"/>
      <c r="D9" s="5"/>
      <c r="E9" s="34"/>
      <c r="F9" s="42"/>
      <c r="G9" s="42"/>
      <c r="H9" s="42"/>
      <c r="I9" s="42"/>
      <c r="J9" s="42"/>
      <c r="K9" s="42"/>
      <c r="L9" s="42"/>
      <c r="M9" s="42"/>
      <c r="N9" s="43"/>
      <c r="O9" s="42"/>
      <c r="P9" s="42"/>
      <c r="Q9" s="42" t="s">
        <v>362</v>
      </c>
      <c r="R9" s="83">
        <f>SUM(R5:R8)</f>
        <v>74027060</v>
      </c>
      <c r="S9" s="83">
        <f>SUM(S5:S8)</f>
        <v>2536855</v>
      </c>
      <c r="T9" s="83">
        <f>SUM(T5:T8)</f>
        <v>16193712</v>
      </c>
      <c r="U9" s="83">
        <f>SUM(U5:U8)</f>
        <v>317023056</v>
      </c>
    </row>
    <row r="10" spans="1:21">
      <c r="A10" s="34" t="s">
        <v>303</v>
      </c>
      <c r="B10" s="34" t="s">
        <v>393</v>
      </c>
      <c r="C10" s="34">
        <v>65</v>
      </c>
      <c r="D10" s="5"/>
      <c r="E10" s="34" t="s">
        <v>300</v>
      </c>
      <c r="F10" s="42"/>
      <c r="G10" s="42"/>
      <c r="H10" s="42"/>
      <c r="I10" s="42"/>
      <c r="J10" s="42"/>
      <c r="K10" s="42">
        <f>U10</f>
        <v>118662</v>
      </c>
      <c r="L10" s="42"/>
      <c r="M10" s="42"/>
      <c r="N10" s="42"/>
      <c r="O10" s="42"/>
      <c r="P10" s="42"/>
      <c r="Q10" s="42"/>
      <c r="R10" s="42">
        <f>SUM(F10:Q10)</f>
        <v>118662</v>
      </c>
      <c r="S10" s="42"/>
      <c r="T10" s="42"/>
      <c r="U10" s="42">
        <v>118662</v>
      </c>
    </row>
    <row r="11" spans="1:21">
      <c r="A11" s="34"/>
      <c r="B11" s="34"/>
      <c r="C11" s="34"/>
      <c r="D11" s="5"/>
      <c r="E11" s="34"/>
      <c r="F11" s="42"/>
      <c r="G11" s="42"/>
      <c r="H11" s="42"/>
      <c r="I11" s="42"/>
      <c r="J11" s="42"/>
      <c r="K11" s="42"/>
      <c r="L11" s="42"/>
      <c r="M11" s="42"/>
      <c r="N11" s="42"/>
      <c r="O11" s="42"/>
      <c r="P11" s="42"/>
      <c r="Q11" s="42" t="s">
        <v>300</v>
      </c>
      <c r="R11" s="83">
        <f>SUM(R10)</f>
        <v>118662</v>
      </c>
      <c r="S11" s="83">
        <f>SUM(S10)</f>
        <v>0</v>
      </c>
      <c r="T11" s="83">
        <f>SUM(T10)</f>
        <v>0</v>
      </c>
      <c r="U11" s="83">
        <f>SUM(U10)</f>
        <v>118662</v>
      </c>
    </row>
    <row r="12" spans="1:21">
      <c r="A12" t="s">
        <v>386</v>
      </c>
      <c r="B12" t="s">
        <v>2247</v>
      </c>
      <c r="C12">
        <v>58</v>
      </c>
      <c r="D12" s="5">
        <v>9</v>
      </c>
      <c r="E12" t="s">
        <v>297</v>
      </c>
      <c r="F12" s="42">
        <v>1913977</v>
      </c>
      <c r="G12" s="42">
        <v>1579159</v>
      </c>
      <c r="H12" s="42">
        <v>3925443</v>
      </c>
      <c r="I12" s="42">
        <v>1244935</v>
      </c>
      <c r="J12" s="42">
        <v>3781782</v>
      </c>
      <c r="K12" s="42">
        <v>13816143</v>
      </c>
      <c r="L12" s="42">
        <v>2668838</v>
      </c>
      <c r="M12" s="42">
        <v>2230694</v>
      </c>
      <c r="N12" s="42">
        <v>2447345</v>
      </c>
      <c r="O12" s="42">
        <v>1764073</v>
      </c>
      <c r="P12" s="42">
        <v>1883868</v>
      </c>
      <c r="Q12" s="42">
        <v>1664549</v>
      </c>
      <c r="R12" s="42">
        <f t="shared" ref="R12:R20" si="0">SUM(F12:Q12)</f>
        <v>38920806</v>
      </c>
      <c r="S12" s="42">
        <v>32588</v>
      </c>
      <c r="T12" s="42">
        <v>53800</v>
      </c>
      <c r="U12" s="42"/>
    </row>
    <row r="13" spans="1:21">
      <c r="A13" s="34" t="s">
        <v>398</v>
      </c>
      <c r="B13" s="34" t="s">
        <v>393</v>
      </c>
      <c r="C13" s="34">
        <v>65</v>
      </c>
      <c r="D13" s="5">
        <v>9</v>
      </c>
      <c r="E13" s="34" t="s">
        <v>297</v>
      </c>
      <c r="F13" s="42"/>
      <c r="G13" s="42">
        <v>0</v>
      </c>
      <c r="H13" s="42">
        <v>0</v>
      </c>
      <c r="I13" s="42">
        <v>1375000</v>
      </c>
      <c r="J13" s="42">
        <v>361000</v>
      </c>
      <c r="K13" s="42">
        <v>0</v>
      </c>
      <c r="L13" s="42">
        <v>326885</v>
      </c>
      <c r="M13" s="42">
        <v>0</v>
      </c>
      <c r="N13" s="42">
        <v>0</v>
      </c>
      <c r="O13" s="42">
        <v>0</v>
      </c>
      <c r="P13" s="42">
        <v>6840000</v>
      </c>
      <c r="Q13" s="42">
        <v>21937517</v>
      </c>
      <c r="R13" s="42">
        <f t="shared" si="0"/>
        <v>30840402</v>
      </c>
      <c r="S13" s="42"/>
      <c r="T13" s="42"/>
      <c r="U13" s="42"/>
    </row>
    <row r="14" spans="1:21">
      <c r="A14" s="34" t="s">
        <v>399</v>
      </c>
      <c r="B14" s="34" t="s">
        <v>393</v>
      </c>
      <c r="C14" s="34">
        <v>65</v>
      </c>
      <c r="D14" s="5">
        <v>10</v>
      </c>
      <c r="E14" s="34" t="s">
        <v>297</v>
      </c>
      <c r="F14" s="42">
        <v>169950060</v>
      </c>
      <c r="G14" s="42">
        <v>31760672</v>
      </c>
      <c r="H14" s="42">
        <v>70690677</v>
      </c>
      <c r="I14" s="42">
        <v>73999689</v>
      </c>
      <c r="J14" s="42">
        <v>106817015</v>
      </c>
      <c r="K14" s="42">
        <v>106723390</v>
      </c>
      <c r="L14" s="42">
        <v>186188648</v>
      </c>
      <c r="M14" s="42">
        <v>94962404</v>
      </c>
      <c r="N14" s="42">
        <v>152243415</v>
      </c>
      <c r="O14" s="42">
        <v>220203000</v>
      </c>
      <c r="P14" s="42">
        <v>79072844</v>
      </c>
      <c r="Q14" s="42">
        <v>143742767</v>
      </c>
      <c r="R14" s="42">
        <f t="shared" si="0"/>
        <v>1436354581</v>
      </c>
      <c r="S14" s="42">
        <v>26810000</v>
      </c>
      <c r="T14" s="42">
        <v>5889000</v>
      </c>
      <c r="U14" s="42"/>
    </row>
    <row r="15" spans="1:21">
      <c r="A15" s="34" t="s">
        <v>400</v>
      </c>
      <c r="B15" s="34" t="s">
        <v>393</v>
      </c>
      <c r="C15" s="34">
        <v>65</v>
      </c>
      <c r="D15" s="5">
        <v>11</v>
      </c>
      <c r="E15" s="34" t="s">
        <v>297</v>
      </c>
      <c r="F15" s="42">
        <v>2424522</v>
      </c>
      <c r="G15" s="42">
        <v>710089</v>
      </c>
      <c r="H15" s="42">
        <v>718400</v>
      </c>
      <c r="I15" s="42">
        <v>1489469</v>
      </c>
      <c r="J15" s="42">
        <v>1007011</v>
      </c>
      <c r="K15" s="42">
        <v>78475</v>
      </c>
      <c r="L15" s="42">
        <v>165512</v>
      </c>
      <c r="M15" s="42">
        <v>1062188</v>
      </c>
      <c r="N15" s="42">
        <v>442170</v>
      </c>
      <c r="O15" s="42">
        <v>607412</v>
      </c>
      <c r="P15" s="42">
        <v>378879</v>
      </c>
      <c r="Q15" s="42">
        <v>0</v>
      </c>
      <c r="R15" s="42">
        <f t="shared" si="0"/>
        <v>9084127</v>
      </c>
      <c r="S15" s="42"/>
      <c r="T15" s="42"/>
      <c r="U15" s="42"/>
    </row>
    <row r="16" spans="1:21">
      <c r="A16" s="34" t="s">
        <v>401</v>
      </c>
      <c r="B16" s="34" t="s">
        <v>393</v>
      </c>
      <c r="C16" s="34">
        <v>65</v>
      </c>
      <c r="D16" s="5">
        <v>12</v>
      </c>
      <c r="E16" s="34" t="s">
        <v>297</v>
      </c>
      <c r="F16" s="42">
        <v>0</v>
      </c>
      <c r="G16" s="42">
        <v>275000</v>
      </c>
      <c r="H16" s="42">
        <v>0</v>
      </c>
      <c r="I16" s="42">
        <v>91000</v>
      </c>
      <c r="J16" s="42">
        <v>156784</v>
      </c>
      <c r="K16" s="42">
        <v>0</v>
      </c>
      <c r="L16" s="42">
        <v>0</v>
      </c>
      <c r="M16" s="42">
        <v>10681937</v>
      </c>
      <c r="N16" s="42">
        <v>0</v>
      </c>
      <c r="O16" s="42">
        <v>10000000</v>
      </c>
      <c r="P16" s="42">
        <v>0</v>
      </c>
      <c r="Q16" s="42">
        <v>0</v>
      </c>
      <c r="R16" s="42">
        <f t="shared" si="0"/>
        <v>21204721</v>
      </c>
      <c r="S16" s="42"/>
      <c r="T16" s="42"/>
      <c r="U16" s="42"/>
    </row>
    <row r="17" spans="1:21">
      <c r="A17" s="34" t="s">
        <v>402</v>
      </c>
      <c r="B17" s="34" t="s">
        <v>393</v>
      </c>
      <c r="C17" s="34">
        <v>65</v>
      </c>
      <c r="D17" s="5">
        <v>13</v>
      </c>
      <c r="E17" s="34" t="s">
        <v>297</v>
      </c>
      <c r="F17" s="42">
        <v>7883483</v>
      </c>
      <c r="G17" s="42">
        <v>2972787</v>
      </c>
      <c r="H17" s="42">
        <v>8407413</v>
      </c>
      <c r="I17" s="42">
        <v>2137693</v>
      </c>
      <c r="J17" s="42">
        <v>1880502</v>
      </c>
      <c r="K17" s="42">
        <v>451808</v>
      </c>
      <c r="L17" s="42">
        <v>6445337</v>
      </c>
      <c r="M17" s="42">
        <v>1723301</v>
      </c>
      <c r="N17" s="42">
        <v>2905740</v>
      </c>
      <c r="O17" s="42">
        <v>2133137</v>
      </c>
      <c r="P17" s="42">
        <v>4434700</v>
      </c>
      <c r="Q17" s="42">
        <v>486000</v>
      </c>
      <c r="R17" s="42">
        <f t="shared" si="0"/>
        <v>41861901</v>
      </c>
      <c r="S17" s="42">
        <v>3593000</v>
      </c>
      <c r="T17" s="42"/>
      <c r="U17" s="42"/>
    </row>
    <row r="18" spans="1:21">
      <c r="A18" s="34" t="s">
        <v>403</v>
      </c>
      <c r="B18" s="34" t="s">
        <v>393</v>
      </c>
      <c r="C18" s="34">
        <v>65</v>
      </c>
      <c r="D18" s="5">
        <v>14</v>
      </c>
      <c r="E18" s="34" t="s">
        <v>297</v>
      </c>
      <c r="F18" s="42">
        <v>0</v>
      </c>
      <c r="G18" s="42">
        <v>0</v>
      </c>
      <c r="H18" s="42">
        <v>248581</v>
      </c>
      <c r="I18" s="42">
        <v>0</v>
      </c>
      <c r="J18" s="42">
        <v>0</v>
      </c>
      <c r="K18" s="42">
        <v>0</v>
      </c>
      <c r="L18" s="42">
        <v>0</v>
      </c>
      <c r="M18" s="42">
        <v>0</v>
      </c>
      <c r="N18" s="42">
        <v>0</v>
      </c>
      <c r="O18" s="42">
        <v>0</v>
      </c>
      <c r="P18" s="42">
        <v>0</v>
      </c>
      <c r="Q18" s="42">
        <v>0</v>
      </c>
      <c r="R18" s="42">
        <f t="shared" si="0"/>
        <v>248581</v>
      </c>
      <c r="S18" s="42"/>
      <c r="T18" s="42"/>
      <c r="U18" s="42"/>
    </row>
    <row r="19" spans="1:21">
      <c r="A19" s="34" t="s">
        <v>404</v>
      </c>
      <c r="B19" s="34" t="s">
        <v>393</v>
      </c>
      <c r="C19" s="34">
        <v>65</v>
      </c>
      <c r="D19" s="5">
        <v>15</v>
      </c>
      <c r="E19" s="34" t="s">
        <v>297</v>
      </c>
      <c r="F19" s="42">
        <v>1080428</v>
      </c>
      <c r="G19" s="42">
        <v>541987</v>
      </c>
      <c r="H19" s="42">
        <v>1481063</v>
      </c>
      <c r="I19" s="42">
        <v>1865049</v>
      </c>
      <c r="J19" s="42">
        <v>4407993</v>
      </c>
      <c r="K19" s="42">
        <v>3680822</v>
      </c>
      <c r="L19" s="42">
        <v>93452</v>
      </c>
      <c r="M19" s="42">
        <v>244274</v>
      </c>
      <c r="N19" s="42">
        <v>3148017</v>
      </c>
      <c r="O19" s="42">
        <v>597661</v>
      </c>
      <c r="P19" s="42">
        <v>2158100</v>
      </c>
      <c r="Q19" s="42">
        <v>2895969</v>
      </c>
      <c r="R19" s="42">
        <f t="shared" si="0"/>
        <v>22194815</v>
      </c>
      <c r="S19" s="42"/>
      <c r="T19" s="42"/>
      <c r="U19" s="42"/>
    </row>
    <row r="20" spans="1:21">
      <c r="A20" s="34" t="s">
        <v>405</v>
      </c>
      <c r="B20" s="34" t="s">
        <v>393</v>
      </c>
      <c r="C20" s="34">
        <v>65</v>
      </c>
      <c r="D20" s="5">
        <v>16</v>
      </c>
      <c r="E20" s="34" t="s">
        <v>297</v>
      </c>
      <c r="F20" s="42">
        <v>176637</v>
      </c>
      <c r="G20" s="42">
        <v>163327</v>
      </c>
      <c r="H20" s="42">
        <v>1102070</v>
      </c>
      <c r="I20" s="42">
        <v>0</v>
      </c>
      <c r="J20" s="42">
        <v>7636474</v>
      </c>
      <c r="K20" s="42">
        <v>11164170</v>
      </c>
      <c r="L20" s="42">
        <v>0</v>
      </c>
      <c r="M20" s="42">
        <v>3275700</v>
      </c>
      <c r="N20" s="42">
        <v>40000</v>
      </c>
      <c r="O20" s="42">
        <v>0</v>
      </c>
      <c r="P20" s="42">
        <v>1800000</v>
      </c>
      <c r="Q20" s="42">
        <v>0</v>
      </c>
      <c r="R20" s="42">
        <f t="shared" si="0"/>
        <v>25358378</v>
      </c>
      <c r="S20" s="42"/>
      <c r="T20" s="42"/>
      <c r="U20" s="42"/>
    </row>
    <row r="21" spans="1:21">
      <c r="A21" s="34"/>
      <c r="B21" s="34"/>
      <c r="C21" s="34"/>
      <c r="D21" s="5"/>
      <c r="E21" s="34"/>
      <c r="F21" s="42"/>
      <c r="G21" s="42"/>
      <c r="H21" s="42"/>
      <c r="I21" s="42"/>
      <c r="J21" s="42"/>
      <c r="K21" s="42"/>
      <c r="L21" s="42"/>
      <c r="M21" s="42"/>
      <c r="N21" s="42"/>
      <c r="O21" s="42"/>
      <c r="P21" s="42"/>
      <c r="Q21" s="42" t="s">
        <v>297</v>
      </c>
      <c r="R21" s="83">
        <f>SUM(R12:R20)</f>
        <v>1626068312</v>
      </c>
      <c r="S21" s="83">
        <f>SUM(S12:S20)</f>
        <v>30435588</v>
      </c>
      <c r="T21" s="83">
        <f>SUM(T12:T20)</f>
        <v>5942800</v>
      </c>
      <c r="U21" s="83">
        <f>SUM(U12:U20)</f>
        <v>0</v>
      </c>
    </row>
    <row r="22" spans="1:21">
      <c r="A22" t="s">
        <v>378</v>
      </c>
      <c r="B22" t="s">
        <v>2247</v>
      </c>
      <c r="C22">
        <v>58</v>
      </c>
      <c r="D22" s="5">
        <v>1</v>
      </c>
      <c r="E22" t="s">
        <v>298</v>
      </c>
      <c r="F22" s="42">
        <v>9413561</v>
      </c>
      <c r="G22" s="42">
        <v>7869291</v>
      </c>
      <c r="H22" s="42">
        <v>15463834</v>
      </c>
      <c r="I22" s="42">
        <v>7026926</v>
      </c>
      <c r="J22" s="42">
        <v>21432054</v>
      </c>
      <c r="K22" s="42">
        <v>37688920</v>
      </c>
      <c r="L22" s="42">
        <v>19362125</v>
      </c>
      <c r="M22" s="43">
        <v>13954179</v>
      </c>
      <c r="N22" s="42">
        <v>16466886</v>
      </c>
      <c r="O22" s="42">
        <v>18879857</v>
      </c>
      <c r="P22" s="42">
        <v>9244636</v>
      </c>
      <c r="Q22" s="42">
        <v>15544080</v>
      </c>
      <c r="R22" s="42">
        <f t="shared" ref="R22:R33" si="1">SUM(F22:Q22)</f>
        <v>192346349</v>
      </c>
      <c r="S22" s="42">
        <v>353364</v>
      </c>
      <c r="T22" s="42"/>
      <c r="U22" s="42">
        <v>20045996</v>
      </c>
    </row>
    <row r="23" spans="1:21">
      <c r="A23" t="s">
        <v>379</v>
      </c>
      <c r="B23" t="s">
        <v>2247</v>
      </c>
      <c r="C23">
        <v>58</v>
      </c>
      <c r="D23" s="5">
        <v>2</v>
      </c>
      <c r="E23" t="s">
        <v>298</v>
      </c>
      <c r="F23" s="42">
        <v>6358652</v>
      </c>
      <c r="G23" s="42">
        <v>4400212</v>
      </c>
      <c r="H23" s="42">
        <v>11448378</v>
      </c>
      <c r="I23" s="42">
        <v>3191630</v>
      </c>
      <c r="J23" s="42">
        <v>11158292</v>
      </c>
      <c r="K23" s="42">
        <v>14325237</v>
      </c>
      <c r="L23" s="42">
        <v>10033334</v>
      </c>
      <c r="M23" s="42">
        <v>7175727</v>
      </c>
      <c r="N23" s="42">
        <v>15253568</v>
      </c>
      <c r="O23" s="42">
        <v>13913900</v>
      </c>
      <c r="P23" s="42">
        <v>7449917</v>
      </c>
      <c r="Q23" s="42">
        <v>7825411</v>
      </c>
      <c r="R23" s="42">
        <f t="shared" si="1"/>
        <v>112534258</v>
      </c>
      <c r="S23" s="42">
        <v>64956</v>
      </c>
      <c r="T23" s="42">
        <v>2143926</v>
      </c>
      <c r="U23" s="42"/>
    </row>
    <row r="24" spans="1:21">
      <c r="A24" t="s">
        <v>380</v>
      </c>
      <c r="B24" t="s">
        <v>2247</v>
      </c>
      <c r="C24">
        <v>58</v>
      </c>
      <c r="D24" s="5">
        <v>3</v>
      </c>
      <c r="E24" t="s">
        <v>298</v>
      </c>
      <c r="F24" s="42">
        <v>75179</v>
      </c>
      <c r="G24" s="42">
        <v>169843</v>
      </c>
      <c r="H24" s="42">
        <v>283392</v>
      </c>
      <c r="I24" s="42">
        <v>70376</v>
      </c>
      <c r="J24" s="42">
        <v>343485</v>
      </c>
      <c r="K24" s="42">
        <v>454010</v>
      </c>
      <c r="L24" s="42">
        <v>221041</v>
      </c>
      <c r="M24" s="42">
        <v>232652</v>
      </c>
      <c r="N24" s="42">
        <v>281449</v>
      </c>
      <c r="O24" s="42">
        <v>513381</v>
      </c>
      <c r="P24" s="42">
        <v>157465</v>
      </c>
      <c r="Q24" s="42">
        <v>316623</v>
      </c>
      <c r="R24" s="42">
        <f t="shared" si="1"/>
        <v>3118896</v>
      </c>
      <c r="S24" s="42"/>
      <c r="T24" s="42"/>
      <c r="U24" s="42"/>
    </row>
    <row r="25" spans="1:21">
      <c r="A25" t="s">
        <v>381</v>
      </c>
      <c r="B25" t="s">
        <v>2247</v>
      </c>
      <c r="C25">
        <v>58</v>
      </c>
      <c r="D25" s="5">
        <v>4</v>
      </c>
      <c r="E25" t="s">
        <v>298</v>
      </c>
      <c r="F25" s="42">
        <v>0</v>
      </c>
      <c r="G25" s="42">
        <v>1200</v>
      </c>
      <c r="H25" s="42">
        <v>0</v>
      </c>
      <c r="I25" s="42">
        <v>650</v>
      </c>
      <c r="J25" s="42">
        <v>0</v>
      </c>
      <c r="K25" s="42">
        <v>100</v>
      </c>
      <c r="L25" s="42">
        <v>3617</v>
      </c>
      <c r="M25" s="42">
        <v>930</v>
      </c>
      <c r="N25" s="42">
        <v>0</v>
      </c>
      <c r="O25" s="42">
        <v>0</v>
      </c>
      <c r="P25" s="42">
        <v>0</v>
      </c>
      <c r="Q25" s="42">
        <v>0</v>
      </c>
      <c r="R25" s="42">
        <f t="shared" si="1"/>
        <v>6497</v>
      </c>
      <c r="S25" s="42"/>
      <c r="T25" s="42"/>
      <c r="U25" s="42"/>
    </row>
    <row r="26" spans="1:21">
      <c r="A26" t="s">
        <v>382</v>
      </c>
      <c r="B26" t="s">
        <v>2247</v>
      </c>
      <c r="C26">
        <v>58</v>
      </c>
      <c r="D26" s="5">
        <v>5</v>
      </c>
      <c r="E26" t="s">
        <v>298</v>
      </c>
      <c r="F26" s="42">
        <v>8069</v>
      </c>
      <c r="G26" s="42">
        <v>0</v>
      </c>
      <c r="H26" s="42">
        <v>46495</v>
      </c>
      <c r="I26" s="42">
        <v>0</v>
      </c>
      <c r="J26" s="42">
        <v>388</v>
      </c>
      <c r="K26" s="42">
        <v>56699</v>
      </c>
      <c r="L26" s="42">
        <v>6894</v>
      </c>
      <c r="M26" s="42">
        <v>37610</v>
      </c>
      <c r="N26" s="42">
        <v>5589</v>
      </c>
      <c r="O26" s="42">
        <v>5327</v>
      </c>
      <c r="P26" s="42">
        <v>5955</v>
      </c>
      <c r="Q26" s="42">
        <v>0</v>
      </c>
      <c r="R26" s="42">
        <f t="shared" si="1"/>
        <v>173026</v>
      </c>
      <c r="S26" s="42"/>
      <c r="T26" s="42"/>
      <c r="U26" s="42"/>
    </row>
    <row r="27" spans="1:21">
      <c r="A27" t="s">
        <v>384</v>
      </c>
      <c r="B27" t="s">
        <v>2247</v>
      </c>
      <c r="C27">
        <v>58</v>
      </c>
      <c r="D27" s="5">
        <v>7</v>
      </c>
      <c r="E27" t="s">
        <v>298</v>
      </c>
      <c r="F27" s="42">
        <v>1000</v>
      </c>
      <c r="G27" s="42">
        <v>19575</v>
      </c>
      <c r="H27" s="42">
        <v>0</v>
      </c>
      <c r="I27" s="42">
        <v>2017</v>
      </c>
      <c r="J27" s="42">
        <v>2876</v>
      </c>
      <c r="K27" s="42">
        <v>33</v>
      </c>
      <c r="L27" s="42">
        <v>36441</v>
      </c>
      <c r="M27" s="42">
        <v>3880</v>
      </c>
      <c r="N27" s="42">
        <v>50</v>
      </c>
      <c r="O27" s="42">
        <v>0</v>
      </c>
      <c r="P27" s="42">
        <v>0</v>
      </c>
      <c r="Q27" s="42">
        <v>3940</v>
      </c>
      <c r="R27" s="42">
        <f t="shared" si="1"/>
        <v>69812</v>
      </c>
      <c r="S27" s="42">
        <v>76</v>
      </c>
      <c r="T27" s="42"/>
      <c r="U27" s="42"/>
    </row>
    <row r="28" spans="1:21">
      <c r="A28" t="s">
        <v>385</v>
      </c>
      <c r="B28" t="s">
        <v>2247</v>
      </c>
      <c r="C28">
        <v>58</v>
      </c>
      <c r="D28" s="5">
        <v>8</v>
      </c>
      <c r="E28" t="s">
        <v>298</v>
      </c>
      <c r="F28" s="42">
        <v>684439</v>
      </c>
      <c r="G28" s="42">
        <v>917648</v>
      </c>
      <c r="H28" s="42">
        <v>559503</v>
      </c>
      <c r="I28" s="42">
        <v>415184</v>
      </c>
      <c r="J28" s="42">
        <v>615100</v>
      </c>
      <c r="K28" s="42">
        <v>508429</v>
      </c>
      <c r="L28" s="42">
        <v>584318</v>
      </c>
      <c r="M28" s="42">
        <v>588777</v>
      </c>
      <c r="N28" s="42">
        <v>730391</v>
      </c>
      <c r="O28" s="42">
        <v>753017</v>
      </c>
      <c r="P28" s="42">
        <v>608132</v>
      </c>
      <c r="Q28" s="42">
        <v>1135180</v>
      </c>
      <c r="R28" s="42">
        <f t="shared" si="1"/>
        <v>8100118</v>
      </c>
      <c r="S28" s="42"/>
      <c r="T28" s="42"/>
      <c r="U28" s="42"/>
    </row>
    <row r="29" spans="1:21">
      <c r="A29" t="s">
        <v>390</v>
      </c>
      <c r="B29" t="s">
        <v>2247</v>
      </c>
      <c r="C29">
        <v>58</v>
      </c>
      <c r="D29" s="5">
        <v>13</v>
      </c>
      <c r="E29" t="s">
        <v>298</v>
      </c>
      <c r="F29" s="42">
        <v>1165354</v>
      </c>
      <c r="G29" s="42">
        <v>326088</v>
      </c>
      <c r="H29" s="42">
        <v>1257360</v>
      </c>
      <c r="I29" s="42">
        <v>1518924</v>
      </c>
      <c r="J29" s="42">
        <v>676541</v>
      </c>
      <c r="K29" s="42">
        <v>50014454</v>
      </c>
      <c r="L29" s="42">
        <v>681782</v>
      </c>
      <c r="M29" s="42">
        <v>128446</v>
      </c>
      <c r="N29" s="42">
        <v>764693</v>
      </c>
      <c r="O29" s="42">
        <v>919393</v>
      </c>
      <c r="P29" s="42">
        <v>770111</v>
      </c>
      <c r="Q29" s="42">
        <v>1234308</v>
      </c>
      <c r="R29" s="42">
        <f t="shared" si="1"/>
        <v>59457454</v>
      </c>
      <c r="S29" s="42"/>
      <c r="T29" s="42">
        <v>1186797</v>
      </c>
      <c r="U29" s="42">
        <v>16602470</v>
      </c>
    </row>
    <row r="30" spans="1:21">
      <c r="A30" s="34" t="s">
        <v>394</v>
      </c>
      <c r="B30" s="34" t="s">
        <v>393</v>
      </c>
      <c r="C30" s="34">
        <v>65</v>
      </c>
      <c r="D30" s="5">
        <v>1</v>
      </c>
      <c r="E30" s="34" t="s">
        <v>298</v>
      </c>
      <c r="F30" s="42">
        <v>38035</v>
      </c>
      <c r="G30" s="42">
        <v>541066</v>
      </c>
      <c r="H30" s="42">
        <v>0</v>
      </c>
      <c r="I30" s="42">
        <v>432000</v>
      </c>
      <c r="J30" s="42">
        <v>58841</v>
      </c>
      <c r="K30" s="42">
        <v>44581</v>
      </c>
      <c r="L30" s="42">
        <v>66002</v>
      </c>
      <c r="M30" s="42">
        <v>175518</v>
      </c>
      <c r="N30" s="42">
        <v>210883</v>
      </c>
      <c r="O30" s="42">
        <v>503624</v>
      </c>
      <c r="P30" s="42">
        <v>0</v>
      </c>
      <c r="Q30" s="42">
        <v>2949671</v>
      </c>
      <c r="R30" s="42">
        <f t="shared" si="1"/>
        <v>5020221</v>
      </c>
      <c r="S30" s="42"/>
      <c r="T30" s="42"/>
      <c r="U30" s="42"/>
    </row>
    <row r="31" spans="1:21">
      <c r="A31" s="34" t="s">
        <v>395</v>
      </c>
      <c r="B31" s="34" t="s">
        <v>393</v>
      </c>
      <c r="C31" s="34">
        <v>65</v>
      </c>
      <c r="D31" s="5">
        <v>2</v>
      </c>
      <c r="E31" s="34" t="s">
        <v>298</v>
      </c>
      <c r="F31" s="42"/>
      <c r="G31" s="42">
        <v>67775</v>
      </c>
      <c r="H31" s="42">
        <v>3500</v>
      </c>
      <c r="I31" s="42">
        <v>75000</v>
      </c>
      <c r="J31" s="42">
        <v>2704301</v>
      </c>
      <c r="K31" s="42">
        <v>50000</v>
      </c>
      <c r="L31" s="42">
        <v>15000</v>
      </c>
      <c r="M31" s="42">
        <v>33420</v>
      </c>
      <c r="N31" s="42">
        <v>32000</v>
      </c>
      <c r="O31" s="42">
        <v>30000</v>
      </c>
      <c r="P31" s="42">
        <v>60000</v>
      </c>
      <c r="Q31" s="42">
        <v>1734565</v>
      </c>
      <c r="R31" s="42">
        <f t="shared" si="1"/>
        <v>4805561</v>
      </c>
      <c r="S31" s="42"/>
      <c r="T31" s="42"/>
      <c r="U31" s="42"/>
    </row>
    <row r="32" spans="1:21">
      <c r="A32" s="34" t="s">
        <v>396</v>
      </c>
      <c r="B32" s="34" t="s">
        <v>393</v>
      </c>
      <c r="C32" s="34">
        <v>65</v>
      </c>
      <c r="D32" s="5">
        <v>3</v>
      </c>
      <c r="E32" s="34" t="s">
        <v>298</v>
      </c>
      <c r="F32" s="42"/>
      <c r="G32" s="42">
        <v>202562</v>
      </c>
      <c r="H32" s="42">
        <v>601548</v>
      </c>
      <c r="I32" s="42">
        <v>390049</v>
      </c>
      <c r="J32" s="42">
        <v>404674</v>
      </c>
      <c r="K32" s="42">
        <v>187762</v>
      </c>
      <c r="L32" s="42">
        <v>121389</v>
      </c>
      <c r="M32" s="42">
        <v>1228467</v>
      </c>
      <c r="N32" s="42">
        <v>311589</v>
      </c>
      <c r="O32" s="42">
        <v>284781</v>
      </c>
      <c r="P32" s="42">
        <v>226327</v>
      </c>
      <c r="Q32" s="42">
        <v>624073</v>
      </c>
      <c r="R32" s="42">
        <f t="shared" si="1"/>
        <v>4583221</v>
      </c>
      <c r="S32" s="42">
        <v>8405</v>
      </c>
      <c r="T32" s="42">
        <v>185386</v>
      </c>
      <c r="U32" s="42"/>
    </row>
    <row r="33" spans="1:21">
      <c r="A33" s="34" t="s">
        <v>380</v>
      </c>
      <c r="B33" s="34" t="s">
        <v>393</v>
      </c>
      <c r="C33" s="34">
        <v>65</v>
      </c>
      <c r="D33" s="5">
        <v>17</v>
      </c>
      <c r="E33" s="34" t="s">
        <v>298</v>
      </c>
      <c r="F33" s="42">
        <v>455876</v>
      </c>
      <c r="G33" s="42">
        <v>198345</v>
      </c>
      <c r="H33" s="42">
        <v>1406294</v>
      </c>
      <c r="I33" s="42">
        <v>21104</v>
      </c>
      <c r="J33" s="42">
        <v>166337</v>
      </c>
      <c r="K33" s="42">
        <v>667978</v>
      </c>
      <c r="L33" s="42">
        <v>340968</v>
      </c>
      <c r="M33" s="42">
        <v>38248</v>
      </c>
      <c r="N33" s="42">
        <v>296244</v>
      </c>
      <c r="O33" s="42">
        <v>122524</v>
      </c>
      <c r="P33" s="42">
        <v>53602</v>
      </c>
      <c r="Q33" s="42">
        <v>644419</v>
      </c>
      <c r="R33" s="42">
        <f t="shared" si="1"/>
        <v>4411939</v>
      </c>
      <c r="S33" s="42"/>
      <c r="T33" s="42">
        <v>593625</v>
      </c>
      <c r="U33" s="42"/>
    </row>
    <row r="34" spans="1:21">
      <c r="A34" s="34"/>
      <c r="B34" s="34"/>
      <c r="C34" s="34"/>
      <c r="D34" s="5"/>
      <c r="E34" s="34"/>
      <c r="F34" s="42"/>
      <c r="G34" s="42"/>
      <c r="H34" s="42"/>
      <c r="I34" s="42"/>
      <c r="J34" s="42"/>
      <c r="K34" s="42"/>
      <c r="L34" s="42"/>
      <c r="M34" s="42"/>
      <c r="N34" s="42"/>
      <c r="O34" s="42"/>
      <c r="P34" s="42"/>
      <c r="Q34" s="42" t="s">
        <v>298</v>
      </c>
      <c r="R34" s="83">
        <f>SUM(R22:R33)</f>
        <v>394627352</v>
      </c>
      <c r="S34" s="83">
        <f>SUM(S22:S33)</f>
        <v>426801</v>
      </c>
      <c r="T34" s="83">
        <f>SUM(T22:T33)</f>
        <v>4109734</v>
      </c>
      <c r="U34" s="83">
        <f>SUM(U22:U33)</f>
        <v>36648466</v>
      </c>
    </row>
    <row r="35" spans="1:21">
      <c r="A35" t="s">
        <v>387</v>
      </c>
      <c r="B35" t="s">
        <v>2247</v>
      </c>
      <c r="C35">
        <v>58</v>
      </c>
      <c r="D35" s="5">
        <v>10</v>
      </c>
      <c r="E35" t="s">
        <v>299</v>
      </c>
      <c r="F35" s="42">
        <v>14998463</v>
      </c>
      <c r="G35" s="42">
        <v>12905697</v>
      </c>
      <c r="H35" s="42">
        <v>27667088</v>
      </c>
      <c r="I35" s="42">
        <v>10384614</v>
      </c>
      <c r="J35" s="42">
        <v>26939095</v>
      </c>
      <c r="K35" s="42">
        <v>310258890</v>
      </c>
      <c r="L35" s="42">
        <v>26679720</v>
      </c>
      <c r="M35" s="42">
        <v>13774467</v>
      </c>
      <c r="N35" s="42">
        <v>16368567</v>
      </c>
      <c r="O35" s="42">
        <v>17548412</v>
      </c>
      <c r="P35" s="42">
        <v>10101616</v>
      </c>
      <c r="Q35" s="42">
        <v>13613365</v>
      </c>
      <c r="R35" s="42">
        <f>SUM(F35:Q35)</f>
        <v>501239994</v>
      </c>
      <c r="S35" s="42">
        <v>121389</v>
      </c>
      <c r="T35" s="42">
        <v>756078</v>
      </c>
      <c r="U35" s="42">
        <v>12459586</v>
      </c>
    </row>
    <row r="36" spans="1:21">
      <c r="A36" s="34" t="s">
        <v>397</v>
      </c>
      <c r="B36" s="34" t="s">
        <v>393</v>
      </c>
      <c r="C36" s="34">
        <v>65</v>
      </c>
      <c r="D36" s="5">
        <v>4</v>
      </c>
      <c r="E36" s="34" t="s">
        <v>299</v>
      </c>
      <c r="F36" s="42"/>
      <c r="G36" s="42">
        <v>0</v>
      </c>
      <c r="H36" s="42">
        <v>0</v>
      </c>
      <c r="I36" s="42">
        <v>0</v>
      </c>
      <c r="J36" s="42">
        <v>0</v>
      </c>
      <c r="K36" s="42">
        <v>826987804</v>
      </c>
      <c r="L36" s="42">
        <v>0</v>
      </c>
      <c r="M36" s="42">
        <v>0</v>
      </c>
      <c r="N36" s="42">
        <v>0</v>
      </c>
      <c r="O36" s="42">
        <v>0</v>
      </c>
      <c r="P36" s="42">
        <v>0</v>
      </c>
      <c r="Q36" s="42">
        <v>1331482</v>
      </c>
      <c r="R36" s="42">
        <f>SUM(F36:Q36)</f>
        <v>828319286</v>
      </c>
      <c r="S36" s="42"/>
      <c r="T36" s="42"/>
      <c r="U36" s="42"/>
    </row>
    <row r="37" spans="1:21">
      <c r="A37" s="34" t="s">
        <v>397</v>
      </c>
      <c r="B37" s="34" t="s">
        <v>393</v>
      </c>
      <c r="C37" s="34">
        <v>65</v>
      </c>
      <c r="D37" s="5">
        <v>5</v>
      </c>
      <c r="E37" s="34" t="s">
        <v>299</v>
      </c>
      <c r="F37" s="42"/>
      <c r="G37" s="42">
        <v>182377</v>
      </c>
      <c r="H37" s="42">
        <v>630930</v>
      </c>
      <c r="I37" s="42">
        <v>196246</v>
      </c>
      <c r="J37" s="42">
        <v>33471062</v>
      </c>
      <c r="K37" s="42">
        <v>1166855</v>
      </c>
      <c r="L37" s="42">
        <v>352500</v>
      </c>
      <c r="M37" s="42">
        <v>121435</v>
      </c>
      <c r="N37" s="42">
        <v>14654</v>
      </c>
      <c r="O37" s="42">
        <v>387066</v>
      </c>
      <c r="P37" s="42">
        <v>426585</v>
      </c>
      <c r="Q37" s="42">
        <v>327026</v>
      </c>
      <c r="R37" s="42">
        <f>SUM(F37:Q37)</f>
        <v>37276736</v>
      </c>
      <c r="S37" s="42"/>
      <c r="T37" s="42"/>
      <c r="U37" s="42"/>
    </row>
    <row r="38" spans="1:21">
      <c r="A38" s="34" t="s">
        <v>304</v>
      </c>
      <c r="B38" s="34" t="s">
        <v>393</v>
      </c>
      <c r="C38" s="34">
        <v>65</v>
      </c>
      <c r="D38" s="5"/>
      <c r="E38" s="34" t="s">
        <v>299</v>
      </c>
      <c r="F38" s="42"/>
      <c r="G38" s="42"/>
      <c r="H38" s="42"/>
      <c r="I38" s="42"/>
      <c r="J38" s="42"/>
      <c r="K38" s="42">
        <f>U38</f>
        <v>1760270000</v>
      </c>
      <c r="L38" s="42"/>
      <c r="M38" s="42"/>
      <c r="N38" s="42"/>
      <c r="O38" s="42"/>
      <c r="P38" s="42"/>
      <c r="Q38" s="42"/>
      <c r="R38" s="42">
        <f>SUM(F38:Q38)</f>
        <v>1760270000</v>
      </c>
      <c r="S38" s="42"/>
      <c r="T38" s="42"/>
      <c r="U38" s="42">
        <v>1760270000</v>
      </c>
    </row>
    <row r="39" spans="1:21">
      <c r="D39" s="5"/>
      <c r="F39" s="42"/>
      <c r="G39" s="42"/>
      <c r="H39" s="42"/>
      <c r="I39" s="42"/>
      <c r="J39" s="42"/>
      <c r="K39" s="42"/>
      <c r="L39" s="42"/>
      <c r="M39" s="42"/>
      <c r="N39" s="42"/>
      <c r="O39" s="42"/>
      <c r="P39" s="42"/>
      <c r="Q39" s="42" t="s">
        <v>299</v>
      </c>
      <c r="R39" s="83">
        <f>SUM(R35:R38)</f>
        <v>3127106016</v>
      </c>
      <c r="S39" s="83">
        <f>SUM(S35:S38)</f>
        <v>121389</v>
      </c>
      <c r="T39" s="83">
        <f>SUM(T35:T38)</f>
        <v>756078</v>
      </c>
      <c r="U39" s="83">
        <f>SUM(U35:U38)</f>
        <v>1772729586</v>
      </c>
    </row>
    <row r="40" spans="1:21">
      <c r="A40" s="34"/>
      <c r="B40" s="34"/>
      <c r="C40" s="34"/>
      <c r="D40" s="5"/>
      <c r="E40" s="34"/>
      <c r="F40" s="42"/>
      <c r="G40" s="42"/>
      <c r="H40" s="42"/>
      <c r="I40" s="42"/>
      <c r="J40" s="42"/>
      <c r="K40" s="42"/>
      <c r="L40" s="42"/>
      <c r="M40" s="42"/>
      <c r="N40" s="42"/>
      <c r="O40" s="42"/>
      <c r="P40" s="42"/>
      <c r="Q40" s="42"/>
      <c r="R40" s="42"/>
      <c r="S40" s="42"/>
      <c r="T40" s="42"/>
      <c r="U40" s="42"/>
    </row>
    <row r="41" spans="1:21">
      <c r="F41" s="42"/>
      <c r="G41" s="42"/>
      <c r="H41" s="42"/>
      <c r="I41" s="42"/>
      <c r="J41" s="42"/>
      <c r="K41" s="42"/>
      <c r="L41" s="42"/>
      <c r="M41" s="42"/>
      <c r="N41" s="42"/>
      <c r="O41" s="42"/>
      <c r="P41" s="42"/>
      <c r="Q41" s="42"/>
      <c r="R41" s="42"/>
      <c r="S41" s="42"/>
      <c r="T41" s="42"/>
      <c r="U41" s="42"/>
    </row>
    <row r="42" spans="1:21">
      <c r="F42" s="42"/>
      <c r="G42" s="42"/>
      <c r="H42" s="42"/>
      <c r="I42" s="42"/>
      <c r="J42" s="42"/>
      <c r="K42" s="42"/>
      <c r="L42" s="42"/>
      <c r="M42" s="42"/>
      <c r="N42" s="42"/>
      <c r="O42" s="42"/>
      <c r="P42" s="42"/>
      <c r="Q42" s="43" t="s">
        <v>95</v>
      </c>
      <c r="R42" s="42">
        <f>R9+R11+R21+R34+R39</f>
        <v>5221947402</v>
      </c>
      <c r="S42" s="42"/>
      <c r="T42" s="42"/>
      <c r="U42" s="42"/>
    </row>
    <row r="43" spans="1:21">
      <c r="A43" t="s">
        <v>417</v>
      </c>
      <c r="F43" s="42"/>
      <c r="G43" s="42"/>
      <c r="H43" s="42"/>
      <c r="I43" s="42"/>
      <c r="J43" s="42"/>
      <c r="K43" s="42"/>
      <c r="L43" s="42"/>
      <c r="M43" s="42"/>
      <c r="N43" s="42"/>
      <c r="O43" s="42"/>
      <c r="P43" s="42"/>
      <c r="Q43" s="42"/>
      <c r="R43" s="42"/>
      <c r="S43" s="42"/>
      <c r="T43" s="42"/>
      <c r="U43" s="42"/>
    </row>
    <row r="44" spans="1:21">
      <c r="A44" t="s">
        <v>294</v>
      </c>
      <c r="F44" s="42"/>
      <c r="G44" s="42"/>
      <c r="H44" s="42"/>
      <c r="I44" s="42"/>
      <c r="J44" s="42"/>
      <c r="K44" s="42"/>
      <c r="L44" s="42"/>
      <c r="M44" s="42"/>
      <c r="N44" s="42"/>
      <c r="O44" s="42"/>
      <c r="P44" s="42"/>
      <c r="Q44" s="42"/>
      <c r="R44" s="42"/>
      <c r="S44" s="42"/>
      <c r="T44" s="42"/>
      <c r="U44" s="42"/>
    </row>
    <row r="45" spans="1:21">
      <c r="F45" s="42"/>
      <c r="G45" s="42"/>
      <c r="H45" s="42"/>
      <c r="I45" s="42"/>
      <c r="J45" s="42"/>
      <c r="K45" s="42"/>
      <c r="L45" s="42"/>
      <c r="M45" s="42"/>
      <c r="N45" s="42"/>
      <c r="O45" s="42"/>
      <c r="P45" s="42"/>
      <c r="Q45" s="42"/>
      <c r="R45" s="42"/>
      <c r="S45" s="42"/>
      <c r="T45" s="42"/>
      <c r="U45" s="42"/>
    </row>
    <row r="46" spans="1:21">
      <c r="F46" s="42"/>
      <c r="G46" s="42"/>
      <c r="H46" s="42"/>
      <c r="I46" s="42"/>
      <c r="J46" s="42"/>
      <c r="K46" s="42"/>
      <c r="L46" s="42"/>
      <c r="M46" s="42"/>
      <c r="N46" s="42"/>
      <c r="O46" s="42"/>
      <c r="P46" s="42"/>
      <c r="Q46" s="42"/>
      <c r="R46" s="42"/>
      <c r="S46" s="42"/>
      <c r="T46" s="42"/>
      <c r="U46" s="42"/>
    </row>
    <row r="47" spans="1:21">
      <c r="F47" s="42"/>
      <c r="G47" s="42"/>
      <c r="H47" s="42"/>
      <c r="I47" s="42"/>
      <c r="J47" s="42"/>
      <c r="K47" s="42"/>
      <c r="L47" s="42"/>
      <c r="M47" s="42"/>
      <c r="N47" s="42"/>
      <c r="O47" s="42"/>
      <c r="P47" s="42"/>
      <c r="Q47" s="42"/>
      <c r="R47" s="42"/>
      <c r="S47" s="42"/>
      <c r="T47" s="42"/>
      <c r="U47" s="42"/>
    </row>
    <row r="48" spans="1:21">
      <c r="F48" s="42"/>
      <c r="G48" s="42"/>
      <c r="H48" s="42"/>
      <c r="I48" s="42"/>
      <c r="J48" s="42"/>
      <c r="K48" s="42"/>
      <c r="L48" s="42"/>
      <c r="M48" s="42"/>
      <c r="N48" s="42"/>
      <c r="O48" s="42"/>
      <c r="P48" s="42"/>
      <c r="Q48" s="42"/>
      <c r="R48" s="42"/>
      <c r="S48" s="42"/>
      <c r="T48" s="42"/>
      <c r="U48" s="42"/>
    </row>
    <row r="49" spans="6:21">
      <c r="F49" s="42"/>
      <c r="G49" s="42"/>
      <c r="H49" s="42"/>
      <c r="I49" s="42"/>
      <c r="J49" s="42"/>
      <c r="K49" s="42"/>
      <c r="L49" s="42"/>
      <c r="M49" s="42"/>
      <c r="N49" s="42"/>
      <c r="O49" s="42"/>
      <c r="P49" s="42"/>
      <c r="Q49" s="42"/>
      <c r="R49" s="42"/>
      <c r="S49" s="42"/>
      <c r="T49" s="42"/>
      <c r="U49" s="42"/>
    </row>
    <row r="50" spans="6:21">
      <c r="F50" s="42"/>
      <c r="G50" s="42"/>
      <c r="H50" s="42"/>
      <c r="I50" s="42"/>
      <c r="J50" s="42"/>
      <c r="K50" s="42"/>
      <c r="L50" s="42"/>
      <c r="M50" s="42"/>
      <c r="N50" s="42"/>
      <c r="O50" s="42"/>
      <c r="P50" s="42"/>
      <c r="Q50" s="42"/>
      <c r="R50" s="42"/>
      <c r="S50" s="42"/>
      <c r="T50" s="42"/>
      <c r="U50" s="42"/>
    </row>
    <row r="51" spans="6:21">
      <c r="F51" s="42"/>
      <c r="G51" s="42"/>
      <c r="H51" s="42"/>
      <c r="I51" s="42"/>
      <c r="J51" s="42"/>
      <c r="K51" s="42"/>
      <c r="L51" s="42"/>
      <c r="M51" s="42"/>
      <c r="N51" s="42"/>
      <c r="O51" s="42"/>
      <c r="P51" s="42"/>
      <c r="Q51" s="42"/>
      <c r="R51" s="42"/>
      <c r="S51" s="42"/>
      <c r="T51" s="42"/>
      <c r="U51" s="42"/>
    </row>
    <row r="52" spans="6:21">
      <c r="F52" s="42"/>
      <c r="G52" s="42"/>
      <c r="H52" s="42"/>
      <c r="I52" s="42"/>
      <c r="J52" s="42"/>
      <c r="K52" s="42"/>
      <c r="L52" s="42"/>
      <c r="M52" s="42"/>
      <c r="N52" s="42"/>
      <c r="O52" s="42"/>
      <c r="P52" s="42"/>
      <c r="Q52" s="42"/>
      <c r="R52" s="42"/>
      <c r="S52" s="42"/>
      <c r="T52" s="42"/>
      <c r="U52" s="42"/>
    </row>
    <row r="53" spans="6:21">
      <c r="F53" s="42"/>
      <c r="G53" s="42"/>
      <c r="H53" s="42"/>
      <c r="I53" s="42"/>
      <c r="J53" s="42"/>
      <c r="K53" s="42"/>
      <c r="L53" s="42"/>
      <c r="M53" s="42"/>
      <c r="N53" s="42"/>
      <c r="O53" s="42"/>
      <c r="P53" s="42"/>
      <c r="Q53" s="42"/>
      <c r="R53" s="42"/>
      <c r="S53" s="42"/>
      <c r="T53" s="42"/>
      <c r="U53" s="42"/>
    </row>
    <row r="54" spans="6:21">
      <c r="F54" s="42"/>
      <c r="G54" s="42"/>
      <c r="H54" s="42"/>
      <c r="I54" s="42"/>
      <c r="J54" s="42"/>
      <c r="K54" s="42"/>
      <c r="L54" s="42"/>
      <c r="M54" s="42"/>
      <c r="N54" s="42"/>
      <c r="O54" s="42"/>
      <c r="P54" s="42"/>
      <c r="Q54" s="42"/>
      <c r="R54" s="42"/>
      <c r="S54" s="42"/>
      <c r="T54" s="42"/>
      <c r="U54" s="42"/>
    </row>
    <row r="55" spans="6:21">
      <c r="F55" s="42"/>
      <c r="G55" s="42"/>
      <c r="H55" s="42"/>
      <c r="I55" s="42"/>
      <c r="J55" s="42"/>
      <c r="K55" s="42"/>
      <c r="L55" s="42"/>
      <c r="M55" s="42"/>
      <c r="N55" s="42"/>
      <c r="O55" s="42"/>
      <c r="P55" s="42"/>
      <c r="Q55" s="42"/>
      <c r="R55" s="42"/>
      <c r="S55" s="42"/>
      <c r="T55" s="42"/>
      <c r="U55" s="42"/>
    </row>
    <row r="56" spans="6:21">
      <c r="F56" s="42"/>
      <c r="G56" s="42"/>
      <c r="H56" s="42"/>
      <c r="I56" s="42"/>
      <c r="J56" s="42"/>
      <c r="K56" s="42"/>
      <c r="L56" s="42"/>
      <c r="M56" s="42"/>
      <c r="N56" s="42"/>
      <c r="O56" s="42"/>
      <c r="P56" s="42"/>
      <c r="Q56" s="42"/>
      <c r="R56" s="42"/>
      <c r="S56" s="42"/>
      <c r="T56" s="42"/>
      <c r="U56" s="42"/>
    </row>
    <row r="57" spans="6:21">
      <c r="F57" s="42"/>
      <c r="G57" s="42"/>
      <c r="H57" s="42"/>
      <c r="I57" s="42"/>
      <c r="J57" s="42"/>
      <c r="K57" s="42"/>
      <c r="L57" s="42"/>
      <c r="M57" s="42"/>
      <c r="N57" s="42"/>
      <c r="O57" s="42"/>
      <c r="P57" s="42"/>
      <c r="Q57" s="42"/>
      <c r="R57" s="42"/>
      <c r="S57" s="42"/>
      <c r="T57" s="42"/>
      <c r="U57" s="42"/>
    </row>
    <row r="58" spans="6:21">
      <c r="F58" s="42"/>
      <c r="G58" s="42"/>
      <c r="H58" s="42"/>
      <c r="I58" s="42"/>
      <c r="J58" s="42"/>
      <c r="K58" s="42"/>
      <c r="L58" s="42"/>
      <c r="M58" s="42"/>
      <c r="N58" s="42"/>
      <c r="O58" s="42"/>
      <c r="P58" s="42"/>
      <c r="Q58" s="42"/>
      <c r="R58" s="42"/>
      <c r="S58" s="42"/>
      <c r="T58" s="42"/>
      <c r="U58" s="42"/>
    </row>
    <row r="59" spans="6:21">
      <c r="F59" s="42"/>
      <c r="G59" s="42"/>
      <c r="H59" s="42"/>
      <c r="I59" s="42"/>
      <c r="J59" s="42"/>
      <c r="K59" s="42"/>
      <c r="L59" s="42"/>
      <c r="M59" s="42"/>
      <c r="N59" s="42"/>
      <c r="O59" s="42"/>
      <c r="P59" s="42"/>
      <c r="Q59" s="42"/>
      <c r="R59" s="42"/>
      <c r="S59" s="42"/>
      <c r="T59" s="42"/>
      <c r="U59" s="42"/>
    </row>
    <row r="60" spans="6:21">
      <c r="F60" s="42"/>
      <c r="G60" s="42"/>
      <c r="H60" s="42"/>
      <c r="I60" s="42"/>
      <c r="J60" s="42"/>
      <c r="K60" s="42"/>
      <c r="L60" s="42"/>
      <c r="M60" s="42"/>
      <c r="N60" s="42"/>
      <c r="O60" s="42"/>
      <c r="P60" s="42"/>
      <c r="Q60" s="42"/>
      <c r="R60" s="42"/>
      <c r="S60" s="42"/>
      <c r="T60" s="42"/>
      <c r="U60" s="42"/>
    </row>
    <row r="61" spans="6:21">
      <c r="F61" s="42"/>
      <c r="G61" s="42"/>
      <c r="H61" s="42"/>
      <c r="I61" s="42"/>
      <c r="J61" s="42"/>
      <c r="K61" s="42"/>
      <c r="L61" s="42"/>
      <c r="M61" s="42"/>
      <c r="N61" s="42"/>
      <c r="O61" s="42"/>
      <c r="P61" s="42"/>
      <c r="Q61" s="42"/>
      <c r="R61" s="42"/>
      <c r="S61" s="42"/>
      <c r="T61" s="42"/>
      <c r="U61" s="42"/>
    </row>
    <row r="62" spans="6:21">
      <c r="F62" s="42"/>
      <c r="G62" s="42"/>
      <c r="H62" s="42"/>
      <c r="I62" s="42"/>
      <c r="J62" s="42"/>
      <c r="K62" s="42"/>
      <c r="L62" s="42"/>
      <c r="M62" s="42"/>
      <c r="N62" s="42"/>
      <c r="O62" s="42"/>
      <c r="P62" s="42"/>
      <c r="Q62" s="42"/>
      <c r="R62" s="42"/>
      <c r="S62" s="42"/>
      <c r="T62" s="42"/>
      <c r="U62" s="42"/>
    </row>
    <row r="63" spans="6:21">
      <c r="F63" s="42"/>
      <c r="G63" s="42"/>
      <c r="H63" s="42"/>
      <c r="I63" s="42"/>
      <c r="J63" s="42"/>
      <c r="K63" s="42"/>
      <c r="L63" s="42"/>
      <c r="M63" s="42"/>
      <c r="N63" s="42"/>
      <c r="O63" s="42"/>
      <c r="P63" s="42"/>
      <c r="Q63" s="42"/>
      <c r="R63" s="42"/>
      <c r="S63" s="42"/>
      <c r="T63" s="42"/>
      <c r="U63" s="42"/>
    </row>
    <row r="64" spans="6:21">
      <c r="F64" s="42"/>
      <c r="G64" s="42"/>
      <c r="H64" s="42"/>
      <c r="I64" s="42"/>
      <c r="J64" s="42"/>
      <c r="K64" s="42"/>
      <c r="L64" s="42"/>
      <c r="M64" s="42"/>
      <c r="N64" s="42"/>
      <c r="O64" s="42"/>
      <c r="P64" s="42"/>
      <c r="Q64" s="42"/>
      <c r="R64" s="42"/>
      <c r="S64" s="42"/>
      <c r="T64" s="42"/>
      <c r="U64" s="42"/>
    </row>
    <row r="65" spans="6:21">
      <c r="F65" s="42"/>
      <c r="G65" s="42"/>
      <c r="H65" s="42"/>
      <c r="I65" s="42"/>
      <c r="J65" s="42"/>
      <c r="K65" s="42"/>
      <c r="L65" s="42"/>
      <c r="M65" s="42"/>
      <c r="N65" s="42"/>
      <c r="O65" s="42"/>
      <c r="P65" s="42"/>
      <c r="Q65" s="42"/>
      <c r="R65" s="42"/>
      <c r="S65" s="42"/>
      <c r="T65" s="42"/>
      <c r="U65" s="42"/>
    </row>
    <row r="66" spans="6:21">
      <c r="F66" s="42"/>
      <c r="G66" s="42"/>
      <c r="H66" s="42"/>
      <c r="I66" s="42"/>
      <c r="J66" s="42"/>
      <c r="K66" s="42"/>
      <c r="L66" s="42"/>
      <c r="M66" s="42"/>
      <c r="N66" s="42"/>
      <c r="O66" s="42"/>
      <c r="P66" s="42"/>
      <c r="Q66" s="42"/>
      <c r="R66" s="42"/>
      <c r="S66" s="42"/>
      <c r="T66" s="42"/>
      <c r="U66" s="42"/>
    </row>
    <row r="67" spans="6:21">
      <c r="F67" s="42"/>
      <c r="G67" s="42"/>
      <c r="H67" s="42"/>
      <c r="I67" s="42"/>
      <c r="J67" s="42"/>
      <c r="K67" s="42"/>
      <c r="L67" s="42"/>
      <c r="M67" s="42"/>
      <c r="N67" s="42"/>
      <c r="O67" s="42"/>
      <c r="P67" s="42"/>
      <c r="Q67" s="42"/>
      <c r="R67" s="42"/>
      <c r="S67" s="42"/>
      <c r="T67" s="42"/>
      <c r="U67" s="42"/>
    </row>
    <row r="68" spans="6:21">
      <c r="F68" s="42"/>
      <c r="G68" s="42"/>
      <c r="H68" s="42"/>
      <c r="I68" s="42"/>
      <c r="J68" s="42"/>
      <c r="K68" s="42"/>
      <c r="L68" s="42"/>
      <c r="M68" s="42"/>
      <c r="N68" s="42"/>
      <c r="O68" s="42"/>
      <c r="P68" s="42"/>
      <c r="Q68" s="42"/>
      <c r="R68" s="42"/>
      <c r="S68" s="42"/>
      <c r="T68" s="42"/>
      <c r="U68" s="42"/>
    </row>
    <row r="69" spans="6:21">
      <c r="F69" s="42"/>
      <c r="G69" s="42"/>
      <c r="H69" s="42"/>
      <c r="I69" s="42"/>
      <c r="J69" s="42"/>
      <c r="K69" s="42"/>
      <c r="L69" s="42"/>
      <c r="M69" s="42"/>
      <c r="N69" s="42"/>
      <c r="O69" s="42"/>
      <c r="P69" s="42"/>
      <c r="Q69" s="42"/>
      <c r="R69" s="42"/>
      <c r="S69" s="42"/>
      <c r="T69" s="42"/>
      <c r="U69" s="42"/>
    </row>
    <row r="70" spans="6:21">
      <c r="F70" s="42"/>
      <c r="G70" s="42"/>
      <c r="H70" s="42"/>
      <c r="I70" s="42"/>
      <c r="J70" s="42"/>
      <c r="K70" s="42"/>
      <c r="L70" s="42"/>
      <c r="M70" s="42"/>
      <c r="N70" s="42"/>
      <c r="O70" s="42"/>
      <c r="P70" s="42"/>
      <c r="Q70" s="42"/>
      <c r="R70" s="42"/>
      <c r="S70" s="42"/>
      <c r="T70" s="42"/>
      <c r="U70" s="42"/>
    </row>
    <row r="71" spans="6:21">
      <c r="F71" s="42"/>
      <c r="G71" s="42"/>
      <c r="H71" s="42"/>
      <c r="I71" s="42"/>
      <c r="J71" s="42"/>
      <c r="K71" s="42"/>
      <c r="L71" s="42"/>
      <c r="M71" s="42"/>
      <c r="N71" s="42"/>
      <c r="O71" s="42"/>
      <c r="P71" s="42"/>
      <c r="Q71" s="42"/>
      <c r="R71" s="42"/>
      <c r="S71" s="42"/>
      <c r="T71" s="42"/>
      <c r="U71" s="42"/>
    </row>
    <row r="72" spans="6:21">
      <c r="F72" s="42"/>
      <c r="G72" s="42"/>
      <c r="H72" s="42"/>
      <c r="I72" s="42"/>
      <c r="J72" s="42"/>
      <c r="K72" s="42"/>
      <c r="L72" s="42"/>
      <c r="M72" s="42"/>
      <c r="N72" s="42"/>
      <c r="O72" s="42"/>
      <c r="P72" s="42"/>
      <c r="Q72" s="42"/>
      <c r="R72" s="42"/>
      <c r="S72" s="42"/>
      <c r="T72" s="42"/>
      <c r="U72" s="42"/>
    </row>
    <row r="73" spans="6:21">
      <c r="F73" s="42"/>
      <c r="G73" s="42"/>
      <c r="H73" s="42"/>
      <c r="I73" s="42"/>
      <c r="J73" s="42"/>
      <c r="K73" s="42"/>
      <c r="L73" s="42"/>
      <c r="M73" s="42"/>
      <c r="N73" s="42"/>
      <c r="O73" s="42"/>
      <c r="P73" s="42"/>
      <c r="Q73" s="42"/>
      <c r="R73" s="42"/>
      <c r="S73" s="42"/>
      <c r="T73" s="42"/>
      <c r="U73" s="42"/>
    </row>
    <row r="74" spans="6:21">
      <c r="F74" s="42"/>
      <c r="G74" s="42"/>
      <c r="H74" s="42"/>
      <c r="I74" s="42"/>
      <c r="J74" s="42"/>
      <c r="K74" s="42"/>
      <c r="L74" s="42"/>
      <c r="M74" s="42"/>
      <c r="N74" s="42"/>
      <c r="O74" s="42"/>
      <c r="P74" s="42"/>
      <c r="Q74" s="42"/>
      <c r="R74" s="42"/>
      <c r="S74" s="42"/>
      <c r="T74" s="42"/>
      <c r="U74" s="42"/>
    </row>
    <row r="75" spans="6:21">
      <c r="F75" s="42"/>
      <c r="G75" s="42"/>
      <c r="H75" s="42"/>
      <c r="I75" s="42"/>
      <c r="J75" s="42"/>
      <c r="K75" s="42"/>
      <c r="L75" s="42"/>
      <c r="M75" s="42"/>
      <c r="N75" s="42"/>
      <c r="O75" s="42"/>
      <c r="P75" s="42"/>
      <c r="Q75" s="42"/>
      <c r="R75" s="42"/>
      <c r="S75" s="42"/>
      <c r="T75" s="42"/>
      <c r="U75" s="42"/>
    </row>
    <row r="76" spans="6:21">
      <c r="F76" s="42"/>
      <c r="G76" s="42"/>
      <c r="H76" s="42"/>
      <c r="I76" s="42"/>
      <c r="J76" s="42"/>
      <c r="K76" s="42"/>
      <c r="L76" s="42"/>
      <c r="M76" s="42"/>
      <c r="N76" s="42"/>
      <c r="O76" s="42"/>
      <c r="P76" s="42"/>
      <c r="Q76" s="42"/>
      <c r="R76" s="42"/>
      <c r="S76" s="42"/>
      <c r="T76" s="42"/>
      <c r="U76" s="42"/>
    </row>
    <row r="77" spans="6:21">
      <c r="F77" s="42"/>
      <c r="G77" s="42"/>
      <c r="H77" s="42"/>
      <c r="I77" s="42"/>
      <c r="J77" s="42"/>
      <c r="K77" s="42"/>
      <c r="L77" s="42"/>
      <c r="M77" s="42"/>
      <c r="N77" s="42"/>
      <c r="O77" s="42"/>
      <c r="P77" s="42"/>
      <c r="Q77" s="42"/>
      <c r="R77" s="42"/>
      <c r="S77" s="42"/>
      <c r="T77" s="42"/>
      <c r="U77" s="42"/>
    </row>
    <row r="78" spans="6:21">
      <c r="F78" s="42"/>
      <c r="G78" s="42"/>
      <c r="H78" s="42"/>
      <c r="I78" s="42"/>
      <c r="J78" s="42"/>
      <c r="K78" s="42"/>
      <c r="L78" s="42"/>
      <c r="M78" s="42"/>
      <c r="N78" s="42"/>
      <c r="O78" s="42"/>
      <c r="P78" s="42"/>
      <c r="Q78" s="42"/>
      <c r="R78" s="42"/>
      <c r="S78" s="42"/>
      <c r="T78" s="42"/>
      <c r="U78" s="42"/>
    </row>
    <row r="79" spans="6:21">
      <c r="F79" s="42"/>
      <c r="G79" s="42"/>
      <c r="H79" s="42"/>
      <c r="I79" s="42"/>
      <c r="J79" s="42"/>
      <c r="K79" s="42"/>
      <c r="L79" s="42"/>
      <c r="M79" s="42"/>
      <c r="N79" s="42"/>
      <c r="O79" s="42"/>
      <c r="P79" s="42"/>
      <c r="Q79" s="42"/>
      <c r="R79" s="42"/>
      <c r="S79" s="42"/>
      <c r="T79" s="42"/>
      <c r="U79" s="42"/>
    </row>
    <row r="80" spans="6:21">
      <c r="F80" s="42"/>
      <c r="G80" s="42"/>
      <c r="H80" s="42"/>
      <c r="I80" s="42"/>
      <c r="J80" s="42"/>
      <c r="K80" s="42"/>
      <c r="L80" s="42"/>
      <c r="M80" s="42"/>
      <c r="N80" s="42"/>
      <c r="O80" s="42"/>
      <c r="P80" s="42"/>
      <c r="Q80" s="42"/>
      <c r="R80" s="42"/>
      <c r="S80" s="42"/>
      <c r="T80" s="42"/>
      <c r="U80" s="42"/>
    </row>
    <row r="81" spans="6:21">
      <c r="F81" s="42"/>
      <c r="G81" s="42"/>
      <c r="H81" s="42"/>
      <c r="I81" s="42"/>
      <c r="J81" s="42"/>
      <c r="K81" s="42"/>
      <c r="L81" s="42"/>
      <c r="M81" s="42"/>
      <c r="N81" s="42"/>
      <c r="O81" s="42"/>
      <c r="P81" s="42"/>
      <c r="Q81" s="42"/>
      <c r="R81" s="42"/>
      <c r="S81" s="42"/>
      <c r="T81" s="42"/>
      <c r="U81" s="42"/>
    </row>
    <row r="82" spans="6:21">
      <c r="F82" s="42"/>
      <c r="G82" s="42"/>
      <c r="H82" s="42"/>
      <c r="I82" s="42"/>
      <c r="J82" s="42"/>
      <c r="K82" s="42"/>
      <c r="L82" s="42"/>
      <c r="M82" s="42"/>
      <c r="N82" s="42"/>
      <c r="O82" s="42"/>
      <c r="P82" s="42"/>
      <c r="Q82" s="42"/>
      <c r="R82" s="42"/>
      <c r="S82" s="42"/>
      <c r="T82" s="42"/>
      <c r="U82" s="42"/>
    </row>
    <row r="83" spans="6:21">
      <c r="F83" s="42"/>
      <c r="G83" s="42"/>
      <c r="H83" s="42"/>
      <c r="I83" s="42"/>
      <c r="J83" s="42"/>
      <c r="K83" s="42"/>
      <c r="L83" s="42"/>
      <c r="M83" s="42"/>
      <c r="N83" s="42"/>
      <c r="O83" s="42"/>
      <c r="P83" s="42"/>
      <c r="Q83" s="42"/>
      <c r="R83" s="42"/>
      <c r="S83" s="42"/>
      <c r="T83" s="42"/>
      <c r="U83" s="42"/>
    </row>
    <row r="84" spans="6:21">
      <c r="F84" s="42"/>
      <c r="G84" s="42"/>
      <c r="H84" s="42"/>
      <c r="I84" s="42"/>
      <c r="J84" s="42"/>
      <c r="K84" s="42"/>
      <c r="L84" s="42"/>
      <c r="M84" s="42"/>
      <c r="N84" s="42"/>
      <c r="O84" s="42"/>
      <c r="P84" s="42"/>
      <c r="Q84" s="42"/>
      <c r="R84" s="42"/>
      <c r="S84" s="42"/>
      <c r="T84" s="42"/>
      <c r="U84" s="42"/>
    </row>
    <row r="85" spans="6:21">
      <c r="F85" s="42"/>
      <c r="G85" s="42"/>
      <c r="H85" s="42"/>
      <c r="I85" s="42"/>
      <c r="J85" s="42"/>
      <c r="K85" s="42"/>
      <c r="L85" s="42"/>
      <c r="M85" s="42"/>
      <c r="N85" s="42"/>
      <c r="O85" s="42"/>
      <c r="P85" s="42"/>
      <c r="Q85" s="42"/>
      <c r="R85" s="42"/>
      <c r="S85" s="42"/>
      <c r="T85" s="42"/>
      <c r="U85" s="42"/>
    </row>
    <row r="86" spans="6:21">
      <c r="F86" s="42"/>
      <c r="G86" s="42"/>
      <c r="H86" s="42"/>
      <c r="I86" s="42"/>
      <c r="J86" s="42"/>
      <c r="K86" s="42"/>
      <c r="L86" s="42"/>
      <c r="M86" s="42"/>
      <c r="N86" s="42"/>
      <c r="O86" s="42"/>
      <c r="P86" s="42"/>
      <c r="Q86" s="42"/>
      <c r="R86" s="42"/>
      <c r="S86" s="42"/>
      <c r="T86" s="42"/>
      <c r="U86" s="42"/>
    </row>
    <row r="87" spans="6:21">
      <c r="F87" s="42"/>
      <c r="G87" s="42"/>
      <c r="H87" s="42"/>
      <c r="I87" s="42"/>
      <c r="J87" s="42"/>
      <c r="K87" s="42"/>
      <c r="L87" s="42"/>
      <c r="M87" s="42"/>
      <c r="N87" s="42"/>
      <c r="O87" s="42"/>
      <c r="P87" s="42"/>
      <c r="Q87" s="42"/>
      <c r="R87" s="42"/>
      <c r="S87" s="42"/>
      <c r="T87" s="42"/>
      <c r="U87" s="42"/>
    </row>
    <row r="88" spans="6:21">
      <c r="F88" s="42"/>
      <c r="G88" s="42"/>
      <c r="H88" s="42"/>
      <c r="I88" s="42"/>
      <c r="J88" s="42"/>
      <c r="K88" s="42"/>
      <c r="L88" s="42"/>
      <c r="M88" s="42"/>
      <c r="N88" s="42"/>
      <c r="O88" s="42"/>
      <c r="P88" s="42"/>
      <c r="Q88" s="42"/>
      <c r="R88" s="42"/>
      <c r="S88" s="42"/>
      <c r="T88" s="42"/>
      <c r="U88" s="42"/>
    </row>
    <row r="89" spans="6:21">
      <c r="F89" s="42"/>
      <c r="G89" s="42"/>
      <c r="H89" s="42"/>
      <c r="I89" s="42"/>
      <c r="J89" s="42"/>
      <c r="K89" s="42"/>
      <c r="L89" s="42"/>
      <c r="M89" s="42"/>
      <c r="N89" s="42"/>
      <c r="O89" s="42"/>
      <c r="P89" s="42"/>
      <c r="Q89" s="42"/>
      <c r="R89" s="42"/>
      <c r="S89" s="42"/>
      <c r="T89" s="42"/>
      <c r="U89" s="42"/>
    </row>
  </sheetData>
  <pageMargins left="0.7" right="0.7" top="0.75" bottom="0.75" header="0.3" footer="0.3"/>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N329"/>
  <sheetViews>
    <sheetView topLeftCell="B1" workbookViewId="0">
      <selection activeCell="A52" sqref="A52"/>
    </sheetView>
  </sheetViews>
  <sheetFormatPr baseColWidth="10" defaultColWidth="8.83203125" defaultRowHeight="12"/>
  <cols>
    <col min="1" max="1" width="30.6640625" customWidth="1"/>
    <col min="2" max="2" width="10.33203125" style="42" bestFit="1" customWidth="1"/>
    <col min="6" max="6" width="33.83203125" customWidth="1"/>
    <col min="7" max="7" width="13.5" customWidth="1"/>
    <col min="11" max="11" width="31.6640625" customWidth="1"/>
    <col min="12" max="12" width="15.83203125" customWidth="1"/>
  </cols>
  <sheetData>
    <row r="1" spans="1:14">
      <c r="A1" s="85" t="s">
        <v>91</v>
      </c>
      <c r="F1" s="85" t="s">
        <v>92</v>
      </c>
      <c r="K1" s="85" t="s">
        <v>94</v>
      </c>
    </row>
    <row r="2" spans="1:14">
      <c r="A2" t="s">
        <v>326</v>
      </c>
      <c r="B2" s="42">
        <v>50000</v>
      </c>
      <c r="C2" s="34" t="s">
        <v>328</v>
      </c>
      <c r="D2" t="s">
        <v>299</v>
      </c>
      <c r="F2" s="34" t="s">
        <v>340</v>
      </c>
      <c r="G2" s="42">
        <v>23449</v>
      </c>
      <c r="H2" s="34" t="s">
        <v>329</v>
      </c>
      <c r="I2" t="s">
        <v>299</v>
      </c>
      <c r="K2" s="135" t="s">
        <v>235</v>
      </c>
      <c r="L2" s="42">
        <v>14140</v>
      </c>
      <c r="M2" s="34" t="s">
        <v>329</v>
      </c>
      <c r="N2" t="s">
        <v>299</v>
      </c>
    </row>
    <row r="3" spans="1:14">
      <c r="A3" t="s">
        <v>327</v>
      </c>
      <c r="B3" s="42">
        <v>75000</v>
      </c>
      <c r="C3" s="34" t="s">
        <v>329</v>
      </c>
      <c r="D3" t="s">
        <v>299</v>
      </c>
      <c r="F3" s="34" t="s">
        <v>343</v>
      </c>
      <c r="G3" s="42">
        <v>27821</v>
      </c>
      <c r="H3" s="34" t="s">
        <v>329</v>
      </c>
      <c r="I3" t="s">
        <v>299</v>
      </c>
      <c r="K3" s="134"/>
      <c r="L3" s="52">
        <f>SUM(L2)</f>
        <v>14140</v>
      </c>
      <c r="M3" s="134"/>
      <c r="N3" s="5"/>
    </row>
    <row r="4" spans="1:14">
      <c r="A4" s="34" t="s">
        <v>330</v>
      </c>
      <c r="B4" s="42">
        <v>74941</v>
      </c>
      <c r="C4" s="34" t="s">
        <v>328</v>
      </c>
      <c r="D4" t="s">
        <v>299</v>
      </c>
      <c r="F4" s="34" t="s">
        <v>234</v>
      </c>
      <c r="G4" s="42">
        <v>14604</v>
      </c>
      <c r="H4" s="34" t="s">
        <v>329</v>
      </c>
      <c r="I4" t="s">
        <v>299</v>
      </c>
      <c r="K4" s="134"/>
      <c r="L4" s="36"/>
      <c r="M4" s="134"/>
      <c r="N4" s="5"/>
    </row>
    <row r="5" spans="1:14">
      <c r="A5" s="34" t="s">
        <v>331</v>
      </c>
      <c r="B5" s="42">
        <v>149642</v>
      </c>
      <c r="C5" s="34" t="s">
        <v>329</v>
      </c>
      <c r="D5" t="s">
        <v>299</v>
      </c>
      <c r="F5" s="34" t="s">
        <v>349</v>
      </c>
      <c r="G5" s="42">
        <v>143114</v>
      </c>
      <c r="H5" s="34" t="s">
        <v>329</v>
      </c>
      <c r="I5" t="s">
        <v>299</v>
      </c>
      <c r="K5" s="79" t="s">
        <v>331</v>
      </c>
      <c r="L5" s="42">
        <v>149642</v>
      </c>
      <c r="M5" s="34" t="s">
        <v>329</v>
      </c>
      <c r="N5" t="s">
        <v>299</v>
      </c>
    </row>
    <row r="6" spans="1:14">
      <c r="A6" s="34" t="s">
        <v>332</v>
      </c>
      <c r="B6" s="42">
        <v>44588</v>
      </c>
      <c r="C6" s="34" t="s">
        <v>328</v>
      </c>
      <c r="D6" t="s">
        <v>299</v>
      </c>
      <c r="F6" s="34" t="s">
        <v>349</v>
      </c>
      <c r="G6" s="42">
        <v>36058</v>
      </c>
      <c r="H6" s="34" t="s">
        <v>329</v>
      </c>
      <c r="I6" t="s">
        <v>299</v>
      </c>
      <c r="K6" s="79" t="s">
        <v>331</v>
      </c>
      <c r="L6" s="42">
        <v>66248</v>
      </c>
      <c r="M6" s="34" t="s">
        <v>329</v>
      </c>
      <c r="N6" t="s">
        <v>299</v>
      </c>
    </row>
    <row r="7" spans="1:14">
      <c r="A7" s="34" t="s">
        <v>333</v>
      </c>
      <c r="B7" s="42">
        <v>16548</v>
      </c>
      <c r="C7" s="34" t="s">
        <v>328</v>
      </c>
      <c r="D7" t="s">
        <v>299</v>
      </c>
      <c r="F7" s="34" t="s">
        <v>243</v>
      </c>
      <c r="G7" s="42">
        <v>2326</v>
      </c>
      <c r="H7" s="34" t="s">
        <v>329</v>
      </c>
      <c r="I7" t="s">
        <v>299</v>
      </c>
      <c r="K7" s="134"/>
      <c r="L7" s="52">
        <f>SUM(L5:L6)</f>
        <v>215890</v>
      </c>
      <c r="M7" s="134"/>
      <c r="N7" s="5"/>
    </row>
    <row r="8" spans="1:14">
      <c r="A8" s="34" t="s">
        <v>334</v>
      </c>
      <c r="B8" s="42">
        <v>50594</v>
      </c>
      <c r="C8" s="34" t="s">
        <v>328</v>
      </c>
      <c r="D8" t="s">
        <v>299</v>
      </c>
      <c r="F8" s="34" t="s">
        <v>239</v>
      </c>
      <c r="G8" s="42">
        <v>3684</v>
      </c>
      <c r="H8" s="34" t="s">
        <v>329</v>
      </c>
      <c r="I8" t="s">
        <v>299</v>
      </c>
      <c r="K8" s="134"/>
      <c r="L8" s="36"/>
      <c r="M8" s="134"/>
      <c r="N8" s="5"/>
    </row>
    <row r="9" spans="1:14">
      <c r="F9" s="34" t="s">
        <v>347</v>
      </c>
      <c r="G9" s="42">
        <v>96608</v>
      </c>
      <c r="H9" s="34" t="s">
        <v>329</v>
      </c>
      <c r="I9" t="s">
        <v>299</v>
      </c>
      <c r="K9" s="80" t="s">
        <v>331</v>
      </c>
      <c r="L9" s="42">
        <v>19921</v>
      </c>
      <c r="M9" t="s">
        <v>329</v>
      </c>
      <c r="N9" t="s">
        <v>362</v>
      </c>
    </row>
    <row r="10" spans="1:14">
      <c r="A10" s="34" t="s">
        <v>335</v>
      </c>
      <c r="B10" s="42">
        <v>27717</v>
      </c>
      <c r="C10" s="34" t="s">
        <v>328</v>
      </c>
      <c r="D10" t="s">
        <v>299</v>
      </c>
      <c r="F10" s="34" t="s">
        <v>347</v>
      </c>
      <c r="G10" s="42">
        <v>13719</v>
      </c>
      <c r="H10" s="34" t="s">
        <v>329</v>
      </c>
      <c r="I10" t="s">
        <v>299</v>
      </c>
      <c r="K10" s="80" t="s">
        <v>331</v>
      </c>
      <c r="L10" s="42">
        <v>51379</v>
      </c>
      <c r="M10" t="s">
        <v>329</v>
      </c>
      <c r="N10" t="s">
        <v>362</v>
      </c>
    </row>
    <row r="11" spans="1:14">
      <c r="A11" s="34" t="s">
        <v>336</v>
      </c>
      <c r="B11" s="42">
        <v>7227</v>
      </c>
      <c r="C11" s="34" t="s">
        <v>328</v>
      </c>
      <c r="D11" t="s">
        <v>299</v>
      </c>
      <c r="F11" s="34" t="s">
        <v>344</v>
      </c>
      <c r="G11" s="42">
        <v>10228</v>
      </c>
      <c r="H11" s="34" t="s">
        <v>329</v>
      </c>
      <c r="I11" t="s">
        <v>299</v>
      </c>
      <c r="K11" s="80" t="s">
        <v>331</v>
      </c>
      <c r="L11" s="42">
        <v>231688</v>
      </c>
      <c r="M11" t="s">
        <v>329</v>
      </c>
      <c r="N11" t="s">
        <v>362</v>
      </c>
    </row>
    <row r="12" spans="1:14">
      <c r="A12" s="34" t="s">
        <v>337</v>
      </c>
      <c r="B12" s="42">
        <v>4885</v>
      </c>
      <c r="C12" s="34" t="s">
        <v>328</v>
      </c>
      <c r="D12" t="s">
        <v>299</v>
      </c>
      <c r="F12" t="s">
        <v>327</v>
      </c>
      <c r="G12" s="42">
        <v>75000</v>
      </c>
      <c r="H12" s="34" t="s">
        <v>329</v>
      </c>
      <c r="I12" t="s">
        <v>299</v>
      </c>
      <c r="K12" s="5"/>
      <c r="L12" s="52">
        <f>SUM(L9:L11)</f>
        <v>302988</v>
      </c>
      <c r="M12" s="5"/>
      <c r="N12" s="5"/>
    </row>
    <row r="13" spans="1:14">
      <c r="A13" s="34" t="s">
        <v>338</v>
      </c>
      <c r="B13" s="42">
        <v>2288</v>
      </c>
      <c r="C13" s="34" t="s">
        <v>329</v>
      </c>
      <c r="D13" t="s">
        <v>299</v>
      </c>
      <c r="F13" s="34" t="s">
        <v>327</v>
      </c>
      <c r="G13" s="42">
        <v>22061</v>
      </c>
      <c r="H13" s="34" t="s">
        <v>329</v>
      </c>
      <c r="I13" t="s">
        <v>299</v>
      </c>
      <c r="K13" s="5"/>
      <c r="L13" s="36"/>
      <c r="M13" s="5"/>
      <c r="N13" s="5"/>
    </row>
    <row r="14" spans="1:14">
      <c r="A14" s="34" t="s">
        <v>339</v>
      </c>
      <c r="B14" s="42">
        <v>11204</v>
      </c>
      <c r="C14" s="34" t="s">
        <v>328</v>
      </c>
      <c r="D14" t="s">
        <v>299</v>
      </c>
      <c r="F14" s="34" t="s">
        <v>338</v>
      </c>
      <c r="G14" s="42">
        <v>2288</v>
      </c>
      <c r="H14" s="34" t="s">
        <v>329</v>
      </c>
      <c r="I14" t="s">
        <v>299</v>
      </c>
      <c r="K14" s="81" t="s">
        <v>93</v>
      </c>
      <c r="L14" s="42">
        <v>220647</v>
      </c>
      <c r="M14" s="134" t="s">
        <v>329</v>
      </c>
      <c r="N14" t="s">
        <v>299</v>
      </c>
    </row>
    <row r="15" spans="1:14">
      <c r="A15" s="34" t="s">
        <v>340</v>
      </c>
      <c r="B15" s="42">
        <v>23449</v>
      </c>
      <c r="C15" s="34" t="s">
        <v>329</v>
      </c>
      <c r="D15" t="s">
        <v>299</v>
      </c>
      <c r="F15" s="34" t="s">
        <v>354</v>
      </c>
      <c r="G15" s="42">
        <v>9969</v>
      </c>
      <c r="H15" s="34" t="s">
        <v>329</v>
      </c>
      <c r="I15" t="s">
        <v>299</v>
      </c>
      <c r="K15" s="134"/>
      <c r="L15" s="52">
        <f>SUM(L14)</f>
        <v>220647</v>
      </c>
      <c r="M15" s="134"/>
      <c r="N15" s="5"/>
    </row>
    <row r="16" spans="1:14">
      <c r="A16" s="34" t="s">
        <v>341</v>
      </c>
      <c r="B16" s="42">
        <v>8870</v>
      </c>
      <c r="C16" s="34" t="s">
        <v>328</v>
      </c>
      <c r="D16" t="s">
        <v>299</v>
      </c>
      <c r="F16" s="34" t="s">
        <v>352</v>
      </c>
      <c r="G16" s="42">
        <v>12279</v>
      </c>
      <c r="H16" s="34" t="s">
        <v>329</v>
      </c>
      <c r="I16" t="s">
        <v>299</v>
      </c>
      <c r="K16" s="134"/>
      <c r="L16" s="36"/>
      <c r="M16" s="134"/>
      <c r="N16" s="5"/>
    </row>
    <row r="17" spans="1:14">
      <c r="A17" s="34" t="s">
        <v>342</v>
      </c>
      <c r="B17" s="42">
        <v>11372</v>
      </c>
      <c r="C17" s="34" t="s">
        <v>328</v>
      </c>
      <c r="D17" t="s">
        <v>299</v>
      </c>
      <c r="F17" s="34" t="s">
        <v>350</v>
      </c>
      <c r="G17" s="42">
        <v>817</v>
      </c>
      <c r="H17" s="34" t="s">
        <v>329</v>
      </c>
      <c r="I17" t="s">
        <v>299</v>
      </c>
      <c r="K17" s="81" t="s">
        <v>93</v>
      </c>
      <c r="L17" s="42">
        <v>1005631</v>
      </c>
      <c r="M17" s="134" t="s">
        <v>329</v>
      </c>
      <c r="N17" t="s">
        <v>362</v>
      </c>
    </row>
    <row r="18" spans="1:14">
      <c r="A18" s="34" t="s">
        <v>343</v>
      </c>
      <c r="B18" s="42">
        <v>27821</v>
      </c>
      <c r="C18" s="34" t="s">
        <v>329</v>
      </c>
      <c r="D18" t="s">
        <v>299</v>
      </c>
      <c r="F18" s="34" t="s">
        <v>237</v>
      </c>
      <c r="G18" s="42">
        <v>6741</v>
      </c>
      <c r="H18" s="34" t="s">
        <v>329</v>
      </c>
      <c r="I18" t="s">
        <v>299</v>
      </c>
      <c r="K18" s="81" t="s">
        <v>93</v>
      </c>
      <c r="L18" s="42">
        <v>261268</v>
      </c>
      <c r="M18" s="134" t="s">
        <v>329</v>
      </c>
      <c r="N18" t="s">
        <v>362</v>
      </c>
    </row>
    <row r="19" spans="1:14">
      <c r="A19" s="34" t="s">
        <v>344</v>
      </c>
      <c r="B19" s="42">
        <v>10228</v>
      </c>
      <c r="C19" s="34" t="s">
        <v>329</v>
      </c>
      <c r="D19" t="s">
        <v>299</v>
      </c>
      <c r="F19" s="79" t="s">
        <v>331</v>
      </c>
      <c r="G19" s="42">
        <v>149642</v>
      </c>
      <c r="H19" s="34" t="s">
        <v>329</v>
      </c>
      <c r="I19" t="s">
        <v>299</v>
      </c>
      <c r="K19" s="81" t="s">
        <v>93</v>
      </c>
      <c r="L19" s="42">
        <v>3085323</v>
      </c>
      <c r="M19" s="134" t="s">
        <v>329</v>
      </c>
      <c r="N19" t="s">
        <v>362</v>
      </c>
    </row>
    <row r="20" spans="1:14">
      <c r="A20" s="34" t="s">
        <v>345</v>
      </c>
      <c r="B20" s="42">
        <v>50506</v>
      </c>
      <c r="C20" s="34" t="s">
        <v>328</v>
      </c>
      <c r="D20" t="s">
        <v>299</v>
      </c>
      <c r="F20" s="79" t="s">
        <v>331</v>
      </c>
      <c r="G20" s="42">
        <v>66248</v>
      </c>
      <c r="H20" s="34" t="s">
        <v>329</v>
      </c>
      <c r="I20" t="s">
        <v>299</v>
      </c>
      <c r="K20" s="82" t="s">
        <v>284</v>
      </c>
      <c r="L20" s="42">
        <v>365180</v>
      </c>
      <c r="M20" t="s">
        <v>329</v>
      </c>
      <c r="N20" t="s">
        <v>362</v>
      </c>
    </row>
    <row r="21" spans="1:14">
      <c r="A21" s="34" t="s">
        <v>346</v>
      </c>
      <c r="B21" s="42">
        <v>134166</v>
      </c>
      <c r="C21" s="34" t="s">
        <v>328</v>
      </c>
      <c r="D21" t="s">
        <v>299</v>
      </c>
      <c r="F21" s="135" t="s">
        <v>235</v>
      </c>
      <c r="G21" s="42">
        <v>14140</v>
      </c>
      <c r="H21" s="34" t="s">
        <v>329</v>
      </c>
      <c r="I21" t="s">
        <v>299</v>
      </c>
      <c r="L21" s="52">
        <f>SUM(L17:L20)</f>
        <v>4717402</v>
      </c>
    </row>
    <row r="22" spans="1:14">
      <c r="A22" s="34" t="s">
        <v>347</v>
      </c>
      <c r="B22" s="42">
        <v>96608</v>
      </c>
      <c r="C22" s="34" t="s">
        <v>329</v>
      </c>
      <c r="D22" t="s">
        <v>299</v>
      </c>
      <c r="F22" s="34" t="s">
        <v>241</v>
      </c>
      <c r="G22" s="42">
        <v>2566</v>
      </c>
      <c r="H22" s="34" t="s">
        <v>329</v>
      </c>
      <c r="I22" t="s">
        <v>299</v>
      </c>
    </row>
    <row r="23" spans="1:14">
      <c r="A23" s="34" t="s">
        <v>348</v>
      </c>
      <c r="B23" s="42">
        <v>45422</v>
      </c>
      <c r="C23" s="34" t="s">
        <v>328</v>
      </c>
      <c r="D23" t="s">
        <v>299</v>
      </c>
      <c r="F23" s="81" t="s">
        <v>93</v>
      </c>
      <c r="G23" s="42">
        <v>220647</v>
      </c>
      <c r="H23" s="134" t="s">
        <v>329</v>
      </c>
      <c r="I23" t="s">
        <v>299</v>
      </c>
    </row>
    <row r="24" spans="1:14">
      <c r="A24" s="34" t="s">
        <v>349</v>
      </c>
      <c r="B24" s="42">
        <v>143114</v>
      </c>
      <c r="C24" s="34" t="s">
        <v>329</v>
      </c>
      <c r="D24" t="s">
        <v>299</v>
      </c>
      <c r="F24" s="42"/>
      <c r="G24" s="52">
        <f>SUM(G2:G23)</f>
        <v>954009</v>
      </c>
      <c r="H24" s="134"/>
    </row>
    <row r="25" spans="1:14">
      <c r="F25" s="42"/>
      <c r="G25" s="42"/>
      <c r="H25" s="134"/>
    </row>
    <row r="26" spans="1:14">
      <c r="A26" s="34" t="s">
        <v>350</v>
      </c>
      <c r="B26" s="42">
        <v>817</v>
      </c>
      <c r="C26" s="34" t="s">
        <v>329</v>
      </c>
      <c r="D26" t="s">
        <v>299</v>
      </c>
      <c r="F26" s="34" t="s">
        <v>246</v>
      </c>
      <c r="G26" s="42">
        <v>38950</v>
      </c>
      <c r="H26" s="34" t="s">
        <v>329</v>
      </c>
      <c r="I26" t="s">
        <v>362</v>
      </c>
    </row>
    <row r="27" spans="1:14">
      <c r="A27" s="34" t="s">
        <v>351</v>
      </c>
      <c r="B27" s="42">
        <v>19202</v>
      </c>
      <c r="C27" s="34" t="s">
        <v>328</v>
      </c>
      <c r="D27" t="s">
        <v>299</v>
      </c>
      <c r="F27" s="34" t="s">
        <v>237</v>
      </c>
      <c r="G27" s="42">
        <v>20361</v>
      </c>
      <c r="H27" s="34" t="s">
        <v>329</v>
      </c>
      <c r="I27" t="s">
        <v>362</v>
      </c>
    </row>
    <row r="28" spans="1:14">
      <c r="A28" s="34" t="s">
        <v>346</v>
      </c>
      <c r="B28" s="42">
        <v>18023</v>
      </c>
      <c r="C28" s="34" t="s">
        <v>328</v>
      </c>
      <c r="D28" t="s">
        <v>299</v>
      </c>
      <c r="F28" s="34" t="s">
        <v>349</v>
      </c>
      <c r="G28" s="42">
        <v>55912</v>
      </c>
      <c r="H28" s="34" t="s">
        <v>329</v>
      </c>
      <c r="I28" t="s">
        <v>362</v>
      </c>
    </row>
    <row r="29" spans="1:14">
      <c r="A29" s="34" t="s">
        <v>327</v>
      </c>
      <c r="B29" s="42">
        <v>22061</v>
      </c>
      <c r="C29" s="34" t="s">
        <v>329</v>
      </c>
      <c r="D29" t="s">
        <v>299</v>
      </c>
      <c r="F29" t="s">
        <v>281</v>
      </c>
      <c r="G29" s="42">
        <v>60833</v>
      </c>
      <c r="H29" t="s">
        <v>329</v>
      </c>
      <c r="I29" t="s">
        <v>362</v>
      </c>
    </row>
    <row r="30" spans="1:14">
      <c r="A30" s="34" t="s">
        <v>352</v>
      </c>
      <c r="B30" s="42">
        <v>12279</v>
      </c>
      <c r="C30" s="34" t="s">
        <v>329</v>
      </c>
      <c r="D30" t="s">
        <v>299</v>
      </c>
      <c r="F30" s="82" t="s">
        <v>284</v>
      </c>
      <c r="G30" s="42">
        <v>365180</v>
      </c>
      <c r="H30" t="s">
        <v>329</v>
      </c>
      <c r="I30" t="s">
        <v>362</v>
      </c>
    </row>
    <row r="31" spans="1:14">
      <c r="A31" s="34" t="s">
        <v>353</v>
      </c>
      <c r="B31" s="42">
        <v>25393</v>
      </c>
      <c r="C31" s="34" t="s">
        <v>328</v>
      </c>
      <c r="D31" t="s">
        <v>299</v>
      </c>
      <c r="F31" t="s">
        <v>289</v>
      </c>
      <c r="G31" s="42">
        <v>33527</v>
      </c>
      <c r="H31" t="s">
        <v>329</v>
      </c>
      <c r="I31" t="s">
        <v>362</v>
      </c>
    </row>
    <row r="32" spans="1:14">
      <c r="A32" s="34" t="s">
        <v>333</v>
      </c>
      <c r="B32" s="42">
        <v>11490</v>
      </c>
      <c r="C32" s="34" t="s">
        <v>328</v>
      </c>
      <c r="D32" t="s">
        <v>299</v>
      </c>
      <c r="F32" t="s">
        <v>340</v>
      </c>
      <c r="G32" s="42">
        <v>206767</v>
      </c>
      <c r="H32" t="s">
        <v>329</v>
      </c>
      <c r="I32" t="s">
        <v>362</v>
      </c>
    </row>
    <row r="33" spans="1:9">
      <c r="A33" s="34" t="s">
        <v>354</v>
      </c>
      <c r="B33" s="42">
        <v>9969</v>
      </c>
      <c r="C33" s="34" t="s">
        <v>329</v>
      </c>
      <c r="D33" t="s">
        <v>299</v>
      </c>
      <c r="F33" s="80" t="s">
        <v>331</v>
      </c>
      <c r="G33" s="42">
        <v>19921</v>
      </c>
      <c r="H33" t="s">
        <v>329</v>
      </c>
      <c r="I33" t="s">
        <v>362</v>
      </c>
    </row>
    <row r="34" spans="1:9">
      <c r="A34" s="34" t="s">
        <v>349</v>
      </c>
      <c r="B34" s="42">
        <v>36058</v>
      </c>
      <c r="C34" s="34" t="s">
        <v>329</v>
      </c>
      <c r="D34" t="s">
        <v>299</v>
      </c>
      <c r="F34" t="s">
        <v>349</v>
      </c>
      <c r="G34" s="42">
        <v>38624</v>
      </c>
      <c r="H34" t="s">
        <v>329</v>
      </c>
      <c r="I34" t="s">
        <v>362</v>
      </c>
    </row>
    <row r="35" spans="1:9">
      <c r="A35" s="34" t="s">
        <v>355</v>
      </c>
      <c r="B35" s="42">
        <v>6046</v>
      </c>
      <c r="C35" s="34" t="s">
        <v>328</v>
      </c>
      <c r="D35" t="s">
        <v>299</v>
      </c>
      <c r="F35" t="s">
        <v>241</v>
      </c>
      <c r="G35" s="42">
        <v>30800</v>
      </c>
      <c r="H35" t="s">
        <v>329</v>
      </c>
      <c r="I35" t="s">
        <v>362</v>
      </c>
    </row>
    <row r="36" spans="1:9">
      <c r="A36" s="34" t="s">
        <v>216</v>
      </c>
      <c r="B36" s="42">
        <v>16110</v>
      </c>
      <c r="C36" s="34" t="s">
        <v>328</v>
      </c>
      <c r="D36" t="s">
        <v>299</v>
      </c>
      <c r="F36" s="80" t="s">
        <v>331</v>
      </c>
      <c r="G36" s="42">
        <v>51379</v>
      </c>
      <c r="H36" t="s">
        <v>329</v>
      </c>
      <c r="I36" t="s">
        <v>362</v>
      </c>
    </row>
    <row r="37" spans="1:9">
      <c r="A37" s="34" t="s">
        <v>217</v>
      </c>
      <c r="B37" s="42">
        <v>35767</v>
      </c>
      <c r="C37" s="34" t="s">
        <v>328</v>
      </c>
      <c r="D37" t="s">
        <v>299</v>
      </c>
      <c r="F37" t="s">
        <v>343</v>
      </c>
      <c r="G37" s="42">
        <v>354168</v>
      </c>
      <c r="H37" t="s">
        <v>329</v>
      </c>
      <c r="I37" t="s">
        <v>362</v>
      </c>
    </row>
    <row r="38" spans="1:9">
      <c r="A38" s="34" t="s">
        <v>218</v>
      </c>
      <c r="B38" s="42">
        <v>12129</v>
      </c>
      <c r="C38" s="34" t="s">
        <v>328</v>
      </c>
      <c r="D38" t="s">
        <v>299</v>
      </c>
      <c r="F38" t="s">
        <v>349</v>
      </c>
      <c r="G38" s="42">
        <v>51702</v>
      </c>
      <c r="H38" t="s">
        <v>329</v>
      </c>
      <c r="I38" t="s">
        <v>362</v>
      </c>
    </row>
    <row r="39" spans="1:9">
      <c r="A39" s="34" t="s">
        <v>219</v>
      </c>
      <c r="B39" s="42">
        <v>14503</v>
      </c>
      <c r="C39" s="34" t="s">
        <v>328</v>
      </c>
      <c r="D39" t="s">
        <v>299</v>
      </c>
      <c r="F39" t="s">
        <v>289</v>
      </c>
      <c r="G39" s="42">
        <v>220826</v>
      </c>
      <c r="H39" t="s">
        <v>329</v>
      </c>
      <c r="I39" t="s">
        <v>362</v>
      </c>
    </row>
    <row r="40" spans="1:9">
      <c r="A40" s="34" t="s">
        <v>220</v>
      </c>
      <c r="B40" s="42">
        <v>31445</v>
      </c>
      <c r="C40" s="34" t="s">
        <v>328</v>
      </c>
      <c r="D40" t="s">
        <v>299</v>
      </c>
      <c r="F40" t="s">
        <v>171</v>
      </c>
      <c r="G40" s="42">
        <v>97829</v>
      </c>
      <c r="H40" t="s">
        <v>329</v>
      </c>
      <c r="I40" t="s">
        <v>362</v>
      </c>
    </row>
    <row r="41" spans="1:9">
      <c r="F41" t="s">
        <v>340</v>
      </c>
      <c r="G41" s="42">
        <v>321075</v>
      </c>
      <c r="H41" t="s">
        <v>329</v>
      </c>
      <c r="I41" t="s">
        <v>362</v>
      </c>
    </row>
    <row r="42" spans="1:9">
      <c r="A42" s="34" t="s">
        <v>221</v>
      </c>
      <c r="B42" s="42">
        <v>5897</v>
      </c>
      <c r="C42" s="34" t="s">
        <v>328</v>
      </c>
      <c r="D42" t="s">
        <v>299</v>
      </c>
      <c r="F42" t="s">
        <v>178</v>
      </c>
      <c r="G42" s="42">
        <v>50000</v>
      </c>
      <c r="H42" t="s">
        <v>329</v>
      </c>
      <c r="I42" t="s">
        <v>362</v>
      </c>
    </row>
    <row r="43" spans="1:9">
      <c r="A43" s="34" t="s">
        <v>222</v>
      </c>
      <c r="B43" s="42">
        <v>6740</v>
      </c>
      <c r="C43" s="34" t="s">
        <v>328</v>
      </c>
      <c r="D43" t="s">
        <v>299</v>
      </c>
      <c r="F43" t="s">
        <v>179</v>
      </c>
      <c r="G43" s="42">
        <v>173622</v>
      </c>
      <c r="H43" t="s">
        <v>329</v>
      </c>
      <c r="I43" t="s">
        <v>362</v>
      </c>
    </row>
    <row r="44" spans="1:9">
      <c r="A44" s="34" t="s">
        <v>223</v>
      </c>
      <c r="B44" s="42">
        <v>15982</v>
      </c>
      <c r="C44" s="34" t="s">
        <v>328</v>
      </c>
      <c r="D44" t="s">
        <v>299</v>
      </c>
      <c r="F44" t="s">
        <v>327</v>
      </c>
      <c r="G44" s="42">
        <v>232003</v>
      </c>
      <c r="H44" t="s">
        <v>329</v>
      </c>
      <c r="I44" t="s">
        <v>362</v>
      </c>
    </row>
    <row r="45" spans="1:9">
      <c r="A45" s="34" t="s">
        <v>224</v>
      </c>
      <c r="B45" s="42">
        <v>14133</v>
      </c>
      <c r="C45" s="34" t="s">
        <v>328</v>
      </c>
      <c r="D45" t="s">
        <v>299</v>
      </c>
      <c r="F45" t="s">
        <v>182</v>
      </c>
      <c r="G45" s="42">
        <v>59523</v>
      </c>
      <c r="H45" t="s">
        <v>329</v>
      </c>
      <c r="I45" t="s">
        <v>362</v>
      </c>
    </row>
    <row r="46" spans="1:9">
      <c r="A46" s="34" t="s">
        <v>225</v>
      </c>
      <c r="B46" s="42">
        <v>18801</v>
      </c>
      <c r="C46" s="34" t="s">
        <v>328</v>
      </c>
      <c r="D46" t="s">
        <v>299</v>
      </c>
      <c r="F46" t="s">
        <v>183</v>
      </c>
      <c r="G46" s="42">
        <v>119415</v>
      </c>
      <c r="H46" t="s">
        <v>329</v>
      </c>
      <c r="I46" t="s">
        <v>362</v>
      </c>
    </row>
    <row r="47" spans="1:9">
      <c r="A47" s="34" t="s">
        <v>226</v>
      </c>
      <c r="B47" s="42">
        <v>6330</v>
      </c>
      <c r="C47" s="34" t="s">
        <v>328</v>
      </c>
      <c r="D47" t="s">
        <v>299</v>
      </c>
      <c r="F47" t="s">
        <v>349</v>
      </c>
      <c r="G47" s="42">
        <v>213170</v>
      </c>
      <c r="H47" t="s">
        <v>329</v>
      </c>
      <c r="I47" t="s">
        <v>362</v>
      </c>
    </row>
    <row r="48" spans="1:9">
      <c r="A48" s="34" t="s">
        <v>227</v>
      </c>
      <c r="B48" s="42">
        <v>3315</v>
      </c>
      <c r="C48" s="34" t="s">
        <v>328</v>
      </c>
      <c r="D48" t="s">
        <v>299</v>
      </c>
      <c r="F48" t="s">
        <v>241</v>
      </c>
      <c r="G48" s="42">
        <v>103431</v>
      </c>
      <c r="H48" t="s">
        <v>329</v>
      </c>
      <c r="I48" t="s">
        <v>362</v>
      </c>
    </row>
    <row r="49" spans="1:9">
      <c r="A49" s="34" t="s">
        <v>228</v>
      </c>
      <c r="B49" s="42">
        <v>12119</v>
      </c>
      <c r="C49" s="34" t="s">
        <v>328</v>
      </c>
      <c r="D49" t="s">
        <v>299</v>
      </c>
      <c r="F49" t="s">
        <v>243</v>
      </c>
      <c r="G49" s="42">
        <v>10000</v>
      </c>
      <c r="H49" t="s">
        <v>329</v>
      </c>
      <c r="I49" t="s">
        <v>362</v>
      </c>
    </row>
    <row r="50" spans="1:9">
      <c r="A50" s="34" t="s">
        <v>229</v>
      </c>
      <c r="B50" s="42">
        <v>4562</v>
      </c>
      <c r="C50" s="34" t="s">
        <v>328</v>
      </c>
      <c r="D50" t="s">
        <v>299</v>
      </c>
      <c r="F50" t="s">
        <v>234</v>
      </c>
      <c r="G50" s="42">
        <v>231839</v>
      </c>
      <c r="H50" t="s">
        <v>329</v>
      </c>
      <c r="I50" t="s">
        <v>362</v>
      </c>
    </row>
    <row r="51" spans="1:9">
      <c r="A51" s="34" t="s">
        <v>230</v>
      </c>
      <c r="B51" s="42">
        <v>1443</v>
      </c>
      <c r="C51" s="34" t="s">
        <v>328</v>
      </c>
      <c r="D51" t="s">
        <v>299</v>
      </c>
      <c r="F51" t="s">
        <v>208</v>
      </c>
      <c r="G51" s="42">
        <v>60828</v>
      </c>
      <c r="H51" t="s">
        <v>329</v>
      </c>
      <c r="I51" t="s">
        <v>362</v>
      </c>
    </row>
    <row r="52" spans="1:9">
      <c r="A52" s="34" t="s">
        <v>231</v>
      </c>
      <c r="B52" s="42">
        <v>21585</v>
      </c>
      <c r="C52" s="34" t="s">
        <v>328</v>
      </c>
      <c r="D52" t="s">
        <v>299</v>
      </c>
      <c r="F52" t="s">
        <v>237</v>
      </c>
      <c r="G52" s="42">
        <v>89864</v>
      </c>
      <c r="H52" t="s">
        <v>329</v>
      </c>
      <c r="I52" t="s">
        <v>362</v>
      </c>
    </row>
    <row r="53" spans="1:9">
      <c r="A53" s="34" t="s">
        <v>232</v>
      </c>
      <c r="B53" s="42">
        <v>5348</v>
      </c>
      <c r="C53" s="34" t="s">
        <v>328</v>
      </c>
      <c r="D53" t="s">
        <v>299</v>
      </c>
      <c r="F53" t="s">
        <v>210</v>
      </c>
      <c r="G53" s="42">
        <v>63306</v>
      </c>
      <c r="H53" t="s">
        <v>329</v>
      </c>
      <c r="I53" t="s">
        <v>362</v>
      </c>
    </row>
    <row r="54" spans="1:9">
      <c r="A54" s="34" t="s">
        <v>230</v>
      </c>
      <c r="B54" s="42">
        <v>8931</v>
      </c>
      <c r="C54" s="34" t="s">
        <v>328</v>
      </c>
      <c r="D54" t="s">
        <v>299</v>
      </c>
      <c r="F54" s="80" t="s">
        <v>331</v>
      </c>
      <c r="G54" s="42">
        <v>231688</v>
      </c>
      <c r="H54" t="s">
        <v>329</v>
      </c>
      <c r="I54" t="s">
        <v>362</v>
      </c>
    </row>
    <row r="55" spans="1:9">
      <c r="A55" s="34" t="s">
        <v>347</v>
      </c>
      <c r="B55" s="42">
        <v>13719</v>
      </c>
      <c r="C55" s="34" t="s">
        <v>329</v>
      </c>
      <c r="D55" t="s">
        <v>299</v>
      </c>
      <c r="F55" t="s">
        <v>239</v>
      </c>
      <c r="G55" s="42">
        <v>45339</v>
      </c>
      <c r="H55" t="s">
        <v>329</v>
      </c>
      <c r="I55" t="s">
        <v>362</v>
      </c>
    </row>
    <row r="56" spans="1:9">
      <c r="A56" s="34" t="s">
        <v>233</v>
      </c>
      <c r="B56" s="42">
        <v>220647</v>
      </c>
      <c r="C56" s="44"/>
      <c r="D56" t="s">
        <v>299</v>
      </c>
      <c r="F56" s="81" t="s">
        <v>93</v>
      </c>
      <c r="G56" s="42">
        <v>1005631</v>
      </c>
      <c r="H56" s="134" t="s">
        <v>329</v>
      </c>
      <c r="I56" t="s">
        <v>362</v>
      </c>
    </row>
    <row r="57" spans="1:9">
      <c r="F57" s="81" t="s">
        <v>93</v>
      </c>
      <c r="G57" s="42">
        <v>261268</v>
      </c>
      <c r="H57" s="134" t="s">
        <v>329</v>
      </c>
      <c r="I57" t="s">
        <v>362</v>
      </c>
    </row>
    <row r="58" spans="1:9">
      <c r="A58" s="34" t="s">
        <v>234</v>
      </c>
      <c r="B58" s="42">
        <v>14604</v>
      </c>
      <c r="C58" s="34" t="s">
        <v>329</v>
      </c>
      <c r="D58" t="s">
        <v>299</v>
      </c>
      <c r="F58" s="81" t="s">
        <v>93</v>
      </c>
      <c r="G58" s="42">
        <v>3085323</v>
      </c>
      <c r="H58" s="134" t="s">
        <v>329</v>
      </c>
      <c r="I58" t="s">
        <v>362</v>
      </c>
    </row>
    <row r="59" spans="1:9">
      <c r="A59" s="34" t="s">
        <v>227</v>
      </c>
      <c r="B59" s="42">
        <v>4308</v>
      </c>
      <c r="C59" s="34" t="s">
        <v>328</v>
      </c>
      <c r="D59" t="s">
        <v>299</v>
      </c>
      <c r="F59" s="34"/>
      <c r="G59" s="52">
        <f>SUM(G26:G58)</f>
        <v>8004104</v>
      </c>
      <c r="H59" s="134"/>
    </row>
    <row r="60" spans="1:9">
      <c r="A60" s="34" t="s">
        <v>235</v>
      </c>
      <c r="B60" s="42">
        <v>14140</v>
      </c>
      <c r="C60" s="34" t="s">
        <v>329</v>
      </c>
      <c r="D60" t="s">
        <v>299</v>
      </c>
      <c r="F60" s="34"/>
      <c r="G60" s="42"/>
      <c r="H60" s="134"/>
    </row>
    <row r="61" spans="1:9">
      <c r="A61" s="34" t="s">
        <v>236</v>
      </c>
      <c r="B61" s="42">
        <v>3389</v>
      </c>
      <c r="C61" s="34" t="s">
        <v>328</v>
      </c>
      <c r="D61" t="s">
        <v>299</v>
      </c>
      <c r="F61" t="s">
        <v>326</v>
      </c>
      <c r="G61" s="42">
        <v>50000</v>
      </c>
      <c r="H61" s="34" t="s">
        <v>328</v>
      </c>
      <c r="I61" t="s">
        <v>299</v>
      </c>
    </row>
    <row r="62" spans="1:9">
      <c r="A62" s="34" t="s">
        <v>237</v>
      </c>
      <c r="B62" s="42">
        <v>6741</v>
      </c>
      <c r="C62" s="34" t="s">
        <v>329</v>
      </c>
      <c r="D62" t="s">
        <v>299</v>
      </c>
      <c r="F62" s="34" t="s">
        <v>330</v>
      </c>
      <c r="G62" s="42">
        <v>74941</v>
      </c>
      <c r="H62" s="34" t="s">
        <v>328</v>
      </c>
      <c r="I62" t="s">
        <v>299</v>
      </c>
    </row>
    <row r="63" spans="1:9">
      <c r="A63" s="34" t="s">
        <v>331</v>
      </c>
      <c r="B63" s="42">
        <v>66248</v>
      </c>
      <c r="C63" s="34" t="s">
        <v>329</v>
      </c>
      <c r="D63" t="s">
        <v>299</v>
      </c>
      <c r="F63" s="34" t="s">
        <v>332</v>
      </c>
      <c r="G63" s="42">
        <v>44588</v>
      </c>
      <c r="H63" s="34" t="s">
        <v>328</v>
      </c>
      <c r="I63" t="s">
        <v>299</v>
      </c>
    </row>
    <row r="64" spans="1:9">
      <c r="A64" s="34" t="s">
        <v>238</v>
      </c>
      <c r="B64" s="42">
        <v>6260</v>
      </c>
      <c r="C64" s="34" t="s">
        <v>328</v>
      </c>
      <c r="D64" t="s">
        <v>299</v>
      </c>
      <c r="F64" s="34" t="s">
        <v>333</v>
      </c>
      <c r="G64" s="42">
        <v>16548</v>
      </c>
      <c r="H64" s="34" t="s">
        <v>328</v>
      </c>
      <c r="I64" t="s">
        <v>299</v>
      </c>
    </row>
    <row r="65" spans="1:9">
      <c r="A65" s="34" t="s">
        <v>239</v>
      </c>
      <c r="B65" s="42">
        <v>3684</v>
      </c>
      <c r="C65" s="34" t="s">
        <v>329</v>
      </c>
      <c r="D65" t="s">
        <v>299</v>
      </c>
      <c r="F65" s="34" t="s">
        <v>334</v>
      </c>
      <c r="G65" s="42">
        <v>50594</v>
      </c>
      <c r="H65" s="34" t="s">
        <v>328</v>
      </c>
      <c r="I65" t="s">
        <v>299</v>
      </c>
    </row>
    <row r="66" spans="1:9">
      <c r="A66" s="34" t="s">
        <v>240</v>
      </c>
      <c r="B66" s="42">
        <v>8973</v>
      </c>
      <c r="C66" s="34" t="s">
        <v>328</v>
      </c>
      <c r="D66" t="s">
        <v>299</v>
      </c>
      <c r="F66" s="34" t="s">
        <v>335</v>
      </c>
      <c r="G66" s="42">
        <v>27717</v>
      </c>
      <c r="H66" s="34" t="s">
        <v>328</v>
      </c>
      <c r="I66" t="s">
        <v>299</v>
      </c>
    </row>
    <row r="67" spans="1:9">
      <c r="A67" s="34" t="s">
        <v>217</v>
      </c>
      <c r="B67" s="42">
        <v>5944</v>
      </c>
      <c r="C67" s="34" t="s">
        <v>328</v>
      </c>
      <c r="D67" t="s">
        <v>299</v>
      </c>
      <c r="F67" s="34" t="s">
        <v>336</v>
      </c>
      <c r="G67" s="42">
        <v>7227</v>
      </c>
      <c r="H67" s="34" t="s">
        <v>328</v>
      </c>
      <c r="I67" t="s">
        <v>299</v>
      </c>
    </row>
    <row r="68" spans="1:9">
      <c r="A68" s="34" t="s">
        <v>326</v>
      </c>
      <c r="B68" s="42">
        <v>6154</v>
      </c>
      <c r="C68" s="34" t="s">
        <v>328</v>
      </c>
      <c r="D68" t="s">
        <v>299</v>
      </c>
      <c r="F68" s="34" t="s">
        <v>337</v>
      </c>
      <c r="G68" s="42">
        <v>4885</v>
      </c>
      <c r="H68" s="34" t="s">
        <v>328</v>
      </c>
      <c r="I68" t="s">
        <v>299</v>
      </c>
    </row>
    <row r="69" spans="1:9">
      <c r="A69" s="34" t="s">
        <v>241</v>
      </c>
      <c r="B69" s="42">
        <v>2566</v>
      </c>
      <c r="C69" s="34" t="s">
        <v>329</v>
      </c>
      <c r="D69" t="s">
        <v>299</v>
      </c>
      <c r="F69" s="34" t="s">
        <v>339</v>
      </c>
      <c r="G69" s="42">
        <v>11204</v>
      </c>
      <c r="H69" s="34" t="s">
        <v>328</v>
      </c>
      <c r="I69" t="s">
        <v>299</v>
      </c>
    </row>
    <row r="70" spans="1:9">
      <c r="A70" s="34" t="s">
        <v>242</v>
      </c>
      <c r="B70" s="42">
        <v>5672</v>
      </c>
      <c r="C70" s="34" t="s">
        <v>328</v>
      </c>
      <c r="D70" t="s">
        <v>299</v>
      </c>
      <c r="F70" s="34" t="s">
        <v>341</v>
      </c>
      <c r="G70" s="42">
        <v>8870</v>
      </c>
      <c r="H70" s="34" t="s">
        <v>328</v>
      </c>
      <c r="I70" t="s">
        <v>299</v>
      </c>
    </row>
    <row r="71" spans="1:9">
      <c r="A71" s="34" t="s">
        <v>243</v>
      </c>
      <c r="B71" s="42">
        <v>2326</v>
      </c>
      <c r="C71" s="34" t="s">
        <v>329</v>
      </c>
      <c r="D71" t="s">
        <v>299</v>
      </c>
      <c r="F71" s="34" t="s">
        <v>342</v>
      </c>
      <c r="G71" s="42">
        <v>11372</v>
      </c>
      <c r="H71" s="34" t="s">
        <v>328</v>
      </c>
      <c r="I71" t="s">
        <v>299</v>
      </c>
    </row>
    <row r="72" spans="1:9">
      <c r="A72" s="34" t="s">
        <v>345</v>
      </c>
      <c r="B72" s="42">
        <v>8129</v>
      </c>
      <c r="C72" s="34" t="s">
        <v>328</v>
      </c>
      <c r="D72" t="s">
        <v>299</v>
      </c>
      <c r="F72" s="34" t="s">
        <v>345</v>
      </c>
      <c r="G72" s="42">
        <v>50506</v>
      </c>
      <c r="H72" s="34" t="s">
        <v>328</v>
      </c>
      <c r="I72" t="s">
        <v>299</v>
      </c>
    </row>
    <row r="73" spans="1:9">
      <c r="F73" s="34" t="s">
        <v>346</v>
      </c>
      <c r="G73" s="42">
        <v>134166</v>
      </c>
      <c r="H73" s="34" t="s">
        <v>328</v>
      </c>
      <c r="I73" t="s">
        <v>299</v>
      </c>
    </row>
    <row r="74" spans="1:9">
      <c r="A74" s="34" t="s">
        <v>244</v>
      </c>
      <c r="B74" s="42">
        <v>119016</v>
      </c>
      <c r="C74" s="34" t="s">
        <v>328</v>
      </c>
      <c r="D74" t="s">
        <v>362</v>
      </c>
      <c r="F74" s="34" t="s">
        <v>348</v>
      </c>
      <c r="G74" s="42">
        <v>45422</v>
      </c>
      <c r="H74" s="34" t="s">
        <v>328</v>
      </c>
      <c r="I74" t="s">
        <v>299</v>
      </c>
    </row>
    <row r="75" spans="1:9">
      <c r="A75" s="34" t="s">
        <v>226</v>
      </c>
      <c r="B75" s="42">
        <v>11234</v>
      </c>
      <c r="C75" s="34" t="s">
        <v>328</v>
      </c>
      <c r="D75" t="s">
        <v>362</v>
      </c>
      <c r="F75" s="34" t="s">
        <v>351</v>
      </c>
      <c r="G75" s="42">
        <v>19202</v>
      </c>
      <c r="H75" s="34" t="s">
        <v>328</v>
      </c>
      <c r="I75" t="s">
        <v>299</v>
      </c>
    </row>
    <row r="76" spans="1:9">
      <c r="F76" s="34" t="s">
        <v>346</v>
      </c>
      <c r="G76" s="42">
        <v>18023</v>
      </c>
      <c r="H76" s="34" t="s">
        <v>328</v>
      </c>
      <c r="I76" t="s">
        <v>299</v>
      </c>
    </row>
    <row r="77" spans="1:9">
      <c r="A77" s="34" t="s">
        <v>245</v>
      </c>
      <c r="B77" s="42">
        <v>149882</v>
      </c>
      <c r="C77" s="34" t="s">
        <v>328</v>
      </c>
      <c r="D77" t="s">
        <v>362</v>
      </c>
      <c r="F77" s="34" t="s">
        <v>353</v>
      </c>
      <c r="G77" s="42">
        <v>25393</v>
      </c>
      <c r="H77" s="34" t="s">
        <v>328</v>
      </c>
      <c r="I77" t="s">
        <v>299</v>
      </c>
    </row>
    <row r="78" spans="1:9">
      <c r="A78" s="34" t="s">
        <v>246</v>
      </c>
      <c r="B78" s="42">
        <v>38950</v>
      </c>
      <c r="C78" s="34" t="s">
        <v>329</v>
      </c>
      <c r="D78" t="s">
        <v>362</v>
      </c>
      <c r="F78" s="34" t="s">
        <v>333</v>
      </c>
      <c r="G78" s="42">
        <v>11490</v>
      </c>
      <c r="H78" s="34" t="s">
        <v>328</v>
      </c>
      <c r="I78" t="s">
        <v>299</v>
      </c>
    </row>
    <row r="79" spans="1:9">
      <c r="A79" s="34" t="s">
        <v>237</v>
      </c>
      <c r="B79" s="42">
        <v>20361</v>
      </c>
      <c r="C79" s="34" t="s">
        <v>329</v>
      </c>
      <c r="D79" t="s">
        <v>362</v>
      </c>
      <c r="F79" s="34" t="s">
        <v>355</v>
      </c>
      <c r="G79" s="42">
        <v>6046</v>
      </c>
      <c r="H79" s="34" t="s">
        <v>328</v>
      </c>
      <c r="I79" t="s">
        <v>299</v>
      </c>
    </row>
    <row r="80" spans="1:9">
      <c r="A80" s="34" t="s">
        <v>224</v>
      </c>
      <c r="B80" s="42">
        <v>58021</v>
      </c>
      <c r="C80" s="34" t="s">
        <v>328</v>
      </c>
      <c r="D80" t="s">
        <v>362</v>
      </c>
      <c r="F80" s="34" t="s">
        <v>216</v>
      </c>
      <c r="G80" s="42">
        <v>16110</v>
      </c>
      <c r="H80" s="34" t="s">
        <v>328</v>
      </c>
      <c r="I80" t="s">
        <v>299</v>
      </c>
    </row>
    <row r="81" spans="1:9">
      <c r="A81" s="34" t="s">
        <v>231</v>
      </c>
      <c r="B81" s="42">
        <v>143853</v>
      </c>
      <c r="C81" s="34" t="s">
        <v>328</v>
      </c>
      <c r="D81" t="s">
        <v>362</v>
      </c>
      <c r="F81" s="34" t="s">
        <v>217</v>
      </c>
      <c r="G81" s="42">
        <v>35767</v>
      </c>
      <c r="H81" s="34" t="s">
        <v>328</v>
      </c>
      <c r="I81" t="s">
        <v>299</v>
      </c>
    </row>
    <row r="82" spans="1:9">
      <c r="A82" s="34" t="s">
        <v>349</v>
      </c>
      <c r="B82" s="42">
        <v>55912</v>
      </c>
      <c r="C82" s="34" t="s">
        <v>329</v>
      </c>
      <c r="D82" t="s">
        <v>362</v>
      </c>
      <c r="F82" s="34" t="s">
        <v>218</v>
      </c>
      <c r="G82" s="42">
        <v>12129</v>
      </c>
      <c r="H82" s="34" t="s">
        <v>328</v>
      </c>
      <c r="I82" t="s">
        <v>299</v>
      </c>
    </row>
    <row r="83" spans="1:9">
      <c r="A83" s="34" t="s">
        <v>247</v>
      </c>
      <c r="B83" s="42">
        <v>119024</v>
      </c>
      <c r="C83" s="34" t="s">
        <v>328</v>
      </c>
      <c r="D83" t="s">
        <v>362</v>
      </c>
      <c r="F83" s="34" t="s">
        <v>219</v>
      </c>
      <c r="G83" s="42">
        <v>14503</v>
      </c>
      <c r="H83" s="34" t="s">
        <v>328</v>
      </c>
      <c r="I83" t="s">
        <v>299</v>
      </c>
    </row>
    <row r="84" spans="1:9">
      <c r="A84" s="34" t="s">
        <v>248</v>
      </c>
      <c r="B84" s="42">
        <v>536039</v>
      </c>
      <c r="C84" s="34" t="s">
        <v>328</v>
      </c>
      <c r="D84" t="s">
        <v>362</v>
      </c>
      <c r="F84" s="34" t="s">
        <v>220</v>
      </c>
      <c r="G84" s="42">
        <v>31445</v>
      </c>
      <c r="H84" s="34" t="s">
        <v>328</v>
      </c>
      <c r="I84" t="s">
        <v>299</v>
      </c>
    </row>
    <row r="85" spans="1:9">
      <c r="A85" s="34" t="s">
        <v>217</v>
      </c>
      <c r="B85" s="42">
        <v>96714</v>
      </c>
      <c r="C85" s="34" t="s">
        <v>328</v>
      </c>
      <c r="D85" t="s">
        <v>362</v>
      </c>
      <c r="F85" s="34" t="s">
        <v>221</v>
      </c>
      <c r="G85" s="42">
        <v>5897</v>
      </c>
      <c r="H85" s="34" t="s">
        <v>328</v>
      </c>
      <c r="I85" t="s">
        <v>299</v>
      </c>
    </row>
    <row r="86" spans="1:9">
      <c r="A86" s="34" t="s">
        <v>217</v>
      </c>
      <c r="B86" s="42">
        <v>46752</v>
      </c>
      <c r="C86" s="34" t="s">
        <v>328</v>
      </c>
      <c r="D86" t="s">
        <v>362</v>
      </c>
      <c r="F86" s="34" t="s">
        <v>222</v>
      </c>
      <c r="G86" s="42">
        <v>6740</v>
      </c>
      <c r="H86" s="34" t="s">
        <v>328</v>
      </c>
      <c r="I86" t="s">
        <v>299</v>
      </c>
    </row>
    <row r="87" spans="1:9">
      <c r="A87" s="34" t="s">
        <v>218</v>
      </c>
      <c r="B87" s="42">
        <v>70033</v>
      </c>
      <c r="C87" s="34" t="s">
        <v>328</v>
      </c>
      <c r="D87" t="s">
        <v>362</v>
      </c>
      <c r="F87" s="34" t="s">
        <v>223</v>
      </c>
      <c r="G87" s="42">
        <v>15982</v>
      </c>
      <c r="H87" s="34" t="s">
        <v>328</v>
      </c>
      <c r="I87" t="s">
        <v>299</v>
      </c>
    </row>
    <row r="88" spans="1:9">
      <c r="A88" s="34" t="s">
        <v>249</v>
      </c>
      <c r="B88" s="42">
        <v>75000</v>
      </c>
      <c r="C88" s="34" t="s">
        <v>328</v>
      </c>
      <c r="D88" t="s">
        <v>362</v>
      </c>
      <c r="F88" s="34" t="s">
        <v>224</v>
      </c>
      <c r="G88" s="42">
        <v>14133</v>
      </c>
      <c r="H88" s="34" t="s">
        <v>328</v>
      </c>
      <c r="I88" t="s">
        <v>299</v>
      </c>
    </row>
    <row r="89" spans="1:9">
      <c r="A89" s="34" t="s">
        <v>336</v>
      </c>
      <c r="B89" s="42">
        <v>32968</v>
      </c>
      <c r="C89" s="34" t="s">
        <v>328</v>
      </c>
      <c r="D89" t="s">
        <v>362</v>
      </c>
      <c r="F89" s="34" t="s">
        <v>225</v>
      </c>
      <c r="G89" s="42">
        <v>18801</v>
      </c>
      <c r="H89" s="34" t="s">
        <v>328</v>
      </c>
      <c r="I89" t="s">
        <v>299</v>
      </c>
    </row>
    <row r="90" spans="1:9">
      <c r="A90" s="34" t="s">
        <v>250</v>
      </c>
      <c r="B90" s="42">
        <v>1005631</v>
      </c>
      <c r="C90" s="44"/>
      <c r="D90" t="s">
        <v>362</v>
      </c>
      <c r="F90" s="34" t="s">
        <v>226</v>
      </c>
      <c r="G90" s="42">
        <v>6330</v>
      </c>
      <c r="H90" s="34" t="s">
        <v>328</v>
      </c>
      <c r="I90" t="s">
        <v>299</v>
      </c>
    </row>
    <row r="91" spans="1:9">
      <c r="A91" s="34" t="s">
        <v>351</v>
      </c>
      <c r="B91" s="42">
        <v>176174</v>
      </c>
      <c r="C91" s="34" t="s">
        <v>328</v>
      </c>
      <c r="D91" t="s">
        <v>362</v>
      </c>
      <c r="F91" s="34" t="s">
        <v>227</v>
      </c>
      <c r="G91" s="42">
        <v>3315</v>
      </c>
      <c r="H91" s="34" t="s">
        <v>328</v>
      </c>
      <c r="I91" t="s">
        <v>299</v>
      </c>
    </row>
    <row r="92" spans="1:9">
      <c r="F92" s="34" t="s">
        <v>228</v>
      </c>
      <c r="G92" s="42">
        <v>12119</v>
      </c>
      <c r="H92" s="34" t="s">
        <v>328</v>
      </c>
      <c r="I92" t="s">
        <v>299</v>
      </c>
    </row>
    <row r="93" spans="1:9">
      <c r="A93" s="34" t="s">
        <v>251</v>
      </c>
      <c r="B93" s="42">
        <v>63890</v>
      </c>
      <c r="C93" s="34" t="s">
        <v>328</v>
      </c>
      <c r="D93" t="s">
        <v>299</v>
      </c>
      <c r="F93" s="34" t="s">
        <v>229</v>
      </c>
      <c r="G93" s="42">
        <v>4562</v>
      </c>
      <c r="H93" s="34" t="s">
        <v>328</v>
      </c>
      <c r="I93" t="s">
        <v>299</v>
      </c>
    </row>
    <row r="94" spans="1:9">
      <c r="A94" s="34" t="s">
        <v>252</v>
      </c>
      <c r="B94" s="42">
        <v>88340</v>
      </c>
      <c r="C94" s="34" t="s">
        <v>328</v>
      </c>
      <c r="D94" t="s">
        <v>299</v>
      </c>
      <c r="F94" s="34" t="s">
        <v>230</v>
      </c>
      <c r="G94" s="42">
        <v>1443</v>
      </c>
      <c r="H94" s="34" t="s">
        <v>328</v>
      </c>
      <c r="I94" t="s">
        <v>299</v>
      </c>
    </row>
    <row r="95" spans="1:9">
      <c r="A95" s="34" t="s">
        <v>253</v>
      </c>
      <c r="B95" s="42">
        <v>69836</v>
      </c>
      <c r="C95" s="34" t="s">
        <v>328</v>
      </c>
      <c r="D95" t="s">
        <v>299</v>
      </c>
      <c r="F95" s="34" t="s">
        <v>231</v>
      </c>
      <c r="G95" s="42">
        <v>21585</v>
      </c>
      <c r="H95" s="34" t="s">
        <v>328</v>
      </c>
      <c r="I95" t="s">
        <v>299</v>
      </c>
    </row>
    <row r="96" spans="1:9">
      <c r="A96" s="34" t="s">
        <v>254</v>
      </c>
      <c r="B96" s="42">
        <v>93038</v>
      </c>
      <c r="C96" s="34" t="s">
        <v>328</v>
      </c>
      <c r="D96" t="s">
        <v>299</v>
      </c>
      <c r="F96" s="34" t="s">
        <v>232</v>
      </c>
      <c r="G96" s="42">
        <v>5348</v>
      </c>
      <c r="H96" s="34" t="s">
        <v>328</v>
      </c>
      <c r="I96" t="s">
        <v>299</v>
      </c>
    </row>
    <row r="97" spans="1:9">
      <c r="A97" s="34" t="s">
        <v>255</v>
      </c>
      <c r="B97" s="42">
        <v>100000</v>
      </c>
      <c r="C97" s="34" t="s">
        <v>328</v>
      </c>
      <c r="D97" t="s">
        <v>299</v>
      </c>
      <c r="F97" s="34" t="s">
        <v>230</v>
      </c>
      <c r="G97" s="42">
        <v>8931</v>
      </c>
      <c r="H97" s="34" t="s">
        <v>328</v>
      </c>
      <c r="I97" t="s">
        <v>299</v>
      </c>
    </row>
    <row r="98" spans="1:9">
      <c r="A98" s="34" t="s">
        <v>256</v>
      </c>
      <c r="B98" s="42">
        <v>57198</v>
      </c>
      <c r="C98" s="34" t="s">
        <v>328</v>
      </c>
      <c r="D98" t="s">
        <v>299</v>
      </c>
      <c r="F98" s="34" t="s">
        <v>227</v>
      </c>
      <c r="G98" s="42">
        <v>4308</v>
      </c>
      <c r="H98" s="34" t="s">
        <v>328</v>
      </c>
      <c r="I98" t="s">
        <v>299</v>
      </c>
    </row>
    <row r="99" spans="1:9">
      <c r="A99" s="34" t="s">
        <v>257</v>
      </c>
      <c r="B99" s="42">
        <v>140717</v>
      </c>
      <c r="C99" s="34" t="s">
        <v>328</v>
      </c>
      <c r="D99" t="s">
        <v>299</v>
      </c>
      <c r="F99" s="34" t="s">
        <v>236</v>
      </c>
      <c r="G99" s="42">
        <v>3389</v>
      </c>
      <c r="H99" s="34" t="s">
        <v>328</v>
      </c>
      <c r="I99" t="s">
        <v>299</v>
      </c>
    </row>
    <row r="100" spans="1:9">
      <c r="A100" s="34" t="s">
        <v>258</v>
      </c>
      <c r="B100" s="42">
        <v>89101</v>
      </c>
      <c r="C100" s="34" t="s">
        <v>328</v>
      </c>
      <c r="D100" t="s">
        <v>299</v>
      </c>
      <c r="F100" s="34" t="s">
        <v>238</v>
      </c>
      <c r="G100" s="42">
        <v>6260</v>
      </c>
      <c r="H100" s="34" t="s">
        <v>328</v>
      </c>
      <c r="I100" t="s">
        <v>299</v>
      </c>
    </row>
    <row r="101" spans="1:9">
      <c r="A101" s="34" t="s">
        <v>259</v>
      </c>
      <c r="B101" s="42">
        <v>42097</v>
      </c>
      <c r="C101" s="34" t="s">
        <v>328</v>
      </c>
      <c r="D101" t="s">
        <v>299</v>
      </c>
      <c r="F101" s="34" t="s">
        <v>240</v>
      </c>
      <c r="G101" s="42">
        <v>8973</v>
      </c>
      <c r="H101" s="34" t="s">
        <v>328</v>
      </c>
      <c r="I101" t="s">
        <v>299</v>
      </c>
    </row>
    <row r="102" spans="1:9">
      <c r="A102" s="34" t="s">
        <v>260</v>
      </c>
      <c r="B102" s="42">
        <v>52279</v>
      </c>
      <c r="C102" s="34" t="s">
        <v>328</v>
      </c>
      <c r="D102" t="s">
        <v>299</v>
      </c>
      <c r="E102" s="34"/>
      <c r="F102" s="34" t="s">
        <v>217</v>
      </c>
      <c r="G102" s="42">
        <v>5944</v>
      </c>
      <c r="H102" s="34" t="s">
        <v>328</v>
      </c>
      <c r="I102" t="s">
        <v>299</v>
      </c>
    </row>
    <row r="103" spans="1:9">
      <c r="A103" s="34" t="s">
        <v>254</v>
      </c>
      <c r="B103" s="42">
        <v>12977</v>
      </c>
      <c r="C103" s="34" t="s">
        <v>328</v>
      </c>
      <c r="D103" t="s">
        <v>299</v>
      </c>
      <c r="F103" s="34" t="s">
        <v>326</v>
      </c>
      <c r="G103" s="42">
        <v>6154</v>
      </c>
      <c r="H103" s="34" t="s">
        <v>328</v>
      </c>
      <c r="I103" t="s">
        <v>299</v>
      </c>
    </row>
    <row r="104" spans="1:9">
      <c r="A104" s="34" t="s">
        <v>261</v>
      </c>
      <c r="B104" s="42">
        <v>118262</v>
      </c>
      <c r="C104" s="34" t="s">
        <v>328</v>
      </c>
      <c r="D104" t="s">
        <v>299</v>
      </c>
      <c r="F104" s="34" t="s">
        <v>242</v>
      </c>
      <c r="G104" s="42">
        <v>5672</v>
      </c>
      <c r="H104" s="34" t="s">
        <v>328</v>
      </c>
      <c r="I104" t="s">
        <v>299</v>
      </c>
    </row>
    <row r="105" spans="1:9">
      <c r="A105" s="34" t="s">
        <v>262</v>
      </c>
      <c r="B105" s="42">
        <v>67015</v>
      </c>
      <c r="C105" s="34" t="s">
        <v>328</v>
      </c>
      <c r="D105" t="s">
        <v>299</v>
      </c>
      <c r="F105" s="34" t="s">
        <v>345</v>
      </c>
      <c r="G105" s="42">
        <v>8129</v>
      </c>
      <c r="H105" s="34" t="s">
        <v>328</v>
      </c>
      <c r="I105" t="s">
        <v>299</v>
      </c>
    </row>
    <row r="106" spans="1:9">
      <c r="A106" s="34" t="s">
        <v>263</v>
      </c>
      <c r="B106" s="42">
        <v>27525</v>
      </c>
      <c r="C106" s="34" t="s">
        <v>328</v>
      </c>
      <c r="D106" t="s">
        <v>299</v>
      </c>
      <c r="F106" s="34" t="s">
        <v>244</v>
      </c>
      <c r="G106" s="42">
        <v>119016</v>
      </c>
      <c r="H106" s="34" t="s">
        <v>328</v>
      </c>
      <c r="I106" t="s">
        <v>362</v>
      </c>
    </row>
    <row r="107" spans="1:9">
      <c r="F107" s="34" t="s">
        <v>226</v>
      </c>
      <c r="G107" s="42">
        <v>11234</v>
      </c>
      <c r="H107" s="34" t="s">
        <v>328</v>
      </c>
      <c r="I107" t="s">
        <v>362</v>
      </c>
    </row>
    <row r="108" spans="1:9">
      <c r="A108" t="s">
        <v>264</v>
      </c>
      <c r="B108" s="42">
        <v>105180</v>
      </c>
      <c r="C108" t="s">
        <v>328</v>
      </c>
      <c r="D108" t="s">
        <v>299</v>
      </c>
      <c r="F108" s="34" t="s">
        <v>245</v>
      </c>
      <c r="G108" s="42">
        <v>149882</v>
      </c>
      <c r="H108" s="34" t="s">
        <v>328</v>
      </c>
      <c r="I108" t="s">
        <v>362</v>
      </c>
    </row>
    <row r="109" spans="1:9">
      <c r="A109" t="s">
        <v>265</v>
      </c>
      <c r="B109" s="42">
        <v>271426</v>
      </c>
      <c r="C109" t="s">
        <v>328</v>
      </c>
      <c r="D109" t="s">
        <v>299</v>
      </c>
      <c r="F109" s="34" t="s">
        <v>224</v>
      </c>
      <c r="G109" s="42">
        <v>58021</v>
      </c>
      <c r="H109" s="34" t="s">
        <v>328</v>
      </c>
      <c r="I109" t="s">
        <v>362</v>
      </c>
    </row>
    <row r="110" spans="1:9">
      <c r="A110" t="s">
        <v>266</v>
      </c>
      <c r="B110" s="42">
        <v>88000</v>
      </c>
      <c r="C110" t="s">
        <v>328</v>
      </c>
      <c r="D110" t="s">
        <v>299</v>
      </c>
      <c r="F110" s="34" t="s">
        <v>231</v>
      </c>
      <c r="G110" s="42">
        <v>143853</v>
      </c>
      <c r="H110" s="34" t="s">
        <v>328</v>
      </c>
      <c r="I110" t="s">
        <v>362</v>
      </c>
    </row>
    <row r="111" spans="1:9">
      <c r="A111" t="s">
        <v>267</v>
      </c>
      <c r="B111" s="42">
        <v>65023</v>
      </c>
      <c r="C111" t="s">
        <v>328</v>
      </c>
      <c r="D111" t="s">
        <v>299</v>
      </c>
      <c r="F111" s="34" t="s">
        <v>247</v>
      </c>
      <c r="G111" s="42">
        <v>119024</v>
      </c>
      <c r="H111" s="34" t="s">
        <v>328</v>
      </c>
      <c r="I111" t="s">
        <v>362</v>
      </c>
    </row>
    <row r="112" spans="1:9">
      <c r="A112" t="s">
        <v>268</v>
      </c>
      <c r="B112" s="42">
        <v>1375000</v>
      </c>
      <c r="C112" t="s">
        <v>328</v>
      </c>
      <c r="D112" t="s">
        <v>299</v>
      </c>
      <c r="F112" s="34" t="s">
        <v>248</v>
      </c>
      <c r="G112" s="42">
        <v>536039</v>
      </c>
      <c r="H112" s="34" t="s">
        <v>328</v>
      </c>
      <c r="I112" t="s">
        <v>362</v>
      </c>
    </row>
    <row r="113" spans="1:9">
      <c r="A113" t="s">
        <v>269</v>
      </c>
      <c r="B113" s="42">
        <v>121400</v>
      </c>
      <c r="C113" t="s">
        <v>328</v>
      </c>
      <c r="D113" t="s">
        <v>299</v>
      </c>
      <c r="F113" s="34" t="s">
        <v>217</v>
      </c>
      <c r="G113" s="42">
        <v>96714</v>
      </c>
      <c r="H113" s="34" t="s">
        <v>328</v>
      </c>
      <c r="I113" t="s">
        <v>362</v>
      </c>
    </row>
    <row r="114" spans="1:9">
      <c r="A114" t="s">
        <v>270</v>
      </c>
      <c r="B114" s="42">
        <v>81895</v>
      </c>
      <c r="C114" t="s">
        <v>328</v>
      </c>
      <c r="D114" t="s">
        <v>299</v>
      </c>
      <c r="F114" s="34" t="s">
        <v>217</v>
      </c>
      <c r="G114" s="42">
        <v>46752</v>
      </c>
      <c r="H114" s="34" t="s">
        <v>328</v>
      </c>
      <c r="I114" t="s">
        <v>362</v>
      </c>
    </row>
    <row r="115" spans="1:9">
      <c r="A115" t="s">
        <v>271</v>
      </c>
      <c r="B115" s="42">
        <v>42673</v>
      </c>
      <c r="C115" t="s">
        <v>328</v>
      </c>
      <c r="D115" t="s">
        <v>299</v>
      </c>
      <c r="F115" s="34" t="s">
        <v>218</v>
      </c>
      <c r="G115" s="42">
        <v>70033</v>
      </c>
      <c r="H115" s="34" t="s">
        <v>328</v>
      </c>
      <c r="I115" t="s">
        <v>362</v>
      </c>
    </row>
    <row r="116" spans="1:9">
      <c r="A116" t="s">
        <v>272</v>
      </c>
      <c r="B116" s="42">
        <v>58527</v>
      </c>
      <c r="C116" t="s">
        <v>328</v>
      </c>
      <c r="D116" t="s">
        <v>299</v>
      </c>
      <c r="F116" s="34" t="s">
        <v>249</v>
      </c>
      <c r="G116" s="42">
        <v>75000</v>
      </c>
      <c r="H116" s="34" t="s">
        <v>328</v>
      </c>
      <c r="I116" t="s">
        <v>362</v>
      </c>
    </row>
    <row r="117" spans="1:9">
      <c r="A117" t="s">
        <v>273</v>
      </c>
      <c r="B117" s="42">
        <v>145181</v>
      </c>
      <c r="C117" t="s">
        <v>328</v>
      </c>
      <c r="D117" t="s">
        <v>299</v>
      </c>
      <c r="F117" s="34" t="s">
        <v>336</v>
      </c>
      <c r="G117" s="42">
        <v>32968</v>
      </c>
      <c r="H117" s="34" t="s">
        <v>328</v>
      </c>
      <c r="I117" t="s">
        <v>362</v>
      </c>
    </row>
    <row r="118" spans="1:9">
      <c r="A118" t="s">
        <v>274</v>
      </c>
      <c r="B118" s="42">
        <v>50000</v>
      </c>
      <c r="C118" t="s">
        <v>328</v>
      </c>
      <c r="D118" t="s">
        <v>299</v>
      </c>
      <c r="F118" s="34" t="s">
        <v>351</v>
      </c>
      <c r="G118" s="42">
        <v>176174</v>
      </c>
      <c r="H118" s="34" t="s">
        <v>328</v>
      </c>
      <c r="I118" t="s">
        <v>362</v>
      </c>
    </row>
    <row r="119" spans="1:9">
      <c r="A119" t="s">
        <v>275</v>
      </c>
      <c r="B119" s="42">
        <v>75077</v>
      </c>
      <c r="C119" t="s">
        <v>328</v>
      </c>
      <c r="D119" t="s">
        <v>299</v>
      </c>
      <c r="F119" s="34" t="s">
        <v>251</v>
      </c>
      <c r="G119" s="42">
        <v>63890</v>
      </c>
      <c r="H119" s="34" t="s">
        <v>328</v>
      </c>
      <c r="I119" t="s">
        <v>299</v>
      </c>
    </row>
    <row r="120" spans="1:9">
      <c r="A120" t="s">
        <v>276</v>
      </c>
      <c r="B120" s="42">
        <v>40269</v>
      </c>
      <c r="C120" t="s">
        <v>328</v>
      </c>
      <c r="D120" t="s">
        <v>299</v>
      </c>
      <c r="F120" s="34" t="s">
        <v>252</v>
      </c>
      <c r="G120" s="42">
        <v>88340</v>
      </c>
      <c r="H120" s="34" t="s">
        <v>328</v>
      </c>
      <c r="I120" t="s">
        <v>299</v>
      </c>
    </row>
    <row r="121" spans="1:9">
      <c r="A121" t="s">
        <v>277</v>
      </c>
      <c r="B121" s="42">
        <v>68232</v>
      </c>
      <c r="C121" t="s">
        <v>328</v>
      </c>
      <c r="D121" t="s">
        <v>299</v>
      </c>
      <c r="F121" s="34" t="s">
        <v>253</v>
      </c>
      <c r="G121" s="42">
        <v>69836</v>
      </c>
      <c r="H121" s="34" t="s">
        <v>328</v>
      </c>
      <c r="I121" t="s">
        <v>299</v>
      </c>
    </row>
    <row r="122" spans="1:9">
      <c r="A122" t="s">
        <v>278</v>
      </c>
      <c r="B122" s="42">
        <v>47755</v>
      </c>
      <c r="C122" t="s">
        <v>328</v>
      </c>
      <c r="D122" t="s">
        <v>299</v>
      </c>
      <c r="F122" s="34" t="s">
        <v>254</v>
      </c>
      <c r="G122" s="42">
        <v>93038</v>
      </c>
      <c r="H122" s="34" t="s">
        <v>328</v>
      </c>
      <c r="I122" t="s">
        <v>299</v>
      </c>
    </row>
    <row r="123" spans="1:9">
      <c r="F123" s="34" t="s">
        <v>255</v>
      </c>
      <c r="G123" s="42">
        <v>100000</v>
      </c>
      <c r="H123" s="34" t="s">
        <v>328</v>
      </c>
      <c r="I123" t="s">
        <v>299</v>
      </c>
    </row>
    <row r="124" spans="1:9">
      <c r="A124" t="s">
        <v>275</v>
      </c>
      <c r="B124" s="42">
        <v>123285</v>
      </c>
      <c r="C124" t="s">
        <v>328</v>
      </c>
      <c r="D124" t="s">
        <v>362</v>
      </c>
      <c r="F124" s="34" t="s">
        <v>256</v>
      </c>
      <c r="G124" s="42">
        <v>57198</v>
      </c>
      <c r="H124" s="34" t="s">
        <v>328</v>
      </c>
      <c r="I124" t="s">
        <v>299</v>
      </c>
    </row>
    <row r="125" spans="1:9">
      <c r="A125" t="s">
        <v>229</v>
      </c>
      <c r="B125" s="42">
        <v>14916</v>
      </c>
      <c r="C125" t="s">
        <v>328</v>
      </c>
      <c r="D125" t="s">
        <v>362</v>
      </c>
      <c r="F125" s="34" t="s">
        <v>257</v>
      </c>
      <c r="G125" s="42">
        <v>140717</v>
      </c>
      <c r="H125" s="34" t="s">
        <v>328</v>
      </c>
      <c r="I125" t="s">
        <v>299</v>
      </c>
    </row>
    <row r="126" spans="1:9">
      <c r="A126" t="s">
        <v>279</v>
      </c>
      <c r="B126" s="42">
        <v>11206</v>
      </c>
      <c r="C126" t="s">
        <v>328</v>
      </c>
      <c r="D126" t="s">
        <v>362</v>
      </c>
      <c r="F126" s="34" t="s">
        <v>258</v>
      </c>
      <c r="G126" s="42">
        <v>89101</v>
      </c>
      <c r="H126" s="34" t="s">
        <v>328</v>
      </c>
      <c r="I126" t="s">
        <v>299</v>
      </c>
    </row>
    <row r="127" spans="1:9">
      <c r="A127" t="s">
        <v>280</v>
      </c>
      <c r="B127" s="42">
        <v>4575</v>
      </c>
      <c r="C127" t="s">
        <v>328</v>
      </c>
      <c r="D127" t="s">
        <v>362</v>
      </c>
      <c r="F127" s="34" t="s">
        <v>259</v>
      </c>
      <c r="G127" s="42">
        <v>42097</v>
      </c>
      <c r="H127" s="34" t="s">
        <v>328</v>
      </c>
      <c r="I127" t="s">
        <v>299</v>
      </c>
    </row>
    <row r="128" spans="1:9">
      <c r="A128" t="s">
        <v>281</v>
      </c>
      <c r="B128" s="42">
        <v>60833</v>
      </c>
      <c r="C128" t="s">
        <v>329</v>
      </c>
      <c r="D128" t="s">
        <v>362</v>
      </c>
      <c r="F128" s="34" t="s">
        <v>260</v>
      </c>
      <c r="G128" s="42">
        <v>52279</v>
      </c>
      <c r="H128" s="34" t="s">
        <v>328</v>
      </c>
      <c r="I128" t="s">
        <v>299</v>
      </c>
    </row>
    <row r="129" spans="1:9">
      <c r="A129" t="s">
        <v>282</v>
      </c>
      <c r="B129" s="42">
        <v>5513</v>
      </c>
      <c r="C129" t="s">
        <v>328</v>
      </c>
      <c r="D129" t="s">
        <v>362</v>
      </c>
      <c r="F129" s="34" t="s">
        <v>254</v>
      </c>
      <c r="G129" s="42">
        <v>12977</v>
      </c>
      <c r="H129" s="34" t="s">
        <v>328</v>
      </c>
      <c r="I129" t="s">
        <v>299</v>
      </c>
    </row>
    <row r="130" spans="1:9">
      <c r="A130" t="s">
        <v>283</v>
      </c>
      <c r="B130" s="42">
        <v>157353</v>
      </c>
      <c r="C130" t="s">
        <v>328</v>
      </c>
      <c r="D130" t="s">
        <v>362</v>
      </c>
      <c r="F130" s="34" t="s">
        <v>261</v>
      </c>
      <c r="G130" s="42">
        <v>118262</v>
      </c>
      <c r="H130" s="34" t="s">
        <v>328</v>
      </c>
      <c r="I130" t="s">
        <v>299</v>
      </c>
    </row>
    <row r="131" spans="1:9">
      <c r="A131" t="s">
        <v>224</v>
      </c>
      <c r="B131" s="42">
        <v>12450</v>
      </c>
      <c r="C131" t="s">
        <v>328</v>
      </c>
      <c r="D131" t="s">
        <v>362</v>
      </c>
      <c r="F131" s="34" t="s">
        <v>262</v>
      </c>
      <c r="G131" s="42">
        <v>67015</v>
      </c>
      <c r="H131" s="34" t="s">
        <v>328</v>
      </c>
      <c r="I131" t="s">
        <v>299</v>
      </c>
    </row>
    <row r="132" spans="1:9">
      <c r="A132" t="s">
        <v>284</v>
      </c>
      <c r="B132" s="42">
        <v>365180</v>
      </c>
      <c r="C132" t="s">
        <v>329</v>
      </c>
      <c r="D132" t="s">
        <v>362</v>
      </c>
      <c r="F132" s="34" t="s">
        <v>263</v>
      </c>
      <c r="G132" s="42">
        <v>27525</v>
      </c>
      <c r="H132" s="34" t="s">
        <v>328</v>
      </c>
      <c r="I132" t="s">
        <v>299</v>
      </c>
    </row>
    <row r="133" spans="1:9">
      <c r="A133" t="s">
        <v>353</v>
      </c>
      <c r="B133" s="42">
        <v>67506</v>
      </c>
      <c r="C133" t="s">
        <v>328</v>
      </c>
      <c r="D133" t="s">
        <v>362</v>
      </c>
      <c r="F133" t="s">
        <v>264</v>
      </c>
      <c r="G133" s="42">
        <v>105180</v>
      </c>
      <c r="H133" t="s">
        <v>328</v>
      </c>
      <c r="I133" t="s">
        <v>299</v>
      </c>
    </row>
    <row r="134" spans="1:9">
      <c r="F134" t="s">
        <v>265</v>
      </c>
      <c r="G134" s="42">
        <v>271426</v>
      </c>
      <c r="H134" t="s">
        <v>328</v>
      </c>
      <c r="I134" t="s">
        <v>299</v>
      </c>
    </row>
    <row r="135" spans="1:9">
      <c r="A135" t="s">
        <v>285</v>
      </c>
      <c r="B135" s="42">
        <v>434965</v>
      </c>
      <c r="C135" t="s">
        <v>328</v>
      </c>
      <c r="D135" t="s">
        <v>362</v>
      </c>
      <c r="F135" t="s">
        <v>266</v>
      </c>
      <c r="G135" s="42">
        <v>88000</v>
      </c>
      <c r="H135" t="s">
        <v>328</v>
      </c>
      <c r="I135" t="s">
        <v>299</v>
      </c>
    </row>
    <row r="136" spans="1:9">
      <c r="A136" t="s">
        <v>253</v>
      </c>
      <c r="B136" s="42">
        <v>262609</v>
      </c>
      <c r="C136" t="s">
        <v>328</v>
      </c>
      <c r="D136" t="s">
        <v>362</v>
      </c>
      <c r="F136" t="s">
        <v>267</v>
      </c>
      <c r="G136" s="42">
        <v>65023</v>
      </c>
      <c r="H136" t="s">
        <v>328</v>
      </c>
      <c r="I136" t="s">
        <v>299</v>
      </c>
    </row>
    <row r="137" spans="1:9">
      <c r="A137" t="s">
        <v>286</v>
      </c>
      <c r="B137" s="42">
        <v>8705</v>
      </c>
      <c r="C137" t="s">
        <v>328</v>
      </c>
      <c r="D137" t="s">
        <v>362</v>
      </c>
      <c r="F137" t="s">
        <v>268</v>
      </c>
      <c r="G137" s="42">
        <v>1375000</v>
      </c>
      <c r="H137" t="s">
        <v>328</v>
      </c>
      <c r="I137" t="s">
        <v>299</v>
      </c>
    </row>
    <row r="138" spans="1:9">
      <c r="A138" t="s">
        <v>346</v>
      </c>
      <c r="B138" s="42">
        <v>313207</v>
      </c>
      <c r="C138" t="s">
        <v>328</v>
      </c>
      <c r="D138" t="s">
        <v>362</v>
      </c>
      <c r="F138" t="s">
        <v>269</v>
      </c>
      <c r="G138" s="42">
        <v>121400</v>
      </c>
      <c r="H138" t="s">
        <v>328</v>
      </c>
      <c r="I138" t="s">
        <v>299</v>
      </c>
    </row>
    <row r="139" spans="1:9">
      <c r="A139" t="s">
        <v>287</v>
      </c>
      <c r="B139" s="42">
        <v>78330</v>
      </c>
      <c r="C139" t="s">
        <v>328</v>
      </c>
      <c r="D139" t="s">
        <v>362</v>
      </c>
      <c r="F139" t="s">
        <v>270</v>
      </c>
      <c r="G139" s="42">
        <v>81895</v>
      </c>
      <c r="H139" t="s">
        <v>328</v>
      </c>
      <c r="I139" t="s">
        <v>299</v>
      </c>
    </row>
    <row r="140" spans="1:9">
      <c r="A140" t="s">
        <v>286</v>
      </c>
      <c r="B140" s="42">
        <v>31800</v>
      </c>
      <c r="C140" t="s">
        <v>328</v>
      </c>
      <c r="D140" t="s">
        <v>362</v>
      </c>
      <c r="F140" t="s">
        <v>271</v>
      </c>
      <c r="G140" s="42">
        <v>42673</v>
      </c>
      <c r="H140" t="s">
        <v>328</v>
      </c>
      <c r="I140" t="s">
        <v>299</v>
      </c>
    </row>
    <row r="141" spans="1:9">
      <c r="A141" t="s">
        <v>216</v>
      </c>
      <c r="B141" s="42">
        <v>50740</v>
      </c>
      <c r="C141" t="s">
        <v>328</v>
      </c>
      <c r="D141" t="s">
        <v>362</v>
      </c>
      <c r="F141" t="s">
        <v>272</v>
      </c>
      <c r="G141" s="42">
        <v>58527</v>
      </c>
      <c r="H141" t="s">
        <v>328</v>
      </c>
      <c r="I141" t="s">
        <v>299</v>
      </c>
    </row>
    <row r="142" spans="1:9">
      <c r="A142" t="s">
        <v>288</v>
      </c>
      <c r="B142" s="42">
        <v>233865</v>
      </c>
      <c r="C142" t="s">
        <v>328</v>
      </c>
      <c r="D142" t="s">
        <v>362</v>
      </c>
      <c r="F142" t="s">
        <v>273</v>
      </c>
      <c r="G142" s="42">
        <v>145181</v>
      </c>
      <c r="H142" t="s">
        <v>328</v>
      </c>
      <c r="I142" t="s">
        <v>299</v>
      </c>
    </row>
    <row r="143" spans="1:9">
      <c r="A143" t="s">
        <v>336</v>
      </c>
      <c r="B143" s="42">
        <v>8474</v>
      </c>
      <c r="C143" t="s">
        <v>328</v>
      </c>
      <c r="D143" t="s">
        <v>362</v>
      </c>
      <c r="F143" t="s">
        <v>274</v>
      </c>
      <c r="G143" s="42">
        <v>50000</v>
      </c>
      <c r="H143" t="s">
        <v>328</v>
      </c>
      <c r="I143" t="s">
        <v>299</v>
      </c>
    </row>
    <row r="144" spans="1:9">
      <c r="A144" t="s">
        <v>289</v>
      </c>
      <c r="B144" s="42">
        <v>33527</v>
      </c>
      <c r="C144" t="s">
        <v>329</v>
      </c>
      <c r="D144" t="s">
        <v>362</v>
      </c>
      <c r="F144" t="s">
        <v>275</v>
      </c>
      <c r="G144" s="42">
        <v>75077</v>
      </c>
      <c r="H144" t="s">
        <v>328</v>
      </c>
      <c r="I144" t="s">
        <v>299</v>
      </c>
    </row>
    <row r="145" spans="1:9">
      <c r="A145" t="s">
        <v>339</v>
      </c>
      <c r="B145" s="42">
        <v>11199</v>
      </c>
      <c r="C145" t="s">
        <v>328</v>
      </c>
      <c r="D145" t="s">
        <v>362</v>
      </c>
      <c r="F145" t="s">
        <v>276</v>
      </c>
      <c r="G145" s="42">
        <v>40269</v>
      </c>
      <c r="H145" t="s">
        <v>328</v>
      </c>
      <c r="I145" t="s">
        <v>299</v>
      </c>
    </row>
    <row r="146" spans="1:9">
      <c r="A146" t="s">
        <v>340</v>
      </c>
      <c r="B146" s="42">
        <v>206767</v>
      </c>
      <c r="C146" t="s">
        <v>329</v>
      </c>
      <c r="D146" t="s">
        <v>362</v>
      </c>
      <c r="F146" t="s">
        <v>277</v>
      </c>
      <c r="G146" s="42">
        <v>68232</v>
      </c>
      <c r="H146" t="s">
        <v>328</v>
      </c>
      <c r="I146" t="s">
        <v>299</v>
      </c>
    </row>
    <row r="147" spans="1:9">
      <c r="A147" t="s">
        <v>341</v>
      </c>
      <c r="B147" s="42">
        <v>127679</v>
      </c>
      <c r="C147" t="s">
        <v>328</v>
      </c>
      <c r="D147" t="s">
        <v>362</v>
      </c>
      <c r="F147" t="s">
        <v>278</v>
      </c>
      <c r="G147" s="42">
        <v>47755</v>
      </c>
      <c r="H147" t="s">
        <v>328</v>
      </c>
      <c r="I147" t="s">
        <v>299</v>
      </c>
    </row>
    <row r="148" spans="1:9">
      <c r="A148" t="s">
        <v>250</v>
      </c>
      <c r="B148" s="42">
        <v>261268</v>
      </c>
      <c r="C148" s="44"/>
      <c r="D148" t="s">
        <v>362</v>
      </c>
      <c r="F148" t="s">
        <v>275</v>
      </c>
      <c r="G148" s="42">
        <v>123285</v>
      </c>
      <c r="H148" t="s">
        <v>328</v>
      </c>
      <c r="I148" t="s">
        <v>362</v>
      </c>
    </row>
    <row r="149" spans="1:9">
      <c r="A149" t="s">
        <v>261</v>
      </c>
      <c r="B149" s="42">
        <v>293680</v>
      </c>
      <c r="C149" t="s">
        <v>328</v>
      </c>
      <c r="D149" t="s">
        <v>362</v>
      </c>
      <c r="F149" t="s">
        <v>229</v>
      </c>
      <c r="G149" s="42">
        <v>14916</v>
      </c>
      <c r="H149" t="s">
        <v>328</v>
      </c>
      <c r="I149" t="s">
        <v>362</v>
      </c>
    </row>
    <row r="150" spans="1:9">
      <c r="F150" t="s">
        <v>279</v>
      </c>
      <c r="G150" s="42">
        <v>11206</v>
      </c>
      <c r="H150" t="s">
        <v>328</v>
      </c>
      <c r="I150" t="s">
        <v>362</v>
      </c>
    </row>
    <row r="151" spans="1:9">
      <c r="A151" t="s">
        <v>290</v>
      </c>
      <c r="B151" s="42">
        <v>354455</v>
      </c>
      <c r="C151" t="s">
        <v>328</v>
      </c>
      <c r="D151" t="s">
        <v>362</v>
      </c>
      <c r="F151" t="s">
        <v>280</v>
      </c>
      <c r="G151" s="42">
        <v>4575</v>
      </c>
      <c r="H151" t="s">
        <v>328</v>
      </c>
      <c r="I151" t="s">
        <v>362</v>
      </c>
    </row>
    <row r="152" spans="1:9">
      <c r="A152" t="s">
        <v>266</v>
      </c>
      <c r="B152" s="42">
        <v>243338</v>
      </c>
      <c r="C152" t="s">
        <v>328</v>
      </c>
      <c r="D152" t="s">
        <v>362</v>
      </c>
      <c r="F152" t="s">
        <v>282</v>
      </c>
      <c r="G152" s="42">
        <v>5513</v>
      </c>
      <c r="H152" t="s">
        <v>328</v>
      </c>
      <c r="I152" t="s">
        <v>362</v>
      </c>
    </row>
    <row r="153" spans="1:9">
      <c r="A153" t="s">
        <v>291</v>
      </c>
      <c r="B153" s="42">
        <v>286784</v>
      </c>
      <c r="C153" t="s">
        <v>328</v>
      </c>
      <c r="D153" t="s">
        <v>362</v>
      </c>
      <c r="F153" t="s">
        <v>283</v>
      </c>
      <c r="G153" s="42">
        <v>157353</v>
      </c>
      <c r="H153" t="s">
        <v>328</v>
      </c>
      <c r="I153" t="s">
        <v>362</v>
      </c>
    </row>
    <row r="154" spans="1:9">
      <c r="A154" t="s">
        <v>292</v>
      </c>
      <c r="B154" s="42">
        <v>327376</v>
      </c>
      <c r="C154" t="s">
        <v>328</v>
      </c>
      <c r="D154" t="s">
        <v>362</v>
      </c>
      <c r="F154" t="s">
        <v>224</v>
      </c>
      <c r="G154" s="42">
        <v>12450</v>
      </c>
      <c r="H154" t="s">
        <v>328</v>
      </c>
      <c r="I154" t="s">
        <v>362</v>
      </c>
    </row>
    <row r="155" spans="1:9">
      <c r="A155" t="s">
        <v>263</v>
      </c>
      <c r="B155" s="42">
        <v>337438</v>
      </c>
      <c r="C155" t="s">
        <v>328</v>
      </c>
      <c r="D155" t="s">
        <v>362</v>
      </c>
      <c r="F155" t="s">
        <v>353</v>
      </c>
      <c r="G155" s="42">
        <v>67506</v>
      </c>
      <c r="H155" t="s">
        <v>328</v>
      </c>
      <c r="I155" t="s">
        <v>362</v>
      </c>
    </row>
    <row r="156" spans="1:9">
      <c r="A156" t="s">
        <v>293</v>
      </c>
      <c r="B156" s="42">
        <v>281300</v>
      </c>
      <c r="C156" t="s">
        <v>328</v>
      </c>
      <c r="D156" t="s">
        <v>362</v>
      </c>
      <c r="F156" t="s">
        <v>285</v>
      </c>
      <c r="G156" s="42">
        <v>434965</v>
      </c>
      <c r="H156" t="s">
        <v>328</v>
      </c>
      <c r="I156" t="s">
        <v>362</v>
      </c>
    </row>
    <row r="157" spans="1:9">
      <c r="A157" t="s">
        <v>259</v>
      </c>
      <c r="B157" s="42">
        <v>320800</v>
      </c>
      <c r="C157" t="s">
        <v>328</v>
      </c>
      <c r="D157" t="s">
        <v>362</v>
      </c>
      <c r="F157" t="s">
        <v>253</v>
      </c>
      <c r="G157" s="42">
        <v>262609</v>
      </c>
      <c r="H157" t="s">
        <v>328</v>
      </c>
      <c r="I157" t="s">
        <v>362</v>
      </c>
    </row>
    <row r="158" spans="1:9">
      <c r="A158" t="s">
        <v>139</v>
      </c>
      <c r="B158" s="42">
        <v>321076</v>
      </c>
      <c r="C158" t="s">
        <v>328</v>
      </c>
      <c r="D158" t="s">
        <v>362</v>
      </c>
      <c r="F158" t="s">
        <v>286</v>
      </c>
      <c r="G158" s="42">
        <v>8705</v>
      </c>
      <c r="H158" t="s">
        <v>328</v>
      </c>
      <c r="I158" t="s">
        <v>362</v>
      </c>
    </row>
    <row r="159" spans="1:9">
      <c r="A159" t="s">
        <v>140</v>
      </c>
      <c r="B159" s="42">
        <v>417514</v>
      </c>
      <c r="C159" t="s">
        <v>328</v>
      </c>
      <c r="D159" t="s">
        <v>362</v>
      </c>
      <c r="F159" t="s">
        <v>346</v>
      </c>
      <c r="G159" s="42">
        <v>313207</v>
      </c>
      <c r="H159" t="s">
        <v>328</v>
      </c>
      <c r="I159" t="s">
        <v>362</v>
      </c>
    </row>
    <row r="160" spans="1:9">
      <c r="A160" t="s">
        <v>141</v>
      </c>
      <c r="B160" s="42">
        <v>135503</v>
      </c>
      <c r="C160" t="s">
        <v>328</v>
      </c>
      <c r="D160" t="s">
        <v>362</v>
      </c>
      <c r="F160" t="s">
        <v>287</v>
      </c>
      <c r="G160" s="42">
        <v>78330</v>
      </c>
      <c r="H160" t="s">
        <v>328</v>
      </c>
      <c r="I160" t="s">
        <v>362</v>
      </c>
    </row>
    <row r="161" spans="1:9">
      <c r="A161" t="s">
        <v>142</v>
      </c>
      <c r="B161" s="42">
        <v>239697</v>
      </c>
      <c r="C161" t="s">
        <v>328</v>
      </c>
      <c r="D161" t="s">
        <v>362</v>
      </c>
      <c r="F161" t="s">
        <v>286</v>
      </c>
      <c r="G161" s="42">
        <v>31800</v>
      </c>
      <c r="H161" t="s">
        <v>328</v>
      </c>
      <c r="I161" t="s">
        <v>362</v>
      </c>
    </row>
    <row r="162" spans="1:9">
      <c r="A162" t="s">
        <v>270</v>
      </c>
      <c r="B162" s="42">
        <v>75924</v>
      </c>
      <c r="C162" t="s">
        <v>328</v>
      </c>
      <c r="D162" t="s">
        <v>362</v>
      </c>
      <c r="F162" t="s">
        <v>216</v>
      </c>
      <c r="G162" s="42">
        <v>50740</v>
      </c>
      <c r="H162" t="s">
        <v>328</v>
      </c>
      <c r="I162" t="s">
        <v>362</v>
      </c>
    </row>
    <row r="163" spans="1:9">
      <c r="A163" t="s">
        <v>143</v>
      </c>
      <c r="B163" s="42">
        <v>383956</v>
      </c>
      <c r="C163" t="s">
        <v>328</v>
      </c>
      <c r="D163" t="s">
        <v>362</v>
      </c>
      <c r="F163" t="s">
        <v>288</v>
      </c>
      <c r="G163" s="42">
        <v>233865</v>
      </c>
      <c r="H163" t="s">
        <v>328</v>
      </c>
      <c r="I163" t="s">
        <v>362</v>
      </c>
    </row>
    <row r="164" spans="1:9">
      <c r="A164" t="s">
        <v>144</v>
      </c>
      <c r="B164" s="42">
        <v>132271</v>
      </c>
      <c r="C164" t="s">
        <v>328</v>
      </c>
      <c r="D164" t="s">
        <v>362</v>
      </c>
      <c r="F164" t="s">
        <v>336</v>
      </c>
      <c r="G164" s="42">
        <v>8474</v>
      </c>
      <c r="H164" t="s">
        <v>328</v>
      </c>
      <c r="I164" t="s">
        <v>362</v>
      </c>
    </row>
    <row r="165" spans="1:9">
      <c r="A165" t="s">
        <v>141</v>
      </c>
      <c r="B165" s="42">
        <v>115341</v>
      </c>
      <c r="C165" t="s">
        <v>328</v>
      </c>
      <c r="D165" t="s">
        <v>362</v>
      </c>
      <c r="F165" t="s">
        <v>339</v>
      </c>
      <c r="G165" s="42">
        <v>11199</v>
      </c>
      <c r="H165" t="s">
        <v>328</v>
      </c>
      <c r="I165" t="s">
        <v>362</v>
      </c>
    </row>
    <row r="166" spans="1:9">
      <c r="F166" t="s">
        <v>341</v>
      </c>
      <c r="G166" s="42">
        <v>127679</v>
      </c>
      <c r="H166" t="s">
        <v>328</v>
      </c>
      <c r="I166" t="s">
        <v>362</v>
      </c>
    </row>
    <row r="167" spans="1:9">
      <c r="A167" t="s">
        <v>145</v>
      </c>
      <c r="B167" s="42">
        <v>34830</v>
      </c>
      <c r="C167" t="s">
        <v>328</v>
      </c>
      <c r="D167" t="s">
        <v>362</v>
      </c>
      <c r="F167" t="s">
        <v>261</v>
      </c>
      <c r="G167" s="42">
        <v>293680</v>
      </c>
      <c r="H167" t="s">
        <v>328</v>
      </c>
      <c r="I167" t="s">
        <v>362</v>
      </c>
    </row>
    <row r="168" spans="1:9">
      <c r="A168" t="s">
        <v>226</v>
      </c>
      <c r="B168" s="42">
        <v>7415</v>
      </c>
      <c r="C168" t="s">
        <v>328</v>
      </c>
      <c r="D168" t="s">
        <v>362</v>
      </c>
      <c r="F168" t="s">
        <v>290</v>
      </c>
      <c r="G168" s="42">
        <v>354455</v>
      </c>
      <c r="H168" t="s">
        <v>328</v>
      </c>
      <c r="I168" t="s">
        <v>362</v>
      </c>
    </row>
    <row r="169" spans="1:9">
      <c r="A169" t="s">
        <v>146</v>
      </c>
      <c r="B169" s="42">
        <v>45000</v>
      </c>
      <c r="C169" t="s">
        <v>328</v>
      </c>
      <c r="D169" t="s">
        <v>362</v>
      </c>
      <c r="F169" t="s">
        <v>266</v>
      </c>
      <c r="G169" s="42">
        <v>243338</v>
      </c>
      <c r="H169" t="s">
        <v>328</v>
      </c>
      <c r="I169" t="s">
        <v>362</v>
      </c>
    </row>
    <row r="170" spans="1:9">
      <c r="A170" t="s">
        <v>331</v>
      </c>
      <c r="B170" s="42">
        <v>19921</v>
      </c>
      <c r="C170" t="s">
        <v>329</v>
      </c>
      <c r="D170" t="s">
        <v>362</v>
      </c>
      <c r="F170" t="s">
        <v>291</v>
      </c>
      <c r="G170" s="42">
        <v>286784</v>
      </c>
      <c r="H170" t="s">
        <v>328</v>
      </c>
      <c r="I170" t="s">
        <v>362</v>
      </c>
    </row>
    <row r="171" spans="1:9">
      <c r="A171" t="s">
        <v>217</v>
      </c>
      <c r="B171" s="42">
        <v>3720</v>
      </c>
      <c r="C171" t="s">
        <v>328</v>
      </c>
      <c r="D171" t="s">
        <v>362</v>
      </c>
      <c r="F171" t="s">
        <v>292</v>
      </c>
      <c r="G171" s="42">
        <v>327376</v>
      </c>
      <c r="H171" t="s">
        <v>328</v>
      </c>
      <c r="I171" t="s">
        <v>362</v>
      </c>
    </row>
    <row r="172" spans="1:9">
      <c r="A172" t="s">
        <v>224</v>
      </c>
      <c r="B172" s="42">
        <v>7589</v>
      </c>
      <c r="C172" t="s">
        <v>328</v>
      </c>
      <c r="D172" t="s">
        <v>362</v>
      </c>
      <c r="F172" t="s">
        <v>263</v>
      </c>
      <c r="G172" s="42">
        <v>337438</v>
      </c>
      <c r="H172" t="s">
        <v>328</v>
      </c>
      <c r="I172" t="s">
        <v>362</v>
      </c>
    </row>
    <row r="173" spans="1:9">
      <c r="A173" t="s">
        <v>249</v>
      </c>
      <c r="B173" s="42">
        <v>4390</v>
      </c>
      <c r="C173" t="s">
        <v>328</v>
      </c>
      <c r="D173" t="s">
        <v>362</v>
      </c>
      <c r="F173" t="s">
        <v>293</v>
      </c>
      <c r="G173" s="42">
        <v>281300</v>
      </c>
      <c r="H173" t="s">
        <v>328</v>
      </c>
      <c r="I173" t="s">
        <v>362</v>
      </c>
    </row>
    <row r="174" spans="1:9">
      <c r="A174" t="s">
        <v>147</v>
      </c>
      <c r="B174" s="42">
        <v>5952</v>
      </c>
      <c r="C174" t="s">
        <v>328</v>
      </c>
      <c r="D174" t="s">
        <v>362</v>
      </c>
      <c r="F174" t="s">
        <v>259</v>
      </c>
      <c r="G174" s="42">
        <v>320800</v>
      </c>
      <c r="H174" t="s">
        <v>328</v>
      </c>
      <c r="I174" t="s">
        <v>362</v>
      </c>
    </row>
    <row r="175" spans="1:9">
      <c r="A175" t="s">
        <v>245</v>
      </c>
      <c r="B175" s="42">
        <v>22876</v>
      </c>
      <c r="C175" t="s">
        <v>328</v>
      </c>
      <c r="D175" t="s">
        <v>362</v>
      </c>
      <c r="F175" t="s">
        <v>139</v>
      </c>
      <c r="G175" s="42">
        <v>321076</v>
      </c>
      <c r="H175" t="s">
        <v>328</v>
      </c>
      <c r="I175" t="s">
        <v>362</v>
      </c>
    </row>
    <row r="176" spans="1:9">
      <c r="A176" t="s">
        <v>229</v>
      </c>
      <c r="B176" s="42">
        <v>2018</v>
      </c>
      <c r="C176" t="s">
        <v>328</v>
      </c>
      <c r="D176" t="s">
        <v>362</v>
      </c>
      <c r="F176" t="s">
        <v>140</v>
      </c>
      <c r="G176" s="42">
        <v>417514</v>
      </c>
      <c r="H176" t="s">
        <v>328</v>
      </c>
      <c r="I176" t="s">
        <v>362</v>
      </c>
    </row>
    <row r="177" spans="1:9">
      <c r="A177" t="s">
        <v>231</v>
      </c>
      <c r="B177" s="42">
        <v>29240</v>
      </c>
      <c r="C177" t="s">
        <v>328</v>
      </c>
      <c r="D177" t="s">
        <v>362</v>
      </c>
      <c r="F177" t="s">
        <v>141</v>
      </c>
      <c r="G177" s="42">
        <v>135503</v>
      </c>
      <c r="H177" t="s">
        <v>328</v>
      </c>
      <c r="I177" t="s">
        <v>362</v>
      </c>
    </row>
    <row r="178" spans="1:9">
      <c r="A178" t="s">
        <v>148</v>
      </c>
      <c r="B178" s="42">
        <v>4422</v>
      </c>
      <c r="C178" t="s">
        <v>328</v>
      </c>
      <c r="D178" t="s">
        <v>362</v>
      </c>
      <c r="F178" t="s">
        <v>142</v>
      </c>
      <c r="G178" s="42">
        <v>239697</v>
      </c>
      <c r="H178" t="s">
        <v>328</v>
      </c>
      <c r="I178" t="s">
        <v>362</v>
      </c>
    </row>
    <row r="179" spans="1:9">
      <c r="A179" t="s">
        <v>149</v>
      </c>
      <c r="B179" s="42">
        <v>371001</v>
      </c>
      <c r="C179" t="s">
        <v>328</v>
      </c>
      <c r="D179" t="s">
        <v>362</v>
      </c>
      <c r="F179" t="s">
        <v>270</v>
      </c>
      <c r="G179" s="42">
        <v>75924</v>
      </c>
      <c r="H179" t="s">
        <v>328</v>
      </c>
      <c r="I179" t="s">
        <v>362</v>
      </c>
    </row>
    <row r="180" spans="1:9">
      <c r="A180" t="s">
        <v>150</v>
      </c>
      <c r="B180" s="42">
        <v>328438</v>
      </c>
      <c r="C180" t="s">
        <v>328</v>
      </c>
      <c r="D180" t="s">
        <v>362</v>
      </c>
      <c r="F180" t="s">
        <v>143</v>
      </c>
      <c r="G180" s="42">
        <v>383956</v>
      </c>
      <c r="H180" t="s">
        <v>328</v>
      </c>
      <c r="I180" t="s">
        <v>362</v>
      </c>
    </row>
    <row r="181" spans="1:9">
      <c r="A181" t="s">
        <v>151</v>
      </c>
      <c r="B181" s="42">
        <v>90357</v>
      </c>
      <c r="C181" t="s">
        <v>328</v>
      </c>
      <c r="D181" t="s">
        <v>362</v>
      </c>
      <c r="F181" t="s">
        <v>144</v>
      </c>
      <c r="G181" s="42">
        <v>132271</v>
      </c>
      <c r="H181" t="s">
        <v>328</v>
      </c>
      <c r="I181" t="s">
        <v>362</v>
      </c>
    </row>
    <row r="182" spans="1:9">
      <c r="F182" t="s">
        <v>141</v>
      </c>
      <c r="G182" s="42">
        <v>115341</v>
      </c>
      <c r="H182" t="s">
        <v>328</v>
      </c>
      <c r="I182" t="s">
        <v>362</v>
      </c>
    </row>
    <row r="183" spans="1:9">
      <c r="A183" t="s">
        <v>142</v>
      </c>
      <c r="B183" s="42">
        <v>207994</v>
      </c>
      <c r="C183" t="s">
        <v>328</v>
      </c>
      <c r="D183" t="s">
        <v>362</v>
      </c>
      <c r="F183" t="s">
        <v>145</v>
      </c>
      <c r="G183" s="42">
        <v>34830</v>
      </c>
      <c r="H183" t="s">
        <v>328</v>
      </c>
      <c r="I183" t="s">
        <v>362</v>
      </c>
    </row>
    <row r="184" spans="1:9">
      <c r="A184" t="s">
        <v>152</v>
      </c>
      <c r="B184" s="42">
        <v>145884</v>
      </c>
      <c r="C184" t="s">
        <v>328</v>
      </c>
      <c r="D184" t="s">
        <v>362</v>
      </c>
      <c r="F184" t="s">
        <v>226</v>
      </c>
      <c r="G184" s="42">
        <v>7415</v>
      </c>
      <c r="H184" t="s">
        <v>328</v>
      </c>
      <c r="I184" t="s">
        <v>362</v>
      </c>
    </row>
    <row r="185" spans="1:9">
      <c r="A185" t="s">
        <v>153</v>
      </c>
      <c r="B185" s="42">
        <v>143094</v>
      </c>
      <c r="C185" t="s">
        <v>328</v>
      </c>
      <c r="D185" t="s">
        <v>362</v>
      </c>
      <c r="F185" t="s">
        <v>146</v>
      </c>
      <c r="G185" s="42">
        <v>45000</v>
      </c>
      <c r="H185" t="s">
        <v>328</v>
      </c>
      <c r="I185" t="s">
        <v>362</v>
      </c>
    </row>
    <row r="186" spans="1:9">
      <c r="A186" t="s">
        <v>150</v>
      </c>
      <c r="B186" s="42">
        <v>136679</v>
      </c>
      <c r="C186" t="s">
        <v>328</v>
      </c>
      <c r="D186" t="s">
        <v>362</v>
      </c>
      <c r="F186" t="s">
        <v>217</v>
      </c>
      <c r="G186" s="42">
        <v>3720</v>
      </c>
      <c r="H186" t="s">
        <v>328</v>
      </c>
      <c r="I186" t="s">
        <v>362</v>
      </c>
    </row>
    <row r="187" spans="1:9">
      <c r="A187" t="s">
        <v>349</v>
      </c>
      <c r="B187" s="42">
        <v>38624</v>
      </c>
      <c r="C187" t="s">
        <v>329</v>
      </c>
      <c r="D187" t="s">
        <v>362</v>
      </c>
      <c r="F187" t="s">
        <v>224</v>
      </c>
      <c r="G187" s="42">
        <v>7589</v>
      </c>
      <c r="H187" t="s">
        <v>328</v>
      </c>
      <c r="I187" t="s">
        <v>362</v>
      </c>
    </row>
    <row r="188" spans="1:9">
      <c r="A188" t="s">
        <v>217</v>
      </c>
      <c r="B188" s="42">
        <v>14683</v>
      </c>
      <c r="C188" t="s">
        <v>328</v>
      </c>
      <c r="D188" t="s">
        <v>362</v>
      </c>
      <c r="F188" t="s">
        <v>249</v>
      </c>
      <c r="G188" s="42">
        <v>4390</v>
      </c>
      <c r="H188" t="s">
        <v>328</v>
      </c>
      <c r="I188" t="s">
        <v>362</v>
      </c>
    </row>
    <row r="189" spans="1:9">
      <c r="A189" t="s">
        <v>339</v>
      </c>
      <c r="B189" s="42">
        <v>10478</v>
      </c>
      <c r="C189" t="s">
        <v>328</v>
      </c>
      <c r="D189" t="s">
        <v>362</v>
      </c>
      <c r="F189" t="s">
        <v>147</v>
      </c>
      <c r="G189" s="42">
        <v>5952</v>
      </c>
      <c r="H189" t="s">
        <v>328</v>
      </c>
      <c r="I189" t="s">
        <v>362</v>
      </c>
    </row>
    <row r="190" spans="1:9">
      <c r="A190" t="s">
        <v>154</v>
      </c>
      <c r="B190" s="42">
        <v>17762</v>
      </c>
      <c r="C190" t="s">
        <v>328</v>
      </c>
      <c r="D190" t="s">
        <v>362</v>
      </c>
      <c r="F190" t="s">
        <v>245</v>
      </c>
      <c r="G190" s="42">
        <v>22876</v>
      </c>
      <c r="H190" t="s">
        <v>328</v>
      </c>
      <c r="I190" t="s">
        <v>362</v>
      </c>
    </row>
    <row r="191" spans="1:9">
      <c r="A191" t="s">
        <v>224</v>
      </c>
      <c r="B191" s="42">
        <v>8432</v>
      </c>
      <c r="C191" t="s">
        <v>328</v>
      </c>
      <c r="D191" t="s">
        <v>362</v>
      </c>
      <c r="F191" t="s">
        <v>229</v>
      </c>
      <c r="G191" s="42">
        <v>2018</v>
      </c>
      <c r="H191" t="s">
        <v>328</v>
      </c>
      <c r="I191" t="s">
        <v>362</v>
      </c>
    </row>
    <row r="192" spans="1:9">
      <c r="A192" t="s">
        <v>217</v>
      </c>
      <c r="B192" s="42">
        <v>3927</v>
      </c>
      <c r="C192" t="s">
        <v>328</v>
      </c>
      <c r="D192" t="s">
        <v>362</v>
      </c>
      <c r="F192" t="s">
        <v>231</v>
      </c>
      <c r="G192" s="42">
        <v>29240</v>
      </c>
      <c r="H192" t="s">
        <v>328</v>
      </c>
      <c r="I192" t="s">
        <v>362</v>
      </c>
    </row>
    <row r="193" spans="1:9">
      <c r="A193" t="s">
        <v>155</v>
      </c>
      <c r="B193" s="42">
        <v>3932</v>
      </c>
      <c r="C193" t="s">
        <v>328</v>
      </c>
      <c r="D193" t="s">
        <v>362</v>
      </c>
      <c r="F193" t="s">
        <v>148</v>
      </c>
      <c r="G193" s="42">
        <v>4422</v>
      </c>
      <c r="H193" t="s">
        <v>328</v>
      </c>
      <c r="I193" t="s">
        <v>362</v>
      </c>
    </row>
    <row r="194" spans="1:9">
      <c r="A194" t="s">
        <v>156</v>
      </c>
      <c r="B194" s="42">
        <v>84144</v>
      </c>
      <c r="C194" t="s">
        <v>328</v>
      </c>
      <c r="D194" t="s">
        <v>362</v>
      </c>
      <c r="F194" t="s">
        <v>149</v>
      </c>
      <c r="G194" s="42">
        <v>371001</v>
      </c>
      <c r="H194" t="s">
        <v>328</v>
      </c>
      <c r="I194" t="s">
        <v>362</v>
      </c>
    </row>
    <row r="195" spans="1:9">
      <c r="A195" t="s">
        <v>156</v>
      </c>
      <c r="B195" s="42">
        <v>45085</v>
      </c>
      <c r="C195" t="s">
        <v>328</v>
      </c>
      <c r="D195" t="s">
        <v>362</v>
      </c>
      <c r="F195" t="s">
        <v>150</v>
      </c>
      <c r="G195" s="42">
        <v>328438</v>
      </c>
      <c r="H195" t="s">
        <v>328</v>
      </c>
      <c r="I195" t="s">
        <v>362</v>
      </c>
    </row>
    <row r="196" spans="1:9">
      <c r="A196" t="s">
        <v>156</v>
      </c>
      <c r="B196" s="42">
        <v>34997</v>
      </c>
      <c r="C196" t="s">
        <v>328</v>
      </c>
      <c r="D196" t="s">
        <v>362</v>
      </c>
      <c r="F196" t="s">
        <v>151</v>
      </c>
      <c r="G196" s="42">
        <v>90357</v>
      </c>
      <c r="H196" t="s">
        <v>328</v>
      </c>
      <c r="I196" t="s">
        <v>362</v>
      </c>
    </row>
    <row r="197" spans="1:9">
      <c r="A197" t="s">
        <v>219</v>
      </c>
      <c r="B197" s="42">
        <v>4723</v>
      </c>
      <c r="C197" t="s">
        <v>328</v>
      </c>
      <c r="D197" t="s">
        <v>362</v>
      </c>
      <c r="F197" t="s">
        <v>142</v>
      </c>
      <c r="G197" s="42">
        <v>207994</v>
      </c>
      <c r="H197" t="s">
        <v>328</v>
      </c>
      <c r="I197" t="s">
        <v>362</v>
      </c>
    </row>
    <row r="198" spans="1:9">
      <c r="F198" t="s">
        <v>152</v>
      </c>
      <c r="G198" s="42">
        <v>145884</v>
      </c>
      <c r="H198" t="s">
        <v>328</v>
      </c>
      <c r="I198" t="s">
        <v>362</v>
      </c>
    </row>
    <row r="199" spans="1:9">
      <c r="A199" t="s">
        <v>157</v>
      </c>
      <c r="B199" s="42">
        <v>39829</v>
      </c>
      <c r="C199" t="s">
        <v>328</v>
      </c>
      <c r="D199" t="s">
        <v>362</v>
      </c>
      <c r="F199" t="s">
        <v>153</v>
      </c>
      <c r="G199" s="42">
        <v>143094</v>
      </c>
      <c r="H199" t="s">
        <v>328</v>
      </c>
      <c r="I199" t="s">
        <v>362</v>
      </c>
    </row>
    <row r="200" spans="1:9">
      <c r="A200" t="s">
        <v>158</v>
      </c>
      <c r="B200" s="42">
        <v>264295</v>
      </c>
      <c r="C200" t="s">
        <v>328</v>
      </c>
      <c r="D200" t="s">
        <v>362</v>
      </c>
      <c r="F200" t="s">
        <v>150</v>
      </c>
      <c r="G200" s="42">
        <v>136679</v>
      </c>
      <c r="H200" t="s">
        <v>328</v>
      </c>
      <c r="I200" t="s">
        <v>362</v>
      </c>
    </row>
    <row r="201" spans="1:9">
      <c r="A201" t="s">
        <v>241</v>
      </c>
      <c r="B201" s="42">
        <v>30800</v>
      </c>
      <c r="C201" t="s">
        <v>329</v>
      </c>
      <c r="D201" t="s">
        <v>362</v>
      </c>
      <c r="F201" t="s">
        <v>217</v>
      </c>
      <c r="G201" s="42">
        <v>14683</v>
      </c>
      <c r="H201" t="s">
        <v>328</v>
      </c>
      <c r="I201" t="s">
        <v>362</v>
      </c>
    </row>
    <row r="202" spans="1:9">
      <c r="A202" t="s">
        <v>277</v>
      </c>
      <c r="B202" s="42">
        <v>196413</v>
      </c>
      <c r="C202" t="s">
        <v>328</v>
      </c>
      <c r="D202" t="s">
        <v>362</v>
      </c>
      <c r="F202" t="s">
        <v>339</v>
      </c>
      <c r="G202" s="42">
        <v>10478</v>
      </c>
      <c r="H202" t="s">
        <v>328</v>
      </c>
      <c r="I202" t="s">
        <v>362</v>
      </c>
    </row>
    <row r="203" spans="1:9">
      <c r="A203" t="s">
        <v>159</v>
      </c>
      <c r="B203" s="42">
        <v>134484</v>
      </c>
      <c r="C203" t="s">
        <v>328</v>
      </c>
      <c r="D203" t="s">
        <v>362</v>
      </c>
      <c r="F203" t="s">
        <v>154</v>
      </c>
      <c r="G203" s="42">
        <v>17762</v>
      </c>
      <c r="H203" t="s">
        <v>328</v>
      </c>
      <c r="I203" t="s">
        <v>362</v>
      </c>
    </row>
    <row r="204" spans="1:9">
      <c r="A204" t="s">
        <v>263</v>
      </c>
      <c r="B204" s="42">
        <v>263119</v>
      </c>
      <c r="C204" t="s">
        <v>328</v>
      </c>
      <c r="D204" t="s">
        <v>362</v>
      </c>
      <c r="F204" t="s">
        <v>224</v>
      </c>
      <c r="G204" s="42">
        <v>8432</v>
      </c>
      <c r="H204" t="s">
        <v>328</v>
      </c>
      <c r="I204" t="s">
        <v>362</v>
      </c>
    </row>
    <row r="205" spans="1:9">
      <c r="A205" t="s">
        <v>160</v>
      </c>
      <c r="B205" s="42">
        <v>50127</v>
      </c>
      <c r="C205" t="s">
        <v>328</v>
      </c>
      <c r="D205" t="s">
        <v>362</v>
      </c>
      <c r="F205" t="s">
        <v>217</v>
      </c>
      <c r="G205" s="42">
        <v>3927</v>
      </c>
      <c r="H205" t="s">
        <v>328</v>
      </c>
      <c r="I205" t="s">
        <v>362</v>
      </c>
    </row>
    <row r="206" spans="1:9">
      <c r="A206" t="s">
        <v>331</v>
      </c>
      <c r="B206" s="42">
        <v>51379</v>
      </c>
      <c r="C206" t="s">
        <v>329</v>
      </c>
      <c r="D206" t="s">
        <v>362</v>
      </c>
      <c r="F206" t="s">
        <v>155</v>
      </c>
      <c r="G206" s="42">
        <v>3932</v>
      </c>
      <c r="H206" t="s">
        <v>328</v>
      </c>
      <c r="I206" t="s">
        <v>362</v>
      </c>
    </row>
    <row r="207" spans="1:9">
      <c r="A207" t="s">
        <v>161</v>
      </c>
      <c r="B207" s="42">
        <v>11611</v>
      </c>
      <c r="C207" t="s">
        <v>328</v>
      </c>
      <c r="D207" t="s">
        <v>362</v>
      </c>
      <c r="F207" t="s">
        <v>156</v>
      </c>
      <c r="G207" s="42">
        <v>84144</v>
      </c>
      <c r="H207" t="s">
        <v>328</v>
      </c>
      <c r="I207" t="s">
        <v>362</v>
      </c>
    </row>
    <row r="208" spans="1:9">
      <c r="A208" t="s">
        <v>162</v>
      </c>
      <c r="B208" s="42">
        <v>13621</v>
      </c>
      <c r="C208" t="s">
        <v>328</v>
      </c>
      <c r="D208" t="s">
        <v>362</v>
      </c>
      <c r="F208" t="s">
        <v>156</v>
      </c>
      <c r="G208" s="42">
        <v>45085</v>
      </c>
      <c r="H208" t="s">
        <v>328</v>
      </c>
      <c r="I208" t="s">
        <v>362</v>
      </c>
    </row>
    <row r="209" spans="1:9">
      <c r="A209" t="s">
        <v>163</v>
      </c>
      <c r="B209" s="42">
        <v>9563</v>
      </c>
      <c r="C209" t="s">
        <v>328</v>
      </c>
      <c r="D209" t="s">
        <v>362</v>
      </c>
      <c r="F209" t="s">
        <v>156</v>
      </c>
      <c r="G209" s="42">
        <v>34997</v>
      </c>
      <c r="H209" t="s">
        <v>328</v>
      </c>
      <c r="I209" t="s">
        <v>362</v>
      </c>
    </row>
    <row r="210" spans="1:9">
      <c r="A210" t="s">
        <v>231</v>
      </c>
      <c r="B210" s="42">
        <v>10713</v>
      </c>
      <c r="C210" t="s">
        <v>328</v>
      </c>
      <c r="D210" t="s">
        <v>362</v>
      </c>
      <c r="F210" t="s">
        <v>219</v>
      </c>
      <c r="G210" s="42">
        <v>4723</v>
      </c>
      <c r="H210" t="s">
        <v>328</v>
      </c>
      <c r="I210" t="s">
        <v>362</v>
      </c>
    </row>
    <row r="211" spans="1:9">
      <c r="A211" t="s">
        <v>231</v>
      </c>
      <c r="B211" s="42">
        <v>14106</v>
      </c>
      <c r="C211" t="s">
        <v>328</v>
      </c>
      <c r="D211" t="s">
        <v>362</v>
      </c>
      <c r="F211" t="s">
        <v>157</v>
      </c>
      <c r="G211" s="42">
        <v>39829</v>
      </c>
      <c r="H211" t="s">
        <v>328</v>
      </c>
      <c r="I211" t="s">
        <v>362</v>
      </c>
    </row>
    <row r="212" spans="1:9">
      <c r="A212" t="s">
        <v>148</v>
      </c>
      <c r="B212" s="42">
        <v>6855</v>
      </c>
      <c r="C212" t="s">
        <v>328</v>
      </c>
      <c r="D212" t="s">
        <v>362</v>
      </c>
      <c r="F212" t="s">
        <v>158</v>
      </c>
      <c r="G212" s="42">
        <v>264295</v>
      </c>
      <c r="H212" t="s">
        <v>328</v>
      </c>
      <c r="I212" t="s">
        <v>362</v>
      </c>
    </row>
    <row r="213" spans="1:9">
      <c r="A213" t="s">
        <v>291</v>
      </c>
      <c r="B213" s="42">
        <v>124187</v>
      </c>
      <c r="C213" t="s">
        <v>328</v>
      </c>
      <c r="D213" t="s">
        <v>362</v>
      </c>
      <c r="F213" t="s">
        <v>277</v>
      </c>
      <c r="G213" s="42">
        <v>196413</v>
      </c>
      <c r="H213" t="s">
        <v>328</v>
      </c>
      <c r="I213" t="s">
        <v>362</v>
      </c>
    </row>
    <row r="214" spans="1:9">
      <c r="F214" t="s">
        <v>159</v>
      </c>
      <c r="G214" s="42">
        <v>134484</v>
      </c>
      <c r="H214" t="s">
        <v>328</v>
      </c>
      <c r="I214" t="s">
        <v>362</v>
      </c>
    </row>
    <row r="215" spans="1:9">
      <c r="A215" t="s">
        <v>343</v>
      </c>
      <c r="B215" s="42">
        <v>354168</v>
      </c>
      <c r="C215" t="s">
        <v>329</v>
      </c>
      <c r="D215" t="s">
        <v>362</v>
      </c>
      <c r="F215" t="s">
        <v>263</v>
      </c>
      <c r="G215" s="42">
        <v>263119</v>
      </c>
      <c r="H215" t="s">
        <v>328</v>
      </c>
      <c r="I215" t="s">
        <v>362</v>
      </c>
    </row>
    <row r="216" spans="1:9">
      <c r="A216" t="s">
        <v>164</v>
      </c>
      <c r="B216" s="42">
        <v>179937</v>
      </c>
      <c r="C216" t="s">
        <v>328</v>
      </c>
      <c r="D216" t="s">
        <v>362</v>
      </c>
      <c r="F216" t="s">
        <v>160</v>
      </c>
      <c r="G216" s="42">
        <v>50127</v>
      </c>
      <c r="H216" t="s">
        <v>328</v>
      </c>
      <c r="I216" t="s">
        <v>362</v>
      </c>
    </row>
    <row r="217" spans="1:9">
      <c r="A217" t="s">
        <v>165</v>
      </c>
      <c r="B217" s="42">
        <v>174365</v>
      </c>
      <c r="C217" t="s">
        <v>328</v>
      </c>
      <c r="D217" t="s">
        <v>362</v>
      </c>
      <c r="F217" t="s">
        <v>161</v>
      </c>
      <c r="G217" s="42">
        <v>11611</v>
      </c>
      <c r="H217" t="s">
        <v>328</v>
      </c>
      <c r="I217" t="s">
        <v>362</v>
      </c>
    </row>
    <row r="218" spans="1:9">
      <c r="A218" t="s">
        <v>288</v>
      </c>
      <c r="B218" s="42">
        <v>91698</v>
      </c>
      <c r="C218" t="s">
        <v>328</v>
      </c>
      <c r="D218" t="s">
        <v>362</v>
      </c>
      <c r="F218" t="s">
        <v>162</v>
      </c>
      <c r="G218" s="42">
        <v>13621</v>
      </c>
      <c r="H218" t="s">
        <v>328</v>
      </c>
      <c r="I218" t="s">
        <v>362</v>
      </c>
    </row>
    <row r="219" spans="1:9">
      <c r="A219" t="s">
        <v>349</v>
      </c>
      <c r="B219" s="42">
        <v>51702</v>
      </c>
      <c r="C219" t="s">
        <v>329</v>
      </c>
      <c r="D219" t="s">
        <v>362</v>
      </c>
      <c r="F219" t="s">
        <v>163</v>
      </c>
      <c r="G219" s="42">
        <v>9563</v>
      </c>
      <c r="H219" t="s">
        <v>328</v>
      </c>
      <c r="I219" t="s">
        <v>362</v>
      </c>
    </row>
    <row r="220" spans="1:9">
      <c r="A220" t="s">
        <v>231</v>
      </c>
      <c r="B220" s="42">
        <v>17604</v>
      </c>
      <c r="C220" t="s">
        <v>328</v>
      </c>
      <c r="D220" t="s">
        <v>362</v>
      </c>
      <c r="F220" t="s">
        <v>231</v>
      </c>
      <c r="G220" s="42">
        <v>10713</v>
      </c>
      <c r="H220" t="s">
        <v>328</v>
      </c>
      <c r="I220" t="s">
        <v>362</v>
      </c>
    </row>
    <row r="221" spans="1:9">
      <c r="A221" t="s">
        <v>355</v>
      </c>
      <c r="B221" s="42">
        <v>66904</v>
      </c>
      <c r="C221" t="s">
        <v>328</v>
      </c>
      <c r="D221" t="s">
        <v>362</v>
      </c>
      <c r="F221" t="s">
        <v>231</v>
      </c>
      <c r="G221" s="42">
        <v>14106</v>
      </c>
      <c r="H221" t="s">
        <v>328</v>
      </c>
      <c r="I221" t="s">
        <v>362</v>
      </c>
    </row>
    <row r="222" spans="1:9">
      <c r="A222" t="s">
        <v>166</v>
      </c>
      <c r="B222" s="42">
        <v>70310</v>
      </c>
      <c r="C222" t="s">
        <v>328</v>
      </c>
      <c r="D222" t="s">
        <v>362</v>
      </c>
      <c r="F222" t="s">
        <v>148</v>
      </c>
      <c r="G222" s="42">
        <v>6855</v>
      </c>
      <c r="H222" t="s">
        <v>328</v>
      </c>
      <c r="I222" t="s">
        <v>362</v>
      </c>
    </row>
    <row r="223" spans="1:9">
      <c r="A223" t="s">
        <v>339</v>
      </c>
      <c r="B223" s="42">
        <v>58640</v>
      </c>
      <c r="C223" t="s">
        <v>328</v>
      </c>
      <c r="D223" t="s">
        <v>362</v>
      </c>
      <c r="F223" t="s">
        <v>291</v>
      </c>
      <c r="G223" s="42">
        <v>124187</v>
      </c>
      <c r="H223" t="s">
        <v>328</v>
      </c>
      <c r="I223" t="s">
        <v>362</v>
      </c>
    </row>
    <row r="224" spans="1:9">
      <c r="A224" t="s">
        <v>167</v>
      </c>
      <c r="B224" s="42">
        <v>88271</v>
      </c>
      <c r="C224" t="s">
        <v>328</v>
      </c>
      <c r="D224" t="s">
        <v>362</v>
      </c>
      <c r="F224" t="s">
        <v>164</v>
      </c>
      <c r="G224" s="42">
        <v>179937</v>
      </c>
      <c r="H224" t="s">
        <v>328</v>
      </c>
      <c r="I224" t="s">
        <v>362</v>
      </c>
    </row>
    <row r="225" spans="1:9">
      <c r="A225" t="s">
        <v>249</v>
      </c>
      <c r="B225" s="42">
        <v>30000</v>
      </c>
      <c r="C225" t="s">
        <v>328</v>
      </c>
      <c r="D225" t="s">
        <v>362</v>
      </c>
      <c r="F225" t="s">
        <v>165</v>
      </c>
      <c r="G225" s="42">
        <v>174365</v>
      </c>
      <c r="H225" t="s">
        <v>328</v>
      </c>
      <c r="I225" t="s">
        <v>362</v>
      </c>
    </row>
    <row r="226" spans="1:9">
      <c r="A226" t="s">
        <v>226</v>
      </c>
      <c r="B226" s="42">
        <v>29345</v>
      </c>
      <c r="C226" t="s">
        <v>328</v>
      </c>
      <c r="D226" t="s">
        <v>362</v>
      </c>
      <c r="F226" t="s">
        <v>288</v>
      </c>
      <c r="G226" s="42">
        <v>91698</v>
      </c>
      <c r="H226" t="s">
        <v>328</v>
      </c>
      <c r="I226" t="s">
        <v>362</v>
      </c>
    </row>
    <row r="227" spans="1:9">
      <c r="A227" t="s">
        <v>154</v>
      </c>
      <c r="B227" s="42">
        <v>53038</v>
      </c>
      <c r="C227" t="s">
        <v>328</v>
      </c>
      <c r="D227" t="s">
        <v>362</v>
      </c>
      <c r="F227" t="s">
        <v>231</v>
      </c>
      <c r="G227" s="42">
        <v>17604</v>
      </c>
      <c r="H227" t="s">
        <v>328</v>
      </c>
      <c r="I227" t="s">
        <v>362</v>
      </c>
    </row>
    <row r="228" spans="1:9">
      <c r="A228" t="s">
        <v>289</v>
      </c>
      <c r="B228" s="42">
        <v>220826</v>
      </c>
      <c r="C228" t="s">
        <v>329</v>
      </c>
      <c r="D228" t="s">
        <v>362</v>
      </c>
      <c r="F228" t="s">
        <v>355</v>
      </c>
      <c r="G228" s="42">
        <v>66904</v>
      </c>
      <c r="H228" t="s">
        <v>328</v>
      </c>
      <c r="I228" t="s">
        <v>362</v>
      </c>
    </row>
    <row r="229" spans="1:9">
      <c r="A229" t="s">
        <v>168</v>
      </c>
      <c r="B229" s="42">
        <v>55320</v>
      </c>
      <c r="C229" t="s">
        <v>328</v>
      </c>
      <c r="D229" t="s">
        <v>362</v>
      </c>
      <c r="F229" t="s">
        <v>166</v>
      </c>
      <c r="G229" s="42">
        <v>70310</v>
      </c>
      <c r="H229" t="s">
        <v>328</v>
      </c>
      <c r="I229" t="s">
        <v>362</v>
      </c>
    </row>
    <row r="230" spans="1:9">
      <c r="F230" t="s">
        <v>339</v>
      </c>
      <c r="G230" s="42">
        <v>58640</v>
      </c>
      <c r="H230" t="s">
        <v>328</v>
      </c>
      <c r="I230" t="s">
        <v>362</v>
      </c>
    </row>
    <row r="231" spans="1:9">
      <c r="A231" t="s">
        <v>169</v>
      </c>
      <c r="B231" s="42">
        <v>33000</v>
      </c>
      <c r="C231" t="s">
        <v>328</v>
      </c>
      <c r="D231" t="s">
        <v>362</v>
      </c>
      <c r="F231" t="s">
        <v>167</v>
      </c>
      <c r="G231" s="42">
        <v>88271</v>
      </c>
      <c r="H231" t="s">
        <v>328</v>
      </c>
      <c r="I231" t="s">
        <v>362</v>
      </c>
    </row>
    <row r="232" spans="1:9">
      <c r="A232" t="s">
        <v>219</v>
      </c>
      <c r="B232" s="42">
        <v>148584</v>
      </c>
      <c r="C232" t="s">
        <v>328</v>
      </c>
      <c r="D232" t="s">
        <v>362</v>
      </c>
      <c r="F232" t="s">
        <v>249</v>
      </c>
      <c r="G232" s="42">
        <v>30000</v>
      </c>
      <c r="H232" t="s">
        <v>328</v>
      </c>
      <c r="I232" t="s">
        <v>362</v>
      </c>
    </row>
    <row r="233" spans="1:9">
      <c r="A233" t="s">
        <v>218</v>
      </c>
      <c r="B233" s="42">
        <v>108811</v>
      </c>
      <c r="C233" t="s">
        <v>328</v>
      </c>
      <c r="D233" t="s">
        <v>362</v>
      </c>
      <c r="F233" t="s">
        <v>226</v>
      </c>
      <c r="G233" s="42">
        <v>29345</v>
      </c>
      <c r="H233" t="s">
        <v>328</v>
      </c>
      <c r="I233" t="s">
        <v>362</v>
      </c>
    </row>
    <row r="234" spans="1:9">
      <c r="A234" t="s">
        <v>288</v>
      </c>
      <c r="B234" s="42">
        <v>373121</v>
      </c>
      <c r="C234" t="s">
        <v>328</v>
      </c>
      <c r="D234" t="s">
        <v>362</v>
      </c>
      <c r="F234" t="s">
        <v>154</v>
      </c>
      <c r="G234" s="42">
        <v>53038</v>
      </c>
      <c r="H234" t="s">
        <v>328</v>
      </c>
      <c r="I234" t="s">
        <v>362</v>
      </c>
    </row>
    <row r="235" spans="1:9">
      <c r="A235" t="s">
        <v>170</v>
      </c>
      <c r="B235" s="42">
        <v>30000</v>
      </c>
      <c r="C235" t="s">
        <v>328</v>
      </c>
      <c r="D235" t="s">
        <v>362</v>
      </c>
      <c r="F235" t="s">
        <v>168</v>
      </c>
      <c r="G235" s="42">
        <v>55320</v>
      </c>
      <c r="H235" t="s">
        <v>328</v>
      </c>
      <c r="I235" t="s">
        <v>362</v>
      </c>
    </row>
    <row r="236" spans="1:9">
      <c r="A236" t="s">
        <v>171</v>
      </c>
      <c r="B236" s="42">
        <v>97829</v>
      </c>
      <c r="C236" t="s">
        <v>329</v>
      </c>
      <c r="D236" t="s">
        <v>362</v>
      </c>
      <c r="F236" t="s">
        <v>169</v>
      </c>
      <c r="G236" s="42">
        <v>33000</v>
      </c>
      <c r="H236" t="s">
        <v>328</v>
      </c>
      <c r="I236" t="s">
        <v>362</v>
      </c>
    </row>
    <row r="237" spans="1:9">
      <c r="A237" t="s">
        <v>172</v>
      </c>
      <c r="B237" s="42">
        <v>457912</v>
      </c>
      <c r="C237" t="s">
        <v>328</v>
      </c>
      <c r="D237" t="s">
        <v>362</v>
      </c>
      <c r="F237" t="s">
        <v>219</v>
      </c>
      <c r="G237" s="42">
        <v>148584</v>
      </c>
      <c r="H237" t="s">
        <v>328</v>
      </c>
      <c r="I237" t="s">
        <v>362</v>
      </c>
    </row>
    <row r="238" spans="1:9">
      <c r="A238" t="s">
        <v>173</v>
      </c>
      <c r="B238" s="42">
        <v>94908</v>
      </c>
      <c r="C238" t="s">
        <v>328</v>
      </c>
      <c r="D238" t="s">
        <v>362</v>
      </c>
      <c r="F238" t="s">
        <v>218</v>
      </c>
      <c r="G238" s="42">
        <v>108811</v>
      </c>
      <c r="H238" t="s">
        <v>328</v>
      </c>
      <c r="I238" t="s">
        <v>362</v>
      </c>
    </row>
    <row r="239" spans="1:9">
      <c r="A239" t="s">
        <v>174</v>
      </c>
      <c r="B239" s="42">
        <v>5000</v>
      </c>
      <c r="C239" t="s">
        <v>328</v>
      </c>
      <c r="D239" t="s">
        <v>362</v>
      </c>
      <c r="F239" t="s">
        <v>288</v>
      </c>
      <c r="G239" s="42">
        <v>373121</v>
      </c>
      <c r="H239" t="s">
        <v>328</v>
      </c>
      <c r="I239" t="s">
        <v>362</v>
      </c>
    </row>
    <row r="240" spans="1:9">
      <c r="A240" t="s">
        <v>217</v>
      </c>
      <c r="B240" s="42">
        <v>250566</v>
      </c>
      <c r="C240" t="s">
        <v>328</v>
      </c>
      <c r="D240" t="s">
        <v>362</v>
      </c>
      <c r="F240" t="s">
        <v>170</v>
      </c>
      <c r="G240" s="42">
        <v>30000</v>
      </c>
      <c r="H240" t="s">
        <v>328</v>
      </c>
      <c r="I240" t="s">
        <v>362</v>
      </c>
    </row>
    <row r="241" spans="1:9">
      <c r="A241" t="s">
        <v>174</v>
      </c>
      <c r="B241" s="42">
        <v>30497</v>
      </c>
      <c r="C241" t="s">
        <v>328</v>
      </c>
      <c r="D241" t="s">
        <v>362</v>
      </c>
      <c r="F241" t="s">
        <v>172</v>
      </c>
      <c r="G241" s="42">
        <v>457912</v>
      </c>
      <c r="H241" t="s">
        <v>328</v>
      </c>
      <c r="I241" t="s">
        <v>362</v>
      </c>
    </row>
    <row r="242" spans="1:9">
      <c r="A242" t="s">
        <v>175</v>
      </c>
      <c r="B242" s="42">
        <v>79051</v>
      </c>
      <c r="C242" t="s">
        <v>328</v>
      </c>
      <c r="D242" t="s">
        <v>362</v>
      </c>
      <c r="F242" t="s">
        <v>173</v>
      </c>
      <c r="G242" s="42">
        <v>94908</v>
      </c>
      <c r="H242" t="s">
        <v>328</v>
      </c>
      <c r="I242" t="s">
        <v>362</v>
      </c>
    </row>
    <row r="243" spans="1:9">
      <c r="A243" t="s">
        <v>176</v>
      </c>
      <c r="B243" s="42">
        <v>19347</v>
      </c>
      <c r="C243" t="s">
        <v>328</v>
      </c>
      <c r="D243" t="s">
        <v>362</v>
      </c>
      <c r="F243" t="s">
        <v>174</v>
      </c>
      <c r="G243" s="42">
        <v>5000</v>
      </c>
      <c r="H243" t="s">
        <v>328</v>
      </c>
      <c r="I243" t="s">
        <v>362</v>
      </c>
    </row>
    <row r="244" spans="1:9">
      <c r="A244" t="s">
        <v>339</v>
      </c>
      <c r="B244" s="42">
        <v>131097</v>
      </c>
      <c r="C244" t="s">
        <v>328</v>
      </c>
      <c r="D244" t="s">
        <v>362</v>
      </c>
      <c r="F244" t="s">
        <v>217</v>
      </c>
      <c r="G244" s="42">
        <v>250566</v>
      </c>
      <c r="H244" t="s">
        <v>328</v>
      </c>
      <c r="I244" t="s">
        <v>362</v>
      </c>
    </row>
    <row r="245" spans="1:9">
      <c r="A245" t="s">
        <v>340</v>
      </c>
      <c r="B245" s="42">
        <v>321075</v>
      </c>
      <c r="C245" t="s">
        <v>329</v>
      </c>
      <c r="D245" t="s">
        <v>362</v>
      </c>
      <c r="F245" t="s">
        <v>174</v>
      </c>
      <c r="G245" s="42">
        <v>30497</v>
      </c>
      <c r="H245" t="s">
        <v>328</v>
      </c>
      <c r="I245" t="s">
        <v>362</v>
      </c>
    </row>
    <row r="246" spans="1:9">
      <c r="F246" t="s">
        <v>175</v>
      </c>
      <c r="G246" s="42">
        <v>79051</v>
      </c>
      <c r="H246" t="s">
        <v>328</v>
      </c>
      <c r="I246" t="s">
        <v>362</v>
      </c>
    </row>
    <row r="247" spans="1:9">
      <c r="A247" t="s">
        <v>177</v>
      </c>
      <c r="B247" s="42">
        <v>102706</v>
      </c>
      <c r="C247" t="s">
        <v>328</v>
      </c>
      <c r="D247" t="s">
        <v>362</v>
      </c>
      <c r="F247" t="s">
        <v>176</v>
      </c>
      <c r="G247" s="42">
        <v>19347</v>
      </c>
      <c r="H247" t="s">
        <v>328</v>
      </c>
      <c r="I247" t="s">
        <v>362</v>
      </c>
    </row>
    <row r="248" spans="1:9">
      <c r="A248" t="s">
        <v>154</v>
      </c>
      <c r="B248" s="42">
        <v>252550</v>
      </c>
      <c r="C248" t="s">
        <v>328</v>
      </c>
      <c r="D248" t="s">
        <v>362</v>
      </c>
      <c r="F248" t="s">
        <v>339</v>
      </c>
      <c r="G248" s="42">
        <v>131097</v>
      </c>
      <c r="H248" t="s">
        <v>328</v>
      </c>
      <c r="I248" t="s">
        <v>362</v>
      </c>
    </row>
    <row r="249" spans="1:9">
      <c r="A249" t="s">
        <v>178</v>
      </c>
      <c r="B249" s="42">
        <v>50000</v>
      </c>
      <c r="C249" t="s">
        <v>329</v>
      </c>
      <c r="D249" t="s">
        <v>362</v>
      </c>
      <c r="F249" t="s">
        <v>177</v>
      </c>
      <c r="G249" s="42">
        <v>102706</v>
      </c>
      <c r="H249" t="s">
        <v>328</v>
      </c>
      <c r="I249" t="s">
        <v>362</v>
      </c>
    </row>
    <row r="250" spans="1:9">
      <c r="A250" t="s">
        <v>333</v>
      </c>
      <c r="B250" s="42">
        <v>48465</v>
      </c>
      <c r="C250" t="s">
        <v>328</v>
      </c>
      <c r="D250" t="s">
        <v>362</v>
      </c>
      <c r="F250" t="s">
        <v>154</v>
      </c>
      <c r="G250" s="42">
        <v>252550</v>
      </c>
      <c r="H250" t="s">
        <v>328</v>
      </c>
      <c r="I250" t="s">
        <v>362</v>
      </c>
    </row>
    <row r="251" spans="1:9">
      <c r="A251" t="s">
        <v>346</v>
      </c>
      <c r="B251" s="42">
        <v>188212</v>
      </c>
      <c r="C251" t="s">
        <v>328</v>
      </c>
      <c r="D251" t="s">
        <v>362</v>
      </c>
      <c r="F251" t="s">
        <v>333</v>
      </c>
      <c r="G251" s="42">
        <v>48465</v>
      </c>
      <c r="H251" t="s">
        <v>328</v>
      </c>
      <c r="I251" t="s">
        <v>362</v>
      </c>
    </row>
    <row r="252" spans="1:9">
      <c r="A252" t="s">
        <v>179</v>
      </c>
      <c r="B252" s="42">
        <v>173622</v>
      </c>
      <c r="C252" t="s">
        <v>329</v>
      </c>
      <c r="D252" t="s">
        <v>362</v>
      </c>
      <c r="F252" t="s">
        <v>346</v>
      </c>
      <c r="G252" s="42">
        <v>188212</v>
      </c>
      <c r="H252" t="s">
        <v>328</v>
      </c>
      <c r="I252" t="s">
        <v>362</v>
      </c>
    </row>
    <row r="253" spans="1:9">
      <c r="A253" t="s">
        <v>180</v>
      </c>
      <c r="B253" s="42">
        <v>59224</v>
      </c>
      <c r="C253" t="s">
        <v>328</v>
      </c>
      <c r="D253" t="s">
        <v>362</v>
      </c>
      <c r="F253" t="s">
        <v>180</v>
      </c>
      <c r="G253" s="42">
        <v>59224</v>
      </c>
      <c r="H253" t="s">
        <v>328</v>
      </c>
      <c r="I253" t="s">
        <v>362</v>
      </c>
    </row>
    <row r="254" spans="1:9">
      <c r="A254" t="s">
        <v>327</v>
      </c>
      <c r="B254" s="42">
        <v>232003</v>
      </c>
      <c r="C254" t="s">
        <v>329</v>
      </c>
      <c r="D254" t="s">
        <v>362</v>
      </c>
      <c r="F254" t="s">
        <v>181</v>
      </c>
      <c r="G254" s="42">
        <v>60923</v>
      </c>
      <c r="H254" t="s">
        <v>328</v>
      </c>
      <c r="I254" t="s">
        <v>362</v>
      </c>
    </row>
    <row r="255" spans="1:9">
      <c r="A255" t="s">
        <v>181</v>
      </c>
      <c r="B255" s="42">
        <v>60923</v>
      </c>
      <c r="C255" t="s">
        <v>328</v>
      </c>
      <c r="D255" t="s">
        <v>362</v>
      </c>
      <c r="F255" t="s">
        <v>247</v>
      </c>
      <c r="G255" s="42">
        <v>173739</v>
      </c>
      <c r="H255" t="s">
        <v>328</v>
      </c>
      <c r="I255" t="s">
        <v>362</v>
      </c>
    </row>
    <row r="256" spans="1:9">
      <c r="A256" t="s">
        <v>182</v>
      </c>
      <c r="B256" s="42">
        <v>59523</v>
      </c>
      <c r="C256" t="s">
        <v>329</v>
      </c>
      <c r="D256" t="s">
        <v>362</v>
      </c>
      <c r="F256" t="s">
        <v>184</v>
      </c>
      <c r="G256" s="42">
        <v>78413</v>
      </c>
      <c r="H256" t="s">
        <v>328</v>
      </c>
      <c r="I256" t="s">
        <v>362</v>
      </c>
    </row>
    <row r="257" spans="1:9">
      <c r="A257" t="s">
        <v>183</v>
      </c>
      <c r="B257" s="42">
        <v>119415</v>
      </c>
      <c r="C257" t="s">
        <v>329</v>
      </c>
      <c r="D257" t="s">
        <v>362</v>
      </c>
      <c r="F257" t="s">
        <v>216</v>
      </c>
      <c r="G257" s="42">
        <v>218677</v>
      </c>
      <c r="H257" t="s">
        <v>328</v>
      </c>
      <c r="I257" t="s">
        <v>362</v>
      </c>
    </row>
    <row r="258" spans="1:9">
      <c r="A258" t="s">
        <v>247</v>
      </c>
      <c r="B258" s="42">
        <v>173739</v>
      </c>
      <c r="C258" t="s">
        <v>328</v>
      </c>
      <c r="D258" t="s">
        <v>362</v>
      </c>
      <c r="F258" t="s">
        <v>261</v>
      </c>
      <c r="G258" s="42">
        <v>247136</v>
      </c>
      <c r="H258" t="s">
        <v>328</v>
      </c>
      <c r="I258" t="s">
        <v>362</v>
      </c>
    </row>
    <row r="259" spans="1:9">
      <c r="A259" t="s">
        <v>184</v>
      </c>
      <c r="B259" s="42">
        <v>78413</v>
      </c>
      <c r="C259" t="s">
        <v>328</v>
      </c>
      <c r="D259" t="s">
        <v>362</v>
      </c>
      <c r="F259" t="s">
        <v>185</v>
      </c>
      <c r="G259" s="42">
        <v>293409</v>
      </c>
      <c r="H259" t="s">
        <v>328</v>
      </c>
      <c r="I259" t="s">
        <v>362</v>
      </c>
    </row>
    <row r="260" spans="1:9">
      <c r="A260" t="s">
        <v>349</v>
      </c>
      <c r="B260" s="42">
        <v>213170</v>
      </c>
      <c r="C260" t="s">
        <v>329</v>
      </c>
      <c r="D260" t="s">
        <v>362</v>
      </c>
      <c r="F260" t="s">
        <v>259</v>
      </c>
      <c r="G260" s="42">
        <v>176892</v>
      </c>
      <c r="H260" t="s">
        <v>328</v>
      </c>
      <c r="I260" t="s">
        <v>362</v>
      </c>
    </row>
    <row r="261" spans="1:9">
      <c r="A261" t="s">
        <v>216</v>
      </c>
      <c r="B261" s="42">
        <v>218677</v>
      </c>
      <c r="C261" t="s">
        <v>328</v>
      </c>
      <c r="D261" t="s">
        <v>362</v>
      </c>
      <c r="F261" t="s">
        <v>186</v>
      </c>
      <c r="G261" s="42">
        <v>3745558</v>
      </c>
      <c r="H261" t="s">
        <v>328</v>
      </c>
      <c r="I261" t="s">
        <v>362</v>
      </c>
    </row>
    <row r="262" spans="1:9">
      <c r="F262" t="s">
        <v>187</v>
      </c>
      <c r="G262" s="42">
        <v>253426</v>
      </c>
      <c r="H262" t="s">
        <v>328</v>
      </c>
      <c r="I262" t="s">
        <v>362</v>
      </c>
    </row>
    <row r="263" spans="1:9">
      <c r="A263" t="s">
        <v>261</v>
      </c>
      <c r="B263" s="42">
        <v>247136</v>
      </c>
      <c r="C263" t="s">
        <v>328</v>
      </c>
      <c r="D263" t="s">
        <v>362</v>
      </c>
      <c r="F263" t="s">
        <v>188</v>
      </c>
      <c r="G263" s="42">
        <v>121567</v>
      </c>
      <c r="H263" t="s">
        <v>328</v>
      </c>
      <c r="I263" t="s">
        <v>362</v>
      </c>
    </row>
    <row r="264" spans="1:9">
      <c r="A264" t="s">
        <v>185</v>
      </c>
      <c r="B264" s="42">
        <v>293409</v>
      </c>
      <c r="C264" t="s">
        <v>328</v>
      </c>
      <c r="D264" t="s">
        <v>362</v>
      </c>
      <c r="F264" t="s">
        <v>189</v>
      </c>
      <c r="G264" s="42">
        <v>462480</v>
      </c>
      <c r="H264" t="s">
        <v>328</v>
      </c>
      <c r="I264" t="s">
        <v>362</v>
      </c>
    </row>
    <row r="265" spans="1:9">
      <c r="A265" t="s">
        <v>259</v>
      </c>
      <c r="B265" s="42">
        <v>176892</v>
      </c>
      <c r="C265" t="s">
        <v>328</v>
      </c>
      <c r="D265" t="s">
        <v>362</v>
      </c>
      <c r="F265" t="s">
        <v>190</v>
      </c>
      <c r="G265" s="42">
        <v>274263</v>
      </c>
      <c r="H265" t="s">
        <v>328</v>
      </c>
      <c r="I265" t="s">
        <v>362</v>
      </c>
    </row>
    <row r="266" spans="1:9">
      <c r="A266" t="s">
        <v>186</v>
      </c>
      <c r="B266" s="42">
        <v>3745558</v>
      </c>
      <c r="C266" t="s">
        <v>328</v>
      </c>
      <c r="D266" t="s">
        <v>362</v>
      </c>
      <c r="F266" t="s">
        <v>191</v>
      </c>
      <c r="G266" s="42">
        <v>58920</v>
      </c>
      <c r="H266" t="s">
        <v>328</v>
      </c>
      <c r="I266" t="s">
        <v>362</v>
      </c>
    </row>
    <row r="267" spans="1:9">
      <c r="A267" t="s">
        <v>187</v>
      </c>
      <c r="B267" s="42">
        <v>253426</v>
      </c>
      <c r="C267" t="s">
        <v>328</v>
      </c>
      <c r="D267" t="s">
        <v>362</v>
      </c>
      <c r="F267" t="s">
        <v>192</v>
      </c>
      <c r="G267" s="42">
        <v>167057</v>
      </c>
      <c r="H267" t="s">
        <v>328</v>
      </c>
      <c r="I267" t="s">
        <v>362</v>
      </c>
    </row>
    <row r="268" spans="1:9">
      <c r="A268" t="s">
        <v>188</v>
      </c>
      <c r="B268" s="42">
        <v>121567</v>
      </c>
      <c r="C268" t="s">
        <v>328</v>
      </c>
      <c r="D268" t="s">
        <v>362</v>
      </c>
      <c r="F268" t="s">
        <v>253</v>
      </c>
      <c r="G268" s="42">
        <v>258409</v>
      </c>
      <c r="H268" t="s">
        <v>328</v>
      </c>
      <c r="I268" t="s">
        <v>362</v>
      </c>
    </row>
    <row r="269" spans="1:9">
      <c r="A269" t="s">
        <v>189</v>
      </c>
      <c r="B269" s="42">
        <v>462480</v>
      </c>
      <c r="C269" t="s">
        <v>328</v>
      </c>
      <c r="D269" t="s">
        <v>362</v>
      </c>
      <c r="F269" t="s">
        <v>230</v>
      </c>
      <c r="G269" s="42">
        <v>124768</v>
      </c>
      <c r="H269" t="s">
        <v>328</v>
      </c>
      <c r="I269" t="s">
        <v>362</v>
      </c>
    </row>
    <row r="270" spans="1:9">
      <c r="A270" t="s">
        <v>190</v>
      </c>
      <c r="B270" s="42">
        <v>274263</v>
      </c>
      <c r="C270" t="s">
        <v>328</v>
      </c>
      <c r="D270" t="s">
        <v>362</v>
      </c>
      <c r="F270" t="s">
        <v>193</v>
      </c>
      <c r="G270" s="42">
        <v>18106</v>
      </c>
      <c r="H270" t="s">
        <v>328</v>
      </c>
      <c r="I270" t="s">
        <v>362</v>
      </c>
    </row>
    <row r="271" spans="1:9">
      <c r="A271" t="s">
        <v>191</v>
      </c>
      <c r="B271" s="42">
        <v>58920</v>
      </c>
      <c r="C271" t="s">
        <v>328</v>
      </c>
      <c r="D271" t="s">
        <v>362</v>
      </c>
      <c r="F271" t="s">
        <v>274</v>
      </c>
      <c r="G271" s="42">
        <v>40429</v>
      </c>
      <c r="H271" t="s">
        <v>328</v>
      </c>
      <c r="I271" t="s">
        <v>362</v>
      </c>
    </row>
    <row r="272" spans="1:9">
      <c r="A272" t="s">
        <v>192</v>
      </c>
      <c r="B272" s="42">
        <v>167057</v>
      </c>
      <c r="C272" t="s">
        <v>328</v>
      </c>
      <c r="D272" t="s">
        <v>362</v>
      </c>
      <c r="F272" t="s">
        <v>193</v>
      </c>
      <c r="G272" s="42">
        <v>30950</v>
      </c>
      <c r="H272" t="s">
        <v>328</v>
      </c>
      <c r="I272" t="s">
        <v>362</v>
      </c>
    </row>
    <row r="273" spans="1:9">
      <c r="A273" t="s">
        <v>253</v>
      </c>
      <c r="B273" s="42">
        <v>258409</v>
      </c>
      <c r="C273" t="s">
        <v>328</v>
      </c>
      <c r="D273" t="s">
        <v>362</v>
      </c>
      <c r="F273" t="s">
        <v>228</v>
      </c>
      <c r="G273" s="42">
        <v>125608</v>
      </c>
      <c r="H273" t="s">
        <v>328</v>
      </c>
      <c r="I273" t="s">
        <v>362</v>
      </c>
    </row>
    <row r="274" spans="1:9">
      <c r="A274" t="s">
        <v>230</v>
      </c>
      <c r="B274" s="42">
        <v>124768</v>
      </c>
      <c r="C274" t="s">
        <v>328</v>
      </c>
      <c r="D274" t="s">
        <v>362</v>
      </c>
      <c r="F274" t="s">
        <v>231</v>
      </c>
      <c r="G274" s="42">
        <v>313570</v>
      </c>
      <c r="H274" t="s">
        <v>328</v>
      </c>
      <c r="I274" t="s">
        <v>362</v>
      </c>
    </row>
    <row r="275" spans="1:9">
      <c r="A275" t="s">
        <v>193</v>
      </c>
      <c r="B275" s="42">
        <v>18106</v>
      </c>
      <c r="C275" t="s">
        <v>328</v>
      </c>
      <c r="D275" t="s">
        <v>362</v>
      </c>
      <c r="F275" t="s">
        <v>148</v>
      </c>
      <c r="G275" s="42">
        <v>98253</v>
      </c>
      <c r="H275" t="s">
        <v>328</v>
      </c>
      <c r="I275" t="s">
        <v>362</v>
      </c>
    </row>
    <row r="276" spans="1:9">
      <c r="A276" t="s">
        <v>274</v>
      </c>
      <c r="B276" s="42">
        <v>40429</v>
      </c>
      <c r="C276" t="s">
        <v>328</v>
      </c>
      <c r="D276" t="s">
        <v>362</v>
      </c>
      <c r="F276" t="s">
        <v>194</v>
      </c>
      <c r="G276" s="42">
        <v>496560</v>
      </c>
      <c r="H276" t="s">
        <v>328</v>
      </c>
      <c r="I276" t="s">
        <v>362</v>
      </c>
    </row>
    <row r="277" spans="1:9">
      <c r="A277" t="s">
        <v>193</v>
      </c>
      <c r="B277" s="42">
        <v>30950</v>
      </c>
      <c r="C277" t="s">
        <v>328</v>
      </c>
      <c r="D277" t="s">
        <v>362</v>
      </c>
      <c r="F277" t="s">
        <v>195</v>
      </c>
      <c r="G277" s="42">
        <v>299353</v>
      </c>
      <c r="H277" t="s">
        <v>328</v>
      </c>
      <c r="I277" t="s">
        <v>362</v>
      </c>
    </row>
    <row r="278" spans="1:9">
      <c r="F278" t="s">
        <v>196</v>
      </c>
      <c r="G278" s="42">
        <v>95038</v>
      </c>
      <c r="H278" t="s">
        <v>328</v>
      </c>
      <c r="I278" t="s">
        <v>362</v>
      </c>
    </row>
    <row r="279" spans="1:9">
      <c r="A279" t="s">
        <v>228</v>
      </c>
      <c r="B279" s="42">
        <v>125608</v>
      </c>
      <c r="C279" t="s">
        <v>328</v>
      </c>
      <c r="D279" t="s">
        <v>362</v>
      </c>
      <c r="F279" t="s">
        <v>197</v>
      </c>
      <c r="G279" s="42">
        <v>229204</v>
      </c>
      <c r="H279" t="s">
        <v>328</v>
      </c>
      <c r="I279" t="s">
        <v>362</v>
      </c>
    </row>
    <row r="280" spans="1:9">
      <c r="A280" t="s">
        <v>231</v>
      </c>
      <c r="B280" s="42">
        <v>313570</v>
      </c>
      <c r="C280" t="s">
        <v>328</v>
      </c>
      <c r="D280" t="s">
        <v>362</v>
      </c>
      <c r="F280" t="s">
        <v>198</v>
      </c>
      <c r="G280" s="42">
        <v>701661</v>
      </c>
      <c r="H280" t="s">
        <v>328</v>
      </c>
      <c r="I280" t="s">
        <v>362</v>
      </c>
    </row>
    <row r="281" spans="1:9">
      <c r="A281" t="s">
        <v>148</v>
      </c>
      <c r="B281" s="42">
        <v>98253</v>
      </c>
      <c r="C281" t="s">
        <v>328</v>
      </c>
      <c r="D281" t="s">
        <v>362</v>
      </c>
      <c r="F281" t="s">
        <v>199</v>
      </c>
      <c r="G281" s="42">
        <v>118400</v>
      </c>
      <c r="H281" t="s">
        <v>328</v>
      </c>
      <c r="I281" t="s">
        <v>362</v>
      </c>
    </row>
    <row r="282" spans="1:9">
      <c r="A282" t="s">
        <v>194</v>
      </c>
      <c r="B282" s="42">
        <v>496560</v>
      </c>
      <c r="C282" t="s">
        <v>328</v>
      </c>
      <c r="D282" t="s">
        <v>362</v>
      </c>
      <c r="F282" t="s">
        <v>196</v>
      </c>
      <c r="G282" s="42">
        <v>75624</v>
      </c>
      <c r="H282" t="s">
        <v>328</v>
      </c>
      <c r="I282" t="s">
        <v>362</v>
      </c>
    </row>
    <row r="283" spans="1:9">
      <c r="A283" t="s">
        <v>195</v>
      </c>
      <c r="B283" s="42">
        <v>299353</v>
      </c>
      <c r="C283" t="s">
        <v>328</v>
      </c>
      <c r="D283" t="s">
        <v>362</v>
      </c>
      <c r="F283" t="s">
        <v>140</v>
      </c>
      <c r="G283" s="42">
        <v>446336</v>
      </c>
      <c r="H283" t="s">
        <v>328</v>
      </c>
      <c r="I283" t="s">
        <v>362</v>
      </c>
    </row>
    <row r="284" spans="1:9">
      <c r="A284" t="s">
        <v>196</v>
      </c>
      <c r="B284" s="42">
        <v>95038</v>
      </c>
      <c r="C284" t="s">
        <v>328</v>
      </c>
      <c r="D284" t="s">
        <v>362</v>
      </c>
      <c r="F284" t="s">
        <v>200</v>
      </c>
      <c r="G284" s="42">
        <v>363164</v>
      </c>
      <c r="H284" t="s">
        <v>328</v>
      </c>
      <c r="I284" t="s">
        <v>362</v>
      </c>
    </row>
    <row r="285" spans="1:9">
      <c r="A285" t="s">
        <v>197</v>
      </c>
      <c r="B285" s="42">
        <v>229204</v>
      </c>
      <c r="C285" t="s">
        <v>328</v>
      </c>
      <c r="D285" t="s">
        <v>362</v>
      </c>
      <c r="F285" t="s">
        <v>201</v>
      </c>
      <c r="G285" s="42">
        <v>279723</v>
      </c>
      <c r="H285" t="s">
        <v>328</v>
      </c>
      <c r="I285" t="s">
        <v>362</v>
      </c>
    </row>
    <row r="286" spans="1:9">
      <c r="A286" t="s">
        <v>198</v>
      </c>
      <c r="B286" s="42">
        <v>701661</v>
      </c>
      <c r="C286" t="s">
        <v>328</v>
      </c>
      <c r="D286" t="s">
        <v>362</v>
      </c>
      <c r="F286" t="s">
        <v>202</v>
      </c>
      <c r="G286" s="42">
        <v>107671</v>
      </c>
      <c r="H286" t="s">
        <v>328</v>
      </c>
      <c r="I286" t="s">
        <v>362</v>
      </c>
    </row>
    <row r="287" spans="1:9">
      <c r="A287" t="s">
        <v>199</v>
      </c>
      <c r="B287" s="42">
        <v>118400</v>
      </c>
      <c r="C287" t="s">
        <v>328</v>
      </c>
      <c r="D287" t="s">
        <v>362</v>
      </c>
      <c r="F287" t="s">
        <v>293</v>
      </c>
      <c r="G287" s="42">
        <v>212128</v>
      </c>
      <c r="H287" t="s">
        <v>328</v>
      </c>
      <c r="I287" t="s">
        <v>362</v>
      </c>
    </row>
    <row r="288" spans="1:9">
      <c r="A288" t="s">
        <v>196</v>
      </c>
      <c r="B288" s="42">
        <v>75624</v>
      </c>
      <c r="C288" t="s">
        <v>328</v>
      </c>
      <c r="D288" t="s">
        <v>362</v>
      </c>
      <c r="F288" t="s">
        <v>203</v>
      </c>
      <c r="G288" s="42">
        <v>49945</v>
      </c>
      <c r="H288" t="s">
        <v>328</v>
      </c>
      <c r="I288" t="s">
        <v>362</v>
      </c>
    </row>
    <row r="289" spans="1:9">
      <c r="A289" t="s">
        <v>140</v>
      </c>
      <c r="B289" s="42">
        <v>446336</v>
      </c>
      <c r="C289" t="s">
        <v>328</v>
      </c>
      <c r="D289" t="s">
        <v>362</v>
      </c>
      <c r="F289" t="s">
        <v>155</v>
      </c>
      <c r="G289" s="42">
        <v>49999</v>
      </c>
      <c r="H289" t="s">
        <v>328</v>
      </c>
      <c r="I289" t="s">
        <v>362</v>
      </c>
    </row>
    <row r="290" spans="1:9">
      <c r="A290" t="s">
        <v>200</v>
      </c>
      <c r="B290" s="42">
        <v>363164</v>
      </c>
      <c r="C290" t="s">
        <v>328</v>
      </c>
      <c r="D290" t="s">
        <v>362</v>
      </c>
      <c r="F290" t="s">
        <v>224</v>
      </c>
      <c r="G290" s="42">
        <v>113532</v>
      </c>
      <c r="H290" t="s">
        <v>328</v>
      </c>
      <c r="I290" t="s">
        <v>362</v>
      </c>
    </row>
    <row r="291" spans="1:9">
      <c r="A291" t="s">
        <v>201</v>
      </c>
      <c r="B291" s="42">
        <v>279723</v>
      </c>
      <c r="C291" t="s">
        <v>328</v>
      </c>
      <c r="D291" t="s">
        <v>362</v>
      </c>
      <c r="F291" t="s">
        <v>249</v>
      </c>
      <c r="G291" s="42">
        <v>152524</v>
      </c>
      <c r="H291" t="s">
        <v>328</v>
      </c>
      <c r="I291" t="s">
        <v>362</v>
      </c>
    </row>
    <row r="292" spans="1:9">
      <c r="A292" t="s">
        <v>202</v>
      </c>
      <c r="B292" s="42">
        <v>107671</v>
      </c>
      <c r="C292" t="s">
        <v>328</v>
      </c>
      <c r="D292" t="s">
        <v>362</v>
      </c>
      <c r="F292" t="s">
        <v>204</v>
      </c>
      <c r="G292" s="42">
        <v>113257</v>
      </c>
      <c r="H292" t="s">
        <v>328</v>
      </c>
      <c r="I292" t="s">
        <v>362</v>
      </c>
    </row>
    <row r="293" spans="1:9">
      <c r="A293" t="s">
        <v>293</v>
      </c>
      <c r="B293" s="42">
        <v>212128</v>
      </c>
      <c r="C293" t="s">
        <v>328</v>
      </c>
      <c r="D293" t="s">
        <v>362</v>
      </c>
      <c r="F293" t="s">
        <v>162</v>
      </c>
      <c r="G293" s="42">
        <v>52065</v>
      </c>
      <c r="H293" t="s">
        <v>328</v>
      </c>
      <c r="I293" t="s">
        <v>362</v>
      </c>
    </row>
    <row r="294" spans="1:9">
      <c r="F294" t="s">
        <v>205</v>
      </c>
      <c r="G294" s="42">
        <v>176735</v>
      </c>
      <c r="H294" t="s">
        <v>328</v>
      </c>
      <c r="I294" t="s">
        <v>362</v>
      </c>
    </row>
    <row r="295" spans="1:9">
      <c r="A295" t="s">
        <v>203</v>
      </c>
      <c r="B295" s="42">
        <v>49945</v>
      </c>
      <c r="C295" t="s">
        <v>328</v>
      </c>
      <c r="D295" t="s">
        <v>362</v>
      </c>
      <c r="F295" t="s">
        <v>245</v>
      </c>
      <c r="G295" s="42">
        <v>167284</v>
      </c>
      <c r="H295" t="s">
        <v>328</v>
      </c>
      <c r="I295" t="s">
        <v>362</v>
      </c>
    </row>
    <row r="296" spans="1:9">
      <c r="A296" t="s">
        <v>155</v>
      </c>
      <c r="B296" s="42">
        <v>49999</v>
      </c>
      <c r="C296" t="s">
        <v>328</v>
      </c>
      <c r="D296" t="s">
        <v>362</v>
      </c>
      <c r="F296" t="s">
        <v>280</v>
      </c>
      <c r="G296" s="42">
        <v>18477</v>
      </c>
      <c r="H296" t="s">
        <v>328</v>
      </c>
      <c r="I296" t="s">
        <v>362</v>
      </c>
    </row>
    <row r="297" spans="1:9">
      <c r="A297" t="s">
        <v>224</v>
      </c>
      <c r="B297" s="42">
        <v>113532</v>
      </c>
      <c r="C297" t="s">
        <v>328</v>
      </c>
      <c r="D297" t="s">
        <v>362</v>
      </c>
      <c r="F297" t="s">
        <v>206</v>
      </c>
      <c r="G297" s="42">
        <v>76417</v>
      </c>
      <c r="H297" t="s">
        <v>328</v>
      </c>
      <c r="I297" t="s">
        <v>362</v>
      </c>
    </row>
    <row r="298" spans="1:9">
      <c r="A298" t="s">
        <v>249</v>
      </c>
      <c r="B298" s="42">
        <v>152524</v>
      </c>
      <c r="C298" t="s">
        <v>328</v>
      </c>
      <c r="D298" t="s">
        <v>362</v>
      </c>
      <c r="F298" t="s">
        <v>226</v>
      </c>
      <c r="G298" s="42">
        <v>38926</v>
      </c>
      <c r="H298" t="s">
        <v>328</v>
      </c>
      <c r="I298" t="s">
        <v>362</v>
      </c>
    </row>
    <row r="299" spans="1:9">
      <c r="A299" t="s">
        <v>241</v>
      </c>
      <c r="B299" s="42">
        <v>103431</v>
      </c>
      <c r="C299" t="s">
        <v>329</v>
      </c>
      <c r="D299" t="s">
        <v>362</v>
      </c>
      <c r="F299" t="s">
        <v>230</v>
      </c>
      <c r="G299" s="42">
        <v>26535</v>
      </c>
      <c r="H299" t="s">
        <v>328</v>
      </c>
      <c r="I299" t="s">
        <v>362</v>
      </c>
    </row>
    <row r="300" spans="1:9">
      <c r="A300" t="s">
        <v>243</v>
      </c>
      <c r="B300" s="42">
        <v>10000</v>
      </c>
      <c r="C300" t="s">
        <v>329</v>
      </c>
      <c r="D300" t="s">
        <v>362</v>
      </c>
      <c r="F300" t="s">
        <v>193</v>
      </c>
      <c r="G300" s="42">
        <v>7675</v>
      </c>
      <c r="H300" t="s">
        <v>328</v>
      </c>
      <c r="I300" t="s">
        <v>362</v>
      </c>
    </row>
    <row r="301" spans="1:9">
      <c r="A301" t="s">
        <v>204</v>
      </c>
      <c r="B301" s="42">
        <v>113257</v>
      </c>
      <c r="C301" t="s">
        <v>328</v>
      </c>
      <c r="D301" t="s">
        <v>362</v>
      </c>
      <c r="F301" t="s">
        <v>227</v>
      </c>
      <c r="G301" s="42">
        <v>88262</v>
      </c>
      <c r="H301" t="s">
        <v>328</v>
      </c>
      <c r="I301" t="s">
        <v>362</v>
      </c>
    </row>
    <row r="302" spans="1:9">
      <c r="A302" t="s">
        <v>162</v>
      </c>
      <c r="B302" s="42">
        <v>52065</v>
      </c>
      <c r="C302" t="s">
        <v>328</v>
      </c>
      <c r="D302" t="s">
        <v>362</v>
      </c>
      <c r="F302" t="s">
        <v>193</v>
      </c>
      <c r="G302" s="42">
        <v>30700</v>
      </c>
      <c r="H302" t="s">
        <v>328</v>
      </c>
      <c r="I302" t="s">
        <v>362</v>
      </c>
    </row>
    <row r="303" spans="1:9">
      <c r="A303" t="s">
        <v>205</v>
      </c>
      <c r="B303" s="42">
        <v>176735</v>
      </c>
      <c r="C303" t="s">
        <v>328</v>
      </c>
      <c r="D303" t="s">
        <v>362</v>
      </c>
      <c r="F303" t="s">
        <v>193</v>
      </c>
      <c r="G303" s="42">
        <v>29348</v>
      </c>
      <c r="H303" t="s">
        <v>328</v>
      </c>
      <c r="I303" t="s">
        <v>362</v>
      </c>
    </row>
    <row r="304" spans="1:9">
      <c r="A304" t="s">
        <v>245</v>
      </c>
      <c r="B304" s="42">
        <v>167284</v>
      </c>
      <c r="C304" t="s">
        <v>328</v>
      </c>
      <c r="D304" t="s">
        <v>362</v>
      </c>
      <c r="F304" t="s">
        <v>209</v>
      </c>
      <c r="G304" s="42">
        <v>54995</v>
      </c>
      <c r="H304" t="s">
        <v>328</v>
      </c>
      <c r="I304" t="s">
        <v>362</v>
      </c>
    </row>
    <row r="305" spans="1:9">
      <c r="A305" t="s">
        <v>280</v>
      </c>
      <c r="B305" s="42">
        <v>18477</v>
      </c>
      <c r="C305" t="s">
        <v>328</v>
      </c>
      <c r="D305" t="s">
        <v>362</v>
      </c>
      <c r="F305" t="s">
        <v>146</v>
      </c>
      <c r="G305" s="42">
        <v>70000</v>
      </c>
      <c r="H305" t="s">
        <v>328</v>
      </c>
      <c r="I305" t="s">
        <v>362</v>
      </c>
    </row>
    <row r="306" spans="1:9">
      <c r="A306" t="s">
        <v>206</v>
      </c>
      <c r="B306" s="42">
        <v>76417</v>
      </c>
      <c r="C306" t="s">
        <v>328</v>
      </c>
      <c r="D306" t="s">
        <v>362</v>
      </c>
      <c r="F306" t="s">
        <v>224</v>
      </c>
      <c r="G306" s="42">
        <v>117178</v>
      </c>
      <c r="H306" t="s">
        <v>328</v>
      </c>
      <c r="I306" t="s">
        <v>362</v>
      </c>
    </row>
    <row r="307" spans="1:9">
      <c r="A307" t="s">
        <v>226</v>
      </c>
      <c r="B307" s="42">
        <v>38926</v>
      </c>
      <c r="C307" t="s">
        <v>328</v>
      </c>
      <c r="D307" t="s">
        <v>362</v>
      </c>
      <c r="F307" t="s">
        <v>211</v>
      </c>
      <c r="G307" s="42">
        <v>90907</v>
      </c>
      <c r="H307" t="s">
        <v>328</v>
      </c>
      <c r="I307" t="s">
        <v>362</v>
      </c>
    </row>
    <row r="308" spans="1:9">
      <c r="A308" t="s">
        <v>230</v>
      </c>
      <c r="B308" s="42">
        <v>26535</v>
      </c>
      <c r="C308" t="s">
        <v>328</v>
      </c>
      <c r="D308" t="s">
        <v>362</v>
      </c>
      <c r="F308" t="s">
        <v>212</v>
      </c>
      <c r="G308" s="42">
        <v>54546</v>
      </c>
      <c r="H308" t="s">
        <v>328</v>
      </c>
      <c r="I308" t="s">
        <v>362</v>
      </c>
    </row>
    <row r="309" spans="1:9">
      <c r="A309" t="s">
        <v>193</v>
      </c>
      <c r="B309" s="42">
        <v>7675</v>
      </c>
      <c r="C309" t="s">
        <v>328</v>
      </c>
      <c r="D309" t="s">
        <v>362</v>
      </c>
      <c r="G309" s="42"/>
    </row>
    <row r="310" spans="1:9">
      <c r="G310" s="42"/>
    </row>
    <row r="311" spans="1:9">
      <c r="A311" t="s">
        <v>207</v>
      </c>
      <c r="B311" s="42">
        <v>3085323</v>
      </c>
      <c r="C311" s="44"/>
      <c r="D311" t="s">
        <v>362</v>
      </c>
      <c r="G311" s="42"/>
    </row>
    <row r="312" spans="1:9">
      <c r="A312" t="s">
        <v>227</v>
      </c>
      <c r="B312" s="42">
        <v>88262</v>
      </c>
      <c r="C312" t="s">
        <v>328</v>
      </c>
      <c r="D312" t="s">
        <v>362</v>
      </c>
      <c r="G312" s="42"/>
    </row>
    <row r="313" spans="1:9">
      <c r="A313" t="s">
        <v>234</v>
      </c>
      <c r="B313" s="42">
        <v>231839</v>
      </c>
      <c r="C313" t="s">
        <v>329</v>
      </c>
      <c r="D313" t="s">
        <v>362</v>
      </c>
      <c r="G313" s="42"/>
    </row>
    <row r="314" spans="1:9">
      <c r="A314" t="s">
        <v>193</v>
      </c>
      <c r="B314" s="42">
        <v>30700</v>
      </c>
      <c r="C314" t="s">
        <v>328</v>
      </c>
      <c r="D314" t="s">
        <v>362</v>
      </c>
      <c r="G314" s="42"/>
    </row>
    <row r="315" spans="1:9">
      <c r="A315" t="s">
        <v>208</v>
      </c>
      <c r="B315" s="42">
        <v>60828</v>
      </c>
      <c r="C315" t="s">
        <v>329</v>
      </c>
      <c r="D315" t="s">
        <v>362</v>
      </c>
      <c r="G315" s="42"/>
    </row>
    <row r="316" spans="1:9">
      <c r="A316" t="s">
        <v>193</v>
      </c>
      <c r="B316" s="42">
        <v>29348</v>
      </c>
      <c r="C316" t="s">
        <v>328</v>
      </c>
      <c r="D316" t="s">
        <v>362</v>
      </c>
      <c r="G316" s="42"/>
    </row>
    <row r="317" spans="1:9">
      <c r="A317" t="s">
        <v>209</v>
      </c>
      <c r="B317" s="42">
        <v>54995</v>
      </c>
      <c r="C317" t="s">
        <v>328</v>
      </c>
      <c r="D317" t="s">
        <v>362</v>
      </c>
      <c r="G317" s="42"/>
    </row>
    <row r="318" spans="1:9">
      <c r="A318" t="s">
        <v>237</v>
      </c>
      <c r="B318" s="42">
        <v>89864</v>
      </c>
      <c r="C318" t="s">
        <v>329</v>
      </c>
      <c r="D318" t="s">
        <v>362</v>
      </c>
      <c r="G318" s="42"/>
    </row>
    <row r="319" spans="1:9">
      <c r="A319" t="s">
        <v>210</v>
      </c>
      <c r="B319" s="42">
        <v>63306</v>
      </c>
      <c r="C319" t="s">
        <v>329</v>
      </c>
      <c r="D319" t="s">
        <v>362</v>
      </c>
      <c r="G319" s="42"/>
    </row>
    <row r="320" spans="1:9">
      <c r="A320" t="s">
        <v>146</v>
      </c>
      <c r="B320" s="42">
        <v>70000</v>
      </c>
      <c r="C320" t="s">
        <v>328</v>
      </c>
      <c r="D320" t="s">
        <v>362</v>
      </c>
      <c r="G320" s="42"/>
    </row>
    <row r="321" spans="1:7">
      <c r="A321" t="s">
        <v>224</v>
      </c>
      <c r="B321" s="42">
        <v>117178</v>
      </c>
      <c r="C321" t="s">
        <v>328</v>
      </c>
      <c r="D321" t="s">
        <v>362</v>
      </c>
      <c r="G321" s="42"/>
    </row>
    <row r="322" spans="1:7">
      <c r="A322" t="s">
        <v>211</v>
      </c>
      <c r="B322" s="42">
        <v>90907</v>
      </c>
      <c r="C322" t="s">
        <v>328</v>
      </c>
      <c r="D322" t="s">
        <v>362</v>
      </c>
      <c r="G322" s="42"/>
    </row>
    <row r="323" spans="1:7">
      <c r="A323" t="s">
        <v>331</v>
      </c>
      <c r="B323" s="42">
        <v>231688</v>
      </c>
      <c r="C323" t="s">
        <v>329</v>
      </c>
      <c r="D323" t="s">
        <v>362</v>
      </c>
      <c r="G323" s="42"/>
    </row>
    <row r="324" spans="1:7">
      <c r="A324" t="s">
        <v>239</v>
      </c>
      <c r="B324" s="42">
        <v>45339</v>
      </c>
      <c r="C324" t="s">
        <v>329</v>
      </c>
      <c r="D324" t="s">
        <v>362</v>
      </c>
      <c r="G324" s="42"/>
    </row>
    <row r="325" spans="1:7">
      <c r="A325" t="s">
        <v>212</v>
      </c>
      <c r="B325" s="42">
        <v>54546</v>
      </c>
      <c r="C325" t="s">
        <v>328</v>
      </c>
      <c r="D325" t="s">
        <v>362</v>
      </c>
      <c r="G325" s="42"/>
    </row>
    <row r="326" spans="1:7">
      <c r="G326" s="42"/>
    </row>
    <row r="327" spans="1:7">
      <c r="G327" s="42"/>
    </row>
    <row r="328" spans="1:7">
      <c r="G328" s="42"/>
    </row>
    <row r="329" spans="1:7">
      <c r="G329" s="42"/>
    </row>
  </sheetData>
  <pageMargins left="0.7" right="0.7" top="0.75" bottom="0.75" header="0.3" footer="0.3"/>
  <extLst>
    <ext xmlns:mx="http://schemas.microsoft.com/office/mac/excel/2008/main" uri="http://schemas.microsoft.com/office/mac/excel/2008/main">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B1"/>
  <sheetViews>
    <sheetView workbookViewId="0">
      <selection sqref="A1:IV65536"/>
    </sheetView>
  </sheetViews>
  <sheetFormatPr baseColWidth="10" defaultColWidth="8.83203125" defaultRowHeight="12"/>
  <cols>
    <col min="2" max="2" width="8.83203125" style="73"/>
  </cols>
  <sheetData/>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Legend</vt:lpstr>
      <vt:lpstr>1,2,4</vt:lpstr>
      <vt:lpstr>Figure 3</vt:lpstr>
      <vt:lpstr>Figure 5</vt:lpstr>
      <vt:lpstr>Figure 6</vt:lpstr>
      <vt:lpstr>Charter Archive File</vt:lpstr>
      <vt:lpstr>Charter Work File</vt:lpstr>
      <vt:lpstr>Sending District</vt:lpstr>
      <vt:lpstr>District Archive File</vt:lpstr>
      <vt:lpstr>Dist Work File</vt:lpstr>
      <vt:lpstr>Dist Food Sv &amp; Capital</vt:lpstr>
      <vt:lpstr>Adult</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Maloney</dc:creator>
  <cp:lastModifiedBy>Holmes Finch</cp:lastModifiedBy>
  <cp:lastPrinted>2010-03-07T16:30:43Z</cp:lastPrinted>
  <dcterms:created xsi:type="dcterms:W3CDTF">2008-08-28T18:22:56Z</dcterms:created>
  <dcterms:modified xsi:type="dcterms:W3CDTF">2010-05-20T16:43:49Z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