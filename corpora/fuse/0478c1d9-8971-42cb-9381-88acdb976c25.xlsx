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autoCompressPictures="0" defaultThemeVersion="124226"/>
  <bookViews>
    <workbookView xWindow="0" yWindow="0" windowWidth="15600" windowHeight="11760" firstSheet="15" activeTab="19"/>
  </bookViews>
  <sheets>
    <sheet name="Intro" sheetId="4" r:id="rId1"/>
    <sheet name="Worksheet" sheetId="25" r:id="rId2"/>
    <sheet name="1 Fiscal" sheetId="1" r:id="rId3"/>
    <sheet name="2 Membership Impact" sheetId="5" r:id="rId4"/>
    <sheet name="3 Ordeal Completion" sheetId="6" r:id="rId5"/>
    <sheet name="4 Brotherhood Conversion" sheetId="8" r:id="rId6"/>
    <sheet name="5 Membership Retention" sheetId="9" r:id="rId7"/>
    <sheet name="6 Unit Elections" sheetId="10" r:id="rId8"/>
    <sheet name="7 Attendance" sheetId="11" r:id="rId9"/>
    <sheet name="8 Communications" sheetId="12" r:id="rId10"/>
    <sheet name="9 Participation" sheetId="13" r:id="rId11"/>
    <sheet name="10 Planning" sheetId="14" r:id="rId12"/>
    <sheet name="11 Lodge Support" sheetId="16" r:id="rId13"/>
    <sheet name="12 Service Projects" sheetId="17" r:id="rId14"/>
    <sheet name="13 Camping Support" sheetId="18" r:id="rId15"/>
    <sheet name="14 Program Support" sheetId="19" r:id="rId16"/>
    <sheet name="15 BSA Designated Support" sheetId="20" r:id="rId17"/>
    <sheet name="16 Chapter Leadership" sheetId="21" r:id="rId18"/>
    <sheet name="17 Annual Report" sheetId="22" r:id="rId19"/>
    <sheet name="PETITION" sheetId="24" r:id="rId20"/>
    <sheet name="HIDE" sheetId="23" state="hidden" r:id="rId21"/>
  </sheets>
  <definedNames>
    <definedName name="_GoBack" localSheetId="19">PETITION!$D$32</definedName>
    <definedName name="_xlnm.Print_Area" localSheetId="15">'14 Program Support'!$A$1:$H$52</definedName>
    <definedName name="_xlnm.Print_Area" localSheetId="0">Intro!$A$1:$G$32</definedName>
    <definedName name="_xlnm.Print_Area" localSheetId="1">Worksheet!$A$1:$B$45</definedName>
    <definedName name="YNList">HIDE!$A$1:$A$2</definedName>
  </definedNames>
  <calcPr calcId="145621" concurrentCalc="0"/>
  <extLst>
    <ext xmlns:mx="http://schemas.microsoft.com/office/mac/excel/2008/main" uri="{7523E5D3-25F3-A5E0-1632-64F254C22452}">
      <mx:ArchID Flags="2"/>
    </ext>
  </extLst>
</workbook>
</file>

<file path=xl/calcChain.xml><?xml version="1.0" encoding="utf-8"?>
<calcChain xmlns="http://schemas.openxmlformats.org/spreadsheetml/2006/main">
  <c r="A45" i="25" l="1"/>
  <c r="A43" i="25"/>
  <c r="C8" i="24"/>
  <c r="G6" i="24"/>
  <c r="E6" i="24"/>
  <c r="C6" i="24"/>
  <c r="G4" i="24"/>
  <c r="E4" i="24"/>
  <c r="C4" i="24"/>
  <c r="C36" i="8"/>
  <c r="C19" i="8"/>
  <c r="D10" i="13"/>
  <c r="C16" i="11"/>
  <c r="C33" i="10"/>
  <c r="D35" i="9"/>
  <c r="H22" i="5"/>
  <c r="H9" i="5"/>
  <c r="C9" i="5"/>
  <c r="A55" i="24"/>
  <c r="A2" i="24"/>
  <c r="F34" i="21"/>
  <c r="F21" i="21"/>
  <c r="F35" i="21"/>
  <c r="C34" i="21"/>
  <c r="C32" i="21"/>
  <c r="C30" i="21"/>
  <c r="C21" i="21"/>
  <c r="C19" i="21"/>
  <c r="C17" i="21"/>
  <c r="F33" i="18"/>
  <c r="F27" i="18"/>
  <c r="C37" i="18"/>
  <c r="C35" i="18"/>
  <c r="C33" i="18"/>
  <c r="C31" i="18"/>
  <c r="C29" i="18"/>
  <c r="C27" i="18"/>
  <c r="C13" i="10"/>
  <c r="H13" i="10"/>
  <c r="F35" i="17"/>
  <c r="F37" i="17"/>
  <c r="F38" i="17"/>
  <c r="B35" i="17"/>
  <c r="H10" i="13"/>
  <c r="F15" i="13"/>
  <c r="E15" i="13"/>
  <c r="D15" i="13"/>
  <c r="H16" i="11"/>
  <c r="H33" i="6"/>
  <c r="H30" i="6"/>
  <c r="H18" i="6"/>
  <c r="H15" i="6"/>
  <c r="H33" i="8"/>
  <c r="H30" i="8"/>
  <c r="H16" i="8"/>
  <c r="H13" i="8"/>
  <c r="H33" i="9"/>
  <c r="H31" i="9"/>
  <c r="H19" i="9"/>
  <c r="H17" i="9"/>
  <c r="H15" i="9"/>
  <c r="A40" i="25"/>
  <c r="A38" i="25"/>
  <c r="A36" i="25"/>
  <c r="A34" i="25"/>
  <c r="A31" i="25"/>
  <c r="C33" i="6"/>
  <c r="A29" i="25"/>
  <c r="A27" i="25"/>
  <c r="A25" i="25"/>
  <c r="A22" i="25"/>
  <c r="A20" i="25"/>
  <c r="A18" i="25"/>
  <c r="F20" i="11"/>
  <c r="E20" i="11"/>
  <c r="D20" i="11"/>
  <c r="E35" i="10"/>
  <c r="E36" i="10"/>
  <c r="I21" i="24"/>
  <c r="H21" i="24"/>
  <c r="G21" i="24"/>
  <c r="C31" i="10"/>
  <c r="C29" i="10"/>
  <c r="F21" i="9"/>
  <c r="F35" i="9"/>
  <c r="F36" i="9"/>
  <c r="C33" i="9"/>
  <c r="C31" i="9"/>
  <c r="D21" i="9"/>
  <c r="C19" i="9"/>
  <c r="C17" i="9"/>
  <c r="C15" i="9"/>
  <c r="B9" i="9"/>
  <c r="E19" i="8"/>
  <c r="E36" i="8"/>
  <c r="E38" i="8"/>
  <c r="C33" i="8"/>
  <c r="C30" i="8"/>
  <c r="C16" i="8"/>
  <c r="C13" i="8"/>
  <c r="I18" i="24"/>
  <c r="H18" i="24"/>
  <c r="G18" i="24"/>
  <c r="E20" i="6"/>
  <c r="E35" i="6"/>
  <c r="E36" i="6"/>
  <c r="C30" i="6"/>
  <c r="C18" i="6"/>
  <c r="C15" i="6"/>
  <c r="C22" i="5"/>
  <c r="E28" i="5"/>
  <c r="E29" i="5"/>
  <c r="E30" i="5"/>
  <c r="E31" i="5"/>
  <c r="E32" i="5"/>
  <c r="I33" i="24"/>
  <c r="H33" i="24"/>
  <c r="G33" i="24"/>
  <c r="G33" i="19"/>
  <c r="G28" i="19"/>
  <c r="G23" i="19"/>
  <c r="G18" i="19"/>
  <c r="G13" i="19"/>
  <c r="F37" i="18"/>
  <c r="F31" i="18"/>
  <c r="F38" i="18"/>
  <c r="I31" i="24"/>
  <c r="H31" i="24"/>
  <c r="G31" i="24"/>
  <c r="G28" i="24"/>
  <c r="H28" i="24"/>
  <c r="I28" i="24"/>
  <c r="D14" i="24"/>
  <c r="F27" i="24"/>
  <c r="E27" i="24"/>
  <c r="D27" i="24"/>
  <c r="H17" i="13"/>
  <c r="H18" i="13"/>
  <c r="H19" i="13"/>
  <c r="H20" i="13"/>
  <c r="H21" i="13"/>
  <c r="H22" i="13"/>
  <c r="H23" i="13"/>
  <c r="H24" i="13"/>
  <c r="H25" i="13"/>
  <c r="H26" i="13"/>
  <c r="H27" i="13"/>
  <c r="H16" i="13"/>
  <c r="F38" i="19"/>
  <c r="G32" i="24"/>
  <c r="I26" i="24"/>
  <c r="H26" i="24"/>
  <c r="G26" i="24"/>
  <c r="F24" i="24"/>
  <c r="E24" i="24"/>
  <c r="D24" i="24"/>
  <c r="E33" i="11"/>
  <c r="F33" i="11"/>
  <c r="D33" i="11"/>
  <c r="G26" i="23"/>
  <c r="G29" i="23"/>
  <c r="C30" i="23"/>
  <c r="E30" i="23"/>
  <c r="F30" i="23"/>
  <c r="G30" i="23"/>
  <c r="I21" i="11"/>
  <c r="I26" i="11"/>
  <c r="I27" i="11"/>
  <c r="I28" i="11"/>
  <c r="I29" i="11"/>
  <c r="I30" i="11"/>
  <c r="I31" i="11"/>
  <c r="I22" i="11"/>
  <c r="I23" i="11"/>
  <c r="I24" i="11"/>
  <c r="I25" i="11"/>
  <c r="C22" i="23"/>
  <c r="D22" i="23"/>
  <c r="E22" i="23"/>
  <c r="F22" i="23"/>
  <c r="C23" i="23"/>
  <c r="D23" i="23"/>
  <c r="E23" i="23"/>
  <c r="F23" i="23"/>
  <c r="C24" i="23"/>
  <c r="D24" i="23"/>
  <c r="E24" i="23"/>
  <c r="F24" i="23"/>
  <c r="C25" i="23"/>
  <c r="D25" i="23"/>
  <c r="E25" i="23"/>
  <c r="F25" i="23"/>
  <c r="C27" i="23"/>
  <c r="D27" i="23"/>
  <c r="E27" i="23"/>
  <c r="F27" i="23"/>
  <c r="C28" i="23"/>
  <c r="D28" i="23"/>
  <c r="E28" i="23"/>
  <c r="F28" i="23"/>
  <c r="D30" i="23"/>
  <c r="C31" i="23"/>
  <c r="D31" i="23"/>
  <c r="E31" i="23"/>
  <c r="F31" i="23"/>
  <c r="G31" i="23"/>
  <c r="D21" i="23"/>
  <c r="E21" i="23"/>
  <c r="F21" i="23"/>
  <c r="C21" i="23"/>
  <c r="H22" i="11"/>
  <c r="H23" i="11"/>
  <c r="H24" i="11"/>
  <c r="H25" i="11"/>
  <c r="H26" i="11"/>
  <c r="H27" i="11"/>
  <c r="H28" i="11"/>
  <c r="H29" i="11"/>
  <c r="H30" i="11"/>
  <c r="H31" i="11"/>
  <c r="H21" i="11"/>
  <c r="F14" i="24"/>
  <c r="E14" i="24"/>
  <c r="G13" i="24"/>
  <c r="G16" i="13"/>
  <c r="E29" i="13"/>
  <c r="E30" i="13"/>
  <c r="G18" i="13"/>
  <c r="G17" i="13"/>
  <c r="I17" i="13"/>
  <c r="I18" i="13"/>
  <c r="I19" i="13"/>
  <c r="I20" i="13"/>
  <c r="I21" i="13"/>
  <c r="I22" i="13"/>
  <c r="I23" i="13"/>
  <c r="I24" i="13"/>
  <c r="I25" i="13"/>
  <c r="I26" i="13"/>
  <c r="I27" i="13"/>
  <c r="I16" i="13"/>
  <c r="G33" i="17"/>
  <c r="F51" i="22"/>
  <c r="G22" i="13"/>
  <c r="G21" i="13"/>
  <c r="G23" i="13"/>
  <c r="G24" i="13"/>
  <c r="G25" i="13"/>
  <c r="G26" i="13"/>
  <c r="G27" i="13"/>
  <c r="G20" i="13"/>
  <c r="G19" i="13"/>
  <c r="H36" i="24"/>
  <c r="I36" i="24"/>
  <c r="G36" i="24"/>
  <c r="I32" i="24"/>
  <c r="H32" i="24"/>
  <c r="G30" i="24"/>
  <c r="H30" i="24"/>
  <c r="I30" i="24"/>
  <c r="H28" i="13"/>
  <c r="G32" i="13"/>
  <c r="I13" i="24"/>
  <c r="I23" i="24"/>
  <c r="G23" i="24"/>
  <c r="H23" i="24"/>
  <c r="H33" i="11"/>
  <c r="G21" i="23"/>
  <c r="G24" i="23"/>
  <c r="G23" i="23"/>
  <c r="G22" i="23"/>
  <c r="G25" i="23"/>
  <c r="G28" i="23"/>
  <c r="G27" i="23"/>
  <c r="H13" i="24"/>
  <c r="H17" i="24"/>
  <c r="G17" i="24"/>
  <c r="I17" i="24"/>
  <c r="I35" i="24"/>
  <c r="H35" i="24"/>
  <c r="G35" i="24"/>
  <c r="B32" i="13"/>
  <c r="I25" i="24"/>
  <c r="H25" i="24"/>
  <c r="G25" i="24"/>
  <c r="I33" i="11"/>
  <c r="I34" i="11"/>
  <c r="H19" i="24"/>
  <c r="I19" i="24"/>
  <c r="G19" i="24"/>
  <c r="H16" i="24"/>
  <c r="I16" i="24"/>
  <c r="G16" i="24"/>
  <c r="G22" i="24"/>
  <c r="G37" i="24"/>
  <c r="H22" i="24"/>
  <c r="H37" i="24"/>
  <c r="I22" i="24"/>
  <c r="I37" i="24"/>
  <c r="I38" i="24"/>
  <c r="D38" i="24"/>
</calcChain>
</file>

<file path=xl/sharedStrings.xml><?xml version="1.0" encoding="utf-8"?>
<sst xmlns="http://schemas.openxmlformats.org/spreadsheetml/2006/main" count="543" uniqueCount="319">
  <si>
    <t>Scouting's Journey to Excellence</t>
  </si>
  <si>
    <t>Order of the Arrow Chapter Performance Recognition Program</t>
  </si>
  <si>
    <t>Bronze</t>
  </si>
  <si>
    <t>Silver</t>
  </si>
  <si>
    <t>Gold</t>
  </si>
  <si>
    <t>Establish financial target(s) for the chapter</t>
  </si>
  <si>
    <t>Meet the chapter’s financial target(s)</t>
  </si>
  <si>
    <t>Exceed the chapter’s financial target(s)</t>
  </si>
  <si>
    <t>What steps must the chapter take before this item is accomplished?</t>
  </si>
  <si>
    <t>What specific financial target(s) should the chapter aim for next year?</t>
  </si>
  <si>
    <t>What specifically contributed to the chapter exceeding its financial target(s)?</t>
  </si>
  <si>
    <t>Grow membership by at least 1</t>
  </si>
  <si>
    <t>Grow membership by at least 1%</t>
  </si>
  <si>
    <t>Date Goal Made</t>
  </si>
  <si>
    <t>What specific financial target(s) will the chapter meet?</t>
  </si>
  <si>
    <t>Set the Goal</t>
  </si>
  <si>
    <t>Plan Acheivement</t>
  </si>
  <si>
    <t>Meet the Goal</t>
  </si>
  <si>
    <t>Date Goal Met</t>
  </si>
  <si>
    <t>What steps did the chapter take to meet the chapter's financial target(s)?</t>
  </si>
  <si>
    <t>Exceed the Goal</t>
  </si>
  <si>
    <t>Date Goal Exceeded</t>
  </si>
  <si>
    <t>Plan for Next Year</t>
  </si>
  <si>
    <r>
      <t xml:space="preserve">Membership Impact: </t>
    </r>
    <r>
      <rPr>
        <sz val="10"/>
        <rFont val="Arial"/>
      </rPr>
      <t xml:space="preserve"> Experience positive growth in membership in the chapter over the previous year. [</t>
    </r>
    <r>
      <rPr>
        <b/>
        <i/>
        <sz val="10"/>
        <rFont val="Arial"/>
        <family val="2"/>
      </rPr>
      <t>REQUIRED</t>
    </r>
    <r>
      <rPr>
        <sz val="10"/>
        <rFont val="Arial"/>
      </rPr>
      <t>]</t>
    </r>
  </si>
  <si>
    <r>
      <t>Fiscal Management:</t>
    </r>
    <r>
      <rPr>
        <sz val="10"/>
        <rFont val="Arial"/>
      </rPr>
      <t xml:space="preserve">  Manage chapter revenue and expense according to council-lodge established procedures and leadership.</t>
    </r>
  </si>
  <si>
    <t>Depending on lodge/council procedures, chapters may or may not have funds or develop annual budgets.  The key factor is:  Does your chapter follow your lodge’s and/or council’s budgeting and accounting procedures in establishing its budget or financial targets?  A financial target could be having and executing a budget for a specific chapter program/event, or it could be having and executing an annual chapter budget.  Award points based on the chapter’s success at following lodge/council policies and in setting and/or achieving the established financial target.</t>
  </si>
  <si>
    <t>Identify the Benchmark</t>
  </si>
  <si>
    <t>What specific steps will the chapter take to grow membership in the chapter?</t>
  </si>
  <si>
    <t>Evaluate Success</t>
  </si>
  <si>
    <t>Benchmark:</t>
  </si>
  <si>
    <t>This year:</t>
  </si>
  <si>
    <t>Growth Percentage:</t>
  </si>
  <si>
    <t>Growth (members):</t>
  </si>
  <si>
    <r>
      <t xml:space="preserve">Ordeal completion: </t>
    </r>
    <r>
      <rPr>
        <sz val="10"/>
        <rFont val="Arial"/>
      </rPr>
      <t>Complete induction of elected Ordeal candidates.</t>
    </r>
  </si>
  <si>
    <t>What actions were successful or unsuccessful in achieving growth?</t>
  </si>
  <si>
    <t>Reflect on Achievement</t>
  </si>
  <si>
    <t>What should the chapter change next year to achieve maximum growth?</t>
  </si>
  <si>
    <t>Plan Achievement</t>
  </si>
  <si>
    <t>Ordeal candidates from either lodge- or chapter-run inductions and ceremonies, as determined by the lodge and/or council, should be counted.</t>
  </si>
  <si>
    <t>Percentage of candidates inducted last year:</t>
  </si>
  <si>
    <t>What specific steps can the chapter take to ensure as many candidates as possible are inducted this year?</t>
  </si>
  <si>
    <t>Percentage of candidates inducted this year:</t>
  </si>
  <si>
    <t>How can the chapter improve its induction percentage next year?</t>
  </si>
  <si>
    <t>What caused candidates not to go through the Ordeal?  How do you know?</t>
  </si>
  <si>
    <t>Reflect on Acheivement</t>
  </si>
  <si>
    <r>
      <t xml:space="preserve">Brotherhood conversion:  </t>
    </r>
    <r>
      <rPr>
        <sz val="10"/>
        <rFont val="Arial"/>
      </rPr>
      <t>Convert eligible Ordeal members to Brotherhood
[</t>
    </r>
    <r>
      <rPr>
        <b/>
        <i/>
        <sz val="10"/>
        <rFont val="Arial"/>
        <family val="2"/>
      </rPr>
      <t>REQUIRED</t>
    </r>
    <r>
      <rPr>
        <sz val="10"/>
        <rFont val="Arial"/>
      </rPr>
      <t>]</t>
    </r>
  </si>
  <si>
    <t>Brotherhood candidates from either lodge or chapter run ceremonies, as determined by the lodge and/or council, should be counted.</t>
  </si>
  <si>
    <t>What specific steps can the chapter take to ensure as many Ordeal members as possible seal their membership this year?</t>
  </si>
  <si>
    <t>How can the chapter improve its Brotherhood conversion next year?</t>
  </si>
  <si>
    <t>What caused Ordeal members not to go through the Brotherhood ceremony?  How do you know?</t>
  </si>
  <si>
    <r>
      <t xml:space="preserve">Membership retention: </t>
    </r>
    <r>
      <rPr>
        <sz val="10"/>
        <rFont val="Arial"/>
      </rPr>
      <t xml:space="preserve"> Improve retention rate of chapter members.</t>
    </r>
  </si>
  <si>
    <t>What specific steps can the chapter take to ensure as many of last year's members remain paid, active members?</t>
  </si>
  <si>
    <t>Last year's achievement</t>
  </si>
  <si>
    <t>What caused last year's members not to return as paid, active members this year?</t>
  </si>
  <si>
    <t>How can the chapter improve its membership retention next year?</t>
  </si>
  <si>
    <r>
      <rPr>
        <b/>
        <sz val="10"/>
        <rFont val="Arial"/>
        <family val="2"/>
      </rPr>
      <t>Unit elections</t>
    </r>
    <r>
      <rPr>
        <sz val="10"/>
        <rFont val="Arial"/>
      </rPr>
      <t>:  Conduct unit elections in district troops and teams desiring them.</t>
    </r>
  </si>
  <si>
    <t>Complete elections for at least 90% of requesting units</t>
  </si>
  <si>
    <t>Complete elections for at least 95% of requesting units</t>
  </si>
  <si>
    <t>Complete elections for 100% of requesting units</t>
  </si>
  <si>
    <t>All troops and teams must have been contacted and given the opportunity to request an election. Election teams must be trained, all team members in proper uniform during each unit election, and team members must be from units other than the one for which the election is being held.</t>
  </si>
  <si>
    <t>Unit Election Percentage:</t>
  </si>
  <si>
    <t>What is the chapter's plan to contract every troop and team in the district?</t>
  </si>
  <si>
    <t>Goal date to contact each unit</t>
  </si>
  <si>
    <t>Analyze the effectiveness of the chapter's efforts.</t>
  </si>
  <si>
    <t>Describe the plan to conduct an election in each unit requesting one.</t>
  </si>
  <si>
    <t>How can the chapter achieve success more efficiently next year?</t>
  </si>
  <si>
    <r>
      <rPr>
        <b/>
        <sz val="10"/>
        <rFont val="Arial"/>
        <family val="2"/>
      </rPr>
      <t>Lodge, section and national OA event attendance:</t>
    </r>
    <r>
      <rPr>
        <sz val="10"/>
        <rFont val="Arial"/>
      </rPr>
      <t xml:space="preserve">  Attend lodge, section and national OA events.</t>
    </r>
  </si>
  <si>
    <t>Chapters should support lodge events.  Chapter member representation at section and national events or an OA High Adventure program is not required, but counts toward goal achievement when it occurs.  The intent of this criterion is to encourage the chapter to set and meet a goal for participation in lodge events, and for chapters to support the lodge in reaching its goals for these events.</t>
  </si>
  <si>
    <t>Set and achieve a chapter attendance goal for OA events</t>
  </si>
  <si>
    <t>Lodge Events</t>
  </si>
  <si>
    <t>1.</t>
  </si>
  <si>
    <t>2.</t>
  </si>
  <si>
    <t>3.</t>
  </si>
  <si>
    <t>4.</t>
  </si>
  <si>
    <t>5.</t>
  </si>
  <si>
    <t>Section Events</t>
  </si>
  <si>
    <t>National Events</t>
  </si>
  <si>
    <t>Previous Year's Attendance</t>
  </si>
  <si>
    <t>This Year's Goal</t>
  </si>
  <si>
    <t>This Year's Actual Attendance</t>
  </si>
  <si>
    <t>Goal Achievement</t>
  </si>
  <si>
    <t>Goal Set?</t>
  </si>
  <si>
    <t>How can the chapter improve attendance next year?</t>
  </si>
  <si>
    <r>
      <rPr>
        <b/>
        <sz val="10"/>
        <rFont val="Arial"/>
        <family val="2"/>
      </rPr>
      <t xml:space="preserve">Chapter communications: </t>
    </r>
    <r>
      <rPr>
        <sz val="10"/>
        <rFont val="Arial"/>
      </rPr>
      <t xml:space="preserve"> Maintain active communications within the chapter.</t>
    </r>
  </si>
  <si>
    <t>Have and follow a written chapter communication plan</t>
  </si>
  <si>
    <t>Contribute to the lodge and/or council newsletter or website</t>
  </si>
  <si>
    <t>Communicate regularly with unit OA representatives</t>
  </si>
  <si>
    <t>Describe the Plan</t>
  </si>
  <si>
    <t>How will the chapter remain accountable for following its communication plan?</t>
  </si>
  <si>
    <t>Plan for Success</t>
  </si>
  <si>
    <t>Did the chapter maintain a communication plan?</t>
  </si>
  <si>
    <t>Did the chapter follow the communication plan?</t>
  </si>
  <si>
    <t>Did the chapter regularly communicate with unit OA representatives?</t>
  </si>
  <si>
    <t>Did the chapter contribute to the lodge and/or council newsletter or website?</t>
  </si>
  <si>
    <t>Evaluate Achievement</t>
  </si>
  <si>
    <t>What obstacles did the chapter face when trying to follow its communication plan?</t>
  </si>
  <si>
    <t>What should the chapter do differently next year?  What additional support is needed?</t>
  </si>
  <si>
    <t>Reflect on Difficulties</t>
  </si>
  <si>
    <r>
      <rPr>
        <b/>
        <sz val="10"/>
        <rFont val="Arial"/>
        <family val="2"/>
      </rPr>
      <t>Chapter meetings and event participation:</t>
    </r>
    <r>
      <rPr>
        <sz val="10"/>
        <rFont val="Arial"/>
      </rPr>
      <t xml:space="preserve">  Improve chapter membership participation at chapter meetings and events.</t>
    </r>
  </si>
  <si>
    <t>List the lodge, section and national OA events at which the chapter will be represented.</t>
  </si>
  <si>
    <t>Exceed the chapter attendance goal by 20%</t>
  </si>
  <si>
    <t>Exceed the chapter attendance goal by 30%</t>
  </si>
  <si>
    <t>List the chapter meetings and events where all chapter members are invited to attend.</t>
  </si>
  <si>
    <t>6.</t>
  </si>
  <si>
    <t>7.</t>
  </si>
  <si>
    <t>8.</t>
  </si>
  <si>
    <t>9.</t>
  </si>
  <si>
    <t>10.</t>
  </si>
  <si>
    <t>11.</t>
  </si>
  <si>
    <t>12.</t>
  </si>
  <si>
    <t>Exceed the chapter attendance goal by 10%</t>
  </si>
  <si>
    <t>Percentage of chapter membership in attendance</t>
  </si>
  <si>
    <t>Average Attendance Goal</t>
  </si>
  <si>
    <t>Actual Average Attendance Percentage</t>
  </si>
  <si>
    <r>
      <rPr>
        <b/>
        <sz val="10"/>
        <rFont val="Arial"/>
        <family val="2"/>
      </rPr>
      <t>Chapter planning:</t>
    </r>
    <r>
      <rPr>
        <sz val="10"/>
        <rFont val="Arial"/>
      </rPr>
      <t xml:space="preserve"> Maintain an active planning process that guides chapter program and supports the lodge’s plans.</t>
    </r>
  </si>
  <si>
    <t>Have a written annual plan approved by the lodge executive committee; submit approved plan to district committee and/or executive.</t>
  </si>
  <si>
    <t>Conduct an annual review and update of your plan, in conjunction with your lodge’s plan</t>
  </si>
  <si>
    <t>Meet with the district committee and/or executive to review/update your plan</t>
  </si>
  <si>
    <r>
      <t xml:space="preserve">Provide a brief overview of the chapter's written communication plan.  Include how the chapter will communicate regularly with the unit OA representatives.  Provide a plan for contributing to the lodge and/or council newsletter or website.  </t>
    </r>
    <r>
      <rPr>
        <i/>
        <sz val="10"/>
        <rFont val="Arial"/>
        <family val="2"/>
      </rPr>
      <t>Attach the actual plan to the annual lodge report.</t>
    </r>
  </si>
  <si>
    <t>Did the chapter create a written annual plan?</t>
  </si>
  <si>
    <t>Did the lodge executive committee approve the chapter's written annual plan?</t>
  </si>
  <si>
    <t>Did the chapter submit the approved plan to the district committee and/or district executive?</t>
  </si>
  <si>
    <t>On what date?</t>
  </si>
  <si>
    <t>Did the chapter conduct an annual review and update of the plan?</t>
  </si>
  <si>
    <t>Did the chapter chief and adviser meet with the district committee and/or district executive to review/update the plan?</t>
  </si>
  <si>
    <t>Analyze the Past</t>
  </si>
  <si>
    <t>What benefits did the chapter realize from maintaining a written annual plan?</t>
  </si>
  <si>
    <t>How can the chapter achieve this goal more efficiently next year?</t>
  </si>
  <si>
    <r>
      <t xml:space="preserve">Lodge designated support: </t>
    </r>
    <r>
      <rPr>
        <sz val="10"/>
        <rFont val="Arial"/>
      </rPr>
      <t>Complete lodge executive committee designated programs or projects.</t>
    </r>
  </si>
  <si>
    <t>Complete one program or project</t>
  </si>
  <si>
    <t>Complete two programs or projects</t>
  </si>
  <si>
    <t>Complete three programs or projects</t>
  </si>
  <si>
    <t>Lodge executive committee and/or lodge leadership designated programs or projects are to be developed in conjunction with the lodge leadership and in support of the lodge’s work.  Here are some examples of lodge executive committee designated programs or projects:</t>
  </si>
  <si>
    <t>The chapter holds a training session for OA Troop/Team Representative positions and communicates with those representatives regularly.</t>
  </si>
  <si>
    <t>The chapter leadership attends at least 50% of lodge executive committee meetings and presents reports of chapter activities.</t>
  </si>
  <si>
    <t>The chapter will provide at least two members to serve on lodge committees.</t>
  </si>
  <si>
    <t>The chapter holds at least three meetings a year and focuses on FUN and FELLOWSHIP for at least half of each chapter meeting.</t>
  </si>
  <si>
    <t>•</t>
  </si>
  <si>
    <t>List the programs or projects the lodge executive committee designated to the chapter</t>
  </si>
  <si>
    <t>When did the LEC designate this program or project?</t>
  </si>
  <si>
    <t>When did the chapter complete the program or project?</t>
  </si>
  <si>
    <t>What benefit did these projects have?  What should the chapter focus on next year?</t>
  </si>
  <si>
    <r>
      <t xml:space="preserve">At least one district/council service project </t>
    </r>
    <r>
      <rPr>
        <b/>
        <i/>
        <u/>
        <sz val="10"/>
        <rFont val="Arial"/>
        <family val="2"/>
      </rPr>
      <t>and</t>
    </r>
    <r>
      <rPr>
        <i/>
        <sz val="10"/>
        <rFont val="Arial"/>
        <family val="2"/>
      </rPr>
      <t xml:space="preserve"> one community service project must be conducted and a written report of each project included in the chapter’s annual report.</t>
    </r>
  </si>
  <si>
    <r>
      <t xml:space="preserve">List the required </t>
    </r>
    <r>
      <rPr>
        <b/>
        <u/>
        <sz val="10"/>
        <rFont val="Arial"/>
        <family val="2"/>
      </rPr>
      <t>district/council</t>
    </r>
    <r>
      <rPr>
        <sz val="10"/>
        <rFont val="Arial"/>
      </rPr>
      <t xml:space="preserve"> service project.</t>
    </r>
  </si>
  <si>
    <r>
      <t xml:space="preserve">List the required </t>
    </r>
    <r>
      <rPr>
        <b/>
        <u/>
        <sz val="10"/>
        <rFont val="Arial"/>
        <family val="2"/>
      </rPr>
      <t>community</t>
    </r>
    <r>
      <rPr>
        <sz val="10"/>
        <rFont val="Arial"/>
      </rPr>
      <t xml:space="preserve"> service project.</t>
    </r>
  </si>
  <si>
    <t>Date Completed</t>
  </si>
  <si>
    <t>Man-Hours</t>
  </si>
  <si>
    <t># of Participants</t>
  </si>
  <si>
    <t>List additional project.</t>
  </si>
  <si>
    <t>Report Attached?</t>
  </si>
  <si>
    <t>Number of service hours performed per chapter member.</t>
  </si>
  <si>
    <t>Reflect on how meaningful these projects were.  What should the chapter do differently next year?  Could the chapter have an even larger influence?</t>
  </si>
  <si>
    <r>
      <rPr>
        <b/>
        <sz val="10"/>
        <rFont val="Arial"/>
        <family val="2"/>
      </rPr>
      <t>District/council camping support:</t>
    </r>
    <r>
      <rPr>
        <sz val="10"/>
        <rFont val="Arial"/>
      </rPr>
      <t xml:space="preserve"> Conduct camp promotion contacts to district troops and teams.</t>
    </r>
  </si>
  <si>
    <t>Complete contacts to at least 75% of units or 3% increase</t>
  </si>
  <si>
    <t>Complete contacts to at least 80% of units or 3% increase over 75%</t>
  </si>
  <si>
    <t>Complete contacts to at least 85% of units or 3% increase over 80%</t>
  </si>
  <si>
    <t>What constitutes an acceptable contact under this category is determined by the Scout Executive or the council’s camping committee if delegated by the Scout Executive.</t>
  </si>
  <si>
    <t>How does the Scout Executive or council's camping committee define "acceptable contact" for purposes of this item?</t>
  </si>
  <si>
    <t>Who determined "acceptable contact"?  The Scout Executive or the council's camping committee?</t>
  </si>
  <si>
    <t>When was the determination made?</t>
  </si>
  <si>
    <t>Identify Benchmark</t>
  </si>
  <si>
    <t>How can the chapter better serve the district in promoting camping next year?</t>
  </si>
  <si>
    <r>
      <t xml:space="preserve">District/council program support:  </t>
    </r>
    <r>
      <rPr>
        <sz val="10"/>
        <rFont val="Arial"/>
      </rPr>
      <t>Provide OA member staff support for district and/or council program events.</t>
    </r>
  </si>
  <si>
    <t>Complete one project</t>
  </si>
  <si>
    <t>Complete two projects</t>
  </si>
  <si>
    <t>Complete three projects</t>
  </si>
  <si>
    <t>Support two district and/or council events</t>
  </si>
  <si>
    <t>Support three district and/or council events</t>
  </si>
  <si>
    <t>Support five district and/or council events</t>
  </si>
  <si>
    <t>List the district and/or council program events for which the chapter provided support.</t>
  </si>
  <si>
    <t>Date</t>
  </si>
  <si>
    <t>Analyze Impact</t>
  </si>
  <si>
    <t>What specific benefits did the chapter provide to the district?</t>
  </si>
  <si>
    <t>How can the chapter provide an even broader impact in the district or chapter next year?</t>
  </si>
  <si>
    <r>
      <t xml:space="preserve">District/council designated support: </t>
    </r>
    <r>
      <rPr>
        <sz val="10"/>
        <rFont val="Arial"/>
      </rPr>
      <t>Complete district executive and/or Scout Executive designated program support projects.</t>
    </r>
  </si>
  <si>
    <t>District executive/Scout Executive designated program support projects are to be developed during a meeting with the lodge and/or chapter Key 3 with consideration for both the current local council and national Order of the Arrow strategic plans.  Here are some examples of district executive/Scout Executive designated programs or projects:</t>
  </si>
  <si>
    <t>The chapter is to hold its chapter meetings on the same night and at the same location as the district roundtable for Scoutmasters.</t>
  </si>
  <si>
    <t>The chapter holds a chapter meeting or gathering at a district event such as a camporee.</t>
  </si>
  <si>
    <t>The chapter is to provide manpower, resources, and/or program assistance in support of the district Cub Scout outdoor program or conducts at least two Cub Scout/Webelos Arrow of Light crossover ceremonies for Cub Scout packs requesting them.</t>
  </si>
  <si>
    <t>The chapter is to conduct a call out ceremony during the campfire at the district camporee.</t>
  </si>
  <si>
    <t>The chapter Key 3 is to meet with the district executive at least quarterly to discuss progress in the chapter.</t>
  </si>
  <si>
    <t>List the programs or projects the district/Scout Executive designated to the chapter</t>
  </si>
  <si>
    <t>When did the executive designate this program or project?</t>
  </si>
  <si>
    <r>
      <rPr>
        <b/>
        <sz val="10"/>
        <rFont val="Arial"/>
        <family val="2"/>
      </rPr>
      <t xml:space="preserve">Chapter leadership: </t>
    </r>
    <r>
      <rPr>
        <sz val="10"/>
        <rFont val="Arial"/>
      </rPr>
      <t xml:space="preserve"> Participate in and/or conduct at least one LLD during the year with qualified instructors using current material.</t>
    </r>
  </si>
  <si>
    <t>LLD courses must be conducted at either the lodge or chapter level, with qualified instructors and using current LLD materials (see www.oa-bsa.org), to train chapter officers, committee chairmen and their advisers.  Eligible participants include elected and appointed youth members of the LEC and their advisers.</t>
  </si>
  <si>
    <t>Number and dates of LLDs conducted during this year with qualified instructors and current material</t>
  </si>
  <si>
    <t>What is the number one area of training most needed in the chapter?</t>
  </si>
  <si>
    <r>
      <t xml:space="preserve">Annual report:  </t>
    </r>
    <r>
      <rPr>
        <sz val="10"/>
        <rFont val="Arial"/>
      </rPr>
      <t>Submit a written annual report of chapter accomplishments to the lodge executive committee and/or district committee.</t>
    </r>
  </si>
  <si>
    <t>Written report submitted to the lodge executive committee and district committee and/or executive</t>
  </si>
  <si>
    <t>Written and verbal report given to Scoutmasters at roundtable by the chapter chief</t>
  </si>
  <si>
    <t>Written and verbal report given to the lodge executive committee and district committee and/or executive by the chapter chief</t>
  </si>
  <si>
    <t>Chapters should present and submit a written report of their accomplishments to the lodge executive committee and/or district committee.  This Southern Region Annual Report Template should provide the chapter with a method of organizing concepts for the annual report.  Use this template to help form the annual report, identify the chapter's strengths and weaknesses, and plan for the next year.</t>
  </si>
  <si>
    <t>What is the chapter's goal regarding when the written report is completed?</t>
  </si>
  <si>
    <t>List the steps, in back-dater format, to submitting the written report by the goal stated above.</t>
  </si>
  <si>
    <t>Written report submitted to LEC</t>
  </si>
  <si>
    <t>Written report submitted to Scoutmasters at roundtable</t>
  </si>
  <si>
    <t>Y/N</t>
  </si>
  <si>
    <t>By Chapter Chief?</t>
  </si>
  <si>
    <t>Verbal report given to Scoutmasters at roundtable</t>
  </si>
  <si>
    <t>Verbal report given to LEC</t>
  </si>
  <si>
    <t>Written report submitted to district committee and/or district executive</t>
  </si>
  <si>
    <t>Verbal report given to district committee and/or district executive</t>
  </si>
  <si>
    <t>Yes</t>
  </si>
  <si>
    <t>No</t>
  </si>
  <si>
    <t>Chapter Journey to Excellence Interactive Guide</t>
  </si>
  <si>
    <r>
      <t>How to Use this Guide</t>
    </r>
    <r>
      <rPr>
        <sz val="10"/>
        <rFont val="Arial"/>
      </rPr>
      <t xml:space="preserve">:  Each of the chapter JTE's seventeen "items" are represented as "tabs" in this Excel spreadsheet.  Each chapter should use this interactive guide in different ways throughout the year:
</t>
    </r>
    <r>
      <rPr>
        <b/>
        <sz val="10"/>
        <rFont val="Arial"/>
        <family val="2"/>
      </rPr>
      <t>At the beginning of the year.</t>
    </r>
    <r>
      <rPr>
        <sz val="10"/>
        <rFont val="Arial"/>
      </rPr>
      <t xml:space="preserve">  Every chapter should become intimately familiar with this guide at the beginning of the year, and use it to set and document the chapter's goals.  The guide highlights the information the chapter must track, and identifies the goals the chapter sets for itself.
</t>
    </r>
    <r>
      <rPr>
        <b/>
        <sz val="10"/>
        <rFont val="Arial"/>
        <family val="2"/>
      </rPr>
      <t>Throughout the year.</t>
    </r>
    <r>
      <rPr>
        <sz val="10"/>
        <rFont val="Arial"/>
      </rPr>
      <t xml:space="preserve">  As the year progresses, each chapter should update the guide to track the chapter's progress.  The guide will update in real-time to inform the chapter how the chapter in performing on its Journey to Excellence.
</t>
    </r>
    <r>
      <rPr>
        <b/>
        <sz val="10"/>
        <rFont val="Arial"/>
        <family val="2"/>
      </rPr>
      <t>Toward the end of the year.</t>
    </r>
    <r>
      <rPr>
        <sz val="10"/>
        <rFont val="Arial"/>
      </rPr>
      <t xml:space="preserve">  At the end of the year, chapters can consult this guide to help create the annual report in item 17, as well as to facilitate submitting an accurate JTE petition.  The guide uses embedded formulas to calculate all of the necessary information, meaning the chapter can focus on inputting accurate data, and not on the math.</t>
    </r>
  </si>
  <si>
    <t>Chapter</t>
  </si>
  <si>
    <t>Lodge</t>
  </si>
  <si>
    <t>Council</t>
  </si>
  <si>
    <t>Chapter Chief</t>
  </si>
  <si>
    <t>Chapter Adviser</t>
  </si>
  <si>
    <t>Staff Adviser</t>
  </si>
  <si>
    <t>Item #</t>
  </si>
  <si>
    <t>Objective</t>
  </si>
  <si>
    <t>Bronze level</t>
  </si>
  <si>
    <t>Silver level</t>
  </si>
  <si>
    <t>Gold level</t>
  </si>
  <si>
    <t>Bronze points</t>
  </si>
  <si>
    <t>Silver points</t>
  </si>
  <si>
    <t>Gold points</t>
  </si>
  <si>
    <t>Finance</t>
  </si>
  <si>
    <t>Meet the chapter's financial target(s)</t>
  </si>
  <si>
    <t>Exceed the chapter's financial target(s)</t>
  </si>
  <si>
    <t>Membership</t>
  </si>
  <si>
    <t xml:space="preserve">Grow membership by at least 1% </t>
  </si>
  <si>
    <t>Program</t>
  </si>
  <si>
    <t>Set and achieve  a  chapter attendance goal for OA events</t>
  </si>
  <si>
    <t>Exceed the chapter attendance goal  by 10%</t>
  </si>
  <si>
    <t>Exceed the chapter attendance goal  by 20%</t>
  </si>
  <si>
    <t>Communicate regularly with unit OA troop representatives</t>
  </si>
  <si>
    <t>Set and achieve a chapter attendance goal for chapter meetings or events</t>
  </si>
  <si>
    <t>Have a written annual plan approved by the lodge executive committee; submit approved plan to district committee and/or executive</t>
  </si>
  <si>
    <t>Meet with the district committee and/or executive to review/ update your plan</t>
  </si>
  <si>
    <t>District and Council service</t>
  </si>
  <si>
    <t>Leadership and governance</t>
  </si>
  <si>
    <t>Total achieved</t>
  </si>
  <si>
    <t>Award level:</t>
  </si>
  <si>
    <t>Grand total</t>
  </si>
  <si>
    <t>Scoring the chapter's performance</t>
  </si>
  <si>
    <t>To qualify for silver or gold points within an individual criterion, the chapter must have completed the lower level criterion (e.g., to qualify for silver level in item number 1, the chapter must have completed the bronze level in that item)</t>
  </si>
  <si>
    <t>Amplifying instructions keyed to item numbers above:</t>
  </si>
  <si>
    <t>Examples of item 11 - Lodge executive committee and/or lodge leadership designed programs:</t>
  </si>
  <si>
    <t>The chapter leadership attends at least 50% of Lodge Executive Committee meetings and presents reports of chapter activities.</t>
  </si>
  <si>
    <t>The chapter holds at least three meetings a year and focuses on fun and fellowship for at least half of each chapter meeting.</t>
  </si>
  <si>
    <t xml:space="preserve">Examples of item 15 - District executive/Scout Executive designated program support projects: </t>
  </si>
  <si>
    <t>Goal Met?
Goal Exceeded?</t>
  </si>
  <si>
    <t>AVERAGES:</t>
  </si>
  <si>
    <t>JTE Level:</t>
  </si>
  <si>
    <r>
      <rPr>
        <b/>
        <sz val="10"/>
        <rFont val="Arial"/>
        <family val="2"/>
      </rPr>
      <t>District/Council service projects:</t>
    </r>
    <r>
      <rPr>
        <sz val="10"/>
        <rFont val="Arial"/>
      </rPr>
      <t xml:space="preserve"> Complete district executive/Scout Executive approved service project(s) on Council property or in the community.</t>
    </r>
  </si>
  <si>
    <r>
      <t xml:space="preserve">Membership impact: </t>
    </r>
    <r>
      <rPr>
        <sz val="8"/>
        <rFont val="Times New Roman"/>
        <family val="1"/>
      </rPr>
      <t xml:space="preserve"> Experience positive growth in membership in the chapter over the previous year. [</t>
    </r>
    <r>
      <rPr>
        <b/>
        <i/>
        <sz val="8"/>
        <rFont val="Times New Roman"/>
        <family val="1"/>
      </rPr>
      <t>REQUIRED</t>
    </r>
    <r>
      <rPr>
        <sz val="8"/>
        <rFont val="Times New Roman"/>
        <family val="1"/>
      </rPr>
      <t>]</t>
    </r>
  </si>
  <si>
    <r>
      <t xml:space="preserve">Ordeal completion: </t>
    </r>
    <r>
      <rPr>
        <sz val="8"/>
        <color indexed="8"/>
        <rFont val="Times New Roman"/>
        <family val="1"/>
      </rPr>
      <t>Complete induction of elected Ordeal candidates.</t>
    </r>
  </si>
  <si>
    <r>
      <t>Brotherhood completion:</t>
    </r>
    <r>
      <rPr>
        <sz val="8"/>
        <color indexed="8"/>
        <rFont val="Times New Roman"/>
        <family val="1"/>
      </rPr>
      <t xml:space="preserve">  Convert eligible Ordeal members to Brotherhood. [</t>
    </r>
    <r>
      <rPr>
        <b/>
        <i/>
        <sz val="8"/>
        <color indexed="8"/>
        <rFont val="Times New Roman"/>
        <family val="1"/>
      </rPr>
      <t>REQUIRED</t>
    </r>
    <r>
      <rPr>
        <sz val="8"/>
        <color indexed="8"/>
        <rFont val="Times New Roman"/>
        <family val="1"/>
      </rPr>
      <t>]</t>
    </r>
  </si>
  <si>
    <r>
      <t>Membership retention:</t>
    </r>
    <r>
      <rPr>
        <sz val="8"/>
        <color indexed="8"/>
        <rFont val="Times New Roman"/>
        <family val="1"/>
      </rPr>
      <t xml:space="preserve">  Improve retention rate of chapter members.</t>
    </r>
  </si>
  <si>
    <r>
      <t xml:space="preserve">Unit elections: </t>
    </r>
    <r>
      <rPr>
        <sz val="8"/>
        <rFont val="Times New Roman"/>
        <family val="1"/>
      </rPr>
      <t xml:space="preserve"> Conduct unit elections in district troops and teams desiring them.</t>
    </r>
  </si>
  <si>
    <r>
      <t xml:space="preserve">Chapter communications: </t>
    </r>
    <r>
      <rPr>
        <sz val="8"/>
        <rFont val="Times New Roman"/>
        <family val="1"/>
      </rPr>
      <t xml:space="preserve"> Maintain active communications within the chapter.</t>
    </r>
  </si>
  <si>
    <r>
      <t>Chapter meetings and event participation:</t>
    </r>
    <r>
      <rPr>
        <sz val="8"/>
        <rFont val="Times New Roman"/>
        <family val="1"/>
      </rPr>
      <t xml:space="preserve"> Improve chapter membership participation at chapter meetings and events.</t>
    </r>
  </si>
  <si>
    <r>
      <t>Chapter planning:</t>
    </r>
    <r>
      <rPr>
        <sz val="8"/>
        <rFont val="Times New Roman"/>
        <family val="1"/>
      </rPr>
      <t xml:space="preserve"> Maintain an active planning process that guides chapter program and supports the lodge’s plans.</t>
    </r>
  </si>
  <si>
    <r>
      <rPr>
        <b/>
        <sz val="8"/>
        <rFont val="Times New Roman"/>
        <family val="1"/>
      </rPr>
      <t xml:space="preserve">Lodge designated support: </t>
    </r>
    <r>
      <rPr>
        <sz val="8"/>
        <rFont val="Times New Roman"/>
        <family val="1"/>
      </rPr>
      <t>Complete lodge executive committee designated programs or projects.</t>
    </r>
  </si>
  <si>
    <r>
      <t xml:space="preserve">District/council camping support: </t>
    </r>
    <r>
      <rPr>
        <sz val="8"/>
        <rFont val="Times New Roman"/>
        <family val="1"/>
      </rPr>
      <t>Conduct camp promotion contacts to district troops and teams.</t>
    </r>
  </si>
  <si>
    <r>
      <t>District/council program support:</t>
    </r>
    <r>
      <rPr>
        <sz val="8"/>
        <rFont val="Times New Roman"/>
        <family val="1"/>
      </rPr>
      <t xml:space="preserve">  Provide OA member staff support for district and/or council program events.</t>
    </r>
  </si>
  <si>
    <r>
      <t xml:space="preserve">District/council designated support: </t>
    </r>
    <r>
      <rPr>
        <sz val="8"/>
        <rFont val="Times New Roman"/>
        <family val="1"/>
      </rPr>
      <t>Complete district executive and/or Scout Executive designated program support projects.</t>
    </r>
  </si>
  <si>
    <r>
      <t xml:space="preserve">Annual report: </t>
    </r>
    <r>
      <rPr>
        <sz val="8"/>
        <rFont val="Times New Roman"/>
        <family val="1"/>
      </rPr>
      <t xml:space="preserve"> Submit a written annual report of chapter accomplishments to the lodge executive committee and/or district committee.</t>
    </r>
  </si>
  <si>
    <r>
      <rPr>
        <sz val="10"/>
        <color indexed="8"/>
        <rFont val="Times New Roman"/>
        <family val="1"/>
      </rPr>
      <t xml:space="preserve">To determine the chapter’s overall performance level, the chapter will use the above matrix to determine the points earned in each of the 17 individual criteria, circle the criteria completed,  add the scores in each column to determine the points earned at each award level, then add the three column scores to obtain the grand total points earned. </t>
    </r>
  </si>
  <si>
    <r>
      <rPr>
        <sz val="10"/>
        <color indexed="8"/>
        <rFont val="Times New Roman"/>
        <family val="1"/>
      </rPr>
      <t>Overall award levels are determined as follows using the grand total points earned:</t>
    </r>
    <r>
      <rPr>
        <b/>
        <sz val="10"/>
        <color indexed="8"/>
        <rFont val="Times New Roman"/>
        <family val="1"/>
      </rPr>
      <t xml:space="preserve"> </t>
    </r>
  </si>
  <si>
    <t>●</t>
  </si>
  <si>
    <t>Note: In cases where an individual criterion states for example “Achieve 55% retention or a 4% increase," the award level can only be achieved in reference to the previous year’s performance in that area. In this example, if the chapter achieved 50% retention in the previous year, achieving 54% would be required to qualify them in this area in the current year.</t>
  </si>
  <si>
    <t>Note: The above project lists are provided only as example of possible projects to consider. Actual projects assigned are entirely at the discretion of the lodge executive committee and/or lodge leadership and in conjunction with chapter staff adviser and/or district executive.</t>
  </si>
  <si>
    <r>
      <t xml:space="preserve">Fiscal Management: </t>
    </r>
    <r>
      <rPr>
        <sz val="8"/>
        <rFont val="Times New Roman"/>
        <family val="1"/>
      </rPr>
      <t xml:space="preserve"> Manage chapter revenue and expense according to council/lodge established procedures and leadership.</t>
    </r>
  </si>
  <si>
    <r>
      <t xml:space="preserve">Chapter leadership:  </t>
    </r>
    <r>
      <rPr>
        <sz val="8"/>
        <rFont val="Times New Roman"/>
        <family val="1"/>
      </rPr>
      <t>Participate in and/or conduct at least one LLD during the year with qualified instructors using current material.</t>
    </r>
  </si>
  <si>
    <r>
      <rPr>
        <b/>
        <sz val="8"/>
        <rFont val="Times New Roman"/>
        <family val="1"/>
      </rPr>
      <t xml:space="preserve">District/council service projects: </t>
    </r>
    <r>
      <rPr>
        <sz val="8"/>
        <rFont val="Times New Roman"/>
        <family val="1"/>
      </rPr>
      <t>Complete district executive/Scout Executive approved service project(s) on council property or in the community.</t>
    </r>
  </si>
  <si>
    <r>
      <t xml:space="preserve">Lodge, section, and national OA event attendance: </t>
    </r>
    <r>
      <rPr>
        <sz val="8"/>
        <rFont val="Times New Roman"/>
        <family val="1"/>
      </rPr>
      <t xml:space="preserve"> Attend lodge, section, and national OA events.</t>
    </r>
  </si>
  <si>
    <t>Chapters may use this template to track their progress on their Journey to Excellence.  The information will assist in both completing the Journey to Excellence petition and developing the Annual Report in Item 17 of the Chapter JTE.</t>
  </si>
  <si>
    <t>If you have questions, or need to report errors in this guide, please contact the Chapter JTE Coordinator at:</t>
  </si>
  <si>
    <t>jte@oa-bsa.org</t>
  </si>
  <si>
    <t>To qualify for recognition, chapters must complete this paperwork on time, and be in compliance with the current editions of the OA Handbook, Guide for Officers and Advisers, Chapter Operations Guide, Guide to Inductions, and ceremony books. In addition, the chapter must operate according to lodge and/or council established procedures for OA chapters.  The assessment of the OA Chapter Performance Recognition Program is managed by the lodge that authorizes and oversees the chapter’s work. It also needs to be coordinated with the chapter staff adviser and district committee and/or district executive. Follow your lodge’s submission deadlines and procedures.</t>
  </si>
  <si>
    <t xml:space="preserve">Grow membership by at least 13% </t>
  </si>
  <si>
    <t>Complete induction of at least 64% of Ordeal candidates or 5% increase over prior year</t>
  </si>
  <si>
    <t>Complete induction of at least 77% of Ordeal candidates or 5% increase over 64%</t>
  </si>
  <si>
    <t>Complete induction of at least 98% of Ordeal candidates or 5% increase over 77%</t>
  </si>
  <si>
    <t>Convert at least 25% or 5% increase over prior year</t>
  </si>
  <si>
    <t>Convert at least 32% or 3% increase over 25%</t>
  </si>
  <si>
    <t>Convert at least 47% or 3% increase over 32%</t>
  </si>
  <si>
    <t>Achieve 69%  or a 4% increase over prior year</t>
  </si>
  <si>
    <t>Achieve 77% or a 4% increase over 69%</t>
  </si>
  <si>
    <t>Achieve 88% or a 5% increase over 77%</t>
  </si>
  <si>
    <t xml:space="preserve">Exceed the chapter attendance goal by 10%. </t>
  </si>
  <si>
    <t>Complete project(s) equal to at least 3.5 hours of service per chapter member</t>
  </si>
  <si>
    <t>Complete project(s) equal to at least 6 hours of service per chapter member</t>
  </si>
  <si>
    <t>Complete project(s) equal to at least 15 hours of service per chapter member</t>
  </si>
  <si>
    <t>Achieve at least 66% of chapter leadership  trained or 3% increase</t>
  </si>
  <si>
    <t>Achieve at least 83% of chapter leadership trained or 3% over 66%</t>
  </si>
  <si>
    <t>Achieve at least 100% of chapter leadership trained or 3% over 83%</t>
  </si>
  <si>
    <t xml:space="preserve">Below is specific information to help you understand the criteria and exactly what data will be used to determine the three levels of performance. In planning your strategy, use actual numbers from the previous year to guide your performance improvement goal-planning. </t>
  </si>
  <si>
    <r>
      <t xml:space="preserve"> - Bronz</t>
    </r>
    <r>
      <rPr>
        <sz val="9"/>
        <color indexed="8"/>
        <rFont val="Times New Roman"/>
        <family val="1"/>
      </rPr>
      <t>e = at least 1000 grand total points plus have completed at least bronze performance in 10 criteria, two of which</t>
    </r>
    <r>
      <rPr>
        <u/>
        <sz val="9"/>
        <color indexed="8"/>
        <rFont val="Times New Roman"/>
        <family val="1"/>
      </rPr>
      <t xml:space="preserve"> mus</t>
    </r>
    <r>
      <rPr>
        <sz val="9"/>
        <color indexed="8"/>
        <rFont val="Times New Roman"/>
        <family val="1"/>
      </rPr>
      <t>t be objectives #2 and #4</t>
    </r>
  </si>
  <si>
    <r>
      <t xml:space="preserve"> - </t>
    </r>
    <r>
      <rPr>
        <b/>
        <sz val="9"/>
        <color indexed="8"/>
        <rFont val="Times New Roman"/>
        <family val="1"/>
      </rPr>
      <t>Silver</t>
    </r>
    <r>
      <rPr>
        <sz val="9"/>
        <color indexed="8"/>
        <rFont val="Times New Roman"/>
        <family val="1"/>
      </rPr>
      <t xml:space="preserve"> = at least 1300 grand total points plus have completed bronze performance, including items #2 and #4, in at least 12 criteria</t>
    </r>
  </si>
  <si>
    <r>
      <t xml:space="preserve"> - </t>
    </r>
    <r>
      <rPr>
        <b/>
        <sz val="9"/>
        <color indexed="8"/>
        <rFont val="Times New Roman"/>
        <family val="1"/>
      </rPr>
      <t>Gold</t>
    </r>
    <r>
      <rPr>
        <sz val="9"/>
        <color indexed="8"/>
        <rFont val="Times New Roman"/>
        <family val="1"/>
      </rPr>
      <t xml:space="preserve"> = at least 1600 grand total points plus have completed bronze performance, including items #2 and #4,  in at least 15 criteria</t>
    </r>
  </si>
  <si>
    <t>Grow membership by at least 13%</t>
  </si>
  <si>
    <t>Complete induction of at least 64% of Ordeal candidates or 5% increase</t>
  </si>
  <si>
    <t>Last year:</t>
  </si>
  <si>
    <t>Year before last:</t>
  </si>
  <si>
    <t>Answer the questions on this page to begin the Chapter JTE Workbook.  The values entered here will automatically populate in other tabs.</t>
  </si>
  <si>
    <t>Membership Figures</t>
  </si>
  <si>
    <t>Ordeal Membership</t>
  </si>
  <si>
    <t>Brotherhood Membership</t>
  </si>
  <si>
    <t>Unit Information</t>
  </si>
  <si>
    <t>1.  Depending on lodge/council procedures, chapters may or may not have funds or develop annual budgets.  The key factor is: Does your chapter follow your lodge’s and/or council’s budgeting and accounting procedures in establishing its budget or financial targets? A financial target could be having and executing a budget for a specific chapter program/event, or it could be having and executing an annual chapter budget.  Award points based on the chapter’s success at following lodge/council policies and in setting and/or achieving the established financial target.</t>
  </si>
  <si>
    <t xml:space="preserve">
3.  Ordeal candidates from either lodge or chapter run inductions and ceremonies, as determined by the lodge and/or council, should be counted.</t>
  </si>
  <si>
    <t>4.  Brotherhood candidates from either lodge or chapter run ceremonies, as determined by the lodge and/or council, should be counted.</t>
  </si>
  <si>
    <t xml:space="preserve">
6.  All troops and teams must have been contacted and given the opportunity to request an election. Election teams must be trained, all team members in proper uniform during each unit election, and team members must be from units other than the one for which the election is being held.</t>
  </si>
  <si>
    <t xml:space="preserve">7.  Chapters should support lodge events. Chapter member representation at section and national events or an OA High Adventure program is not required, but counts toward goal achievement when it occurs. The intent of this criterion is to encourage the chapter to set and meet a goal for participation in lodge events, and for chapters to support the lodge in reaching its goals for these events.
</t>
  </si>
  <si>
    <t>9.  To determine chapter event participation, add the attendance of all meetings and events where all chapter members were invited to attend, then divide by the number of events to get an average attendance number. Divide that number by the total chapter membership to determine the overall average percent of the chapter members in attendance.
11.  Lodge executive committee and/or lodge leadership designated programs or projects are to be developed in conjunction with the lodge leadership and in support of the lodge’s work.  Examples of projects are listed below.
12.  At least one district/council service project and one community service project must be conducted and a written report of each project included in the chapter’s annual report.
13.  What constitutes an acceptable contact under this category is determined by the Scout Executive or the council’s camping committee if delegated by the Scout Executive.
15.  District executive/Scout Executive designated program support projects are to be developed during a meeting with the lodge and/or chapter Key 3 with consideration for both the current local council and national Order of the Arrow strategic plans.  Examples of projects are listed below.
16.  LLD courses must be conducted at either the lodge or chapter level, with qualified instructors and using current LLD materials (see www.oa-bsa.org), to train chapter officers, committee chairmen and their advisers.  Eligible participants include elected and appointed youth members of the LEC and their advisers.</t>
  </si>
  <si>
    <t>Chapter Information</t>
  </si>
  <si>
    <t>Chapter Name</t>
  </si>
  <si>
    <t>Lodge Name</t>
  </si>
  <si>
    <t>Council Name</t>
  </si>
  <si>
    <t>Chapter Staff Adviser</t>
  </si>
  <si>
    <t>Date of Chapter JTE Petition</t>
  </si>
  <si>
    <t>asdf</t>
  </si>
  <si>
    <t>The chapter Key 3 is to meet at least quarterly to discuss progress in the chapter.</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</si>
</sst>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164" formatCode="0.0000%"/>
    <numFmt numFmtId="165" formatCode="0.0%"/>
  </numFmts>
  <fonts count="52" x14ac:knownFonts="1">
    <font>
      <sz val="10"/>
      <name val="Arial"/>
    </font>
    <font>
      <sz val="10"/>
      <name val="Arial"/>
      <family val="2"/>
    </font>
    <font>
      <b/>
      <sz val="10"/>
      <name val="Arial"/>
      <family val="2"/>
    </font>
    <font>
      <sz val="8"/>
      <name val="Arial"/>
      <family val="2"/>
    </font>
    <font>
      <b/>
      <i/>
      <sz val="10"/>
      <name val="Arial"/>
      <family val="2"/>
    </font>
    <font>
      <sz val="10"/>
      <name val="Arial"/>
      <family val="2"/>
    </font>
    <font>
      <sz val="9"/>
      <name val="Arial"/>
      <family val="2"/>
    </font>
    <font>
      <i/>
      <sz val="9"/>
      <name val="Arial"/>
      <family val="2"/>
    </font>
    <font>
      <b/>
      <u/>
      <sz val="10"/>
      <name val="Arial"/>
      <family val="2"/>
    </font>
    <font>
      <b/>
      <sz val="9"/>
      <name val="Arial"/>
      <family val="2"/>
    </font>
    <font>
      <i/>
      <sz val="10"/>
      <name val="Arial"/>
      <family val="2"/>
    </font>
    <font>
      <b/>
      <i/>
      <sz val="9"/>
      <name val="Arial"/>
      <family val="2"/>
    </font>
    <font>
      <b/>
      <i/>
      <u/>
      <sz val="10"/>
      <name val="Arial"/>
      <family val="2"/>
    </font>
    <font>
      <sz val="11"/>
      <color indexed="56"/>
      <name val="Arial"/>
      <family val="2"/>
    </font>
    <font>
      <b/>
      <u/>
      <sz val="12"/>
      <name val="Arial"/>
      <family val="2"/>
    </font>
    <font>
      <u/>
      <sz val="14"/>
      <name val="Arial"/>
      <family val="2"/>
    </font>
    <font>
      <sz val="10"/>
      <color theme="1"/>
      <name val="Times New Roman"/>
      <family val="1"/>
    </font>
    <font>
      <sz val="10"/>
      <name val="Times New Roman"/>
      <family val="1"/>
    </font>
    <font>
      <b/>
      <sz val="10"/>
      <color theme="1"/>
      <name val="Times New Roman"/>
      <family val="1"/>
    </font>
    <font>
      <sz val="10"/>
      <color theme="0"/>
      <name val="Times New Roman"/>
      <family val="1"/>
    </font>
    <font>
      <sz val="10"/>
      <name val="Arial"/>
    </font>
    <font>
      <b/>
      <sz val="13"/>
      <color theme="1"/>
      <name val="Times New Roman"/>
      <family val="1"/>
    </font>
    <font>
      <b/>
      <i/>
      <sz val="11"/>
      <color theme="1"/>
      <name val="Times New Roman"/>
      <family val="1"/>
    </font>
    <font>
      <i/>
      <sz val="9.75"/>
      <color theme="1"/>
      <name val="Times New Roman"/>
      <family val="1"/>
    </font>
    <font>
      <sz val="9.75"/>
      <color theme="1"/>
      <name val="Times New Roman"/>
      <family val="1"/>
    </font>
    <font>
      <b/>
      <sz val="8"/>
      <name val="Times New Roman"/>
      <family val="1"/>
    </font>
    <font>
      <sz val="8"/>
      <name val="Times New Roman"/>
      <family val="1"/>
    </font>
    <font>
      <sz val="11"/>
      <name val="Times New Roman"/>
      <family val="1"/>
    </font>
    <font>
      <sz val="8"/>
      <color theme="1"/>
      <name val="Times New Roman"/>
      <family val="1"/>
    </font>
    <font>
      <b/>
      <i/>
      <sz val="8"/>
      <name val="Times New Roman"/>
      <family val="1"/>
    </font>
    <font>
      <b/>
      <sz val="8"/>
      <color theme="1"/>
      <name val="Times New Roman"/>
      <family val="1"/>
    </font>
    <font>
      <sz val="8"/>
      <color indexed="8"/>
      <name val="Times New Roman"/>
      <family val="1"/>
    </font>
    <font>
      <b/>
      <i/>
      <sz val="8"/>
      <color indexed="8"/>
      <name val="Times New Roman"/>
      <family val="1"/>
    </font>
    <font>
      <sz val="11"/>
      <color rgb="FF000000"/>
      <name val="Times New Roman"/>
      <family val="1"/>
    </font>
    <font>
      <i/>
      <sz val="11"/>
      <color theme="1"/>
      <name val="Times New Roman"/>
      <family val="1"/>
    </font>
    <font>
      <b/>
      <sz val="12"/>
      <color theme="1"/>
      <name val="Times New Roman"/>
      <family val="1"/>
    </font>
    <font>
      <sz val="9"/>
      <color rgb="FF000000"/>
      <name val="Times New Roman"/>
      <family val="1"/>
    </font>
    <font>
      <b/>
      <sz val="11"/>
      <color theme="1"/>
      <name val="Times New Roman"/>
      <family val="1"/>
    </font>
    <font>
      <sz val="10"/>
      <color indexed="8"/>
      <name val="Times New Roman"/>
      <family val="1"/>
    </font>
    <font>
      <b/>
      <sz val="10"/>
      <color indexed="8"/>
      <name val="Times New Roman"/>
      <family val="1"/>
    </font>
    <font>
      <b/>
      <sz val="9"/>
      <color theme="1"/>
      <name val="Times New Roman"/>
      <family val="1"/>
    </font>
    <font>
      <sz val="9"/>
      <color indexed="8"/>
      <name val="Times New Roman"/>
      <family val="1"/>
    </font>
    <font>
      <u/>
      <sz val="9"/>
      <color indexed="8"/>
      <name val="Times New Roman"/>
      <family val="1"/>
    </font>
    <font>
      <sz val="9"/>
      <color theme="1"/>
      <name val="Times New Roman"/>
      <family val="1"/>
    </font>
    <font>
      <b/>
      <sz val="9"/>
      <color indexed="8"/>
      <name val="Times New Roman"/>
      <family val="1"/>
    </font>
    <font>
      <i/>
      <sz val="9"/>
      <color theme="1"/>
      <name val="Times New Roman"/>
      <family val="1"/>
    </font>
    <font>
      <i/>
      <sz val="10"/>
      <color theme="0"/>
      <name val="Times New Roman"/>
      <family val="1"/>
    </font>
    <font>
      <sz val="10"/>
      <color rgb="FF000000"/>
      <name val="Times New Roman"/>
      <family val="1"/>
    </font>
    <font>
      <sz val="10"/>
      <color rgb="FFFFFFFF"/>
      <name val="Times New Roman"/>
      <family val="1"/>
    </font>
    <font>
      <u/>
      <sz val="10"/>
      <color theme="10"/>
      <name val="Arial"/>
    </font>
    <font>
      <i/>
      <sz val="10"/>
      <color rgb="FFFFFF00"/>
      <name val="Times New Roman"/>
    </font>
    <font>
      <u/>
      <sz val="10"/>
      <color theme="11"/>
      <name val="Arial"/>
    </font>
  </fonts>
  <fills count="10">
    <fill>
      <patternFill patternType="none"/>
    </fill>
    <fill>
      <patternFill patternType="gray125"/>
    </fill>
    <fill>
      <patternFill patternType="solid">
        <fgColor indexed="22"/>
        <bgColor indexed="64"/>
      </patternFill>
    </fill>
    <fill>
      <patternFill patternType="solid">
        <fgColor indexed="31"/>
        <bgColor indexed="64"/>
      </patternFill>
    </fill>
    <fill>
      <patternFill patternType="solid">
        <fgColor rgb="FF000090"/>
        <bgColor indexed="64"/>
      </patternFill>
    </fill>
    <fill>
      <patternFill patternType="solid">
        <fgColor theme="0"/>
        <bgColor indexed="64"/>
      </patternFill>
    </fill>
    <fill>
      <patternFill patternType="solid">
        <fgColor rgb="FFFFFF00"/>
        <bgColor indexed="64"/>
      </patternFill>
    </fill>
    <fill>
      <patternFill patternType="solid">
        <fgColor rgb="FF000090"/>
        <bgColor rgb="FF000000"/>
      </patternFill>
    </fill>
    <fill>
      <patternFill patternType="solid">
        <fgColor theme="0" tint="-0.249977111117893"/>
        <bgColor indexed="64"/>
      </patternFill>
    </fill>
    <fill>
      <patternFill patternType="solid">
        <fgColor theme="6" tint="0.39997558519241921"/>
        <bgColor indexed="64"/>
      </patternFill>
    </fill>
  </fills>
  <borders count="22">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tint="-4.9989318521683403E-2"/>
      </left>
      <right/>
      <top/>
      <bottom style="thin">
        <color theme="0" tint="-4.9989318521683403E-2"/>
      </bottom>
      <diagonal/>
    </border>
    <border>
      <left/>
      <right style="thin">
        <color theme="0" tint="-4.9989318521683403E-2"/>
      </right>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diagonal/>
    </border>
    <border>
      <left/>
      <right/>
      <top style="thin">
        <color theme="0" tint="-4.9989318521683403E-2"/>
      </top>
      <bottom/>
      <diagonal/>
    </border>
    <border>
      <left/>
      <right/>
      <top style="thin">
        <color theme="0" tint="-4.9989318521683403E-2"/>
      </top>
      <bottom style="thin">
        <color auto="1"/>
      </bottom>
      <diagonal/>
    </border>
  </borders>
  <cellStyleXfs count="8">
    <xf numFmtId="0" fontId="0" fillId="0" borderId="0"/>
    <xf numFmtId="9" fontId="1" fillId="0" borderId="0" applyFont="0" applyFill="0" applyBorder="0" applyAlignment="0" applyProtection="0"/>
    <xf numFmtId="44" fontId="20" fillId="0" borderId="0" applyFont="0" applyFill="0" applyBorder="0" applyAlignment="0" applyProtection="0"/>
    <xf numFmtId="0" fontId="49"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cellStyleXfs>
  <cellXfs count="474">
    <xf numFmtId="0" fontId="0" fillId="0" borderId="0" xfId="0"/>
    <xf numFmtId="0" fontId="2" fillId="0" borderId="0" xfId="0" applyFont="1" applyAlignment="1">
      <alignment wrapText="1"/>
    </xf>
    <xf numFmtId="0" fontId="2" fillId="0" borderId="0" xfId="0" applyFont="1" applyAlignment="1">
      <alignment horizontal="center" wrapText="1"/>
    </xf>
    <xf numFmtId="0" fontId="2" fillId="0" borderId="0" xfId="0" applyFont="1" applyAlignment="1">
      <alignment horizontal="left" wrapText="1"/>
    </xf>
    <xf numFmtId="0" fontId="2" fillId="0" borderId="0" xfId="0" applyFont="1" applyBorder="1" applyAlignment="1">
      <alignment horizontal="center" wrapText="1"/>
    </xf>
    <xf numFmtId="0" fontId="5" fillId="0" borderId="0" xfId="0" applyFont="1" applyAlignment="1">
      <alignment horizontal="left" wrapText="1"/>
    </xf>
    <xf numFmtId="0" fontId="5" fillId="0" borderId="0" xfId="0" applyFont="1" applyAlignment="1">
      <alignment horizontal="center" wrapText="1"/>
    </xf>
    <xf numFmtId="0" fontId="5" fillId="0" borderId="0" xfId="0" applyFont="1" applyAlignment="1">
      <alignment wrapText="1"/>
    </xf>
    <xf numFmtId="0" fontId="5" fillId="0" borderId="0" xfId="0" applyFont="1" applyAlignment="1">
      <alignment horizontal="center" vertical="center" wrapText="1"/>
    </xf>
    <xf numFmtId="0" fontId="2" fillId="0" borderId="0" xfId="0" applyFont="1" applyFill="1" applyAlignment="1">
      <alignment horizontal="left" wrapText="1"/>
    </xf>
    <xf numFmtId="0" fontId="2" fillId="0" borderId="0" xfId="0" applyFont="1" applyFill="1" applyAlignment="1">
      <alignment wrapText="1"/>
    </xf>
    <xf numFmtId="0" fontId="2" fillId="0" borderId="0" xfId="0" applyFont="1" applyBorder="1" applyAlignment="1">
      <alignment wrapText="1"/>
    </xf>
    <xf numFmtId="0" fontId="5" fillId="0" borderId="0" xfId="0" applyFont="1" applyBorder="1" applyAlignment="1">
      <alignment wrapText="1"/>
    </xf>
    <xf numFmtId="0" fontId="5" fillId="0" borderId="0" xfId="0" applyFont="1" applyBorder="1" applyAlignment="1">
      <alignment horizontal="center" wrapText="1"/>
    </xf>
    <xf numFmtId="0" fontId="2" fillId="0" borderId="0" xfId="0" applyFont="1" applyBorder="1" applyAlignment="1">
      <alignment horizontal="center" vertical="center" textRotation="90" wrapText="1"/>
    </xf>
    <xf numFmtId="0" fontId="2" fillId="2" borderId="0" xfId="0" applyFont="1" applyFill="1" applyAlignment="1">
      <alignment wrapText="1"/>
    </xf>
    <xf numFmtId="0" fontId="5" fillId="2" borderId="0" xfId="0" applyFont="1" applyFill="1" applyAlignment="1">
      <alignment wrapText="1"/>
    </xf>
    <xf numFmtId="0" fontId="5" fillId="0" borderId="0" xfId="0" applyFont="1"/>
    <xf numFmtId="0" fontId="7" fillId="0" borderId="0" xfId="0" applyFont="1" applyAlignment="1">
      <alignment vertical="center" wrapText="1"/>
    </xf>
    <xf numFmtId="0" fontId="7" fillId="0" borderId="0" xfId="0" applyFont="1" applyAlignment="1">
      <alignment horizontal="center" vertical="center" wrapText="1"/>
    </xf>
    <xf numFmtId="0" fontId="7" fillId="0" borderId="0" xfId="0" applyFont="1" applyAlignment="1">
      <alignment horizontal="left" vertical="center" wrapText="1"/>
    </xf>
    <xf numFmtId="0" fontId="2" fillId="2" borderId="0" xfId="0" applyFont="1" applyFill="1" applyAlignment="1">
      <alignment horizontal="left" vertical="center" wrapText="1"/>
    </xf>
    <xf numFmtId="0" fontId="5" fillId="0" borderId="0" xfId="0" applyFont="1" applyBorder="1" applyAlignment="1">
      <alignment horizontal="left" vertical="center" wrapText="1"/>
    </xf>
    <xf numFmtId="0" fontId="2" fillId="0" borderId="0" xfId="0" applyFont="1" applyBorder="1" applyAlignment="1">
      <alignment horizontal="center" vertical="center" wrapText="1"/>
    </xf>
    <xf numFmtId="0" fontId="5" fillId="0" borderId="0" xfId="0" applyFont="1" applyBorder="1" applyAlignment="1">
      <alignment horizontal="center" vertical="center" wrapText="1"/>
    </xf>
    <xf numFmtId="0" fontId="2" fillId="0" borderId="0" xfId="0" applyFont="1" applyBorder="1" applyAlignment="1">
      <alignment vertical="center" textRotation="90" wrapText="1"/>
    </xf>
    <xf numFmtId="0" fontId="5" fillId="0" borderId="0" xfId="0" applyFont="1" applyBorder="1" applyAlignment="1">
      <alignment vertical="center" wrapText="1"/>
    </xf>
    <xf numFmtId="0" fontId="5" fillId="0" borderId="4" xfId="0" applyFont="1" applyBorder="1" applyAlignment="1">
      <alignment vertical="center" wrapText="1"/>
    </xf>
    <xf numFmtId="0" fontId="2" fillId="0" borderId="0" xfId="0" applyFont="1" applyBorder="1" applyAlignment="1">
      <alignment vertical="center" wrapText="1"/>
    </xf>
    <xf numFmtId="0" fontId="5" fillId="0" borderId="0" xfId="0" applyFont="1" applyAlignment="1">
      <alignment vertical="center" wrapText="1"/>
    </xf>
    <xf numFmtId="0" fontId="2" fillId="2" borderId="0" xfId="0" applyFont="1" applyFill="1" applyAlignment="1">
      <alignment vertical="center" wrapText="1"/>
    </xf>
    <xf numFmtId="0" fontId="2" fillId="0" borderId="0" xfId="0" applyFont="1" applyFill="1" applyAlignment="1">
      <alignment horizontal="right" wrapText="1"/>
    </xf>
    <xf numFmtId="0" fontId="5" fillId="0" borderId="0" xfId="0" applyFont="1" applyFill="1" applyAlignment="1">
      <alignment wrapText="1"/>
    </xf>
    <xf numFmtId="0" fontId="2" fillId="0" borderId="0" xfId="0" applyFont="1" applyFill="1" applyBorder="1" applyAlignment="1">
      <alignment horizontal="center" vertical="center" textRotation="90" wrapText="1"/>
    </xf>
    <xf numFmtId="0" fontId="2" fillId="0" borderId="0" xfId="0" applyFont="1" applyFill="1" applyAlignment="1">
      <alignment horizontal="center" wrapText="1"/>
    </xf>
    <xf numFmtId="0" fontId="2" fillId="0" borderId="0" xfId="0" applyFont="1" applyFill="1" applyBorder="1" applyAlignment="1">
      <alignment horizontal="center" wrapText="1"/>
    </xf>
    <xf numFmtId="0" fontId="6" fillId="0" borderId="0" xfId="0" applyFont="1" applyAlignment="1">
      <alignment horizontal="left" vertical="center" wrapText="1"/>
    </xf>
    <xf numFmtId="0" fontId="6" fillId="0" borderId="0" xfId="0" applyFont="1" applyAlignment="1">
      <alignment horizontal="center" vertical="center" wrapText="1"/>
    </xf>
    <xf numFmtId="0" fontId="9" fillId="0" borderId="0" xfId="0" applyFont="1" applyAlignment="1">
      <alignment horizontal="center" vertical="center" textRotation="90" wrapText="1"/>
    </xf>
    <xf numFmtId="0" fontId="5" fillId="0" borderId="0" xfId="0" applyFont="1" applyBorder="1" applyAlignment="1">
      <alignment horizontal="left" wrapText="1"/>
    </xf>
    <xf numFmtId="0" fontId="2" fillId="2" borderId="0" xfId="0" applyFont="1" applyFill="1" applyAlignment="1">
      <alignment horizontal="right" vertical="center" wrapText="1"/>
    </xf>
    <xf numFmtId="49" fontId="6" fillId="0" borderId="0" xfId="0" applyNumberFormat="1" applyFont="1" applyAlignment="1">
      <alignment horizontal="center" vertical="center" wrapText="1"/>
    </xf>
    <xf numFmtId="0" fontId="11" fillId="0" borderId="0" xfId="0" applyFont="1" applyAlignment="1">
      <alignment horizontal="left" vertical="center" wrapText="1"/>
    </xf>
    <xf numFmtId="0" fontId="5" fillId="2" borderId="0" xfId="0" applyFont="1" applyFill="1" applyAlignment="1">
      <alignment horizontal="left" wrapText="1"/>
    </xf>
    <xf numFmtId="0" fontId="5" fillId="0" borderId="0" xfId="0" applyFont="1" applyBorder="1" applyAlignment="1">
      <alignment horizontal="right" wrapText="1"/>
    </xf>
    <xf numFmtId="0" fontId="10" fillId="0" borderId="0" xfId="0" applyFont="1" applyAlignment="1">
      <alignment horizontal="center" vertical="center" wrapText="1"/>
    </xf>
    <xf numFmtId="0" fontId="10" fillId="0" borderId="0" xfId="0" applyFont="1" applyAlignment="1">
      <alignment vertical="center" wrapText="1"/>
    </xf>
    <xf numFmtId="49" fontId="5" fillId="0" borderId="0" xfId="0" applyNumberFormat="1" applyFont="1" applyAlignment="1">
      <alignment horizontal="center" vertical="center" wrapText="1"/>
    </xf>
    <xf numFmtId="0" fontId="10" fillId="0" borderId="0" xfId="0" applyFont="1" applyAlignment="1">
      <alignment horizontal="left" vertical="center" wrapText="1"/>
    </xf>
    <xf numFmtId="0" fontId="10" fillId="0" borderId="0" xfId="0" applyFont="1" applyBorder="1" applyAlignment="1">
      <alignment horizontal="center" vertical="center" wrapText="1"/>
    </xf>
    <xf numFmtId="49" fontId="5" fillId="0" borderId="0" xfId="0" applyNumberFormat="1" applyFont="1" applyAlignment="1">
      <alignment vertical="center" wrapText="1"/>
    </xf>
    <xf numFmtId="0" fontId="2" fillId="0" borderId="0" xfId="0" applyFont="1" applyAlignment="1">
      <alignment vertical="center" textRotation="90" wrapText="1"/>
    </xf>
    <xf numFmtId="0" fontId="2" fillId="2" borderId="0" xfId="0" applyFont="1" applyFill="1" applyAlignment="1" applyProtection="1">
      <alignment horizontal="center" wrapText="1"/>
      <protection hidden="1"/>
    </xf>
    <xf numFmtId="9" fontId="2" fillId="2" borderId="0" xfId="1" applyFont="1" applyFill="1" applyAlignment="1" applyProtection="1">
      <alignment horizontal="center" vertical="center" wrapText="1"/>
      <protection hidden="1"/>
    </xf>
    <xf numFmtId="10" fontId="2" fillId="2" borderId="0" xfId="1" applyNumberFormat="1" applyFont="1" applyFill="1" applyBorder="1" applyAlignment="1" applyProtection="1">
      <alignment horizontal="center" wrapText="1"/>
      <protection hidden="1"/>
    </xf>
    <xf numFmtId="0" fontId="5" fillId="0" borderId="0" xfId="0" applyFont="1" applyAlignment="1" applyProtection="1">
      <alignment wrapText="1"/>
      <protection hidden="1"/>
    </xf>
    <xf numFmtId="0" fontId="5" fillId="3" borderId="5" xfId="0" applyFont="1" applyFill="1" applyBorder="1" applyAlignment="1" applyProtection="1">
      <alignment wrapText="1"/>
      <protection locked="0"/>
    </xf>
    <xf numFmtId="0" fontId="5" fillId="3" borderId="5" xfId="0" applyFont="1" applyFill="1" applyBorder="1" applyAlignment="1" applyProtection="1">
      <alignment vertical="center" wrapText="1"/>
      <protection locked="0"/>
    </xf>
    <xf numFmtId="9" fontId="2" fillId="2" borderId="0" xfId="1" applyFont="1" applyFill="1" applyBorder="1" applyAlignment="1" applyProtection="1">
      <alignment horizontal="center" wrapText="1"/>
      <protection hidden="1"/>
    </xf>
    <xf numFmtId="9" fontId="2" fillId="2" borderId="7" xfId="1" applyFont="1" applyFill="1" applyBorder="1" applyAlignment="1" applyProtection="1">
      <alignment horizontal="center" wrapText="1"/>
      <protection hidden="1"/>
    </xf>
    <xf numFmtId="0" fontId="6" fillId="3" borderId="5" xfId="0" applyFont="1" applyFill="1" applyBorder="1" applyAlignment="1" applyProtection="1">
      <alignment horizontal="left" vertical="center" wrapText="1"/>
      <protection locked="0"/>
    </xf>
    <xf numFmtId="0" fontId="6" fillId="3" borderId="5" xfId="0" applyFont="1" applyFill="1" applyBorder="1" applyAlignment="1" applyProtection="1">
      <alignment horizontal="center" vertical="center" wrapText="1"/>
      <protection locked="0"/>
    </xf>
    <xf numFmtId="9" fontId="5" fillId="2" borderId="5" xfId="1" applyFont="1" applyFill="1" applyBorder="1" applyAlignment="1" applyProtection="1">
      <alignment horizontal="center" wrapText="1"/>
      <protection hidden="1"/>
    </xf>
    <xf numFmtId="10" fontId="5" fillId="2" borderId="5" xfId="0" applyNumberFormat="1" applyFont="1" applyFill="1" applyBorder="1" applyAlignment="1" applyProtection="1">
      <alignment horizontal="center" wrapText="1"/>
      <protection hidden="1"/>
    </xf>
    <xf numFmtId="49" fontId="6" fillId="0" borderId="0" xfId="0" applyNumberFormat="1" applyFont="1" applyFill="1" applyAlignment="1" applyProtection="1">
      <alignment horizontal="center" vertical="center" wrapText="1"/>
      <protection hidden="1"/>
    </xf>
    <xf numFmtId="9" fontId="5" fillId="0" borderId="0" xfId="1" applyFont="1" applyFill="1" applyBorder="1" applyAlignment="1" applyProtection="1">
      <alignment horizontal="center" wrapText="1"/>
      <protection hidden="1"/>
    </xf>
    <xf numFmtId="0" fontId="5" fillId="3" borderId="5" xfId="0" applyFont="1" applyFill="1" applyBorder="1" applyAlignment="1" applyProtection="1">
      <alignment horizontal="left" vertical="center" wrapText="1"/>
      <protection locked="0"/>
    </xf>
    <xf numFmtId="0" fontId="10" fillId="3" borderId="5" xfId="0" applyFont="1" applyFill="1" applyBorder="1" applyAlignment="1" applyProtection="1">
      <alignment horizontal="center" vertical="center" wrapText="1"/>
      <protection locked="0"/>
    </xf>
    <xf numFmtId="0" fontId="5" fillId="2" borderId="0" xfId="0" applyFont="1" applyFill="1" applyBorder="1" applyAlignment="1" applyProtection="1">
      <alignment horizontal="center" wrapText="1"/>
      <protection hidden="1"/>
    </xf>
    <xf numFmtId="2" fontId="5" fillId="2" borderId="7" xfId="0" applyNumberFormat="1" applyFont="1" applyFill="1" applyBorder="1" applyAlignment="1" applyProtection="1">
      <alignment horizontal="center" wrapText="1"/>
      <protection hidden="1"/>
    </xf>
    <xf numFmtId="0" fontId="5" fillId="3" borderId="5" xfId="0" applyFont="1" applyFill="1" applyBorder="1" applyAlignment="1" applyProtection="1">
      <alignment horizontal="center" wrapText="1"/>
      <protection locked="0"/>
    </xf>
    <xf numFmtId="0" fontId="5" fillId="3" borderId="5" xfId="0" applyFont="1" applyFill="1" applyBorder="1" applyAlignment="1" applyProtection="1">
      <alignment horizontal="center" vertical="center" wrapText="1"/>
      <protection locked="0"/>
    </xf>
    <xf numFmtId="0" fontId="13" fillId="0" borderId="0" xfId="0" applyFont="1"/>
    <xf numFmtId="0" fontId="2" fillId="0" borderId="0" xfId="0" applyFont="1" applyAlignment="1">
      <alignment vertical="center" wrapText="1"/>
    </xf>
    <xf numFmtId="0" fontId="2" fillId="0" borderId="0" xfId="0" applyFont="1" applyAlignment="1">
      <alignment horizontal="center" vertical="center" wrapText="1"/>
    </xf>
    <xf numFmtId="0" fontId="5" fillId="2" borderId="5" xfId="0" applyFont="1" applyFill="1" applyBorder="1" applyAlignment="1" applyProtection="1">
      <alignment horizontal="center" vertical="center" wrapText="1"/>
      <protection hidden="1"/>
    </xf>
    <xf numFmtId="9" fontId="5" fillId="2" borderId="5" xfId="1" applyFont="1" applyFill="1" applyBorder="1" applyAlignment="1" applyProtection="1">
      <alignment horizontal="center" vertical="center" wrapText="1"/>
      <protection hidden="1"/>
    </xf>
    <xf numFmtId="10" fontId="5" fillId="2" borderId="5" xfId="1" applyNumberFormat="1" applyFont="1" applyFill="1" applyBorder="1" applyAlignment="1" applyProtection="1">
      <alignment horizontal="center" vertical="center" wrapText="1"/>
      <protection hidden="1"/>
    </xf>
    <xf numFmtId="9" fontId="5" fillId="2" borderId="5" xfId="0" applyNumberFormat="1" applyFont="1" applyFill="1" applyBorder="1" applyAlignment="1" applyProtection="1">
      <alignment horizontal="center" vertical="center" wrapText="1"/>
      <protection hidden="1"/>
    </xf>
    <xf numFmtId="49" fontId="6" fillId="0" borderId="0" xfId="0" applyNumberFormat="1" applyFont="1" applyFill="1" applyBorder="1" applyAlignment="1">
      <alignment horizontal="center" vertical="center" wrapText="1"/>
    </xf>
    <xf numFmtId="0" fontId="6" fillId="0" borderId="0" xfId="0" applyFont="1" applyFill="1" applyBorder="1" applyAlignment="1" applyProtection="1">
      <alignment horizontal="left" vertical="center" wrapText="1"/>
      <protection locked="0"/>
    </xf>
    <xf numFmtId="0" fontId="0" fillId="0" borderId="0" xfId="0" applyFill="1" applyBorder="1"/>
    <xf numFmtId="0" fontId="9" fillId="0" borderId="0" xfId="0" applyFont="1" applyFill="1" applyBorder="1" applyAlignment="1">
      <alignment horizontal="center" vertical="center" textRotation="90" wrapText="1"/>
    </xf>
    <xf numFmtId="0" fontId="0" fillId="0" borderId="0" xfId="0" applyAlignment="1">
      <alignment horizontal="center" wrapText="1"/>
    </xf>
    <xf numFmtId="9" fontId="5" fillId="0" borderId="0" xfId="1" applyFont="1" applyFill="1" applyBorder="1" applyAlignment="1" applyProtection="1">
      <alignment horizontal="center" vertical="center" wrapText="1"/>
      <protection hidden="1"/>
    </xf>
    <xf numFmtId="10" fontId="5" fillId="0" borderId="0" xfId="1" applyNumberFormat="1" applyFont="1" applyFill="1" applyBorder="1" applyAlignment="1" applyProtection="1">
      <alignment horizontal="center" vertical="center" wrapText="1"/>
      <protection hidden="1"/>
    </xf>
    <xf numFmtId="0" fontId="5" fillId="0" borderId="0" xfId="0" applyFont="1" applyAlignment="1">
      <alignment horizontal="center" vertical="center" wrapText="1"/>
    </xf>
    <xf numFmtId="0" fontId="5" fillId="3" borderId="5" xfId="0" applyFont="1" applyFill="1" applyBorder="1" applyAlignment="1" applyProtection="1">
      <alignment horizontal="center" vertical="center" wrapText="1"/>
      <protection locked="0"/>
    </xf>
    <xf numFmtId="0" fontId="5" fillId="0" borderId="0" xfId="0" applyFont="1" applyBorder="1" applyAlignment="1">
      <alignment horizontal="center" vertical="center" wrapText="1"/>
    </xf>
    <xf numFmtId="0" fontId="5" fillId="2" borderId="0" xfId="0" applyFont="1" applyFill="1" applyAlignment="1" applyProtection="1">
      <alignment horizontal="center" wrapText="1"/>
      <protection hidden="1"/>
    </xf>
    <xf numFmtId="10" fontId="5" fillId="2" borderId="5" xfId="2" applyNumberFormat="1" applyFont="1" applyFill="1" applyBorder="1" applyAlignment="1" applyProtection="1">
      <alignment horizontal="center" wrapText="1"/>
      <protection hidden="1"/>
    </xf>
    <xf numFmtId="0" fontId="1" fillId="0" borderId="0" xfId="0" applyFont="1" applyAlignment="1">
      <alignment wrapText="1"/>
    </xf>
    <xf numFmtId="0" fontId="1" fillId="3" borderId="5" xfId="0" applyFont="1" applyFill="1" applyBorder="1" applyAlignment="1" applyProtection="1">
      <alignment horizontal="center" vertical="center" wrapText="1"/>
      <protection locked="0"/>
    </xf>
    <xf numFmtId="0" fontId="5" fillId="0" borderId="0" xfId="0" applyFont="1" applyAlignment="1" applyProtection="1">
      <alignment horizontal="center" vertical="center" wrapText="1"/>
    </xf>
    <xf numFmtId="0" fontId="5" fillId="0" borderId="0" xfId="0" applyFont="1" applyAlignment="1" applyProtection="1">
      <alignment wrapText="1"/>
    </xf>
    <xf numFmtId="0" fontId="2" fillId="0" borderId="0" xfId="0" applyFont="1" applyAlignment="1" applyProtection="1">
      <alignment horizontal="left" wrapText="1"/>
    </xf>
    <xf numFmtId="0" fontId="2" fillId="2" borderId="0" xfId="0" applyFont="1" applyFill="1" applyAlignment="1" applyProtection="1">
      <alignment wrapText="1"/>
    </xf>
    <xf numFmtId="0" fontId="5" fillId="2" borderId="0" xfId="0" applyFont="1" applyFill="1" applyAlignment="1" applyProtection="1">
      <alignment wrapText="1"/>
    </xf>
    <xf numFmtId="0" fontId="2" fillId="0" borderId="0" xfId="0" applyFont="1" applyAlignment="1" applyProtection="1">
      <alignment wrapText="1"/>
    </xf>
    <xf numFmtId="0" fontId="2" fillId="0" borderId="0" xfId="0" applyFont="1" applyAlignment="1" applyProtection="1">
      <alignment horizontal="center" wrapText="1"/>
    </xf>
    <xf numFmtId="0" fontId="5" fillId="0" borderId="0" xfId="0" applyFont="1" applyAlignment="1" applyProtection="1">
      <alignment horizontal="center" wrapText="1"/>
    </xf>
    <xf numFmtId="0" fontId="5" fillId="2" borderId="0" xfId="0" applyFont="1" applyFill="1" applyAlignment="1" applyProtection="1">
      <alignment horizontal="center" wrapText="1"/>
    </xf>
    <xf numFmtId="0" fontId="2" fillId="2" borderId="0" xfId="0" applyFont="1" applyFill="1" applyAlignment="1" applyProtection="1">
      <alignment horizontal="center" wrapText="1"/>
    </xf>
    <xf numFmtId="0" fontId="7" fillId="0" borderId="0" xfId="0" applyFont="1" applyAlignment="1" applyProtection="1">
      <alignment horizontal="left" vertical="center" wrapText="1"/>
    </xf>
    <xf numFmtId="0" fontId="7" fillId="0" borderId="0" xfId="0" applyFont="1" applyAlignment="1" applyProtection="1">
      <alignment horizontal="center" vertical="center" wrapText="1"/>
    </xf>
    <xf numFmtId="0" fontId="6" fillId="0" borderId="0" xfId="0" applyFont="1" applyAlignment="1" applyProtection="1">
      <alignment horizontal="center" vertical="center" wrapText="1"/>
    </xf>
    <xf numFmtId="49" fontId="6" fillId="0" borderId="0" xfId="0" applyNumberFormat="1" applyFont="1" applyAlignment="1" applyProtection="1">
      <alignment horizontal="center" vertical="center" wrapText="1"/>
    </xf>
    <xf numFmtId="0" fontId="6" fillId="0" borderId="0" xfId="0" applyFont="1" applyAlignment="1" applyProtection="1">
      <alignment horizontal="left" vertical="center" wrapText="1"/>
    </xf>
    <xf numFmtId="0" fontId="5" fillId="0" borderId="0" xfId="0" applyFont="1" applyFill="1" applyBorder="1" applyAlignment="1" applyProtection="1">
      <alignment wrapText="1"/>
    </xf>
    <xf numFmtId="0" fontId="2" fillId="2" borderId="0" xfId="0" applyFont="1" applyFill="1" applyAlignment="1" applyProtection="1">
      <alignment horizontal="left" wrapText="1"/>
    </xf>
    <xf numFmtId="0" fontId="2" fillId="0" borderId="0" xfId="0" applyFont="1" applyBorder="1" applyAlignment="1" applyProtection="1">
      <alignment horizontal="center" vertical="center" textRotation="90" wrapText="1"/>
    </xf>
    <xf numFmtId="0" fontId="2" fillId="0" borderId="0" xfId="0" applyFont="1" applyBorder="1" applyAlignment="1" applyProtection="1">
      <alignment horizontal="center" wrapText="1"/>
    </xf>
    <xf numFmtId="0" fontId="5" fillId="0" borderId="0" xfId="0" applyFont="1" applyBorder="1" applyAlignment="1" applyProtection="1">
      <alignment horizontal="left" wrapText="1"/>
    </xf>
    <xf numFmtId="0" fontId="5" fillId="2" borderId="0" xfId="0" applyFont="1" applyFill="1" applyAlignment="1" applyProtection="1">
      <alignment horizontal="left" wrapText="1"/>
    </xf>
    <xf numFmtId="0" fontId="7" fillId="0" borderId="0" xfId="0" applyFont="1" applyAlignment="1" applyProtection="1">
      <alignment vertical="center" textRotation="255" wrapText="1"/>
    </xf>
    <xf numFmtId="0" fontId="7" fillId="0" borderId="0" xfId="0" applyFont="1" applyAlignment="1" applyProtection="1">
      <alignment horizontal="center" vertical="center" textRotation="255" wrapText="1"/>
    </xf>
    <xf numFmtId="0" fontId="6" fillId="0" borderId="0" xfId="0" applyFont="1" applyFill="1" applyBorder="1" applyAlignment="1" applyProtection="1">
      <alignment horizontal="left" vertical="center" wrapText="1"/>
      <protection hidden="1"/>
    </xf>
    <xf numFmtId="0" fontId="6" fillId="0" borderId="0" xfId="0" applyFont="1" applyFill="1" applyBorder="1" applyAlignment="1" applyProtection="1">
      <alignment horizontal="center" vertical="center" wrapText="1"/>
      <protection hidden="1"/>
    </xf>
    <xf numFmtId="164" fontId="5" fillId="0" borderId="0" xfId="0" applyNumberFormat="1" applyFont="1" applyAlignment="1" applyProtection="1">
      <alignment wrapText="1"/>
    </xf>
    <xf numFmtId="0" fontId="6" fillId="0" borderId="0" xfId="0" applyFont="1" applyBorder="1" applyAlignment="1" applyProtection="1">
      <alignment horizontal="center" vertical="center" wrapText="1"/>
    </xf>
    <xf numFmtId="0" fontId="5" fillId="0" borderId="0" xfId="0" applyFont="1" applyFill="1" applyAlignment="1" applyProtection="1">
      <alignment horizontal="center" wrapText="1"/>
    </xf>
    <xf numFmtId="0" fontId="6" fillId="0" borderId="0" xfId="0" applyFont="1" applyBorder="1" applyAlignment="1" applyProtection="1">
      <alignment horizontal="left" vertical="center" wrapText="1"/>
    </xf>
    <xf numFmtId="0" fontId="5" fillId="0" borderId="0" xfId="0" applyFont="1" applyAlignment="1" applyProtection="1">
      <alignment horizontal="center" vertical="center" wrapText="1"/>
      <protection hidden="1"/>
    </xf>
    <xf numFmtId="0" fontId="2" fillId="0" borderId="0" xfId="0" applyFont="1" applyAlignment="1" applyProtection="1">
      <alignment horizontal="left" wrapText="1"/>
      <protection hidden="1"/>
    </xf>
    <xf numFmtId="0" fontId="2" fillId="2" borderId="0" xfId="0" applyFont="1" applyFill="1" applyAlignment="1" applyProtection="1">
      <alignment wrapText="1"/>
      <protection hidden="1"/>
    </xf>
    <xf numFmtId="0" fontId="5" fillId="2" borderId="0" xfId="0" applyFont="1" applyFill="1" applyAlignment="1" applyProtection="1">
      <alignment wrapText="1"/>
      <protection hidden="1"/>
    </xf>
    <xf numFmtId="0" fontId="2" fillId="0" borderId="0" xfId="0" applyFont="1" applyFill="1" applyAlignment="1" applyProtection="1">
      <alignment horizontal="left" wrapText="1"/>
      <protection hidden="1"/>
    </xf>
    <xf numFmtId="0" fontId="2" fillId="0" borderId="0" xfId="0" applyFont="1" applyFill="1" applyAlignment="1" applyProtection="1">
      <alignment wrapText="1"/>
      <protection hidden="1"/>
    </xf>
    <xf numFmtId="0" fontId="2" fillId="0" borderId="0" xfId="0" applyFont="1" applyAlignment="1" applyProtection="1">
      <alignment wrapText="1"/>
      <protection hidden="1"/>
    </xf>
    <xf numFmtId="0" fontId="5" fillId="0" borderId="0" xfId="0" applyFont="1" applyAlignment="1" applyProtection="1">
      <alignment horizontal="left" wrapText="1"/>
      <protection hidden="1"/>
    </xf>
    <xf numFmtId="0" fontId="2" fillId="0" borderId="0" xfId="0" applyFont="1" applyAlignment="1" applyProtection="1">
      <alignment horizontal="center" wrapText="1"/>
      <protection hidden="1"/>
    </xf>
    <xf numFmtId="0" fontId="0" fillId="0" borderId="0" xfId="0" applyAlignment="1" applyProtection="1">
      <alignment horizontal="center" vertical="center" wrapText="1"/>
      <protection hidden="1"/>
    </xf>
    <xf numFmtId="0" fontId="0" fillId="0" borderId="0" xfId="0" applyAlignment="1" applyProtection="1">
      <alignment wrapText="1"/>
      <protection hidden="1"/>
    </xf>
    <xf numFmtId="0" fontId="0" fillId="0" borderId="0" xfId="0" applyFill="1" applyAlignment="1" applyProtection="1">
      <alignment wrapText="1"/>
      <protection hidden="1"/>
    </xf>
    <xf numFmtId="0" fontId="0" fillId="2" borderId="0" xfId="0" applyFill="1" applyAlignment="1" applyProtection="1">
      <alignment wrapText="1"/>
      <protection hidden="1"/>
    </xf>
    <xf numFmtId="0" fontId="2" fillId="0" borderId="0" xfId="0" applyFont="1" applyBorder="1" applyAlignment="1" applyProtection="1">
      <alignment horizontal="center" vertical="center" textRotation="90" wrapText="1"/>
      <protection hidden="1"/>
    </xf>
    <xf numFmtId="0" fontId="2" fillId="0" borderId="0" xfId="0" applyFont="1" applyBorder="1" applyAlignment="1" applyProtection="1">
      <alignment horizontal="center" wrapText="1"/>
      <protection hidden="1"/>
    </xf>
    <xf numFmtId="0" fontId="2" fillId="2" borderId="0" xfId="0" applyFont="1" applyFill="1" applyBorder="1" applyAlignment="1" applyProtection="1">
      <alignment horizontal="center" wrapText="1"/>
      <protection hidden="1"/>
    </xf>
    <xf numFmtId="0" fontId="2" fillId="2" borderId="0" xfId="0" applyFont="1" applyFill="1" applyBorder="1" applyAlignment="1" applyProtection="1">
      <alignment horizontal="right" wrapText="1"/>
      <protection hidden="1"/>
    </xf>
    <xf numFmtId="0" fontId="5" fillId="0" borderId="0" xfId="0" applyFont="1" applyAlignment="1" applyProtection="1">
      <alignment horizontal="center" wrapText="1"/>
      <protection hidden="1"/>
    </xf>
    <xf numFmtId="0" fontId="2" fillId="2" borderId="0" xfId="0" applyFont="1" applyFill="1" applyAlignment="1" applyProtection="1">
      <alignment horizontal="left" vertical="center" wrapText="1"/>
      <protection hidden="1"/>
    </xf>
    <xf numFmtId="0" fontId="2" fillId="0" borderId="0" xfId="0" applyFont="1" applyFill="1" applyAlignment="1" applyProtection="1">
      <alignment horizontal="center" wrapText="1"/>
      <protection hidden="1"/>
    </xf>
    <xf numFmtId="0" fontId="7" fillId="0" borderId="0" xfId="0" applyFont="1" applyAlignment="1" applyProtection="1">
      <alignment horizontal="left" vertical="center" wrapText="1"/>
      <protection hidden="1"/>
    </xf>
    <xf numFmtId="0" fontId="7" fillId="0" borderId="0" xfId="0" applyFont="1" applyAlignment="1" applyProtection="1">
      <alignment horizontal="center" vertical="center" wrapText="1"/>
      <protection hidden="1"/>
    </xf>
    <xf numFmtId="0" fontId="5" fillId="0" borderId="0" xfId="0" applyFont="1" applyBorder="1" applyAlignment="1" applyProtection="1">
      <alignment vertical="center" wrapText="1"/>
      <protection hidden="1"/>
    </xf>
    <xf numFmtId="0" fontId="2" fillId="0" borderId="0" xfId="0" applyFont="1" applyBorder="1" applyAlignment="1" applyProtection="1">
      <alignment vertical="center" textRotation="90" wrapText="1"/>
      <protection hidden="1"/>
    </xf>
    <xf numFmtId="0" fontId="2" fillId="0" borderId="0" xfId="0" applyFont="1" applyFill="1" applyBorder="1" applyAlignment="1" applyProtection="1">
      <alignment vertical="center" wrapText="1"/>
      <protection hidden="1"/>
    </xf>
    <xf numFmtId="0" fontId="6" fillId="0" borderId="0" xfId="0" applyFont="1" applyAlignment="1" applyProtection="1">
      <alignment horizontal="center" vertical="center" wrapText="1"/>
      <protection hidden="1"/>
    </xf>
    <xf numFmtId="0" fontId="11" fillId="0" borderId="0" xfId="0" applyFont="1" applyAlignment="1" applyProtection="1">
      <alignment horizontal="left" vertical="center" wrapText="1"/>
      <protection hidden="1"/>
    </xf>
    <xf numFmtId="49" fontId="6" fillId="0" borderId="0" xfId="0" applyNumberFormat="1" applyFont="1" applyAlignment="1" applyProtection="1">
      <alignment horizontal="center" vertical="center" wrapText="1"/>
      <protection hidden="1"/>
    </xf>
    <xf numFmtId="0" fontId="6" fillId="3" borderId="5" xfId="0" applyFont="1" applyFill="1" applyBorder="1" applyAlignment="1" applyProtection="1">
      <alignment horizontal="center" vertical="center" wrapText="1"/>
      <protection locked="0" hidden="1"/>
    </xf>
    <xf numFmtId="10" fontId="5" fillId="0" borderId="0" xfId="0" applyNumberFormat="1" applyFont="1" applyAlignment="1" applyProtection="1">
      <alignment wrapText="1"/>
      <protection hidden="1"/>
    </xf>
    <xf numFmtId="0" fontId="2" fillId="0" borderId="0" xfId="0" applyFont="1" applyAlignment="1" applyProtection="1">
      <alignment horizontal="center" vertical="center" textRotation="90" wrapText="1"/>
      <protection hidden="1"/>
    </xf>
    <xf numFmtId="0" fontId="6" fillId="0" borderId="5" xfId="0" applyFont="1" applyBorder="1" applyAlignment="1" applyProtection="1">
      <alignment horizontal="center" vertical="center" wrapText="1"/>
      <protection hidden="1"/>
    </xf>
    <xf numFmtId="0" fontId="9" fillId="0" borderId="0" xfId="0" applyFont="1" applyAlignment="1" applyProtection="1">
      <alignment horizontal="center" vertical="center" textRotation="90" wrapText="1"/>
      <protection hidden="1"/>
    </xf>
    <xf numFmtId="0" fontId="9" fillId="0" borderId="0" xfId="0" applyFont="1" applyFill="1" applyBorder="1" applyAlignment="1" applyProtection="1">
      <alignment horizontal="center" vertical="center" textRotation="90" wrapText="1"/>
      <protection hidden="1"/>
    </xf>
    <xf numFmtId="49" fontId="6" fillId="0" borderId="0" xfId="0" applyNumberFormat="1" applyFont="1" applyFill="1" applyBorder="1" applyAlignment="1" applyProtection="1">
      <alignment horizontal="center" vertical="center" wrapText="1"/>
      <protection hidden="1"/>
    </xf>
    <xf numFmtId="0" fontId="5" fillId="0" borderId="0" xfId="0" applyFont="1" applyFill="1" applyBorder="1" applyAlignment="1" applyProtection="1">
      <alignment wrapText="1"/>
      <protection hidden="1"/>
    </xf>
    <xf numFmtId="0" fontId="6" fillId="8" borderId="5" xfId="0" applyFont="1" applyFill="1" applyBorder="1" applyAlignment="1" applyProtection="1">
      <alignment horizontal="center" vertical="center" wrapText="1"/>
      <protection hidden="1"/>
    </xf>
    <xf numFmtId="0" fontId="7" fillId="0" borderId="0" xfId="0" applyFont="1" applyBorder="1" applyAlignment="1" applyProtection="1">
      <alignment horizontal="left" vertical="center" wrapText="1"/>
      <protection hidden="1"/>
    </xf>
    <xf numFmtId="0" fontId="5" fillId="0" borderId="0" xfId="0" applyFont="1" applyBorder="1" applyAlignment="1" applyProtection="1">
      <alignment wrapText="1"/>
      <protection hidden="1"/>
    </xf>
    <xf numFmtId="0" fontId="5" fillId="0" borderId="0" xfId="0" applyFont="1" applyBorder="1" applyAlignment="1" applyProtection="1">
      <alignment horizontal="center" wrapText="1"/>
      <protection hidden="1"/>
    </xf>
    <xf numFmtId="49" fontId="6" fillId="0" borderId="0" xfId="0" applyNumberFormat="1" applyFont="1" applyBorder="1" applyAlignment="1" applyProtection="1">
      <alignment horizontal="center" vertical="center" wrapText="1"/>
      <protection hidden="1"/>
    </xf>
    <xf numFmtId="0" fontId="7" fillId="0" borderId="0" xfId="0" applyFont="1" applyBorder="1" applyAlignment="1" applyProtection="1">
      <alignment horizontal="center" vertical="center" wrapText="1"/>
      <protection hidden="1"/>
    </xf>
    <xf numFmtId="0" fontId="2" fillId="2" borderId="0" xfId="0" applyFont="1" applyFill="1" applyAlignment="1" applyProtection="1">
      <alignment vertical="center" wrapText="1"/>
      <protection hidden="1"/>
    </xf>
    <xf numFmtId="49" fontId="5" fillId="0" borderId="0" xfId="0" applyNumberFormat="1" applyFont="1" applyAlignment="1" applyProtection="1">
      <alignment horizontal="center" vertical="center" wrapText="1"/>
      <protection hidden="1"/>
    </xf>
    <xf numFmtId="0" fontId="5" fillId="0" borderId="12" xfId="0" applyFont="1" applyBorder="1" applyAlignment="1" applyProtection="1">
      <alignment horizontal="center" vertical="center" wrapText="1"/>
      <protection hidden="1"/>
    </xf>
    <xf numFmtId="0" fontId="5" fillId="8" borderId="5" xfId="0" applyFont="1" applyFill="1" applyBorder="1" applyAlignment="1" applyProtection="1">
      <alignment horizontal="center" vertical="center" wrapText="1"/>
      <protection hidden="1"/>
    </xf>
    <xf numFmtId="0" fontId="10" fillId="0" borderId="0" xfId="0" applyFont="1" applyBorder="1" applyAlignment="1" applyProtection="1">
      <alignment horizontal="center" vertical="center" wrapText="1"/>
      <protection hidden="1"/>
    </xf>
    <xf numFmtId="0" fontId="5" fillId="0" borderId="0" xfId="0" applyFont="1" applyBorder="1" applyAlignment="1" applyProtection="1">
      <alignment horizontal="left" vertical="center" wrapText="1"/>
      <protection hidden="1"/>
    </xf>
    <xf numFmtId="0" fontId="10" fillId="0" borderId="0" xfId="0" applyFont="1" applyAlignment="1" applyProtection="1">
      <alignment horizontal="left" vertical="center" wrapText="1"/>
      <protection hidden="1"/>
    </xf>
    <xf numFmtId="0" fontId="10" fillId="0" borderId="0" xfId="0" applyFont="1" applyAlignment="1" applyProtection="1">
      <alignment horizontal="center" vertical="center" wrapText="1"/>
      <protection hidden="1"/>
    </xf>
    <xf numFmtId="0" fontId="17" fillId="0" borderId="0" xfId="0" applyFont="1" applyProtection="1">
      <protection hidden="1"/>
    </xf>
    <xf numFmtId="0" fontId="19" fillId="0" borderId="0" xfId="0" applyFont="1" applyProtection="1">
      <protection hidden="1"/>
    </xf>
    <xf numFmtId="0" fontId="16" fillId="0" borderId="0" xfId="0" applyFont="1" applyAlignment="1" applyProtection="1">
      <alignment horizontal="right"/>
      <protection hidden="1"/>
    </xf>
    <xf numFmtId="0" fontId="16" fillId="0" borderId="0" xfId="0" applyFont="1" applyProtection="1">
      <protection hidden="1"/>
    </xf>
    <xf numFmtId="0" fontId="16" fillId="0" borderId="0" xfId="0" applyFont="1" applyAlignment="1" applyProtection="1">
      <alignment horizontal="center"/>
      <protection hidden="1"/>
    </xf>
    <xf numFmtId="0" fontId="16" fillId="0" borderId="0" xfId="0" applyFont="1" applyBorder="1" applyProtection="1">
      <protection hidden="1"/>
    </xf>
    <xf numFmtId="0" fontId="17" fillId="4" borderId="0" xfId="0" applyFont="1" applyFill="1" applyAlignment="1" applyProtection="1">
      <alignment vertical="center"/>
      <protection hidden="1"/>
    </xf>
    <xf numFmtId="0" fontId="28" fillId="5" borderId="9" xfId="0" applyFont="1" applyFill="1" applyBorder="1" applyAlignment="1" applyProtection="1">
      <alignment horizontal="center" vertical="center" wrapText="1"/>
      <protection hidden="1"/>
    </xf>
    <xf numFmtId="0" fontId="28" fillId="0" borderId="9" xfId="0" applyFont="1" applyBorder="1" applyAlignment="1" applyProtection="1">
      <alignment horizontal="center" vertical="center" wrapText="1"/>
      <protection hidden="1"/>
    </xf>
    <xf numFmtId="0" fontId="28" fillId="8" borderId="5" xfId="0" applyFont="1" applyFill="1" applyBorder="1" applyAlignment="1" applyProtection="1">
      <alignment horizontal="center" vertical="center" wrapText="1"/>
      <protection hidden="1"/>
    </xf>
    <xf numFmtId="0" fontId="17" fillId="4" borderId="0" xfId="0" applyFont="1" applyFill="1" applyAlignment="1" applyProtection="1">
      <alignment horizontal="center" vertical="center"/>
      <protection hidden="1"/>
    </xf>
    <xf numFmtId="0" fontId="28" fillId="0" borderId="5" xfId="0" applyFont="1" applyBorder="1" applyAlignment="1" applyProtection="1">
      <alignment horizontal="center" vertical="center" wrapText="1"/>
      <protection hidden="1"/>
    </xf>
    <xf numFmtId="0" fontId="17" fillId="0" borderId="5" xfId="0" applyFont="1" applyFill="1" applyBorder="1" applyAlignment="1" applyProtection="1">
      <alignment horizontal="center" vertical="center"/>
      <protection hidden="1"/>
    </xf>
    <xf numFmtId="0" fontId="28" fillId="0" borderId="5" xfId="0" applyFont="1" applyFill="1" applyBorder="1" applyAlignment="1" applyProtection="1">
      <alignment horizontal="center" vertical="center" wrapText="1"/>
      <protection hidden="1"/>
    </xf>
    <xf numFmtId="0" fontId="17" fillId="0" borderId="5" xfId="0" applyFont="1" applyBorder="1" applyAlignment="1" applyProtection="1">
      <alignment horizontal="center" vertical="center"/>
      <protection hidden="1"/>
    </xf>
    <xf numFmtId="0" fontId="33" fillId="0" borderId="5" xfId="0" applyFont="1" applyFill="1" applyBorder="1" applyAlignment="1" applyProtection="1">
      <alignment horizontal="center" vertical="center"/>
      <protection hidden="1"/>
    </xf>
    <xf numFmtId="0" fontId="27" fillId="0" borderId="5" xfId="0" applyFont="1" applyBorder="1" applyAlignment="1" applyProtection="1">
      <alignment horizontal="center" vertical="center"/>
      <protection hidden="1"/>
    </xf>
    <xf numFmtId="0" fontId="34" fillId="0" borderId="0" xfId="0" applyFont="1" applyAlignment="1" applyProtection="1">
      <alignment horizontal="right"/>
      <protection hidden="1"/>
    </xf>
    <xf numFmtId="0" fontId="17" fillId="0" borderId="10" xfId="0" applyFont="1" applyBorder="1" applyAlignment="1" applyProtection="1">
      <alignment horizontal="center"/>
      <protection hidden="1"/>
    </xf>
    <xf numFmtId="0" fontId="35" fillId="0" borderId="0" xfId="0" applyFont="1" applyAlignment="1" applyProtection="1">
      <alignment horizontal="right"/>
      <protection hidden="1"/>
    </xf>
    <xf numFmtId="0" fontId="35" fillId="0" borderId="5" xfId="0" applyFont="1" applyBorder="1" applyAlignment="1" applyProtection="1">
      <alignment horizontal="center"/>
      <protection hidden="1"/>
    </xf>
    <xf numFmtId="0" fontId="37" fillId="6" borderId="1" xfId="0" applyFont="1" applyFill="1" applyBorder="1" applyProtection="1">
      <protection hidden="1"/>
    </xf>
    <xf numFmtId="0" fontId="17" fillId="6" borderId="2" xfId="0" applyFont="1" applyFill="1" applyBorder="1" applyProtection="1">
      <protection hidden="1"/>
    </xf>
    <xf numFmtId="0" fontId="17" fillId="6" borderId="3" xfId="0" applyFont="1" applyFill="1" applyBorder="1" applyProtection="1">
      <protection hidden="1"/>
    </xf>
    <xf numFmtId="0" fontId="17" fillId="6" borderId="11" xfId="0" applyFont="1" applyFill="1" applyBorder="1" applyProtection="1">
      <protection hidden="1"/>
    </xf>
    <xf numFmtId="0" fontId="40" fillId="0" borderId="0" xfId="0" applyFont="1" applyAlignment="1" applyProtection="1">
      <alignment vertical="center"/>
      <protection hidden="1"/>
    </xf>
    <xf numFmtId="0" fontId="19" fillId="4" borderId="18" xfId="0" applyFont="1" applyFill="1" applyBorder="1" applyAlignment="1" applyProtection="1">
      <alignment horizontal="center" vertical="center" wrapText="1"/>
      <protection hidden="1"/>
    </xf>
    <xf numFmtId="0" fontId="47" fillId="7" borderId="0" xfId="0" applyFont="1" applyFill="1" applyAlignment="1" applyProtection="1">
      <alignment horizontal="center" vertical="center"/>
      <protection hidden="1"/>
    </xf>
    <xf numFmtId="0" fontId="17" fillId="6" borderId="11" xfId="0" applyFont="1" applyFill="1" applyBorder="1" applyAlignment="1" applyProtection="1">
      <alignment horizontal="center" vertical="center"/>
      <protection hidden="1"/>
    </xf>
    <xf numFmtId="0" fontId="17" fillId="5" borderId="11" xfId="0" applyFont="1" applyFill="1" applyBorder="1" applyAlignment="1" applyProtection="1">
      <alignment horizontal="center" vertical="center"/>
      <protection hidden="1"/>
    </xf>
    <xf numFmtId="0" fontId="17" fillId="0" borderId="0" xfId="0" applyFont="1" applyAlignment="1" applyProtection="1">
      <alignment vertical="center"/>
      <protection hidden="1"/>
    </xf>
    <xf numFmtId="0" fontId="0" fillId="0" borderId="5" xfId="0" applyBorder="1" applyAlignment="1">
      <alignment horizontal="center" vertical="center"/>
    </xf>
    <xf numFmtId="0" fontId="17" fillId="0" borderId="0" xfId="0" applyFont="1" applyAlignment="1" applyProtection="1">
      <alignment horizontal="justify"/>
      <protection hidden="1"/>
    </xf>
    <xf numFmtId="0" fontId="2" fillId="0" borderId="0" xfId="0" applyFont="1" applyAlignment="1">
      <alignment horizontal="justify" vertical="center" wrapText="1"/>
    </xf>
    <xf numFmtId="0" fontId="5" fillId="8" borderId="5" xfId="0" applyFont="1" applyFill="1" applyBorder="1" applyAlignment="1" applyProtection="1">
      <alignment wrapText="1"/>
    </xf>
    <xf numFmtId="0" fontId="5" fillId="8" borderId="5" xfId="0" applyFont="1" applyFill="1" applyBorder="1" applyAlignment="1" applyProtection="1">
      <alignment vertical="center" wrapText="1"/>
    </xf>
    <xf numFmtId="0" fontId="2" fillId="8" borderId="5" xfId="0" applyFont="1" applyFill="1" applyBorder="1" applyAlignment="1" applyProtection="1">
      <alignment horizontal="center" vertical="center" wrapText="1"/>
    </xf>
    <xf numFmtId="0" fontId="5" fillId="8" borderId="5" xfId="0" applyFont="1" applyFill="1" applyBorder="1" applyAlignment="1" applyProtection="1">
      <alignment horizontal="center" wrapText="1"/>
    </xf>
    <xf numFmtId="0" fontId="0" fillId="0" borderId="0" xfId="0" applyFont="1" applyAlignment="1" applyProtection="1">
      <alignment wrapText="1"/>
      <protection hidden="1"/>
    </xf>
    <xf numFmtId="0" fontId="0" fillId="0" borderId="0" xfId="0" applyFont="1" applyProtection="1">
      <protection hidden="1"/>
    </xf>
    <xf numFmtId="0" fontId="0" fillId="9" borderId="5" xfId="0" applyFont="1" applyFill="1" applyBorder="1" applyProtection="1">
      <protection locked="0"/>
    </xf>
    <xf numFmtId="165" fontId="2" fillId="2" borderId="7" xfId="1" applyNumberFormat="1" applyFont="1" applyFill="1" applyBorder="1" applyAlignment="1" applyProtection="1">
      <alignment horizontal="center" vertical="center" wrapText="1"/>
      <protection hidden="1"/>
    </xf>
    <xf numFmtId="0" fontId="17" fillId="0" borderId="0" xfId="0" applyFont="1" applyBorder="1" applyProtection="1">
      <protection hidden="1"/>
    </xf>
    <xf numFmtId="14" fontId="0" fillId="9" borderId="5" xfId="0" applyNumberFormat="1" applyFont="1" applyFill="1" applyBorder="1" applyProtection="1">
      <protection locked="0"/>
    </xf>
    <xf numFmtId="14" fontId="18" fillId="8" borderId="5" xfId="0" applyNumberFormat="1" applyFont="1" applyFill="1" applyBorder="1" applyAlignment="1" applyProtection="1">
      <alignment horizontal="center"/>
      <protection hidden="1"/>
    </xf>
    <xf numFmtId="0" fontId="18" fillId="8" borderId="5" xfId="0" applyFont="1" applyFill="1" applyBorder="1" applyAlignment="1" applyProtection="1">
      <alignment horizontal="center" vertical="center" shrinkToFit="1"/>
      <protection hidden="1"/>
    </xf>
    <xf numFmtId="0" fontId="18" fillId="8" borderId="5" xfId="0" applyFont="1" applyFill="1" applyBorder="1" applyAlignment="1" applyProtection="1">
      <alignment horizontal="center" shrinkToFit="1"/>
      <protection hidden="1"/>
    </xf>
    <xf numFmtId="0" fontId="6" fillId="3" borderId="5" xfId="0" applyFont="1" applyFill="1" applyBorder="1" applyAlignment="1" applyProtection="1">
      <alignment horizontal="left" vertical="center" wrapText="1" shrinkToFit="1"/>
      <protection locked="0" hidden="1"/>
    </xf>
    <xf numFmtId="0" fontId="6" fillId="0" borderId="0" xfId="0" applyFont="1" applyAlignment="1" applyProtection="1">
      <alignment horizontal="left" vertical="center" wrapText="1" shrinkToFit="1"/>
      <protection hidden="1"/>
    </xf>
    <xf numFmtId="10" fontId="6" fillId="2" borderId="5" xfId="1"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15" fillId="0" borderId="0" xfId="0" applyFont="1" applyAlignment="1">
      <alignment horizontal="center" wrapText="1"/>
    </xf>
    <xf numFmtId="0" fontId="5" fillId="0" borderId="0" xfId="0" applyFont="1" applyAlignment="1">
      <alignment horizontal="center" wrapText="1"/>
    </xf>
    <xf numFmtId="0" fontId="14" fillId="0" borderId="0" xfId="0" applyFont="1" applyAlignment="1">
      <alignment horizontal="center" wrapText="1"/>
    </xf>
    <xf numFmtId="0" fontId="2" fillId="0" borderId="0" xfId="0" applyFont="1" applyAlignment="1">
      <alignment horizontal="left" vertical="center" wrapText="1"/>
    </xf>
    <xf numFmtId="0" fontId="49" fillId="0" borderId="0" xfId="3" applyAlignment="1">
      <alignment horizontal="center" vertical="center" wrapText="1"/>
    </xf>
    <xf numFmtId="0" fontId="2" fillId="0" borderId="0" xfId="0" applyFont="1" applyAlignment="1">
      <alignment horizontal="justify" vertical="center" wrapText="1"/>
    </xf>
    <xf numFmtId="0" fontId="0" fillId="0" borderId="0" xfId="0" applyFont="1" applyAlignment="1">
      <alignment horizontal="justify" vertical="center" wrapText="1"/>
    </xf>
    <xf numFmtId="0" fontId="5" fillId="0" borderId="0" xfId="0" applyFont="1" applyAlignment="1">
      <alignment horizontal="justify" vertical="center" wrapText="1"/>
    </xf>
    <xf numFmtId="0" fontId="10" fillId="0" borderId="7" xfId="0" applyFont="1" applyBorder="1" applyAlignment="1" applyProtection="1">
      <alignment horizontal="left" vertical="center" wrapText="1"/>
      <protection hidden="1"/>
    </xf>
    <xf numFmtId="0" fontId="8" fillId="8" borderId="13" xfId="0" applyFont="1" applyFill="1" applyBorder="1" applyAlignment="1" applyProtection="1">
      <alignment horizontal="center" wrapText="1"/>
      <protection hidden="1"/>
    </xf>
    <xf numFmtId="0" fontId="8" fillId="8" borderId="15" xfId="0" applyFont="1" applyFill="1" applyBorder="1" applyAlignment="1" applyProtection="1">
      <alignment horizontal="center" wrapText="1"/>
      <protection hidden="1"/>
    </xf>
    <xf numFmtId="0" fontId="5" fillId="0" borderId="0" xfId="0" applyFont="1" applyAlignment="1" applyProtection="1">
      <alignment horizontal="center" wrapText="1"/>
      <protection hidden="1"/>
    </xf>
    <xf numFmtId="14" fontId="5" fillId="3" borderId="9" xfId="0" applyNumberFormat="1" applyFont="1" applyFill="1" applyBorder="1" applyAlignment="1" applyProtection="1">
      <alignment horizontal="center" vertical="center" wrapText="1"/>
      <protection locked="0" hidden="1"/>
    </xf>
    <xf numFmtId="14" fontId="5" fillId="3" borderId="6" xfId="0" applyNumberFormat="1" applyFont="1" applyFill="1" applyBorder="1" applyAlignment="1" applyProtection="1">
      <alignment horizontal="center" vertical="center" wrapText="1"/>
      <protection locked="0" hidden="1"/>
    </xf>
    <xf numFmtId="14" fontId="5" fillId="3" borderId="10" xfId="0" applyNumberFormat="1" applyFont="1" applyFill="1" applyBorder="1" applyAlignment="1" applyProtection="1">
      <alignment horizontal="center" vertical="center" wrapText="1"/>
      <protection locked="0" hidden="1"/>
    </xf>
    <xf numFmtId="0" fontId="5" fillId="3" borderId="6" xfId="0" applyFont="1" applyFill="1" applyBorder="1" applyAlignment="1" applyProtection="1">
      <alignment horizontal="center" vertical="center" wrapText="1"/>
      <protection locked="0" hidden="1"/>
    </xf>
    <xf numFmtId="0" fontId="5" fillId="3" borderId="10" xfId="0" applyFont="1" applyFill="1" applyBorder="1" applyAlignment="1" applyProtection="1">
      <alignment horizontal="center" vertical="center" wrapText="1"/>
      <protection locked="0" hidden="1"/>
    </xf>
    <xf numFmtId="0" fontId="5" fillId="3" borderId="9" xfId="0" applyFont="1" applyFill="1" applyBorder="1" applyAlignment="1" applyProtection="1">
      <alignment horizontal="center" vertical="center" wrapText="1"/>
      <protection locked="0" hidden="1"/>
    </xf>
    <xf numFmtId="0" fontId="5" fillId="0" borderId="0" xfId="0" applyFont="1" applyAlignment="1" applyProtection="1">
      <alignment horizontal="left" wrapText="1"/>
      <protection hidden="1"/>
    </xf>
    <xf numFmtId="0" fontId="2" fillId="0" borderId="0" xfId="0" applyFont="1" applyAlignment="1" applyProtection="1">
      <alignment horizontal="justify" vertical="center" wrapText="1"/>
      <protection hidden="1"/>
    </xf>
    <xf numFmtId="0" fontId="5" fillId="3" borderId="1" xfId="0" applyFont="1" applyFill="1" applyBorder="1" applyAlignment="1" applyProtection="1">
      <alignment horizontal="center" vertical="center" wrapText="1"/>
      <protection locked="0" hidden="1"/>
    </xf>
    <xf numFmtId="0" fontId="5" fillId="3" borderId="2" xfId="0" applyFont="1" applyFill="1" applyBorder="1" applyAlignment="1" applyProtection="1">
      <alignment horizontal="center" vertical="center" wrapText="1"/>
      <protection locked="0" hidden="1"/>
    </xf>
    <xf numFmtId="0" fontId="5" fillId="3" borderId="3" xfId="0" applyFont="1" applyFill="1" applyBorder="1" applyAlignment="1" applyProtection="1">
      <alignment horizontal="center" vertical="center" wrapText="1"/>
      <protection locked="0" hidden="1"/>
    </xf>
    <xf numFmtId="0" fontId="5" fillId="3" borderId="11" xfId="0" applyFont="1" applyFill="1" applyBorder="1" applyAlignment="1" applyProtection="1">
      <alignment horizontal="center" vertical="center" wrapText="1"/>
      <protection locked="0" hidden="1"/>
    </xf>
    <xf numFmtId="0" fontId="5" fillId="3" borderId="0" xfId="0" applyFont="1" applyFill="1" applyBorder="1" applyAlignment="1" applyProtection="1">
      <alignment horizontal="center" vertical="center" wrapText="1"/>
      <protection locked="0" hidden="1"/>
    </xf>
    <xf numFmtId="0" fontId="5" fillId="3" borderId="4" xfId="0" applyFont="1" applyFill="1" applyBorder="1" applyAlignment="1" applyProtection="1">
      <alignment horizontal="center" vertical="center" wrapText="1"/>
      <protection locked="0" hidden="1"/>
    </xf>
    <xf numFmtId="0" fontId="5" fillId="3" borderId="12" xfId="0" applyFont="1" applyFill="1" applyBorder="1" applyAlignment="1" applyProtection="1">
      <alignment horizontal="center" vertical="center" wrapText="1"/>
      <protection locked="0" hidden="1"/>
    </xf>
    <xf numFmtId="0" fontId="5" fillId="3" borderId="7" xfId="0" applyFont="1" applyFill="1" applyBorder="1" applyAlignment="1" applyProtection="1">
      <alignment horizontal="center" vertical="center" wrapText="1"/>
      <protection locked="0" hidden="1"/>
    </xf>
    <xf numFmtId="0" fontId="5" fillId="3" borderId="8" xfId="0" applyFont="1" applyFill="1" applyBorder="1" applyAlignment="1" applyProtection="1">
      <alignment horizontal="center" vertical="center" wrapText="1"/>
      <protection locked="0" hidden="1"/>
    </xf>
    <xf numFmtId="0" fontId="2" fillId="2" borderId="0" xfId="0" applyFont="1" applyFill="1" applyAlignment="1" applyProtection="1">
      <alignment horizontal="left" wrapText="1"/>
      <protection hidden="1"/>
    </xf>
    <xf numFmtId="0" fontId="7" fillId="0" borderId="0" xfId="0" applyFont="1" applyAlignment="1" applyProtection="1">
      <alignment horizontal="justify" vertical="center" wrapText="1"/>
      <protection hidden="1"/>
    </xf>
    <xf numFmtId="0" fontId="2" fillId="0" borderId="4" xfId="0" applyFont="1" applyBorder="1" applyAlignment="1" applyProtection="1">
      <alignment horizontal="center" vertical="center" textRotation="90" wrapText="1"/>
      <protection hidden="1"/>
    </xf>
    <xf numFmtId="0" fontId="5" fillId="0" borderId="7" xfId="0" applyFont="1" applyBorder="1" applyAlignment="1" applyProtection="1">
      <alignment horizontal="left" wrapText="1"/>
      <protection hidden="1"/>
    </xf>
    <xf numFmtId="0" fontId="1" fillId="3" borderId="1" xfId="0" applyFont="1" applyFill="1" applyBorder="1" applyAlignment="1" applyProtection="1">
      <alignment horizontal="center" vertical="center" wrapText="1"/>
      <protection locked="0" hidden="1"/>
    </xf>
    <xf numFmtId="0" fontId="0" fillId="3" borderId="1" xfId="0" applyFont="1" applyFill="1" applyBorder="1" applyAlignment="1" applyProtection="1">
      <alignment horizontal="center" vertical="center" wrapText="1"/>
      <protection locked="0" hidden="1"/>
    </xf>
    <xf numFmtId="0" fontId="5" fillId="0" borderId="0" xfId="0" applyFont="1" applyAlignment="1" applyProtection="1">
      <alignment horizontal="left" vertical="center" wrapText="1"/>
      <protection hidden="1"/>
    </xf>
    <xf numFmtId="0" fontId="2" fillId="2" borderId="0" xfId="0" applyFont="1" applyFill="1" applyBorder="1" applyAlignment="1" applyProtection="1">
      <alignment horizontal="right" wrapText="1"/>
      <protection hidden="1"/>
    </xf>
    <xf numFmtId="0" fontId="2" fillId="2" borderId="2" xfId="0" applyFont="1" applyFill="1" applyBorder="1" applyAlignment="1" applyProtection="1">
      <alignment horizontal="center" vertical="center" wrapText="1"/>
      <protection hidden="1"/>
    </xf>
    <xf numFmtId="0" fontId="2" fillId="2" borderId="0" xfId="0" applyFont="1" applyFill="1" applyBorder="1" applyAlignment="1" applyProtection="1">
      <alignment horizontal="center" vertical="center" wrapText="1"/>
      <protection hidden="1"/>
    </xf>
    <xf numFmtId="0" fontId="0" fillId="0" borderId="0" xfId="0" applyAlignment="1" applyProtection="1">
      <alignment horizontal="left" wrapText="1"/>
      <protection hidden="1"/>
    </xf>
    <xf numFmtId="0" fontId="5" fillId="8" borderId="9" xfId="0" applyFont="1" applyFill="1" applyBorder="1" applyAlignment="1" applyProtection="1">
      <alignment horizontal="center" vertical="center" wrapText="1"/>
    </xf>
    <xf numFmtId="0" fontId="5" fillId="8" borderId="6" xfId="0" applyFont="1" applyFill="1" applyBorder="1" applyAlignment="1" applyProtection="1">
      <alignment horizontal="center" vertical="center" wrapText="1"/>
    </xf>
    <xf numFmtId="0" fontId="5" fillId="8" borderId="10" xfId="0" applyFont="1" applyFill="1" applyBorder="1" applyAlignment="1" applyProtection="1">
      <alignment horizontal="center" vertical="center" wrapText="1"/>
    </xf>
    <xf numFmtId="0" fontId="2" fillId="0" borderId="9" xfId="0" applyFont="1" applyBorder="1" applyAlignment="1" applyProtection="1">
      <alignment horizontal="center" vertical="center" textRotation="90" wrapText="1"/>
      <protection hidden="1"/>
    </xf>
    <xf numFmtId="0" fontId="2" fillId="0" borderId="6" xfId="0" applyFont="1" applyBorder="1" applyAlignment="1" applyProtection="1">
      <alignment horizontal="center" vertical="center" textRotation="90" wrapText="1"/>
      <protection hidden="1"/>
    </xf>
    <xf numFmtId="0" fontId="2" fillId="0" borderId="10" xfId="0" applyFont="1" applyBorder="1" applyAlignment="1" applyProtection="1">
      <alignment horizontal="center" vertical="center" textRotation="90" wrapText="1"/>
      <protection hidden="1"/>
    </xf>
    <xf numFmtId="0" fontId="5" fillId="0" borderId="0" xfId="0" applyFont="1" applyBorder="1" applyAlignment="1" applyProtection="1">
      <alignment horizontal="justify" vertical="center" wrapText="1"/>
      <protection hidden="1"/>
    </xf>
    <xf numFmtId="0" fontId="5" fillId="0" borderId="4" xfId="0" applyFont="1" applyBorder="1" applyAlignment="1" applyProtection="1">
      <alignment horizontal="justify" vertical="center" wrapText="1"/>
      <protection hidden="1"/>
    </xf>
    <xf numFmtId="0" fontId="1" fillId="8" borderId="9" xfId="0" applyFont="1" applyFill="1" applyBorder="1" applyAlignment="1" applyProtection="1">
      <alignment horizontal="center" vertical="center" wrapText="1"/>
    </xf>
    <xf numFmtId="0" fontId="2" fillId="0" borderId="0" xfId="0" applyFont="1" applyAlignment="1">
      <alignment horizontal="left" wrapText="1"/>
    </xf>
    <xf numFmtId="0" fontId="2" fillId="2" borderId="0" xfId="0" applyFont="1" applyFill="1" applyAlignment="1">
      <alignment horizontal="left" wrapText="1"/>
    </xf>
    <xf numFmtId="0" fontId="2" fillId="2" borderId="0" xfId="0" applyFont="1" applyFill="1" applyAlignment="1">
      <alignment horizontal="left" vertical="center" wrapText="1"/>
    </xf>
    <xf numFmtId="0" fontId="2" fillId="8" borderId="9" xfId="0" applyFont="1" applyFill="1" applyBorder="1" applyAlignment="1" applyProtection="1">
      <alignment horizontal="center" vertical="center" wrapText="1"/>
    </xf>
    <xf numFmtId="0" fontId="2" fillId="8" borderId="10" xfId="0" applyFont="1" applyFill="1" applyBorder="1" applyAlignment="1" applyProtection="1">
      <alignment horizontal="center" vertical="center" wrapText="1"/>
    </xf>
    <xf numFmtId="0" fontId="2" fillId="2" borderId="0" xfId="0" applyFont="1" applyFill="1" applyAlignment="1">
      <alignment horizontal="right" vertical="center" wrapText="1"/>
    </xf>
    <xf numFmtId="0" fontId="5" fillId="0" borderId="0" xfId="0" applyFont="1" applyBorder="1" applyAlignment="1">
      <alignment horizontal="left" vertical="center" wrapText="1"/>
    </xf>
    <xf numFmtId="0" fontId="7" fillId="0" borderId="0" xfId="0" applyFont="1" applyAlignment="1">
      <alignment horizontal="left" vertical="center" wrapText="1"/>
    </xf>
    <xf numFmtId="0" fontId="5" fillId="0" borderId="7" xfId="0" applyFont="1" applyBorder="1" applyAlignment="1">
      <alignment horizontal="left" vertical="center" wrapText="1"/>
    </xf>
    <xf numFmtId="0" fontId="2" fillId="0" borderId="4" xfId="0" applyFont="1" applyBorder="1" applyAlignment="1">
      <alignment horizontal="center" vertical="center" textRotation="90" wrapText="1"/>
    </xf>
    <xf numFmtId="0" fontId="2" fillId="0" borderId="9" xfId="0" applyFont="1" applyBorder="1" applyAlignment="1">
      <alignment horizontal="center" vertical="center" textRotation="90" wrapText="1"/>
    </xf>
    <xf numFmtId="0" fontId="2" fillId="0" borderId="6" xfId="0" applyFont="1" applyBorder="1" applyAlignment="1">
      <alignment horizontal="center" vertical="center" textRotation="90" wrapText="1"/>
    </xf>
    <xf numFmtId="0" fontId="2" fillId="0" borderId="10" xfId="0" applyFont="1" applyBorder="1" applyAlignment="1">
      <alignment horizontal="center" vertical="center" textRotation="90" wrapText="1"/>
    </xf>
    <xf numFmtId="0" fontId="5" fillId="0" borderId="0" xfId="0" applyFont="1" applyAlignment="1">
      <alignment horizontal="left" wrapText="1"/>
    </xf>
    <xf numFmtId="0" fontId="5" fillId="3" borderId="1" xfId="0" applyFont="1" applyFill="1" applyBorder="1" applyAlignment="1" applyProtection="1">
      <alignment horizontal="center" vertical="center" wrapText="1"/>
      <protection locked="0"/>
    </xf>
    <xf numFmtId="0" fontId="5" fillId="3" borderId="2" xfId="0" applyFont="1" applyFill="1" applyBorder="1" applyAlignment="1" applyProtection="1">
      <alignment horizontal="center" vertical="center" wrapText="1"/>
      <protection locked="0"/>
    </xf>
    <xf numFmtId="0" fontId="5" fillId="3" borderId="3" xfId="0" applyFont="1" applyFill="1" applyBorder="1" applyAlignment="1" applyProtection="1">
      <alignment horizontal="center" vertical="center" wrapText="1"/>
      <protection locked="0"/>
    </xf>
    <xf numFmtId="0" fontId="5" fillId="3" borderId="11" xfId="0" applyFont="1" applyFill="1" applyBorder="1" applyAlignment="1" applyProtection="1">
      <alignment horizontal="center" vertical="center" wrapText="1"/>
      <protection locked="0"/>
    </xf>
    <xf numFmtId="0" fontId="5" fillId="3" borderId="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wrapText="1"/>
      <protection locked="0"/>
    </xf>
    <xf numFmtId="0" fontId="5" fillId="3" borderId="12" xfId="0" applyFont="1" applyFill="1" applyBorder="1" applyAlignment="1" applyProtection="1">
      <alignment horizontal="center" vertical="center" wrapText="1"/>
      <protection locked="0"/>
    </xf>
    <xf numFmtId="0" fontId="5" fillId="3" borderId="7" xfId="0" applyFont="1" applyFill="1" applyBorder="1" applyAlignment="1" applyProtection="1">
      <alignment horizontal="center" vertical="center" wrapText="1"/>
      <protection locked="0"/>
    </xf>
    <xf numFmtId="0" fontId="5" fillId="3" borderId="8" xfId="0" applyFont="1" applyFill="1" applyBorder="1" applyAlignment="1" applyProtection="1">
      <alignment horizontal="center" vertical="center" wrapText="1"/>
      <protection locked="0"/>
    </xf>
    <xf numFmtId="0" fontId="2" fillId="2" borderId="0" xfId="0" applyFont="1" applyFill="1" applyAlignment="1">
      <alignment horizontal="center" wrapText="1"/>
    </xf>
    <xf numFmtId="9" fontId="2" fillId="2" borderId="0" xfId="1" applyFont="1" applyFill="1" applyAlignment="1" applyProtection="1">
      <alignment horizontal="center" vertical="center" wrapText="1"/>
      <protection hidden="1"/>
    </xf>
    <xf numFmtId="0" fontId="2" fillId="2" borderId="0" xfId="0" applyFont="1" applyFill="1" applyAlignment="1">
      <alignment horizontal="right" wrapText="1"/>
    </xf>
    <xf numFmtId="9" fontId="2" fillId="2" borderId="7" xfId="1" applyFont="1" applyFill="1" applyBorder="1" applyAlignment="1" applyProtection="1">
      <alignment horizontal="center" vertical="center" wrapText="1"/>
      <protection hidden="1"/>
    </xf>
    <xf numFmtId="0" fontId="5" fillId="0" borderId="0" xfId="0" applyFont="1" applyAlignment="1">
      <alignment horizontal="center" vertical="center" wrapText="1"/>
    </xf>
    <xf numFmtId="0" fontId="0" fillId="3" borderId="1" xfId="0" applyFont="1" applyFill="1" applyBorder="1" applyAlignment="1" applyProtection="1">
      <alignment horizontal="center" vertical="center" wrapText="1"/>
      <protection locked="0"/>
    </xf>
    <xf numFmtId="0" fontId="0" fillId="0" borderId="0" xfId="0" applyFont="1" applyBorder="1" applyAlignment="1">
      <alignment horizontal="left" vertical="center" wrapText="1"/>
    </xf>
    <xf numFmtId="0" fontId="5" fillId="0" borderId="4" xfId="0" applyFont="1" applyBorder="1" applyAlignment="1">
      <alignment horizontal="left" vertical="center" wrapText="1"/>
    </xf>
    <xf numFmtId="0" fontId="6" fillId="0" borderId="0" xfId="0" applyFont="1" applyAlignment="1">
      <alignment horizontal="left" vertical="center" wrapText="1"/>
    </xf>
    <xf numFmtId="0" fontId="5" fillId="0" borderId="0" xfId="0" applyFont="1" applyBorder="1" applyAlignment="1">
      <alignment horizontal="left" wrapText="1"/>
    </xf>
    <xf numFmtId="0" fontId="2" fillId="2" borderId="0" xfId="0" applyFont="1" applyFill="1" applyBorder="1" applyAlignment="1">
      <alignment horizontal="right" wrapText="1"/>
    </xf>
    <xf numFmtId="0" fontId="9" fillId="0" borderId="9" xfId="0" applyFont="1" applyBorder="1" applyAlignment="1">
      <alignment horizontal="center" vertical="center" textRotation="90" wrapText="1"/>
    </xf>
    <xf numFmtId="0" fontId="9" fillId="0" borderId="6" xfId="0" applyFont="1" applyBorder="1" applyAlignment="1">
      <alignment horizontal="center" vertical="center" textRotation="90" wrapText="1"/>
    </xf>
    <xf numFmtId="0" fontId="9" fillId="0" borderId="10" xfId="0" applyFont="1" applyBorder="1" applyAlignment="1">
      <alignment horizontal="center" vertical="center" textRotation="90" wrapText="1"/>
    </xf>
    <xf numFmtId="0" fontId="5" fillId="0" borderId="0" xfId="0" applyFont="1" applyAlignment="1">
      <alignment horizontal="left" vertical="center" wrapText="1"/>
    </xf>
    <xf numFmtId="0" fontId="5" fillId="0" borderId="0" xfId="0" applyFont="1" applyBorder="1" applyAlignment="1">
      <alignment horizontal="center" wrapText="1"/>
    </xf>
    <xf numFmtId="0" fontId="5" fillId="3" borderId="9" xfId="0" applyFont="1" applyFill="1" applyBorder="1" applyAlignment="1" applyProtection="1">
      <alignment horizontal="center" vertical="center" wrapText="1"/>
      <protection locked="0"/>
    </xf>
    <xf numFmtId="0" fontId="5" fillId="3" borderId="6" xfId="0" applyFont="1" applyFill="1" applyBorder="1" applyAlignment="1" applyProtection="1">
      <alignment horizontal="center" vertical="center" wrapText="1"/>
      <protection locked="0"/>
    </xf>
    <xf numFmtId="0" fontId="5" fillId="3" borderId="10" xfId="0" applyFont="1" applyFill="1" applyBorder="1" applyAlignment="1" applyProtection="1">
      <alignment horizontal="center" vertical="center" wrapText="1"/>
      <protection locked="0"/>
    </xf>
    <xf numFmtId="9" fontId="9" fillId="2" borderId="7" xfId="1" applyFont="1" applyFill="1" applyBorder="1" applyAlignment="1" applyProtection="1">
      <alignment horizontal="center" vertical="center" wrapText="1"/>
      <protection hidden="1"/>
    </xf>
    <xf numFmtId="0" fontId="10" fillId="0" borderId="0" xfId="0" applyFont="1" applyAlignment="1">
      <alignment horizontal="left" wrapText="1"/>
    </xf>
    <xf numFmtId="0" fontId="9" fillId="2" borderId="0" xfId="0" applyFont="1" applyFill="1" applyAlignment="1" applyProtection="1">
      <alignment horizontal="center" vertical="center" wrapText="1"/>
      <protection hidden="1"/>
    </xf>
    <xf numFmtId="0" fontId="2" fillId="0" borderId="5" xfId="0" applyFont="1" applyBorder="1" applyAlignment="1" applyProtection="1">
      <alignment horizontal="center" vertical="center" textRotation="90" wrapText="1"/>
      <protection hidden="1"/>
    </xf>
    <xf numFmtId="0" fontId="2" fillId="8" borderId="5" xfId="0" applyFont="1" applyFill="1" applyBorder="1" applyAlignment="1" applyProtection="1">
      <alignment horizontal="center" vertical="center" wrapText="1"/>
    </xf>
    <xf numFmtId="0" fontId="5" fillId="0" borderId="11" xfId="0" applyFont="1" applyBorder="1" applyAlignment="1" applyProtection="1">
      <alignment horizontal="left" vertical="center" wrapText="1"/>
      <protection hidden="1"/>
    </xf>
    <xf numFmtId="0" fontId="5" fillId="0" borderId="0" xfId="0" applyFont="1" applyBorder="1" applyAlignment="1" applyProtection="1">
      <alignment horizontal="left" vertical="center" wrapText="1"/>
      <protection hidden="1"/>
    </xf>
    <xf numFmtId="0" fontId="9" fillId="0" borderId="9" xfId="0" applyFont="1" applyBorder="1" applyAlignment="1" applyProtection="1">
      <alignment horizontal="center" vertical="center" textRotation="90" wrapText="1"/>
      <protection hidden="1"/>
    </xf>
    <xf numFmtId="0" fontId="9" fillId="0" borderId="10" xfId="0" applyFont="1" applyBorder="1" applyAlignment="1" applyProtection="1">
      <alignment horizontal="center" vertical="center" textRotation="90" wrapText="1"/>
      <protection hidden="1"/>
    </xf>
    <xf numFmtId="0" fontId="7" fillId="0" borderId="0" xfId="0" applyFont="1" applyAlignment="1" applyProtection="1">
      <alignment horizontal="left" vertical="center" wrapText="1"/>
      <protection hidden="1"/>
    </xf>
    <xf numFmtId="0" fontId="2" fillId="2" borderId="0" xfId="0" applyFont="1" applyFill="1" applyAlignment="1" applyProtection="1">
      <alignment horizontal="left" vertical="center" wrapText="1"/>
      <protection hidden="1"/>
    </xf>
    <xf numFmtId="0" fontId="2" fillId="2" borderId="0" xfId="0" applyFont="1" applyFill="1" applyAlignment="1" applyProtection="1">
      <alignment horizontal="center" vertical="center" wrapText="1"/>
      <protection hidden="1"/>
    </xf>
    <xf numFmtId="0" fontId="5" fillId="0" borderId="0" xfId="0" applyFont="1" applyAlignment="1" applyProtection="1">
      <alignment horizontal="left" vertical="center"/>
    </xf>
    <xf numFmtId="0" fontId="2" fillId="2" borderId="0" xfId="0" applyFont="1" applyFill="1" applyAlignment="1" applyProtection="1">
      <alignment horizontal="left" wrapText="1"/>
    </xf>
    <xf numFmtId="0" fontId="2" fillId="0" borderId="4" xfId="0" applyFont="1" applyBorder="1" applyAlignment="1" applyProtection="1">
      <alignment horizontal="center" vertical="center" textRotation="90" wrapText="1"/>
    </xf>
    <xf numFmtId="0" fontId="2" fillId="2" borderId="0" xfId="0" applyFont="1" applyFill="1" applyAlignment="1" applyProtection="1">
      <alignment horizontal="left" vertical="center" wrapText="1"/>
    </xf>
    <xf numFmtId="0" fontId="2" fillId="2" borderId="0" xfId="0" applyFont="1" applyFill="1" applyAlignment="1" applyProtection="1">
      <alignment horizontal="center" vertical="center" wrapText="1"/>
    </xf>
    <xf numFmtId="0" fontId="5" fillId="0" borderId="0" xfId="0" applyFont="1" applyBorder="1" applyAlignment="1" applyProtection="1">
      <alignment horizontal="left" wrapText="1"/>
    </xf>
    <xf numFmtId="0" fontId="5" fillId="0" borderId="7" xfId="0" applyFont="1" applyBorder="1" applyAlignment="1" applyProtection="1">
      <alignment horizontal="left" wrapText="1"/>
    </xf>
    <xf numFmtId="0" fontId="2" fillId="0" borderId="9" xfId="0" applyFont="1" applyBorder="1" applyAlignment="1" applyProtection="1">
      <alignment horizontal="center" vertical="center" textRotation="90" wrapText="1"/>
    </xf>
    <xf numFmtId="0" fontId="2" fillId="0" borderId="6" xfId="0" applyFont="1" applyBorder="1" applyAlignment="1" applyProtection="1">
      <alignment horizontal="center" vertical="center" textRotation="90" wrapText="1"/>
    </xf>
    <xf numFmtId="0" fontId="2" fillId="0" borderId="10" xfId="0" applyFont="1" applyBorder="1" applyAlignment="1" applyProtection="1">
      <alignment horizontal="center" vertical="center" textRotation="90" wrapText="1"/>
    </xf>
    <xf numFmtId="0" fontId="1" fillId="3" borderId="1" xfId="0" applyFont="1" applyFill="1" applyBorder="1" applyAlignment="1" applyProtection="1">
      <alignment horizontal="center" vertical="center" wrapText="1"/>
      <protection locked="0"/>
    </xf>
    <xf numFmtId="0" fontId="2" fillId="3" borderId="1" xfId="0" applyFont="1" applyFill="1" applyBorder="1" applyAlignment="1" applyProtection="1">
      <alignment horizontal="center" wrapText="1"/>
      <protection locked="0"/>
    </xf>
    <xf numFmtId="0" fontId="2" fillId="3" borderId="2" xfId="0" applyFont="1" applyFill="1" applyBorder="1" applyAlignment="1" applyProtection="1">
      <alignment horizontal="center" wrapText="1"/>
      <protection locked="0"/>
    </xf>
    <xf numFmtId="0" fontId="2" fillId="3" borderId="3" xfId="0" applyFont="1" applyFill="1" applyBorder="1" applyAlignment="1" applyProtection="1">
      <alignment horizontal="center" wrapText="1"/>
      <protection locked="0"/>
    </xf>
    <xf numFmtId="0" fontId="2" fillId="3" borderId="11" xfId="0" applyFont="1" applyFill="1" applyBorder="1" applyAlignment="1" applyProtection="1">
      <alignment horizontal="center" wrapText="1"/>
      <protection locked="0"/>
    </xf>
    <xf numFmtId="0" fontId="2" fillId="3" borderId="0" xfId="0" applyFont="1" applyFill="1" applyBorder="1" applyAlignment="1" applyProtection="1">
      <alignment horizontal="center" wrapText="1"/>
      <protection locked="0"/>
    </xf>
    <xf numFmtId="0" fontId="2" fillId="3" borderId="4" xfId="0" applyFont="1" applyFill="1" applyBorder="1" applyAlignment="1" applyProtection="1">
      <alignment horizontal="center" wrapText="1"/>
      <protection locked="0"/>
    </xf>
    <xf numFmtId="0" fontId="2" fillId="3" borderId="12" xfId="0" applyFont="1" applyFill="1" applyBorder="1" applyAlignment="1" applyProtection="1">
      <alignment horizontal="center" wrapText="1"/>
      <protection locked="0"/>
    </xf>
    <xf numFmtId="0" fontId="2" fillId="3" borderId="7" xfId="0" applyFont="1" applyFill="1" applyBorder="1" applyAlignment="1" applyProtection="1">
      <alignment horizontal="center" wrapText="1"/>
      <protection locked="0"/>
    </xf>
    <xf numFmtId="0" fontId="2" fillId="3" borderId="8" xfId="0" applyFont="1" applyFill="1" applyBorder="1" applyAlignment="1" applyProtection="1">
      <alignment horizontal="center" wrapText="1"/>
      <protection locked="0"/>
    </xf>
    <xf numFmtId="10" fontId="9" fillId="2" borderId="5" xfId="0" applyNumberFormat="1" applyFont="1" applyFill="1" applyBorder="1" applyAlignment="1" applyProtection="1">
      <alignment horizontal="center" vertical="center" wrapText="1"/>
      <protection hidden="1"/>
    </xf>
    <xf numFmtId="0" fontId="9" fillId="0" borderId="7" xfId="0" applyFont="1" applyBorder="1" applyAlignment="1" applyProtection="1">
      <alignment horizontal="left" vertical="center" wrapText="1"/>
    </xf>
    <xf numFmtId="0" fontId="5" fillId="0" borderId="0" xfId="0" applyFont="1" applyAlignment="1" applyProtection="1">
      <alignment horizontal="left" wrapText="1"/>
    </xf>
    <xf numFmtId="0" fontId="5" fillId="0" borderId="0" xfId="0" applyFont="1" applyBorder="1" applyAlignment="1" applyProtection="1">
      <alignment horizontal="left" vertical="center" wrapText="1"/>
    </xf>
    <xf numFmtId="0" fontId="6" fillId="3" borderId="13" xfId="0" applyFont="1" applyFill="1" applyBorder="1" applyAlignment="1" applyProtection="1">
      <alignment horizontal="center" vertical="center" wrapText="1"/>
      <protection locked="0"/>
    </xf>
    <xf numFmtId="0" fontId="6" fillId="3" borderId="15" xfId="0" applyFont="1" applyFill="1" applyBorder="1" applyAlignment="1" applyProtection="1">
      <alignment horizontal="center" vertical="center" wrapText="1"/>
      <protection locked="0"/>
    </xf>
    <xf numFmtId="49" fontId="9" fillId="0" borderId="0" xfId="0" applyNumberFormat="1" applyFont="1" applyAlignment="1" applyProtection="1">
      <alignment horizontal="center" vertical="center" textRotation="90" wrapText="1"/>
    </xf>
    <xf numFmtId="0" fontId="6" fillId="0" borderId="0" xfId="0" applyFont="1" applyBorder="1" applyAlignment="1" applyProtection="1">
      <alignment horizontal="left" vertical="center" wrapText="1"/>
    </xf>
    <xf numFmtId="0" fontId="1" fillId="3" borderId="5" xfId="0" applyFont="1" applyFill="1" applyBorder="1" applyAlignment="1" applyProtection="1">
      <alignment horizontal="center" vertical="center" wrapText="1"/>
      <protection locked="0"/>
    </xf>
    <xf numFmtId="0" fontId="5" fillId="3" borderId="5" xfId="0" applyFont="1" applyFill="1" applyBorder="1" applyAlignment="1" applyProtection="1">
      <alignment horizontal="center" vertical="center" wrapText="1"/>
      <protection locked="0"/>
    </xf>
    <xf numFmtId="0" fontId="2" fillId="2" borderId="0" xfId="0" applyFont="1" applyFill="1" applyAlignment="1">
      <alignment horizontal="center" vertical="center" wrapText="1"/>
    </xf>
    <xf numFmtId="0" fontId="10" fillId="0" borderId="0" xfId="0" applyFont="1" applyAlignment="1">
      <alignment horizontal="left" vertical="center" wrapText="1"/>
    </xf>
    <xf numFmtId="0" fontId="10" fillId="0" borderId="0" xfId="0" applyFont="1" applyAlignment="1">
      <alignment horizontal="center" vertical="center" wrapText="1"/>
    </xf>
    <xf numFmtId="0" fontId="10" fillId="3" borderId="13" xfId="0" applyFont="1" applyFill="1" applyBorder="1" applyAlignment="1" applyProtection="1">
      <alignment horizontal="center" vertical="center" wrapText="1"/>
      <protection locked="0"/>
    </xf>
    <xf numFmtId="0" fontId="10" fillId="3" borderId="14" xfId="0" applyFont="1" applyFill="1" applyBorder="1" applyAlignment="1" applyProtection="1">
      <alignment horizontal="center" vertical="center" wrapText="1"/>
      <protection locked="0"/>
    </xf>
    <xf numFmtId="0" fontId="10" fillId="3" borderId="15" xfId="0" applyFont="1" applyFill="1" applyBorder="1" applyAlignment="1" applyProtection="1">
      <alignment horizontal="center" vertical="center" wrapText="1"/>
      <protection locked="0"/>
    </xf>
    <xf numFmtId="0" fontId="10" fillId="3" borderId="1" xfId="0" applyFont="1" applyFill="1" applyBorder="1" applyAlignment="1" applyProtection="1">
      <alignment horizontal="center" vertical="center" wrapText="1"/>
      <protection locked="0"/>
    </xf>
    <xf numFmtId="0" fontId="10" fillId="3" borderId="2" xfId="0" applyFont="1" applyFill="1" applyBorder="1" applyAlignment="1" applyProtection="1">
      <alignment horizontal="center" vertical="center" wrapText="1"/>
      <protection locked="0"/>
    </xf>
    <xf numFmtId="0" fontId="10" fillId="3" borderId="3" xfId="0" applyFont="1" applyFill="1" applyBorder="1" applyAlignment="1" applyProtection="1">
      <alignment horizontal="center" vertical="center" wrapText="1"/>
      <protection locked="0"/>
    </xf>
    <xf numFmtId="0" fontId="10" fillId="3" borderId="11" xfId="0" applyFont="1" applyFill="1" applyBorder="1" applyAlignment="1" applyProtection="1">
      <alignment horizontal="center" vertical="center" wrapText="1"/>
      <protection locked="0"/>
    </xf>
    <xf numFmtId="0" fontId="10" fillId="3" borderId="0" xfId="0" applyFont="1" applyFill="1" applyBorder="1" applyAlignment="1" applyProtection="1">
      <alignment horizontal="center" vertical="center" wrapText="1"/>
      <protection locked="0"/>
    </xf>
    <xf numFmtId="0" fontId="10" fillId="3" borderId="4" xfId="0" applyFont="1" applyFill="1" applyBorder="1" applyAlignment="1" applyProtection="1">
      <alignment horizontal="center" vertical="center" wrapText="1"/>
      <protection locked="0"/>
    </xf>
    <xf numFmtId="0" fontId="10" fillId="3" borderId="12" xfId="0" applyFont="1" applyFill="1" applyBorder="1" applyAlignment="1" applyProtection="1">
      <alignment horizontal="center" vertical="center" wrapText="1"/>
      <protection locked="0"/>
    </xf>
    <xf numFmtId="0" fontId="10" fillId="3" borderId="7" xfId="0" applyFont="1" applyFill="1" applyBorder="1" applyAlignment="1" applyProtection="1">
      <alignment horizontal="center" vertical="center" wrapText="1"/>
      <protection locked="0"/>
    </xf>
    <xf numFmtId="0" fontId="10" fillId="3" borderId="8" xfId="0" applyFont="1" applyFill="1" applyBorder="1" applyAlignment="1" applyProtection="1">
      <alignment horizontal="center" vertical="center" wrapText="1"/>
      <protection locked="0"/>
    </xf>
    <xf numFmtId="0" fontId="2" fillId="3" borderId="9" xfId="0" applyFont="1" applyFill="1" applyBorder="1" applyAlignment="1" applyProtection="1">
      <alignment horizontal="center" vertical="center" wrapText="1"/>
      <protection locked="0"/>
    </xf>
    <xf numFmtId="0" fontId="2" fillId="3" borderId="10" xfId="0" applyFont="1" applyFill="1" applyBorder="1" applyAlignment="1" applyProtection="1">
      <alignment horizontal="center" vertical="center" wrapText="1"/>
      <protection locked="0"/>
    </xf>
    <xf numFmtId="0" fontId="1" fillId="0" borderId="0" xfId="0" applyFont="1" applyAlignment="1">
      <alignment horizontal="left" vertical="center" wrapText="1"/>
    </xf>
    <xf numFmtId="49" fontId="5" fillId="0" borderId="0" xfId="0" applyNumberFormat="1" applyFont="1" applyAlignment="1">
      <alignment horizontal="center" vertical="center" wrapText="1"/>
    </xf>
    <xf numFmtId="0" fontId="2" fillId="3" borderId="13" xfId="0" applyFont="1" applyFill="1" applyBorder="1" applyAlignment="1" applyProtection="1">
      <alignment horizontal="left" vertical="center" wrapText="1"/>
      <protection locked="0"/>
    </xf>
    <xf numFmtId="0" fontId="2" fillId="3" borderId="14" xfId="0" applyFont="1" applyFill="1" applyBorder="1" applyAlignment="1" applyProtection="1">
      <alignment horizontal="left" vertical="center" wrapText="1"/>
      <protection locked="0"/>
    </xf>
    <xf numFmtId="49" fontId="5" fillId="0" borderId="7" xfId="0" applyNumberFormat="1" applyFont="1" applyBorder="1" applyAlignment="1">
      <alignment horizontal="left" vertical="center" wrapText="1"/>
    </xf>
    <xf numFmtId="9" fontId="5" fillId="2" borderId="13" xfId="1" applyFont="1" applyFill="1" applyBorder="1" applyAlignment="1" applyProtection="1">
      <alignment horizontal="center" vertical="center" wrapText="1"/>
      <protection hidden="1"/>
    </xf>
    <xf numFmtId="9" fontId="5" fillId="2" borderId="15" xfId="1" applyFont="1" applyFill="1" applyBorder="1" applyAlignment="1" applyProtection="1">
      <alignment horizontal="center" vertical="center" wrapText="1"/>
      <protection hidden="1"/>
    </xf>
    <xf numFmtId="0" fontId="5" fillId="2" borderId="13" xfId="0" applyFont="1" applyFill="1" applyBorder="1" applyAlignment="1" applyProtection="1">
      <alignment horizontal="center" wrapText="1"/>
      <protection hidden="1"/>
    </xf>
    <xf numFmtId="0" fontId="5" fillId="2" borderId="15" xfId="0" applyFont="1" applyFill="1" applyBorder="1" applyAlignment="1" applyProtection="1">
      <alignment horizontal="center" wrapText="1"/>
      <protection hidden="1"/>
    </xf>
    <xf numFmtId="0" fontId="5" fillId="8" borderId="13" xfId="0" applyFont="1" applyFill="1" applyBorder="1" applyAlignment="1" applyProtection="1">
      <alignment horizontal="center" vertical="center" wrapText="1"/>
    </xf>
    <xf numFmtId="0" fontId="5" fillId="8" borderId="15" xfId="0" applyFont="1" applyFill="1" applyBorder="1" applyAlignment="1" applyProtection="1">
      <alignment horizontal="center" vertical="center" wrapText="1"/>
    </xf>
    <xf numFmtId="0" fontId="5" fillId="3" borderId="13" xfId="0" applyFont="1" applyFill="1" applyBorder="1" applyAlignment="1" applyProtection="1">
      <alignment horizontal="center" vertical="center" wrapText="1"/>
      <protection locked="0"/>
    </xf>
    <xf numFmtId="0" fontId="5" fillId="3" borderId="15" xfId="0" applyFont="1" applyFill="1" applyBorder="1" applyAlignment="1" applyProtection="1">
      <alignment horizontal="center" vertical="center" wrapText="1"/>
      <protection locked="0"/>
    </xf>
    <xf numFmtId="0" fontId="5" fillId="0" borderId="7" xfId="0" applyFont="1" applyBorder="1" applyAlignment="1">
      <alignment horizontal="left" wrapText="1"/>
    </xf>
    <xf numFmtId="0" fontId="5" fillId="3" borderId="5" xfId="0" applyFont="1" applyFill="1" applyBorder="1" applyAlignment="1" applyProtection="1">
      <alignment horizontal="center" vertical="center" wrapText="1"/>
      <protection locked="0" hidden="1"/>
    </xf>
    <xf numFmtId="0" fontId="5" fillId="0" borderId="0" xfId="0" applyFont="1" applyBorder="1" applyAlignment="1" applyProtection="1">
      <alignment horizontal="left" wrapText="1"/>
      <protection hidden="1"/>
    </xf>
    <xf numFmtId="0" fontId="5" fillId="8" borderId="5" xfId="0" applyFont="1" applyFill="1" applyBorder="1" applyAlignment="1" applyProtection="1">
      <alignment horizontal="center" wrapText="1"/>
      <protection hidden="1"/>
    </xf>
    <xf numFmtId="0" fontId="5" fillId="0" borderId="0" xfId="0" applyFont="1" applyAlignment="1" applyProtection="1">
      <alignment horizontal="center" vertical="center" wrapText="1"/>
      <protection hidden="1"/>
    </xf>
    <xf numFmtId="0" fontId="2" fillId="0" borderId="0" xfId="0" applyFont="1" applyAlignment="1" applyProtection="1">
      <alignment horizontal="left" vertical="center" wrapText="1"/>
      <protection hidden="1"/>
    </xf>
    <xf numFmtId="16" fontId="0" fillId="3" borderId="1" xfId="0" applyNumberFormat="1" applyFont="1" applyFill="1" applyBorder="1" applyAlignment="1" applyProtection="1">
      <alignment horizontal="center" vertical="center" wrapText="1"/>
      <protection locked="0" hidden="1"/>
    </xf>
    <xf numFmtId="14" fontId="1" fillId="3" borderId="1" xfId="0" applyNumberFormat="1" applyFont="1" applyFill="1" applyBorder="1" applyAlignment="1" applyProtection="1">
      <alignment horizontal="center" vertical="center" wrapText="1"/>
      <protection locked="0" hidden="1"/>
    </xf>
    <xf numFmtId="0" fontId="1" fillId="3" borderId="13" xfId="0" applyFont="1" applyFill="1" applyBorder="1" applyAlignment="1" applyProtection="1">
      <alignment horizontal="center" vertical="center" wrapText="1"/>
      <protection locked="0"/>
    </xf>
    <xf numFmtId="0" fontId="5" fillId="3" borderId="14" xfId="0" applyFont="1" applyFill="1" applyBorder="1" applyAlignment="1" applyProtection="1">
      <alignment horizontal="center" vertical="center" wrapText="1"/>
      <protection locked="0"/>
    </xf>
    <xf numFmtId="0" fontId="0" fillId="0" borderId="0" xfId="0" applyFont="1" applyAlignment="1">
      <alignment horizontal="left" vertical="center" wrapText="1"/>
    </xf>
    <xf numFmtId="0" fontId="5" fillId="2" borderId="0" xfId="0" applyFont="1" applyFill="1" applyAlignment="1" applyProtection="1">
      <alignment horizontal="center" wrapText="1"/>
      <protection hidden="1"/>
    </xf>
    <xf numFmtId="0" fontId="5" fillId="3" borderId="9" xfId="0" applyFont="1" applyFill="1" applyBorder="1" applyAlignment="1" applyProtection="1">
      <alignment horizontal="center" wrapText="1"/>
      <protection locked="0"/>
    </xf>
    <xf numFmtId="0" fontId="5" fillId="3" borderId="10" xfId="0" applyFont="1" applyFill="1" applyBorder="1" applyAlignment="1" applyProtection="1">
      <alignment horizontal="center" wrapText="1"/>
      <protection locked="0"/>
    </xf>
    <xf numFmtId="0" fontId="5" fillId="0" borderId="0" xfId="0" applyFont="1" applyBorder="1" applyAlignment="1">
      <alignment horizontal="center" vertical="center" wrapText="1"/>
    </xf>
    <xf numFmtId="0" fontId="23" fillId="0" borderId="0" xfId="0" applyFont="1" applyAlignment="1" applyProtection="1">
      <alignment horizontal="justify" vertical="center" wrapText="1"/>
      <protection hidden="1"/>
    </xf>
    <xf numFmtId="0" fontId="24" fillId="0" borderId="0" xfId="0" applyFont="1" applyAlignment="1" applyProtection="1">
      <alignment horizontal="justify" wrapText="1"/>
      <protection hidden="1"/>
    </xf>
    <xf numFmtId="0" fontId="21" fillId="0" borderId="0" xfId="0" applyFont="1" applyAlignment="1" applyProtection="1">
      <alignment horizontal="center"/>
      <protection hidden="1"/>
    </xf>
    <xf numFmtId="0" fontId="22" fillId="0" borderId="0" xfId="0" applyFont="1" applyAlignment="1" applyProtection="1">
      <alignment horizontal="center"/>
      <protection hidden="1"/>
    </xf>
    <xf numFmtId="0" fontId="18" fillId="8" borderId="13" xfId="0" applyFont="1" applyFill="1" applyBorder="1" applyAlignment="1" applyProtection="1">
      <alignment shrinkToFit="1"/>
      <protection hidden="1"/>
    </xf>
    <xf numFmtId="0" fontId="18" fillId="8" borderId="14" xfId="0" applyFont="1" applyFill="1" applyBorder="1" applyAlignment="1" applyProtection="1">
      <alignment shrinkToFit="1"/>
      <protection hidden="1"/>
    </xf>
    <xf numFmtId="0" fontId="17" fillId="8" borderId="15" xfId="0" applyFont="1" applyFill="1" applyBorder="1" applyAlignment="1" applyProtection="1">
      <alignment shrinkToFit="1"/>
      <protection hidden="1"/>
    </xf>
    <xf numFmtId="0" fontId="19" fillId="4" borderId="0" xfId="0" applyFont="1" applyFill="1" applyAlignment="1" applyProtection="1">
      <alignment horizontal="center" vertical="center" wrapText="1"/>
      <protection hidden="1"/>
    </xf>
    <xf numFmtId="0" fontId="17" fillId="0" borderId="7" xfId="0" applyFont="1" applyBorder="1" applyAlignment="1" applyProtection="1">
      <alignment vertical="center"/>
      <protection hidden="1"/>
    </xf>
    <xf numFmtId="0" fontId="19" fillId="4" borderId="16" xfId="0" applyFont="1" applyFill="1" applyBorder="1" applyAlignment="1" applyProtection="1">
      <alignment horizontal="center" vertical="center" wrapText="1"/>
      <protection hidden="1"/>
    </xf>
    <xf numFmtId="0" fontId="17" fillId="0" borderId="17" xfId="0" applyFont="1" applyBorder="1" applyAlignment="1" applyProtection="1">
      <alignment horizontal="center" vertical="center" wrapText="1"/>
      <protection hidden="1"/>
    </xf>
    <xf numFmtId="0" fontId="0" fillId="0" borderId="0" xfId="0" applyAlignment="1">
      <alignment horizontal="center" vertical="center"/>
    </xf>
    <xf numFmtId="0" fontId="25" fillId="0" borderId="11" xfId="0" applyFont="1" applyBorder="1" applyAlignment="1" applyProtection="1">
      <alignment vertical="center" wrapText="1"/>
      <protection hidden="1"/>
    </xf>
    <xf numFmtId="0" fontId="27" fillId="0" borderId="4" xfId="0" applyFont="1" applyBorder="1" applyAlignment="1" applyProtection="1">
      <alignment vertical="center" wrapText="1"/>
      <protection hidden="1"/>
    </xf>
    <xf numFmtId="0" fontId="27" fillId="0" borderId="12" xfId="0" applyFont="1" applyBorder="1" applyAlignment="1" applyProtection="1">
      <alignment vertical="center" wrapText="1"/>
      <protection hidden="1"/>
    </xf>
    <xf numFmtId="0" fontId="27" fillId="0" borderId="8" xfId="0" applyFont="1" applyBorder="1" applyAlignment="1" applyProtection="1">
      <alignment vertical="center" wrapText="1"/>
      <protection hidden="1"/>
    </xf>
    <xf numFmtId="0" fontId="19" fillId="4" borderId="19" xfId="0" applyFont="1" applyFill="1" applyBorder="1" applyAlignment="1" applyProtection="1">
      <alignment horizontal="center" vertical="center"/>
      <protection hidden="1"/>
    </xf>
    <xf numFmtId="0" fontId="19" fillId="4" borderId="20" xfId="0" applyFont="1" applyFill="1" applyBorder="1" applyAlignment="1" applyProtection="1">
      <alignment horizontal="center" vertical="center"/>
      <protection hidden="1"/>
    </xf>
    <xf numFmtId="0" fontId="17" fillId="0" borderId="9" xfId="0" applyFont="1" applyFill="1" applyBorder="1" applyAlignment="1" applyProtection="1">
      <alignment horizontal="center" vertical="center"/>
      <protection hidden="1"/>
    </xf>
    <xf numFmtId="0" fontId="17" fillId="0" borderId="10" xfId="0" applyFont="1" applyFill="1" applyBorder="1" applyAlignment="1" applyProtection="1">
      <alignment horizontal="center" vertical="center"/>
      <protection hidden="1"/>
    </xf>
    <xf numFmtId="0" fontId="19" fillId="4" borderId="14" xfId="0" applyFont="1" applyFill="1" applyBorder="1" applyAlignment="1" applyProtection="1">
      <alignment horizontal="center" vertical="center"/>
      <protection hidden="1"/>
    </xf>
    <xf numFmtId="0" fontId="25" fillId="0" borderId="13" xfId="0" applyFont="1" applyBorder="1" applyAlignment="1" applyProtection="1">
      <alignment vertical="center" wrapText="1"/>
      <protection hidden="1"/>
    </xf>
    <xf numFmtId="0" fontId="27" fillId="0" borderId="15" xfId="0" applyFont="1" applyBorder="1" applyAlignment="1" applyProtection="1">
      <alignment vertical="center" wrapText="1"/>
      <protection hidden="1"/>
    </xf>
    <xf numFmtId="0" fontId="48" fillId="7" borderId="14" xfId="0" applyFont="1" applyFill="1" applyBorder="1" applyAlignment="1" applyProtection="1">
      <alignment horizontal="center" vertical="center"/>
      <protection hidden="1"/>
    </xf>
    <xf numFmtId="0" fontId="27" fillId="0" borderId="5" xfId="0" applyFont="1" applyBorder="1" applyAlignment="1" applyProtection="1">
      <alignment horizontal="center" vertical="center"/>
      <protection hidden="1"/>
    </xf>
    <xf numFmtId="0" fontId="25" fillId="0" borderId="1" xfId="0" applyFont="1" applyBorder="1" applyAlignment="1" applyProtection="1">
      <alignment vertical="center" wrapText="1"/>
      <protection hidden="1"/>
    </xf>
    <xf numFmtId="0" fontId="27" fillId="0" borderId="3" xfId="0" applyFont="1" applyBorder="1" applyAlignment="1" applyProtection="1">
      <alignment vertical="center" wrapText="1"/>
      <protection hidden="1"/>
    </xf>
    <xf numFmtId="0" fontId="30" fillId="0" borderId="13" xfId="0" applyFont="1" applyBorder="1" applyAlignment="1" applyProtection="1">
      <alignment vertical="center" wrapText="1"/>
      <protection hidden="1"/>
    </xf>
    <xf numFmtId="0" fontId="17" fillId="0" borderId="15" xfId="0" applyFont="1" applyBorder="1" applyAlignment="1" applyProtection="1">
      <alignment vertical="center" wrapText="1"/>
      <protection hidden="1"/>
    </xf>
    <xf numFmtId="0" fontId="25" fillId="0" borderId="5" xfId="0" applyFont="1" applyBorder="1" applyAlignment="1" applyProtection="1">
      <alignment vertical="center" wrapText="1"/>
      <protection hidden="1"/>
    </xf>
    <xf numFmtId="0" fontId="27" fillId="0" borderId="5" xfId="0" applyFont="1" applyBorder="1" applyAlignment="1" applyProtection="1">
      <alignment vertical="center" wrapText="1"/>
      <protection hidden="1"/>
    </xf>
    <xf numFmtId="0" fontId="25" fillId="0" borderId="13" xfId="0" applyFont="1" applyBorder="1" applyAlignment="1" applyProtection="1">
      <alignment horizontal="left" vertical="center" wrapText="1"/>
      <protection hidden="1"/>
    </xf>
    <xf numFmtId="0" fontId="25" fillId="0" borderId="15" xfId="0" applyFont="1" applyBorder="1" applyAlignment="1" applyProtection="1">
      <alignment horizontal="left" vertical="center" wrapText="1"/>
      <protection hidden="1"/>
    </xf>
    <xf numFmtId="0" fontId="43" fillId="0" borderId="0" xfId="0" applyFont="1" applyAlignment="1" applyProtection="1">
      <alignment horizontal="justify" wrapText="1"/>
      <protection hidden="1"/>
    </xf>
    <xf numFmtId="0" fontId="36" fillId="0" borderId="0" xfId="0" applyFont="1" applyAlignment="1" applyProtection="1">
      <alignment horizontal="justify" vertical="center" wrapText="1"/>
      <protection hidden="1"/>
    </xf>
    <xf numFmtId="0" fontId="17" fillId="0" borderId="0" xfId="0" applyFont="1" applyAlignment="1" applyProtection="1">
      <alignment horizontal="justify"/>
      <protection hidden="1"/>
    </xf>
    <xf numFmtId="0" fontId="45" fillId="6" borderId="12" xfId="0" applyFont="1" applyFill="1" applyBorder="1" applyAlignment="1" applyProtection="1">
      <alignment vertical="center" wrapText="1"/>
      <protection hidden="1"/>
    </xf>
    <xf numFmtId="0" fontId="45" fillId="6" borderId="7" xfId="0" applyFont="1" applyFill="1" applyBorder="1" applyAlignment="1" applyProtection="1">
      <alignment vertical="center" wrapText="1"/>
      <protection hidden="1"/>
    </xf>
    <xf numFmtId="0" fontId="17" fillId="6" borderId="7" xfId="0" applyFont="1" applyFill="1" applyBorder="1" applyAlignment="1" applyProtection="1">
      <alignment wrapText="1"/>
      <protection hidden="1"/>
    </xf>
    <xf numFmtId="0" fontId="17" fillId="6" borderId="8" xfId="0" applyFont="1" applyFill="1" applyBorder="1" applyAlignment="1" applyProtection="1">
      <alignment wrapText="1"/>
      <protection hidden="1"/>
    </xf>
    <xf numFmtId="0" fontId="17" fillId="0" borderId="0" xfId="0" applyFont="1" applyAlignment="1" applyProtection="1">
      <alignment horizontal="justify" wrapText="1"/>
      <protection hidden="1"/>
    </xf>
    <xf numFmtId="0" fontId="16" fillId="6" borderId="0" xfId="0" applyFont="1" applyFill="1" applyBorder="1" applyAlignment="1" applyProtection="1">
      <alignment horizontal="left" vertical="center" wrapText="1"/>
      <protection hidden="1"/>
    </xf>
    <xf numFmtId="0" fontId="16" fillId="6" borderId="4" xfId="0" applyFont="1" applyFill="1" applyBorder="1" applyAlignment="1" applyProtection="1">
      <alignment horizontal="left" vertical="center" wrapText="1"/>
      <protection hidden="1"/>
    </xf>
    <xf numFmtId="0" fontId="40" fillId="6" borderId="0" xfId="0" applyFont="1" applyFill="1" applyBorder="1" applyAlignment="1" applyProtection="1">
      <alignment horizontal="left" vertical="center" wrapText="1"/>
      <protection hidden="1"/>
    </xf>
    <xf numFmtId="0" fontId="40" fillId="6" borderId="4" xfId="0" applyFont="1" applyFill="1" applyBorder="1" applyAlignment="1" applyProtection="1">
      <alignment horizontal="left" vertical="center" wrapText="1"/>
      <protection hidden="1"/>
    </xf>
    <xf numFmtId="0" fontId="43" fillId="6" borderId="0" xfId="0" quotePrefix="1" applyFont="1" applyFill="1" applyBorder="1" applyAlignment="1" applyProtection="1">
      <alignment horizontal="left" vertical="center" wrapText="1"/>
      <protection hidden="1"/>
    </xf>
    <xf numFmtId="0" fontId="43" fillId="6" borderId="0" xfId="0" applyFont="1" applyFill="1" applyBorder="1" applyAlignment="1" applyProtection="1">
      <alignment horizontal="left" vertical="center" wrapText="1"/>
      <protection hidden="1"/>
    </xf>
    <xf numFmtId="0" fontId="43" fillId="6" borderId="4" xfId="0" applyFont="1" applyFill="1" applyBorder="1" applyAlignment="1" applyProtection="1">
      <alignment horizontal="left" vertical="center" wrapText="1"/>
      <protection hidden="1"/>
    </xf>
    <xf numFmtId="0" fontId="21" fillId="8" borderId="1" xfId="0" applyFont="1" applyFill="1" applyBorder="1" applyAlignment="1" applyProtection="1">
      <alignment horizontal="right" vertical="center"/>
      <protection hidden="1"/>
    </xf>
    <xf numFmtId="0" fontId="21" fillId="8" borderId="2" xfId="0" applyFont="1" applyFill="1" applyBorder="1" applyAlignment="1" applyProtection="1">
      <alignment horizontal="right" vertical="center"/>
      <protection hidden="1"/>
    </xf>
    <xf numFmtId="0" fontId="21" fillId="8" borderId="12" xfId="0" applyFont="1" applyFill="1" applyBorder="1" applyAlignment="1" applyProtection="1">
      <alignment horizontal="right" vertical="center"/>
      <protection hidden="1"/>
    </xf>
    <xf numFmtId="0" fontId="21" fillId="8" borderId="7" xfId="0" applyFont="1" applyFill="1" applyBorder="1" applyAlignment="1" applyProtection="1">
      <alignment horizontal="right" vertical="center"/>
      <protection hidden="1"/>
    </xf>
    <xf numFmtId="0" fontId="21" fillId="8" borderId="3" xfId="0" applyFont="1" applyFill="1" applyBorder="1" applyAlignment="1" applyProtection="1">
      <alignment vertical="center"/>
      <protection hidden="1"/>
    </xf>
    <xf numFmtId="0" fontId="21" fillId="8" borderId="8" xfId="0" applyFont="1" applyFill="1" applyBorder="1" applyAlignment="1" applyProtection="1">
      <alignment vertical="center"/>
      <protection hidden="1"/>
    </xf>
    <xf numFmtId="0" fontId="43" fillId="0" borderId="0" xfId="0" applyFont="1" applyAlignment="1" applyProtection="1">
      <alignment horizontal="justify" vertical="center" wrapText="1"/>
      <protection hidden="1"/>
    </xf>
    <xf numFmtId="0" fontId="45" fillId="0" borderId="0" xfId="0" applyFont="1" applyAlignment="1" applyProtection="1">
      <alignment horizontal="left" wrapText="1"/>
      <protection hidden="1"/>
    </xf>
    <xf numFmtId="0" fontId="16" fillId="0" borderId="0" xfId="0" applyFont="1" applyAlignment="1" applyProtection="1">
      <alignment horizontal="right" vertical="center"/>
      <protection hidden="1"/>
    </xf>
    <xf numFmtId="0" fontId="16" fillId="0" borderId="4" xfId="0" applyFont="1" applyBorder="1" applyAlignment="1" applyProtection="1">
      <alignment horizontal="right" vertical="center"/>
      <protection hidden="1"/>
    </xf>
    <xf numFmtId="0" fontId="17" fillId="0" borderId="0" xfId="0" applyFont="1" applyAlignment="1" applyProtection="1">
      <alignment horizontal="right" vertical="center"/>
      <protection hidden="1"/>
    </xf>
    <xf numFmtId="0" fontId="17" fillId="0" borderId="4" xfId="0" applyFont="1" applyBorder="1" applyAlignment="1" applyProtection="1">
      <alignment horizontal="right" vertical="center"/>
      <protection hidden="1"/>
    </xf>
    <xf numFmtId="0" fontId="16" fillId="0" borderId="11" xfId="0" applyFont="1" applyBorder="1" applyAlignment="1" applyProtection="1">
      <alignment horizontal="right" vertical="center"/>
      <protection hidden="1"/>
    </xf>
    <xf numFmtId="0" fontId="16" fillId="0" borderId="0" xfId="0" applyFont="1" applyBorder="1" applyAlignment="1" applyProtection="1">
      <alignment horizontal="right" vertical="center"/>
      <protection hidden="1"/>
    </xf>
    <xf numFmtId="0" fontId="40" fillId="0" borderId="0" xfId="0" applyFont="1" applyAlignment="1" applyProtection="1">
      <alignment horizontal="justify"/>
      <protection hidden="1"/>
    </xf>
    <xf numFmtId="0" fontId="43" fillId="0" borderId="0" xfId="0" applyFont="1" applyAlignment="1" applyProtection="1">
      <alignment horizontal="justify" vertical="top" wrapText="1"/>
      <protection hidden="1"/>
    </xf>
    <xf numFmtId="0" fontId="40" fillId="0" borderId="0" xfId="0" applyFont="1" applyFill="1" applyBorder="1" applyAlignment="1" applyProtection="1">
      <alignment horizontal="justify" wrapText="1"/>
      <protection hidden="1"/>
    </xf>
    <xf numFmtId="0" fontId="46" fillId="4" borderId="21" xfId="0" applyFont="1" applyFill="1" applyBorder="1" applyAlignment="1" applyProtection="1">
      <alignment horizontal="center" vertical="center"/>
      <protection hidden="1"/>
    </xf>
    <xf numFmtId="0" fontId="46" fillId="4" borderId="14" xfId="0" applyFont="1" applyFill="1" applyBorder="1" applyAlignment="1" applyProtection="1">
      <alignment horizontal="center" vertical="center"/>
      <protection hidden="1"/>
    </xf>
    <xf numFmtId="0" fontId="50" fillId="7" borderId="14" xfId="0" applyFont="1" applyFill="1" applyBorder="1" applyAlignment="1" applyProtection="1">
      <alignment horizontal="center" vertical="center"/>
      <protection hidden="1"/>
    </xf>
    <xf numFmtId="0" fontId="46" fillId="7" borderId="14" xfId="0" applyFont="1" applyFill="1" applyBorder="1" applyAlignment="1" applyProtection="1">
      <alignment horizontal="center" vertical="center"/>
      <protection hidden="1"/>
    </xf>
    <xf numFmtId="0" fontId="26" fillId="0" borderId="13" xfId="0" applyFont="1" applyBorder="1" applyAlignment="1" applyProtection="1">
      <alignment vertical="center" wrapText="1"/>
      <protection hidden="1"/>
    </xf>
    <xf numFmtId="0" fontId="26" fillId="0" borderId="15" xfId="0" applyFont="1" applyBorder="1" applyAlignment="1" applyProtection="1">
      <alignment vertical="center" wrapText="1"/>
      <protection hidden="1"/>
    </xf>
    <xf numFmtId="0" fontId="43" fillId="0" borderId="0" xfId="0" applyFont="1" applyAlignment="1" applyProtection="1">
      <alignment horizontal="left" vertical="center" wrapText="1"/>
      <protection hidden="1"/>
    </xf>
    <xf numFmtId="0" fontId="43" fillId="0" borderId="0" xfId="0" applyFont="1" applyAlignment="1" applyProtection="1">
      <alignment horizontal="left" vertical="top" wrapText="1"/>
      <protection hidden="1"/>
    </xf>
  </cellXfs>
  <cellStyles count="8">
    <cellStyle name="Currency" xfId="2" builtinId="4"/>
    <cellStyle name="Followed Hyperlink" xfId="4" builtinId="9" hidden="1"/>
    <cellStyle name="Followed Hyperlink" xfId="5" builtinId="9" hidden="1"/>
    <cellStyle name="Followed Hyperlink" xfId="6" builtinId="9" hidden="1"/>
    <cellStyle name="Followed Hyperlink" xfId="7" builtinId="9" hidden="1"/>
    <cellStyle name="Hyperlink" xfId="3"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31750</xdr:colOff>
      <xdr:row>0</xdr:row>
      <xdr:rowOff>0</xdr:rowOff>
    </xdr:from>
    <xdr:to>
      <xdr:col>1</xdr:col>
      <xdr:colOff>6350</xdr:colOff>
      <xdr:row>4</xdr:row>
      <xdr:rowOff>127000</xdr:rowOff>
    </xdr:to>
    <xdr:pic>
      <xdr:nvPicPr>
        <xdr:cNvPr id="2" name="Picture 1" descr="logo_250.gif"/>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750" y="0"/>
          <a:ext cx="838200" cy="838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jte@oa-bs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enableFormatConditionsCalculation="0"/>
  <dimension ref="A1:J43"/>
  <sheetViews>
    <sheetView showGridLines="0" zoomScaleSheetLayoutView="115" workbookViewId="0">
      <selection activeCell="B1" sqref="B1:G1"/>
    </sheetView>
  </sheetViews>
  <sheetFormatPr defaultColWidth="8.85546875" defaultRowHeight="12.75" x14ac:dyDescent="0.2"/>
  <cols>
    <col min="1" max="1" width="11.28515625" customWidth="1"/>
  </cols>
  <sheetData>
    <row r="1" spans="1:7" ht="18" x14ac:dyDescent="0.25">
      <c r="B1" s="223" t="s">
        <v>0</v>
      </c>
      <c r="C1" s="223"/>
      <c r="D1" s="223"/>
      <c r="E1" s="223"/>
      <c r="F1" s="223"/>
      <c r="G1" s="223"/>
    </row>
    <row r="2" spans="1:7" x14ac:dyDescent="0.2">
      <c r="B2" s="224" t="s">
        <v>1</v>
      </c>
      <c r="C2" s="224"/>
      <c r="D2" s="224"/>
      <c r="E2" s="224"/>
      <c r="F2" s="224"/>
      <c r="G2" s="224"/>
    </row>
    <row r="4" spans="1:7" ht="15.75" x14ac:dyDescent="0.25">
      <c r="B4" s="225" t="s">
        <v>204</v>
      </c>
      <c r="C4" s="225"/>
      <c r="D4" s="225"/>
      <c r="E4" s="225"/>
      <c r="F4" s="225"/>
      <c r="G4" s="225"/>
    </row>
    <row r="6" spans="1:7" x14ac:dyDescent="0.2">
      <c r="A6" s="229" t="s">
        <v>271</v>
      </c>
      <c r="B6" s="230"/>
      <c r="C6" s="230"/>
      <c r="D6" s="230"/>
      <c r="E6" s="230"/>
      <c r="F6" s="230"/>
      <c r="G6" s="230"/>
    </row>
    <row r="7" spans="1:7" x14ac:dyDescent="0.2">
      <c r="A7" s="230"/>
      <c r="B7" s="230"/>
      <c r="C7" s="230"/>
      <c r="D7" s="230"/>
      <c r="E7" s="230"/>
      <c r="F7" s="230"/>
      <c r="G7" s="230"/>
    </row>
    <row r="8" spans="1:7" x14ac:dyDescent="0.2">
      <c r="A8" s="230"/>
      <c r="B8" s="230"/>
      <c r="C8" s="230"/>
      <c r="D8" s="230"/>
      <c r="E8" s="230"/>
      <c r="F8" s="230"/>
      <c r="G8" s="230"/>
    </row>
    <row r="9" spans="1:7" x14ac:dyDescent="0.2">
      <c r="A9" s="230"/>
      <c r="B9" s="230"/>
      <c r="C9" s="230"/>
      <c r="D9" s="230"/>
      <c r="E9" s="230"/>
      <c r="F9" s="230"/>
      <c r="G9" s="230"/>
    </row>
    <row r="10" spans="1:7" x14ac:dyDescent="0.2">
      <c r="A10" s="228" t="s">
        <v>205</v>
      </c>
      <c r="B10" s="228"/>
      <c r="C10" s="228"/>
      <c r="D10" s="228"/>
      <c r="E10" s="228"/>
      <c r="F10" s="228"/>
      <c r="G10" s="228"/>
    </row>
    <row r="11" spans="1:7" x14ac:dyDescent="0.2">
      <c r="A11" s="228"/>
      <c r="B11" s="228"/>
      <c r="C11" s="228"/>
      <c r="D11" s="228"/>
      <c r="E11" s="228"/>
      <c r="F11" s="228"/>
      <c r="G11" s="228"/>
    </row>
    <row r="12" spans="1:7" x14ac:dyDescent="0.2">
      <c r="A12" s="228"/>
      <c r="B12" s="228"/>
      <c r="C12" s="228"/>
      <c r="D12" s="228"/>
      <c r="E12" s="228"/>
      <c r="F12" s="228"/>
      <c r="G12" s="228"/>
    </row>
    <row r="13" spans="1:7" x14ac:dyDescent="0.2">
      <c r="A13" s="228"/>
      <c r="B13" s="228"/>
      <c r="C13" s="228"/>
      <c r="D13" s="228"/>
      <c r="E13" s="228"/>
      <c r="F13" s="228"/>
      <c r="G13" s="228"/>
    </row>
    <row r="14" spans="1:7" x14ac:dyDescent="0.2">
      <c r="A14" s="228"/>
      <c r="B14" s="228"/>
      <c r="C14" s="228"/>
      <c r="D14" s="228"/>
      <c r="E14" s="228"/>
      <c r="F14" s="228"/>
      <c r="G14" s="228"/>
    </row>
    <row r="15" spans="1:7" x14ac:dyDescent="0.2">
      <c r="A15" s="228"/>
      <c r="B15" s="228"/>
      <c r="C15" s="228"/>
      <c r="D15" s="228"/>
      <c r="E15" s="228"/>
      <c r="F15" s="228"/>
      <c r="G15" s="228"/>
    </row>
    <row r="16" spans="1:7" x14ac:dyDescent="0.2">
      <c r="A16" s="228"/>
      <c r="B16" s="228"/>
      <c r="C16" s="228"/>
      <c r="D16" s="228"/>
      <c r="E16" s="228"/>
      <c r="F16" s="228"/>
      <c r="G16" s="228"/>
    </row>
    <row r="17" spans="1:7" x14ac:dyDescent="0.2">
      <c r="A17" s="228"/>
      <c r="B17" s="228"/>
      <c r="C17" s="228"/>
      <c r="D17" s="228"/>
      <c r="E17" s="228"/>
      <c r="F17" s="228"/>
      <c r="G17" s="228"/>
    </row>
    <row r="18" spans="1:7" x14ac:dyDescent="0.2">
      <c r="A18" s="228"/>
      <c r="B18" s="228"/>
      <c r="C18" s="228"/>
      <c r="D18" s="228"/>
      <c r="E18" s="228"/>
      <c r="F18" s="228"/>
      <c r="G18" s="228"/>
    </row>
    <row r="19" spans="1:7" x14ac:dyDescent="0.2">
      <c r="A19" s="228"/>
      <c r="B19" s="228"/>
      <c r="C19" s="228"/>
      <c r="D19" s="228"/>
      <c r="E19" s="228"/>
      <c r="F19" s="228"/>
      <c r="G19" s="228"/>
    </row>
    <row r="20" spans="1:7" x14ac:dyDescent="0.2">
      <c r="A20" s="228"/>
      <c r="B20" s="228"/>
      <c r="C20" s="228"/>
      <c r="D20" s="228"/>
      <c r="E20" s="228"/>
      <c r="F20" s="228"/>
      <c r="G20" s="228"/>
    </row>
    <row r="21" spans="1:7" x14ac:dyDescent="0.2">
      <c r="A21" s="228"/>
      <c r="B21" s="228"/>
      <c r="C21" s="228"/>
      <c r="D21" s="228"/>
      <c r="E21" s="228"/>
      <c r="F21" s="228"/>
      <c r="G21" s="228"/>
    </row>
    <row r="22" spans="1:7" x14ac:dyDescent="0.2">
      <c r="A22" s="228"/>
      <c r="B22" s="228"/>
      <c r="C22" s="228"/>
      <c r="D22" s="228"/>
      <c r="E22" s="228"/>
      <c r="F22" s="228"/>
      <c r="G22" s="228"/>
    </row>
    <row r="23" spans="1:7" x14ac:dyDescent="0.2">
      <c r="A23" s="228"/>
      <c r="B23" s="228"/>
      <c r="C23" s="228"/>
      <c r="D23" s="228"/>
      <c r="E23" s="228"/>
      <c r="F23" s="228"/>
      <c r="G23" s="228"/>
    </row>
    <row r="24" spans="1:7" x14ac:dyDescent="0.2">
      <c r="A24" s="228"/>
      <c r="B24" s="228"/>
      <c r="C24" s="228"/>
      <c r="D24" s="228"/>
      <c r="E24" s="228"/>
      <c r="F24" s="228"/>
      <c r="G24" s="228"/>
    </row>
    <row r="25" spans="1:7" x14ac:dyDescent="0.2">
      <c r="A25" s="228"/>
      <c r="B25" s="228"/>
      <c r="C25" s="228"/>
      <c r="D25" s="228"/>
      <c r="E25" s="228"/>
      <c r="F25" s="228"/>
      <c r="G25" s="228"/>
    </row>
    <row r="26" spans="1:7" x14ac:dyDescent="0.2">
      <c r="A26" s="228"/>
      <c r="B26" s="228"/>
      <c r="C26" s="228"/>
      <c r="D26" s="228"/>
      <c r="E26" s="228"/>
      <c r="F26" s="228"/>
      <c r="G26" s="228"/>
    </row>
    <row r="27" spans="1:7" x14ac:dyDescent="0.2">
      <c r="A27" s="228"/>
      <c r="B27" s="228"/>
      <c r="C27" s="228"/>
      <c r="D27" s="228"/>
      <c r="E27" s="228"/>
      <c r="F27" s="228"/>
      <c r="G27" s="228"/>
    </row>
    <row r="28" spans="1:7" x14ac:dyDescent="0.2">
      <c r="A28" s="228"/>
      <c r="B28" s="228"/>
      <c r="C28" s="228"/>
      <c r="D28" s="228"/>
      <c r="E28" s="228"/>
      <c r="F28" s="228"/>
      <c r="G28" s="228"/>
    </row>
    <row r="29" spans="1:7" x14ac:dyDescent="0.2">
      <c r="A29" s="205"/>
      <c r="B29" s="205"/>
      <c r="C29" s="205"/>
      <c r="D29" s="205"/>
      <c r="E29" s="205"/>
      <c r="F29" s="205"/>
      <c r="G29" s="205"/>
    </row>
    <row r="30" spans="1:7" ht="12" customHeight="1" x14ac:dyDescent="0.2">
      <c r="A30" s="226" t="s">
        <v>272</v>
      </c>
      <c r="B30" s="226"/>
      <c r="C30" s="226"/>
      <c r="D30" s="226"/>
      <c r="E30" s="226"/>
      <c r="F30" s="226"/>
      <c r="G30" s="226"/>
    </row>
    <row r="31" spans="1:7" x14ac:dyDescent="0.2">
      <c r="A31" s="226"/>
      <c r="B31" s="226"/>
      <c r="C31" s="226"/>
      <c r="D31" s="226"/>
      <c r="E31" s="226"/>
      <c r="F31" s="226"/>
      <c r="G31" s="226"/>
    </row>
    <row r="32" spans="1:7" ht="24" customHeight="1" x14ac:dyDescent="0.2">
      <c r="A32" s="227" t="s">
        <v>273</v>
      </c>
      <c r="B32" s="227"/>
      <c r="C32" s="73"/>
      <c r="D32" s="73"/>
      <c r="E32" s="73"/>
      <c r="F32" s="73"/>
      <c r="G32" s="73"/>
    </row>
    <row r="33" spans="1:10" x14ac:dyDescent="0.2">
      <c r="A33" s="73"/>
      <c r="B33" s="73"/>
      <c r="C33" s="73"/>
      <c r="D33" s="73"/>
      <c r="E33" s="73"/>
      <c r="F33" s="73"/>
      <c r="G33" s="73"/>
    </row>
    <row r="34" spans="1:10" x14ac:dyDescent="0.2">
      <c r="A34" s="73"/>
      <c r="B34" s="73"/>
      <c r="C34" s="73"/>
      <c r="D34" s="73"/>
      <c r="E34" s="73"/>
      <c r="F34" s="73"/>
      <c r="G34" s="73"/>
    </row>
    <row r="35" spans="1:10" x14ac:dyDescent="0.2">
      <c r="A35" s="73"/>
      <c r="B35" s="73"/>
      <c r="C35" s="73"/>
      <c r="D35" s="73"/>
      <c r="E35" s="73"/>
      <c r="F35" s="73"/>
      <c r="G35" s="73"/>
    </row>
    <row r="36" spans="1:10" x14ac:dyDescent="0.2">
      <c r="A36" s="73"/>
      <c r="B36" s="73"/>
      <c r="C36" s="73"/>
      <c r="D36" s="73"/>
      <c r="E36" s="73"/>
      <c r="F36" s="73"/>
      <c r="G36" s="73"/>
    </row>
    <row r="37" spans="1:10" x14ac:dyDescent="0.2">
      <c r="A37" s="73"/>
      <c r="B37" s="73"/>
      <c r="C37" s="73"/>
      <c r="D37" s="73"/>
      <c r="E37" s="73"/>
      <c r="F37" s="73"/>
      <c r="G37" s="73"/>
    </row>
    <row r="38" spans="1:10" x14ac:dyDescent="0.2">
      <c r="A38" s="73"/>
      <c r="B38" s="73"/>
      <c r="C38" s="73"/>
      <c r="D38" s="73"/>
      <c r="E38" s="73"/>
      <c r="F38" s="73"/>
      <c r="G38" s="73"/>
    </row>
    <row r="39" spans="1:10" x14ac:dyDescent="0.2">
      <c r="A39" s="74"/>
      <c r="B39" s="74"/>
      <c r="C39" s="74"/>
      <c r="D39" s="74"/>
      <c r="E39" s="74"/>
      <c r="F39" s="74"/>
      <c r="G39" s="74"/>
    </row>
    <row r="40" spans="1:10" x14ac:dyDescent="0.2">
      <c r="A40" s="17"/>
      <c r="B40" s="17"/>
      <c r="C40" s="17"/>
      <c r="D40" s="17"/>
      <c r="E40" s="17"/>
      <c r="F40" s="17"/>
    </row>
    <row r="41" spans="1:10" ht="14.25" x14ac:dyDescent="0.2">
      <c r="A41" s="17"/>
      <c r="B41" s="17"/>
      <c r="C41" s="17"/>
      <c r="D41" s="17"/>
      <c r="E41" s="17"/>
      <c r="F41" s="17"/>
      <c r="J41" s="72"/>
    </row>
    <row r="42" spans="1:10" x14ac:dyDescent="0.2">
      <c r="A42" s="17"/>
      <c r="B42" s="17"/>
      <c r="C42" s="17"/>
      <c r="D42" s="17"/>
      <c r="E42" s="17"/>
      <c r="F42" s="17"/>
    </row>
    <row r="43" spans="1:10" x14ac:dyDescent="0.2">
      <c r="A43" s="17"/>
      <c r="B43" s="17"/>
      <c r="C43" s="17"/>
      <c r="D43" s="17"/>
      <c r="E43" s="17"/>
      <c r="F43" s="17"/>
    </row>
  </sheetData>
  <sheetProtection password="9C31" sheet="1" objects="1" scenarios="1"/>
  <mergeCells count="7">
    <mergeCell ref="B1:G1"/>
    <mergeCell ref="B2:G2"/>
    <mergeCell ref="B4:G4"/>
    <mergeCell ref="A30:G31"/>
    <mergeCell ref="A32:B32"/>
    <mergeCell ref="A10:G28"/>
    <mergeCell ref="A6:G9"/>
  </mergeCells>
  <phoneticPr fontId="3" type="noConversion"/>
  <hyperlinks>
    <hyperlink ref="A32" r:id="rId1"/>
  </hyperlinks>
  <pageMargins left="0.5" right="0.5" top="0.5" bottom="0.5" header="0.3" footer="0.3"/>
  <pageSetup orientation="portrait"/>
  <headerFooter>
    <oddHeader>&amp;C&amp;K000000Chapter Journey to Excellence Workbook</oddHeader>
    <oddFooter>&amp;R&amp;K000000&amp;A</oddFooter>
  </headerFooter>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5"/>
  <sheetViews>
    <sheetView workbookViewId="0">
      <selection activeCell="B1" sqref="B1:G1"/>
    </sheetView>
  </sheetViews>
  <sheetFormatPr defaultColWidth="10.85546875" defaultRowHeight="12.75" x14ac:dyDescent="0.2"/>
  <cols>
    <col min="1" max="1" width="45.140625" style="210" customWidth="1"/>
    <col min="2" max="2" width="34.42578125" style="211" customWidth="1"/>
    <col min="3" max="16384" width="10.85546875" style="211"/>
  </cols>
  <sheetData>
    <row r="1" spans="1:2" ht="36" customHeight="1" x14ac:dyDescent="0.2">
      <c r="A1" s="231" t="s">
        <v>300</v>
      </c>
      <c r="B1" s="231"/>
    </row>
    <row r="2" spans="1:2" x14ac:dyDescent="0.2">
      <c r="A2" s="232" t="s">
        <v>311</v>
      </c>
      <c r="B2" s="233"/>
    </row>
    <row r="3" spans="1:2" x14ac:dyDescent="0.2">
      <c r="A3" s="210" t="s">
        <v>312</v>
      </c>
      <c r="B3" s="212"/>
    </row>
    <row r="4" spans="1:2" ht="3.95" customHeight="1" x14ac:dyDescent="0.2"/>
    <row r="5" spans="1:2" x14ac:dyDescent="0.2">
      <c r="A5" s="210" t="s">
        <v>313</v>
      </c>
      <c r="B5" s="212"/>
    </row>
    <row r="6" spans="1:2" ht="3.95" customHeight="1" x14ac:dyDescent="0.2"/>
    <row r="7" spans="1:2" x14ac:dyDescent="0.2">
      <c r="A7" s="210" t="s">
        <v>314</v>
      </c>
      <c r="B7" s="212"/>
    </row>
    <row r="8" spans="1:2" ht="3.95" customHeight="1" x14ac:dyDescent="0.2"/>
    <row r="9" spans="1:2" x14ac:dyDescent="0.2">
      <c r="A9" s="210" t="s">
        <v>209</v>
      </c>
      <c r="B9" s="212"/>
    </row>
    <row r="10" spans="1:2" ht="3.95" customHeight="1" x14ac:dyDescent="0.2"/>
    <row r="11" spans="1:2" x14ac:dyDescent="0.2">
      <c r="A11" s="210" t="s">
        <v>210</v>
      </c>
      <c r="B11" s="212"/>
    </row>
    <row r="12" spans="1:2" ht="3.95" customHeight="1" x14ac:dyDescent="0.2"/>
    <row r="13" spans="1:2" x14ac:dyDescent="0.2">
      <c r="A13" s="210" t="s">
        <v>315</v>
      </c>
      <c r="B13" s="212"/>
    </row>
    <row r="14" spans="1:2" ht="3.95" customHeight="1" x14ac:dyDescent="0.2"/>
    <row r="15" spans="1:2" x14ac:dyDescent="0.2">
      <c r="A15" s="210" t="s">
        <v>316</v>
      </c>
      <c r="B15" s="215"/>
    </row>
    <row r="17" spans="1:2" x14ac:dyDescent="0.2">
      <c r="A17" s="232" t="s">
        <v>301</v>
      </c>
      <c r="B17" s="233"/>
    </row>
    <row r="18" spans="1:2" ht="25.5" x14ac:dyDescent="0.2">
      <c r="A18" s="210" t="str">
        <f>"How many chapter members were registered on December 31, "&amp;HIDE!B35&amp;"?"</f>
        <v>How many chapter members were registered on December 31, 2012?</v>
      </c>
      <c r="B18" s="212"/>
    </row>
    <row r="19" spans="1:2" ht="3.95" customHeight="1" x14ac:dyDescent="0.2"/>
    <row r="20" spans="1:2" ht="25.5" x14ac:dyDescent="0.2">
      <c r="A20" s="210" t="str">
        <f>"How many chapter members were registered on December 31, "&amp;HIDE!B34&amp;"?"</f>
        <v>How many chapter members were registered on December 31, 2013?</v>
      </c>
      <c r="B20" s="212"/>
    </row>
    <row r="21" spans="1:2" ht="3.95" customHeight="1" x14ac:dyDescent="0.2"/>
    <row r="22" spans="1:2" ht="25.5" x14ac:dyDescent="0.2">
      <c r="A22" s="210" t="str">
        <f>"How many chapter members were registered on December 31, "&amp;HIDE!B33&amp;"?"</f>
        <v>How many chapter members were registered on December 31, 2014?</v>
      </c>
      <c r="B22" s="212"/>
    </row>
    <row r="24" spans="1:2" x14ac:dyDescent="0.2">
      <c r="A24" s="232" t="s">
        <v>302</v>
      </c>
      <c r="B24" s="233"/>
    </row>
    <row r="25" spans="1:2" ht="25.5" x14ac:dyDescent="0.2">
      <c r="A25" s="210" t="str">
        <f>"How many chapter members were candidates for the Ordeal induction in "&amp;HIDE!B34+'3 Ordeal Completion'!B34&amp;"?"</f>
        <v>How many chapter members were candidates for the Ordeal induction in 2013?</v>
      </c>
      <c r="B25" s="212"/>
    </row>
    <row r="26" spans="1:2" ht="3.95" customHeight="1" x14ac:dyDescent="0.2"/>
    <row r="27" spans="1:2" ht="25.5" x14ac:dyDescent="0.2">
      <c r="A27" s="210" t="str">
        <f>"How many chapter members were inducted in "&amp;HIDE!B34+'3 Ordeal Completion'!B34&amp;"?"</f>
        <v>How many chapter members were inducted in 2013?</v>
      </c>
      <c r="B27" s="212"/>
    </row>
    <row r="28" spans="1:2" ht="3.95" customHeight="1" x14ac:dyDescent="0.2"/>
    <row r="29" spans="1:2" ht="25.5" x14ac:dyDescent="0.2">
      <c r="A29" s="210" t="str">
        <f>"How many chapter members were candidates for the Ordeal induction in "&amp;HIDE!B33&amp;"?"</f>
        <v>How many chapter members were candidates for the Ordeal induction in 2014?</v>
      </c>
      <c r="B29" s="212"/>
    </row>
    <row r="30" spans="1:2" ht="3.95" customHeight="1" x14ac:dyDescent="0.2"/>
    <row r="31" spans="1:2" ht="25.5" x14ac:dyDescent="0.2">
      <c r="A31" s="210" t="str">
        <f>"How many chapter members were inducted in "&amp;HIDE!B33&amp;"?"</f>
        <v>How many chapter members were inducted in 2014?</v>
      </c>
      <c r="B31" s="212"/>
    </row>
    <row r="33" spans="1:2" x14ac:dyDescent="0.2">
      <c r="A33" s="232" t="s">
        <v>303</v>
      </c>
      <c r="B33" s="233"/>
    </row>
    <row r="34" spans="1:2" ht="25.5" x14ac:dyDescent="0.2">
      <c r="A34" s="210" t="str">
        <f>"How many Ordeal members were eligible to go through the Brotherhood ceremony in "&amp;HIDE!B34&amp;"?"</f>
        <v>How many Ordeal members were eligible to go through the Brotherhood ceremony in 2013?</v>
      </c>
      <c r="B34" s="212"/>
    </row>
    <row r="35" spans="1:2" ht="3.95" customHeight="1" x14ac:dyDescent="0.2"/>
    <row r="36" spans="1:2" ht="25.5" x14ac:dyDescent="0.2">
      <c r="A36" s="210" t="str">
        <f>"How many Ordeal members went through the Brotherhood ceremony in "&amp;HIDE!B34&amp;"?"</f>
        <v>How many Ordeal members went through the Brotherhood ceremony in 2013?</v>
      </c>
      <c r="B36" s="212"/>
    </row>
    <row r="37" spans="1:2" ht="3.95" customHeight="1" x14ac:dyDescent="0.2"/>
    <row r="38" spans="1:2" ht="25.5" x14ac:dyDescent="0.2">
      <c r="A38" s="210" t="str">
        <f>"How many Ordeal members were eligible to go through the Brotherhood ceremony in "&amp;HIDE!B33&amp;"?"</f>
        <v>How many Ordeal members were eligible to go through the Brotherhood ceremony in 2014?</v>
      </c>
      <c r="B38" s="212"/>
    </row>
    <row r="39" spans="1:2" ht="3.95" customHeight="1" x14ac:dyDescent="0.2"/>
    <row r="40" spans="1:2" ht="25.5" x14ac:dyDescent="0.2">
      <c r="A40" s="210" t="str">
        <f>"How many Ordeal members went through the Brotherhood ceremony in "&amp;HIDE!B33&amp;"?"</f>
        <v>How many Ordeal members went through the Brotherhood ceremony in 2014?</v>
      </c>
      <c r="B40" s="212"/>
    </row>
    <row r="42" spans="1:2" x14ac:dyDescent="0.2">
      <c r="A42" s="232" t="s">
        <v>304</v>
      </c>
      <c r="B42" s="233"/>
    </row>
    <row r="43" spans="1:2" ht="38.25" x14ac:dyDescent="0.2">
      <c r="A43" s="210" t="str">
        <f>"How many troops and teams were in the district (or in the chapter's territory if different from the district) as of December 31, "&amp;HIDE!B34&amp;"?"</f>
        <v>How many troops and teams were in the district (or in the chapter's territory if different from the district) as of December 31, 2013?</v>
      </c>
      <c r="B43" s="212"/>
    </row>
    <row r="44" spans="1:2" ht="3.95" customHeight="1" x14ac:dyDescent="0.2"/>
    <row r="45" spans="1:2" ht="38.25" x14ac:dyDescent="0.2">
      <c r="A45" s="210" t="str">
        <f>"How many troops and teams were in the district (or in the chapter's territory if different from the district) as of December 31, "&amp;HIDE!B33&amp;"?"</f>
        <v>How many troops and teams were in the district (or in the chapter's territory if different from the district) as of December 31, 2014?</v>
      </c>
      <c r="B45" s="212"/>
    </row>
  </sheetData>
  <sheetProtection password="9C31" sheet="1" objects="1" scenarios="1"/>
  <mergeCells count="6">
    <mergeCell ref="A42:B42"/>
    <mergeCell ref="A1:B1"/>
    <mergeCell ref="A2:B2"/>
    <mergeCell ref="A17:B17"/>
    <mergeCell ref="A24:B24"/>
    <mergeCell ref="A33:B33"/>
  </mergeCells>
  <phoneticPr fontId="3" type="noConversion"/>
  <pageMargins left="0.5" right="0.5" top="0.5" bottom="0.5" header="0.3" footer="0.3"/>
  <pageSetup orientation="portrait"/>
  <headerFooter>
    <oddHeader>&amp;C&amp;K000000Chapter Journey to Excellence Workbook</oddHeader>
    <oddFooter>&amp;R&amp;K000000&amp;A</oddFooter>
  </headerFooter>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enableFormatConditionsCalculation="0"/>
  <dimension ref="A1:H49"/>
  <sheetViews>
    <sheetView showGridLines="0" zoomScaleSheetLayoutView="100" workbookViewId="0">
      <selection activeCell="B1" sqref="B1:G1"/>
    </sheetView>
  </sheetViews>
  <sheetFormatPr defaultColWidth="8.85546875" defaultRowHeight="12.75" x14ac:dyDescent="0.2"/>
  <cols>
    <col min="1" max="1" width="6.85546875" style="55" customWidth="1"/>
    <col min="2" max="2" width="5.7109375" style="55" bestFit="1" customWidth="1"/>
    <col min="3" max="3" width="5.7109375" style="55" customWidth="1"/>
    <col min="4" max="4" width="36.42578125" style="55" customWidth="1"/>
    <col min="5" max="5" width="11.28515625" style="55" customWidth="1"/>
    <col min="6" max="6" width="7.42578125" style="55" bestFit="1" customWidth="1"/>
    <col min="7" max="7" width="6.28515625" style="55" bestFit="1" customWidth="1"/>
    <col min="8" max="16384" width="8.85546875" style="55"/>
  </cols>
  <sheetData>
    <row r="1" spans="1:8" ht="27.75" customHeight="1" x14ac:dyDescent="0.2">
      <c r="A1" s="122">
        <v>1</v>
      </c>
      <c r="B1" s="242" t="s">
        <v>24</v>
      </c>
      <c r="C1" s="242"/>
      <c r="D1" s="242"/>
      <c r="E1" s="242"/>
      <c r="F1" s="242"/>
      <c r="G1" s="242"/>
    </row>
    <row r="2" spans="1:8" x14ac:dyDescent="0.2">
      <c r="B2" s="123"/>
      <c r="C2" s="123"/>
      <c r="D2" s="123"/>
      <c r="E2" s="123"/>
      <c r="F2" s="123"/>
      <c r="G2" s="123"/>
    </row>
    <row r="3" spans="1:8" ht="12.75" customHeight="1" x14ac:dyDescent="0.2">
      <c r="C3" s="252" t="s">
        <v>5</v>
      </c>
      <c r="D3" s="252"/>
      <c r="E3" s="252"/>
      <c r="F3" s="124" t="s">
        <v>2</v>
      </c>
      <c r="G3" s="124">
        <v>75</v>
      </c>
    </row>
    <row r="4" spans="1:8" x14ac:dyDescent="0.2">
      <c r="C4" s="125"/>
      <c r="D4" s="125"/>
      <c r="E4" s="125"/>
      <c r="F4" s="125"/>
      <c r="G4" s="125"/>
    </row>
    <row r="5" spans="1:8" x14ac:dyDescent="0.2">
      <c r="C5" s="252" t="s">
        <v>6</v>
      </c>
      <c r="D5" s="252"/>
      <c r="E5" s="252"/>
      <c r="F5" s="124" t="s">
        <v>3</v>
      </c>
      <c r="G5" s="124">
        <v>100</v>
      </c>
    </row>
    <row r="6" spans="1:8" x14ac:dyDescent="0.2">
      <c r="C6" s="125"/>
      <c r="D6" s="125"/>
      <c r="E6" s="125"/>
      <c r="F6" s="125"/>
      <c r="G6" s="125"/>
    </row>
    <row r="7" spans="1:8" x14ac:dyDescent="0.2">
      <c r="C7" s="252" t="s">
        <v>7</v>
      </c>
      <c r="D7" s="252"/>
      <c r="E7" s="252"/>
      <c r="F7" s="124" t="s">
        <v>4</v>
      </c>
      <c r="G7" s="124">
        <v>200</v>
      </c>
    </row>
    <row r="8" spans="1:8" x14ac:dyDescent="0.2">
      <c r="C8" s="126"/>
      <c r="D8" s="126"/>
      <c r="E8" s="126"/>
      <c r="F8" s="127"/>
      <c r="G8" s="127"/>
    </row>
    <row r="9" spans="1:8" x14ac:dyDescent="0.2">
      <c r="B9" s="253" t="s">
        <v>25</v>
      </c>
      <c r="C9" s="253"/>
      <c r="D9" s="253"/>
      <c r="E9" s="253"/>
      <c r="F9" s="253"/>
      <c r="G9" s="253"/>
    </row>
    <row r="10" spans="1:8" ht="22.5" customHeight="1" x14ac:dyDescent="0.2">
      <c r="B10" s="253"/>
      <c r="C10" s="253"/>
      <c r="D10" s="253"/>
      <c r="E10" s="253"/>
      <c r="F10" s="253"/>
      <c r="G10" s="253"/>
    </row>
    <row r="11" spans="1:8" ht="21" customHeight="1" x14ac:dyDescent="0.2">
      <c r="B11" s="253"/>
      <c r="C11" s="253"/>
      <c r="D11" s="253"/>
      <c r="E11" s="253"/>
      <c r="F11" s="253"/>
      <c r="G11" s="253"/>
    </row>
    <row r="12" spans="1:8" x14ac:dyDescent="0.2">
      <c r="B12" s="253"/>
      <c r="C12" s="253"/>
      <c r="D12" s="253"/>
      <c r="E12" s="253"/>
      <c r="F12" s="253"/>
      <c r="G12" s="253"/>
    </row>
    <row r="13" spans="1:8" ht="17.25" customHeight="1" x14ac:dyDescent="0.2">
      <c r="B13" s="253"/>
      <c r="C13" s="253"/>
      <c r="D13" s="253"/>
      <c r="E13" s="253"/>
      <c r="F13" s="253"/>
      <c r="G13" s="253"/>
    </row>
    <row r="14" spans="1:8" x14ac:dyDescent="0.2">
      <c r="C14" s="123"/>
      <c r="D14" s="123"/>
      <c r="E14" s="123"/>
      <c r="F14" s="128"/>
      <c r="G14" s="128"/>
    </row>
    <row r="15" spans="1:8" ht="12.75" customHeight="1" x14ac:dyDescent="0.2">
      <c r="C15" s="255" t="s">
        <v>14</v>
      </c>
      <c r="D15" s="255"/>
      <c r="E15" s="255"/>
      <c r="F15" s="255"/>
      <c r="G15" s="255"/>
      <c r="H15" s="234" t="s">
        <v>13</v>
      </c>
    </row>
    <row r="16" spans="1:8" x14ac:dyDescent="0.2">
      <c r="B16" s="254" t="s">
        <v>15</v>
      </c>
      <c r="C16" s="243"/>
      <c r="D16" s="244"/>
      <c r="E16" s="244"/>
      <c r="F16" s="244"/>
      <c r="G16" s="245"/>
      <c r="H16" s="234"/>
    </row>
    <row r="17" spans="2:8" x14ac:dyDescent="0.2">
      <c r="B17" s="254"/>
      <c r="C17" s="246"/>
      <c r="D17" s="247"/>
      <c r="E17" s="247"/>
      <c r="F17" s="247"/>
      <c r="G17" s="248"/>
      <c r="H17" s="235"/>
    </row>
    <row r="18" spans="2:8" ht="9.75" customHeight="1" x14ac:dyDescent="0.2">
      <c r="B18" s="254"/>
      <c r="C18" s="246"/>
      <c r="D18" s="247"/>
      <c r="E18" s="247"/>
      <c r="F18" s="247"/>
      <c r="G18" s="248"/>
      <c r="H18" s="236"/>
    </row>
    <row r="19" spans="2:8" ht="12.75" customHeight="1" x14ac:dyDescent="0.2">
      <c r="B19" s="254"/>
      <c r="C19" s="246"/>
      <c r="D19" s="247"/>
      <c r="E19" s="247"/>
      <c r="F19" s="247"/>
      <c r="G19" s="248"/>
      <c r="H19" s="236"/>
    </row>
    <row r="20" spans="2:8" ht="12.75" customHeight="1" x14ac:dyDescent="0.2">
      <c r="B20" s="254"/>
      <c r="C20" s="249"/>
      <c r="D20" s="250"/>
      <c r="E20" s="250"/>
      <c r="F20" s="250"/>
      <c r="G20" s="251"/>
      <c r="H20" s="237"/>
    </row>
    <row r="21" spans="2:8" ht="12.75" customHeight="1" x14ac:dyDescent="0.2"/>
    <row r="22" spans="2:8" ht="12.75" customHeight="1" x14ac:dyDescent="0.2">
      <c r="C22" s="241" t="s">
        <v>8</v>
      </c>
      <c r="D22" s="241"/>
      <c r="E22" s="241"/>
      <c r="F22" s="241"/>
      <c r="G22" s="241"/>
    </row>
    <row r="23" spans="2:8" ht="14.1" customHeight="1" x14ac:dyDescent="0.2">
      <c r="B23" s="254" t="s">
        <v>16</v>
      </c>
      <c r="C23" s="243"/>
      <c r="D23" s="244"/>
      <c r="E23" s="244"/>
      <c r="F23" s="244"/>
      <c r="G23" s="245"/>
    </row>
    <row r="24" spans="2:8" ht="14.1" customHeight="1" x14ac:dyDescent="0.2">
      <c r="B24" s="254"/>
      <c r="C24" s="246"/>
      <c r="D24" s="247"/>
      <c r="E24" s="247"/>
      <c r="F24" s="247"/>
      <c r="G24" s="248"/>
    </row>
    <row r="25" spans="2:8" ht="14.1" customHeight="1" x14ac:dyDescent="0.2">
      <c r="B25" s="254"/>
      <c r="C25" s="246"/>
      <c r="D25" s="247"/>
      <c r="E25" s="247"/>
      <c r="F25" s="247"/>
      <c r="G25" s="248"/>
    </row>
    <row r="26" spans="2:8" ht="14.1" customHeight="1" x14ac:dyDescent="0.2">
      <c r="B26" s="254"/>
      <c r="C26" s="246"/>
      <c r="D26" s="247"/>
      <c r="E26" s="247"/>
      <c r="F26" s="247"/>
      <c r="G26" s="248"/>
    </row>
    <row r="27" spans="2:8" ht="14.1" customHeight="1" x14ac:dyDescent="0.2">
      <c r="B27" s="254"/>
      <c r="C27" s="249"/>
      <c r="D27" s="250"/>
      <c r="E27" s="250"/>
      <c r="F27" s="250"/>
      <c r="G27" s="251"/>
    </row>
    <row r="28" spans="2:8" ht="12.75" customHeight="1" x14ac:dyDescent="0.2">
      <c r="C28" s="129"/>
      <c r="D28" s="129"/>
      <c r="E28" s="129"/>
      <c r="F28" s="129"/>
      <c r="G28" s="129"/>
    </row>
    <row r="29" spans="2:8" ht="12.75" customHeight="1" x14ac:dyDescent="0.2">
      <c r="C29" s="241" t="s">
        <v>19</v>
      </c>
      <c r="D29" s="241"/>
      <c r="E29" s="241"/>
      <c r="F29" s="241"/>
      <c r="G29" s="241"/>
      <c r="H29" s="234" t="s">
        <v>18</v>
      </c>
    </row>
    <row r="30" spans="2:8" ht="12.75" customHeight="1" x14ac:dyDescent="0.2">
      <c r="B30" s="254" t="s">
        <v>17</v>
      </c>
      <c r="C30" s="256"/>
      <c r="D30" s="244"/>
      <c r="E30" s="244"/>
      <c r="F30" s="244"/>
      <c r="G30" s="245"/>
      <c r="H30" s="234"/>
    </row>
    <row r="31" spans="2:8" ht="12.75" customHeight="1" x14ac:dyDescent="0.2">
      <c r="B31" s="254"/>
      <c r="C31" s="246"/>
      <c r="D31" s="247"/>
      <c r="E31" s="247"/>
      <c r="F31" s="247"/>
      <c r="G31" s="248"/>
      <c r="H31" s="240"/>
    </row>
    <row r="32" spans="2:8" x14ac:dyDescent="0.2">
      <c r="B32" s="254"/>
      <c r="C32" s="246"/>
      <c r="D32" s="247"/>
      <c r="E32" s="247"/>
      <c r="F32" s="247"/>
      <c r="G32" s="248"/>
      <c r="H32" s="238"/>
    </row>
    <row r="33" spans="2:8" x14ac:dyDescent="0.2">
      <c r="B33" s="254"/>
      <c r="C33" s="246"/>
      <c r="D33" s="247"/>
      <c r="E33" s="247"/>
      <c r="F33" s="247"/>
      <c r="G33" s="248"/>
      <c r="H33" s="238"/>
    </row>
    <row r="34" spans="2:8" x14ac:dyDescent="0.2">
      <c r="B34" s="254"/>
      <c r="C34" s="249"/>
      <c r="D34" s="250"/>
      <c r="E34" s="250"/>
      <c r="F34" s="250"/>
      <c r="G34" s="251"/>
      <c r="H34" s="239"/>
    </row>
    <row r="36" spans="2:8" x14ac:dyDescent="0.2">
      <c r="C36" s="258" t="s">
        <v>10</v>
      </c>
      <c r="D36" s="258"/>
      <c r="E36" s="258"/>
      <c r="F36" s="258"/>
      <c r="G36" s="258"/>
      <c r="H36" s="234" t="s">
        <v>21</v>
      </c>
    </row>
    <row r="37" spans="2:8" x14ac:dyDescent="0.2">
      <c r="B37" s="254" t="s">
        <v>20</v>
      </c>
      <c r="C37" s="243"/>
      <c r="D37" s="244"/>
      <c r="E37" s="244"/>
      <c r="F37" s="244"/>
      <c r="G37" s="245"/>
      <c r="H37" s="234"/>
    </row>
    <row r="38" spans="2:8" x14ac:dyDescent="0.2">
      <c r="B38" s="254"/>
      <c r="C38" s="246"/>
      <c r="D38" s="247"/>
      <c r="E38" s="247"/>
      <c r="F38" s="247"/>
      <c r="G38" s="248"/>
      <c r="H38" s="235"/>
    </row>
    <row r="39" spans="2:8" x14ac:dyDescent="0.2">
      <c r="B39" s="254"/>
      <c r="C39" s="246"/>
      <c r="D39" s="247"/>
      <c r="E39" s="247"/>
      <c r="F39" s="247"/>
      <c r="G39" s="248"/>
      <c r="H39" s="238"/>
    </row>
    <row r="40" spans="2:8" x14ac:dyDescent="0.2">
      <c r="B40" s="254"/>
      <c r="C40" s="246"/>
      <c r="D40" s="247"/>
      <c r="E40" s="247"/>
      <c r="F40" s="247"/>
      <c r="G40" s="248"/>
      <c r="H40" s="238"/>
    </row>
    <row r="41" spans="2:8" x14ac:dyDescent="0.2">
      <c r="B41" s="254"/>
      <c r="C41" s="249"/>
      <c r="D41" s="250"/>
      <c r="E41" s="250"/>
      <c r="F41" s="250"/>
      <c r="G41" s="251"/>
      <c r="H41" s="239"/>
    </row>
    <row r="42" spans="2:8" x14ac:dyDescent="0.2">
      <c r="D42" s="130"/>
      <c r="E42" s="130"/>
      <c r="F42" s="128"/>
      <c r="G42" s="128"/>
    </row>
    <row r="43" spans="2:8" x14ac:dyDescent="0.2">
      <c r="C43" s="241" t="s">
        <v>9</v>
      </c>
      <c r="D43" s="241"/>
      <c r="E43" s="241"/>
      <c r="F43" s="241"/>
      <c r="G43" s="241"/>
    </row>
    <row r="44" spans="2:8" ht="12.75" customHeight="1" x14ac:dyDescent="0.2">
      <c r="B44" s="254" t="s">
        <v>22</v>
      </c>
      <c r="C44" s="257" t="s">
        <v>317</v>
      </c>
      <c r="D44" s="244"/>
      <c r="E44" s="244"/>
      <c r="F44" s="244"/>
      <c r="G44" s="245"/>
    </row>
    <row r="45" spans="2:8" x14ac:dyDescent="0.2">
      <c r="B45" s="254"/>
      <c r="C45" s="246"/>
      <c r="D45" s="247"/>
      <c r="E45" s="247"/>
      <c r="F45" s="247"/>
      <c r="G45" s="248"/>
    </row>
    <row r="46" spans="2:8" x14ac:dyDescent="0.2">
      <c r="B46" s="254"/>
      <c r="C46" s="246"/>
      <c r="D46" s="247"/>
      <c r="E46" s="247"/>
      <c r="F46" s="247"/>
      <c r="G46" s="248"/>
    </row>
    <row r="47" spans="2:8" x14ac:dyDescent="0.2">
      <c r="B47" s="254"/>
      <c r="C47" s="246"/>
      <c r="D47" s="247"/>
      <c r="E47" s="247"/>
      <c r="F47" s="247"/>
      <c r="G47" s="248"/>
    </row>
    <row r="48" spans="2:8" x14ac:dyDescent="0.2">
      <c r="B48" s="254"/>
      <c r="C48" s="249"/>
      <c r="D48" s="250"/>
      <c r="E48" s="250"/>
      <c r="F48" s="250"/>
      <c r="G48" s="251"/>
    </row>
    <row r="49" spans="4:5" x14ac:dyDescent="0.2">
      <c r="D49" s="123"/>
      <c r="E49" s="123"/>
    </row>
  </sheetData>
  <sheetProtection password="9C31" sheet="1" objects="1" scenarios="1"/>
  <mergeCells count="26">
    <mergeCell ref="C30:G34"/>
    <mergeCell ref="B30:B34"/>
    <mergeCell ref="B37:B41"/>
    <mergeCell ref="C43:G43"/>
    <mergeCell ref="C44:G48"/>
    <mergeCell ref="B44:B48"/>
    <mergeCell ref="C36:G36"/>
    <mergeCell ref="C37:G41"/>
    <mergeCell ref="C29:G29"/>
    <mergeCell ref="B1:G1"/>
    <mergeCell ref="C23:G27"/>
    <mergeCell ref="C5:E5"/>
    <mergeCell ref="C3:E3"/>
    <mergeCell ref="C7:E7"/>
    <mergeCell ref="B9:G13"/>
    <mergeCell ref="B23:B27"/>
    <mergeCell ref="C15:G15"/>
    <mergeCell ref="C16:G20"/>
    <mergeCell ref="C22:G22"/>
    <mergeCell ref="B16:B20"/>
    <mergeCell ref="H15:H16"/>
    <mergeCell ref="H17:H20"/>
    <mergeCell ref="H36:H37"/>
    <mergeCell ref="H38:H41"/>
    <mergeCell ref="H29:H30"/>
    <mergeCell ref="H31:H34"/>
  </mergeCells>
  <phoneticPr fontId="3" type="noConversion"/>
  <pageMargins left="0.5" right="0.5" top="0.5" bottom="0.5" header="0.3" footer="0.3"/>
  <pageSetup orientation="portrait"/>
  <headerFooter alignWithMargins="0">
    <oddHeader>&amp;C&amp;K000000Chapter Journey to Excellence Workbook</oddHeader>
    <oddFooter>&amp;R&amp;K000000&amp;A</oddFooter>
  </headerFooter>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enableFormatConditionsCalculation="0"/>
  <dimension ref="A1:H48"/>
  <sheetViews>
    <sheetView showGridLines="0" zoomScaleSheetLayoutView="100" workbookViewId="0">
      <selection activeCell="B1" sqref="B1:G1"/>
    </sheetView>
  </sheetViews>
  <sheetFormatPr defaultColWidth="8.85546875" defaultRowHeight="12.75" x14ac:dyDescent="0.2"/>
  <cols>
    <col min="1" max="1" width="6.85546875" style="132" customWidth="1"/>
    <col min="2" max="2" width="5.7109375" style="132" bestFit="1" customWidth="1"/>
    <col min="3" max="3" width="5.7109375" style="132" customWidth="1"/>
    <col min="4" max="4" width="36.42578125" style="132" customWidth="1"/>
    <col min="5" max="5" width="11.28515625" style="132" customWidth="1"/>
    <col min="6" max="6" width="7.42578125" style="132" bestFit="1" customWidth="1"/>
    <col min="7" max="7" width="6.28515625" style="132" bestFit="1" customWidth="1"/>
    <col min="8" max="16384" width="8.85546875" style="132"/>
  </cols>
  <sheetData>
    <row r="1" spans="1:8" ht="27.75" customHeight="1" x14ac:dyDescent="0.2">
      <c r="A1" s="131">
        <v>2</v>
      </c>
      <c r="B1" s="242" t="s">
        <v>23</v>
      </c>
      <c r="C1" s="242"/>
      <c r="D1" s="242"/>
      <c r="E1" s="242"/>
      <c r="F1" s="242"/>
      <c r="G1" s="242"/>
    </row>
    <row r="2" spans="1:8" x14ac:dyDescent="0.2">
      <c r="A2" s="133"/>
      <c r="B2" s="126"/>
      <c r="C2" s="126"/>
      <c r="D2" s="126"/>
      <c r="E2" s="126"/>
      <c r="F2" s="126"/>
      <c r="G2" s="126"/>
      <c r="H2" s="133"/>
    </row>
    <row r="3" spans="1:8" ht="12.75" customHeight="1" x14ac:dyDescent="0.2">
      <c r="A3" s="133"/>
      <c r="B3" s="133"/>
      <c r="C3" s="252" t="s">
        <v>11</v>
      </c>
      <c r="D3" s="252"/>
      <c r="E3" s="252"/>
      <c r="F3" s="124" t="s">
        <v>2</v>
      </c>
      <c r="G3" s="124">
        <v>75</v>
      </c>
    </row>
    <row r="4" spans="1:8" x14ac:dyDescent="0.2">
      <c r="A4" s="133"/>
      <c r="B4" s="133"/>
      <c r="C4" s="134"/>
      <c r="D4" s="134"/>
      <c r="E4" s="134"/>
      <c r="F4" s="134"/>
      <c r="G4" s="134"/>
    </row>
    <row r="5" spans="1:8" x14ac:dyDescent="0.2">
      <c r="A5" s="133"/>
      <c r="B5" s="133"/>
      <c r="C5" s="252" t="s">
        <v>12</v>
      </c>
      <c r="D5" s="252"/>
      <c r="E5" s="252"/>
      <c r="F5" s="124" t="s">
        <v>3</v>
      </c>
      <c r="G5" s="124">
        <v>100</v>
      </c>
    </row>
    <row r="6" spans="1:8" x14ac:dyDescent="0.2">
      <c r="A6" s="133"/>
      <c r="B6" s="133"/>
      <c r="C6" s="134"/>
      <c r="D6" s="134"/>
      <c r="E6" s="134"/>
      <c r="F6" s="134"/>
      <c r="G6" s="134"/>
    </row>
    <row r="7" spans="1:8" x14ac:dyDescent="0.2">
      <c r="A7" s="133"/>
      <c r="B7" s="133"/>
      <c r="C7" s="252" t="s">
        <v>296</v>
      </c>
      <c r="D7" s="252"/>
      <c r="E7" s="252"/>
      <c r="F7" s="124" t="s">
        <v>4</v>
      </c>
      <c r="G7" s="124">
        <v>200</v>
      </c>
    </row>
    <row r="8" spans="1:8" x14ac:dyDescent="0.2">
      <c r="A8" s="133"/>
      <c r="B8" s="133"/>
      <c r="C8" s="123"/>
      <c r="D8" s="123"/>
      <c r="E8" s="123"/>
      <c r="F8" s="128"/>
      <c r="G8" s="128"/>
    </row>
    <row r="9" spans="1:8" ht="12.75" customHeight="1" x14ac:dyDescent="0.2">
      <c r="B9" s="266" t="s">
        <v>26</v>
      </c>
      <c r="C9" s="269" t="str">
        <f>"How many chapter members were registered on December 31 of "&amp; HIDE!B34&amp;"?"</f>
        <v>How many chapter members were registered on December 31 of 2013?</v>
      </c>
      <c r="D9" s="269"/>
      <c r="E9" s="269"/>
      <c r="F9" s="269"/>
      <c r="G9" s="270"/>
      <c r="H9" s="263">
        <f>Worksheet!B20</f>
        <v>0</v>
      </c>
    </row>
    <row r="10" spans="1:8" x14ac:dyDescent="0.2">
      <c r="B10" s="267"/>
      <c r="C10" s="269"/>
      <c r="D10" s="269"/>
      <c r="E10" s="269"/>
      <c r="F10" s="269"/>
      <c r="G10" s="270"/>
      <c r="H10" s="264"/>
    </row>
    <row r="11" spans="1:8" ht="14.1" customHeight="1" x14ac:dyDescent="0.2">
      <c r="B11" s="267"/>
      <c r="C11" s="269"/>
      <c r="D11" s="269"/>
      <c r="E11" s="269"/>
      <c r="F11" s="269"/>
      <c r="G11" s="270"/>
      <c r="H11" s="264"/>
    </row>
    <row r="12" spans="1:8" ht="12.75" customHeight="1" x14ac:dyDescent="0.2">
      <c r="B12" s="267"/>
      <c r="C12" s="269"/>
      <c r="D12" s="269"/>
      <c r="E12" s="269"/>
      <c r="F12" s="269"/>
      <c r="G12" s="270"/>
      <c r="H12" s="264"/>
    </row>
    <row r="13" spans="1:8" ht="12.75" customHeight="1" x14ac:dyDescent="0.2">
      <c r="B13" s="268"/>
      <c r="C13" s="269"/>
      <c r="D13" s="269"/>
      <c r="E13" s="269"/>
      <c r="F13" s="269"/>
      <c r="G13" s="270"/>
      <c r="H13" s="265"/>
    </row>
    <row r="14" spans="1:8" ht="12.75" customHeight="1" x14ac:dyDescent="0.2"/>
    <row r="15" spans="1:8" ht="12.75" customHeight="1" x14ac:dyDescent="0.2">
      <c r="C15" s="241" t="s">
        <v>27</v>
      </c>
      <c r="D15" s="262"/>
      <c r="E15" s="262"/>
      <c r="F15" s="262"/>
      <c r="G15" s="262"/>
    </row>
    <row r="16" spans="1:8" ht="12.75" customHeight="1" x14ac:dyDescent="0.2">
      <c r="B16" s="254" t="s">
        <v>16</v>
      </c>
      <c r="C16" s="243"/>
      <c r="D16" s="244"/>
      <c r="E16" s="244"/>
      <c r="F16" s="244"/>
      <c r="G16" s="245"/>
    </row>
    <row r="17" spans="2:8" ht="17.100000000000001" customHeight="1" x14ac:dyDescent="0.2">
      <c r="B17" s="254"/>
      <c r="C17" s="246"/>
      <c r="D17" s="247"/>
      <c r="E17" s="247"/>
      <c r="F17" s="247"/>
      <c r="G17" s="248"/>
    </row>
    <row r="18" spans="2:8" ht="12.75" customHeight="1" x14ac:dyDescent="0.2">
      <c r="B18" s="254"/>
      <c r="C18" s="246"/>
      <c r="D18" s="247"/>
      <c r="E18" s="247"/>
      <c r="F18" s="247"/>
      <c r="G18" s="248"/>
    </row>
    <row r="19" spans="2:8" ht="15.75" customHeight="1" x14ac:dyDescent="0.2">
      <c r="B19" s="254"/>
      <c r="C19" s="246"/>
      <c r="D19" s="247"/>
      <c r="E19" s="247"/>
      <c r="F19" s="247"/>
      <c r="G19" s="248"/>
    </row>
    <row r="20" spans="2:8" ht="12.75" customHeight="1" x14ac:dyDescent="0.2">
      <c r="B20" s="254"/>
      <c r="C20" s="249"/>
      <c r="D20" s="250"/>
      <c r="E20" s="250"/>
      <c r="F20" s="250"/>
      <c r="G20" s="251"/>
    </row>
    <row r="21" spans="2:8" ht="12.75" customHeight="1" x14ac:dyDescent="0.2">
      <c r="B21" s="135"/>
      <c r="C21" s="136"/>
      <c r="D21" s="136"/>
      <c r="E21" s="136"/>
      <c r="F21" s="136"/>
      <c r="G21" s="136"/>
    </row>
    <row r="22" spans="2:8" ht="12.75" customHeight="1" x14ac:dyDescent="0.2">
      <c r="B22" s="266" t="s">
        <v>28</v>
      </c>
      <c r="C22" s="269" t="str">
        <f>"How many chapter members are registered on December 31 of "&amp;HIDE!B33+'2 Membership Impact'!B33&amp;"?"</f>
        <v>How many chapter members are registered on December 31 of 2014?</v>
      </c>
      <c r="D22" s="269"/>
      <c r="E22" s="269"/>
      <c r="F22" s="269"/>
      <c r="G22" s="270"/>
      <c r="H22" s="271">
        <f>Worksheet!B22</f>
        <v>0</v>
      </c>
    </row>
    <row r="23" spans="2:8" ht="12.75" customHeight="1" x14ac:dyDescent="0.2">
      <c r="B23" s="267"/>
      <c r="C23" s="269"/>
      <c r="D23" s="269"/>
      <c r="E23" s="269"/>
      <c r="F23" s="269"/>
      <c r="G23" s="270"/>
      <c r="H23" s="264"/>
    </row>
    <row r="24" spans="2:8" ht="12.75" customHeight="1" x14ac:dyDescent="0.2">
      <c r="B24" s="267"/>
      <c r="C24" s="269"/>
      <c r="D24" s="269"/>
      <c r="E24" s="269"/>
      <c r="F24" s="269"/>
      <c r="G24" s="270"/>
      <c r="H24" s="264"/>
    </row>
    <row r="25" spans="2:8" ht="12.75" customHeight="1" x14ac:dyDescent="0.2">
      <c r="B25" s="267"/>
      <c r="C25" s="269"/>
      <c r="D25" s="269"/>
      <c r="E25" s="269"/>
      <c r="F25" s="269"/>
      <c r="G25" s="270"/>
      <c r="H25" s="264"/>
    </row>
    <row r="26" spans="2:8" ht="12.75" customHeight="1" x14ac:dyDescent="0.2">
      <c r="B26" s="268"/>
      <c r="C26" s="269"/>
      <c r="D26" s="269"/>
      <c r="E26" s="269"/>
      <c r="F26" s="269"/>
      <c r="G26" s="270"/>
      <c r="H26" s="265"/>
    </row>
    <row r="27" spans="2:8" ht="12.75" customHeight="1" x14ac:dyDescent="0.2">
      <c r="B27" s="135"/>
      <c r="C27" s="136"/>
      <c r="D27" s="136"/>
      <c r="E27" s="136"/>
      <c r="F27" s="136"/>
      <c r="G27" s="136"/>
    </row>
    <row r="28" spans="2:8" ht="12.75" customHeight="1" x14ac:dyDescent="0.2">
      <c r="B28" s="135"/>
      <c r="C28" s="259" t="s">
        <v>29</v>
      </c>
      <c r="D28" s="259"/>
      <c r="E28" s="137">
        <f>H9</f>
        <v>0</v>
      </c>
      <c r="F28" s="136"/>
      <c r="G28" s="136"/>
    </row>
    <row r="29" spans="2:8" ht="12.75" customHeight="1" x14ac:dyDescent="0.2">
      <c r="B29" s="135"/>
      <c r="C29" s="259" t="s">
        <v>30</v>
      </c>
      <c r="D29" s="259"/>
      <c r="E29" s="137">
        <f>H22</f>
        <v>0</v>
      </c>
      <c r="F29" s="136"/>
    </row>
    <row r="30" spans="2:8" ht="12.75" customHeight="1" x14ac:dyDescent="0.2">
      <c r="B30" s="135"/>
      <c r="C30" s="137"/>
      <c r="D30" s="138" t="s">
        <v>32</v>
      </c>
      <c r="E30" s="137">
        <f>E29-E28</f>
        <v>0</v>
      </c>
      <c r="G30" s="136"/>
    </row>
    <row r="31" spans="2:8" ht="12.75" customHeight="1" x14ac:dyDescent="0.2">
      <c r="B31" s="135"/>
      <c r="C31" s="137"/>
      <c r="D31" s="138" t="s">
        <v>31</v>
      </c>
      <c r="E31" s="54" t="str">
        <f>IF(E28&lt;&gt;0, E30/E28, "-")</f>
        <v>-</v>
      </c>
      <c r="F31" s="136"/>
      <c r="G31" s="136"/>
    </row>
    <row r="32" spans="2:8" ht="12.75" customHeight="1" x14ac:dyDescent="0.2">
      <c r="B32" s="135"/>
      <c r="C32" s="136"/>
      <c r="D32" s="136"/>
      <c r="E32" s="260" t="str">
        <f>IF(E31="-", "-", IF((E31*100)&gt;=13, "GOLD", IF((E31*100)&gt;=1, "SILVER", IF(E30&gt;=1, "BRONZE", "Not JTE Eligible"))))</f>
        <v>-</v>
      </c>
      <c r="F32" s="136"/>
      <c r="G32" s="136"/>
    </row>
    <row r="33" spans="2:7" ht="12.75" customHeight="1" x14ac:dyDescent="0.2">
      <c r="B33" s="135"/>
      <c r="C33" s="136"/>
      <c r="D33" s="136"/>
      <c r="E33" s="261"/>
      <c r="F33" s="136"/>
      <c r="G33" s="136"/>
    </row>
    <row r="34" spans="2:7" ht="12.75" customHeight="1" x14ac:dyDescent="0.2">
      <c r="B34" s="135"/>
      <c r="C34" s="136"/>
      <c r="D34" s="136"/>
      <c r="E34" s="136"/>
      <c r="F34" s="136"/>
      <c r="G34" s="136"/>
    </row>
    <row r="35" spans="2:7" ht="12.75" customHeight="1" x14ac:dyDescent="0.2">
      <c r="C35" s="241" t="s">
        <v>34</v>
      </c>
      <c r="D35" s="241"/>
      <c r="E35" s="241"/>
      <c r="F35" s="241"/>
      <c r="G35" s="241"/>
    </row>
    <row r="36" spans="2:7" ht="12.75" customHeight="1" x14ac:dyDescent="0.2">
      <c r="B36" s="254" t="s">
        <v>35</v>
      </c>
      <c r="C36" s="243"/>
      <c r="D36" s="244"/>
      <c r="E36" s="244"/>
      <c r="F36" s="244"/>
      <c r="G36" s="245"/>
    </row>
    <row r="37" spans="2:7" ht="20.100000000000001" customHeight="1" x14ac:dyDescent="0.2">
      <c r="B37" s="254"/>
      <c r="C37" s="246"/>
      <c r="D37" s="247"/>
      <c r="E37" s="247"/>
      <c r="F37" s="247"/>
      <c r="G37" s="248"/>
    </row>
    <row r="38" spans="2:7" ht="15.75" customHeight="1" x14ac:dyDescent="0.2">
      <c r="B38" s="254"/>
      <c r="C38" s="246"/>
      <c r="D38" s="247"/>
      <c r="E38" s="247"/>
      <c r="F38" s="247"/>
      <c r="G38" s="248"/>
    </row>
    <row r="39" spans="2:7" x14ac:dyDescent="0.2">
      <c r="B39" s="254"/>
      <c r="C39" s="246"/>
      <c r="D39" s="247"/>
      <c r="E39" s="247"/>
      <c r="F39" s="247"/>
      <c r="G39" s="248"/>
    </row>
    <row r="40" spans="2:7" x14ac:dyDescent="0.2">
      <c r="B40" s="254"/>
      <c r="C40" s="249"/>
      <c r="D40" s="250"/>
      <c r="E40" s="250"/>
      <c r="F40" s="250"/>
      <c r="G40" s="251"/>
    </row>
    <row r="42" spans="2:7" x14ac:dyDescent="0.2">
      <c r="C42" s="241" t="s">
        <v>36</v>
      </c>
      <c r="D42" s="262"/>
      <c r="E42" s="262"/>
      <c r="F42" s="262"/>
      <c r="G42" s="262"/>
    </row>
    <row r="43" spans="2:7" ht="12.75" customHeight="1" x14ac:dyDescent="0.2">
      <c r="B43" s="254" t="s">
        <v>22</v>
      </c>
      <c r="C43" s="243"/>
      <c r="D43" s="244"/>
      <c r="E43" s="244"/>
      <c r="F43" s="244"/>
      <c r="G43" s="245"/>
    </row>
    <row r="44" spans="2:7" x14ac:dyDescent="0.2">
      <c r="B44" s="254"/>
      <c r="C44" s="246"/>
      <c r="D44" s="247"/>
      <c r="E44" s="247"/>
      <c r="F44" s="247"/>
      <c r="G44" s="248"/>
    </row>
    <row r="45" spans="2:7" x14ac:dyDescent="0.2">
      <c r="B45" s="254"/>
      <c r="C45" s="246"/>
      <c r="D45" s="247"/>
      <c r="E45" s="247"/>
      <c r="F45" s="247"/>
      <c r="G45" s="248"/>
    </row>
    <row r="46" spans="2:7" x14ac:dyDescent="0.2">
      <c r="B46" s="254"/>
      <c r="C46" s="246"/>
      <c r="D46" s="247"/>
      <c r="E46" s="247"/>
      <c r="F46" s="247"/>
      <c r="G46" s="248"/>
    </row>
    <row r="47" spans="2:7" x14ac:dyDescent="0.2">
      <c r="B47" s="254"/>
      <c r="C47" s="249"/>
      <c r="D47" s="250"/>
      <c r="E47" s="250"/>
      <c r="F47" s="250"/>
      <c r="G47" s="251"/>
    </row>
    <row r="48" spans="2:7" x14ac:dyDescent="0.2">
      <c r="D48" s="123"/>
      <c r="E48" s="123"/>
    </row>
  </sheetData>
  <sheetProtection password="9C31" sheet="1" objects="1" scenarios="1"/>
  <mergeCells count="22">
    <mergeCell ref="H9:H13"/>
    <mergeCell ref="B22:B26"/>
    <mergeCell ref="C22:G26"/>
    <mergeCell ref="H22:H26"/>
    <mergeCell ref="C15:G15"/>
    <mergeCell ref="B16:B20"/>
    <mergeCell ref="C16:G20"/>
    <mergeCell ref="B9:B13"/>
    <mergeCell ref="C9:G13"/>
    <mergeCell ref="B1:G1"/>
    <mergeCell ref="C3:E3"/>
    <mergeCell ref="C5:E5"/>
    <mergeCell ref="C7:E7"/>
    <mergeCell ref="B43:B47"/>
    <mergeCell ref="C43:G47"/>
    <mergeCell ref="C28:D28"/>
    <mergeCell ref="C29:D29"/>
    <mergeCell ref="E32:E33"/>
    <mergeCell ref="C42:G42"/>
    <mergeCell ref="C35:G35"/>
    <mergeCell ref="B36:B40"/>
    <mergeCell ref="C36:G40"/>
  </mergeCells>
  <phoneticPr fontId="3" type="noConversion"/>
  <pageMargins left="0.5" right="0.5" top="0.5" bottom="0.5" header="0.3" footer="0.3"/>
  <pageSetup orientation="portrait"/>
  <headerFooter alignWithMargins="0">
    <oddHeader>&amp;C&amp;K000000Chapter Journey to Excellence Workbook</oddHeader>
    <oddFooter>&amp;R&amp;K000000&amp;A</oddFooter>
  </headerFooter>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enableFormatConditionsCalculation="0"/>
  <dimension ref="A1:H79"/>
  <sheetViews>
    <sheetView showGridLines="0" workbookViewId="0">
      <selection activeCell="B1" sqref="B1:G1"/>
    </sheetView>
  </sheetViews>
  <sheetFormatPr defaultColWidth="8.85546875" defaultRowHeight="12.75" x14ac:dyDescent="0.2"/>
  <cols>
    <col min="1" max="1" width="6.85546875" style="7" customWidth="1"/>
    <col min="2" max="2" width="5.7109375" style="7" bestFit="1" customWidth="1"/>
    <col min="3" max="3" width="5.7109375" style="7" customWidth="1"/>
    <col min="4" max="4" width="36.42578125" style="7" customWidth="1"/>
    <col min="5" max="5" width="11.28515625" style="7" customWidth="1"/>
    <col min="6" max="6" width="7.42578125" style="7" bestFit="1" customWidth="1"/>
    <col min="7" max="7" width="4" style="7" bestFit="1" customWidth="1"/>
    <col min="8" max="16384" width="8.85546875" style="7"/>
  </cols>
  <sheetData>
    <row r="1" spans="1:8" x14ac:dyDescent="0.2">
      <c r="A1" s="8">
        <v>3</v>
      </c>
      <c r="B1" s="272" t="s">
        <v>33</v>
      </c>
      <c r="C1" s="272"/>
      <c r="D1" s="272"/>
      <c r="E1" s="272"/>
      <c r="F1" s="272"/>
      <c r="G1" s="272"/>
    </row>
    <row r="2" spans="1:8" x14ac:dyDescent="0.2">
      <c r="B2" s="3"/>
      <c r="C2" s="3"/>
      <c r="D2" s="3"/>
      <c r="E2" s="3"/>
      <c r="F2" s="3"/>
      <c r="G2" s="3"/>
    </row>
    <row r="3" spans="1:8" ht="12.75" customHeight="1" x14ac:dyDescent="0.2">
      <c r="C3" s="273" t="s">
        <v>297</v>
      </c>
      <c r="D3" s="273"/>
      <c r="E3" s="273"/>
      <c r="F3" s="274" t="s">
        <v>2</v>
      </c>
      <c r="G3" s="274">
        <v>25</v>
      </c>
    </row>
    <row r="4" spans="1:8" ht="12.75" customHeight="1" x14ac:dyDescent="0.2">
      <c r="C4" s="273"/>
      <c r="D4" s="273"/>
      <c r="E4" s="273"/>
      <c r="F4" s="274"/>
      <c r="G4" s="274"/>
    </row>
    <row r="5" spans="1:8" x14ac:dyDescent="0.2">
      <c r="C5" s="16"/>
      <c r="D5" s="16"/>
      <c r="E5" s="16"/>
      <c r="F5" s="16"/>
      <c r="G5" s="16"/>
    </row>
    <row r="6" spans="1:8" ht="12.75" customHeight="1" x14ac:dyDescent="0.2">
      <c r="C6" s="273" t="s">
        <v>277</v>
      </c>
      <c r="D6" s="273"/>
      <c r="E6" s="273"/>
      <c r="F6" s="274" t="s">
        <v>3</v>
      </c>
      <c r="G6" s="274">
        <v>50</v>
      </c>
    </row>
    <row r="7" spans="1:8" x14ac:dyDescent="0.2">
      <c r="C7" s="273"/>
      <c r="D7" s="273"/>
      <c r="E7" s="273"/>
      <c r="F7" s="274"/>
      <c r="G7" s="274"/>
    </row>
    <row r="8" spans="1:8" x14ac:dyDescent="0.2">
      <c r="C8" s="16"/>
      <c r="D8" s="16"/>
      <c r="E8" s="16"/>
      <c r="F8" s="16"/>
      <c r="G8" s="16"/>
    </row>
    <row r="9" spans="1:8" ht="12.75" customHeight="1" x14ac:dyDescent="0.2">
      <c r="C9" s="273" t="s">
        <v>278</v>
      </c>
      <c r="D9" s="273"/>
      <c r="E9" s="273"/>
      <c r="F9" s="274" t="s">
        <v>4</v>
      </c>
      <c r="G9" s="274">
        <v>100</v>
      </c>
    </row>
    <row r="10" spans="1:8" x14ac:dyDescent="0.2">
      <c r="C10" s="273"/>
      <c r="D10" s="273"/>
      <c r="E10" s="273"/>
      <c r="F10" s="274"/>
      <c r="G10" s="274"/>
    </row>
    <row r="11" spans="1:8" x14ac:dyDescent="0.2">
      <c r="C11" s="9"/>
      <c r="D11" s="9"/>
      <c r="E11" s="9"/>
      <c r="F11" s="10"/>
      <c r="G11" s="10"/>
    </row>
    <row r="12" spans="1:8" ht="12.75" customHeight="1" x14ac:dyDescent="0.2">
      <c r="B12" s="279" t="s">
        <v>38</v>
      </c>
      <c r="C12" s="279"/>
      <c r="D12" s="279"/>
      <c r="E12" s="279"/>
      <c r="F12" s="279"/>
      <c r="G12" s="279"/>
    </row>
    <row r="13" spans="1:8" x14ac:dyDescent="0.2">
      <c r="B13" s="279"/>
      <c r="C13" s="279"/>
      <c r="D13" s="279"/>
      <c r="E13" s="279"/>
      <c r="F13" s="279"/>
      <c r="G13" s="279"/>
    </row>
    <row r="14" spans="1:8" x14ac:dyDescent="0.2">
      <c r="B14" s="20"/>
      <c r="C14" s="20"/>
      <c r="D14" s="20"/>
      <c r="E14" s="20"/>
      <c r="F14" s="20"/>
      <c r="G14" s="20"/>
    </row>
    <row r="15" spans="1:8" ht="15.75" customHeight="1" x14ac:dyDescent="0.2">
      <c r="B15" s="282" t="s">
        <v>26</v>
      </c>
      <c r="C15" s="278" t="str">
        <f>"How many chapter members were candidates for the Ordeal induction in "&amp;HIDE!B34+'3 Ordeal Completion'!B34&amp;"?"</f>
        <v>How many chapter members were candidates for the Ordeal induction in 2013?</v>
      </c>
      <c r="D15" s="278"/>
      <c r="E15" s="278"/>
      <c r="F15" s="278"/>
      <c r="G15" s="278"/>
      <c r="H15" s="275">
        <f>Worksheet!B25</f>
        <v>0</v>
      </c>
    </row>
    <row r="16" spans="1:8" ht="15.75" customHeight="1" x14ac:dyDescent="0.2">
      <c r="B16" s="283"/>
      <c r="C16" s="278"/>
      <c r="D16" s="278"/>
      <c r="E16" s="278"/>
      <c r="F16" s="278"/>
      <c r="G16" s="278"/>
      <c r="H16" s="276"/>
    </row>
    <row r="17" spans="2:8" ht="15.75" customHeight="1" x14ac:dyDescent="0.2">
      <c r="B17" s="283"/>
      <c r="C17" s="26"/>
      <c r="D17" s="26"/>
      <c r="E17" s="26"/>
      <c r="F17" s="26"/>
      <c r="G17" s="26"/>
      <c r="H17" s="28"/>
    </row>
    <row r="18" spans="2:8" ht="15.75" customHeight="1" x14ac:dyDescent="0.2">
      <c r="B18" s="284"/>
      <c r="C18" s="278" t="str">
        <f>"How many chapter members were inducted in "&amp;HIDE!B34+'3 Ordeal Completion'!B34&amp;"?"</f>
        <v>How many chapter members were inducted in 2013?</v>
      </c>
      <c r="D18" s="278"/>
      <c r="E18" s="278"/>
      <c r="F18" s="278"/>
      <c r="G18" s="278"/>
      <c r="H18" s="208">
        <f>Worksheet!B27</f>
        <v>0</v>
      </c>
    </row>
    <row r="19" spans="2:8" x14ac:dyDescent="0.2">
      <c r="B19" s="25"/>
      <c r="C19" s="22"/>
      <c r="D19" s="22"/>
      <c r="E19" s="22"/>
      <c r="F19" s="22"/>
      <c r="G19" s="22"/>
      <c r="H19" s="23"/>
    </row>
    <row r="20" spans="2:8" ht="12.75" customHeight="1" x14ac:dyDescent="0.2">
      <c r="B20" s="25"/>
      <c r="C20" s="277" t="s">
        <v>39</v>
      </c>
      <c r="D20" s="277"/>
      <c r="E20" s="53" t="str">
        <f>IF(H15&lt;&gt;0, H18/H15, "-")</f>
        <v>-</v>
      </c>
      <c r="G20" s="29"/>
    </row>
    <row r="21" spans="2:8" x14ac:dyDescent="0.2">
      <c r="B21" s="25"/>
      <c r="C21" s="22"/>
      <c r="D21" s="22"/>
      <c r="E21" s="22"/>
      <c r="F21" s="22"/>
      <c r="G21" s="22"/>
      <c r="H21" s="23"/>
    </row>
    <row r="22" spans="2:8" ht="12.75" customHeight="1" x14ac:dyDescent="0.2">
      <c r="C22" s="278" t="s">
        <v>40</v>
      </c>
      <c r="D22" s="278"/>
      <c r="E22" s="278"/>
      <c r="F22" s="278"/>
      <c r="G22" s="278"/>
      <c r="H22" s="23"/>
    </row>
    <row r="23" spans="2:8" x14ac:dyDescent="0.2">
      <c r="B23" s="25"/>
      <c r="C23" s="280"/>
      <c r="D23" s="280"/>
      <c r="E23" s="280"/>
      <c r="F23" s="280"/>
      <c r="G23" s="280"/>
      <c r="H23" s="23"/>
    </row>
    <row r="24" spans="2:8" ht="12.75" customHeight="1" x14ac:dyDescent="0.2">
      <c r="B24" s="281" t="s">
        <v>37</v>
      </c>
      <c r="C24" s="286"/>
      <c r="D24" s="287"/>
      <c r="E24" s="287"/>
      <c r="F24" s="287"/>
      <c r="G24" s="288"/>
      <c r="H24" s="23"/>
    </row>
    <row r="25" spans="2:8" ht="15.95" customHeight="1" x14ac:dyDescent="0.2">
      <c r="B25" s="281"/>
      <c r="C25" s="289"/>
      <c r="D25" s="290"/>
      <c r="E25" s="290"/>
      <c r="F25" s="290"/>
      <c r="G25" s="291"/>
      <c r="H25" s="23"/>
    </row>
    <row r="26" spans="2:8" ht="17.25" customHeight="1" x14ac:dyDescent="0.2">
      <c r="B26" s="281"/>
      <c r="C26" s="289"/>
      <c r="D26" s="290"/>
      <c r="E26" s="290"/>
      <c r="F26" s="290"/>
      <c r="G26" s="291"/>
      <c r="H26" s="23"/>
    </row>
    <row r="27" spans="2:8" x14ac:dyDescent="0.2">
      <c r="B27" s="281"/>
      <c r="C27" s="289"/>
      <c r="D27" s="290"/>
      <c r="E27" s="290"/>
      <c r="F27" s="290"/>
      <c r="G27" s="291"/>
      <c r="H27" s="23"/>
    </row>
    <row r="28" spans="2:8" x14ac:dyDescent="0.2">
      <c r="B28" s="281"/>
      <c r="C28" s="292"/>
      <c r="D28" s="293"/>
      <c r="E28" s="293"/>
      <c r="F28" s="293"/>
      <c r="G28" s="294"/>
    </row>
    <row r="29" spans="2:8" x14ac:dyDescent="0.2">
      <c r="B29" s="20"/>
      <c r="C29" s="20"/>
      <c r="D29" s="20"/>
      <c r="E29" s="20"/>
      <c r="F29" s="20"/>
      <c r="G29" s="20"/>
    </row>
    <row r="30" spans="2:8" ht="12.75" customHeight="1" x14ac:dyDescent="0.2">
      <c r="B30" s="282" t="s">
        <v>28</v>
      </c>
      <c r="C30" s="278" t="str">
        <f>"How many chapter members were candidates for the Ordeal induction in "&amp;HIDE!B33&amp;"?"</f>
        <v>How many chapter members were candidates for the Ordeal induction in 2014?</v>
      </c>
      <c r="D30" s="278"/>
      <c r="E30" s="278"/>
      <c r="F30" s="278"/>
      <c r="G30" s="278"/>
      <c r="H30" s="275">
        <f>Worksheet!B29</f>
        <v>0</v>
      </c>
    </row>
    <row r="31" spans="2:8" ht="12.75" customHeight="1" x14ac:dyDescent="0.2">
      <c r="B31" s="283"/>
      <c r="C31" s="278"/>
      <c r="D31" s="278"/>
      <c r="E31" s="278"/>
      <c r="F31" s="278"/>
      <c r="G31" s="278"/>
      <c r="H31" s="276"/>
    </row>
    <row r="32" spans="2:8" x14ac:dyDescent="0.2">
      <c r="B32" s="283"/>
      <c r="C32" s="26"/>
      <c r="D32" s="26"/>
      <c r="E32" s="26"/>
      <c r="F32" s="26"/>
      <c r="G32" s="26"/>
      <c r="H32" s="28"/>
    </row>
    <row r="33" spans="2:8" ht="12.75" customHeight="1" x14ac:dyDescent="0.2">
      <c r="B33" s="284"/>
      <c r="C33" s="278" t="str">
        <f>"How many chapter members were inducted in "&amp;HIDE!B33&amp;"?"</f>
        <v>How many chapter members were inducted in 2014?</v>
      </c>
      <c r="D33" s="278"/>
      <c r="E33" s="278"/>
      <c r="F33" s="278"/>
      <c r="G33" s="27"/>
      <c r="H33" s="208">
        <f>Worksheet!B31</f>
        <v>0</v>
      </c>
    </row>
    <row r="34" spans="2:8" ht="12.75" customHeight="1" x14ac:dyDescent="0.2">
      <c r="B34" s="25"/>
      <c r="C34" s="22"/>
      <c r="D34" s="22"/>
      <c r="E34" s="22"/>
      <c r="F34" s="22"/>
      <c r="G34" s="26"/>
      <c r="H34" s="23"/>
    </row>
    <row r="35" spans="2:8" ht="12.75" customHeight="1" x14ac:dyDescent="0.2">
      <c r="C35" s="295" t="s">
        <v>41</v>
      </c>
      <c r="D35" s="295"/>
      <c r="E35" s="213" t="str">
        <f>IF(H30&lt;&gt;0, H33/H30, "-")</f>
        <v>-</v>
      </c>
    </row>
    <row r="36" spans="2:8" ht="12.75" customHeight="1" x14ac:dyDescent="0.2">
      <c r="B36" s="14"/>
      <c r="C36" s="4"/>
      <c r="D36" s="4"/>
      <c r="E36" s="52" t="str">
        <f>IF(OR(E35="-", E20="-"), "-", IF(OR(E35*100&gt;=98, AND((E35*100)-(E20*100)&gt;=5, E20*100&gt;=77)),"GOLD",IF(OR(E35*100&gt;=77, AND(E35*100-E20*100&gt;=5, E20*100&gt;=64)), "SILVER", IF(OR(E35*100&gt;=64, E35*100-E20*100&gt;=5), "BRONZE", "NONE"))))</f>
        <v>-</v>
      </c>
      <c r="F36" s="4"/>
      <c r="G36" s="4"/>
    </row>
    <row r="37" spans="2:8" ht="12.75" customHeight="1" x14ac:dyDescent="0.2">
      <c r="B37" s="14"/>
      <c r="C37" s="4"/>
      <c r="D37" s="4"/>
      <c r="F37" s="4"/>
      <c r="G37" s="4"/>
    </row>
    <row r="38" spans="2:8" ht="12.75" customHeight="1" x14ac:dyDescent="0.2">
      <c r="C38" s="278" t="s">
        <v>43</v>
      </c>
      <c r="D38" s="278"/>
      <c r="E38" s="278"/>
      <c r="F38" s="278"/>
      <c r="G38" s="278"/>
    </row>
    <row r="39" spans="2:8" ht="17.25" customHeight="1" x14ac:dyDescent="0.2">
      <c r="B39" s="281" t="s">
        <v>44</v>
      </c>
      <c r="C39" s="286"/>
      <c r="D39" s="287"/>
      <c r="E39" s="287"/>
      <c r="F39" s="287"/>
      <c r="G39" s="288"/>
    </row>
    <row r="40" spans="2:8" ht="17.25" customHeight="1" x14ac:dyDescent="0.2">
      <c r="B40" s="281"/>
      <c r="C40" s="289"/>
      <c r="D40" s="290"/>
      <c r="E40" s="290"/>
      <c r="F40" s="290"/>
      <c r="G40" s="291"/>
    </row>
    <row r="41" spans="2:8" ht="17.25" customHeight="1" x14ac:dyDescent="0.2">
      <c r="B41" s="281"/>
      <c r="C41" s="289"/>
      <c r="D41" s="290"/>
      <c r="E41" s="290"/>
      <c r="F41" s="290"/>
      <c r="G41" s="291"/>
    </row>
    <row r="42" spans="2:8" ht="17.25" customHeight="1" x14ac:dyDescent="0.2">
      <c r="B42" s="281"/>
      <c r="C42" s="292"/>
      <c r="D42" s="293"/>
      <c r="E42" s="293"/>
      <c r="F42" s="293"/>
      <c r="G42" s="294"/>
    </row>
    <row r="43" spans="2:8" ht="12.75" customHeight="1" x14ac:dyDescent="0.2">
      <c r="B43" s="14"/>
      <c r="C43" s="4"/>
      <c r="D43" s="4"/>
      <c r="F43" s="4"/>
      <c r="G43" s="4"/>
    </row>
    <row r="44" spans="2:8" ht="12.75" customHeight="1" x14ac:dyDescent="0.2">
      <c r="C44" s="285" t="s">
        <v>42</v>
      </c>
      <c r="D44" s="285"/>
      <c r="E44" s="285"/>
      <c r="F44" s="285"/>
      <c r="G44" s="285"/>
    </row>
    <row r="45" spans="2:8" ht="12.75" customHeight="1" x14ac:dyDescent="0.2">
      <c r="B45" s="281" t="s">
        <v>22</v>
      </c>
      <c r="C45" s="286"/>
      <c r="D45" s="287"/>
      <c r="E45" s="287"/>
      <c r="F45" s="287"/>
      <c r="G45" s="288"/>
    </row>
    <row r="46" spans="2:8" ht="12.75" customHeight="1" x14ac:dyDescent="0.2">
      <c r="B46" s="281"/>
      <c r="C46" s="289"/>
      <c r="D46" s="290"/>
      <c r="E46" s="290"/>
      <c r="F46" s="290"/>
      <c r="G46" s="291"/>
    </row>
    <row r="47" spans="2:8" ht="12.75" customHeight="1" x14ac:dyDescent="0.2">
      <c r="B47" s="281"/>
      <c r="C47" s="289"/>
      <c r="D47" s="290"/>
      <c r="E47" s="290"/>
      <c r="F47" s="290"/>
      <c r="G47" s="291"/>
    </row>
    <row r="48" spans="2:8" ht="12.75" customHeight="1" x14ac:dyDescent="0.2">
      <c r="B48" s="281"/>
      <c r="C48" s="289"/>
      <c r="D48" s="290"/>
      <c r="E48" s="290"/>
      <c r="F48" s="290"/>
      <c r="G48" s="291"/>
    </row>
    <row r="49" spans="2:7" ht="12.75" customHeight="1" x14ac:dyDescent="0.2">
      <c r="B49" s="281"/>
      <c r="C49" s="292"/>
      <c r="D49" s="293"/>
      <c r="E49" s="293"/>
      <c r="F49" s="293"/>
      <c r="G49" s="294"/>
    </row>
    <row r="50" spans="2:7" ht="12.75" customHeight="1" x14ac:dyDescent="0.2">
      <c r="B50" s="14"/>
      <c r="C50" s="4"/>
      <c r="D50" s="4"/>
      <c r="E50" s="4"/>
      <c r="F50" s="4"/>
      <c r="G50" s="4"/>
    </row>
    <row r="51" spans="2:7" ht="12.75" customHeight="1" x14ac:dyDescent="0.2">
      <c r="B51" s="14"/>
      <c r="C51" s="4"/>
      <c r="D51" s="4"/>
      <c r="E51" s="4"/>
      <c r="F51" s="4"/>
      <c r="G51" s="4"/>
    </row>
    <row r="52" spans="2:7" ht="12.75" customHeight="1" x14ac:dyDescent="0.2">
      <c r="B52" s="14"/>
      <c r="C52" s="4"/>
      <c r="D52" s="4"/>
      <c r="E52" s="4"/>
      <c r="F52" s="4"/>
      <c r="G52" s="4"/>
    </row>
    <row r="53" spans="2:7" ht="12.75" customHeight="1" x14ac:dyDescent="0.2">
      <c r="B53" s="14"/>
      <c r="C53" s="4"/>
      <c r="D53" s="4"/>
      <c r="E53" s="4"/>
      <c r="F53" s="4"/>
      <c r="G53" s="4"/>
    </row>
    <row r="54" spans="2:7" ht="12.75" customHeight="1" x14ac:dyDescent="0.2">
      <c r="B54" s="14"/>
      <c r="C54" s="4"/>
      <c r="D54" s="4"/>
      <c r="E54" s="4"/>
      <c r="F54" s="4"/>
      <c r="G54" s="4"/>
    </row>
    <row r="55" spans="2:7" ht="12.75" customHeight="1" x14ac:dyDescent="0.2">
      <c r="B55" s="14"/>
      <c r="C55" s="4"/>
      <c r="D55" s="4"/>
      <c r="E55" s="4"/>
      <c r="F55" s="4"/>
      <c r="G55" s="4"/>
    </row>
    <row r="56" spans="2:7" ht="12.75" customHeight="1" x14ac:dyDescent="0.2"/>
    <row r="57" spans="2:7" ht="12.75" customHeight="1" x14ac:dyDescent="0.2"/>
    <row r="58" spans="2:7" ht="12.75" customHeight="1" x14ac:dyDescent="0.2"/>
    <row r="59" spans="2:7" ht="12.75" customHeight="1" x14ac:dyDescent="0.2"/>
    <row r="60" spans="2:7" ht="12.75" customHeight="1" x14ac:dyDescent="0.2"/>
    <row r="61" spans="2:7" ht="15.75" customHeight="1" x14ac:dyDescent="0.2"/>
    <row r="62" spans="2:7" ht="12.75" customHeight="1" x14ac:dyDescent="0.2"/>
    <row r="63" spans="2:7" ht="12.75" customHeight="1" x14ac:dyDescent="0.2"/>
    <row r="64" spans="2:7" ht="12.75" customHeight="1" x14ac:dyDescent="0.2"/>
    <row r="65" ht="12.75" customHeight="1" x14ac:dyDescent="0.2"/>
    <row r="66" ht="12.75" customHeight="1" x14ac:dyDescent="0.2"/>
    <row r="71" ht="12.75" customHeight="1" x14ac:dyDescent="0.2"/>
    <row r="72" ht="12.75" customHeight="1" x14ac:dyDescent="0.2"/>
    <row r="78" ht="12.75" customHeight="1" x14ac:dyDescent="0.2"/>
    <row r="79" ht="12.75" customHeight="1" x14ac:dyDescent="0.2"/>
  </sheetData>
  <sheetProtection password="9C31" sheet="1" objects="1" scenarios="1"/>
  <mergeCells count="30">
    <mergeCell ref="B39:B42"/>
    <mergeCell ref="B15:B18"/>
    <mergeCell ref="C44:G44"/>
    <mergeCell ref="B45:B49"/>
    <mergeCell ref="C45:G49"/>
    <mergeCell ref="C38:G38"/>
    <mergeCell ref="C39:G42"/>
    <mergeCell ref="C33:F33"/>
    <mergeCell ref="B30:B33"/>
    <mergeCell ref="C35:D35"/>
    <mergeCell ref="C18:G18"/>
    <mergeCell ref="B24:B28"/>
    <mergeCell ref="C24:G28"/>
    <mergeCell ref="H15:H16"/>
    <mergeCell ref="C20:D20"/>
    <mergeCell ref="C30:G31"/>
    <mergeCell ref="H30:H31"/>
    <mergeCell ref="F6:F7"/>
    <mergeCell ref="G6:G7"/>
    <mergeCell ref="C9:E10"/>
    <mergeCell ref="F9:F10"/>
    <mergeCell ref="G9:G10"/>
    <mergeCell ref="C15:G16"/>
    <mergeCell ref="B12:G13"/>
    <mergeCell ref="C22:G23"/>
    <mergeCell ref="B1:G1"/>
    <mergeCell ref="C3:E4"/>
    <mergeCell ref="F3:F4"/>
    <mergeCell ref="G3:G4"/>
    <mergeCell ref="C6:E7"/>
  </mergeCells>
  <phoneticPr fontId="3" type="noConversion"/>
  <pageMargins left="0.5" right="0.5" top="0.5" bottom="0.5" header="0.3" footer="0.3"/>
  <pageSetup orientation="portrait"/>
  <headerFooter alignWithMargins="0">
    <oddHeader>&amp;C&amp;K000000Chapter Journey to Excellence Workbook</oddHeader>
    <oddFooter>&amp;R&amp;K000000&amp;A</oddFooter>
  </headerFooter>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enableFormatConditionsCalculation="0"/>
  <dimension ref="A1:I82"/>
  <sheetViews>
    <sheetView showGridLines="0" workbookViewId="0">
      <selection activeCell="B1" sqref="B1:G1"/>
    </sheetView>
  </sheetViews>
  <sheetFormatPr defaultColWidth="8.85546875" defaultRowHeight="12.75" x14ac:dyDescent="0.2"/>
  <cols>
    <col min="1" max="1" width="6.85546875" style="7" customWidth="1"/>
    <col min="2" max="2" width="5.7109375" style="7" bestFit="1" customWidth="1"/>
    <col min="3" max="3" width="5.7109375" style="7" customWidth="1"/>
    <col min="4" max="4" width="36.42578125" style="7" customWidth="1"/>
    <col min="5" max="5" width="11.28515625" style="7" customWidth="1"/>
    <col min="6" max="6" width="7.42578125" style="7" bestFit="1" customWidth="1"/>
    <col min="7" max="7" width="4" style="7" bestFit="1" customWidth="1"/>
    <col min="8" max="16384" width="8.85546875" style="7"/>
  </cols>
  <sheetData>
    <row r="1" spans="1:8" ht="12.75" customHeight="1" x14ac:dyDescent="0.2">
      <c r="A1" s="299">
        <v>4</v>
      </c>
      <c r="B1" s="272" t="s">
        <v>45</v>
      </c>
      <c r="C1" s="272"/>
      <c r="D1" s="272"/>
      <c r="E1" s="272"/>
      <c r="F1" s="272"/>
      <c r="G1" s="272"/>
    </row>
    <row r="2" spans="1:8" x14ac:dyDescent="0.2">
      <c r="A2" s="299"/>
      <c r="B2" s="272"/>
      <c r="C2" s="272"/>
      <c r="D2" s="272"/>
      <c r="E2" s="272"/>
      <c r="F2" s="272"/>
      <c r="G2" s="272"/>
    </row>
    <row r="3" spans="1:8" x14ac:dyDescent="0.2">
      <c r="B3" s="3"/>
      <c r="C3" s="3"/>
      <c r="D3" s="3"/>
      <c r="E3" s="3"/>
      <c r="F3" s="3"/>
      <c r="G3" s="3"/>
    </row>
    <row r="4" spans="1:8" ht="12.75" customHeight="1" x14ac:dyDescent="0.2">
      <c r="C4" s="273" t="s">
        <v>279</v>
      </c>
      <c r="D4" s="273"/>
      <c r="E4" s="273"/>
      <c r="F4" s="30" t="s">
        <v>2</v>
      </c>
      <c r="G4" s="30">
        <v>75</v>
      </c>
    </row>
    <row r="5" spans="1:8" x14ac:dyDescent="0.2">
      <c r="C5" s="16"/>
      <c r="D5" s="16"/>
      <c r="E5" s="16"/>
      <c r="F5" s="16"/>
      <c r="G5" s="16"/>
    </row>
    <row r="6" spans="1:8" ht="12.75" customHeight="1" x14ac:dyDescent="0.2">
      <c r="C6" s="273" t="s">
        <v>280</v>
      </c>
      <c r="D6" s="273"/>
      <c r="E6" s="273"/>
      <c r="F6" s="30" t="s">
        <v>3</v>
      </c>
      <c r="G6" s="30">
        <v>100</v>
      </c>
    </row>
    <row r="7" spans="1:8" x14ac:dyDescent="0.2">
      <c r="C7" s="16"/>
      <c r="D7" s="16"/>
      <c r="E7" s="16"/>
      <c r="F7" s="16"/>
      <c r="G7" s="16"/>
    </row>
    <row r="8" spans="1:8" ht="12.75" customHeight="1" x14ac:dyDescent="0.2">
      <c r="C8" s="273" t="s">
        <v>281</v>
      </c>
      <c r="D8" s="273"/>
      <c r="E8" s="273"/>
      <c r="F8" s="30" t="s">
        <v>4</v>
      </c>
      <c r="G8" s="30">
        <v>200</v>
      </c>
    </row>
    <row r="9" spans="1:8" x14ac:dyDescent="0.2">
      <c r="C9" s="9"/>
      <c r="D9" s="9"/>
      <c r="E9" s="9"/>
      <c r="F9" s="10"/>
      <c r="G9" s="10"/>
    </row>
    <row r="10" spans="1:8" ht="12.75" customHeight="1" x14ac:dyDescent="0.2">
      <c r="B10" s="279" t="s">
        <v>46</v>
      </c>
      <c r="C10" s="279"/>
      <c r="D10" s="279"/>
      <c r="E10" s="279"/>
      <c r="F10" s="279"/>
      <c r="G10" s="279"/>
    </row>
    <row r="11" spans="1:8" x14ac:dyDescent="0.2">
      <c r="B11" s="279"/>
      <c r="C11" s="279"/>
      <c r="D11" s="279"/>
      <c r="E11" s="279"/>
      <c r="F11" s="279"/>
      <c r="G11" s="279"/>
    </row>
    <row r="12" spans="1:8" x14ac:dyDescent="0.2">
      <c r="B12" s="20"/>
      <c r="C12" s="20"/>
      <c r="D12" s="20"/>
      <c r="E12" s="20"/>
      <c r="F12" s="20"/>
      <c r="G12" s="20"/>
    </row>
    <row r="13" spans="1:8" ht="12.75" customHeight="1" x14ac:dyDescent="0.2">
      <c r="B13" s="282" t="s">
        <v>26</v>
      </c>
      <c r="C13" s="301" t="str">
        <f>"How many Ordeal members were eligible to go through the Brotherhood ceremony in "&amp;HIDE!B34&amp;"?"</f>
        <v>How many Ordeal members were eligible to go through the Brotherhood ceremony in 2013?</v>
      </c>
      <c r="D13" s="278"/>
      <c r="E13" s="278"/>
      <c r="F13" s="278"/>
      <c r="G13" s="278"/>
      <c r="H13" s="275">
        <f>Worksheet!B34</f>
        <v>0</v>
      </c>
    </row>
    <row r="14" spans="1:8" x14ac:dyDescent="0.2">
      <c r="B14" s="283"/>
      <c r="C14" s="278"/>
      <c r="D14" s="278"/>
      <c r="E14" s="278"/>
      <c r="F14" s="278"/>
      <c r="G14" s="278"/>
      <c r="H14" s="276"/>
    </row>
    <row r="15" spans="1:8" x14ac:dyDescent="0.2">
      <c r="B15" s="283"/>
      <c r="C15" s="26"/>
      <c r="D15" s="26"/>
      <c r="E15" s="26"/>
      <c r="F15" s="26"/>
      <c r="G15" s="26"/>
      <c r="H15" s="28"/>
    </row>
    <row r="16" spans="1:8" ht="12.75" customHeight="1" x14ac:dyDescent="0.2">
      <c r="B16" s="283"/>
      <c r="C16" s="278" t="str">
        <f>"How many Ordeal members went through the Brotherhood ceremony in "&amp;HIDE!B34&amp;"?"</f>
        <v>How many Ordeal members went through the Brotherhood ceremony in 2013?</v>
      </c>
      <c r="D16" s="278"/>
      <c r="E16" s="278"/>
      <c r="F16" s="278"/>
      <c r="G16" s="278"/>
      <c r="H16" s="275">
        <f>Worksheet!B36</f>
        <v>0</v>
      </c>
    </row>
    <row r="17" spans="2:8" x14ac:dyDescent="0.2">
      <c r="B17" s="284"/>
      <c r="C17" s="278"/>
      <c r="D17" s="278"/>
      <c r="E17" s="278"/>
      <c r="F17" s="278"/>
      <c r="G17" s="278"/>
      <c r="H17" s="276"/>
    </row>
    <row r="18" spans="2:8" x14ac:dyDescent="0.2">
      <c r="B18" s="25"/>
      <c r="C18" s="22"/>
      <c r="D18" s="22"/>
      <c r="E18" s="22"/>
      <c r="F18" s="22"/>
      <c r="G18" s="22"/>
      <c r="H18" s="23"/>
    </row>
    <row r="19" spans="2:8" ht="12.75" customHeight="1" x14ac:dyDescent="0.2">
      <c r="B19" s="25"/>
      <c r="C19" s="277" t="str">
        <f>"Percentage of Ordeal members who sealed their membership in "&amp;HIDE!B34&amp;":"</f>
        <v>Percentage of Ordeal members who sealed their membership in 2013:</v>
      </c>
      <c r="D19" s="277"/>
      <c r="E19" s="296" t="str">
        <f>IF(H13&lt;&gt;0, H16/H13, "-")</f>
        <v>-</v>
      </c>
      <c r="G19" s="29"/>
    </row>
    <row r="20" spans="2:8" ht="12.75" customHeight="1" x14ac:dyDescent="0.2">
      <c r="B20" s="25"/>
      <c r="C20" s="277"/>
      <c r="D20" s="277"/>
      <c r="E20" s="296"/>
      <c r="G20" s="29"/>
    </row>
    <row r="21" spans="2:8" x14ac:dyDescent="0.2">
      <c r="B21" s="25"/>
      <c r="C21" s="22"/>
      <c r="D21" s="22"/>
      <c r="E21" s="22"/>
      <c r="F21" s="22"/>
      <c r="G21" s="22"/>
      <c r="H21" s="23"/>
    </row>
    <row r="22" spans="2:8" ht="12.75" customHeight="1" x14ac:dyDescent="0.2">
      <c r="C22" s="278" t="s">
        <v>47</v>
      </c>
      <c r="D22" s="278"/>
      <c r="E22" s="278"/>
      <c r="F22" s="278"/>
      <c r="G22" s="278"/>
      <c r="H22" s="23"/>
    </row>
    <row r="23" spans="2:8" x14ac:dyDescent="0.2">
      <c r="B23" s="25"/>
      <c r="C23" s="280"/>
      <c r="D23" s="280"/>
      <c r="E23" s="280"/>
      <c r="F23" s="280"/>
      <c r="G23" s="280"/>
      <c r="H23" s="23"/>
    </row>
    <row r="24" spans="2:8" ht="12.75" customHeight="1" x14ac:dyDescent="0.2">
      <c r="B24" s="281" t="s">
        <v>37</v>
      </c>
      <c r="C24" s="300"/>
      <c r="D24" s="287"/>
      <c r="E24" s="287"/>
      <c r="F24" s="287"/>
      <c r="G24" s="288"/>
      <c r="H24" s="23"/>
    </row>
    <row r="25" spans="2:8" ht="15.95" customHeight="1" x14ac:dyDescent="0.2">
      <c r="B25" s="281"/>
      <c r="C25" s="289"/>
      <c r="D25" s="290"/>
      <c r="E25" s="290"/>
      <c r="F25" s="290"/>
      <c r="G25" s="291"/>
      <c r="H25" s="23"/>
    </row>
    <row r="26" spans="2:8" ht="17.25" customHeight="1" x14ac:dyDescent="0.2">
      <c r="B26" s="281"/>
      <c r="C26" s="289"/>
      <c r="D26" s="290"/>
      <c r="E26" s="290"/>
      <c r="F26" s="290"/>
      <c r="G26" s="291"/>
      <c r="H26" s="23"/>
    </row>
    <row r="27" spans="2:8" x14ac:dyDescent="0.2">
      <c r="B27" s="281"/>
      <c r="C27" s="289"/>
      <c r="D27" s="290"/>
      <c r="E27" s="290"/>
      <c r="F27" s="290"/>
      <c r="G27" s="291"/>
      <c r="H27" s="23"/>
    </row>
    <row r="28" spans="2:8" x14ac:dyDescent="0.2">
      <c r="B28" s="281"/>
      <c r="C28" s="292"/>
      <c r="D28" s="293"/>
      <c r="E28" s="293"/>
      <c r="F28" s="293"/>
      <c r="G28" s="294"/>
    </row>
    <row r="29" spans="2:8" x14ac:dyDescent="0.2">
      <c r="B29" s="20"/>
      <c r="C29" s="20"/>
      <c r="D29" s="20"/>
      <c r="E29" s="20"/>
      <c r="F29" s="20"/>
      <c r="G29" s="20"/>
    </row>
    <row r="30" spans="2:8" ht="12.75" customHeight="1" x14ac:dyDescent="0.2">
      <c r="B30" s="282" t="s">
        <v>28</v>
      </c>
      <c r="C30" s="278" t="str">
        <f>"How many Ordeal members were eligible to go through the Brotherhood ceremony in "&amp;HIDE!B33&amp;"?"</f>
        <v>How many Ordeal members were eligible to go through the Brotherhood ceremony in 2014?</v>
      </c>
      <c r="D30" s="278"/>
      <c r="E30" s="278"/>
      <c r="F30" s="278"/>
      <c r="G30" s="278"/>
      <c r="H30" s="275">
        <f>Worksheet!B38</f>
        <v>0</v>
      </c>
    </row>
    <row r="31" spans="2:8" ht="12.75" customHeight="1" x14ac:dyDescent="0.2">
      <c r="B31" s="283"/>
      <c r="C31" s="278"/>
      <c r="D31" s="278"/>
      <c r="E31" s="278"/>
      <c r="F31" s="278"/>
      <c r="G31" s="278"/>
      <c r="H31" s="276"/>
    </row>
    <row r="32" spans="2:8" x14ac:dyDescent="0.2">
      <c r="B32" s="283"/>
      <c r="C32" s="26"/>
      <c r="D32" s="26"/>
      <c r="E32" s="26"/>
      <c r="F32" s="26"/>
      <c r="G32" s="26"/>
      <c r="H32" s="28"/>
    </row>
    <row r="33" spans="2:9" ht="12.75" customHeight="1" x14ac:dyDescent="0.2">
      <c r="B33" s="284"/>
      <c r="C33" s="301" t="str">
        <f>"How many Ordeal members went through the Brotherhood ceremony in "&amp;HIDE!B33&amp;"?"</f>
        <v>How many Ordeal members went through the Brotherhood ceremony in 2014?</v>
      </c>
      <c r="D33" s="278"/>
      <c r="E33" s="278"/>
      <c r="F33" s="278"/>
      <c r="G33" s="302"/>
      <c r="H33" s="275">
        <f>Worksheet!B40</f>
        <v>0</v>
      </c>
    </row>
    <row r="34" spans="2:9" ht="12.75" customHeight="1" x14ac:dyDescent="0.2">
      <c r="B34" s="14"/>
      <c r="C34" s="278"/>
      <c r="D34" s="278"/>
      <c r="E34" s="278"/>
      <c r="F34" s="278"/>
      <c r="G34" s="302"/>
      <c r="H34" s="276"/>
    </row>
    <row r="35" spans="2:9" ht="12.75" customHeight="1" x14ac:dyDescent="0.2">
      <c r="B35" s="25"/>
      <c r="C35" s="22"/>
      <c r="D35" s="22"/>
      <c r="E35" s="22"/>
      <c r="F35" s="22"/>
      <c r="G35" s="26"/>
      <c r="H35" s="23"/>
    </row>
    <row r="36" spans="2:9" ht="12.75" customHeight="1" x14ac:dyDescent="0.2">
      <c r="C36" s="297" t="str">
        <f>"Percentage of Ordeal members who sealed their membership in "&amp;HIDE!B33&amp;":"</f>
        <v>Percentage of Ordeal members who sealed their membership in 2014:</v>
      </c>
      <c r="D36" s="297"/>
      <c r="E36" s="298" t="str">
        <f>IF(H30&lt;&gt;0, H33/H30, "-")</f>
        <v>-</v>
      </c>
    </row>
    <row r="37" spans="2:9" ht="12.75" customHeight="1" x14ac:dyDescent="0.2">
      <c r="B37" s="14"/>
      <c r="C37" s="297"/>
      <c r="D37" s="297"/>
      <c r="E37" s="298"/>
      <c r="F37" s="4"/>
      <c r="G37" s="4"/>
    </row>
    <row r="38" spans="2:9" ht="12.75" customHeight="1" x14ac:dyDescent="0.2">
      <c r="B38" s="14"/>
      <c r="C38" s="31"/>
      <c r="D38" s="31"/>
      <c r="E38" s="52" t="str">
        <f>IF(OR(E36="-", E19="-"), "-", IF(OR(E36*100&gt;=47, AND((E36*100)-(E19*100)&gt;=3, E19*100&gt;=32)),"GOLD",IF(OR(E36*100&gt;=32, AND(E36*100-E19*100&gt;=3, E19*100&gt;=25)), "SILVER", IF(OR(E36*100&gt;=25, E36*100-E19*100&gt;=5), "BRONZE", "NONE"))))</f>
        <v>-</v>
      </c>
      <c r="F38" s="4"/>
      <c r="G38" s="4"/>
    </row>
    <row r="39" spans="2:9" s="32" customFormat="1" ht="12.75" customHeight="1" x14ac:dyDescent="0.2">
      <c r="B39" s="33"/>
      <c r="C39" s="31"/>
      <c r="D39" s="31"/>
      <c r="E39" s="34"/>
      <c r="F39" s="35"/>
      <c r="G39" s="35"/>
    </row>
    <row r="40" spans="2:9" ht="12.75" customHeight="1" x14ac:dyDescent="0.2">
      <c r="B40" s="14"/>
      <c r="C40" s="278" t="s">
        <v>49</v>
      </c>
      <c r="D40" s="278"/>
      <c r="E40" s="278"/>
      <c r="F40" s="278"/>
      <c r="G40" s="278"/>
    </row>
    <row r="41" spans="2:9" ht="12.75" customHeight="1" x14ac:dyDescent="0.2">
      <c r="C41" s="280"/>
      <c r="D41" s="280"/>
      <c r="E41" s="280"/>
      <c r="F41" s="280"/>
      <c r="G41" s="280"/>
    </row>
    <row r="42" spans="2:9" ht="17.25" customHeight="1" x14ac:dyDescent="0.2">
      <c r="B42" s="281" t="s">
        <v>44</v>
      </c>
      <c r="C42" s="286"/>
      <c r="D42" s="287"/>
      <c r="E42" s="287"/>
      <c r="F42" s="287"/>
      <c r="G42" s="288"/>
    </row>
    <row r="43" spans="2:9" ht="17.25" customHeight="1" x14ac:dyDescent="0.2">
      <c r="B43" s="281"/>
      <c r="C43" s="289"/>
      <c r="D43" s="290"/>
      <c r="E43" s="290"/>
      <c r="F43" s="290"/>
      <c r="G43" s="291"/>
    </row>
    <row r="44" spans="2:9" ht="17.25" customHeight="1" x14ac:dyDescent="0.2">
      <c r="B44" s="281"/>
      <c r="C44" s="289"/>
      <c r="D44" s="290"/>
      <c r="E44" s="290"/>
      <c r="F44" s="290"/>
      <c r="G44" s="291"/>
    </row>
    <row r="45" spans="2:9" ht="17.25" customHeight="1" x14ac:dyDescent="0.2">
      <c r="B45" s="281"/>
      <c r="C45" s="292"/>
      <c r="D45" s="293"/>
      <c r="E45" s="293"/>
      <c r="F45" s="293"/>
      <c r="G45" s="294"/>
    </row>
    <row r="46" spans="2:9" ht="12.75" customHeight="1" x14ac:dyDescent="0.2">
      <c r="B46" s="14"/>
      <c r="C46" s="4"/>
      <c r="D46" s="4"/>
      <c r="F46" s="4"/>
      <c r="G46" s="4"/>
      <c r="I46" s="55"/>
    </row>
    <row r="47" spans="2:9" ht="12.75" customHeight="1" x14ac:dyDescent="0.2">
      <c r="C47" s="285" t="s">
        <v>48</v>
      </c>
      <c r="D47" s="285"/>
      <c r="E47" s="285"/>
      <c r="F47" s="285"/>
      <c r="G47" s="285"/>
    </row>
    <row r="48" spans="2:9" ht="12.75" customHeight="1" x14ac:dyDescent="0.2">
      <c r="B48" s="281" t="s">
        <v>22</v>
      </c>
      <c r="C48" s="286"/>
      <c r="D48" s="287"/>
      <c r="E48" s="287"/>
      <c r="F48" s="287"/>
      <c r="G48" s="288"/>
    </row>
    <row r="49" spans="2:7" ht="12.75" customHeight="1" x14ac:dyDescent="0.2">
      <c r="B49" s="281"/>
      <c r="C49" s="289"/>
      <c r="D49" s="290"/>
      <c r="E49" s="290"/>
      <c r="F49" s="290"/>
      <c r="G49" s="291"/>
    </row>
    <row r="50" spans="2:7" ht="12.75" customHeight="1" x14ac:dyDescent="0.2">
      <c r="B50" s="281"/>
      <c r="C50" s="289"/>
      <c r="D50" s="290"/>
      <c r="E50" s="290"/>
      <c r="F50" s="290"/>
      <c r="G50" s="291"/>
    </row>
    <row r="51" spans="2:7" ht="12.75" customHeight="1" x14ac:dyDescent="0.2">
      <c r="B51" s="281"/>
      <c r="C51" s="289"/>
      <c r="D51" s="290"/>
      <c r="E51" s="290"/>
      <c r="F51" s="290"/>
      <c r="G51" s="291"/>
    </row>
    <row r="52" spans="2:7" ht="12.75" customHeight="1" x14ac:dyDescent="0.2">
      <c r="B52" s="281"/>
      <c r="C52" s="292"/>
      <c r="D52" s="293"/>
      <c r="E52" s="293"/>
      <c r="F52" s="293"/>
      <c r="G52" s="294"/>
    </row>
    <row r="53" spans="2:7" ht="12.75" customHeight="1" x14ac:dyDescent="0.2">
      <c r="B53" s="14"/>
      <c r="C53" s="4"/>
      <c r="D53" s="4"/>
      <c r="E53" s="4"/>
      <c r="F53" s="4"/>
      <c r="G53" s="4"/>
    </row>
    <row r="54" spans="2:7" ht="12.75" customHeight="1" x14ac:dyDescent="0.2">
      <c r="B54" s="14"/>
      <c r="C54" s="4"/>
      <c r="D54" s="4"/>
      <c r="E54" s="4"/>
      <c r="F54" s="4"/>
      <c r="G54" s="4"/>
    </row>
    <row r="55" spans="2:7" ht="12.75" customHeight="1" x14ac:dyDescent="0.2">
      <c r="B55" s="14"/>
      <c r="C55" s="4"/>
      <c r="D55" s="4"/>
      <c r="E55" s="4"/>
      <c r="F55" s="4"/>
      <c r="G55" s="4"/>
    </row>
    <row r="56" spans="2:7" ht="12.75" customHeight="1" x14ac:dyDescent="0.2">
      <c r="B56" s="14"/>
      <c r="C56" s="4"/>
      <c r="D56" s="4"/>
      <c r="E56" s="4"/>
      <c r="F56" s="4"/>
      <c r="G56" s="4"/>
    </row>
    <row r="57" spans="2:7" ht="12.75" customHeight="1" x14ac:dyDescent="0.2">
      <c r="B57" s="14"/>
      <c r="C57" s="4"/>
      <c r="D57" s="4"/>
      <c r="E57" s="4"/>
      <c r="F57" s="4"/>
      <c r="G57" s="4"/>
    </row>
    <row r="58" spans="2:7" ht="12.75" customHeight="1" x14ac:dyDescent="0.2">
      <c r="B58" s="14"/>
      <c r="C58" s="4"/>
      <c r="D58" s="4"/>
      <c r="E58" s="4"/>
      <c r="F58" s="4"/>
      <c r="G58" s="4"/>
    </row>
    <row r="59" spans="2:7" ht="12.75" customHeight="1" x14ac:dyDescent="0.2"/>
    <row r="60" spans="2:7" ht="12.75" customHeight="1" x14ac:dyDescent="0.2"/>
    <row r="61" spans="2:7" ht="12.75" customHeight="1" x14ac:dyDescent="0.2"/>
    <row r="62" spans="2:7" ht="12.75" customHeight="1" x14ac:dyDescent="0.2"/>
    <row r="63" spans="2:7" ht="12.75" customHeight="1" x14ac:dyDescent="0.2"/>
    <row r="64" spans="2:7" ht="15.75" customHeight="1" x14ac:dyDescent="0.2"/>
    <row r="65" ht="12.75" customHeight="1" x14ac:dyDescent="0.2"/>
    <row r="66" ht="12.75" customHeight="1" x14ac:dyDescent="0.2"/>
    <row r="67" ht="12.75" customHeight="1" x14ac:dyDescent="0.2"/>
    <row r="68" ht="12.75" customHeight="1" x14ac:dyDescent="0.2"/>
    <row r="69" ht="12.75" customHeight="1" x14ac:dyDescent="0.2"/>
    <row r="74" ht="12.75" customHeight="1" x14ac:dyDescent="0.2"/>
    <row r="75" ht="12.75" customHeight="1" x14ac:dyDescent="0.2"/>
    <row r="81" ht="12.75" customHeight="1" x14ac:dyDescent="0.2"/>
    <row r="82" ht="12.75" customHeight="1" x14ac:dyDescent="0.2"/>
  </sheetData>
  <sheetProtection password="9C31" sheet="1" objects="1" scenarios="1"/>
  <mergeCells count="29">
    <mergeCell ref="A1:A2"/>
    <mergeCell ref="C42:G45"/>
    <mergeCell ref="C22:G23"/>
    <mergeCell ref="C24:G28"/>
    <mergeCell ref="H33:H34"/>
    <mergeCell ref="C33:G34"/>
    <mergeCell ref="B24:B28"/>
    <mergeCell ref="H30:H31"/>
    <mergeCell ref="H13:H14"/>
    <mergeCell ref="H16:H17"/>
    <mergeCell ref="B13:B17"/>
    <mergeCell ref="C13:G14"/>
    <mergeCell ref="C30:G31"/>
    <mergeCell ref="C16:G17"/>
    <mergeCell ref="C47:G47"/>
    <mergeCell ref="B48:B52"/>
    <mergeCell ref="C48:G52"/>
    <mergeCell ref="B1:G2"/>
    <mergeCell ref="C4:E4"/>
    <mergeCell ref="C6:E6"/>
    <mergeCell ref="C8:E8"/>
    <mergeCell ref="C19:D20"/>
    <mergeCell ref="E19:E20"/>
    <mergeCell ref="B30:B33"/>
    <mergeCell ref="B42:B45"/>
    <mergeCell ref="C36:D37"/>
    <mergeCell ref="E36:E37"/>
    <mergeCell ref="C40:G41"/>
    <mergeCell ref="B10:G11"/>
  </mergeCells>
  <phoneticPr fontId="3" type="noConversion"/>
  <pageMargins left="0.5" right="0.5" top="0.5" bottom="0.5" header="0.3" footer="0.3"/>
  <pageSetup orientation="portrait"/>
  <headerFooter alignWithMargins="0">
    <oddHeader>&amp;C&amp;K000000Chapter Journey to Excellence Workbook</oddHeader>
    <oddFooter>&amp;R&amp;K000000&amp;A</oddFooter>
  </headerFooter>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enableFormatConditionsCalculation="0"/>
  <dimension ref="A1:H80"/>
  <sheetViews>
    <sheetView showGridLines="0" workbookViewId="0">
      <selection activeCell="B1" sqref="B1:G1"/>
    </sheetView>
  </sheetViews>
  <sheetFormatPr defaultColWidth="8.85546875" defaultRowHeight="12.75" x14ac:dyDescent="0.2"/>
  <cols>
    <col min="1" max="1" width="6.85546875" style="7" customWidth="1"/>
    <col min="2" max="2" width="5.7109375" style="7" bestFit="1" customWidth="1"/>
    <col min="3" max="3" width="5.7109375" style="7" customWidth="1"/>
    <col min="4" max="4" width="36.42578125" style="7" customWidth="1"/>
    <col min="5" max="5" width="11.28515625" style="7" customWidth="1"/>
    <col min="6" max="6" width="9.42578125" style="7" customWidth="1"/>
    <col min="7" max="7" width="4" style="7" bestFit="1" customWidth="1"/>
    <col min="8" max="16384" width="8.85546875" style="7"/>
  </cols>
  <sheetData>
    <row r="1" spans="1:8" ht="12.75" customHeight="1" x14ac:dyDescent="0.2">
      <c r="A1" s="8">
        <v>5</v>
      </c>
      <c r="B1" s="272" t="s">
        <v>50</v>
      </c>
      <c r="C1" s="272"/>
      <c r="D1" s="272"/>
      <c r="E1" s="272"/>
      <c r="F1" s="272"/>
      <c r="G1" s="272"/>
    </row>
    <row r="2" spans="1:8" x14ac:dyDescent="0.2">
      <c r="A2" s="8"/>
      <c r="B2" s="1"/>
      <c r="C2" s="1"/>
      <c r="D2" s="1"/>
      <c r="E2" s="1"/>
      <c r="F2" s="1"/>
      <c r="G2" s="1"/>
    </row>
    <row r="3" spans="1:8" ht="12.75" customHeight="1" x14ac:dyDescent="0.2">
      <c r="C3" s="273" t="s">
        <v>282</v>
      </c>
      <c r="D3" s="273"/>
      <c r="E3" s="273"/>
      <c r="F3" s="30" t="s">
        <v>2</v>
      </c>
      <c r="G3" s="30">
        <v>75</v>
      </c>
    </row>
    <row r="4" spans="1:8" x14ac:dyDescent="0.2">
      <c r="C4" s="16"/>
      <c r="D4" s="16"/>
      <c r="E4" s="16"/>
      <c r="F4" s="16"/>
      <c r="G4" s="16"/>
    </row>
    <row r="5" spans="1:8" ht="12.75" customHeight="1" x14ac:dyDescent="0.2">
      <c r="C5" s="273" t="s">
        <v>283</v>
      </c>
      <c r="D5" s="273"/>
      <c r="E5" s="273"/>
      <c r="F5" s="30" t="s">
        <v>3</v>
      </c>
      <c r="G5" s="30">
        <v>100</v>
      </c>
    </row>
    <row r="6" spans="1:8" x14ac:dyDescent="0.2">
      <c r="C6" s="16"/>
      <c r="D6" s="16"/>
      <c r="E6" s="16"/>
      <c r="F6" s="16"/>
      <c r="G6" s="16"/>
    </row>
    <row r="7" spans="1:8" ht="12.75" customHeight="1" x14ac:dyDescent="0.2">
      <c r="C7" s="273" t="s">
        <v>284</v>
      </c>
      <c r="D7" s="273"/>
      <c r="E7" s="273"/>
      <c r="F7" s="30" t="s">
        <v>4</v>
      </c>
      <c r="G7" s="30">
        <v>200</v>
      </c>
    </row>
    <row r="8" spans="1:8" x14ac:dyDescent="0.2">
      <c r="C8" s="9"/>
      <c r="D8" s="9"/>
      <c r="E8" s="9"/>
      <c r="F8" s="10"/>
      <c r="G8" s="10"/>
    </row>
    <row r="9" spans="1:8" ht="12.75" customHeight="1" x14ac:dyDescent="0.2">
      <c r="B9" s="279" t="str">
        <f>"To determine chapter retention, take current year total membership less current year Ordeal inductions times 100 and then divide by prior year total membership. For example, ("&amp;HIDE!B33&amp;" total membership less "&amp;HIDE!B33&amp;" Ordeal inductions) * 100) ÷ ("&amp;HIDE!B34&amp;" total membership). All chapter numbers are to be taken from the same database source from which the lodge’s reported numbers on its charter renewal application were based."</f>
        <v>To determine chapter retention, take current year total membership less current year Ordeal inductions times 100 and then divide by prior year total membership. For example, (2014 total membership less 2014 Ordeal inductions) * 100) ÷ (2013 total membership). All chapter numbers are to be taken from the same database source from which the lodge’s reported numbers on its charter renewal application were based.</v>
      </c>
      <c r="C9" s="279"/>
      <c r="D9" s="279"/>
      <c r="E9" s="279"/>
      <c r="F9" s="279"/>
      <c r="G9" s="279"/>
    </row>
    <row r="10" spans="1:8" x14ac:dyDescent="0.2">
      <c r="B10" s="279"/>
      <c r="C10" s="279"/>
      <c r="D10" s="279"/>
      <c r="E10" s="279"/>
      <c r="F10" s="279"/>
      <c r="G10" s="279"/>
    </row>
    <row r="11" spans="1:8" x14ac:dyDescent="0.2">
      <c r="B11" s="279"/>
      <c r="C11" s="279"/>
      <c r="D11" s="279"/>
      <c r="E11" s="279"/>
      <c r="F11" s="279"/>
      <c r="G11" s="279"/>
    </row>
    <row r="12" spans="1:8" x14ac:dyDescent="0.2">
      <c r="B12" s="279"/>
      <c r="C12" s="279"/>
      <c r="D12" s="279"/>
      <c r="E12" s="279"/>
      <c r="F12" s="279"/>
      <c r="G12" s="279"/>
    </row>
    <row r="13" spans="1:8" x14ac:dyDescent="0.2">
      <c r="B13" s="279"/>
      <c r="C13" s="279"/>
      <c r="D13" s="279"/>
      <c r="E13" s="279"/>
      <c r="F13" s="279"/>
      <c r="G13" s="279"/>
    </row>
    <row r="14" spans="1:8" x14ac:dyDescent="0.2">
      <c r="B14" s="20"/>
      <c r="C14" s="20"/>
      <c r="D14" s="20"/>
      <c r="E14" s="20"/>
      <c r="F14" s="20"/>
      <c r="G14" s="20"/>
    </row>
    <row r="15" spans="1:8" ht="15" customHeight="1" x14ac:dyDescent="0.2">
      <c r="B15" s="306" t="s">
        <v>52</v>
      </c>
      <c r="C15" s="303" t="str">
        <f>"What was the chapter's total membership in "&amp;HIDE!B35&amp;"?"</f>
        <v>What was the chapter's total membership in 2012?</v>
      </c>
      <c r="D15" s="303"/>
      <c r="E15" s="303"/>
      <c r="F15" s="303"/>
      <c r="G15" s="303"/>
      <c r="H15" s="206">
        <f>Worksheet!B18</f>
        <v>0</v>
      </c>
    </row>
    <row r="16" spans="1:8" ht="15" customHeight="1" x14ac:dyDescent="0.2">
      <c r="B16" s="307"/>
      <c r="C16" s="36"/>
      <c r="D16" s="36"/>
      <c r="E16" s="36"/>
      <c r="F16" s="36"/>
      <c r="G16" s="36"/>
    </row>
    <row r="17" spans="2:8" ht="15" customHeight="1" x14ac:dyDescent="0.2">
      <c r="B17" s="307"/>
      <c r="C17" s="285" t="str">
        <f>"What is the chapter's total membership at the end of "&amp;HIDE!B34&amp;"?"</f>
        <v>What is the chapter's total membership at the end of 2013?</v>
      </c>
      <c r="D17" s="285"/>
      <c r="E17" s="285"/>
      <c r="F17" s="285"/>
      <c r="G17" s="285"/>
      <c r="H17" s="206">
        <f>Worksheet!B20</f>
        <v>0</v>
      </c>
    </row>
    <row r="18" spans="2:8" ht="15" customHeight="1" x14ac:dyDescent="0.2">
      <c r="B18" s="307"/>
      <c r="C18" s="5"/>
      <c r="D18" s="5"/>
      <c r="E18" s="5"/>
      <c r="F18" s="5"/>
      <c r="G18" s="5"/>
    </row>
    <row r="19" spans="2:8" ht="15" customHeight="1" x14ac:dyDescent="0.2">
      <c r="B19" s="308"/>
      <c r="C19" s="304" t="str">
        <f>"How many Ordeal candidates were inducted into the chapter in "&amp;HIDE!B34&amp;"?"</f>
        <v>How many Ordeal candidates were inducted into the chapter in 2013?</v>
      </c>
      <c r="D19" s="304"/>
      <c r="E19" s="304"/>
      <c r="F19" s="304"/>
      <c r="G19" s="304"/>
      <c r="H19" s="206">
        <f>Worksheet!B27</f>
        <v>0</v>
      </c>
    </row>
    <row r="20" spans="2:8" ht="15" customHeight="1" x14ac:dyDescent="0.2">
      <c r="B20" s="38"/>
      <c r="C20" s="39"/>
      <c r="D20" s="39"/>
      <c r="E20" s="39"/>
      <c r="F20" s="39"/>
      <c r="G20" s="39"/>
      <c r="H20" s="12"/>
    </row>
    <row r="21" spans="2:8" ht="15" customHeight="1" x14ac:dyDescent="0.2">
      <c r="B21" s="38"/>
      <c r="C21" s="39"/>
      <c r="D21" s="305" t="str">
        <f>"Chapter retention for "&amp;HIDE!B34&amp;":"</f>
        <v>Chapter retention for 2013:</v>
      </c>
      <c r="E21" s="305"/>
      <c r="F21" s="58" t="str">
        <f>IF(H15&lt;&gt;0, (H17-H19)/H15, "-")</f>
        <v>-</v>
      </c>
      <c r="G21" s="39"/>
      <c r="H21" s="12"/>
    </row>
    <row r="22" spans="2:8" x14ac:dyDescent="0.2">
      <c r="B22" s="20"/>
      <c r="C22" s="20"/>
      <c r="D22" s="20"/>
      <c r="E22" s="20"/>
      <c r="F22" s="20"/>
      <c r="G22" s="20"/>
    </row>
    <row r="23" spans="2:8" x14ac:dyDescent="0.2">
      <c r="C23" s="278" t="s">
        <v>51</v>
      </c>
      <c r="D23" s="278"/>
      <c r="E23" s="278"/>
      <c r="F23" s="278"/>
      <c r="G23" s="278"/>
    </row>
    <row r="24" spans="2:8" x14ac:dyDescent="0.2">
      <c r="B24" s="25"/>
      <c r="C24" s="280"/>
      <c r="D24" s="280"/>
      <c r="E24" s="280"/>
      <c r="F24" s="280"/>
      <c r="G24" s="280"/>
    </row>
    <row r="25" spans="2:8" ht="13.5" customHeight="1" x14ac:dyDescent="0.2">
      <c r="B25" s="281" t="s">
        <v>37</v>
      </c>
      <c r="C25" s="286"/>
      <c r="D25" s="287"/>
      <c r="E25" s="287"/>
      <c r="F25" s="287"/>
      <c r="G25" s="288"/>
    </row>
    <row r="26" spans="2:8" ht="13.5" customHeight="1" x14ac:dyDescent="0.2">
      <c r="B26" s="281"/>
      <c r="C26" s="289"/>
      <c r="D26" s="290"/>
      <c r="E26" s="290"/>
      <c r="F26" s="290"/>
      <c r="G26" s="291"/>
    </row>
    <row r="27" spans="2:8" ht="17.100000000000001" customHeight="1" x14ac:dyDescent="0.2">
      <c r="B27" s="281"/>
      <c r="C27" s="289"/>
      <c r="D27" s="290"/>
      <c r="E27" s="290"/>
      <c r="F27" s="290"/>
      <c r="G27" s="291"/>
    </row>
    <row r="28" spans="2:8" ht="13.5" customHeight="1" x14ac:dyDescent="0.2">
      <c r="B28" s="281"/>
      <c r="C28" s="289"/>
      <c r="D28" s="290"/>
      <c r="E28" s="290"/>
      <c r="F28" s="290"/>
      <c r="G28" s="291"/>
    </row>
    <row r="29" spans="2:8" ht="13.5" customHeight="1" x14ac:dyDescent="0.2">
      <c r="B29" s="281"/>
      <c r="C29" s="292"/>
      <c r="D29" s="293"/>
      <c r="E29" s="293"/>
      <c r="F29" s="293"/>
      <c r="G29" s="294"/>
    </row>
    <row r="30" spans="2:8" ht="13.5" customHeight="1" x14ac:dyDescent="0.2">
      <c r="B30" s="14"/>
      <c r="C30" s="4"/>
      <c r="D30" s="4"/>
      <c r="E30" s="4"/>
      <c r="F30" s="4"/>
      <c r="G30" s="4"/>
    </row>
    <row r="31" spans="2:8" s="29" customFormat="1" ht="15.75" customHeight="1" x14ac:dyDescent="0.2">
      <c r="B31" s="282" t="s">
        <v>28</v>
      </c>
      <c r="C31" s="278" t="str">
        <f>"What is the chapter's total membership at the end of "&amp;HIDE!B33&amp;"?"</f>
        <v>What is the chapter's total membership at the end of 2014?</v>
      </c>
      <c r="D31" s="278"/>
      <c r="E31" s="278"/>
      <c r="F31" s="278"/>
      <c r="G31" s="278"/>
      <c r="H31" s="207">
        <f>Worksheet!B22</f>
        <v>0</v>
      </c>
    </row>
    <row r="32" spans="2:8" s="29" customFormat="1" ht="18" customHeight="1" x14ac:dyDescent="0.2">
      <c r="B32" s="283"/>
      <c r="C32" s="23"/>
      <c r="D32" s="23"/>
      <c r="E32" s="23"/>
      <c r="F32" s="23"/>
      <c r="G32" s="23"/>
    </row>
    <row r="33" spans="2:8" s="29" customFormat="1" ht="15.75" customHeight="1" x14ac:dyDescent="0.2">
      <c r="B33" s="284"/>
      <c r="C33" s="278" t="str">
        <f>"How many Ordeal candidates were inducted into the chapter in "&amp;HIDE!B33&amp;"?"</f>
        <v>How many Ordeal candidates were inducted into the chapter in 2014?</v>
      </c>
      <c r="D33" s="278"/>
      <c r="E33" s="278"/>
      <c r="F33" s="278"/>
      <c r="G33" s="278"/>
      <c r="H33" s="207">
        <f>Worksheet!B31</f>
        <v>0</v>
      </c>
    </row>
    <row r="34" spans="2:8" ht="13.5" customHeight="1" x14ac:dyDescent="0.2">
      <c r="B34" s="25"/>
      <c r="C34" s="4"/>
      <c r="D34" s="4"/>
      <c r="E34" s="4"/>
      <c r="F34" s="4"/>
      <c r="G34" s="4"/>
    </row>
    <row r="35" spans="2:8" ht="13.5" customHeight="1" x14ac:dyDescent="0.2">
      <c r="B35" s="14"/>
      <c r="C35" s="4"/>
      <c r="D35" s="305" t="str">
        <f>"Chapter retention for "&amp;HIDE!B33&amp;":"</f>
        <v>Chapter retention for 2014:</v>
      </c>
      <c r="E35" s="305"/>
      <c r="F35" s="59" t="str">
        <f>IF(H17&lt;&gt;0, (H31-H33)/H17, "-")</f>
        <v>-</v>
      </c>
      <c r="G35" s="4"/>
    </row>
    <row r="36" spans="2:8" x14ac:dyDescent="0.2">
      <c r="B36" s="14"/>
      <c r="C36" s="4"/>
      <c r="D36" s="4"/>
      <c r="E36" s="4"/>
      <c r="F36" s="52" t="str">
        <f>IF(OR(F35="-",F21="-"),"-",IF(OR(F35*100&gt;=88,AND((F35*100)-(F21*100)&gt;=5,F21*100&gt;=77)),"GOLD",IF(OR(F35*100&gt;=77,AND(F35*100-F21*100&gt;=4,F21*100&gt;=69)),"SILVER",IF(OR(F35*100&gt;=69,F35*100-F21*100&gt;=4),"BRONZE","NONE"))))</f>
        <v>-</v>
      </c>
      <c r="G36" s="4"/>
    </row>
    <row r="37" spans="2:8" s="32" customFormat="1" ht="12.75" customHeight="1" x14ac:dyDescent="0.2">
      <c r="B37" s="33"/>
      <c r="C37" s="31"/>
      <c r="D37" s="31"/>
      <c r="E37" s="34"/>
      <c r="F37" s="35"/>
      <c r="G37" s="35"/>
    </row>
    <row r="38" spans="2:8" ht="13.5" customHeight="1" x14ac:dyDescent="0.2">
      <c r="B38" s="14"/>
      <c r="C38" s="278" t="s">
        <v>53</v>
      </c>
      <c r="D38" s="278"/>
      <c r="E38" s="278"/>
      <c r="F38" s="278"/>
      <c r="G38" s="278"/>
    </row>
    <row r="39" spans="2:8" ht="13.5" customHeight="1" x14ac:dyDescent="0.2">
      <c r="C39" s="280"/>
      <c r="D39" s="280"/>
      <c r="E39" s="280"/>
      <c r="F39" s="280"/>
      <c r="G39" s="280"/>
    </row>
    <row r="40" spans="2:8" ht="17.25" customHeight="1" x14ac:dyDescent="0.2">
      <c r="B40" s="281" t="s">
        <v>44</v>
      </c>
      <c r="C40" s="286"/>
      <c r="D40" s="287"/>
      <c r="E40" s="287"/>
      <c r="F40" s="287"/>
      <c r="G40" s="288"/>
    </row>
    <row r="41" spans="2:8" ht="17.25" customHeight="1" x14ac:dyDescent="0.2">
      <c r="B41" s="281"/>
      <c r="C41" s="289"/>
      <c r="D41" s="290"/>
      <c r="E41" s="290"/>
      <c r="F41" s="290"/>
      <c r="G41" s="291"/>
    </row>
    <row r="42" spans="2:8" ht="17.25" customHeight="1" x14ac:dyDescent="0.2">
      <c r="B42" s="281"/>
      <c r="C42" s="289"/>
      <c r="D42" s="290"/>
      <c r="E42" s="290"/>
      <c r="F42" s="290"/>
      <c r="G42" s="291"/>
    </row>
    <row r="43" spans="2:8" ht="17.25" customHeight="1" x14ac:dyDescent="0.2">
      <c r="B43" s="281"/>
      <c r="C43" s="292"/>
      <c r="D43" s="293"/>
      <c r="E43" s="293"/>
      <c r="F43" s="293"/>
      <c r="G43" s="294"/>
    </row>
    <row r="44" spans="2:8" ht="12.75" customHeight="1" x14ac:dyDescent="0.2">
      <c r="B44" s="14"/>
      <c r="C44" s="4"/>
      <c r="D44" s="4"/>
      <c r="F44" s="4"/>
      <c r="G44" s="4"/>
    </row>
    <row r="45" spans="2:8" ht="12.75" customHeight="1" x14ac:dyDescent="0.2">
      <c r="C45" s="285" t="s">
        <v>54</v>
      </c>
      <c r="D45" s="285"/>
      <c r="E45" s="285"/>
      <c r="F45" s="285"/>
      <c r="G45" s="285"/>
    </row>
    <row r="46" spans="2:8" ht="12.75" customHeight="1" x14ac:dyDescent="0.2">
      <c r="B46" s="281" t="s">
        <v>22</v>
      </c>
      <c r="C46" s="286"/>
      <c r="D46" s="287"/>
      <c r="E46" s="287"/>
      <c r="F46" s="287"/>
      <c r="G46" s="288"/>
    </row>
    <row r="47" spans="2:8" ht="12.75" customHeight="1" x14ac:dyDescent="0.2">
      <c r="B47" s="281"/>
      <c r="C47" s="289"/>
      <c r="D47" s="290"/>
      <c r="E47" s="290"/>
      <c r="F47" s="290"/>
      <c r="G47" s="291"/>
    </row>
    <row r="48" spans="2:8" ht="12.75" customHeight="1" x14ac:dyDescent="0.2">
      <c r="B48" s="281"/>
      <c r="C48" s="289"/>
      <c r="D48" s="290"/>
      <c r="E48" s="290"/>
      <c r="F48" s="290"/>
      <c r="G48" s="291"/>
    </row>
    <row r="49" spans="2:7" ht="12.75" customHeight="1" x14ac:dyDescent="0.2">
      <c r="B49" s="281"/>
      <c r="C49" s="289"/>
      <c r="D49" s="290"/>
      <c r="E49" s="290"/>
      <c r="F49" s="290"/>
      <c r="G49" s="291"/>
    </row>
    <row r="50" spans="2:7" ht="12.75" customHeight="1" x14ac:dyDescent="0.2">
      <c r="B50" s="281"/>
      <c r="C50" s="292"/>
      <c r="D50" s="293"/>
      <c r="E50" s="293"/>
      <c r="F50" s="293"/>
      <c r="G50" s="294"/>
    </row>
    <row r="51" spans="2:7" ht="12.75" customHeight="1" x14ac:dyDescent="0.2">
      <c r="B51" s="14"/>
      <c r="C51" s="4"/>
      <c r="D51" s="4"/>
      <c r="E51" s="4"/>
      <c r="F51" s="4"/>
      <c r="G51" s="4"/>
    </row>
    <row r="52" spans="2:7" ht="12.75" customHeight="1" x14ac:dyDescent="0.2">
      <c r="B52" s="14"/>
      <c r="C52" s="4"/>
      <c r="D52" s="4"/>
      <c r="E52" s="4"/>
      <c r="F52" s="4"/>
      <c r="G52" s="4"/>
    </row>
    <row r="53" spans="2:7" ht="12.75" customHeight="1" x14ac:dyDescent="0.2">
      <c r="B53" s="14"/>
      <c r="C53" s="4"/>
      <c r="D53" s="4"/>
      <c r="E53" s="4"/>
      <c r="F53" s="4"/>
      <c r="G53" s="4"/>
    </row>
    <row r="54" spans="2:7" ht="12.75" customHeight="1" x14ac:dyDescent="0.2">
      <c r="B54" s="14"/>
      <c r="C54" s="4"/>
      <c r="D54" s="4"/>
      <c r="E54" s="4"/>
      <c r="F54" s="4"/>
      <c r="G54" s="4"/>
    </row>
    <row r="55" spans="2:7" ht="12.75" customHeight="1" x14ac:dyDescent="0.2">
      <c r="B55" s="14"/>
      <c r="C55" s="4"/>
      <c r="D55" s="4"/>
      <c r="E55" s="4"/>
      <c r="F55" s="4"/>
      <c r="G55" s="4"/>
    </row>
    <row r="56" spans="2:7" ht="12.75" customHeight="1" x14ac:dyDescent="0.2">
      <c r="B56" s="14"/>
      <c r="C56" s="4"/>
      <c r="D56" s="4"/>
      <c r="E56" s="4"/>
      <c r="F56" s="4"/>
      <c r="G56" s="4"/>
    </row>
    <row r="57" spans="2:7" ht="12.75" customHeight="1" x14ac:dyDescent="0.2"/>
    <row r="58" spans="2:7" ht="12.75" customHeight="1" x14ac:dyDescent="0.2"/>
    <row r="59" spans="2:7" ht="12.75" customHeight="1" x14ac:dyDescent="0.2"/>
    <row r="60" spans="2:7" ht="12.75" customHeight="1" x14ac:dyDescent="0.2"/>
    <row r="61" spans="2:7" ht="12.75" customHeight="1" x14ac:dyDescent="0.2"/>
    <row r="62" spans="2:7" ht="15.75" customHeight="1" x14ac:dyDescent="0.2"/>
    <row r="63" spans="2:7" ht="12.75" customHeight="1" x14ac:dyDescent="0.2"/>
    <row r="64" spans="2:7" ht="12.75" customHeight="1" x14ac:dyDescent="0.2"/>
    <row r="65" ht="12.75" customHeight="1" x14ac:dyDescent="0.2"/>
    <row r="66" ht="12.75" customHeight="1" x14ac:dyDescent="0.2"/>
    <row r="67" ht="12.75" customHeight="1" x14ac:dyDescent="0.2"/>
    <row r="72" ht="12.75" customHeight="1" x14ac:dyDescent="0.2"/>
    <row r="73" ht="12.75" customHeight="1" x14ac:dyDescent="0.2"/>
    <row r="79" ht="12.75" customHeight="1" x14ac:dyDescent="0.2"/>
    <row r="80" ht="12.75" customHeight="1" x14ac:dyDescent="0.2"/>
  </sheetData>
  <sheetProtection password="9C31" sheet="1" objects="1" scenarios="1"/>
  <mergeCells count="23">
    <mergeCell ref="D21:E21"/>
    <mergeCell ref="B31:B33"/>
    <mergeCell ref="C23:G24"/>
    <mergeCell ref="B25:B29"/>
    <mergeCell ref="C25:G29"/>
    <mergeCell ref="C31:G31"/>
    <mergeCell ref="C33:G33"/>
    <mergeCell ref="B46:B50"/>
    <mergeCell ref="C46:G50"/>
    <mergeCell ref="B1:G1"/>
    <mergeCell ref="B9:G13"/>
    <mergeCell ref="C15:G15"/>
    <mergeCell ref="C38:G39"/>
    <mergeCell ref="B40:B43"/>
    <mergeCell ref="C40:G43"/>
    <mergeCell ref="C45:G45"/>
    <mergeCell ref="C3:E3"/>
    <mergeCell ref="C5:E5"/>
    <mergeCell ref="C7:E7"/>
    <mergeCell ref="C19:G19"/>
    <mergeCell ref="C17:G17"/>
    <mergeCell ref="D35:E35"/>
    <mergeCell ref="B15:B19"/>
  </mergeCells>
  <phoneticPr fontId="3" type="noConversion"/>
  <pageMargins left="0.5" right="0.5" top="0.5" bottom="0.5" header="0.3" footer="0.3"/>
  <pageSetup orientation="portrait"/>
  <headerFooter alignWithMargins="0">
    <oddHeader>&amp;C&amp;K000000Chapter Journey to Excellence Workbook</oddHeader>
    <oddFooter>&amp;R&amp;K000000&amp;A</oddFooter>
  </headerFooter>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enableFormatConditionsCalculation="0"/>
  <dimension ref="A1:H51"/>
  <sheetViews>
    <sheetView showGridLines="0" topLeftCell="A2" workbookViewId="0">
      <selection activeCell="C23" sqref="C23:G27"/>
    </sheetView>
  </sheetViews>
  <sheetFormatPr defaultColWidth="8.85546875" defaultRowHeight="12.75" x14ac:dyDescent="0.2"/>
  <cols>
    <col min="1" max="1" width="6.85546875" style="7" customWidth="1"/>
    <col min="2" max="2" width="5.7109375" style="7" bestFit="1" customWidth="1"/>
    <col min="3" max="3" width="5.7109375" style="7" customWidth="1"/>
    <col min="4" max="4" width="36.42578125" style="7" customWidth="1"/>
    <col min="5" max="5" width="11.28515625" style="7" customWidth="1"/>
    <col min="6" max="6" width="7.42578125" style="7" bestFit="1" customWidth="1"/>
    <col min="7" max="7" width="4" style="7" bestFit="1" customWidth="1"/>
    <col min="8" max="16384" width="8.85546875" style="7"/>
  </cols>
  <sheetData>
    <row r="1" spans="1:8" x14ac:dyDescent="0.2">
      <c r="A1" s="8">
        <v>6</v>
      </c>
      <c r="B1" s="309" t="s">
        <v>55</v>
      </c>
      <c r="C1" s="309"/>
      <c r="D1" s="309"/>
      <c r="E1" s="309"/>
      <c r="F1" s="309"/>
      <c r="G1" s="309"/>
    </row>
    <row r="2" spans="1:8" x14ac:dyDescent="0.2">
      <c r="B2" s="3"/>
      <c r="C2" s="3"/>
      <c r="D2" s="3"/>
      <c r="E2" s="3"/>
      <c r="F2" s="3"/>
      <c r="G2" s="3"/>
    </row>
    <row r="3" spans="1:8" ht="12.75" customHeight="1" x14ac:dyDescent="0.2">
      <c r="C3" s="273" t="s">
        <v>56</v>
      </c>
      <c r="D3" s="273"/>
      <c r="E3" s="273"/>
      <c r="F3" s="15" t="s">
        <v>2</v>
      </c>
      <c r="G3" s="15">
        <v>25</v>
      </c>
    </row>
    <row r="4" spans="1:8" x14ac:dyDescent="0.2">
      <c r="C4" s="16"/>
      <c r="D4" s="16"/>
      <c r="E4" s="16"/>
      <c r="F4" s="16"/>
      <c r="G4" s="16"/>
    </row>
    <row r="5" spans="1:8" x14ac:dyDescent="0.2">
      <c r="C5" s="273" t="s">
        <v>57</v>
      </c>
      <c r="D5" s="273"/>
      <c r="E5" s="273"/>
      <c r="F5" s="15" t="s">
        <v>3</v>
      </c>
      <c r="G5" s="15">
        <v>50</v>
      </c>
    </row>
    <row r="6" spans="1:8" x14ac:dyDescent="0.2">
      <c r="C6" s="16"/>
      <c r="D6" s="16"/>
      <c r="E6" s="16"/>
      <c r="F6" s="16"/>
      <c r="G6" s="16"/>
    </row>
    <row r="7" spans="1:8" x14ac:dyDescent="0.2">
      <c r="C7" s="273" t="s">
        <v>58</v>
      </c>
      <c r="D7" s="273"/>
      <c r="E7" s="273"/>
      <c r="F7" s="15" t="s">
        <v>4</v>
      </c>
      <c r="G7" s="15">
        <v>100</v>
      </c>
    </row>
    <row r="8" spans="1:8" x14ac:dyDescent="0.2">
      <c r="C8" s="9"/>
      <c r="D8" s="9"/>
      <c r="E8" s="9"/>
      <c r="F8" s="10"/>
      <c r="G8" s="10"/>
    </row>
    <row r="9" spans="1:8" ht="17.25" customHeight="1" x14ac:dyDescent="0.2">
      <c r="B9" s="315" t="s">
        <v>59</v>
      </c>
      <c r="C9" s="315"/>
      <c r="D9" s="315"/>
      <c r="E9" s="315"/>
      <c r="F9" s="315"/>
      <c r="G9" s="315"/>
    </row>
    <row r="10" spans="1:8" ht="17.25" customHeight="1" x14ac:dyDescent="0.2">
      <c r="B10" s="315"/>
      <c r="C10" s="315"/>
      <c r="D10" s="315"/>
      <c r="E10" s="315"/>
      <c r="F10" s="315"/>
      <c r="G10" s="315"/>
    </row>
    <row r="11" spans="1:8" ht="17.25" customHeight="1" x14ac:dyDescent="0.2">
      <c r="B11" s="315"/>
      <c r="C11" s="315"/>
      <c r="D11" s="315"/>
      <c r="E11" s="315"/>
      <c r="F11" s="315"/>
      <c r="G11" s="315"/>
    </row>
    <row r="12" spans="1:8" x14ac:dyDescent="0.2">
      <c r="B12" s="18"/>
      <c r="C12" s="18"/>
      <c r="D12" s="18"/>
      <c r="E12" s="18"/>
      <c r="F12" s="18"/>
      <c r="G12" s="18"/>
    </row>
    <row r="13" spans="1:8" ht="12.75" customHeight="1" x14ac:dyDescent="0.2">
      <c r="B13" s="18"/>
      <c r="C13" s="303" t="str">
        <f>"How many troops and teams are in the district on December 31, "&amp;HIDE!B33&amp;"?"</f>
        <v>How many troops and teams are in the district on December 31, 2014?</v>
      </c>
      <c r="D13" s="303"/>
      <c r="E13" s="303"/>
      <c r="F13" s="303"/>
      <c r="G13" s="303"/>
      <c r="H13" s="207">
        <f>Worksheet!B45</f>
        <v>0</v>
      </c>
    </row>
    <row r="14" spans="1:8" ht="12.75" customHeight="1" x14ac:dyDescent="0.2">
      <c r="B14" s="18"/>
      <c r="C14" s="36"/>
      <c r="D14" s="36"/>
      <c r="E14" s="36"/>
      <c r="F14" s="36"/>
      <c r="G14" s="36"/>
      <c r="H14" s="12"/>
    </row>
    <row r="15" spans="1:8" ht="12.75" customHeight="1" x14ac:dyDescent="0.2">
      <c r="B15" s="18"/>
      <c r="C15" s="303" t="s">
        <v>61</v>
      </c>
      <c r="D15" s="303"/>
      <c r="E15" s="303"/>
      <c r="F15" s="303"/>
      <c r="G15" s="303"/>
      <c r="H15" s="310" t="s">
        <v>62</v>
      </c>
    </row>
    <row r="16" spans="1:8" ht="13.5" customHeight="1" x14ac:dyDescent="0.2">
      <c r="B16" s="281" t="s">
        <v>16</v>
      </c>
      <c r="C16" s="286"/>
      <c r="D16" s="287"/>
      <c r="E16" s="287"/>
      <c r="F16" s="287"/>
      <c r="G16" s="288"/>
      <c r="H16" s="310"/>
    </row>
    <row r="17" spans="2:8" ht="15.95" customHeight="1" x14ac:dyDescent="0.2">
      <c r="B17" s="281"/>
      <c r="C17" s="289"/>
      <c r="D17" s="290"/>
      <c r="E17" s="290"/>
      <c r="F17" s="290"/>
      <c r="G17" s="291"/>
      <c r="H17" s="310"/>
    </row>
    <row r="18" spans="2:8" ht="13.5" customHeight="1" x14ac:dyDescent="0.2">
      <c r="B18" s="281"/>
      <c r="C18" s="289"/>
      <c r="D18" s="290"/>
      <c r="E18" s="290"/>
      <c r="F18" s="290"/>
      <c r="G18" s="291"/>
      <c r="H18" s="311"/>
    </row>
    <row r="19" spans="2:8" ht="13.5" customHeight="1" x14ac:dyDescent="0.2">
      <c r="B19" s="281"/>
      <c r="C19" s="289"/>
      <c r="D19" s="290"/>
      <c r="E19" s="290"/>
      <c r="F19" s="290"/>
      <c r="G19" s="291"/>
      <c r="H19" s="312"/>
    </row>
    <row r="20" spans="2:8" ht="13.5" customHeight="1" x14ac:dyDescent="0.2">
      <c r="B20" s="281"/>
      <c r="C20" s="292"/>
      <c r="D20" s="293"/>
      <c r="E20" s="293"/>
      <c r="F20" s="293"/>
      <c r="G20" s="294"/>
      <c r="H20" s="313"/>
    </row>
    <row r="21" spans="2:8" ht="13.5" customHeight="1" x14ac:dyDescent="0.2">
      <c r="B21" s="14"/>
      <c r="C21" s="4"/>
      <c r="D21" s="4"/>
      <c r="E21" s="4"/>
      <c r="F21" s="4"/>
      <c r="G21" s="4"/>
      <c r="H21" s="12"/>
    </row>
    <row r="22" spans="2:8" ht="13.5" customHeight="1" x14ac:dyDescent="0.2">
      <c r="B22" s="14"/>
      <c r="C22" s="304" t="s">
        <v>64</v>
      </c>
      <c r="D22" s="304"/>
      <c r="E22" s="304"/>
      <c r="F22" s="304"/>
      <c r="G22" s="304"/>
      <c r="H22" s="12"/>
    </row>
    <row r="23" spans="2:8" ht="13.5" customHeight="1" x14ac:dyDescent="0.2">
      <c r="B23" s="281" t="s">
        <v>16</v>
      </c>
      <c r="C23" s="286"/>
      <c r="D23" s="287"/>
      <c r="E23" s="287"/>
      <c r="F23" s="287"/>
      <c r="G23" s="288"/>
      <c r="H23" s="12"/>
    </row>
    <row r="24" spans="2:8" ht="18" customHeight="1" x14ac:dyDescent="0.2">
      <c r="B24" s="281"/>
      <c r="C24" s="289"/>
      <c r="D24" s="290"/>
      <c r="E24" s="290"/>
      <c r="F24" s="290"/>
      <c r="G24" s="291"/>
      <c r="H24" s="12"/>
    </row>
    <row r="25" spans="2:8" ht="13.5" customHeight="1" x14ac:dyDescent="0.2">
      <c r="B25" s="281"/>
      <c r="C25" s="289"/>
      <c r="D25" s="290"/>
      <c r="E25" s="290"/>
      <c r="F25" s="290"/>
      <c r="G25" s="291"/>
      <c r="H25" s="12"/>
    </row>
    <row r="26" spans="2:8" ht="13.5" customHeight="1" x14ac:dyDescent="0.2">
      <c r="B26" s="281"/>
      <c r="C26" s="289"/>
      <c r="D26" s="290"/>
      <c r="E26" s="290"/>
      <c r="F26" s="290"/>
      <c r="G26" s="291"/>
      <c r="H26" s="12"/>
    </row>
    <row r="27" spans="2:8" ht="13.5" customHeight="1" x14ac:dyDescent="0.2">
      <c r="B27" s="281"/>
      <c r="C27" s="292"/>
      <c r="D27" s="293"/>
      <c r="E27" s="293"/>
      <c r="F27" s="293"/>
      <c r="G27" s="294"/>
      <c r="H27" s="12"/>
    </row>
    <row r="28" spans="2:8" x14ac:dyDescent="0.2">
      <c r="B28" s="18"/>
      <c r="C28" s="18"/>
      <c r="D28" s="18"/>
      <c r="E28" s="18"/>
      <c r="F28" s="18"/>
      <c r="G28" s="18"/>
    </row>
    <row r="29" spans="2:8" x14ac:dyDescent="0.2">
      <c r="B29" s="306" t="s">
        <v>28</v>
      </c>
      <c r="C29" s="303" t="str">
        <f>"How may troops and teams did the chapter contact in "&amp;HIDE!B33&amp;" for elections?"</f>
        <v>How may troops and teams did the chapter contact in 2014 for elections?</v>
      </c>
      <c r="D29" s="303"/>
      <c r="E29" s="303"/>
      <c r="F29" s="303"/>
      <c r="G29" s="303"/>
      <c r="H29" s="57"/>
    </row>
    <row r="30" spans="2:8" x14ac:dyDescent="0.2">
      <c r="B30" s="307"/>
      <c r="C30" s="36"/>
      <c r="D30" s="36"/>
      <c r="E30" s="36"/>
      <c r="F30" s="36"/>
      <c r="G30" s="36"/>
    </row>
    <row r="31" spans="2:8" x14ac:dyDescent="0.2">
      <c r="B31" s="307"/>
      <c r="C31" s="303" t="str">
        <f>"How many troops and teams in the district requested an election in "&amp;HIDE!B33&amp;"?"</f>
        <v>How many troops and teams in the district requested an election in 2014?</v>
      </c>
      <c r="D31" s="303"/>
      <c r="E31" s="303"/>
      <c r="F31" s="303"/>
      <c r="G31" s="303"/>
      <c r="H31" s="57"/>
    </row>
    <row r="32" spans="2:8" x14ac:dyDescent="0.2">
      <c r="B32" s="307"/>
      <c r="C32" s="36"/>
      <c r="D32" s="36"/>
      <c r="E32" s="36"/>
      <c r="F32" s="36"/>
      <c r="G32" s="36"/>
    </row>
    <row r="33" spans="2:8" x14ac:dyDescent="0.2">
      <c r="B33" s="308"/>
      <c r="C33" s="303" t="str">
        <f>"For how many troops and teams in the district did the chapter conduct an election in "&amp;HIDE!B33&amp;"?"</f>
        <v>For how many troops and teams in the district did the chapter conduct an election in 2014?</v>
      </c>
      <c r="D33" s="303"/>
      <c r="E33" s="303"/>
      <c r="F33" s="303"/>
      <c r="G33" s="303"/>
      <c r="H33" s="57"/>
    </row>
    <row r="34" spans="2:8" x14ac:dyDescent="0.2">
      <c r="B34" s="18"/>
      <c r="C34" s="36"/>
      <c r="D34" s="36"/>
      <c r="E34" s="36"/>
      <c r="F34" s="36"/>
      <c r="G34" s="36"/>
    </row>
    <row r="35" spans="2:8" ht="24" customHeight="1" x14ac:dyDescent="0.2">
      <c r="B35" s="18"/>
      <c r="C35" s="36"/>
      <c r="D35" s="40" t="s">
        <v>60</v>
      </c>
      <c r="E35" s="314" t="str">
        <f>IF(H13-H29&gt;0, "No points; not all units contacted", IF(H31&lt;&gt;0, H33/H31, "-"))</f>
        <v>-</v>
      </c>
      <c r="F35" s="314"/>
      <c r="G35" s="314"/>
    </row>
    <row r="36" spans="2:8" x14ac:dyDescent="0.2">
      <c r="B36" s="18"/>
      <c r="C36" s="18"/>
      <c r="D36" s="18"/>
      <c r="E36" s="316" t="str">
        <f>IF(E35="-", "-", IF(E35*100&gt;=100, "GOLD", IF(E35*100&gt;=95, "SILVER", IF(E35*100&gt;=90, "BRONZE", "No Points"))))</f>
        <v>-</v>
      </c>
      <c r="F36" s="316"/>
      <c r="G36" s="316"/>
    </row>
    <row r="37" spans="2:8" x14ac:dyDescent="0.2">
      <c r="C37" s="3"/>
      <c r="D37" s="3"/>
      <c r="E37" s="3"/>
      <c r="F37" s="1"/>
      <c r="G37" s="1"/>
    </row>
    <row r="38" spans="2:8" ht="12.75" customHeight="1" x14ac:dyDescent="0.2">
      <c r="C38" s="285" t="s">
        <v>63</v>
      </c>
      <c r="D38" s="285"/>
      <c r="E38" s="285"/>
      <c r="F38" s="285"/>
      <c r="G38" s="285"/>
    </row>
    <row r="39" spans="2:8" ht="12.75" customHeight="1" x14ac:dyDescent="0.2">
      <c r="B39" s="281" t="s">
        <v>28</v>
      </c>
      <c r="C39" s="286"/>
      <c r="D39" s="287"/>
      <c r="E39" s="287"/>
      <c r="F39" s="287"/>
      <c r="G39" s="288"/>
    </row>
    <row r="40" spans="2:8" ht="12.75" customHeight="1" x14ac:dyDescent="0.2">
      <c r="B40" s="281"/>
      <c r="C40" s="289"/>
      <c r="D40" s="290"/>
      <c r="E40" s="290"/>
      <c r="F40" s="290"/>
      <c r="G40" s="291"/>
    </row>
    <row r="41" spans="2:8" x14ac:dyDescent="0.2">
      <c r="B41" s="281"/>
      <c r="C41" s="289"/>
      <c r="D41" s="290"/>
      <c r="E41" s="290"/>
      <c r="F41" s="290"/>
      <c r="G41" s="291"/>
    </row>
    <row r="42" spans="2:8" x14ac:dyDescent="0.2">
      <c r="B42" s="281"/>
      <c r="C42" s="289"/>
      <c r="D42" s="290"/>
      <c r="E42" s="290"/>
      <c r="F42" s="290"/>
      <c r="G42" s="291"/>
    </row>
    <row r="43" spans="2:8" x14ac:dyDescent="0.2">
      <c r="B43" s="281"/>
      <c r="C43" s="292"/>
      <c r="D43" s="293"/>
      <c r="E43" s="293"/>
      <c r="F43" s="293"/>
      <c r="G43" s="294"/>
    </row>
    <row r="44" spans="2:8" x14ac:dyDescent="0.2">
      <c r="D44" s="2"/>
      <c r="E44" s="2"/>
      <c r="F44" s="1"/>
      <c r="G44" s="1"/>
    </row>
    <row r="45" spans="2:8" x14ac:dyDescent="0.2">
      <c r="C45" s="285" t="s">
        <v>65</v>
      </c>
      <c r="D45" s="285"/>
      <c r="E45" s="285"/>
      <c r="F45" s="285"/>
      <c r="G45" s="285"/>
    </row>
    <row r="46" spans="2:8" ht="12.75" customHeight="1" x14ac:dyDescent="0.2">
      <c r="B46" s="281" t="s">
        <v>22</v>
      </c>
      <c r="C46" s="286"/>
      <c r="D46" s="287"/>
      <c r="E46" s="287"/>
      <c r="F46" s="287"/>
      <c r="G46" s="288"/>
    </row>
    <row r="47" spans="2:8" x14ac:dyDescent="0.2">
      <c r="B47" s="281"/>
      <c r="C47" s="289"/>
      <c r="D47" s="290"/>
      <c r="E47" s="290"/>
      <c r="F47" s="290"/>
      <c r="G47" s="291"/>
    </row>
    <row r="48" spans="2:8" x14ac:dyDescent="0.2">
      <c r="B48" s="281"/>
      <c r="C48" s="289"/>
      <c r="D48" s="290"/>
      <c r="E48" s="290"/>
      <c r="F48" s="290"/>
      <c r="G48" s="291"/>
    </row>
    <row r="49" spans="2:7" x14ac:dyDescent="0.2">
      <c r="B49" s="281"/>
      <c r="C49" s="292"/>
      <c r="D49" s="293"/>
      <c r="E49" s="293"/>
      <c r="F49" s="293"/>
      <c r="G49" s="294"/>
    </row>
    <row r="50" spans="2:7" x14ac:dyDescent="0.2">
      <c r="B50" s="25"/>
      <c r="C50" s="11"/>
      <c r="D50" s="11"/>
      <c r="E50" s="11"/>
      <c r="F50" s="11"/>
      <c r="G50" s="11"/>
    </row>
    <row r="51" spans="2:7" x14ac:dyDescent="0.2">
      <c r="D51" s="3"/>
      <c r="E51" s="3"/>
    </row>
  </sheetData>
  <sheetProtection password="9C31" sheet="1" objects="1" scenarios="1"/>
  <mergeCells count="26">
    <mergeCell ref="C46:G49"/>
    <mergeCell ref="B46:B49"/>
    <mergeCell ref="E35:G35"/>
    <mergeCell ref="C45:G45"/>
    <mergeCell ref="B9:G11"/>
    <mergeCell ref="C13:G13"/>
    <mergeCell ref="C29:G29"/>
    <mergeCell ref="C31:G31"/>
    <mergeCell ref="C33:G33"/>
    <mergeCell ref="C38:G38"/>
    <mergeCell ref="B39:B43"/>
    <mergeCell ref="C39:G43"/>
    <mergeCell ref="B23:B27"/>
    <mergeCell ref="C22:G22"/>
    <mergeCell ref="C23:G27"/>
    <mergeCell ref="E36:G36"/>
    <mergeCell ref="B29:B33"/>
    <mergeCell ref="C15:G15"/>
    <mergeCell ref="H15:H17"/>
    <mergeCell ref="H18:H20"/>
    <mergeCell ref="C16:G20"/>
    <mergeCell ref="B1:G1"/>
    <mergeCell ref="C3:E3"/>
    <mergeCell ref="C5:E5"/>
    <mergeCell ref="C7:E7"/>
    <mergeCell ref="B16:B20"/>
  </mergeCells>
  <phoneticPr fontId="3" type="noConversion"/>
  <pageMargins left="0.5" right="0.5" top="0.5" bottom="0.5" header="0.3" footer="0.3"/>
  <pageSetup orientation="portrait"/>
  <headerFooter alignWithMargins="0">
    <oddHeader>&amp;C&amp;K000000Chapter Journey to Excellence Workbook</oddHeader>
    <oddFooter>&amp;R&amp;K000000&amp;A</oddFooter>
  </headerFooter>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enableFormatConditionsCalculation="0"/>
  <dimension ref="A1:J97"/>
  <sheetViews>
    <sheetView showGridLines="0" workbookViewId="0">
      <selection activeCell="B1" sqref="B1:G1"/>
    </sheetView>
  </sheetViews>
  <sheetFormatPr defaultColWidth="8.85546875" defaultRowHeight="12.75" x14ac:dyDescent="0.2"/>
  <cols>
    <col min="1" max="1" width="7" style="55" customWidth="1"/>
    <col min="2" max="2" width="7.140625" style="55" customWidth="1"/>
    <col min="3" max="3" width="18.7109375" style="55" customWidth="1"/>
    <col min="4" max="4" width="9.7109375" style="55" customWidth="1"/>
    <col min="5" max="5" width="11.28515625" style="55" customWidth="1"/>
    <col min="6" max="6" width="9.85546875" style="55" customWidth="1"/>
    <col min="7" max="7" width="0.42578125" style="55" customWidth="1"/>
    <col min="8" max="8" width="10.7109375" style="139" customWidth="1"/>
    <col min="9" max="9" width="14.42578125" style="139" customWidth="1"/>
    <col min="10" max="10" width="10" style="55" customWidth="1"/>
    <col min="11" max="16384" width="8.85546875" style="55"/>
  </cols>
  <sheetData>
    <row r="1" spans="1:8" ht="27.75" customHeight="1" x14ac:dyDescent="0.2">
      <c r="A1" s="122">
        <v>7</v>
      </c>
      <c r="B1" s="241" t="s">
        <v>66</v>
      </c>
      <c r="C1" s="241"/>
      <c r="D1" s="241"/>
      <c r="E1" s="241"/>
      <c r="F1" s="241"/>
      <c r="G1" s="241"/>
      <c r="H1" s="241"/>
    </row>
    <row r="2" spans="1:8" x14ac:dyDescent="0.2">
      <c r="B2" s="123"/>
      <c r="C2" s="123"/>
      <c r="D2" s="123"/>
      <c r="E2" s="123"/>
      <c r="F2" s="123"/>
      <c r="G2" s="123"/>
      <c r="H2" s="130"/>
    </row>
    <row r="3" spans="1:8" ht="12.75" customHeight="1" x14ac:dyDescent="0.2">
      <c r="C3" s="324" t="s">
        <v>68</v>
      </c>
      <c r="D3" s="324"/>
      <c r="E3" s="324"/>
      <c r="F3" s="324" t="s">
        <v>2</v>
      </c>
      <c r="G3" s="140"/>
      <c r="H3" s="325">
        <v>25</v>
      </c>
    </row>
    <row r="4" spans="1:8" ht="12.75" customHeight="1" x14ac:dyDescent="0.2">
      <c r="C4" s="324"/>
      <c r="D4" s="324"/>
      <c r="E4" s="324"/>
      <c r="F4" s="324"/>
      <c r="G4" s="140"/>
      <c r="H4" s="325"/>
    </row>
    <row r="5" spans="1:8" x14ac:dyDescent="0.2">
      <c r="C5" s="125"/>
      <c r="D5" s="125"/>
      <c r="E5" s="125"/>
      <c r="F5" s="125"/>
      <c r="G5" s="125"/>
      <c r="H5" s="89"/>
    </row>
    <row r="6" spans="1:8" x14ac:dyDescent="0.2">
      <c r="C6" s="252" t="s">
        <v>110</v>
      </c>
      <c r="D6" s="252"/>
      <c r="E6" s="252"/>
      <c r="F6" s="124" t="s">
        <v>3</v>
      </c>
      <c r="G6" s="124"/>
      <c r="H6" s="52">
        <v>50</v>
      </c>
    </row>
    <row r="7" spans="1:8" x14ac:dyDescent="0.2">
      <c r="C7" s="125"/>
      <c r="D7" s="125"/>
      <c r="E7" s="125"/>
      <c r="F7" s="125"/>
      <c r="G7" s="125"/>
      <c r="H7" s="89"/>
    </row>
    <row r="8" spans="1:8" x14ac:dyDescent="0.2">
      <c r="C8" s="252" t="s">
        <v>100</v>
      </c>
      <c r="D8" s="252"/>
      <c r="E8" s="252"/>
      <c r="F8" s="124" t="s">
        <v>4</v>
      </c>
      <c r="G8" s="124"/>
      <c r="H8" s="52">
        <v>100</v>
      </c>
    </row>
    <row r="9" spans="1:8" x14ac:dyDescent="0.2">
      <c r="C9" s="126"/>
      <c r="D9" s="126"/>
      <c r="E9" s="126"/>
      <c r="F9" s="127"/>
      <c r="G9" s="127"/>
      <c r="H9" s="141"/>
    </row>
    <row r="10" spans="1:8" ht="12" customHeight="1" x14ac:dyDescent="0.2">
      <c r="B10" s="323" t="s">
        <v>67</v>
      </c>
      <c r="C10" s="323"/>
      <c r="D10" s="323"/>
      <c r="E10" s="323"/>
      <c r="F10" s="323"/>
      <c r="G10" s="323"/>
      <c r="H10" s="323"/>
    </row>
    <row r="11" spans="1:8" ht="12" customHeight="1" x14ac:dyDescent="0.2">
      <c r="B11" s="323"/>
      <c r="C11" s="323"/>
      <c r="D11" s="323"/>
      <c r="E11" s="323"/>
      <c r="F11" s="323"/>
      <c r="G11" s="323"/>
      <c r="H11" s="323"/>
    </row>
    <row r="12" spans="1:8" ht="12" customHeight="1" x14ac:dyDescent="0.2">
      <c r="B12" s="323"/>
      <c r="C12" s="323"/>
      <c r="D12" s="323"/>
      <c r="E12" s="323"/>
      <c r="F12" s="323"/>
      <c r="G12" s="323"/>
      <c r="H12" s="323"/>
    </row>
    <row r="13" spans="1:8" ht="12" customHeight="1" x14ac:dyDescent="0.2">
      <c r="B13" s="323"/>
      <c r="C13" s="323"/>
      <c r="D13" s="323"/>
      <c r="E13" s="323"/>
      <c r="F13" s="323"/>
      <c r="G13" s="323"/>
      <c r="H13" s="323"/>
    </row>
    <row r="14" spans="1:8" ht="12" customHeight="1" x14ac:dyDescent="0.2">
      <c r="B14" s="323"/>
      <c r="C14" s="323"/>
      <c r="D14" s="323"/>
      <c r="E14" s="323"/>
      <c r="F14" s="323"/>
      <c r="G14" s="323"/>
      <c r="H14" s="323"/>
    </row>
    <row r="15" spans="1:8" ht="12" customHeight="1" x14ac:dyDescent="0.2">
      <c r="B15" s="142"/>
      <c r="C15" s="142"/>
      <c r="D15" s="142"/>
      <c r="E15" s="142"/>
      <c r="F15" s="142"/>
      <c r="G15" s="142"/>
      <c r="H15" s="143"/>
    </row>
    <row r="16" spans="1:8" ht="22.5" customHeight="1" x14ac:dyDescent="0.2">
      <c r="B16" s="317" t="s">
        <v>26</v>
      </c>
      <c r="C16" s="319" t="str">
        <f>"What was the chapter's total membership at the end of "&amp;HIDE!B34&amp;"?"</f>
        <v>What was the chapter's total membership at the end of 2013?</v>
      </c>
      <c r="D16" s="320"/>
      <c r="E16" s="320"/>
      <c r="F16" s="320"/>
      <c r="G16" s="144"/>
      <c r="H16" s="318">
        <f>Worksheet!B20</f>
        <v>0</v>
      </c>
    </row>
    <row r="17" spans="1:10" ht="22.5" customHeight="1" x14ac:dyDescent="0.2">
      <c r="B17" s="317"/>
      <c r="C17" s="319"/>
      <c r="D17" s="320"/>
      <c r="E17" s="320"/>
      <c r="F17" s="320"/>
      <c r="G17" s="144"/>
      <c r="H17" s="318"/>
    </row>
    <row r="18" spans="1:10" ht="22.5" customHeight="1" x14ac:dyDescent="0.2">
      <c r="B18" s="317"/>
      <c r="C18" s="319"/>
      <c r="D18" s="320"/>
      <c r="E18" s="320"/>
      <c r="F18" s="320"/>
      <c r="G18" s="144"/>
      <c r="H18" s="318"/>
    </row>
    <row r="19" spans="1:10" ht="15" customHeight="1" x14ac:dyDescent="0.2">
      <c r="B19" s="145"/>
      <c r="C19" s="144"/>
      <c r="D19" s="144"/>
      <c r="E19" s="144"/>
      <c r="F19" s="144"/>
      <c r="G19" s="144"/>
      <c r="H19" s="146"/>
    </row>
    <row r="20" spans="1:10" s="122" customFormat="1" ht="60" x14ac:dyDescent="0.2">
      <c r="A20" s="147"/>
      <c r="B20" s="147"/>
      <c r="C20" s="148" t="s">
        <v>99</v>
      </c>
      <c r="D20" s="147" t="str">
        <f>"Attendance in "&amp;HIDE!B34</f>
        <v>Attendance in 2013</v>
      </c>
      <c r="E20" s="147" t="str">
        <f>"Goal for "&amp;HIDE!B33</f>
        <v>Goal for 2014</v>
      </c>
      <c r="F20" s="147" t="str">
        <f>"Actual Attendance in "&amp;HIDE!B33</f>
        <v>Actual Attendance in 2014</v>
      </c>
      <c r="G20" s="147"/>
      <c r="H20" s="122" t="s">
        <v>81</v>
      </c>
      <c r="I20" s="122" t="s">
        <v>245</v>
      </c>
    </row>
    <row r="21" spans="1:10" ht="25.5" customHeight="1" x14ac:dyDescent="0.2">
      <c r="A21" s="266" t="s">
        <v>69</v>
      </c>
      <c r="B21" s="149" t="s">
        <v>70</v>
      </c>
      <c r="C21" s="219"/>
      <c r="D21" s="150"/>
      <c r="E21" s="150"/>
      <c r="F21" s="150"/>
      <c r="G21" s="117"/>
      <c r="H21" s="76" t="str">
        <f>IF(AND(C21="",E21&lt;&gt;""),"Insert Event Name",IF(AND(C21&lt;&gt;"",OR(E21=0,E21="")),"NEEDS GOAL",IF(AND(C21="",E21=""),"","Goal Set.")))</f>
        <v/>
      </c>
      <c r="I21" s="77" t="str">
        <f>IF(AND(C21&lt;&gt;"",E21&gt;0,F21&gt;0,F21=E21),"Goal Met.",IF(AND(C21&lt;&gt;"",E21&gt;0,F21&gt;0,F21&lt;E21),"Goal Not Met.",IF(AND(C21&lt;&gt;"",E21&gt;0,F21&gt;0,F21&gt;=E21),"Goal Exceeded by "&amp;ROUND(((((F21-E21)/E21))*100), 2)&amp;"%.",IF(AND(C21&lt;&gt;"",E21&gt;0),"NEEDS RESULT",""))))</f>
        <v/>
      </c>
      <c r="J21" s="151"/>
    </row>
    <row r="22" spans="1:10" ht="25.5" customHeight="1" x14ac:dyDescent="0.2">
      <c r="A22" s="267"/>
      <c r="B22" s="149" t="s">
        <v>71</v>
      </c>
      <c r="C22" s="219"/>
      <c r="D22" s="150"/>
      <c r="E22" s="150"/>
      <c r="F22" s="150"/>
      <c r="G22" s="117"/>
      <c r="H22" s="76" t="str">
        <f t="shared" ref="H22:H31" si="0">IF(AND(C22="",E22&lt;&gt;""),"Insert Event Name",IF(AND(C22&lt;&gt;"",OR(E22=0,E22="")),"NEEDS GOAL",IF(AND(C22="",E22=""),"","Goal Set.")))</f>
        <v/>
      </c>
      <c r="I22" s="77" t="str">
        <f t="shared" ref="I22:I31" si="1">IF(AND(C22&lt;&gt;"",E22&gt;0,F22&gt;0,F22=E22),"Goal Met.",IF(AND(C22&lt;&gt;"",E22&gt;0,F22&gt;0,F22&lt;E22),"Goal Not Met.",IF(AND(C22&lt;&gt;"",E22&gt;0,F22&gt;0,F22&gt;E22),"Goal Exceeded by "&amp;ROUND(((((F22-E22)/E22))*100), 2)&amp;"%.",IF(AND(C22&lt;&gt;"",E22&gt;0),"NEEDS RESULT",""))))</f>
        <v/>
      </c>
    </row>
    <row r="23" spans="1:10" ht="25.5" customHeight="1" x14ac:dyDescent="0.2">
      <c r="A23" s="267"/>
      <c r="B23" s="149" t="s">
        <v>72</v>
      </c>
      <c r="C23" s="219"/>
      <c r="D23" s="150"/>
      <c r="E23" s="150"/>
      <c r="F23" s="150"/>
      <c r="G23" s="117"/>
      <c r="H23" s="76" t="str">
        <f t="shared" si="0"/>
        <v/>
      </c>
      <c r="I23" s="77" t="str">
        <f t="shared" si="1"/>
        <v/>
      </c>
    </row>
    <row r="24" spans="1:10" ht="25.5" customHeight="1" x14ac:dyDescent="0.2">
      <c r="A24" s="267"/>
      <c r="B24" s="149" t="s">
        <v>73</v>
      </c>
      <c r="C24" s="219"/>
      <c r="D24" s="150"/>
      <c r="E24" s="150"/>
      <c r="F24" s="150"/>
      <c r="G24" s="117"/>
      <c r="H24" s="76" t="str">
        <f t="shared" si="0"/>
        <v/>
      </c>
      <c r="I24" s="77" t="str">
        <f t="shared" si="1"/>
        <v/>
      </c>
    </row>
    <row r="25" spans="1:10" ht="25.5" customHeight="1" x14ac:dyDescent="0.2">
      <c r="A25" s="268"/>
      <c r="B25" s="149" t="s">
        <v>74</v>
      </c>
      <c r="C25" s="219"/>
      <c r="D25" s="150"/>
      <c r="E25" s="150"/>
      <c r="F25" s="150"/>
      <c r="G25" s="117"/>
      <c r="H25" s="76" t="str">
        <f t="shared" si="0"/>
        <v/>
      </c>
      <c r="I25" s="77" t="str">
        <f t="shared" si="1"/>
        <v/>
      </c>
    </row>
    <row r="26" spans="1:10" ht="2.25" customHeight="1" x14ac:dyDescent="0.2">
      <c r="A26" s="152"/>
      <c r="B26" s="149"/>
      <c r="C26" s="220"/>
      <c r="D26" s="153"/>
      <c r="E26" s="147"/>
      <c r="F26" s="117"/>
      <c r="G26" s="117"/>
      <c r="H26" s="84" t="str">
        <f t="shared" si="0"/>
        <v/>
      </c>
      <c r="I26" s="85" t="str">
        <f t="shared" si="1"/>
        <v/>
      </c>
    </row>
    <row r="27" spans="1:10" ht="25.5" customHeight="1" x14ac:dyDescent="0.2">
      <c r="A27" s="321" t="s">
        <v>75</v>
      </c>
      <c r="B27" s="149" t="s">
        <v>70</v>
      </c>
      <c r="C27" s="219"/>
      <c r="D27" s="150"/>
      <c r="E27" s="150"/>
      <c r="F27" s="150"/>
      <c r="G27" s="117"/>
      <c r="H27" s="76" t="str">
        <f t="shared" si="0"/>
        <v/>
      </c>
      <c r="I27" s="77" t="str">
        <f t="shared" si="1"/>
        <v/>
      </c>
    </row>
    <row r="28" spans="1:10" ht="25.5" customHeight="1" x14ac:dyDescent="0.2">
      <c r="A28" s="322"/>
      <c r="B28" s="149" t="s">
        <v>71</v>
      </c>
      <c r="C28" s="219"/>
      <c r="D28" s="150"/>
      <c r="E28" s="150"/>
      <c r="F28" s="150"/>
      <c r="G28" s="117"/>
      <c r="H28" s="76" t="str">
        <f t="shared" si="0"/>
        <v/>
      </c>
      <c r="I28" s="77" t="str">
        <f t="shared" si="1"/>
        <v/>
      </c>
    </row>
    <row r="29" spans="1:10" ht="2.25" customHeight="1" x14ac:dyDescent="0.2">
      <c r="A29" s="154"/>
      <c r="B29" s="149"/>
      <c r="C29" s="220"/>
      <c r="D29" s="153"/>
      <c r="E29" s="147"/>
      <c r="F29" s="147"/>
      <c r="G29" s="117"/>
      <c r="H29" s="84" t="str">
        <f t="shared" si="0"/>
        <v/>
      </c>
      <c r="I29" s="85" t="str">
        <f t="shared" si="1"/>
        <v/>
      </c>
    </row>
    <row r="30" spans="1:10" ht="25.5" customHeight="1" x14ac:dyDescent="0.2">
      <c r="A30" s="321" t="s">
        <v>76</v>
      </c>
      <c r="B30" s="149" t="s">
        <v>70</v>
      </c>
      <c r="C30" s="219"/>
      <c r="D30" s="150"/>
      <c r="E30" s="150"/>
      <c r="F30" s="150"/>
      <c r="G30" s="117"/>
      <c r="H30" s="76" t="str">
        <f t="shared" si="0"/>
        <v/>
      </c>
      <c r="I30" s="77" t="str">
        <f t="shared" si="1"/>
        <v/>
      </c>
    </row>
    <row r="31" spans="1:10" ht="25.5" customHeight="1" x14ac:dyDescent="0.2">
      <c r="A31" s="322"/>
      <c r="B31" s="149" t="s">
        <v>71</v>
      </c>
      <c r="C31" s="219"/>
      <c r="D31" s="150"/>
      <c r="E31" s="150"/>
      <c r="F31" s="150"/>
      <c r="G31" s="117"/>
      <c r="H31" s="76" t="str">
        <f t="shared" si="0"/>
        <v/>
      </c>
      <c r="I31" s="77" t="str">
        <f t="shared" si="1"/>
        <v/>
      </c>
    </row>
    <row r="32" spans="1:10" s="157" customFormat="1" ht="2.25" customHeight="1" x14ac:dyDescent="0.2">
      <c r="A32" s="155"/>
      <c r="B32" s="156"/>
      <c r="C32" s="116"/>
      <c r="D32" s="117"/>
      <c r="E32" s="117"/>
      <c r="F32" s="117"/>
      <c r="G32" s="117"/>
      <c r="H32" s="84"/>
      <c r="I32" s="85"/>
    </row>
    <row r="33" spans="1:9" ht="30" customHeight="1" x14ac:dyDescent="0.2">
      <c r="A33" s="142"/>
      <c r="B33" s="149"/>
      <c r="C33" s="75" t="s">
        <v>246</v>
      </c>
      <c r="D33" s="158" t="str">
        <f>IF(SUM(D21:D31)&gt;0,ROUND(AVERAGE(D21:D31),2),"-")</f>
        <v>-</v>
      </c>
      <c r="E33" s="158" t="str">
        <f t="shared" ref="E33:F33" si="2">IF(SUM(E21:E31)&gt;0,ROUND(AVERAGE(E21:E31),2),"-")</f>
        <v>-</v>
      </c>
      <c r="F33" s="158" t="str">
        <f t="shared" si="2"/>
        <v>-</v>
      </c>
      <c r="G33" s="117"/>
      <c r="H33" s="158" t="str">
        <f>IF(COUNTIF(H21:H31,"NEEDS GOAL")&gt;=1,"Goal Needed",IF(COUNTIF(H21:H31,"Goal Set.")&gt;=1,"Goals Set.","-"))</f>
        <v>-</v>
      </c>
      <c r="I33" s="78" t="str">
        <f>IF(H33="-","-",IF(COUNTIF(I21:I31,"Needs Result")&gt;=1,"Result Needed.",IF(H33="Goal Needed","Goal Needed",IF(AND(H33="Goals Set.",AVERAGE(HIDE!G21:G31)=0),"Goals Met.",IF(AND(H33="Goals Set.",AVERAGE(HIDE!G21:G31)&gt;0),"Goal Exceeded by "&amp;ROUND(AVERAGE(HIDE!G21:G31),2)&amp;"%.","-")))))</f>
        <v>-</v>
      </c>
    </row>
    <row r="34" spans="1:9" ht="28.5" customHeight="1" x14ac:dyDescent="0.2">
      <c r="A34" s="142"/>
      <c r="B34" s="149"/>
      <c r="C34" s="142"/>
      <c r="D34" s="142"/>
      <c r="E34" s="142"/>
      <c r="F34" s="142"/>
      <c r="G34" s="142"/>
      <c r="H34" s="122" t="s">
        <v>247</v>
      </c>
      <c r="I34" s="75" t="str">
        <f>IF(H33="-","-",IF(H33="Goal Needed","NONE - Goal Needed",IF(I33="Result Needed.","NONE - Result Needed",IF(I33="Did Not Meet Goal","-",IF(AVERAGE(HIDE!G21:G31)&gt;=20,"GOLD",IF(AVERAGE(HIDE!G21:G31)&gt;=10,"SILVER",IF(AVERAGE(HIDE!G21:G31)&gt;=0,"BRONZE","None")))))))</f>
        <v>-</v>
      </c>
    </row>
    <row r="35" spans="1:9" ht="12" customHeight="1" x14ac:dyDescent="0.2">
      <c r="A35" s="142"/>
      <c r="B35" s="149"/>
      <c r="C35" s="255" t="s">
        <v>82</v>
      </c>
      <c r="D35" s="255"/>
      <c r="E35" s="255"/>
      <c r="F35" s="255"/>
      <c r="G35" s="255"/>
      <c r="H35" s="255"/>
    </row>
    <row r="36" spans="1:9" ht="12.75" customHeight="1" x14ac:dyDescent="0.2">
      <c r="A36" s="142"/>
      <c r="B36" s="254" t="s">
        <v>22</v>
      </c>
      <c r="C36" s="243"/>
      <c r="D36" s="244"/>
      <c r="E36" s="244"/>
      <c r="F36" s="244"/>
      <c r="G36" s="244"/>
      <c r="H36" s="245"/>
    </row>
    <row r="37" spans="1:9" ht="12.75" customHeight="1" x14ac:dyDescent="0.2">
      <c r="A37" s="142"/>
      <c r="B37" s="254"/>
      <c r="C37" s="246"/>
      <c r="D37" s="247"/>
      <c r="E37" s="247"/>
      <c r="F37" s="247"/>
      <c r="G37" s="247"/>
      <c r="H37" s="248"/>
    </row>
    <row r="38" spans="1:9" ht="12.75" customHeight="1" x14ac:dyDescent="0.2">
      <c r="A38" s="142"/>
      <c r="B38" s="254"/>
      <c r="C38" s="246"/>
      <c r="D38" s="247"/>
      <c r="E38" s="247"/>
      <c r="F38" s="247"/>
      <c r="G38" s="247"/>
      <c r="H38" s="248"/>
    </row>
    <row r="39" spans="1:9" ht="12.75" customHeight="1" x14ac:dyDescent="0.2">
      <c r="A39" s="142"/>
      <c r="B39" s="254"/>
      <c r="C39" s="249"/>
      <c r="D39" s="250"/>
      <c r="E39" s="250"/>
      <c r="F39" s="250"/>
      <c r="G39" s="250"/>
      <c r="H39" s="251"/>
    </row>
    <row r="40" spans="1:9" ht="12.75" customHeight="1" x14ac:dyDescent="0.2">
      <c r="A40" s="159"/>
      <c r="B40" s="145"/>
      <c r="C40" s="160"/>
      <c r="D40" s="160"/>
      <c r="E40" s="160"/>
      <c r="F40" s="160"/>
      <c r="G40" s="160"/>
      <c r="H40" s="161"/>
      <c r="I40" s="161"/>
    </row>
    <row r="41" spans="1:9" ht="12" customHeight="1" x14ac:dyDescent="0.2">
      <c r="A41" s="160"/>
      <c r="B41" s="159"/>
      <c r="C41" s="162"/>
      <c r="D41" s="159"/>
      <c r="E41" s="159"/>
      <c r="F41" s="159"/>
      <c r="G41" s="159"/>
      <c r="H41" s="163"/>
      <c r="I41" s="161"/>
    </row>
    <row r="42" spans="1:9" ht="12" customHeight="1" x14ac:dyDescent="0.2">
      <c r="A42" s="160"/>
      <c r="B42" s="160"/>
      <c r="C42" s="160"/>
      <c r="D42" s="160"/>
      <c r="E42" s="160"/>
      <c r="F42" s="160"/>
      <c r="G42" s="160"/>
      <c r="H42" s="160"/>
      <c r="I42" s="160"/>
    </row>
    <row r="43" spans="1:9" ht="12" customHeight="1" x14ac:dyDescent="0.2">
      <c r="H43" s="55"/>
      <c r="I43" s="55"/>
    </row>
    <row r="44" spans="1:9" ht="12" customHeight="1" x14ac:dyDescent="0.2">
      <c r="H44" s="55"/>
      <c r="I44" s="55"/>
    </row>
    <row r="45" spans="1:9" ht="12" customHeight="1" x14ac:dyDescent="0.2">
      <c r="H45" s="55"/>
      <c r="I45" s="55"/>
    </row>
    <row r="46" spans="1:9" ht="12" customHeight="1" x14ac:dyDescent="0.2">
      <c r="H46" s="55"/>
      <c r="I46" s="55"/>
    </row>
    <row r="47" spans="1:9" ht="12" customHeight="1" x14ac:dyDescent="0.2">
      <c r="H47" s="55"/>
      <c r="I47" s="55"/>
    </row>
    <row r="48" spans="1:9" ht="12" customHeight="1" x14ac:dyDescent="0.2">
      <c r="H48" s="55"/>
      <c r="I48" s="55"/>
    </row>
    <row r="49" spans="8:9" ht="12" customHeight="1" x14ac:dyDescent="0.2">
      <c r="H49" s="55"/>
      <c r="I49" s="55"/>
    </row>
    <row r="50" spans="8:9" ht="12" customHeight="1" x14ac:dyDescent="0.2">
      <c r="H50" s="55"/>
      <c r="I50" s="55"/>
    </row>
    <row r="51" spans="8:9" ht="12" customHeight="1" x14ac:dyDescent="0.2">
      <c r="H51" s="55"/>
      <c r="I51" s="55"/>
    </row>
    <row r="52" spans="8:9" ht="12" customHeight="1" x14ac:dyDescent="0.2">
      <c r="H52" s="55"/>
      <c r="I52" s="55"/>
    </row>
    <row r="53" spans="8:9" ht="12" customHeight="1" x14ac:dyDescent="0.2">
      <c r="H53" s="55"/>
      <c r="I53" s="55"/>
    </row>
    <row r="54" spans="8:9" ht="12" customHeight="1" x14ac:dyDescent="0.2">
      <c r="H54" s="55"/>
      <c r="I54" s="55"/>
    </row>
    <row r="55" spans="8:9" ht="12" customHeight="1" x14ac:dyDescent="0.2">
      <c r="H55" s="55"/>
      <c r="I55" s="55"/>
    </row>
    <row r="56" spans="8:9" ht="12" customHeight="1" x14ac:dyDescent="0.2">
      <c r="H56" s="55"/>
      <c r="I56" s="55"/>
    </row>
    <row r="57" spans="8:9" ht="12" customHeight="1" x14ac:dyDescent="0.2">
      <c r="H57" s="55"/>
      <c r="I57" s="55"/>
    </row>
    <row r="58" spans="8:9" ht="12" customHeight="1" x14ac:dyDescent="0.2">
      <c r="H58" s="55"/>
      <c r="I58" s="55"/>
    </row>
    <row r="59" spans="8:9" ht="12" customHeight="1" x14ac:dyDescent="0.2">
      <c r="H59" s="55"/>
      <c r="I59" s="55"/>
    </row>
    <row r="60" spans="8:9" ht="12" customHeight="1" x14ac:dyDescent="0.2">
      <c r="H60" s="55"/>
      <c r="I60" s="55"/>
    </row>
    <row r="61" spans="8:9" x14ac:dyDescent="0.2">
      <c r="H61" s="55"/>
      <c r="I61" s="55"/>
    </row>
    <row r="62" spans="8:9" ht="12.75" customHeight="1" x14ac:dyDescent="0.2">
      <c r="H62" s="55"/>
      <c r="I62" s="55"/>
    </row>
    <row r="63" spans="8:9" x14ac:dyDescent="0.2">
      <c r="H63" s="55"/>
      <c r="I63" s="55"/>
    </row>
    <row r="64" spans="8:9" x14ac:dyDescent="0.2">
      <c r="H64" s="55"/>
      <c r="I64" s="55"/>
    </row>
    <row r="65" spans="8:9" ht="9.75" customHeight="1" x14ac:dyDescent="0.2">
      <c r="H65" s="55"/>
      <c r="I65" s="55"/>
    </row>
    <row r="66" spans="8:9" ht="12.75" customHeight="1" x14ac:dyDescent="0.2">
      <c r="H66" s="55"/>
      <c r="I66" s="55"/>
    </row>
    <row r="67" spans="8:9" ht="12.75" customHeight="1" x14ac:dyDescent="0.2">
      <c r="H67" s="55"/>
      <c r="I67" s="55"/>
    </row>
    <row r="68" spans="8:9" ht="12.75" customHeight="1" x14ac:dyDescent="0.2">
      <c r="H68" s="55"/>
      <c r="I68" s="55"/>
    </row>
    <row r="69" spans="8:9" ht="12.75" customHeight="1" x14ac:dyDescent="0.2">
      <c r="H69" s="55"/>
      <c r="I69" s="55"/>
    </row>
    <row r="70" spans="8:9" ht="12.75" customHeight="1" x14ac:dyDescent="0.2">
      <c r="H70" s="55"/>
      <c r="I70" s="55"/>
    </row>
    <row r="71" spans="8:9" ht="12.75" customHeight="1" x14ac:dyDescent="0.2">
      <c r="H71" s="55"/>
      <c r="I71" s="55"/>
    </row>
    <row r="72" spans="8:9" ht="12.75" customHeight="1" x14ac:dyDescent="0.2">
      <c r="H72" s="55"/>
      <c r="I72" s="55"/>
    </row>
    <row r="73" spans="8:9" ht="15.75" customHeight="1" x14ac:dyDescent="0.2">
      <c r="H73" s="55"/>
      <c r="I73" s="55"/>
    </row>
    <row r="74" spans="8:9" ht="12.75" customHeight="1" x14ac:dyDescent="0.2">
      <c r="H74" s="55"/>
      <c r="I74" s="55"/>
    </row>
    <row r="75" spans="8:9" ht="12.75" customHeight="1" x14ac:dyDescent="0.2">
      <c r="H75" s="55"/>
      <c r="I75" s="55"/>
    </row>
    <row r="76" spans="8:9" ht="12.75" customHeight="1" x14ac:dyDescent="0.2">
      <c r="H76" s="55"/>
      <c r="I76" s="55"/>
    </row>
    <row r="77" spans="8:9" ht="12.75" customHeight="1" x14ac:dyDescent="0.2">
      <c r="H77" s="55"/>
      <c r="I77" s="55"/>
    </row>
    <row r="78" spans="8:9" ht="12.75" customHeight="1" x14ac:dyDescent="0.2">
      <c r="H78" s="55"/>
      <c r="I78" s="55"/>
    </row>
    <row r="79" spans="8:9" x14ac:dyDescent="0.2">
      <c r="H79" s="55"/>
      <c r="I79" s="55"/>
    </row>
    <row r="80" spans="8:9" x14ac:dyDescent="0.2">
      <c r="H80" s="55"/>
      <c r="I80" s="55"/>
    </row>
    <row r="81" spans="8:9" x14ac:dyDescent="0.2">
      <c r="H81" s="55"/>
      <c r="I81" s="55"/>
    </row>
    <row r="82" spans="8:9" x14ac:dyDescent="0.2">
      <c r="H82" s="55"/>
      <c r="I82" s="55"/>
    </row>
    <row r="83" spans="8:9" x14ac:dyDescent="0.2">
      <c r="H83" s="55"/>
      <c r="I83" s="55"/>
    </row>
    <row r="84" spans="8:9" x14ac:dyDescent="0.2">
      <c r="H84" s="55"/>
      <c r="I84" s="55"/>
    </row>
    <row r="85" spans="8:9" x14ac:dyDescent="0.2">
      <c r="H85" s="55"/>
      <c r="I85" s="55"/>
    </row>
    <row r="86" spans="8:9" x14ac:dyDescent="0.2">
      <c r="H86" s="55"/>
      <c r="I86" s="55"/>
    </row>
    <row r="87" spans="8:9" x14ac:dyDescent="0.2">
      <c r="H87" s="55"/>
      <c r="I87" s="55"/>
    </row>
    <row r="88" spans="8:9" x14ac:dyDescent="0.2">
      <c r="H88" s="55"/>
      <c r="I88" s="55"/>
    </row>
    <row r="89" spans="8:9" x14ac:dyDescent="0.2">
      <c r="H89" s="55"/>
      <c r="I89" s="55"/>
    </row>
    <row r="90" spans="8:9" x14ac:dyDescent="0.2">
      <c r="H90" s="55"/>
      <c r="I90" s="55"/>
    </row>
    <row r="91" spans="8:9" ht="12.75" customHeight="1" x14ac:dyDescent="0.2">
      <c r="H91" s="55"/>
      <c r="I91" s="55"/>
    </row>
    <row r="92" spans="8:9" x14ac:dyDescent="0.2">
      <c r="H92" s="55"/>
      <c r="I92" s="55"/>
    </row>
    <row r="93" spans="8:9" x14ac:dyDescent="0.2">
      <c r="H93" s="55"/>
      <c r="I93" s="55"/>
    </row>
    <row r="94" spans="8:9" x14ac:dyDescent="0.2">
      <c r="H94" s="55"/>
      <c r="I94" s="55"/>
    </row>
    <row r="95" spans="8:9" x14ac:dyDescent="0.2">
      <c r="H95" s="55"/>
      <c r="I95" s="55"/>
    </row>
    <row r="96" spans="8:9" x14ac:dyDescent="0.2">
      <c r="H96" s="55"/>
      <c r="I96" s="55"/>
    </row>
    <row r="97" spans="8:9" x14ac:dyDescent="0.2">
      <c r="H97" s="55"/>
      <c r="I97" s="55"/>
    </row>
  </sheetData>
  <sheetProtection password="9C31" sheet="1" objects="1" scenarios="1"/>
  <mergeCells count="16">
    <mergeCell ref="A21:A25"/>
    <mergeCell ref="A27:A28"/>
    <mergeCell ref="A30:A31"/>
    <mergeCell ref="B1:H1"/>
    <mergeCell ref="C6:E6"/>
    <mergeCell ref="C8:E8"/>
    <mergeCell ref="B10:H14"/>
    <mergeCell ref="C3:E4"/>
    <mergeCell ref="F3:F4"/>
    <mergeCell ref="H3:H4"/>
    <mergeCell ref="B36:B39"/>
    <mergeCell ref="C35:H35"/>
    <mergeCell ref="C36:H39"/>
    <mergeCell ref="B16:B18"/>
    <mergeCell ref="H16:H18"/>
    <mergeCell ref="C16:F18"/>
  </mergeCells>
  <phoneticPr fontId="3" type="noConversion"/>
  <dataValidations count="1">
    <dataValidation allowBlank="1" showInputMessage="1" sqref="D21:D32"/>
  </dataValidations>
  <pageMargins left="0.5" right="0.5" top="0.5" bottom="0.5" header="0.3" footer="0.3"/>
  <pageSetup orientation="portrait"/>
  <headerFooter alignWithMargins="0">
    <oddHeader>&amp;C&amp;K000000Chapter Journey to Excellence Workbook</oddHeader>
    <oddFooter>&amp;R&amp;K000000&amp;A</oddFooter>
  </headerFooter>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enableFormatConditionsCalculation="0"/>
  <dimension ref="A1:H50"/>
  <sheetViews>
    <sheetView showGridLines="0" workbookViewId="0">
      <selection activeCell="B1" sqref="B1:G1"/>
    </sheetView>
  </sheetViews>
  <sheetFormatPr defaultColWidth="8.85546875" defaultRowHeight="12.75" x14ac:dyDescent="0.2"/>
  <cols>
    <col min="1" max="1" width="6.85546875" style="94" customWidth="1"/>
    <col min="2" max="2" width="5.7109375" style="94" bestFit="1" customWidth="1"/>
    <col min="3" max="3" width="5.7109375" style="94" customWidth="1"/>
    <col min="4" max="4" width="36.42578125" style="94" customWidth="1"/>
    <col min="5" max="5" width="11.28515625" style="94" customWidth="1"/>
    <col min="6" max="6" width="7.42578125" style="94" bestFit="1" customWidth="1"/>
    <col min="7" max="7" width="4" style="94" bestFit="1" customWidth="1"/>
    <col min="8" max="16384" width="8.85546875" style="94"/>
  </cols>
  <sheetData>
    <row r="1" spans="1:7" x14ac:dyDescent="0.2">
      <c r="A1" s="93">
        <v>8</v>
      </c>
      <c r="B1" s="326" t="s">
        <v>83</v>
      </c>
      <c r="C1" s="326"/>
      <c r="D1" s="326"/>
      <c r="E1" s="326"/>
      <c r="F1" s="326"/>
      <c r="G1" s="326"/>
    </row>
    <row r="2" spans="1:7" x14ac:dyDescent="0.2">
      <c r="B2" s="95"/>
      <c r="C2" s="95"/>
      <c r="D2" s="95"/>
      <c r="E2" s="95"/>
      <c r="F2" s="95"/>
      <c r="G2" s="95"/>
    </row>
    <row r="3" spans="1:7" ht="12.75" customHeight="1" x14ac:dyDescent="0.2">
      <c r="C3" s="327" t="s">
        <v>84</v>
      </c>
      <c r="D3" s="327"/>
      <c r="E3" s="327"/>
      <c r="F3" s="109" t="s">
        <v>2</v>
      </c>
      <c r="G3" s="96">
        <v>25</v>
      </c>
    </row>
    <row r="4" spans="1:7" x14ac:dyDescent="0.2">
      <c r="C4" s="97"/>
      <c r="D4" s="97"/>
      <c r="E4" s="97"/>
      <c r="F4" s="97"/>
      <c r="G4" s="97"/>
    </row>
    <row r="5" spans="1:7" x14ac:dyDescent="0.2">
      <c r="C5" s="327" t="s">
        <v>86</v>
      </c>
      <c r="D5" s="327"/>
      <c r="E5" s="327"/>
      <c r="F5" s="109" t="s">
        <v>3</v>
      </c>
      <c r="G5" s="96">
        <v>50</v>
      </c>
    </row>
    <row r="6" spans="1:7" x14ac:dyDescent="0.2">
      <c r="C6" s="97"/>
      <c r="D6" s="97"/>
      <c r="E6" s="97"/>
      <c r="F6" s="97"/>
      <c r="G6" s="97"/>
    </row>
    <row r="7" spans="1:7" ht="12.75" customHeight="1" x14ac:dyDescent="0.2">
      <c r="C7" s="327" t="s">
        <v>85</v>
      </c>
      <c r="D7" s="327"/>
      <c r="E7" s="327"/>
      <c r="F7" s="329" t="s">
        <v>4</v>
      </c>
      <c r="G7" s="330">
        <v>100</v>
      </c>
    </row>
    <row r="8" spans="1:7" x14ac:dyDescent="0.2">
      <c r="C8" s="327"/>
      <c r="D8" s="327"/>
      <c r="E8" s="327"/>
      <c r="F8" s="329"/>
      <c r="G8" s="330"/>
    </row>
    <row r="9" spans="1:7" x14ac:dyDescent="0.2">
      <c r="C9" s="95"/>
      <c r="D9" s="95"/>
      <c r="E9" s="95"/>
      <c r="F9" s="98"/>
      <c r="G9" s="98"/>
    </row>
    <row r="10" spans="1:7" ht="12.75" customHeight="1" x14ac:dyDescent="0.2">
      <c r="C10" s="331" t="s">
        <v>118</v>
      </c>
      <c r="D10" s="331"/>
      <c r="E10" s="331"/>
      <c r="F10" s="331"/>
      <c r="G10" s="331"/>
    </row>
    <row r="11" spans="1:7" ht="12.75" customHeight="1" x14ac:dyDescent="0.2">
      <c r="C11" s="331"/>
      <c r="D11" s="331"/>
      <c r="E11" s="331"/>
      <c r="F11" s="331"/>
      <c r="G11" s="331"/>
    </row>
    <row r="12" spans="1:7" ht="12.75" customHeight="1" x14ac:dyDescent="0.2">
      <c r="C12" s="331"/>
      <c r="D12" s="331"/>
      <c r="E12" s="331"/>
      <c r="F12" s="331"/>
      <c r="G12" s="331"/>
    </row>
    <row r="13" spans="1:7" ht="12.75" customHeight="1" x14ac:dyDescent="0.2">
      <c r="C13" s="332"/>
      <c r="D13" s="332"/>
      <c r="E13" s="332"/>
      <c r="F13" s="332"/>
      <c r="G13" s="332"/>
    </row>
    <row r="14" spans="1:7" x14ac:dyDescent="0.2">
      <c r="B14" s="328" t="s">
        <v>87</v>
      </c>
      <c r="C14" s="286"/>
      <c r="D14" s="287"/>
      <c r="E14" s="287"/>
      <c r="F14" s="287"/>
      <c r="G14" s="288"/>
    </row>
    <row r="15" spans="1:7" x14ac:dyDescent="0.2">
      <c r="B15" s="328"/>
      <c r="C15" s="289"/>
      <c r="D15" s="290"/>
      <c r="E15" s="290"/>
      <c r="F15" s="290"/>
      <c r="G15" s="291"/>
    </row>
    <row r="16" spans="1:7" ht="9.75" customHeight="1" x14ac:dyDescent="0.2">
      <c r="B16" s="328"/>
      <c r="C16" s="289"/>
      <c r="D16" s="290"/>
      <c r="E16" s="290"/>
      <c r="F16" s="290"/>
      <c r="G16" s="291"/>
    </row>
    <row r="17" spans="2:8" ht="12.75" customHeight="1" x14ac:dyDescent="0.2">
      <c r="B17" s="328"/>
      <c r="C17" s="289"/>
      <c r="D17" s="290"/>
      <c r="E17" s="290"/>
      <c r="F17" s="290"/>
      <c r="G17" s="291"/>
    </row>
    <row r="18" spans="2:8" ht="12.75" customHeight="1" x14ac:dyDescent="0.2">
      <c r="B18" s="328"/>
      <c r="C18" s="292"/>
      <c r="D18" s="293"/>
      <c r="E18" s="293"/>
      <c r="F18" s="293"/>
      <c r="G18" s="294"/>
    </row>
    <row r="19" spans="2:8" ht="12.75" customHeight="1" x14ac:dyDescent="0.2">
      <c r="B19" s="110"/>
      <c r="C19" s="111"/>
      <c r="D19" s="111"/>
      <c r="E19" s="111"/>
      <c r="F19" s="111"/>
      <c r="G19" s="111"/>
    </row>
    <row r="20" spans="2:8" ht="12.75" customHeight="1" x14ac:dyDescent="0.2">
      <c r="B20" s="110"/>
      <c r="C20" s="331" t="s">
        <v>88</v>
      </c>
      <c r="D20" s="331"/>
      <c r="E20" s="331"/>
      <c r="F20" s="331"/>
      <c r="G20" s="331"/>
    </row>
    <row r="21" spans="2:8" ht="12.75" customHeight="1" x14ac:dyDescent="0.2">
      <c r="B21" s="328" t="s">
        <v>89</v>
      </c>
      <c r="C21" s="286"/>
      <c r="D21" s="287"/>
      <c r="E21" s="287"/>
      <c r="F21" s="287"/>
      <c r="G21" s="288"/>
    </row>
    <row r="22" spans="2:8" ht="12.75" customHeight="1" x14ac:dyDescent="0.2">
      <c r="B22" s="328"/>
      <c r="C22" s="289"/>
      <c r="D22" s="290"/>
      <c r="E22" s="290"/>
      <c r="F22" s="290"/>
      <c r="G22" s="291"/>
    </row>
    <row r="23" spans="2:8" ht="12.75" customHeight="1" x14ac:dyDescent="0.2">
      <c r="B23" s="328"/>
      <c r="C23" s="289"/>
      <c r="D23" s="290"/>
      <c r="E23" s="290"/>
      <c r="F23" s="290"/>
      <c r="G23" s="291"/>
    </row>
    <row r="24" spans="2:8" ht="12.75" customHeight="1" x14ac:dyDescent="0.2">
      <c r="B24" s="328"/>
      <c r="C24" s="289"/>
      <c r="D24" s="290"/>
      <c r="E24" s="290"/>
      <c r="F24" s="290"/>
      <c r="G24" s="291"/>
    </row>
    <row r="25" spans="2:8" ht="12.75" customHeight="1" x14ac:dyDescent="0.2">
      <c r="B25" s="328"/>
      <c r="C25" s="292"/>
      <c r="D25" s="293"/>
      <c r="E25" s="293"/>
      <c r="F25" s="293"/>
      <c r="G25" s="294"/>
    </row>
    <row r="26" spans="2:8" ht="12.75" customHeight="1" x14ac:dyDescent="0.2">
      <c r="B26" s="110"/>
      <c r="C26" s="111"/>
      <c r="D26" s="111"/>
      <c r="E26" s="111"/>
      <c r="F26" s="111"/>
      <c r="G26" s="111"/>
    </row>
    <row r="27" spans="2:8" ht="12.75" customHeight="1" x14ac:dyDescent="0.2">
      <c r="B27" s="333" t="s">
        <v>94</v>
      </c>
      <c r="C27" s="331" t="s">
        <v>90</v>
      </c>
      <c r="D27" s="331"/>
      <c r="E27" s="331"/>
      <c r="F27" s="331"/>
      <c r="G27" s="331"/>
      <c r="H27" s="56"/>
    </row>
    <row r="28" spans="2:8" ht="12.75" customHeight="1" x14ac:dyDescent="0.2">
      <c r="B28" s="334"/>
      <c r="C28" s="111"/>
      <c r="D28" s="111"/>
      <c r="E28" s="111"/>
      <c r="F28" s="111"/>
      <c r="G28" s="111"/>
      <c r="H28" s="108"/>
    </row>
    <row r="29" spans="2:8" ht="12.75" customHeight="1" x14ac:dyDescent="0.2">
      <c r="B29" s="334"/>
      <c r="C29" s="331" t="s">
        <v>91</v>
      </c>
      <c r="D29" s="331"/>
      <c r="E29" s="331"/>
      <c r="F29" s="331"/>
      <c r="G29" s="331"/>
      <c r="H29" s="56"/>
    </row>
    <row r="30" spans="2:8" ht="12.75" customHeight="1" x14ac:dyDescent="0.2">
      <c r="B30" s="334"/>
      <c r="C30" s="111"/>
      <c r="D30" s="111"/>
      <c r="E30" s="111"/>
      <c r="F30" s="111"/>
      <c r="G30" s="111"/>
      <c r="H30" s="108"/>
    </row>
    <row r="31" spans="2:8" ht="12.75" customHeight="1" x14ac:dyDescent="0.2">
      <c r="B31" s="334"/>
      <c r="C31" s="331" t="s">
        <v>92</v>
      </c>
      <c r="D31" s="331"/>
      <c r="E31" s="331"/>
      <c r="F31" s="331"/>
      <c r="G31" s="331"/>
      <c r="H31" s="56"/>
    </row>
    <row r="32" spans="2:8" ht="12.75" customHeight="1" x14ac:dyDescent="0.2">
      <c r="B32" s="334"/>
      <c r="C32" s="112"/>
      <c r="D32" s="112"/>
      <c r="E32" s="112"/>
      <c r="F32" s="112"/>
      <c r="G32" s="112"/>
      <c r="H32" s="108"/>
    </row>
    <row r="33" spans="2:8" ht="12.75" customHeight="1" x14ac:dyDescent="0.2">
      <c r="B33" s="335"/>
      <c r="C33" s="331" t="s">
        <v>93</v>
      </c>
      <c r="D33" s="331"/>
      <c r="E33" s="331"/>
      <c r="F33" s="331"/>
      <c r="G33" s="331"/>
      <c r="H33" s="56"/>
    </row>
    <row r="34" spans="2:8" ht="12.75" customHeight="1" x14ac:dyDescent="0.2">
      <c r="B34" s="110"/>
      <c r="C34" s="112"/>
      <c r="D34" s="112"/>
      <c r="E34" s="112"/>
      <c r="F34" s="112"/>
      <c r="G34" s="112"/>
    </row>
    <row r="35" spans="2:8" ht="12.75" customHeight="1" x14ac:dyDescent="0.2">
      <c r="B35" s="110"/>
      <c r="C35" s="331" t="s">
        <v>95</v>
      </c>
      <c r="D35" s="331"/>
      <c r="E35" s="331"/>
      <c r="F35" s="331"/>
      <c r="G35" s="331"/>
    </row>
    <row r="36" spans="2:8" ht="12.75" customHeight="1" x14ac:dyDescent="0.2">
      <c r="B36" s="110"/>
      <c r="C36" s="331"/>
      <c r="D36" s="331"/>
      <c r="E36" s="331"/>
      <c r="F36" s="331"/>
      <c r="G36" s="331"/>
    </row>
    <row r="37" spans="2:8" ht="12.75" customHeight="1" x14ac:dyDescent="0.2">
      <c r="B37" s="328" t="s">
        <v>97</v>
      </c>
      <c r="C37" s="336"/>
      <c r="D37" s="287"/>
      <c r="E37" s="287"/>
      <c r="F37" s="287"/>
      <c r="G37" s="288"/>
    </row>
    <row r="38" spans="2:8" ht="12.75" customHeight="1" x14ac:dyDescent="0.2">
      <c r="B38" s="328"/>
      <c r="C38" s="289"/>
      <c r="D38" s="290"/>
      <c r="E38" s="290"/>
      <c r="F38" s="290"/>
      <c r="G38" s="291"/>
    </row>
    <row r="39" spans="2:8" ht="12.75" customHeight="1" x14ac:dyDescent="0.2">
      <c r="B39" s="328"/>
      <c r="C39" s="289"/>
      <c r="D39" s="290"/>
      <c r="E39" s="290"/>
      <c r="F39" s="290"/>
      <c r="G39" s="291"/>
    </row>
    <row r="40" spans="2:8" ht="12.75" customHeight="1" x14ac:dyDescent="0.2">
      <c r="B40" s="328"/>
      <c r="C40" s="289"/>
      <c r="D40" s="290"/>
      <c r="E40" s="290"/>
      <c r="F40" s="290"/>
      <c r="G40" s="291"/>
    </row>
    <row r="41" spans="2:8" ht="12.75" customHeight="1" x14ac:dyDescent="0.2">
      <c r="B41" s="328"/>
      <c r="C41" s="292"/>
      <c r="D41" s="293"/>
      <c r="E41" s="293"/>
      <c r="F41" s="293"/>
      <c r="G41" s="294"/>
    </row>
    <row r="42" spans="2:8" ht="12.75" customHeight="1" x14ac:dyDescent="0.2">
      <c r="B42" s="110"/>
      <c r="C42" s="112"/>
      <c r="D42" s="112"/>
      <c r="E42" s="112"/>
      <c r="F42" s="112"/>
      <c r="G42" s="112"/>
    </row>
    <row r="43" spans="2:8" ht="12.75" customHeight="1" x14ac:dyDescent="0.2">
      <c r="B43" s="110"/>
      <c r="C43" s="331" t="s">
        <v>96</v>
      </c>
      <c r="D43" s="331"/>
      <c r="E43" s="331"/>
      <c r="F43" s="331"/>
      <c r="G43" s="331"/>
    </row>
    <row r="44" spans="2:8" ht="12.75" customHeight="1" x14ac:dyDescent="0.2">
      <c r="B44" s="110"/>
      <c r="C44" s="331"/>
      <c r="D44" s="331"/>
      <c r="E44" s="331"/>
      <c r="F44" s="331"/>
      <c r="G44" s="331"/>
    </row>
    <row r="45" spans="2:8" ht="12.75" customHeight="1" x14ac:dyDescent="0.2">
      <c r="B45" s="328" t="s">
        <v>22</v>
      </c>
      <c r="C45" s="337"/>
      <c r="D45" s="338"/>
      <c r="E45" s="338"/>
      <c r="F45" s="338"/>
      <c r="G45" s="339"/>
    </row>
    <row r="46" spans="2:8" ht="12.75" customHeight="1" x14ac:dyDescent="0.2">
      <c r="B46" s="328"/>
      <c r="C46" s="340"/>
      <c r="D46" s="341"/>
      <c r="E46" s="341"/>
      <c r="F46" s="341"/>
      <c r="G46" s="342"/>
    </row>
    <row r="47" spans="2:8" ht="12.75" customHeight="1" x14ac:dyDescent="0.2">
      <c r="B47" s="328"/>
      <c r="C47" s="340"/>
      <c r="D47" s="341"/>
      <c r="E47" s="341"/>
      <c r="F47" s="341"/>
      <c r="G47" s="342"/>
    </row>
    <row r="48" spans="2:8" ht="12.75" customHeight="1" x14ac:dyDescent="0.2">
      <c r="B48" s="328"/>
      <c r="C48" s="340"/>
      <c r="D48" s="341"/>
      <c r="E48" s="341"/>
      <c r="F48" s="341"/>
      <c r="G48" s="342"/>
    </row>
    <row r="49" spans="2:7" ht="12.75" customHeight="1" x14ac:dyDescent="0.2">
      <c r="B49" s="328"/>
      <c r="C49" s="343"/>
      <c r="D49" s="344"/>
      <c r="E49" s="344"/>
      <c r="F49" s="344"/>
      <c r="G49" s="345"/>
    </row>
    <row r="50" spans="2:7" ht="12.75" customHeight="1" x14ac:dyDescent="0.2">
      <c r="B50" s="110"/>
      <c r="C50" s="111"/>
      <c r="D50" s="111"/>
      <c r="E50" s="111"/>
      <c r="F50" s="111"/>
      <c r="G50" s="111"/>
    </row>
  </sheetData>
  <sheetProtection password="9C31" sheet="1" objects="1" scenarios="1"/>
  <mergeCells count="23">
    <mergeCell ref="B37:B41"/>
    <mergeCell ref="B45:B49"/>
    <mergeCell ref="C31:G31"/>
    <mergeCell ref="C33:G33"/>
    <mergeCell ref="B27:B33"/>
    <mergeCell ref="C35:G36"/>
    <mergeCell ref="C37:G41"/>
    <mergeCell ref="C43:G44"/>
    <mergeCell ref="C29:G29"/>
    <mergeCell ref="C27:G27"/>
    <mergeCell ref="C45:G49"/>
    <mergeCell ref="B1:G1"/>
    <mergeCell ref="C3:E3"/>
    <mergeCell ref="C5:E5"/>
    <mergeCell ref="C21:G25"/>
    <mergeCell ref="B14:B18"/>
    <mergeCell ref="C14:G18"/>
    <mergeCell ref="B21:B25"/>
    <mergeCell ref="C7:E8"/>
    <mergeCell ref="F7:F8"/>
    <mergeCell ref="G7:G8"/>
    <mergeCell ref="C10:G13"/>
    <mergeCell ref="C20:G20"/>
  </mergeCells>
  <phoneticPr fontId="3" type="noConversion"/>
  <pageMargins left="0.5" right="0.5" top="0.5" bottom="0.5" header="0.3" footer="0.3"/>
  <pageSetup orientation="portrait"/>
  <headerFooter alignWithMargins="0">
    <oddHeader>&amp;C&amp;K000000Chapter Journey to Excellence Workbook</oddHeader>
    <oddFooter>&amp;R&amp;K000000&amp;A</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errorTitle="Yes/No Only" error="Please use the drop-down menu in the cell to select either &quot;Yes&quot; or &quot;No.&quot;">
          <x14:formula1>
            <xm:f>HIDE!$A$1:$A$2</xm:f>
          </x14:formula1>
          <xm:sqref>H27 H29:H33</xm:sqref>
        </x14:dataValidation>
      </x14:dataValidations>
    </ex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enableFormatConditionsCalculation="0"/>
  <dimension ref="A1:I77"/>
  <sheetViews>
    <sheetView showGridLines="0" workbookViewId="0">
      <selection activeCell="B1" sqref="B1:G1"/>
    </sheetView>
  </sheetViews>
  <sheetFormatPr defaultColWidth="8.85546875" defaultRowHeight="12.75" x14ac:dyDescent="0.2"/>
  <cols>
    <col min="1" max="1" width="7" style="94" customWidth="1"/>
    <col min="2" max="2" width="12.7109375" style="94" customWidth="1"/>
    <col min="3" max="3" width="6.7109375" style="94" customWidth="1"/>
    <col min="4" max="4" width="9.7109375" style="94" customWidth="1"/>
    <col min="5" max="5" width="9.28515625" style="94" customWidth="1"/>
    <col min="6" max="6" width="11.28515625" style="94" customWidth="1"/>
    <col min="7" max="7" width="8.42578125" style="94" customWidth="1"/>
    <col min="8" max="8" width="11.28515625" style="100" customWidth="1"/>
    <col min="9" max="9" width="12.140625" style="100" customWidth="1"/>
    <col min="10" max="16384" width="8.85546875" style="94"/>
  </cols>
  <sheetData>
    <row r="1" spans="1:9" ht="27.75" customHeight="1" x14ac:dyDescent="0.2">
      <c r="A1" s="93">
        <v>9</v>
      </c>
      <c r="B1" s="348" t="s">
        <v>98</v>
      </c>
      <c r="C1" s="348"/>
      <c r="D1" s="348"/>
      <c r="E1" s="348"/>
      <c r="F1" s="348"/>
      <c r="G1" s="348"/>
      <c r="H1" s="348"/>
    </row>
    <row r="2" spans="1:9" x14ac:dyDescent="0.2">
      <c r="B2" s="95"/>
      <c r="C2" s="95"/>
      <c r="D2" s="95"/>
      <c r="E2" s="95"/>
      <c r="F2" s="95"/>
      <c r="G2" s="95"/>
      <c r="H2" s="99"/>
    </row>
    <row r="3" spans="1:9" s="100" customFormat="1" ht="12.75" customHeight="1" x14ac:dyDescent="0.2">
      <c r="A3" s="94"/>
      <c r="B3" s="327" t="s">
        <v>68</v>
      </c>
      <c r="C3" s="327"/>
      <c r="D3" s="327"/>
      <c r="E3" s="327"/>
      <c r="F3" s="327"/>
      <c r="G3" s="329" t="s">
        <v>2</v>
      </c>
      <c r="H3" s="330">
        <v>25</v>
      </c>
    </row>
    <row r="4" spans="1:9" s="100" customFormat="1" ht="12.75" customHeight="1" x14ac:dyDescent="0.2">
      <c r="A4" s="94"/>
      <c r="B4" s="327"/>
      <c r="C4" s="327"/>
      <c r="D4" s="327"/>
      <c r="E4" s="327"/>
      <c r="F4" s="327"/>
      <c r="G4" s="329"/>
      <c r="H4" s="330"/>
    </row>
    <row r="5" spans="1:9" s="100" customFormat="1" x14ac:dyDescent="0.2">
      <c r="A5" s="94"/>
      <c r="B5" s="97"/>
      <c r="C5" s="97"/>
      <c r="D5" s="97"/>
      <c r="E5" s="97"/>
      <c r="F5" s="97"/>
      <c r="G5" s="113"/>
      <c r="H5" s="101"/>
    </row>
    <row r="6" spans="1:9" s="100" customFormat="1" ht="12.75" customHeight="1" x14ac:dyDescent="0.2">
      <c r="A6" s="94"/>
      <c r="B6" s="327" t="s">
        <v>100</v>
      </c>
      <c r="C6" s="327"/>
      <c r="D6" s="327"/>
      <c r="E6" s="327"/>
      <c r="F6" s="327"/>
      <c r="G6" s="109" t="s">
        <v>3</v>
      </c>
      <c r="H6" s="102">
        <v>50</v>
      </c>
    </row>
    <row r="7" spans="1:9" s="100" customFormat="1" x14ac:dyDescent="0.2">
      <c r="A7" s="94"/>
      <c r="B7" s="97"/>
      <c r="C7" s="97"/>
      <c r="D7" s="97"/>
      <c r="E7" s="97"/>
      <c r="F7" s="97"/>
      <c r="G7" s="113"/>
      <c r="H7" s="101"/>
    </row>
    <row r="8" spans="1:9" s="100" customFormat="1" ht="12.75" customHeight="1" x14ac:dyDescent="0.2">
      <c r="A8" s="94"/>
      <c r="B8" s="327" t="s">
        <v>101</v>
      </c>
      <c r="C8" s="327"/>
      <c r="D8" s="327"/>
      <c r="E8" s="327"/>
      <c r="F8" s="327"/>
      <c r="G8" s="109" t="s">
        <v>4</v>
      </c>
      <c r="H8" s="102">
        <v>100</v>
      </c>
    </row>
    <row r="9" spans="1:9" s="100" customFormat="1" ht="12" customHeight="1" x14ac:dyDescent="0.2">
      <c r="A9" s="94"/>
      <c r="B9" s="103"/>
      <c r="C9" s="103"/>
      <c r="D9" s="103"/>
      <c r="E9" s="103"/>
      <c r="F9" s="103"/>
      <c r="G9" s="103"/>
      <c r="H9" s="104"/>
    </row>
    <row r="10" spans="1:9" s="100" customFormat="1" ht="15" customHeight="1" x14ac:dyDescent="0.2">
      <c r="A10" s="94"/>
      <c r="C10" s="333" t="s">
        <v>26</v>
      </c>
      <c r="D10" s="349" t="str">
        <f>"What was the chapter's total membership at the end of "&amp;HIDE!B34&amp;"?"</f>
        <v>What was the chapter's total membership at the end of 2013?</v>
      </c>
      <c r="E10" s="349"/>
      <c r="F10" s="349"/>
      <c r="G10" s="349"/>
      <c r="H10" s="263">
        <f>Worksheet!B20</f>
        <v>0</v>
      </c>
    </row>
    <row r="11" spans="1:9" s="100" customFormat="1" ht="15" customHeight="1" x14ac:dyDescent="0.2">
      <c r="A11" s="94"/>
      <c r="C11" s="334"/>
      <c r="D11" s="349"/>
      <c r="E11" s="349"/>
      <c r="F11" s="349"/>
      <c r="G11" s="349"/>
      <c r="H11" s="264"/>
    </row>
    <row r="12" spans="1:9" ht="15" customHeight="1" x14ac:dyDescent="0.2">
      <c r="C12" s="334"/>
      <c r="D12" s="349"/>
      <c r="E12" s="349"/>
      <c r="F12" s="349"/>
      <c r="G12" s="349"/>
      <c r="H12" s="264"/>
    </row>
    <row r="13" spans="1:9" ht="15" customHeight="1" x14ac:dyDescent="0.2">
      <c r="C13" s="335"/>
      <c r="D13" s="349"/>
      <c r="E13" s="349"/>
      <c r="F13" s="349"/>
      <c r="G13" s="349"/>
      <c r="H13" s="265"/>
    </row>
    <row r="14" spans="1:9" ht="12" customHeight="1" x14ac:dyDescent="0.2">
      <c r="B14" s="107"/>
      <c r="C14" s="107"/>
      <c r="D14" s="107"/>
      <c r="E14" s="107"/>
      <c r="F14" s="114"/>
      <c r="G14" s="114"/>
      <c r="H14" s="115"/>
    </row>
    <row r="15" spans="1:9" s="93" customFormat="1" ht="51" x14ac:dyDescent="0.2">
      <c r="A15" s="105"/>
      <c r="B15" s="347" t="s">
        <v>102</v>
      </c>
      <c r="C15" s="347"/>
      <c r="D15" s="105" t="str">
        <f>"Attendance in "&amp;HIDE!B34</f>
        <v>Attendance in 2013</v>
      </c>
      <c r="E15" s="105" t="str">
        <f>"Goal for "&amp;HIDE!B33</f>
        <v>Goal for 2014</v>
      </c>
      <c r="F15" s="105" t="str">
        <f>"Actual Attendance in "&amp;HIDE!B33</f>
        <v>Actual Attendance in 2014</v>
      </c>
      <c r="G15" s="93" t="s">
        <v>81</v>
      </c>
      <c r="H15" s="93" t="s">
        <v>80</v>
      </c>
      <c r="I15" s="93" t="s">
        <v>111</v>
      </c>
    </row>
    <row r="16" spans="1:9" ht="25.5" customHeight="1" x14ac:dyDescent="0.2">
      <c r="A16" s="106" t="s">
        <v>70</v>
      </c>
      <c r="B16" s="350"/>
      <c r="C16" s="351"/>
      <c r="D16" s="61"/>
      <c r="E16" s="61"/>
      <c r="F16" s="61"/>
      <c r="G16" s="62" t="str">
        <f>IF(AND(B16="",E16&lt;&gt;""),"Insert Event Name",IF(AND(B16&lt;&gt;"",OR(E16=0,E16="")),"NEEDS GOAL",IF(AND(B16="",E16=""),"","Done")))</f>
        <v/>
      </c>
      <c r="H16" s="90" t="str">
        <f>IF(AND(B16&lt;&gt;"", E16&gt;0, F16&gt;=0), ROUND(((F16-E16)/E16), 2), "")</f>
        <v/>
      </c>
      <c r="I16" s="62" t="str">
        <f>IF(AND(B16&lt;&gt;"", $H$10&gt;0), F16/$H$10, "")</f>
        <v/>
      </c>
    </row>
    <row r="17" spans="1:9" ht="25.5" customHeight="1" x14ac:dyDescent="0.2">
      <c r="A17" s="106" t="s">
        <v>71</v>
      </c>
      <c r="B17" s="350"/>
      <c r="C17" s="351"/>
      <c r="D17" s="61"/>
      <c r="E17" s="61"/>
      <c r="F17" s="61"/>
      <c r="G17" s="62" t="str">
        <f>IF(AND(B17="",E17&lt;&gt;""),"Insert Event Name",IF(AND(B17&lt;&gt;"",OR(E17=0,E17="")),"NEEDS GOAL",IF(AND(B17="",E17=""),"","Done")))</f>
        <v/>
      </c>
      <c r="H17" s="90" t="str">
        <f t="shared" ref="H17:H27" si="0">IF(AND(B17&lt;&gt;"", E17&gt;0, F17&gt;=0), ROUND(((F17-E17)/E17), 2), "")</f>
        <v/>
      </c>
      <c r="I17" s="62" t="str">
        <f t="shared" ref="I17:I27" si="1">IF(AND(B17&lt;&gt;"", $H$10&gt;0), F17/$H$10, "")</f>
        <v/>
      </c>
    </row>
    <row r="18" spans="1:9" ht="25.5" customHeight="1" x14ac:dyDescent="0.2">
      <c r="A18" s="106" t="s">
        <v>72</v>
      </c>
      <c r="B18" s="350"/>
      <c r="C18" s="351"/>
      <c r="D18" s="61"/>
      <c r="E18" s="61"/>
      <c r="F18" s="61"/>
      <c r="G18" s="62" t="str">
        <f>IF(AND(B18="",E18&lt;&gt;""),"Insert Event Name",IF(AND(B18&lt;&gt;"",OR(E18=0,E18="")),"NEEDS GOAL",IF(AND(B18="",E18=""),"","Done")))</f>
        <v/>
      </c>
      <c r="H18" s="90" t="str">
        <f t="shared" si="0"/>
        <v/>
      </c>
      <c r="I18" s="62" t="str">
        <f t="shared" si="1"/>
        <v/>
      </c>
    </row>
    <row r="19" spans="1:9" ht="25.5" customHeight="1" x14ac:dyDescent="0.2">
      <c r="A19" s="106" t="s">
        <v>73</v>
      </c>
      <c r="B19" s="350"/>
      <c r="C19" s="351"/>
      <c r="D19" s="61"/>
      <c r="E19" s="61"/>
      <c r="F19" s="61"/>
      <c r="G19" s="62" t="str">
        <f>IF(AND(B19="",E19&lt;&gt;""),"Insert Event Name",IF(AND(B19&lt;&gt;"",OR(E19=0,E19="")),"NEEDS GOAL",IF(AND(B19="",E19=""),"","Done")))</f>
        <v/>
      </c>
      <c r="H19" s="90" t="str">
        <f t="shared" si="0"/>
        <v/>
      </c>
      <c r="I19" s="62" t="str">
        <f t="shared" si="1"/>
        <v/>
      </c>
    </row>
    <row r="20" spans="1:9" ht="25.5" customHeight="1" x14ac:dyDescent="0.2">
      <c r="A20" s="106" t="s">
        <v>74</v>
      </c>
      <c r="B20" s="350"/>
      <c r="C20" s="351"/>
      <c r="D20" s="61"/>
      <c r="E20" s="61"/>
      <c r="F20" s="61"/>
      <c r="G20" s="62" t="str">
        <f>IF(AND(B20="",E20&lt;&gt;""),"Insert Event Name",IF(AND(B20&lt;&gt;"",OR(E20=0,E20="")),"NEEDS GOAL",IF(AND(B20="",E20=""),"","Done")))</f>
        <v/>
      </c>
      <c r="H20" s="90" t="str">
        <f t="shared" si="0"/>
        <v/>
      </c>
      <c r="I20" s="62" t="str">
        <f t="shared" si="1"/>
        <v/>
      </c>
    </row>
    <row r="21" spans="1:9" ht="25.5" customHeight="1" x14ac:dyDescent="0.2">
      <c r="A21" s="106" t="s">
        <v>103</v>
      </c>
      <c r="B21" s="350"/>
      <c r="C21" s="351"/>
      <c r="D21" s="61"/>
      <c r="E21" s="61"/>
      <c r="F21" s="61"/>
      <c r="G21" s="62" t="str">
        <f t="shared" ref="G21:G27" si="2">IF(AND(B21="",E21&lt;&gt;""),"Insert Event Name",IF(AND(B21&lt;&gt;"",OR(E21=0,E21="")),"NEEDS GOAL",IF(AND(B21="",E21=""),"","Done")))</f>
        <v/>
      </c>
      <c r="H21" s="90" t="str">
        <f t="shared" si="0"/>
        <v/>
      </c>
      <c r="I21" s="62" t="str">
        <f t="shared" si="1"/>
        <v/>
      </c>
    </row>
    <row r="22" spans="1:9" ht="25.5" customHeight="1" x14ac:dyDescent="0.2">
      <c r="A22" s="106" t="s">
        <v>104</v>
      </c>
      <c r="B22" s="350"/>
      <c r="C22" s="351"/>
      <c r="D22" s="61"/>
      <c r="E22" s="61"/>
      <c r="F22" s="61"/>
      <c r="G22" s="62" t="str">
        <f t="shared" si="2"/>
        <v/>
      </c>
      <c r="H22" s="90" t="str">
        <f t="shared" si="0"/>
        <v/>
      </c>
      <c r="I22" s="62" t="str">
        <f t="shared" si="1"/>
        <v/>
      </c>
    </row>
    <row r="23" spans="1:9" ht="25.5" customHeight="1" x14ac:dyDescent="0.2">
      <c r="A23" s="106" t="s">
        <v>105</v>
      </c>
      <c r="B23" s="350"/>
      <c r="C23" s="351"/>
      <c r="D23" s="61"/>
      <c r="E23" s="61"/>
      <c r="F23" s="61"/>
      <c r="G23" s="62" t="str">
        <f t="shared" si="2"/>
        <v/>
      </c>
      <c r="H23" s="90" t="str">
        <f t="shared" si="0"/>
        <v/>
      </c>
      <c r="I23" s="62" t="str">
        <f t="shared" si="1"/>
        <v/>
      </c>
    </row>
    <row r="24" spans="1:9" ht="25.5" customHeight="1" x14ac:dyDescent="0.2">
      <c r="A24" s="106" t="s">
        <v>106</v>
      </c>
      <c r="B24" s="350"/>
      <c r="C24" s="351"/>
      <c r="D24" s="61"/>
      <c r="E24" s="61"/>
      <c r="F24" s="61"/>
      <c r="G24" s="62" t="str">
        <f t="shared" si="2"/>
        <v/>
      </c>
      <c r="H24" s="90" t="str">
        <f t="shared" si="0"/>
        <v/>
      </c>
      <c r="I24" s="62" t="str">
        <f t="shared" si="1"/>
        <v/>
      </c>
    </row>
    <row r="25" spans="1:9" ht="25.5" customHeight="1" x14ac:dyDescent="0.2">
      <c r="A25" s="106" t="s">
        <v>107</v>
      </c>
      <c r="B25" s="350"/>
      <c r="C25" s="351"/>
      <c r="D25" s="61"/>
      <c r="E25" s="61"/>
      <c r="F25" s="61"/>
      <c r="G25" s="62" t="str">
        <f t="shared" si="2"/>
        <v/>
      </c>
      <c r="H25" s="90" t="str">
        <f t="shared" si="0"/>
        <v/>
      </c>
      <c r="I25" s="62" t="str">
        <f t="shared" si="1"/>
        <v/>
      </c>
    </row>
    <row r="26" spans="1:9" ht="25.5" customHeight="1" x14ac:dyDescent="0.2">
      <c r="A26" s="106" t="s">
        <v>108</v>
      </c>
      <c r="B26" s="350"/>
      <c r="C26" s="351"/>
      <c r="D26" s="61"/>
      <c r="E26" s="61"/>
      <c r="F26" s="61"/>
      <c r="G26" s="62" t="str">
        <f t="shared" si="2"/>
        <v/>
      </c>
      <c r="H26" s="90" t="str">
        <f t="shared" si="0"/>
        <v/>
      </c>
      <c r="I26" s="62" t="str">
        <f t="shared" si="1"/>
        <v/>
      </c>
    </row>
    <row r="27" spans="1:9" ht="25.5" customHeight="1" x14ac:dyDescent="0.2">
      <c r="A27" s="106" t="s">
        <v>109</v>
      </c>
      <c r="B27" s="350"/>
      <c r="C27" s="351"/>
      <c r="D27" s="61"/>
      <c r="E27" s="61"/>
      <c r="F27" s="61"/>
      <c r="G27" s="62" t="str">
        <f t="shared" si="2"/>
        <v/>
      </c>
      <c r="H27" s="90" t="str">
        <f t="shared" si="0"/>
        <v/>
      </c>
      <c r="I27" s="62" t="str">
        <f t="shared" si="1"/>
        <v/>
      </c>
    </row>
    <row r="28" spans="1:9" ht="25.5" customHeight="1" x14ac:dyDescent="0.2">
      <c r="A28" s="64"/>
      <c r="B28" s="116"/>
      <c r="C28" s="116"/>
      <c r="D28" s="117"/>
      <c r="E28" s="117"/>
      <c r="F28" s="117"/>
      <c r="G28" s="65"/>
      <c r="H28" s="63" t="str">
        <f>IF(COUNTBLANK(H16:H27)&gt;=12,"-", AVERAGE(H16:H27))</f>
        <v>-</v>
      </c>
      <c r="I28" s="65"/>
    </row>
    <row r="29" spans="1:9" x14ac:dyDescent="0.2">
      <c r="A29" s="352" t="s">
        <v>28</v>
      </c>
      <c r="B29" s="353" t="s">
        <v>112</v>
      </c>
      <c r="C29" s="353"/>
      <c r="D29" s="353"/>
      <c r="E29" s="221" t="str">
        <f>IF(COUNTA($B16:$B27)*$H10&lt;&gt;0, SUM(E16:E27)/(COUNTA($B16:$B27)*$H10), "-")</f>
        <v>-</v>
      </c>
      <c r="H29" s="94"/>
      <c r="I29" s="118"/>
    </row>
    <row r="30" spans="1:9" x14ac:dyDescent="0.2">
      <c r="A30" s="352"/>
      <c r="B30" s="353" t="s">
        <v>113</v>
      </c>
      <c r="C30" s="353"/>
      <c r="D30" s="353"/>
      <c r="E30" s="221" t="str">
        <f>IF((COUNTA($B16:$B27)*$H10)&lt;&gt;0, (SUM(F16:F27)/(COUNTA($B16:$B27)*$H10)), "-")</f>
        <v>-</v>
      </c>
      <c r="F30" s="119"/>
      <c r="G30" s="100"/>
      <c r="I30" s="94"/>
    </row>
    <row r="31" spans="1:9" x14ac:dyDescent="0.2">
      <c r="A31" s="352"/>
      <c r="B31" s="353"/>
      <c r="C31" s="353"/>
      <c r="D31" s="353"/>
      <c r="F31" s="119"/>
      <c r="G31" s="120"/>
      <c r="I31" s="94"/>
    </row>
    <row r="32" spans="1:9" ht="25.5" customHeight="1" x14ac:dyDescent="0.2">
      <c r="A32" s="352"/>
      <c r="B32" s="346" t="str">
        <f>IF(G32="Goal Needed", "Chapter did not set goals for all meetings listed.", IF(OR(E30="-",E29="-"), "-", IF(E30&gt;E29,"Chapter exceeded its attendance goal by "&amp;ROUND((E30-E29)*100, 2)&amp;"% of its members and "&amp;ROUND((AVERAGE(H16:H27))*100, 2)&amp;"% of its target goal.",IF(AND(E30&lt;E29, E30&gt;0),"Chapter failed to meet its attendance goal by "&amp;ROUND((E30-E29)*100, 2)&amp;"% of its members and "&amp;ROUND((AVERAGE(H16:H27))*100, 2)&amp;"% of its target goal.", IF(SUM(E16:E27)=SUM(F16:F27), "Chapter met its goal.", "-")))))</f>
        <v>-</v>
      </c>
      <c r="C32" s="346"/>
      <c r="D32" s="346"/>
      <c r="E32" s="346"/>
      <c r="F32" s="346"/>
      <c r="G32" s="222" t="str">
        <f>IF(COUNTIF(G16:G27,"NEEDS GOAL")&gt;=1, "Goal Needed", IF(H28="-", "-", IF(H28*100&gt;=30, "GOLD", IF(H28*100&gt;=20, "SILVER", IF(H28*100&gt;=0, "BRONZE", "None")))))</f>
        <v>-</v>
      </c>
      <c r="I32" s="94"/>
    </row>
    <row r="33" spans="1:9" ht="25.5" customHeight="1" x14ac:dyDescent="0.2">
      <c r="A33" s="106"/>
      <c r="B33" s="121"/>
      <c r="C33" s="121"/>
      <c r="D33" s="119"/>
      <c r="E33" s="119"/>
      <c r="F33" s="119"/>
      <c r="G33" s="103"/>
    </row>
    <row r="34" spans="1:9" ht="25.5" customHeight="1" x14ac:dyDescent="0.2">
      <c r="A34" s="106"/>
      <c r="B34" s="121"/>
      <c r="C34" s="121"/>
      <c r="D34" s="119"/>
      <c r="E34" s="119"/>
      <c r="F34" s="119"/>
      <c r="G34" s="103"/>
    </row>
    <row r="35" spans="1:9" ht="12" customHeight="1" x14ac:dyDescent="0.2">
      <c r="H35" s="94"/>
      <c r="I35" s="94"/>
    </row>
    <row r="36" spans="1:9" ht="12" customHeight="1" x14ac:dyDescent="0.2">
      <c r="H36" s="94"/>
      <c r="I36" s="94"/>
    </row>
    <row r="37" spans="1:9" ht="12" customHeight="1" x14ac:dyDescent="0.2">
      <c r="H37" s="94"/>
      <c r="I37" s="94"/>
    </row>
    <row r="38" spans="1:9" ht="12" customHeight="1" x14ac:dyDescent="0.2">
      <c r="H38" s="94"/>
      <c r="I38" s="94"/>
    </row>
    <row r="39" spans="1:9" ht="12" customHeight="1" x14ac:dyDescent="0.2">
      <c r="H39" s="94"/>
      <c r="I39" s="94"/>
    </row>
    <row r="40" spans="1:9" ht="12" customHeight="1" x14ac:dyDescent="0.2">
      <c r="H40" s="94"/>
      <c r="I40" s="94"/>
    </row>
    <row r="41" spans="1:9" ht="12" customHeight="1" x14ac:dyDescent="0.2">
      <c r="H41" s="94"/>
      <c r="I41" s="94"/>
    </row>
    <row r="42" spans="1:9" ht="12" customHeight="1" x14ac:dyDescent="0.2">
      <c r="H42" s="94"/>
      <c r="I42" s="94"/>
    </row>
    <row r="43" spans="1:9" ht="12" customHeight="1" x14ac:dyDescent="0.2">
      <c r="H43" s="94"/>
      <c r="I43" s="94"/>
    </row>
    <row r="44" spans="1:9" ht="12" customHeight="1" x14ac:dyDescent="0.2">
      <c r="H44" s="94"/>
      <c r="I44" s="94"/>
    </row>
    <row r="45" spans="1:9" ht="12" customHeight="1" x14ac:dyDescent="0.2">
      <c r="H45" s="94"/>
      <c r="I45" s="94"/>
    </row>
    <row r="46" spans="1:9" ht="12" customHeight="1" x14ac:dyDescent="0.2">
      <c r="H46" s="94"/>
      <c r="I46" s="94"/>
    </row>
    <row r="47" spans="1:9" x14ac:dyDescent="0.2">
      <c r="H47" s="94"/>
      <c r="I47" s="94"/>
    </row>
    <row r="48" spans="1:9" ht="12.75" customHeight="1" x14ac:dyDescent="0.2">
      <c r="H48" s="94"/>
      <c r="I48" s="94"/>
    </row>
    <row r="49" spans="8:9" x14ac:dyDescent="0.2">
      <c r="H49" s="94"/>
      <c r="I49" s="94"/>
    </row>
    <row r="50" spans="8:9" x14ac:dyDescent="0.2">
      <c r="H50" s="94"/>
      <c r="I50" s="94"/>
    </row>
    <row r="51" spans="8:9" ht="9.75" customHeight="1" x14ac:dyDescent="0.2">
      <c r="H51" s="94"/>
      <c r="I51" s="94"/>
    </row>
    <row r="52" spans="8:9" ht="12.75" customHeight="1" x14ac:dyDescent="0.2">
      <c r="H52" s="94"/>
      <c r="I52" s="94"/>
    </row>
    <row r="53" spans="8:9" ht="12.75" customHeight="1" x14ac:dyDescent="0.2">
      <c r="H53" s="94"/>
      <c r="I53" s="94"/>
    </row>
    <row r="54" spans="8:9" ht="12.75" customHeight="1" x14ac:dyDescent="0.2">
      <c r="H54" s="94"/>
      <c r="I54" s="94"/>
    </row>
    <row r="55" spans="8:9" ht="12.75" customHeight="1" x14ac:dyDescent="0.2">
      <c r="H55" s="94"/>
      <c r="I55" s="94"/>
    </row>
    <row r="56" spans="8:9" ht="12.75" customHeight="1" x14ac:dyDescent="0.2">
      <c r="H56" s="94"/>
      <c r="I56" s="94"/>
    </row>
    <row r="57" spans="8:9" ht="12.75" customHeight="1" x14ac:dyDescent="0.2">
      <c r="H57" s="94"/>
      <c r="I57" s="94"/>
    </row>
    <row r="58" spans="8:9" ht="12.75" customHeight="1" x14ac:dyDescent="0.2">
      <c r="H58" s="94"/>
      <c r="I58" s="94"/>
    </row>
    <row r="59" spans="8:9" ht="15.75" customHeight="1" x14ac:dyDescent="0.2">
      <c r="H59" s="94"/>
      <c r="I59" s="94"/>
    </row>
    <row r="60" spans="8:9" ht="12.75" customHeight="1" x14ac:dyDescent="0.2">
      <c r="H60" s="94"/>
      <c r="I60" s="94"/>
    </row>
    <row r="61" spans="8:9" ht="12.75" customHeight="1" x14ac:dyDescent="0.2">
      <c r="H61" s="94"/>
      <c r="I61" s="94"/>
    </row>
    <row r="62" spans="8:9" ht="12.75" customHeight="1" x14ac:dyDescent="0.2">
      <c r="H62" s="94"/>
      <c r="I62" s="94"/>
    </row>
    <row r="63" spans="8:9" ht="12.75" customHeight="1" x14ac:dyDescent="0.2">
      <c r="H63" s="94"/>
      <c r="I63" s="94"/>
    </row>
    <row r="64" spans="8:9" ht="12.75" customHeight="1" x14ac:dyDescent="0.2">
      <c r="H64" s="94"/>
      <c r="I64" s="94"/>
    </row>
    <row r="65" spans="8:9" x14ac:dyDescent="0.2">
      <c r="H65" s="94"/>
      <c r="I65" s="94"/>
    </row>
    <row r="66" spans="8:9" x14ac:dyDescent="0.2">
      <c r="H66" s="94"/>
      <c r="I66" s="94"/>
    </row>
    <row r="67" spans="8:9" x14ac:dyDescent="0.2">
      <c r="H67" s="94"/>
      <c r="I67" s="94"/>
    </row>
    <row r="68" spans="8:9" x14ac:dyDescent="0.2">
      <c r="H68" s="94"/>
      <c r="I68" s="94"/>
    </row>
    <row r="69" spans="8:9" x14ac:dyDescent="0.2">
      <c r="H69" s="94"/>
      <c r="I69" s="94"/>
    </row>
    <row r="70" spans="8:9" x14ac:dyDescent="0.2">
      <c r="H70" s="94"/>
      <c r="I70" s="94"/>
    </row>
    <row r="71" spans="8:9" x14ac:dyDescent="0.2">
      <c r="H71" s="94"/>
      <c r="I71" s="94"/>
    </row>
    <row r="72" spans="8:9" x14ac:dyDescent="0.2">
      <c r="H72" s="94"/>
      <c r="I72" s="94"/>
    </row>
    <row r="73" spans="8:9" x14ac:dyDescent="0.2">
      <c r="H73" s="94"/>
      <c r="I73" s="94"/>
    </row>
    <row r="74" spans="8:9" x14ac:dyDescent="0.2">
      <c r="H74" s="94"/>
      <c r="I74" s="94"/>
    </row>
    <row r="75" spans="8:9" x14ac:dyDescent="0.2">
      <c r="H75" s="94"/>
      <c r="I75" s="94"/>
    </row>
    <row r="76" spans="8:9" x14ac:dyDescent="0.2">
      <c r="H76" s="94"/>
      <c r="I76" s="94"/>
    </row>
    <row r="77" spans="8:9" ht="12.75" customHeight="1" x14ac:dyDescent="0.2"/>
  </sheetData>
  <sheetProtection password="9C31" sheet="1" objects="1" scenarios="1"/>
  <mergeCells count="27">
    <mergeCell ref="A29:A32"/>
    <mergeCell ref="H3:H4"/>
    <mergeCell ref="B29:D29"/>
    <mergeCell ref="B30:D30"/>
    <mergeCell ref="B3:F4"/>
    <mergeCell ref="B6:F6"/>
    <mergeCell ref="B24:C24"/>
    <mergeCell ref="B25:C25"/>
    <mergeCell ref="B26:C26"/>
    <mergeCell ref="B27:C27"/>
    <mergeCell ref="B20:C20"/>
    <mergeCell ref="B21:C21"/>
    <mergeCell ref="B22:C22"/>
    <mergeCell ref="B23:C23"/>
    <mergeCell ref="B8:F8"/>
    <mergeCell ref="B31:D31"/>
    <mergeCell ref="B32:F32"/>
    <mergeCell ref="B15:C15"/>
    <mergeCell ref="B1:H1"/>
    <mergeCell ref="C10:C13"/>
    <mergeCell ref="D10:G13"/>
    <mergeCell ref="H10:H13"/>
    <mergeCell ref="G3:G4"/>
    <mergeCell ref="B16:C16"/>
    <mergeCell ref="B17:C17"/>
    <mergeCell ref="B18:C18"/>
    <mergeCell ref="B19:C19"/>
  </mergeCells>
  <phoneticPr fontId="3" type="noConversion"/>
  <dataValidations count="1">
    <dataValidation allowBlank="1" showInputMessage="1" sqref="B29:C30 D33:D34 D31 D16:D28 E16:F17"/>
  </dataValidations>
  <pageMargins left="0.5" right="0.5" top="0.5" bottom="0.5" header="0.3" footer="0.3"/>
  <pageSetup orientation="portrait"/>
  <headerFooter alignWithMargins="0">
    <oddHeader>&amp;C&amp;K000000Chapter Journey to Excellence Workbook</oddHeader>
    <oddFooter>&amp;R&amp;K000000&amp;A</oddFooter>
  </headerFooter>
  <ignoredErrors>
    <ignoredError sqref="A16:A27" numberStoredAsText="1"/>
  </ignoredErrors>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enableFormatConditionsCalculation="0"/>
  <dimension ref="A1:J56"/>
  <sheetViews>
    <sheetView showGridLines="0" workbookViewId="0">
      <selection activeCell="B1" sqref="B1:G1"/>
    </sheetView>
  </sheetViews>
  <sheetFormatPr defaultColWidth="8.85546875" defaultRowHeight="12.75" x14ac:dyDescent="0.2"/>
  <cols>
    <col min="1" max="1" width="6.85546875" style="7" customWidth="1"/>
    <col min="2" max="2" width="5.7109375" style="7" bestFit="1" customWidth="1"/>
    <col min="3" max="3" width="5.7109375" style="7" customWidth="1"/>
    <col min="4" max="4" width="36.42578125" style="7" customWidth="1"/>
    <col min="5" max="5" width="11.28515625" style="7" customWidth="1"/>
    <col min="6" max="6" width="7.42578125" style="7" bestFit="1" customWidth="1"/>
    <col min="7" max="7" width="4" style="7" bestFit="1" customWidth="1"/>
    <col min="8" max="16384" width="8.85546875" style="7"/>
  </cols>
  <sheetData>
    <row r="1" spans="1:10" x14ac:dyDescent="0.2">
      <c r="A1" s="299">
        <v>10</v>
      </c>
      <c r="B1" s="309" t="s">
        <v>114</v>
      </c>
      <c r="C1" s="309"/>
      <c r="D1" s="309"/>
      <c r="E1" s="309"/>
      <c r="F1" s="309"/>
      <c r="G1" s="309"/>
    </row>
    <row r="2" spans="1:10" x14ac:dyDescent="0.2">
      <c r="A2" s="299"/>
      <c r="B2" s="309"/>
      <c r="C2" s="309"/>
      <c r="D2" s="309"/>
      <c r="E2" s="309"/>
      <c r="F2" s="309"/>
      <c r="G2" s="309"/>
    </row>
    <row r="3" spans="1:10" x14ac:dyDescent="0.2">
      <c r="B3" s="3"/>
      <c r="C3" s="3"/>
      <c r="D3" s="3"/>
      <c r="E3" s="3"/>
      <c r="F3" s="3"/>
      <c r="G3" s="3"/>
    </row>
    <row r="4" spans="1:10" ht="12.75" customHeight="1" x14ac:dyDescent="0.2">
      <c r="C4" s="273" t="s">
        <v>115</v>
      </c>
      <c r="D4" s="273"/>
      <c r="E4" s="273"/>
      <c r="F4" s="356" t="s">
        <v>2</v>
      </c>
      <c r="G4" s="356">
        <v>25</v>
      </c>
    </row>
    <row r="5" spans="1:10" ht="12.75" customHeight="1" x14ac:dyDescent="0.2">
      <c r="C5" s="273"/>
      <c r="D5" s="273"/>
      <c r="E5" s="273"/>
      <c r="F5" s="356"/>
      <c r="G5" s="356"/>
    </row>
    <row r="6" spans="1:10" ht="12.75" customHeight="1" x14ac:dyDescent="0.2">
      <c r="C6" s="273"/>
      <c r="D6" s="273"/>
      <c r="E6" s="273"/>
      <c r="F6" s="356"/>
      <c r="G6" s="356"/>
    </row>
    <row r="7" spans="1:10" x14ac:dyDescent="0.2">
      <c r="C7" s="16"/>
      <c r="D7" s="16"/>
      <c r="E7" s="16"/>
      <c r="F7" s="16"/>
      <c r="G7" s="16"/>
    </row>
    <row r="8" spans="1:10" ht="12.75" customHeight="1" x14ac:dyDescent="0.2">
      <c r="C8" s="273" t="s">
        <v>116</v>
      </c>
      <c r="D8" s="273"/>
      <c r="E8" s="273"/>
      <c r="F8" s="356" t="s">
        <v>3</v>
      </c>
      <c r="G8" s="356">
        <v>50</v>
      </c>
    </row>
    <row r="9" spans="1:10" x14ac:dyDescent="0.2">
      <c r="C9" s="273"/>
      <c r="D9" s="273"/>
      <c r="E9" s="273"/>
      <c r="F9" s="356"/>
      <c r="G9" s="356"/>
    </row>
    <row r="10" spans="1:10" x14ac:dyDescent="0.2">
      <c r="C10" s="16"/>
      <c r="D10" s="16"/>
      <c r="E10" s="16"/>
      <c r="F10" s="16"/>
      <c r="G10" s="16"/>
    </row>
    <row r="11" spans="1:10" ht="12.75" customHeight="1" x14ac:dyDescent="0.2">
      <c r="C11" s="273" t="s">
        <v>117</v>
      </c>
      <c r="D11" s="273"/>
      <c r="E11" s="273"/>
      <c r="F11" s="274" t="s">
        <v>4</v>
      </c>
      <c r="G11" s="356">
        <v>100</v>
      </c>
    </row>
    <row r="12" spans="1:10" x14ac:dyDescent="0.2">
      <c r="C12" s="273"/>
      <c r="D12" s="273"/>
      <c r="E12" s="273"/>
      <c r="F12" s="274"/>
      <c r="G12" s="356"/>
    </row>
    <row r="13" spans="1:10" ht="12.75" customHeight="1" x14ac:dyDescent="0.2">
      <c r="B13" s="14"/>
      <c r="C13" s="4"/>
      <c r="D13" s="4"/>
      <c r="E13" s="4"/>
      <c r="F13" s="4"/>
      <c r="G13" s="4"/>
    </row>
    <row r="14" spans="1:10" ht="12.75" customHeight="1" x14ac:dyDescent="0.2">
      <c r="B14" s="282" t="s">
        <v>94</v>
      </c>
      <c r="C14" s="304" t="s">
        <v>119</v>
      </c>
      <c r="D14" s="304"/>
      <c r="E14" s="304"/>
      <c r="F14" s="304"/>
      <c r="G14" s="304"/>
      <c r="H14" s="87"/>
      <c r="J14" s="91"/>
    </row>
    <row r="15" spans="1:10" ht="12.75" customHeight="1" x14ac:dyDescent="0.2">
      <c r="B15" s="283"/>
      <c r="C15" s="4"/>
      <c r="D15" s="4"/>
      <c r="E15" s="4"/>
      <c r="F15" s="4"/>
      <c r="G15" s="4"/>
      <c r="H15" s="86"/>
    </row>
    <row r="16" spans="1:10" x14ac:dyDescent="0.2">
      <c r="B16" s="283"/>
      <c r="C16" s="304" t="s">
        <v>120</v>
      </c>
      <c r="D16" s="304"/>
      <c r="E16" s="304"/>
      <c r="F16" s="304"/>
      <c r="G16" s="304"/>
      <c r="H16" s="92"/>
      <c r="J16" s="91"/>
    </row>
    <row r="17" spans="2:10" x14ac:dyDescent="0.2">
      <c r="B17" s="283"/>
      <c r="C17" s="39"/>
      <c r="D17" s="39"/>
      <c r="E17" s="39"/>
      <c r="F17" s="39"/>
      <c r="G17" s="39"/>
      <c r="H17" s="88"/>
    </row>
    <row r="18" spans="2:10" x14ac:dyDescent="0.2">
      <c r="B18" s="283"/>
      <c r="C18" s="39"/>
      <c r="D18" s="44" t="s">
        <v>122</v>
      </c>
      <c r="E18" s="66"/>
      <c r="F18" s="39"/>
      <c r="G18" s="39"/>
      <c r="H18" s="88"/>
    </row>
    <row r="19" spans="2:10" ht="9.75" customHeight="1" x14ac:dyDescent="0.2">
      <c r="B19" s="283"/>
      <c r="C19" s="4"/>
      <c r="D19" s="4"/>
      <c r="E19" s="4"/>
      <c r="F19" s="4"/>
      <c r="G19" s="4"/>
      <c r="H19" s="86"/>
    </row>
    <row r="20" spans="2:10" ht="12.75" customHeight="1" x14ac:dyDescent="0.2">
      <c r="B20" s="283"/>
      <c r="C20" s="304" t="s">
        <v>121</v>
      </c>
      <c r="D20" s="304"/>
      <c r="E20" s="304"/>
      <c r="F20" s="304"/>
      <c r="G20" s="304"/>
      <c r="H20" s="354"/>
      <c r="J20" s="91"/>
    </row>
    <row r="21" spans="2:10" ht="12.75" customHeight="1" x14ac:dyDescent="0.2">
      <c r="B21" s="283"/>
      <c r="C21" s="304"/>
      <c r="D21" s="304"/>
      <c r="E21" s="304"/>
      <c r="F21" s="304"/>
      <c r="G21" s="304"/>
      <c r="H21" s="355"/>
    </row>
    <row r="22" spans="2:10" ht="12.75" customHeight="1" x14ac:dyDescent="0.2">
      <c r="B22" s="283"/>
      <c r="C22" s="39"/>
      <c r="D22" s="39"/>
      <c r="E22" s="39"/>
      <c r="F22" s="39"/>
      <c r="G22" s="39"/>
      <c r="H22" s="88"/>
    </row>
    <row r="23" spans="2:10" ht="12.75" customHeight="1" x14ac:dyDescent="0.2">
      <c r="B23" s="283"/>
      <c r="C23" s="39"/>
      <c r="D23" s="44" t="s">
        <v>122</v>
      </c>
      <c r="E23" s="66"/>
      <c r="F23" s="39"/>
      <c r="G23" s="39"/>
      <c r="H23" s="88"/>
    </row>
    <row r="24" spans="2:10" ht="12.75" customHeight="1" x14ac:dyDescent="0.2">
      <c r="B24" s="283"/>
      <c r="C24" s="39"/>
      <c r="D24" s="39"/>
      <c r="E24" s="39"/>
      <c r="F24" s="39"/>
      <c r="G24" s="39"/>
      <c r="H24" s="86"/>
    </row>
    <row r="25" spans="2:10" ht="12.75" customHeight="1" x14ac:dyDescent="0.2">
      <c r="B25" s="283"/>
      <c r="C25" s="304" t="s">
        <v>123</v>
      </c>
      <c r="D25" s="304"/>
      <c r="E25" s="304"/>
      <c r="F25" s="304"/>
      <c r="G25" s="304"/>
      <c r="H25" s="92"/>
    </row>
    <row r="26" spans="2:10" ht="12.75" customHeight="1" x14ac:dyDescent="0.2">
      <c r="B26" s="283"/>
      <c r="C26" s="39"/>
      <c r="D26" s="39"/>
      <c r="E26" s="39"/>
      <c r="F26" s="39"/>
      <c r="G26" s="39"/>
      <c r="H26" s="88"/>
    </row>
    <row r="27" spans="2:10" ht="12.75" customHeight="1" x14ac:dyDescent="0.2">
      <c r="B27" s="283"/>
      <c r="C27" s="39"/>
      <c r="D27" s="44" t="s">
        <v>122</v>
      </c>
      <c r="E27" s="66"/>
      <c r="F27" s="39"/>
      <c r="G27" s="39"/>
      <c r="H27" s="88"/>
    </row>
    <row r="28" spans="2:10" ht="12.75" customHeight="1" x14ac:dyDescent="0.2">
      <c r="B28" s="283"/>
      <c r="C28" s="39"/>
      <c r="D28" s="39"/>
      <c r="E28" s="39"/>
      <c r="F28" s="39"/>
      <c r="G28" s="39"/>
      <c r="H28" s="88"/>
    </row>
    <row r="29" spans="2:10" ht="12.75" customHeight="1" x14ac:dyDescent="0.2">
      <c r="B29" s="283"/>
      <c r="C29" s="304" t="s">
        <v>124</v>
      </c>
      <c r="D29" s="304"/>
      <c r="E29" s="304"/>
      <c r="F29" s="304"/>
      <c r="G29" s="304"/>
      <c r="H29" s="92"/>
    </row>
    <row r="30" spans="2:10" ht="12.75" customHeight="1" x14ac:dyDescent="0.2">
      <c r="B30" s="283"/>
      <c r="C30" s="39"/>
      <c r="D30" s="39"/>
      <c r="E30" s="39"/>
      <c r="F30" s="39"/>
      <c r="G30" s="39"/>
      <c r="H30" s="12"/>
    </row>
    <row r="31" spans="2:10" ht="12.75" customHeight="1" x14ac:dyDescent="0.2">
      <c r="B31" s="284"/>
      <c r="C31" s="39"/>
      <c r="D31" s="44" t="s">
        <v>122</v>
      </c>
      <c r="E31" s="66"/>
      <c r="F31" s="39"/>
      <c r="G31" s="39"/>
      <c r="H31" s="12"/>
    </row>
    <row r="32" spans="2:10" ht="12.75" customHeight="1" x14ac:dyDescent="0.2">
      <c r="B32" s="14"/>
      <c r="C32" s="39"/>
      <c r="D32" s="39"/>
      <c r="E32" s="39"/>
      <c r="F32" s="39"/>
      <c r="G32" s="39"/>
      <c r="H32" s="12"/>
    </row>
    <row r="33" spans="2:8" ht="12.75" customHeight="1" x14ac:dyDescent="0.2">
      <c r="C33" s="310" t="s">
        <v>126</v>
      </c>
      <c r="D33" s="310"/>
      <c r="E33" s="310"/>
      <c r="F33" s="310"/>
      <c r="G33" s="310"/>
      <c r="H33" s="12"/>
    </row>
    <row r="34" spans="2:8" ht="12.75" customHeight="1" x14ac:dyDescent="0.2">
      <c r="B34" s="281" t="s">
        <v>125</v>
      </c>
      <c r="C34" s="286"/>
      <c r="D34" s="287"/>
      <c r="E34" s="287"/>
      <c r="F34" s="287"/>
      <c r="G34" s="288"/>
      <c r="H34" s="12"/>
    </row>
    <row r="35" spans="2:8" ht="12.75" customHeight="1" x14ac:dyDescent="0.2">
      <c r="B35" s="281"/>
      <c r="C35" s="289"/>
      <c r="D35" s="290"/>
      <c r="E35" s="290"/>
      <c r="F35" s="290"/>
      <c r="G35" s="291"/>
      <c r="H35" s="12"/>
    </row>
    <row r="36" spans="2:8" ht="12.75" customHeight="1" x14ac:dyDescent="0.2">
      <c r="B36" s="281"/>
      <c r="C36" s="289"/>
      <c r="D36" s="290"/>
      <c r="E36" s="290"/>
      <c r="F36" s="290"/>
      <c r="G36" s="291"/>
      <c r="H36" s="12"/>
    </row>
    <row r="37" spans="2:8" ht="12.75" customHeight="1" x14ac:dyDescent="0.2">
      <c r="B37" s="281"/>
      <c r="C37" s="289"/>
      <c r="D37" s="290"/>
      <c r="E37" s="290"/>
      <c r="F37" s="290"/>
      <c r="G37" s="291"/>
      <c r="H37" s="12"/>
    </row>
    <row r="38" spans="2:8" ht="12.75" customHeight="1" x14ac:dyDescent="0.2">
      <c r="B38" s="281"/>
      <c r="C38" s="292"/>
      <c r="D38" s="293"/>
      <c r="E38" s="293"/>
      <c r="F38" s="293"/>
      <c r="G38" s="294"/>
      <c r="H38" s="12"/>
    </row>
    <row r="39" spans="2:8" ht="12.75" customHeight="1" x14ac:dyDescent="0.2">
      <c r="B39" s="14"/>
      <c r="C39" s="39"/>
      <c r="D39" s="39"/>
      <c r="E39" s="39"/>
      <c r="F39" s="39"/>
      <c r="G39" s="39"/>
      <c r="H39" s="12"/>
    </row>
    <row r="40" spans="2:8" ht="12.75" customHeight="1" x14ac:dyDescent="0.2">
      <c r="B40" s="14"/>
      <c r="C40" s="304" t="s">
        <v>127</v>
      </c>
      <c r="D40" s="304"/>
      <c r="E40" s="304"/>
      <c r="F40" s="304"/>
      <c r="G40" s="304"/>
      <c r="H40" s="12"/>
    </row>
    <row r="41" spans="2:8" ht="12.75" customHeight="1" x14ac:dyDescent="0.2">
      <c r="B41" s="281" t="s">
        <v>22</v>
      </c>
      <c r="C41" s="286"/>
      <c r="D41" s="287"/>
      <c r="E41" s="287"/>
      <c r="F41" s="287"/>
      <c r="G41" s="288"/>
      <c r="H41" s="12"/>
    </row>
    <row r="42" spans="2:8" ht="12.75" customHeight="1" x14ac:dyDescent="0.2">
      <c r="B42" s="281"/>
      <c r="C42" s="289"/>
      <c r="D42" s="290"/>
      <c r="E42" s="290"/>
      <c r="F42" s="290"/>
      <c r="G42" s="291"/>
      <c r="H42" s="12"/>
    </row>
    <row r="43" spans="2:8" ht="12.75" customHeight="1" x14ac:dyDescent="0.2">
      <c r="B43" s="281"/>
      <c r="C43" s="289"/>
      <c r="D43" s="290"/>
      <c r="E43" s="290"/>
      <c r="F43" s="290"/>
      <c r="G43" s="291"/>
      <c r="H43" s="12"/>
    </row>
    <row r="44" spans="2:8" ht="12.75" customHeight="1" x14ac:dyDescent="0.2">
      <c r="B44" s="281"/>
      <c r="C44" s="289"/>
      <c r="D44" s="290"/>
      <c r="E44" s="290"/>
      <c r="F44" s="290"/>
      <c r="G44" s="291"/>
      <c r="H44" s="12"/>
    </row>
    <row r="45" spans="2:8" ht="12.75" customHeight="1" x14ac:dyDescent="0.2">
      <c r="B45" s="281"/>
      <c r="C45" s="292"/>
      <c r="D45" s="293"/>
      <c r="E45" s="293"/>
      <c r="F45" s="293"/>
      <c r="G45" s="294"/>
    </row>
    <row r="46" spans="2:8" ht="12.75" customHeight="1" x14ac:dyDescent="0.2">
      <c r="B46" s="14"/>
      <c r="C46" s="4"/>
      <c r="D46" s="4"/>
      <c r="E46" s="4"/>
      <c r="F46" s="4"/>
      <c r="G46" s="4"/>
    </row>
    <row r="47" spans="2:8" ht="12.75" customHeight="1" x14ac:dyDescent="0.2">
      <c r="B47" s="14"/>
      <c r="C47" s="4"/>
      <c r="D47" s="4"/>
      <c r="E47" s="4"/>
      <c r="F47" s="4"/>
      <c r="G47" s="4"/>
    </row>
    <row r="48" spans="2: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sheetData>
  <sheetProtection password="9C31" sheet="1" objects="1" scenarios="1"/>
  <mergeCells count="24">
    <mergeCell ref="A1:A2"/>
    <mergeCell ref="C4:E6"/>
    <mergeCell ref="F4:F6"/>
    <mergeCell ref="G4:G6"/>
    <mergeCell ref="C8:E9"/>
    <mergeCell ref="F8:F9"/>
    <mergeCell ref="G8:G9"/>
    <mergeCell ref="B1:G2"/>
    <mergeCell ref="C40:G40"/>
    <mergeCell ref="C41:G45"/>
    <mergeCell ref="B41:B45"/>
    <mergeCell ref="C34:G38"/>
    <mergeCell ref="C14:G14"/>
    <mergeCell ref="C16:G16"/>
    <mergeCell ref="C33:G33"/>
    <mergeCell ref="B34:B38"/>
    <mergeCell ref="C20:G21"/>
    <mergeCell ref="C29:G29"/>
    <mergeCell ref="B14:B31"/>
    <mergeCell ref="H20:H21"/>
    <mergeCell ref="C25:G25"/>
    <mergeCell ref="C11:E12"/>
    <mergeCell ref="F11:F12"/>
    <mergeCell ref="G11:G12"/>
  </mergeCells>
  <phoneticPr fontId="3" type="noConversion"/>
  <pageMargins left="0.5" right="0.5" top="0.5" bottom="0.5" header="0.3" footer="0.3"/>
  <pageSetup orientation="portrait"/>
  <headerFooter alignWithMargins="0">
    <oddHeader>&amp;C&amp;K000000Chapter Journey to Excellence Workbook</oddHeader>
    <oddFooter>&amp;R&amp;K000000&amp;A</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errorTitle="Yes/No Only" error="Please use the drop-down menu in the cell to select either &quot;Yes&quot; or &quot;No.&quot;">
          <x14:formula1>
            <xm:f>HIDE!$A$1:$A$2</xm:f>
          </x14:formula1>
          <xm:sqref>H14 H16 H25 H29</xm:sqref>
        </x14:dataValidation>
        <x14:dataValidation type="list" allowBlank="1" showInputMessage="1" showErrorMessage="1" errorTitle="Yes/No Only" error="Please use the drop-down menu in the cell to select either &quot;Yes&quot; or &quot;No.&quot;">
          <x14:formula1>
            <xm:f>HIDE!$A$1:$A$2</xm:f>
          </x14:formula1>
          <xm:sqref>H20:H21</xm:sqref>
        </x14:dataValidation>
      </x14:dataValidations>
    </ex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enableFormatConditionsCalculation="0"/>
  <dimension ref="A1:H55"/>
  <sheetViews>
    <sheetView showGridLines="0" workbookViewId="0">
      <selection activeCell="B1" sqref="B1:G1"/>
    </sheetView>
  </sheetViews>
  <sheetFormatPr defaultColWidth="8.85546875" defaultRowHeight="12.75" x14ac:dyDescent="0.2"/>
  <cols>
    <col min="1" max="1" width="6.85546875" style="7" customWidth="1"/>
    <col min="2" max="2" width="7.42578125" style="7" customWidth="1"/>
    <col min="3" max="3" width="5.7109375" style="7" customWidth="1"/>
    <col min="4" max="4" width="36.42578125" style="7" customWidth="1"/>
    <col min="5" max="5" width="11.28515625" style="7" customWidth="1"/>
    <col min="6" max="6" width="7.42578125" style="7" bestFit="1" customWidth="1"/>
    <col min="7" max="7" width="4" style="7" bestFit="1" customWidth="1"/>
    <col min="8" max="16384" width="8.85546875" style="7"/>
  </cols>
  <sheetData>
    <row r="1" spans="1:8" x14ac:dyDescent="0.2">
      <c r="A1" s="299">
        <v>11</v>
      </c>
      <c r="B1" s="226" t="s">
        <v>128</v>
      </c>
      <c r="C1" s="309"/>
      <c r="D1" s="309"/>
      <c r="E1" s="309"/>
      <c r="F1" s="309"/>
      <c r="G1" s="309"/>
    </row>
    <row r="2" spans="1:8" x14ac:dyDescent="0.2">
      <c r="A2" s="299"/>
      <c r="B2" s="309"/>
      <c r="C2" s="309"/>
      <c r="D2" s="309"/>
      <c r="E2" s="309"/>
      <c r="F2" s="309"/>
      <c r="G2" s="309"/>
    </row>
    <row r="3" spans="1:8" x14ac:dyDescent="0.2">
      <c r="B3" s="3"/>
      <c r="C3" s="3"/>
      <c r="D3" s="3"/>
      <c r="E3" s="3"/>
      <c r="F3" s="3"/>
      <c r="G3" s="3"/>
    </row>
    <row r="4" spans="1:8" ht="12.75" customHeight="1" x14ac:dyDescent="0.2">
      <c r="C4" s="273" t="s">
        <v>129</v>
      </c>
      <c r="D4" s="273"/>
      <c r="E4" s="273"/>
      <c r="F4" s="30" t="s">
        <v>2</v>
      </c>
      <c r="G4" s="30">
        <v>75</v>
      </c>
    </row>
    <row r="5" spans="1:8" ht="12.75" customHeight="1" x14ac:dyDescent="0.2">
      <c r="C5" s="15"/>
      <c r="D5" s="15"/>
      <c r="E5" s="15"/>
      <c r="F5" s="30"/>
      <c r="G5" s="30"/>
    </row>
    <row r="6" spans="1:8" ht="12.75" customHeight="1" x14ac:dyDescent="0.2">
      <c r="C6" s="273" t="s">
        <v>130</v>
      </c>
      <c r="D6" s="273"/>
      <c r="E6" s="273"/>
      <c r="F6" s="30" t="s">
        <v>3</v>
      </c>
      <c r="G6" s="30">
        <v>100</v>
      </c>
    </row>
    <row r="7" spans="1:8" x14ac:dyDescent="0.2">
      <c r="C7" s="16"/>
      <c r="D7" s="16"/>
      <c r="E7" s="16"/>
      <c r="F7" s="16"/>
      <c r="G7" s="16"/>
    </row>
    <row r="8" spans="1:8" ht="12.75" customHeight="1" x14ac:dyDescent="0.2">
      <c r="C8" s="273" t="s">
        <v>131</v>
      </c>
      <c r="D8" s="273"/>
      <c r="E8" s="273"/>
      <c r="F8" s="30" t="s">
        <v>4</v>
      </c>
      <c r="G8" s="30">
        <v>200</v>
      </c>
    </row>
    <row r="9" spans="1:8" x14ac:dyDescent="0.2">
      <c r="C9" s="9"/>
      <c r="D9" s="9"/>
      <c r="E9" s="9"/>
      <c r="F9" s="10"/>
      <c r="G9" s="34"/>
      <c r="H9" s="6"/>
    </row>
    <row r="10" spans="1:8" ht="18" customHeight="1" x14ac:dyDescent="0.2">
      <c r="B10" s="357" t="s">
        <v>132</v>
      </c>
      <c r="C10" s="357"/>
      <c r="D10" s="357"/>
      <c r="E10" s="357"/>
      <c r="F10" s="357"/>
      <c r="G10" s="357"/>
      <c r="H10" s="6"/>
    </row>
    <row r="11" spans="1:8" ht="18" customHeight="1" x14ac:dyDescent="0.2">
      <c r="B11" s="357"/>
      <c r="C11" s="357"/>
      <c r="D11" s="357"/>
      <c r="E11" s="357"/>
      <c r="F11" s="357"/>
      <c r="G11" s="357"/>
      <c r="H11" s="6"/>
    </row>
    <row r="12" spans="1:8" ht="18" customHeight="1" x14ac:dyDescent="0.2">
      <c r="B12" s="357"/>
      <c r="C12" s="357"/>
      <c r="D12" s="357"/>
      <c r="E12" s="357"/>
      <c r="F12" s="357"/>
      <c r="G12" s="357"/>
      <c r="H12" s="6"/>
    </row>
    <row r="13" spans="1:8" ht="13.5" customHeight="1" x14ac:dyDescent="0.2">
      <c r="B13" s="299" t="s">
        <v>137</v>
      </c>
      <c r="C13" s="285" t="s">
        <v>133</v>
      </c>
      <c r="D13" s="285"/>
      <c r="E13" s="285"/>
      <c r="F13" s="285"/>
      <c r="G13" s="285"/>
      <c r="H13" s="6"/>
    </row>
    <row r="14" spans="1:8" ht="13.5" customHeight="1" x14ac:dyDescent="0.2">
      <c r="B14" s="358"/>
      <c r="C14" s="285"/>
      <c r="D14" s="285"/>
      <c r="E14" s="285"/>
      <c r="F14" s="285"/>
      <c r="G14" s="285"/>
      <c r="H14" s="6"/>
    </row>
    <row r="15" spans="1:8" ht="13.5" customHeight="1" x14ac:dyDescent="0.2">
      <c r="B15" s="299" t="s">
        <v>137</v>
      </c>
      <c r="C15" s="285" t="s">
        <v>134</v>
      </c>
      <c r="D15" s="285"/>
      <c r="E15" s="285"/>
      <c r="F15" s="285"/>
      <c r="G15" s="285"/>
      <c r="H15" s="6"/>
    </row>
    <row r="16" spans="1:8" ht="13.5" customHeight="1" x14ac:dyDescent="0.2">
      <c r="B16" s="358"/>
      <c r="C16" s="285"/>
      <c r="D16" s="285"/>
      <c r="E16" s="285"/>
      <c r="F16" s="285"/>
      <c r="G16" s="285"/>
      <c r="H16" s="6"/>
    </row>
    <row r="17" spans="2:8" ht="13.5" customHeight="1" x14ac:dyDescent="0.2">
      <c r="B17" s="8" t="s">
        <v>137</v>
      </c>
      <c r="C17" s="309" t="s">
        <v>135</v>
      </c>
      <c r="D17" s="309"/>
      <c r="E17" s="309"/>
      <c r="F17" s="309"/>
      <c r="G17" s="309"/>
      <c r="H17" s="6"/>
    </row>
    <row r="18" spans="2:8" ht="13.5" customHeight="1" x14ac:dyDescent="0.2">
      <c r="B18" s="299" t="s">
        <v>137</v>
      </c>
      <c r="C18" s="285" t="s">
        <v>136</v>
      </c>
      <c r="D18" s="285"/>
      <c r="E18" s="285"/>
      <c r="F18" s="285"/>
      <c r="G18" s="285"/>
      <c r="H18" s="6"/>
    </row>
    <row r="19" spans="2:8" ht="13.5" customHeight="1" x14ac:dyDescent="0.2">
      <c r="B19" s="299"/>
      <c r="C19" s="285"/>
      <c r="D19" s="285"/>
      <c r="E19" s="285"/>
      <c r="F19" s="285"/>
      <c r="G19" s="285"/>
      <c r="H19" s="6"/>
    </row>
    <row r="20" spans="2:8" ht="12" customHeight="1" x14ac:dyDescent="0.2">
      <c r="D20" s="46"/>
      <c r="E20" s="46"/>
      <c r="F20" s="46"/>
      <c r="G20" s="46"/>
      <c r="H20" s="6"/>
    </row>
    <row r="21" spans="2:8" ht="12" customHeight="1" x14ac:dyDescent="0.2">
      <c r="B21" s="285" t="s">
        <v>138</v>
      </c>
      <c r="C21" s="285"/>
      <c r="D21" s="285"/>
      <c r="E21" s="285"/>
      <c r="F21" s="285"/>
      <c r="G21" s="285"/>
      <c r="H21" s="6"/>
    </row>
    <row r="22" spans="2:8" ht="25.5" customHeight="1" x14ac:dyDescent="0.2">
      <c r="B22" s="47" t="s">
        <v>70</v>
      </c>
      <c r="C22" s="359"/>
      <c r="D22" s="360"/>
      <c r="E22" s="360"/>
      <c r="F22" s="360"/>
      <c r="G22" s="361"/>
      <c r="H22" s="6"/>
    </row>
    <row r="23" spans="2:8" ht="12" customHeight="1" x14ac:dyDescent="0.2">
      <c r="B23" s="47"/>
      <c r="C23" s="49"/>
      <c r="D23" s="49"/>
      <c r="E23" s="49"/>
      <c r="F23" s="49"/>
      <c r="G23" s="49"/>
      <c r="H23" s="6"/>
    </row>
    <row r="24" spans="2:8" ht="12" customHeight="1" x14ac:dyDescent="0.2">
      <c r="B24" s="47"/>
      <c r="C24" s="278" t="s">
        <v>139</v>
      </c>
      <c r="D24" s="278"/>
      <c r="E24" s="278"/>
      <c r="F24" s="67"/>
      <c r="G24" s="49"/>
      <c r="H24" s="6"/>
    </row>
    <row r="25" spans="2:8" ht="12" customHeight="1" x14ac:dyDescent="0.2">
      <c r="B25" s="47"/>
      <c r="C25" s="22"/>
      <c r="D25" s="22"/>
      <c r="E25" s="22"/>
      <c r="F25" s="49"/>
      <c r="G25" s="49"/>
      <c r="H25" s="6"/>
    </row>
    <row r="26" spans="2:8" ht="12" customHeight="1" x14ac:dyDescent="0.2">
      <c r="B26" s="47"/>
      <c r="C26" s="278" t="s">
        <v>140</v>
      </c>
      <c r="D26" s="278"/>
      <c r="E26" s="278"/>
      <c r="F26" s="67"/>
      <c r="G26" s="49"/>
      <c r="H26" s="6"/>
    </row>
    <row r="27" spans="2:8" ht="12" customHeight="1" x14ac:dyDescent="0.2">
      <c r="B27" s="47"/>
      <c r="C27" s="49"/>
      <c r="D27" s="49"/>
      <c r="E27" s="49"/>
      <c r="F27" s="49"/>
      <c r="G27" s="49"/>
      <c r="H27" s="6"/>
    </row>
    <row r="28" spans="2:8" ht="12" customHeight="1" x14ac:dyDescent="0.2">
      <c r="B28" s="47"/>
      <c r="C28" s="46"/>
      <c r="D28" s="46"/>
      <c r="E28" s="46"/>
      <c r="F28" s="46"/>
      <c r="G28" s="46"/>
      <c r="H28" s="6"/>
    </row>
    <row r="29" spans="2:8" ht="25.5" customHeight="1" x14ac:dyDescent="0.2">
      <c r="B29" s="47" t="s">
        <v>71</v>
      </c>
      <c r="C29" s="359"/>
      <c r="D29" s="360"/>
      <c r="E29" s="360"/>
      <c r="F29" s="360"/>
      <c r="G29" s="361"/>
      <c r="H29" s="6"/>
    </row>
    <row r="30" spans="2:8" ht="12" customHeight="1" x14ac:dyDescent="0.2">
      <c r="B30" s="47"/>
      <c r="C30" s="49"/>
      <c r="D30" s="49"/>
      <c r="E30" s="49"/>
      <c r="F30" s="49"/>
      <c r="G30" s="49"/>
      <c r="H30" s="6"/>
    </row>
    <row r="31" spans="2:8" ht="12" customHeight="1" x14ac:dyDescent="0.2">
      <c r="B31" s="47"/>
      <c r="C31" s="278" t="s">
        <v>139</v>
      </c>
      <c r="D31" s="278"/>
      <c r="E31" s="278"/>
      <c r="F31" s="67"/>
      <c r="G31" s="49"/>
      <c r="H31" s="6"/>
    </row>
    <row r="32" spans="2:8" ht="12" customHeight="1" x14ac:dyDescent="0.2">
      <c r="B32" s="47"/>
      <c r="C32" s="22"/>
      <c r="D32" s="22"/>
      <c r="E32" s="22"/>
      <c r="F32" s="49"/>
      <c r="G32" s="49"/>
      <c r="H32" s="6"/>
    </row>
    <row r="33" spans="2:8" ht="12" customHeight="1" x14ac:dyDescent="0.2">
      <c r="B33" s="47"/>
      <c r="C33" s="278" t="s">
        <v>140</v>
      </c>
      <c r="D33" s="278"/>
      <c r="E33" s="278"/>
      <c r="F33" s="67"/>
      <c r="G33" s="49"/>
      <c r="H33" s="6"/>
    </row>
    <row r="34" spans="2:8" ht="12" customHeight="1" x14ac:dyDescent="0.2">
      <c r="B34" s="47"/>
      <c r="C34" s="49"/>
      <c r="D34" s="49"/>
      <c r="E34" s="49"/>
      <c r="F34" s="49"/>
      <c r="G34" s="49"/>
      <c r="H34" s="6"/>
    </row>
    <row r="35" spans="2:8" ht="12" customHeight="1" x14ac:dyDescent="0.2">
      <c r="B35" s="47"/>
      <c r="C35" s="46"/>
      <c r="D35" s="46"/>
      <c r="E35" s="46"/>
      <c r="F35" s="46"/>
      <c r="G35" s="46"/>
      <c r="H35" s="6"/>
    </row>
    <row r="36" spans="2:8" ht="25.5" customHeight="1" x14ac:dyDescent="0.2">
      <c r="B36" s="47" t="s">
        <v>72</v>
      </c>
      <c r="C36" s="359"/>
      <c r="D36" s="360"/>
      <c r="E36" s="360"/>
      <c r="F36" s="360"/>
      <c r="G36" s="361"/>
      <c r="H36" s="6"/>
    </row>
    <row r="37" spans="2:8" ht="12" customHeight="1" x14ac:dyDescent="0.2">
      <c r="B37" s="47"/>
      <c r="C37" s="48"/>
      <c r="D37" s="48"/>
      <c r="E37" s="48"/>
      <c r="F37" s="48"/>
      <c r="G37" s="45"/>
      <c r="H37" s="6"/>
    </row>
    <row r="38" spans="2:8" ht="12" customHeight="1" x14ac:dyDescent="0.2">
      <c r="B38" s="47"/>
      <c r="C38" s="278" t="s">
        <v>139</v>
      </c>
      <c r="D38" s="278"/>
      <c r="E38" s="278"/>
      <c r="F38" s="67"/>
      <c r="G38" s="49"/>
      <c r="H38" s="6"/>
    </row>
    <row r="39" spans="2:8" ht="12" customHeight="1" x14ac:dyDescent="0.2">
      <c r="B39" s="47"/>
      <c r="C39" s="22"/>
      <c r="D39" s="22"/>
      <c r="E39" s="22"/>
      <c r="F39" s="49"/>
      <c r="G39" s="49"/>
      <c r="H39" s="6"/>
    </row>
    <row r="40" spans="2:8" ht="12" customHeight="1" x14ac:dyDescent="0.2">
      <c r="B40" s="47"/>
      <c r="C40" s="278" t="s">
        <v>140</v>
      </c>
      <c r="D40" s="278"/>
      <c r="E40" s="278"/>
      <c r="F40" s="67"/>
      <c r="G40" s="49"/>
      <c r="H40" s="6"/>
    </row>
    <row r="41" spans="2:8" ht="12" customHeight="1" x14ac:dyDescent="0.2">
      <c r="B41" s="48"/>
      <c r="C41" s="48"/>
      <c r="D41" s="48"/>
      <c r="E41" s="48"/>
      <c r="F41" s="48"/>
      <c r="G41" s="45"/>
      <c r="H41" s="6"/>
    </row>
    <row r="42" spans="2:8" ht="12.75" customHeight="1" x14ac:dyDescent="0.2">
      <c r="B42" s="48"/>
      <c r="C42" s="309" t="s">
        <v>141</v>
      </c>
      <c r="D42" s="309"/>
      <c r="E42" s="309"/>
      <c r="F42" s="309"/>
      <c r="G42" s="309"/>
      <c r="H42" s="6"/>
    </row>
    <row r="43" spans="2:8" ht="12.75" customHeight="1" x14ac:dyDescent="0.2">
      <c r="B43" s="48"/>
      <c r="C43" s="309"/>
      <c r="D43" s="309"/>
      <c r="E43" s="309"/>
      <c r="F43" s="309"/>
      <c r="G43" s="309"/>
      <c r="H43" s="6"/>
    </row>
    <row r="44" spans="2:8" ht="12.75" customHeight="1" x14ac:dyDescent="0.2">
      <c r="B44" s="281" t="s">
        <v>22</v>
      </c>
      <c r="C44" s="362"/>
      <c r="D44" s="363"/>
      <c r="E44" s="363"/>
      <c r="F44" s="363"/>
      <c r="G44" s="364"/>
      <c r="H44" s="6"/>
    </row>
    <row r="45" spans="2:8" ht="12.75" customHeight="1" x14ac:dyDescent="0.2">
      <c r="B45" s="281"/>
      <c r="C45" s="365"/>
      <c r="D45" s="366"/>
      <c r="E45" s="366"/>
      <c r="F45" s="366"/>
      <c r="G45" s="367"/>
      <c r="H45" s="6"/>
    </row>
    <row r="46" spans="2:8" ht="12.75" customHeight="1" x14ac:dyDescent="0.2">
      <c r="B46" s="281"/>
      <c r="C46" s="365"/>
      <c r="D46" s="366"/>
      <c r="E46" s="366"/>
      <c r="F46" s="366"/>
      <c r="G46" s="367"/>
      <c r="H46" s="6"/>
    </row>
    <row r="47" spans="2:8" ht="12.75" customHeight="1" x14ac:dyDescent="0.2">
      <c r="B47" s="281"/>
      <c r="C47" s="368"/>
      <c r="D47" s="369"/>
      <c r="E47" s="369"/>
      <c r="F47" s="369"/>
      <c r="G47" s="370"/>
      <c r="H47" s="6"/>
    </row>
    <row r="48" spans="2:8" ht="12" customHeight="1" x14ac:dyDescent="0.2">
      <c r="B48" s="20"/>
      <c r="C48" s="20"/>
      <c r="D48" s="20"/>
      <c r="E48" s="20"/>
      <c r="F48" s="20"/>
      <c r="G48" s="19"/>
      <c r="H48" s="6"/>
    </row>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sheetData>
  <sheetProtection password="9C31" sheet="1" objects="1" scenarios="1"/>
  <mergeCells count="26">
    <mergeCell ref="C22:G22"/>
    <mergeCell ref="C36:G36"/>
    <mergeCell ref="C24:E24"/>
    <mergeCell ref="C26:E26"/>
    <mergeCell ref="B44:B47"/>
    <mergeCell ref="C38:E38"/>
    <mergeCell ref="C40:E40"/>
    <mergeCell ref="C42:G43"/>
    <mergeCell ref="C44:G47"/>
    <mergeCell ref="C31:E31"/>
    <mergeCell ref="C33:E33"/>
    <mergeCell ref="C29:G29"/>
    <mergeCell ref="A1:A2"/>
    <mergeCell ref="B1:G2"/>
    <mergeCell ref="B21:G21"/>
    <mergeCell ref="C4:E4"/>
    <mergeCell ref="C6:E6"/>
    <mergeCell ref="C8:E8"/>
    <mergeCell ref="B10:G12"/>
    <mergeCell ref="C13:G14"/>
    <mergeCell ref="C17:G17"/>
    <mergeCell ref="C18:G19"/>
    <mergeCell ref="B13:B14"/>
    <mergeCell ref="B15:B16"/>
    <mergeCell ref="B18:B19"/>
    <mergeCell ref="C15:G16"/>
  </mergeCells>
  <phoneticPr fontId="3" type="noConversion"/>
  <pageMargins left="0.5" right="0.5" top="0.5" bottom="0.5" header="0.3" footer="0.3"/>
  <pageSetup orientation="portrait"/>
  <headerFooter alignWithMargins="0">
    <oddHeader>&amp;C&amp;K000000Chapter Journey to Excellence Workbook</oddHeader>
    <oddFooter>&amp;R&amp;K000000&amp;A</oddFooter>
  </headerFooter>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enableFormatConditionsCalculation="0"/>
  <dimension ref="A1:H69"/>
  <sheetViews>
    <sheetView showGridLines="0" workbookViewId="0">
      <selection activeCell="B1" sqref="B1:G1"/>
    </sheetView>
  </sheetViews>
  <sheetFormatPr defaultColWidth="8.85546875" defaultRowHeight="12.75" x14ac:dyDescent="0.2"/>
  <cols>
    <col min="1" max="1" width="6.85546875" style="7" customWidth="1"/>
    <col min="2" max="2" width="7.42578125" style="7" customWidth="1"/>
    <col min="3" max="3" width="5.7109375" style="7" customWidth="1"/>
    <col min="4" max="4" width="30" style="7" customWidth="1"/>
    <col min="5" max="5" width="9.85546875" style="7" customWidth="1"/>
    <col min="6" max="6" width="10.85546875" style="7" bestFit="1" customWidth="1"/>
    <col min="7" max="7" width="6.42578125" style="7" customWidth="1"/>
    <col min="8" max="16384" width="8.85546875" style="7"/>
  </cols>
  <sheetData>
    <row r="1" spans="1:8" x14ac:dyDescent="0.2">
      <c r="A1" s="299">
        <v>12</v>
      </c>
      <c r="B1" s="373" t="s">
        <v>248</v>
      </c>
      <c r="C1" s="309"/>
      <c r="D1" s="309"/>
      <c r="E1" s="309"/>
      <c r="F1" s="309"/>
      <c r="G1" s="309"/>
    </row>
    <row r="2" spans="1:8" x14ac:dyDescent="0.2">
      <c r="A2" s="299"/>
      <c r="B2" s="309"/>
      <c r="C2" s="309"/>
      <c r="D2" s="309"/>
      <c r="E2" s="309"/>
      <c r="F2" s="309"/>
      <c r="G2" s="309"/>
    </row>
    <row r="3" spans="1:8" x14ac:dyDescent="0.2">
      <c r="B3" s="3"/>
      <c r="C3" s="3"/>
      <c r="D3" s="3"/>
      <c r="E3" s="3"/>
      <c r="F3" s="3"/>
      <c r="G3" s="3"/>
    </row>
    <row r="4" spans="1:8" ht="12.75" customHeight="1" x14ac:dyDescent="0.2">
      <c r="C4" s="273" t="s">
        <v>286</v>
      </c>
      <c r="D4" s="273"/>
      <c r="E4" s="273"/>
      <c r="F4" s="274" t="s">
        <v>2</v>
      </c>
      <c r="G4" s="274">
        <v>75</v>
      </c>
    </row>
    <row r="5" spans="1:8" ht="12.75" customHeight="1" x14ac:dyDescent="0.2">
      <c r="C5" s="273"/>
      <c r="D5" s="273"/>
      <c r="E5" s="273"/>
      <c r="F5" s="274"/>
      <c r="G5" s="274"/>
    </row>
    <row r="6" spans="1:8" ht="12.75" customHeight="1" x14ac:dyDescent="0.2">
      <c r="C6" s="15"/>
      <c r="D6" s="15"/>
      <c r="E6" s="15"/>
      <c r="F6" s="21"/>
      <c r="G6" s="21"/>
    </row>
    <row r="7" spans="1:8" ht="12.75" customHeight="1" x14ac:dyDescent="0.2">
      <c r="C7" s="273" t="s">
        <v>287</v>
      </c>
      <c r="D7" s="273"/>
      <c r="E7" s="273"/>
      <c r="F7" s="274" t="s">
        <v>3</v>
      </c>
      <c r="G7" s="274">
        <v>100</v>
      </c>
    </row>
    <row r="8" spans="1:8" ht="12.75" customHeight="1" x14ac:dyDescent="0.2">
      <c r="C8" s="273"/>
      <c r="D8" s="273"/>
      <c r="E8" s="273"/>
      <c r="F8" s="274"/>
      <c r="G8" s="274"/>
    </row>
    <row r="9" spans="1:8" x14ac:dyDescent="0.2">
      <c r="C9" s="16"/>
      <c r="D9" s="16"/>
      <c r="E9" s="16"/>
      <c r="F9" s="43"/>
      <c r="G9" s="43"/>
    </row>
    <row r="10" spans="1:8" ht="12.75" customHeight="1" x14ac:dyDescent="0.2">
      <c r="C10" s="273" t="s">
        <v>288</v>
      </c>
      <c r="D10" s="273"/>
      <c r="E10" s="273"/>
      <c r="F10" s="274" t="s">
        <v>4</v>
      </c>
      <c r="G10" s="274">
        <v>200</v>
      </c>
    </row>
    <row r="11" spans="1:8" ht="12.75" customHeight="1" x14ac:dyDescent="0.2">
      <c r="C11" s="273"/>
      <c r="D11" s="273"/>
      <c r="E11" s="273"/>
      <c r="F11" s="274"/>
      <c r="G11" s="274"/>
    </row>
    <row r="12" spans="1:8" x14ac:dyDescent="0.2">
      <c r="C12" s="9"/>
      <c r="D12" s="9"/>
      <c r="E12" s="9"/>
      <c r="F12" s="10"/>
      <c r="G12" s="34"/>
      <c r="H12" s="6"/>
    </row>
    <row r="13" spans="1:8" ht="19.5" customHeight="1" x14ac:dyDescent="0.2">
      <c r="B13" s="357" t="s">
        <v>142</v>
      </c>
      <c r="C13" s="357"/>
      <c r="D13" s="357"/>
      <c r="E13" s="357"/>
      <c r="F13" s="357"/>
      <c r="G13" s="357"/>
      <c r="H13" s="6"/>
    </row>
    <row r="14" spans="1:8" ht="19.5" customHeight="1" x14ac:dyDescent="0.2">
      <c r="B14" s="357"/>
      <c r="C14" s="357"/>
      <c r="D14" s="357"/>
      <c r="E14" s="357"/>
      <c r="F14" s="357"/>
      <c r="G14" s="357"/>
      <c r="H14" s="6"/>
    </row>
    <row r="15" spans="1:8" ht="26.25" customHeight="1" x14ac:dyDescent="0.2">
      <c r="B15" s="48"/>
      <c r="C15" s="48"/>
      <c r="D15" s="48"/>
      <c r="E15" s="8" t="s">
        <v>145</v>
      </c>
      <c r="F15" s="6" t="s">
        <v>147</v>
      </c>
      <c r="G15" s="8" t="s">
        <v>146</v>
      </c>
      <c r="H15" s="6" t="s">
        <v>149</v>
      </c>
    </row>
    <row r="16" spans="1:8" ht="12" customHeight="1" x14ac:dyDescent="0.2">
      <c r="A16" s="374" t="s">
        <v>70</v>
      </c>
      <c r="B16" s="304" t="s">
        <v>143</v>
      </c>
      <c r="C16" s="304"/>
      <c r="D16" s="304"/>
      <c r="E16" s="371"/>
      <c r="F16" s="371"/>
      <c r="G16" s="371"/>
      <c r="H16" s="371"/>
    </row>
    <row r="17" spans="1:8" ht="12" customHeight="1" x14ac:dyDescent="0.2">
      <c r="A17" s="374"/>
      <c r="B17" s="375"/>
      <c r="C17" s="376"/>
      <c r="D17" s="376"/>
      <c r="E17" s="372"/>
      <c r="F17" s="372"/>
      <c r="G17" s="372"/>
      <c r="H17" s="372"/>
    </row>
    <row r="18" spans="1:8" ht="12" customHeight="1" x14ac:dyDescent="0.2">
      <c r="A18" s="50"/>
      <c r="B18" s="39"/>
      <c r="C18" s="39"/>
      <c r="D18" s="39"/>
      <c r="E18" s="13"/>
      <c r="G18" s="13"/>
      <c r="H18" s="13"/>
    </row>
    <row r="19" spans="1:8" ht="12" customHeight="1" x14ac:dyDescent="0.2">
      <c r="A19" s="374" t="s">
        <v>71</v>
      </c>
      <c r="B19" s="285" t="s">
        <v>144</v>
      </c>
      <c r="C19" s="285"/>
      <c r="D19" s="285"/>
      <c r="E19" s="371"/>
      <c r="F19" s="371"/>
      <c r="G19" s="371"/>
      <c r="H19" s="371"/>
    </row>
    <row r="20" spans="1:8" ht="12" customHeight="1" x14ac:dyDescent="0.2">
      <c r="A20" s="374"/>
      <c r="B20" s="375"/>
      <c r="C20" s="376"/>
      <c r="D20" s="376"/>
      <c r="E20" s="372"/>
      <c r="F20" s="372"/>
      <c r="G20" s="372"/>
      <c r="H20" s="372"/>
    </row>
    <row r="21" spans="1:8" ht="12" customHeight="1" x14ac:dyDescent="0.2">
      <c r="A21" s="47"/>
      <c r="B21" s="13"/>
      <c r="C21" s="13"/>
      <c r="D21" s="13"/>
      <c r="E21" s="13"/>
      <c r="G21" s="13"/>
      <c r="H21" s="13"/>
    </row>
    <row r="22" spans="1:8" ht="12" customHeight="1" x14ac:dyDescent="0.2">
      <c r="A22" s="374" t="s">
        <v>72</v>
      </c>
      <c r="B22" s="304" t="s">
        <v>148</v>
      </c>
      <c r="C22" s="304"/>
      <c r="D22" s="304"/>
      <c r="E22" s="371"/>
      <c r="F22" s="371"/>
      <c r="G22" s="371"/>
      <c r="H22" s="371"/>
    </row>
    <row r="23" spans="1:8" ht="12" customHeight="1" x14ac:dyDescent="0.2">
      <c r="A23" s="374"/>
      <c r="B23" s="375"/>
      <c r="C23" s="376"/>
      <c r="D23" s="376"/>
      <c r="E23" s="372"/>
      <c r="F23" s="372"/>
      <c r="G23" s="372"/>
      <c r="H23" s="372"/>
    </row>
    <row r="24" spans="1:8" ht="12" customHeight="1" x14ac:dyDescent="0.2">
      <c r="A24" s="47"/>
      <c r="B24" s="13"/>
      <c r="C24" s="13"/>
      <c r="D24" s="13"/>
      <c r="E24" s="13"/>
      <c r="F24" s="13"/>
      <c r="G24" s="13"/>
      <c r="H24" s="13"/>
    </row>
    <row r="25" spans="1:8" ht="12" customHeight="1" x14ac:dyDescent="0.2">
      <c r="A25" s="374" t="s">
        <v>73</v>
      </c>
      <c r="B25" s="304" t="s">
        <v>148</v>
      </c>
      <c r="C25" s="304"/>
      <c r="D25" s="304"/>
      <c r="E25" s="371"/>
      <c r="F25" s="371"/>
      <c r="G25" s="371"/>
      <c r="H25" s="371"/>
    </row>
    <row r="26" spans="1:8" ht="12" customHeight="1" x14ac:dyDescent="0.2">
      <c r="A26" s="374"/>
      <c r="B26" s="375"/>
      <c r="C26" s="376"/>
      <c r="D26" s="376"/>
      <c r="E26" s="372"/>
      <c r="F26" s="372"/>
      <c r="G26" s="372"/>
      <c r="H26" s="372"/>
    </row>
    <row r="27" spans="1:8" ht="12" customHeight="1" x14ac:dyDescent="0.2">
      <c r="A27" s="47"/>
      <c r="B27" s="13"/>
      <c r="C27" s="13"/>
      <c r="D27" s="13"/>
      <c r="E27" s="13"/>
      <c r="F27" s="13"/>
      <c r="G27" s="13"/>
      <c r="H27" s="13"/>
    </row>
    <row r="28" spans="1:8" ht="12" customHeight="1" x14ac:dyDescent="0.2">
      <c r="A28" s="374" t="s">
        <v>74</v>
      </c>
      <c r="B28" s="304" t="s">
        <v>148</v>
      </c>
      <c r="C28" s="304"/>
      <c r="D28" s="304"/>
      <c r="E28" s="371"/>
      <c r="F28" s="371"/>
      <c r="G28" s="371"/>
      <c r="H28" s="371"/>
    </row>
    <row r="29" spans="1:8" ht="12" customHeight="1" x14ac:dyDescent="0.2">
      <c r="A29" s="374"/>
      <c r="B29" s="375"/>
      <c r="C29" s="376"/>
      <c r="D29" s="376"/>
      <c r="E29" s="372"/>
      <c r="F29" s="372"/>
      <c r="G29" s="372"/>
      <c r="H29" s="372"/>
    </row>
    <row r="30" spans="1:8" ht="12" customHeight="1" x14ac:dyDescent="0.2">
      <c r="A30" s="47"/>
      <c r="B30" s="13"/>
      <c r="C30" s="13"/>
      <c r="D30" s="13"/>
      <c r="E30" s="13"/>
      <c r="F30" s="13"/>
      <c r="G30" s="13"/>
      <c r="H30" s="13"/>
    </row>
    <row r="31" spans="1:8" ht="12" customHeight="1" x14ac:dyDescent="0.2">
      <c r="A31" s="374" t="s">
        <v>103</v>
      </c>
      <c r="B31" s="304" t="s">
        <v>148</v>
      </c>
      <c r="C31" s="304"/>
      <c r="D31" s="304"/>
      <c r="E31" s="371"/>
      <c r="F31" s="371"/>
      <c r="G31" s="371"/>
      <c r="H31" s="371"/>
    </row>
    <row r="32" spans="1:8" ht="12" customHeight="1" x14ac:dyDescent="0.2">
      <c r="A32" s="374"/>
      <c r="B32" s="375"/>
      <c r="C32" s="376"/>
      <c r="D32" s="376"/>
      <c r="E32" s="372"/>
      <c r="F32" s="372"/>
      <c r="G32" s="372"/>
      <c r="H32" s="372"/>
    </row>
    <row r="33" spans="1:8" ht="12" customHeight="1" x14ac:dyDescent="0.2">
      <c r="A33" s="47"/>
      <c r="B33" s="5"/>
      <c r="C33" s="5"/>
      <c r="D33" s="5"/>
      <c r="E33" s="13"/>
      <c r="F33" s="13"/>
      <c r="G33" s="68">
        <f>SUM(G16:G32)</f>
        <v>0</v>
      </c>
      <c r="H33" s="13"/>
    </row>
    <row r="34" spans="1:8" ht="12" customHeight="1" x14ac:dyDescent="0.2">
      <c r="A34" s="47"/>
      <c r="B34" s="5"/>
      <c r="C34" s="5"/>
      <c r="D34" s="5"/>
      <c r="E34" s="13"/>
      <c r="F34" s="13"/>
      <c r="G34" s="13"/>
      <c r="H34" s="13"/>
    </row>
    <row r="35" spans="1:8" ht="12" customHeight="1" x14ac:dyDescent="0.2">
      <c r="A35" s="47"/>
      <c r="B35" s="285" t="str">
        <f>"Number of registered chapter members at end of "&amp;HIDE!B33&amp;"."</f>
        <v>Number of registered chapter members at end of 2014.</v>
      </c>
      <c r="C35" s="285"/>
      <c r="D35" s="285"/>
      <c r="E35" s="285"/>
      <c r="F35" s="209">
        <f>Worksheet!B22</f>
        <v>0</v>
      </c>
      <c r="G35" s="13"/>
      <c r="H35" s="13"/>
    </row>
    <row r="36" spans="1:8" ht="12" customHeight="1" x14ac:dyDescent="0.2">
      <c r="A36" s="47"/>
      <c r="B36" s="5"/>
      <c r="C36" s="5"/>
      <c r="D36" s="5"/>
      <c r="E36" s="13"/>
      <c r="F36" s="13"/>
      <c r="G36" s="13"/>
      <c r="H36" s="13"/>
    </row>
    <row r="37" spans="1:8" ht="12" customHeight="1" x14ac:dyDescent="0.2">
      <c r="A37" s="47"/>
      <c r="B37" s="285" t="s">
        <v>150</v>
      </c>
      <c r="C37" s="285"/>
      <c r="D37" s="285"/>
      <c r="E37" s="285"/>
      <c r="F37" s="69" t="str">
        <f>IF(F35&gt;0, G33/F35,"")</f>
        <v/>
      </c>
      <c r="G37" s="13"/>
      <c r="H37" s="13"/>
    </row>
    <row r="38" spans="1:8" ht="12" customHeight="1" x14ac:dyDescent="0.2">
      <c r="A38" s="47"/>
      <c r="B38" s="5"/>
      <c r="C38" s="5"/>
      <c r="D38" s="5"/>
      <c r="E38" s="13"/>
      <c r="F38" s="68" t="str">
        <f>IF(F37="", "-", IF(AND(G16&gt;0, G19&gt;0, F37&gt;=15), "GOLD", IF(AND(G16&gt;0, G19&gt;0, F37&gt;=6), "SILVER", IF(AND(G16&gt;0, G19&gt;0, F37&gt;=3.5), "BRONZE", "None"))))</f>
        <v>-</v>
      </c>
      <c r="G38" s="13"/>
      <c r="H38" s="13"/>
    </row>
    <row r="39" spans="1:8" ht="12" customHeight="1" x14ac:dyDescent="0.2">
      <c r="A39" s="47"/>
      <c r="B39" s="5"/>
      <c r="C39" s="5"/>
      <c r="D39" s="5"/>
      <c r="E39" s="13"/>
      <c r="F39" s="13"/>
      <c r="G39" s="13"/>
      <c r="H39" s="13"/>
    </row>
    <row r="40" spans="1:8" ht="25.5" customHeight="1" x14ac:dyDescent="0.2">
      <c r="C40" s="377" t="s">
        <v>151</v>
      </c>
      <c r="D40" s="377"/>
      <c r="E40" s="377"/>
      <c r="F40" s="377"/>
      <c r="G40" s="377"/>
      <c r="H40" s="6"/>
    </row>
    <row r="41" spans="1:8" ht="12.75" customHeight="1" x14ac:dyDescent="0.2">
      <c r="B41" s="281" t="s">
        <v>22</v>
      </c>
      <c r="C41" s="286"/>
      <c r="D41" s="287"/>
      <c r="E41" s="287"/>
      <c r="F41" s="287"/>
      <c r="G41" s="288"/>
      <c r="H41" s="6"/>
    </row>
    <row r="42" spans="1:8" ht="12.75" customHeight="1" x14ac:dyDescent="0.2">
      <c r="B42" s="281"/>
      <c r="C42" s="289"/>
      <c r="D42" s="290"/>
      <c r="E42" s="290"/>
      <c r="F42" s="290"/>
      <c r="G42" s="291"/>
      <c r="H42" s="6"/>
    </row>
    <row r="43" spans="1:8" ht="12.75" customHeight="1" x14ac:dyDescent="0.2">
      <c r="B43" s="281"/>
      <c r="C43" s="289"/>
      <c r="D43" s="290"/>
      <c r="E43" s="290"/>
      <c r="F43" s="290"/>
      <c r="G43" s="291"/>
      <c r="H43" s="6"/>
    </row>
    <row r="44" spans="1:8" ht="12.75" customHeight="1" x14ac:dyDescent="0.2">
      <c r="B44" s="281"/>
      <c r="C44" s="289"/>
      <c r="D44" s="290"/>
      <c r="E44" s="290"/>
      <c r="F44" s="290"/>
      <c r="G44" s="291"/>
      <c r="H44" s="6"/>
    </row>
    <row r="45" spans="1:8" ht="12.75" customHeight="1" x14ac:dyDescent="0.2">
      <c r="B45" s="281"/>
      <c r="C45" s="292"/>
      <c r="D45" s="293"/>
      <c r="E45" s="293"/>
      <c r="F45" s="293"/>
      <c r="G45" s="294"/>
      <c r="H45" s="6"/>
    </row>
    <row r="46" spans="1:8" ht="25.5" customHeight="1" x14ac:dyDescent="0.2">
      <c r="B46" s="47"/>
      <c r="C46" s="22"/>
      <c r="D46" s="22"/>
      <c r="E46" s="22"/>
      <c r="F46" s="26"/>
      <c r="G46" s="26"/>
      <c r="H46" s="6"/>
    </row>
    <row r="47" spans="1:8" ht="25.5" customHeight="1" x14ac:dyDescent="0.2">
      <c r="B47" s="47"/>
      <c r="C47" s="22"/>
      <c r="D47" s="22"/>
      <c r="E47" s="22"/>
      <c r="F47" s="26"/>
      <c r="G47" s="26"/>
      <c r="H47" s="6"/>
    </row>
    <row r="48" spans="1:8" ht="25.5" customHeight="1" x14ac:dyDescent="0.2">
      <c r="B48" s="47"/>
      <c r="C48" s="22"/>
      <c r="D48" s="22"/>
      <c r="E48" s="22"/>
      <c r="F48" s="26"/>
      <c r="G48" s="26"/>
      <c r="H48" s="6"/>
    </row>
    <row r="49" spans="2:8" ht="25.5" customHeight="1" x14ac:dyDescent="0.2">
      <c r="B49" s="47"/>
      <c r="C49" s="22"/>
      <c r="D49" s="22"/>
      <c r="E49" s="22"/>
      <c r="F49" s="26"/>
      <c r="G49" s="26"/>
      <c r="H49" s="6"/>
    </row>
    <row r="50" spans="2:8" ht="25.5" customHeight="1" x14ac:dyDescent="0.2">
      <c r="B50" s="47"/>
      <c r="C50" s="22"/>
      <c r="D50" s="22"/>
      <c r="E50" s="22"/>
      <c r="F50" s="26"/>
      <c r="G50" s="26"/>
      <c r="H50" s="6"/>
    </row>
    <row r="51" spans="2:8" ht="25.5" customHeight="1" x14ac:dyDescent="0.2">
      <c r="B51" s="47"/>
      <c r="C51" s="22"/>
      <c r="D51" s="22"/>
      <c r="E51" s="22"/>
      <c r="F51" s="26"/>
      <c r="G51" s="26"/>
      <c r="H51" s="6"/>
    </row>
    <row r="52" spans="2:8" ht="25.5" customHeight="1" x14ac:dyDescent="0.2">
      <c r="B52" s="47"/>
      <c r="C52" s="22"/>
      <c r="D52" s="22"/>
      <c r="E52" s="22"/>
      <c r="F52" s="26"/>
      <c r="G52" s="26"/>
      <c r="H52" s="6"/>
    </row>
    <row r="53" spans="2:8" ht="25.5" customHeight="1" x14ac:dyDescent="0.2">
      <c r="B53" s="47"/>
      <c r="C53" s="22"/>
      <c r="D53" s="22"/>
      <c r="E53" s="22"/>
      <c r="F53" s="26"/>
      <c r="G53" s="26"/>
      <c r="H53" s="6"/>
    </row>
    <row r="54" spans="2:8" ht="25.5" customHeight="1" x14ac:dyDescent="0.2">
      <c r="B54" s="47"/>
      <c r="C54" s="22"/>
      <c r="D54" s="22"/>
      <c r="E54" s="22"/>
      <c r="F54" s="26"/>
      <c r="G54" s="26"/>
      <c r="H54" s="6"/>
    </row>
    <row r="55" spans="2:8" ht="25.5" customHeight="1" x14ac:dyDescent="0.2">
      <c r="B55" s="47"/>
      <c r="C55" s="22"/>
      <c r="D55" s="22"/>
      <c r="E55" s="22"/>
      <c r="F55" s="26"/>
      <c r="G55" s="26"/>
      <c r="H55" s="6"/>
    </row>
    <row r="56" spans="2:8" ht="25.5" customHeight="1" x14ac:dyDescent="0.2">
      <c r="B56" s="47"/>
      <c r="C56" s="22"/>
      <c r="D56" s="22"/>
      <c r="E56" s="22"/>
      <c r="F56" s="26"/>
      <c r="G56" s="26"/>
      <c r="H56" s="6"/>
    </row>
    <row r="57" spans="2:8" ht="25.5" customHeight="1" x14ac:dyDescent="0.2">
      <c r="B57" s="47"/>
      <c r="C57" s="22"/>
      <c r="D57" s="22"/>
      <c r="E57" s="22"/>
      <c r="F57" s="26"/>
      <c r="G57" s="26"/>
      <c r="H57" s="6"/>
    </row>
    <row r="58" spans="2:8" ht="25.5" customHeight="1" x14ac:dyDescent="0.2">
      <c r="B58" s="47"/>
      <c r="C58" s="22"/>
      <c r="D58" s="22"/>
      <c r="E58" s="22"/>
      <c r="F58" s="26"/>
      <c r="G58" s="26"/>
      <c r="H58" s="6"/>
    </row>
    <row r="59" spans="2:8" ht="25.5" customHeight="1" x14ac:dyDescent="0.2">
      <c r="B59" s="47"/>
      <c r="C59" s="22"/>
      <c r="D59" s="22"/>
      <c r="E59" s="22"/>
      <c r="F59" s="26"/>
      <c r="G59" s="26"/>
      <c r="H59" s="6"/>
    </row>
    <row r="60" spans="2:8" ht="25.5" customHeight="1" x14ac:dyDescent="0.2">
      <c r="B60" s="47"/>
      <c r="C60" s="22"/>
      <c r="D60" s="22"/>
      <c r="E60" s="22"/>
      <c r="F60" s="26"/>
      <c r="G60" s="26"/>
      <c r="H60" s="6"/>
    </row>
    <row r="61" spans="2:8" ht="25.5" customHeight="1" x14ac:dyDescent="0.2">
      <c r="B61" s="47"/>
      <c r="C61" s="22"/>
      <c r="D61" s="22"/>
      <c r="E61" s="22"/>
      <c r="F61" s="26"/>
      <c r="G61" s="26"/>
      <c r="H61" s="6"/>
    </row>
    <row r="62" spans="2:8" ht="25.5" customHeight="1" x14ac:dyDescent="0.2">
      <c r="B62" s="47"/>
      <c r="C62" s="22"/>
      <c r="D62" s="22"/>
      <c r="E62" s="22"/>
      <c r="F62" s="26"/>
      <c r="G62" s="26"/>
      <c r="H62" s="6"/>
    </row>
    <row r="63" spans="2:8" ht="25.5" customHeight="1" x14ac:dyDescent="0.2">
      <c r="B63" s="47"/>
      <c r="C63" s="22"/>
      <c r="D63" s="22"/>
      <c r="E63" s="22"/>
      <c r="F63" s="26"/>
      <c r="G63" s="26"/>
      <c r="H63" s="6"/>
    </row>
    <row r="64" spans="2:8" ht="25.5" customHeight="1" x14ac:dyDescent="0.2">
      <c r="B64" s="47"/>
      <c r="C64" s="22"/>
      <c r="D64" s="22"/>
      <c r="E64" s="22"/>
      <c r="F64" s="26"/>
      <c r="G64" s="26"/>
      <c r="H64" s="6"/>
    </row>
    <row r="65" spans="2:8" ht="25.5" customHeight="1" x14ac:dyDescent="0.2">
      <c r="B65" s="47"/>
      <c r="C65" s="22"/>
      <c r="D65" s="22"/>
      <c r="E65" s="22"/>
      <c r="F65" s="26"/>
      <c r="G65" s="26"/>
      <c r="H65" s="6"/>
    </row>
    <row r="66" spans="2:8" ht="12.75" customHeight="1" x14ac:dyDescent="0.2"/>
    <row r="67" spans="2:8" ht="12.75" customHeight="1" x14ac:dyDescent="0.2"/>
    <row r="68" spans="2:8" ht="12.75" customHeight="1" x14ac:dyDescent="0.2"/>
    <row r="69" spans="2:8" ht="12.75" customHeight="1" x14ac:dyDescent="0.2"/>
  </sheetData>
  <sheetProtection password="9C31" sheet="1" objects="1" scenarios="1"/>
  <mergeCells count="59">
    <mergeCell ref="B35:E35"/>
    <mergeCell ref="B31:D31"/>
    <mergeCell ref="B41:B45"/>
    <mergeCell ref="C41:G45"/>
    <mergeCell ref="H16:H17"/>
    <mergeCell ref="H19:H20"/>
    <mergeCell ref="H22:H23"/>
    <mergeCell ref="H25:H26"/>
    <mergeCell ref="H28:H29"/>
    <mergeCell ref="H31:H32"/>
    <mergeCell ref="E28:E29"/>
    <mergeCell ref="B37:E37"/>
    <mergeCell ref="C40:G40"/>
    <mergeCell ref="E31:E32"/>
    <mergeCell ref="F31:F32"/>
    <mergeCell ref="G31:G32"/>
    <mergeCell ref="E25:E26"/>
    <mergeCell ref="F25:F26"/>
    <mergeCell ref="G16:G17"/>
    <mergeCell ref="G19:G20"/>
    <mergeCell ref="F16:F17"/>
    <mergeCell ref="F19:F20"/>
    <mergeCell ref="E16:E17"/>
    <mergeCell ref="E19:E20"/>
    <mergeCell ref="E22:E23"/>
    <mergeCell ref="G25:G26"/>
    <mergeCell ref="F22:F23"/>
    <mergeCell ref="G22:G23"/>
    <mergeCell ref="B22:D22"/>
    <mergeCell ref="B19:D19"/>
    <mergeCell ref="B17:D17"/>
    <mergeCell ref="B20:D20"/>
    <mergeCell ref="A22:A23"/>
    <mergeCell ref="A19:A20"/>
    <mergeCell ref="B23:D23"/>
    <mergeCell ref="A16:A17"/>
    <mergeCell ref="B16:D16"/>
    <mergeCell ref="A31:A32"/>
    <mergeCell ref="B26:D26"/>
    <mergeCell ref="B29:D29"/>
    <mergeCell ref="B32:D32"/>
    <mergeCell ref="B25:D25"/>
    <mergeCell ref="B28:D28"/>
    <mergeCell ref="F28:F29"/>
    <mergeCell ref="G28:G29"/>
    <mergeCell ref="A1:A2"/>
    <mergeCell ref="B1:G2"/>
    <mergeCell ref="B13:G14"/>
    <mergeCell ref="C4:E5"/>
    <mergeCell ref="C7:E8"/>
    <mergeCell ref="C10:E11"/>
    <mergeCell ref="F4:F5"/>
    <mergeCell ref="G4:G5"/>
    <mergeCell ref="F7:F8"/>
    <mergeCell ref="G7:G8"/>
    <mergeCell ref="F10:F11"/>
    <mergeCell ref="G10:G11"/>
    <mergeCell ref="A25:A26"/>
    <mergeCell ref="A28:A29"/>
  </mergeCells>
  <phoneticPr fontId="3" type="noConversion"/>
  <pageMargins left="0.5" right="0.5" top="0.5" bottom="0.5" header="0.3" footer="0.3"/>
  <pageSetup orientation="portrait"/>
  <headerFooter alignWithMargins="0">
    <oddHeader>&amp;C&amp;K000000Chapter Journey to Excellence Workbook</oddHeader>
    <oddFooter>&amp;R&amp;K000000&amp;A</oddFooter>
  </headerFooter>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enableFormatConditionsCalculation="0"/>
  <dimension ref="A1:G45"/>
  <sheetViews>
    <sheetView showGridLines="0" workbookViewId="0">
      <selection activeCell="B1" sqref="B1:G1"/>
    </sheetView>
  </sheetViews>
  <sheetFormatPr defaultColWidth="8.85546875" defaultRowHeight="12.75" x14ac:dyDescent="0.2"/>
  <cols>
    <col min="1" max="1" width="6.85546875" style="7" customWidth="1"/>
    <col min="2" max="2" width="5.7109375" style="7" bestFit="1" customWidth="1"/>
    <col min="3" max="3" width="5.7109375" style="7" customWidth="1"/>
    <col min="4" max="4" width="36.42578125" style="7" customWidth="1"/>
    <col min="5" max="5" width="11.28515625" style="7" customWidth="1"/>
    <col min="6" max="6" width="11.42578125" style="7" bestFit="1" customWidth="1"/>
    <col min="7" max="7" width="4" style="7" bestFit="1" customWidth="1"/>
    <col min="8" max="16384" width="8.85546875" style="7"/>
  </cols>
  <sheetData>
    <row r="1" spans="1:7" ht="27.75" customHeight="1" x14ac:dyDescent="0.2">
      <c r="A1" s="8">
        <v>13</v>
      </c>
      <c r="B1" s="285" t="s">
        <v>152</v>
      </c>
      <c r="C1" s="285"/>
      <c r="D1" s="285"/>
      <c r="E1" s="285"/>
      <c r="F1" s="285"/>
      <c r="G1" s="285"/>
    </row>
    <row r="2" spans="1:7" x14ac:dyDescent="0.2">
      <c r="B2" s="3"/>
      <c r="C2" s="3"/>
      <c r="D2" s="3"/>
      <c r="E2" s="3"/>
      <c r="F2" s="3"/>
      <c r="G2" s="3"/>
    </row>
    <row r="3" spans="1:7" ht="12.75" customHeight="1" x14ac:dyDescent="0.2">
      <c r="C3" s="273" t="s">
        <v>153</v>
      </c>
      <c r="D3" s="273"/>
      <c r="E3" s="273"/>
      <c r="F3" s="15" t="s">
        <v>2</v>
      </c>
      <c r="G3" s="15">
        <v>75</v>
      </c>
    </row>
    <row r="4" spans="1:7" x14ac:dyDescent="0.2">
      <c r="C4" s="16"/>
      <c r="D4" s="16"/>
      <c r="E4" s="16"/>
      <c r="F4" s="16"/>
      <c r="G4" s="16"/>
    </row>
    <row r="5" spans="1:7" ht="12.75" customHeight="1" x14ac:dyDescent="0.2">
      <c r="C5" s="273" t="s">
        <v>154</v>
      </c>
      <c r="D5" s="273"/>
      <c r="E5" s="273"/>
      <c r="F5" s="15" t="s">
        <v>3</v>
      </c>
      <c r="G5" s="15">
        <v>100</v>
      </c>
    </row>
    <row r="6" spans="1:7" x14ac:dyDescent="0.2">
      <c r="C6" s="273"/>
      <c r="D6" s="273"/>
      <c r="E6" s="273"/>
      <c r="F6" s="15"/>
      <c r="G6" s="15"/>
    </row>
    <row r="7" spans="1:7" x14ac:dyDescent="0.2">
      <c r="C7" s="16"/>
      <c r="D7" s="16"/>
      <c r="E7" s="16"/>
      <c r="F7" s="16"/>
      <c r="G7" s="16"/>
    </row>
    <row r="8" spans="1:7" ht="12.75" customHeight="1" x14ac:dyDescent="0.2">
      <c r="C8" s="273" t="s">
        <v>155</v>
      </c>
      <c r="D8" s="273"/>
      <c r="E8" s="273"/>
      <c r="F8" s="15" t="s">
        <v>4</v>
      </c>
      <c r="G8" s="15">
        <v>200</v>
      </c>
    </row>
    <row r="9" spans="1:7" x14ac:dyDescent="0.2">
      <c r="C9" s="273"/>
      <c r="D9" s="273"/>
      <c r="E9" s="273"/>
      <c r="F9" s="15"/>
      <c r="G9" s="15"/>
    </row>
    <row r="10" spans="1:7" x14ac:dyDescent="0.2">
      <c r="C10" s="9"/>
      <c r="D10" s="9"/>
      <c r="E10" s="9"/>
      <c r="F10" s="10"/>
      <c r="G10" s="10"/>
    </row>
    <row r="11" spans="1:7" x14ac:dyDescent="0.2">
      <c r="B11" s="279" t="s">
        <v>156</v>
      </c>
      <c r="C11" s="279"/>
      <c r="D11" s="279"/>
      <c r="E11" s="279"/>
      <c r="F11" s="279"/>
      <c r="G11" s="279"/>
    </row>
    <row r="12" spans="1:7" x14ac:dyDescent="0.2">
      <c r="B12" s="279"/>
      <c r="C12" s="279"/>
      <c r="D12" s="279"/>
      <c r="E12" s="279"/>
      <c r="F12" s="279"/>
      <c r="G12" s="279"/>
    </row>
    <row r="13" spans="1:7" x14ac:dyDescent="0.2">
      <c r="C13" s="3"/>
      <c r="D13" s="3"/>
      <c r="E13" s="3"/>
      <c r="F13" s="1"/>
      <c r="G13" s="1"/>
    </row>
    <row r="14" spans="1:7" ht="20.25" customHeight="1" x14ac:dyDescent="0.2">
      <c r="B14" s="282" t="s">
        <v>15</v>
      </c>
      <c r="C14" s="285" t="s">
        <v>158</v>
      </c>
      <c r="D14" s="285"/>
      <c r="E14" s="286"/>
      <c r="F14" s="288"/>
    </row>
    <row r="15" spans="1:7" ht="20.25" customHeight="1" x14ac:dyDescent="0.2">
      <c r="B15" s="283"/>
      <c r="C15" s="285"/>
      <c r="D15" s="285"/>
      <c r="E15" s="292"/>
      <c r="F15" s="294"/>
      <c r="G15" s="1"/>
    </row>
    <row r="16" spans="1:7" x14ac:dyDescent="0.2">
      <c r="B16" s="283"/>
      <c r="C16" s="3"/>
      <c r="D16" s="3"/>
      <c r="E16" s="3"/>
      <c r="F16" s="1"/>
      <c r="G16" s="1"/>
    </row>
    <row r="17" spans="2:7" x14ac:dyDescent="0.2">
      <c r="B17" s="283"/>
      <c r="C17" s="285" t="s">
        <v>159</v>
      </c>
      <c r="D17" s="285"/>
      <c r="E17" s="384"/>
      <c r="F17" s="385"/>
      <c r="G17" s="1"/>
    </row>
    <row r="18" spans="2:7" x14ac:dyDescent="0.2">
      <c r="B18" s="283"/>
      <c r="C18" s="3"/>
      <c r="D18" s="3"/>
      <c r="E18" s="3"/>
      <c r="F18" s="1"/>
      <c r="G18" s="1"/>
    </row>
    <row r="19" spans="2:7" ht="12.75" customHeight="1" x14ac:dyDescent="0.2">
      <c r="B19" s="283"/>
      <c r="C19" s="304" t="s">
        <v>157</v>
      </c>
      <c r="D19" s="304"/>
      <c r="E19" s="304"/>
      <c r="F19" s="304"/>
      <c r="G19" s="304"/>
    </row>
    <row r="20" spans="2:7" ht="12.75" customHeight="1" x14ac:dyDescent="0.2">
      <c r="B20" s="283"/>
      <c r="C20" s="386"/>
      <c r="D20" s="386"/>
      <c r="E20" s="386"/>
      <c r="F20" s="386"/>
      <c r="G20" s="386"/>
    </row>
    <row r="21" spans="2:7" ht="12.75" customHeight="1" x14ac:dyDescent="0.2">
      <c r="B21" s="283"/>
      <c r="C21" s="287"/>
      <c r="D21" s="287"/>
      <c r="E21" s="287"/>
      <c r="F21" s="287"/>
      <c r="G21" s="288"/>
    </row>
    <row r="22" spans="2:7" x14ac:dyDescent="0.2">
      <c r="B22" s="283"/>
      <c r="C22" s="290"/>
      <c r="D22" s="290"/>
      <c r="E22" s="290"/>
      <c r="F22" s="290"/>
      <c r="G22" s="291"/>
    </row>
    <row r="23" spans="2:7" ht="9.75" customHeight="1" x14ac:dyDescent="0.2">
      <c r="B23" s="283"/>
      <c r="C23" s="290"/>
      <c r="D23" s="290"/>
      <c r="E23" s="290"/>
      <c r="F23" s="290"/>
      <c r="G23" s="291"/>
    </row>
    <row r="24" spans="2:7" ht="12.75" customHeight="1" x14ac:dyDescent="0.2">
      <c r="B24" s="283"/>
      <c r="C24" s="290"/>
      <c r="D24" s="290"/>
      <c r="E24" s="290"/>
      <c r="F24" s="290"/>
      <c r="G24" s="291"/>
    </row>
    <row r="25" spans="2:7" ht="12.75" customHeight="1" x14ac:dyDescent="0.2">
      <c r="B25" s="284"/>
      <c r="C25" s="293"/>
      <c r="D25" s="293"/>
      <c r="E25" s="293"/>
      <c r="F25" s="293"/>
      <c r="G25" s="294"/>
    </row>
    <row r="26" spans="2:7" s="29" customFormat="1" x14ac:dyDescent="0.2"/>
    <row r="27" spans="2:7" s="29" customFormat="1" ht="18.75" customHeight="1" x14ac:dyDescent="0.2">
      <c r="B27" s="282" t="s">
        <v>160</v>
      </c>
      <c r="C27" s="309" t="str">
        <f>"Number of units in the district in "&amp;HIDE!B34&amp;"."</f>
        <v>Number of units in the district in 2013.</v>
      </c>
      <c r="D27" s="309"/>
      <c r="E27" s="309"/>
      <c r="F27" s="382">
        <f>Worksheet!B43</f>
        <v>0</v>
      </c>
      <c r="G27" s="383"/>
    </row>
    <row r="28" spans="2:7" s="29" customFormat="1" x14ac:dyDescent="0.2">
      <c r="B28" s="283"/>
    </row>
    <row r="29" spans="2:7" s="29" customFormat="1" ht="18.75" customHeight="1" x14ac:dyDescent="0.2">
      <c r="B29" s="283"/>
      <c r="C29" s="309" t="str">
        <f>"Number of units contacted in district in "&amp;HIDE!B34&amp;"."</f>
        <v>Number of units contacted in district in 2013.</v>
      </c>
      <c r="D29" s="309"/>
      <c r="E29" s="309"/>
      <c r="F29" s="384"/>
      <c r="G29" s="385"/>
    </row>
    <row r="30" spans="2:7" s="29" customFormat="1" x14ac:dyDescent="0.2">
      <c r="B30" s="283"/>
    </row>
    <row r="31" spans="2:7" s="29" customFormat="1" x14ac:dyDescent="0.2">
      <c r="B31" s="284"/>
      <c r="C31" s="309" t="str">
        <f>"Percentage of units contacted in "&amp;HIDE!B34&amp;"."</f>
        <v>Percentage of units contacted in 2013.</v>
      </c>
      <c r="D31" s="309"/>
      <c r="F31" s="378" t="str">
        <f>IF(F27&lt;&gt;0, F29/F27, "-")</f>
        <v>-</v>
      </c>
      <c r="G31" s="379"/>
    </row>
    <row r="32" spans="2:7" s="29" customFormat="1" x14ac:dyDescent="0.2">
      <c r="B32" s="51"/>
    </row>
    <row r="33" spans="2:7" s="29" customFormat="1" ht="18" customHeight="1" x14ac:dyDescent="0.2">
      <c r="B33" s="282" t="s">
        <v>28</v>
      </c>
      <c r="C33" s="309" t="str">
        <f>"Number of units in the district in "&amp;HIDE!B33&amp;"."</f>
        <v>Number of units in the district in 2014.</v>
      </c>
      <c r="D33" s="309"/>
      <c r="E33" s="309"/>
      <c r="F33" s="382">
        <f>Worksheet!B45</f>
        <v>0</v>
      </c>
      <c r="G33" s="383"/>
    </row>
    <row r="34" spans="2:7" s="29" customFormat="1" ht="10.5" customHeight="1" x14ac:dyDescent="0.2">
      <c r="B34" s="283"/>
    </row>
    <row r="35" spans="2:7" s="29" customFormat="1" ht="18" customHeight="1" x14ac:dyDescent="0.2">
      <c r="B35" s="283"/>
      <c r="C35" s="309" t="str">
        <f>"Number of units contacted in district in "&amp;HIDE!B33&amp;"."</f>
        <v>Number of units contacted in district in 2014.</v>
      </c>
      <c r="D35" s="309"/>
      <c r="E35" s="309"/>
      <c r="F35" s="384"/>
      <c r="G35" s="385"/>
    </row>
    <row r="36" spans="2:7" s="29" customFormat="1" x14ac:dyDescent="0.2">
      <c r="B36" s="283"/>
    </row>
    <row r="37" spans="2:7" s="29" customFormat="1" x14ac:dyDescent="0.2">
      <c r="B37" s="284"/>
      <c r="C37" s="309" t="str">
        <f>"Percentage of units contacted in "&amp;HIDE!B33&amp;"."</f>
        <v>Percentage of units contacted in 2014.</v>
      </c>
      <c r="D37" s="309"/>
      <c r="E37" s="309"/>
      <c r="F37" s="378" t="str">
        <f>IF(F33&lt;&gt;0, F35/F33, "-")</f>
        <v>-</v>
      </c>
      <c r="G37" s="379"/>
    </row>
    <row r="38" spans="2:7" x14ac:dyDescent="0.2">
      <c r="F38" s="380" t="str">
        <f>IF(OR(F37="-",F31="-"),"-",IF(OR(F37*100&gt;=85,AND((F37*100)-(F31*100)&gt;=3,F31*100&gt;=80)),"GOLD",IF(OR(F37*100&gt;=80,AND((F37*100)-(F31*100)&gt;=3,F31*100&gt;=75)),"SILVER",IF(OR(F37*100&gt;=75,(F37*100)-(F31*100)&gt;=3),"BRONZE","NONE"))))</f>
        <v>-</v>
      </c>
      <c r="G38" s="381"/>
    </row>
    <row r="40" spans="2:7" x14ac:dyDescent="0.2">
      <c r="C40" s="285" t="s">
        <v>161</v>
      </c>
      <c r="D40" s="285"/>
      <c r="E40" s="285"/>
      <c r="F40" s="285"/>
      <c r="G40" s="285"/>
    </row>
    <row r="41" spans="2:7" x14ac:dyDescent="0.2">
      <c r="B41" s="281" t="s">
        <v>22</v>
      </c>
      <c r="C41" s="286"/>
      <c r="D41" s="287"/>
      <c r="E41" s="287"/>
      <c r="F41" s="287"/>
      <c r="G41" s="288"/>
    </row>
    <row r="42" spans="2:7" x14ac:dyDescent="0.2">
      <c r="B42" s="281"/>
      <c r="C42" s="289"/>
      <c r="D42" s="290"/>
      <c r="E42" s="290"/>
      <c r="F42" s="290"/>
      <c r="G42" s="291"/>
    </row>
    <row r="43" spans="2:7" x14ac:dyDescent="0.2">
      <c r="B43" s="281"/>
      <c r="C43" s="289"/>
      <c r="D43" s="290"/>
      <c r="E43" s="290"/>
      <c r="F43" s="290"/>
      <c r="G43" s="291"/>
    </row>
    <row r="44" spans="2:7" x14ac:dyDescent="0.2">
      <c r="B44" s="281"/>
      <c r="C44" s="289"/>
      <c r="D44" s="290"/>
      <c r="E44" s="290"/>
      <c r="F44" s="290"/>
      <c r="G44" s="291"/>
    </row>
    <row r="45" spans="2:7" x14ac:dyDescent="0.2">
      <c r="B45" s="281"/>
      <c r="C45" s="292"/>
      <c r="D45" s="293"/>
      <c r="E45" s="293"/>
      <c r="F45" s="293"/>
      <c r="G45" s="294"/>
    </row>
  </sheetData>
  <sheetProtection password="9C31" sheet="1" objects="1" scenarios="1"/>
  <mergeCells count="30">
    <mergeCell ref="B11:G12"/>
    <mergeCell ref="B1:G1"/>
    <mergeCell ref="C3:E3"/>
    <mergeCell ref="C5:E6"/>
    <mergeCell ref="C8:E9"/>
    <mergeCell ref="C31:D31"/>
    <mergeCell ref="B14:B25"/>
    <mergeCell ref="C27:E27"/>
    <mergeCell ref="C29:E29"/>
    <mergeCell ref="C21:G25"/>
    <mergeCell ref="B27:B31"/>
    <mergeCell ref="F27:G27"/>
    <mergeCell ref="F29:G29"/>
    <mergeCell ref="F31:G31"/>
    <mergeCell ref="C19:G20"/>
    <mergeCell ref="C14:D15"/>
    <mergeCell ref="E14:F15"/>
    <mergeCell ref="C17:D17"/>
    <mergeCell ref="E17:F17"/>
    <mergeCell ref="B41:B45"/>
    <mergeCell ref="C41:G45"/>
    <mergeCell ref="C37:E37"/>
    <mergeCell ref="B33:B37"/>
    <mergeCell ref="F37:G37"/>
    <mergeCell ref="F38:G38"/>
    <mergeCell ref="C40:G40"/>
    <mergeCell ref="C33:E33"/>
    <mergeCell ref="F33:G33"/>
    <mergeCell ref="C35:E35"/>
    <mergeCell ref="F35:G35"/>
  </mergeCells>
  <phoneticPr fontId="3" type="noConversion"/>
  <pageMargins left="0.5" right="0.5" top="0.5" bottom="0.5" header="0.3" footer="0.3"/>
  <pageSetup orientation="portrait"/>
  <headerFooter alignWithMargins="0">
    <oddHeader>&amp;C&amp;K000000Chapter Journey to Excellence Workbook</oddHeader>
    <oddFooter>&amp;R&amp;K000000&amp;A</oddFooter>
  </headerFooter>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enableFormatConditionsCalculation="0"/>
  <dimension ref="A1:H52"/>
  <sheetViews>
    <sheetView showGridLines="0" workbookViewId="0">
      <selection activeCell="B1" sqref="B1:G1"/>
    </sheetView>
  </sheetViews>
  <sheetFormatPr defaultColWidth="8.85546875" defaultRowHeight="12.75" x14ac:dyDescent="0.2"/>
  <cols>
    <col min="1" max="1" width="6.85546875" style="55" customWidth="1"/>
    <col min="2" max="2" width="7.42578125" style="55" customWidth="1"/>
    <col min="3" max="3" width="5.7109375" style="55" customWidth="1"/>
    <col min="4" max="4" width="36.42578125" style="55" customWidth="1"/>
    <col min="5" max="5" width="11.28515625" style="55" customWidth="1"/>
    <col min="6" max="6" width="7.42578125" style="55" bestFit="1" customWidth="1"/>
    <col min="7" max="7" width="4" style="55" bestFit="1" customWidth="1"/>
    <col min="8" max="16384" width="8.85546875" style="55"/>
  </cols>
  <sheetData>
    <row r="1" spans="1:8" x14ac:dyDescent="0.2">
      <c r="A1" s="390">
        <v>14</v>
      </c>
      <c r="B1" s="391" t="s">
        <v>162</v>
      </c>
      <c r="C1" s="258"/>
      <c r="D1" s="258"/>
      <c r="E1" s="258"/>
      <c r="F1" s="258"/>
      <c r="G1" s="258"/>
    </row>
    <row r="2" spans="1:8" x14ac:dyDescent="0.2">
      <c r="A2" s="390"/>
      <c r="B2" s="258"/>
      <c r="C2" s="258"/>
      <c r="D2" s="258"/>
      <c r="E2" s="258"/>
      <c r="F2" s="258"/>
      <c r="G2" s="258"/>
    </row>
    <row r="3" spans="1:8" x14ac:dyDescent="0.2">
      <c r="B3" s="123"/>
      <c r="C3" s="123"/>
      <c r="D3" s="123"/>
      <c r="E3" s="123"/>
      <c r="F3" s="123"/>
      <c r="G3" s="123"/>
    </row>
    <row r="4" spans="1:8" ht="12.75" customHeight="1" x14ac:dyDescent="0.2">
      <c r="C4" s="252" t="s">
        <v>166</v>
      </c>
      <c r="D4" s="252"/>
      <c r="E4" s="252"/>
      <c r="F4" s="164" t="s">
        <v>2</v>
      </c>
      <c r="G4" s="164">
        <v>75</v>
      </c>
    </row>
    <row r="5" spans="1:8" ht="12.75" customHeight="1" x14ac:dyDescent="0.2">
      <c r="C5" s="124"/>
      <c r="D5" s="124"/>
      <c r="E5" s="124"/>
      <c r="F5" s="164"/>
      <c r="G5" s="164"/>
    </row>
    <row r="6" spans="1:8" ht="12.75" customHeight="1" x14ac:dyDescent="0.2">
      <c r="C6" s="252" t="s">
        <v>167</v>
      </c>
      <c r="D6" s="252"/>
      <c r="E6" s="252"/>
      <c r="F6" s="164" t="s">
        <v>3</v>
      </c>
      <c r="G6" s="164">
        <v>100</v>
      </c>
    </row>
    <row r="7" spans="1:8" x14ac:dyDescent="0.2">
      <c r="C7" s="125"/>
      <c r="D7" s="125"/>
      <c r="E7" s="125"/>
      <c r="F7" s="125"/>
      <c r="G7" s="125"/>
    </row>
    <row r="8" spans="1:8" ht="12.75" customHeight="1" x14ac:dyDescent="0.2">
      <c r="C8" s="252" t="s">
        <v>168</v>
      </c>
      <c r="D8" s="252"/>
      <c r="E8" s="252"/>
      <c r="F8" s="164" t="s">
        <v>4</v>
      </c>
      <c r="G8" s="164">
        <v>200</v>
      </c>
    </row>
    <row r="9" spans="1:8" x14ac:dyDescent="0.2">
      <c r="C9" s="126"/>
      <c r="D9" s="126"/>
      <c r="E9" s="126"/>
      <c r="F9" s="127"/>
      <c r="G9" s="141"/>
      <c r="H9" s="139"/>
    </row>
    <row r="10" spans="1:8" ht="12" customHeight="1" x14ac:dyDescent="0.2">
      <c r="B10" s="241" t="s">
        <v>169</v>
      </c>
      <c r="C10" s="241"/>
      <c r="D10" s="241"/>
      <c r="E10" s="241"/>
      <c r="H10" s="139"/>
    </row>
    <row r="11" spans="1:8" ht="12" customHeight="1" x14ac:dyDescent="0.2">
      <c r="B11" s="241"/>
      <c r="C11" s="241"/>
      <c r="D11" s="241"/>
      <c r="E11" s="241"/>
      <c r="F11" s="129"/>
      <c r="G11" s="129"/>
      <c r="H11" s="139"/>
    </row>
    <row r="12" spans="1:8" ht="12" customHeight="1" x14ac:dyDescent="0.2">
      <c r="B12" s="129"/>
      <c r="C12" s="129"/>
      <c r="D12" s="129"/>
      <c r="E12" s="129"/>
      <c r="F12" s="129"/>
      <c r="G12" s="129"/>
      <c r="H12" s="139"/>
    </row>
    <row r="13" spans="1:8" x14ac:dyDescent="0.2">
      <c r="B13" s="165" t="s">
        <v>70</v>
      </c>
      <c r="C13" s="257"/>
      <c r="D13" s="244"/>
      <c r="E13" s="245"/>
      <c r="F13" s="166" t="s">
        <v>170</v>
      </c>
      <c r="G13" s="167" t="str">
        <f>IF(COUNTA(C13,F14)=2, "X", "-")</f>
        <v>-</v>
      </c>
      <c r="H13" s="139"/>
    </row>
    <row r="14" spans="1:8" ht="12" customHeight="1" x14ac:dyDescent="0.2">
      <c r="B14" s="165"/>
      <c r="C14" s="246"/>
      <c r="D14" s="247"/>
      <c r="E14" s="248"/>
      <c r="F14" s="392"/>
      <c r="G14" s="245"/>
      <c r="H14" s="139"/>
    </row>
    <row r="15" spans="1:8" ht="12" customHeight="1" x14ac:dyDescent="0.2">
      <c r="B15" s="165"/>
      <c r="C15" s="246"/>
      <c r="D15" s="247"/>
      <c r="E15" s="248"/>
      <c r="F15" s="246"/>
      <c r="G15" s="248"/>
      <c r="H15" s="139"/>
    </row>
    <row r="16" spans="1:8" ht="12.75" customHeight="1" x14ac:dyDescent="0.2">
      <c r="B16" s="165"/>
      <c r="C16" s="249"/>
      <c r="D16" s="250"/>
      <c r="E16" s="251"/>
      <c r="F16" s="249"/>
      <c r="G16" s="251"/>
      <c r="H16" s="139"/>
    </row>
    <row r="17" spans="2:8" ht="12.75" customHeight="1" x14ac:dyDescent="0.2">
      <c r="B17" s="165"/>
      <c r="C17" s="168"/>
      <c r="D17" s="168"/>
      <c r="E17" s="168"/>
      <c r="F17" s="168"/>
      <c r="G17" s="168"/>
      <c r="H17" s="139"/>
    </row>
    <row r="18" spans="2:8" ht="12.75" customHeight="1" x14ac:dyDescent="0.2">
      <c r="B18" s="165" t="s">
        <v>71</v>
      </c>
      <c r="C18" s="256"/>
      <c r="D18" s="244"/>
      <c r="E18" s="245"/>
      <c r="F18" s="166" t="s">
        <v>170</v>
      </c>
      <c r="G18" s="167" t="str">
        <f>IF(COUNTA(C18,F19)=2, "X", "-")</f>
        <v>-</v>
      </c>
      <c r="H18" s="139"/>
    </row>
    <row r="19" spans="2:8" ht="12.75" customHeight="1" x14ac:dyDescent="0.2">
      <c r="B19" s="165"/>
      <c r="C19" s="246"/>
      <c r="D19" s="247"/>
      <c r="E19" s="248"/>
      <c r="F19" s="393"/>
      <c r="G19" s="245"/>
      <c r="H19" s="139"/>
    </row>
    <row r="20" spans="2:8" ht="12.75" customHeight="1" x14ac:dyDescent="0.2">
      <c r="B20" s="165"/>
      <c r="C20" s="246"/>
      <c r="D20" s="247"/>
      <c r="E20" s="248"/>
      <c r="F20" s="246"/>
      <c r="G20" s="248"/>
      <c r="H20" s="139"/>
    </row>
    <row r="21" spans="2:8" ht="12.75" customHeight="1" x14ac:dyDescent="0.2">
      <c r="B21" s="165"/>
      <c r="C21" s="249"/>
      <c r="D21" s="250"/>
      <c r="E21" s="251"/>
      <c r="F21" s="249"/>
      <c r="G21" s="251"/>
      <c r="H21" s="139"/>
    </row>
    <row r="22" spans="2:8" ht="12.75" customHeight="1" x14ac:dyDescent="0.2">
      <c r="B22" s="165"/>
      <c r="C22" s="169"/>
      <c r="D22" s="169"/>
      <c r="E22" s="169"/>
      <c r="F22" s="168"/>
      <c r="G22" s="168"/>
      <c r="H22" s="139"/>
    </row>
    <row r="23" spans="2:8" ht="12.75" customHeight="1" x14ac:dyDescent="0.2">
      <c r="B23" s="165" t="s">
        <v>72</v>
      </c>
      <c r="C23" s="256"/>
      <c r="D23" s="244"/>
      <c r="E23" s="245"/>
      <c r="F23" s="166" t="s">
        <v>170</v>
      </c>
      <c r="G23" s="167" t="str">
        <f>IF(COUNTA(C23,F24)=2, "X", "-")</f>
        <v>-</v>
      </c>
      <c r="H23" s="139"/>
    </row>
    <row r="24" spans="2:8" ht="12.75" customHeight="1" x14ac:dyDescent="0.2">
      <c r="B24" s="165"/>
      <c r="C24" s="246"/>
      <c r="D24" s="247"/>
      <c r="E24" s="248"/>
      <c r="F24" s="256"/>
      <c r="G24" s="245"/>
      <c r="H24" s="139"/>
    </row>
    <row r="25" spans="2:8" ht="12.75" customHeight="1" x14ac:dyDescent="0.2">
      <c r="B25" s="165"/>
      <c r="C25" s="246"/>
      <c r="D25" s="247"/>
      <c r="E25" s="248"/>
      <c r="F25" s="246"/>
      <c r="G25" s="248"/>
      <c r="H25" s="139"/>
    </row>
    <row r="26" spans="2:8" ht="12.75" customHeight="1" x14ac:dyDescent="0.2">
      <c r="B26" s="165"/>
      <c r="C26" s="249"/>
      <c r="D26" s="250"/>
      <c r="E26" s="251"/>
      <c r="F26" s="249"/>
      <c r="G26" s="251"/>
      <c r="H26" s="139"/>
    </row>
    <row r="27" spans="2:8" ht="12.75" customHeight="1" x14ac:dyDescent="0.2">
      <c r="B27" s="165"/>
      <c r="C27" s="170"/>
      <c r="D27" s="170"/>
      <c r="E27" s="170"/>
      <c r="F27" s="170"/>
      <c r="G27" s="171"/>
      <c r="H27" s="139"/>
    </row>
    <row r="28" spans="2:8" ht="12.75" customHeight="1" x14ac:dyDescent="0.2">
      <c r="B28" s="165" t="s">
        <v>73</v>
      </c>
      <c r="C28" s="256"/>
      <c r="D28" s="244"/>
      <c r="E28" s="245"/>
      <c r="F28" s="166" t="s">
        <v>170</v>
      </c>
      <c r="G28" s="167" t="str">
        <f>IF(COUNTA(C28,F29)=2, "X", "-")</f>
        <v>-</v>
      </c>
      <c r="H28" s="139"/>
    </row>
    <row r="29" spans="2:8" ht="12.75" customHeight="1" x14ac:dyDescent="0.2">
      <c r="B29" s="165"/>
      <c r="C29" s="246"/>
      <c r="D29" s="247"/>
      <c r="E29" s="248"/>
      <c r="F29" s="256"/>
      <c r="G29" s="245"/>
      <c r="H29" s="139"/>
    </row>
    <row r="30" spans="2:8" ht="12.75" customHeight="1" x14ac:dyDescent="0.2">
      <c r="B30" s="165"/>
      <c r="C30" s="246"/>
      <c r="D30" s="247"/>
      <c r="E30" s="248"/>
      <c r="F30" s="246"/>
      <c r="G30" s="248"/>
      <c r="H30" s="139"/>
    </row>
    <row r="31" spans="2:8" ht="12.75" customHeight="1" x14ac:dyDescent="0.2">
      <c r="B31" s="165"/>
      <c r="C31" s="249"/>
      <c r="D31" s="250"/>
      <c r="E31" s="251"/>
      <c r="F31" s="249"/>
      <c r="G31" s="251"/>
      <c r="H31" s="139"/>
    </row>
    <row r="32" spans="2:8" ht="12.75" customHeight="1" x14ac:dyDescent="0.2"/>
    <row r="33" spans="2:7" ht="12.75" customHeight="1" x14ac:dyDescent="0.2">
      <c r="B33" s="165" t="s">
        <v>74</v>
      </c>
      <c r="C33" s="256"/>
      <c r="D33" s="244"/>
      <c r="E33" s="245"/>
      <c r="F33" s="166" t="s">
        <v>170</v>
      </c>
      <c r="G33" s="167" t="str">
        <f>IF(COUNTA(C33,F34)=2, "X", "-")</f>
        <v>-</v>
      </c>
    </row>
    <row r="34" spans="2:7" ht="12.75" customHeight="1" x14ac:dyDescent="0.2">
      <c r="B34" s="165"/>
      <c r="C34" s="246"/>
      <c r="D34" s="247"/>
      <c r="E34" s="248"/>
      <c r="F34" s="256"/>
      <c r="G34" s="245"/>
    </row>
    <row r="35" spans="2:7" ht="12.75" customHeight="1" x14ac:dyDescent="0.2">
      <c r="B35" s="165"/>
      <c r="C35" s="246"/>
      <c r="D35" s="247"/>
      <c r="E35" s="248"/>
      <c r="F35" s="246"/>
      <c r="G35" s="248"/>
    </row>
    <row r="36" spans="2:7" ht="12.75" customHeight="1" x14ac:dyDescent="0.2">
      <c r="B36" s="165"/>
      <c r="C36" s="249"/>
      <c r="D36" s="250"/>
      <c r="E36" s="251"/>
      <c r="F36" s="249"/>
      <c r="G36" s="251"/>
    </row>
    <row r="38" spans="2:7" ht="12.75" customHeight="1" x14ac:dyDescent="0.2">
      <c r="F38" s="389" t="str">
        <f>IF(COUNTIF(F13:G33,"X")&gt;=5,"GOLD",IF(COUNTIF(F13:G33,"X")&gt;=3,"SILVER",IF(COUNTIF(F13:G33,"X")&gt;=2,"BRONZE","-")))</f>
        <v>-</v>
      </c>
      <c r="G38" s="389"/>
    </row>
    <row r="39" spans="2:7" ht="12.75" customHeight="1" x14ac:dyDescent="0.2"/>
    <row r="40" spans="2:7" x14ac:dyDescent="0.2">
      <c r="B40" s="145"/>
      <c r="C40" s="388" t="s">
        <v>172</v>
      </c>
      <c r="D40" s="388"/>
      <c r="E40" s="388"/>
      <c r="F40" s="388"/>
      <c r="G40" s="388"/>
    </row>
    <row r="41" spans="2:7" x14ac:dyDescent="0.2">
      <c r="B41" s="254" t="s">
        <v>171</v>
      </c>
      <c r="C41" s="387"/>
      <c r="D41" s="387"/>
      <c r="E41" s="387"/>
      <c r="F41" s="387"/>
      <c r="G41" s="387"/>
    </row>
    <row r="42" spans="2:7" x14ac:dyDescent="0.2">
      <c r="B42" s="254"/>
      <c r="C42" s="387"/>
      <c r="D42" s="387"/>
      <c r="E42" s="387"/>
      <c r="F42" s="387"/>
      <c r="G42" s="387"/>
    </row>
    <row r="43" spans="2:7" x14ac:dyDescent="0.2">
      <c r="B43" s="254"/>
      <c r="C43" s="387"/>
      <c r="D43" s="387"/>
      <c r="E43" s="387"/>
      <c r="F43" s="387"/>
      <c r="G43" s="387"/>
    </row>
    <row r="44" spans="2:7" x14ac:dyDescent="0.2">
      <c r="B44" s="254"/>
      <c r="C44" s="387"/>
      <c r="D44" s="387"/>
      <c r="E44" s="387"/>
      <c r="F44" s="387"/>
      <c r="G44" s="387"/>
    </row>
    <row r="45" spans="2:7" ht="12.75" customHeight="1" x14ac:dyDescent="0.2"/>
    <row r="46" spans="2:7" x14ac:dyDescent="0.2">
      <c r="C46" s="241" t="s">
        <v>173</v>
      </c>
      <c r="D46" s="241"/>
      <c r="E46" s="241"/>
      <c r="F46" s="241"/>
      <c r="G46" s="241"/>
    </row>
    <row r="47" spans="2:7" ht="12.75" customHeight="1" x14ac:dyDescent="0.2">
      <c r="C47" s="241"/>
      <c r="D47" s="241"/>
      <c r="E47" s="241"/>
      <c r="F47" s="241"/>
      <c r="G47" s="241"/>
    </row>
    <row r="48" spans="2:7" x14ac:dyDescent="0.2">
      <c r="B48" s="254" t="s">
        <v>22</v>
      </c>
      <c r="C48" s="387"/>
      <c r="D48" s="387"/>
      <c r="E48" s="387"/>
      <c r="F48" s="387"/>
      <c r="G48" s="387"/>
    </row>
    <row r="49" spans="2:7" x14ac:dyDescent="0.2">
      <c r="B49" s="254"/>
      <c r="C49" s="387"/>
      <c r="D49" s="387"/>
      <c r="E49" s="387"/>
      <c r="F49" s="387"/>
      <c r="G49" s="387"/>
    </row>
    <row r="50" spans="2:7" x14ac:dyDescent="0.2">
      <c r="B50" s="254"/>
      <c r="C50" s="387"/>
      <c r="D50" s="387"/>
      <c r="E50" s="387"/>
      <c r="F50" s="387"/>
      <c r="G50" s="387"/>
    </row>
    <row r="51" spans="2:7" x14ac:dyDescent="0.2">
      <c r="B51" s="254"/>
      <c r="C51" s="387"/>
      <c r="D51" s="387"/>
      <c r="E51" s="387"/>
      <c r="F51" s="387"/>
      <c r="G51" s="387"/>
    </row>
    <row r="52" spans="2:7" x14ac:dyDescent="0.2">
      <c r="B52" s="254"/>
      <c r="C52" s="387"/>
      <c r="D52" s="387"/>
      <c r="E52" s="387"/>
      <c r="F52" s="387"/>
      <c r="G52" s="387"/>
    </row>
  </sheetData>
  <sheetProtection password="9C31" sheet="1" objects="1" scenarios="1"/>
  <mergeCells count="23">
    <mergeCell ref="B10:E11"/>
    <mergeCell ref="C13:E16"/>
    <mergeCell ref="C18:E21"/>
    <mergeCell ref="A1:A2"/>
    <mergeCell ref="B1:G2"/>
    <mergeCell ref="C4:E4"/>
    <mergeCell ref="C6:E6"/>
    <mergeCell ref="C8:E8"/>
    <mergeCell ref="F14:G16"/>
    <mergeCell ref="F19:G21"/>
    <mergeCell ref="C48:G52"/>
    <mergeCell ref="B48:B52"/>
    <mergeCell ref="B41:B44"/>
    <mergeCell ref="C40:G40"/>
    <mergeCell ref="F24:G26"/>
    <mergeCell ref="C23:E26"/>
    <mergeCell ref="C28:E31"/>
    <mergeCell ref="F29:G31"/>
    <mergeCell ref="C41:G44"/>
    <mergeCell ref="F38:G38"/>
    <mergeCell ref="F34:G36"/>
    <mergeCell ref="C33:E36"/>
    <mergeCell ref="C46:G47"/>
  </mergeCells>
  <phoneticPr fontId="3" type="noConversion"/>
  <pageMargins left="0.5" right="0.5" top="0.5" bottom="0.5" header="0.3" footer="0.3"/>
  <pageSetup orientation="portrait"/>
  <headerFooter alignWithMargins="0">
    <oddHeader>&amp;C&amp;K000000Chapter Journey to Excellence Workbook</oddHeader>
    <oddFooter>&amp;R&amp;K000000&amp;A</oddFooter>
  </headerFooter>
  <ignoredErrors>
    <ignoredError sqref="B13 B18" numberStoredAsText="1"/>
  </ignoredErrors>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enableFormatConditionsCalculation="0"/>
  <dimension ref="A1:H58"/>
  <sheetViews>
    <sheetView showGridLines="0" workbookViewId="0">
      <selection activeCell="B1" sqref="B1:G1"/>
    </sheetView>
  </sheetViews>
  <sheetFormatPr defaultColWidth="8.85546875" defaultRowHeight="12.75" x14ac:dyDescent="0.2"/>
  <cols>
    <col min="1" max="1" width="6.85546875" style="7" customWidth="1"/>
    <col min="2" max="2" width="7.42578125" style="7" customWidth="1"/>
    <col min="3" max="3" width="5.7109375" style="7" customWidth="1"/>
    <col min="4" max="4" width="36.42578125" style="7" customWidth="1"/>
    <col min="5" max="5" width="11.28515625" style="7" customWidth="1"/>
    <col min="6" max="6" width="7.42578125" style="7" bestFit="1" customWidth="1"/>
    <col min="7" max="7" width="4" style="7" bestFit="1" customWidth="1"/>
    <col min="8" max="16384" width="8.85546875" style="7"/>
  </cols>
  <sheetData>
    <row r="1" spans="1:8" x14ac:dyDescent="0.2">
      <c r="A1" s="299">
        <v>15</v>
      </c>
      <c r="B1" s="226" t="s">
        <v>174</v>
      </c>
      <c r="C1" s="309"/>
      <c r="D1" s="309"/>
      <c r="E1" s="309"/>
      <c r="F1" s="309"/>
      <c r="G1" s="309"/>
    </row>
    <row r="2" spans="1:8" x14ac:dyDescent="0.2">
      <c r="A2" s="299"/>
      <c r="B2" s="309"/>
      <c r="C2" s="309"/>
      <c r="D2" s="309"/>
      <c r="E2" s="309"/>
      <c r="F2" s="309"/>
      <c r="G2" s="309"/>
    </row>
    <row r="3" spans="1:8" ht="12" customHeight="1" x14ac:dyDescent="0.2">
      <c r="B3" s="3"/>
      <c r="C3" s="3"/>
      <c r="D3" s="3"/>
      <c r="E3" s="3"/>
      <c r="F3" s="3"/>
      <c r="G3" s="3"/>
    </row>
    <row r="4" spans="1:8" ht="12" customHeight="1" x14ac:dyDescent="0.2">
      <c r="C4" s="273" t="s">
        <v>163</v>
      </c>
      <c r="D4" s="273"/>
      <c r="E4" s="273"/>
      <c r="F4" s="30" t="s">
        <v>2</v>
      </c>
      <c r="G4" s="30">
        <v>75</v>
      </c>
    </row>
    <row r="5" spans="1:8" ht="12" customHeight="1" x14ac:dyDescent="0.2">
      <c r="C5" s="15"/>
      <c r="D5" s="15"/>
      <c r="E5" s="15"/>
      <c r="F5" s="30"/>
      <c r="G5" s="30"/>
    </row>
    <row r="6" spans="1:8" ht="12" customHeight="1" x14ac:dyDescent="0.2">
      <c r="C6" s="273" t="s">
        <v>164</v>
      </c>
      <c r="D6" s="273"/>
      <c r="E6" s="273"/>
      <c r="F6" s="30" t="s">
        <v>3</v>
      </c>
      <c r="G6" s="30">
        <v>100</v>
      </c>
    </row>
    <row r="7" spans="1:8" ht="12" customHeight="1" x14ac:dyDescent="0.2">
      <c r="C7" s="16"/>
      <c r="D7" s="16"/>
      <c r="E7" s="16"/>
      <c r="F7" s="16"/>
      <c r="G7" s="16"/>
    </row>
    <row r="8" spans="1:8" ht="12" customHeight="1" x14ac:dyDescent="0.2">
      <c r="C8" s="273" t="s">
        <v>165</v>
      </c>
      <c r="D8" s="273"/>
      <c r="E8" s="273"/>
      <c r="F8" s="30" t="s">
        <v>4</v>
      </c>
      <c r="G8" s="30">
        <v>200</v>
      </c>
    </row>
    <row r="9" spans="1:8" x14ac:dyDescent="0.2">
      <c r="C9" s="9"/>
      <c r="D9" s="9"/>
      <c r="E9" s="9"/>
      <c r="F9" s="10"/>
      <c r="G9" s="34"/>
      <c r="H9" s="6"/>
    </row>
    <row r="10" spans="1:8" ht="21.75" customHeight="1" x14ac:dyDescent="0.2">
      <c r="B10" s="357" t="s">
        <v>175</v>
      </c>
      <c r="C10" s="357"/>
      <c r="D10" s="357"/>
      <c r="E10" s="357"/>
      <c r="F10" s="357"/>
      <c r="G10" s="357"/>
      <c r="H10" s="6"/>
    </row>
    <row r="11" spans="1:8" ht="21.75" customHeight="1" x14ac:dyDescent="0.2">
      <c r="B11" s="357"/>
      <c r="C11" s="357"/>
      <c r="D11" s="357"/>
      <c r="E11" s="357"/>
      <c r="F11" s="357"/>
      <c r="G11" s="357"/>
      <c r="H11" s="6"/>
    </row>
    <row r="12" spans="1:8" ht="21.75" customHeight="1" x14ac:dyDescent="0.2">
      <c r="B12" s="357"/>
      <c r="C12" s="357"/>
      <c r="D12" s="357"/>
      <c r="E12" s="357"/>
      <c r="F12" s="357"/>
      <c r="G12" s="357"/>
      <c r="H12" s="6"/>
    </row>
    <row r="13" spans="1:8" ht="13.5" customHeight="1" x14ac:dyDescent="0.2">
      <c r="B13" s="299" t="s">
        <v>137</v>
      </c>
      <c r="C13" s="309" t="s">
        <v>176</v>
      </c>
      <c r="D13" s="309"/>
      <c r="E13" s="309"/>
      <c r="F13" s="309"/>
      <c r="G13" s="309"/>
      <c r="H13" s="6"/>
    </row>
    <row r="14" spans="1:8" ht="13.5" customHeight="1" x14ac:dyDescent="0.2">
      <c r="B14" s="358"/>
      <c r="C14" s="309"/>
      <c r="D14" s="309"/>
      <c r="E14" s="309"/>
      <c r="F14" s="309"/>
      <c r="G14" s="309"/>
      <c r="H14" s="6"/>
    </row>
    <row r="15" spans="1:8" ht="13.5" customHeight="1" x14ac:dyDescent="0.2">
      <c r="B15" s="299" t="s">
        <v>137</v>
      </c>
      <c r="C15" s="396" t="s">
        <v>318</v>
      </c>
      <c r="D15" s="309"/>
      <c r="E15" s="309"/>
      <c r="F15" s="309"/>
      <c r="G15" s="309"/>
      <c r="H15" s="6"/>
    </row>
    <row r="16" spans="1:8" ht="13.5" customHeight="1" x14ac:dyDescent="0.2">
      <c r="B16" s="358"/>
      <c r="C16" s="309"/>
      <c r="D16" s="309"/>
      <c r="E16" s="309"/>
      <c r="F16" s="309"/>
      <c r="G16" s="309"/>
      <c r="H16" s="6"/>
    </row>
    <row r="17" spans="2:8" ht="13.5" customHeight="1" x14ac:dyDescent="0.2">
      <c r="B17" s="299" t="s">
        <v>137</v>
      </c>
      <c r="C17" s="309" t="s">
        <v>177</v>
      </c>
      <c r="D17" s="309"/>
      <c r="E17" s="309"/>
      <c r="F17" s="309"/>
      <c r="G17" s="309"/>
      <c r="H17" s="6"/>
    </row>
    <row r="18" spans="2:8" ht="13.5" customHeight="1" x14ac:dyDescent="0.2">
      <c r="B18" s="299"/>
      <c r="C18" s="309"/>
      <c r="D18" s="309"/>
      <c r="E18" s="309"/>
      <c r="F18" s="309"/>
      <c r="G18" s="309"/>
      <c r="H18" s="6"/>
    </row>
    <row r="19" spans="2:8" ht="13.5" customHeight="1" x14ac:dyDescent="0.2">
      <c r="B19" s="299" t="s">
        <v>137</v>
      </c>
      <c r="C19" s="309" t="s">
        <v>178</v>
      </c>
      <c r="D19" s="309"/>
      <c r="E19" s="309"/>
      <c r="F19" s="309"/>
      <c r="G19" s="309"/>
      <c r="H19" s="6"/>
    </row>
    <row r="20" spans="2:8" ht="13.5" customHeight="1" x14ac:dyDescent="0.2">
      <c r="B20" s="299"/>
      <c r="C20" s="309"/>
      <c r="D20" s="309"/>
      <c r="E20" s="309"/>
      <c r="F20" s="309"/>
      <c r="G20" s="309"/>
      <c r="H20" s="6"/>
    </row>
    <row r="21" spans="2:8" ht="12" customHeight="1" x14ac:dyDescent="0.2">
      <c r="B21" s="299"/>
      <c r="C21" s="309"/>
      <c r="D21" s="309"/>
      <c r="E21" s="309"/>
      <c r="F21" s="309"/>
      <c r="G21" s="309"/>
      <c r="H21" s="6"/>
    </row>
    <row r="22" spans="2:8" ht="12" customHeight="1" x14ac:dyDescent="0.2">
      <c r="B22" s="299"/>
      <c r="C22" s="309"/>
      <c r="D22" s="309"/>
      <c r="E22" s="309"/>
      <c r="F22" s="309"/>
      <c r="G22" s="309"/>
      <c r="H22" s="6"/>
    </row>
    <row r="23" spans="2:8" ht="12" customHeight="1" x14ac:dyDescent="0.2">
      <c r="B23" s="299" t="s">
        <v>137</v>
      </c>
      <c r="C23" s="309" t="s">
        <v>179</v>
      </c>
      <c r="D23" s="309"/>
      <c r="E23" s="309"/>
      <c r="F23" s="309"/>
      <c r="G23" s="309"/>
      <c r="H23" s="6"/>
    </row>
    <row r="24" spans="2:8" ht="12" customHeight="1" x14ac:dyDescent="0.2">
      <c r="B24" s="299"/>
      <c r="C24" s="309"/>
      <c r="D24" s="309"/>
      <c r="E24" s="309"/>
      <c r="F24" s="309"/>
      <c r="G24" s="309"/>
      <c r="H24" s="6"/>
    </row>
    <row r="25" spans="2:8" ht="12" customHeight="1" x14ac:dyDescent="0.2">
      <c r="B25" s="8"/>
      <c r="C25" s="5"/>
      <c r="D25" s="5"/>
      <c r="E25" s="5"/>
      <c r="F25" s="5"/>
      <c r="G25" s="5"/>
      <c r="H25" s="6"/>
    </row>
    <row r="26" spans="2:8" ht="12" customHeight="1" x14ac:dyDescent="0.2">
      <c r="B26" s="285" t="s">
        <v>181</v>
      </c>
      <c r="C26" s="285"/>
      <c r="D26" s="285"/>
      <c r="E26" s="285"/>
      <c r="F26" s="285"/>
      <c r="G26" s="285"/>
      <c r="H26" s="6"/>
    </row>
    <row r="27" spans="2:8" ht="25.5" customHeight="1" x14ac:dyDescent="0.2">
      <c r="B27" s="47" t="s">
        <v>70</v>
      </c>
      <c r="C27" s="394"/>
      <c r="D27" s="395"/>
      <c r="E27" s="395"/>
      <c r="F27" s="395"/>
      <c r="G27" s="385"/>
      <c r="H27" s="6"/>
    </row>
    <row r="28" spans="2:8" ht="12" customHeight="1" x14ac:dyDescent="0.2">
      <c r="B28" s="47"/>
      <c r="C28" s="49"/>
      <c r="D28" s="49"/>
      <c r="E28" s="49"/>
      <c r="F28" s="49"/>
      <c r="G28" s="49"/>
      <c r="H28" s="6"/>
    </row>
    <row r="29" spans="2:8" ht="12" customHeight="1" x14ac:dyDescent="0.2">
      <c r="B29" s="47"/>
      <c r="C29" s="278" t="s">
        <v>182</v>
      </c>
      <c r="D29" s="278"/>
      <c r="E29" s="278"/>
      <c r="F29" s="71"/>
      <c r="G29" s="49"/>
      <c r="H29" s="6"/>
    </row>
    <row r="30" spans="2:8" ht="12" customHeight="1" x14ac:dyDescent="0.2">
      <c r="B30" s="47"/>
      <c r="C30" s="22"/>
      <c r="D30" s="22"/>
      <c r="E30" s="22"/>
      <c r="F30" s="49"/>
      <c r="G30" s="49"/>
      <c r="H30" s="6"/>
    </row>
    <row r="31" spans="2:8" ht="12" customHeight="1" x14ac:dyDescent="0.2">
      <c r="B31" s="47"/>
      <c r="C31" s="278" t="s">
        <v>140</v>
      </c>
      <c r="D31" s="278"/>
      <c r="E31" s="278"/>
      <c r="F31" s="71"/>
      <c r="G31" s="49"/>
      <c r="H31" s="6"/>
    </row>
    <row r="32" spans="2:8" ht="12" customHeight="1" x14ac:dyDescent="0.2">
      <c r="B32" s="47"/>
      <c r="C32" s="46"/>
      <c r="D32" s="46"/>
      <c r="E32" s="46"/>
      <c r="F32" s="46"/>
      <c r="G32" s="46"/>
      <c r="H32" s="6"/>
    </row>
    <row r="33" spans="2:8" ht="25.5" customHeight="1" x14ac:dyDescent="0.2">
      <c r="B33" s="47" t="s">
        <v>71</v>
      </c>
      <c r="C33" s="394"/>
      <c r="D33" s="395"/>
      <c r="E33" s="395"/>
      <c r="F33" s="395"/>
      <c r="G33" s="385"/>
      <c r="H33" s="6"/>
    </row>
    <row r="34" spans="2:8" ht="12" customHeight="1" x14ac:dyDescent="0.2">
      <c r="B34" s="47"/>
      <c r="C34" s="49"/>
      <c r="D34" s="49"/>
      <c r="E34" s="49"/>
      <c r="F34" s="49"/>
      <c r="G34" s="49"/>
      <c r="H34" s="6"/>
    </row>
    <row r="35" spans="2:8" ht="12" customHeight="1" x14ac:dyDescent="0.2">
      <c r="B35" s="47"/>
      <c r="C35" s="278" t="s">
        <v>182</v>
      </c>
      <c r="D35" s="278"/>
      <c r="E35" s="278"/>
      <c r="F35" s="71"/>
      <c r="G35" s="49"/>
      <c r="H35" s="6"/>
    </row>
    <row r="36" spans="2:8" ht="12" customHeight="1" x14ac:dyDescent="0.2">
      <c r="B36" s="47"/>
      <c r="C36" s="22"/>
      <c r="D36" s="22"/>
      <c r="E36" s="22"/>
      <c r="F36" s="49"/>
      <c r="G36" s="49"/>
      <c r="H36" s="6"/>
    </row>
    <row r="37" spans="2:8" ht="12" customHeight="1" x14ac:dyDescent="0.2">
      <c r="B37" s="47"/>
      <c r="C37" s="278" t="s">
        <v>140</v>
      </c>
      <c r="D37" s="278"/>
      <c r="E37" s="278"/>
      <c r="F37" s="71"/>
      <c r="G37" s="49"/>
      <c r="H37" s="6"/>
    </row>
    <row r="38" spans="2:8" ht="12" customHeight="1" x14ac:dyDescent="0.2">
      <c r="B38" s="47"/>
      <c r="C38" s="49"/>
      <c r="D38" s="49"/>
      <c r="E38" s="49"/>
      <c r="F38" s="49"/>
      <c r="G38" s="49"/>
      <c r="H38" s="6"/>
    </row>
    <row r="39" spans="2:8" ht="25.5" customHeight="1" x14ac:dyDescent="0.2">
      <c r="B39" s="47" t="s">
        <v>72</v>
      </c>
      <c r="C39" s="394"/>
      <c r="D39" s="395"/>
      <c r="E39" s="395"/>
      <c r="F39" s="395"/>
      <c r="G39" s="385"/>
      <c r="H39" s="6"/>
    </row>
    <row r="40" spans="2:8" ht="12" customHeight="1" x14ac:dyDescent="0.2">
      <c r="B40" s="47"/>
      <c r="C40" s="48"/>
      <c r="D40" s="48"/>
      <c r="E40" s="48"/>
      <c r="F40" s="48"/>
      <c r="G40" s="45"/>
      <c r="H40" s="6"/>
    </row>
    <row r="41" spans="2:8" ht="12" customHeight="1" x14ac:dyDescent="0.2">
      <c r="B41" s="47"/>
      <c r="C41" s="278" t="s">
        <v>182</v>
      </c>
      <c r="D41" s="278"/>
      <c r="E41" s="278"/>
      <c r="F41" s="71"/>
      <c r="G41" s="49"/>
      <c r="H41" s="6"/>
    </row>
    <row r="42" spans="2:8" ht="12" customHeight="1" x14ac:dyDescent="0.2">
      <c r="B42" s="47"/>
      <c r="C42" s="22"/>
      <c r="D42" s="22"/>
      <c r="E42" s="22"/>
      <c r="F42" s="49"/>
      <c r="G42" s="49"/>
      <c r="H42" s="6"/>
    </row>
    <row r="43" spans="2:8" ht="12" customHeight="1" x14ac:dyDescent="0.2">
      <c r="B43" s="47"/>
      <c r="C43" s="278" t="s">
        <v>140</v>
      </c>
      <c r="D43" s="278"/>
      <c r="E43" s="278"/>
      <c r="F43" s="71"/>
      <c r="G43" s="49"/>
      <c r="H43" s="6"/>
    </row>
    <row r="44" spans="2:8" ht="12" customHeight="1" x14ac:dyDescent="0.2">
      <c r="B44" s="48"/>
      <c r="C44" s="48"/>
      <c r="D44" s="48"/>
      <c r="E44" s="48"/>
      <c r="F44" s="48"/>
      <c r="G44" s="45"/>
      <c r="H44" s="6"/>
    </row>
    <row r="45" spans="2:8" ht="12.75" customHeight="1" x14ac:dyDescent="0.2">
      <c r="B45" s="48"/>
      <c r="C45" s="309" t="s">
        <v>141</v>
      </c>
      <c r="D45" s="309"/>
      <c r="E45" s="309"/>
      <c r="F45" s="309"/>
      <c r="G45" s="309"/>
      <c r="H45" s="6"/>
    </row>
    <row r="46" spans="2:8" ht="12.75" customHeight="1" x14ac:dyDescent="0.2">
      <c r="B46" s="48"/>
      <c r="C46" s="309"/>
      <c r="D46" s="309"/>
      <c r="E46" s="309"/>
      <c r="F46" s="309"/>
      <c r="G46" s="309"/>
      <c r="H46" s="6"/>
    </row>
    <row r="47" spans="2:8" ht="12.75" customHeight="1" x14ac:dyDescent="0.2">
      <c r="B47" s="281" t="s">
        <v>22</v>
      </c>
      <c r="C47" s="286"/>
      <c r="D47" s="287"/>
      <c r="E47" s="287"/>
      <c r="F47" s="287"/>
      <c r="G47" s="288"/>
      <c r="H47" s="6"/>
    </row>
    <row r="48" spans="2:8" ht="12.75" customHeight="1" x14ac:dyDescent="0.2">
      <c r="B48" s="281"/>
      <c r="C48" s="289"/>
      <c r="D48" s="290"/>
      <c r="E48" s="290"/>
      <c r="F48" s="290"/>
      <c r="G48" s="291"/>
      <c r="H48" s="6"/>
    </row>
    <row r="49" spans="2:8" ht="12.75" customHeight="1" x14ac:dyDescent="0.2">
      <c r="B49" s="281"/>
      <c r="C49" s="289"/>
      <c r="D49" s="290"/>
      <c r="E49" s="290"/>
      <c r="F49" s="290"/>
      <c r="G49" s="291"/>
      <c r="H49" s="6"/>
    </row>
    <row r="50" spans="2:8" ht="12.75" customHeight="1" x14ac:dyDescent="0.2">
      <c r="B50" s="281"/>
      <c r="C50" s="292"/>
      <c r="D50" s="293"/>
      <c r="E50" s="293"/>
      <c r="F50" s="293"/>
      <c r="G50" s="294"/>
      <c r="H50" s="6"/>
    </row>
    <row r="51" spans="2:8" ht="12" customHeight="1" x14ac:dyDescent="0.2">
      <c r="B51" s="20"/>
      <c r="C51" s="20"/>
      <c r="D51" s="20"/>
      <c r="E51" s="20"/>
      <c r="F51" s="20"/>
      <c r="G51" s="19"/>
      <c r="H51" s="6"/>
    </row>
    <row r="52" spans="2:8" ht="12.75" customHeight="1" x14ac:dyDescent="0.2"/>
    <row r="53" spans="2:8" ht="12.75" customHeight="1" x14ac:dyDescent="0.2"/>
    <row r="54" spans="2:8" ht="12.75" customHeight="1" x14ac:dyDescent="0.2"/>
    <row r="55" spans="2:8" ht="12.75" customHeight="1" x14ac:dyDescent="0.2"/>
    <row r="56" spans="2:8" ht="12.75" customHeight="1" x14ac:dyDescent="0.2"/>
    <row r="57" spans="2:8" ht="12.75" customHeight="1" x14ac:dyDescent="0.2"/>
    <row r="58" spans="2:8" ht="12.75" customHeight="1" x14ac:dyDescent="0.2"/>
  </sheetData>
  <sheetProtection password="9C31" sheet="1" objects="1" scenarios="1"/>
  <mergeCells count="29">
    <mergeCell ref="C19:G22"/>
    <mergeCell ref="B19:B22"/>
    <mergeCell ref="C23:G24"/>
    <mergeCell ref="B13:B14"/>
    <mergeCell ref="C13:G14"/>
    <mergeCell ref="B15:B16"/>
    <mergeCell ref="C15:G16"/>
    <mergeCell ref="C17:G18"/>
    <mergeCell ref="B17:B18"/>
    <mergeCell ref="B23:B24"/>
    <mergeCell ref="B10:G12"/>
    <mergeCell ref="A1:A2"/>
    <mergeCell ref="B1:G2"/>
    <mergeCell ref="C4:E4"/>
    <mergeCell ref="C6:E6"/>
    <mergeCell ref="C8:E8"/>
    <mergeCell ref="B26:G26"/>
    <mergeCell ref="B47:B50"/>
    <mergeCell ref="C47:G50"/>
    <mergeCell ref="C27:G27"/>
    <mergeCell ref="C29:E29"/>
    <mergeCell ref="C31:E31"/>
    <mergeCell ref="C33:G33"/>
    <mergeCell ref="C35:E35"/>
    <mergeCell ref="C37:E37"/>
    <mergeCell ref="C39:G39"/>
    <mergeCell ref="C41:E41"/>
    <mergeCell ref="C43:E43"/>
    <mergeCell ref="C45:G46"/>
  </mergeCells>
  <phoneticPr fontId="3" type="noConversion"/>
  <pageMargins left="0.5" right="0.5" top="0.5" bottom="0.5" header="0.3" footer="0.3"/>
  <pageSetup orientation="portrait"/>
  <headerFooter alignWithMargins="0">
    <oddHeader>&amp;C&amp;K000000Chapter Journey to Excellence Workbook</oddHeader>
    <oddFooter>&amp;R&amp;K000000&amp;A</oddFooter>
  </headerFooter>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enableFormatConditionsCalculation="0"/>
  <dimension ref="A1:G42"/>
  <sheetViews>
    <sheetView showGridLines="0" workbookViewId="0">
      <selection activeCell="B1" sqref="B1:G1"/>
    </sheetView>
  </sheetViews>
  <sheetFormatPr defaultColWidth="8.85546875" defaultRowHeight="12.75" x14ac:dyDescent="0.2"/>
  <cols>
    <col min="1" max="1" width="6.85546875" style="7" customWidth="1"/>
    <col min="2" max="2" width="5.7109375" style="7" bestFit="1" customWidth="1"/>
    <col min="3" max="3" width="5.7109375" style="7" customWidth="1"/>
    <col min="4" max="4" width="36.42578125" style="7" customWidth="1"/>
    <col min="5" max="5" width="11.28515625" style="7" customWidth="1"/>
    <col min="6" max="6" width="11.42578125" style="7" bestFit="1" customWidth="1"/>
    <col min="7" max="7" width="4" style="7" bestFit="1" customWidth="1"/>
    <col min="8" max="16384" width="8.85546875" style="7"/>
  </cols>
  <sheetData>
    <row r="1" spans="1:7" ht="27.75" customHeight="1" x14ac:dyDescent="0.2">
      <c r="A1" s="8">
        <v>16</v>
      </c>
      <c r="B1" s="285" t="s">
        <v>183</v>
      </c>
      <c r="C1" s="285"/>
      <c r="D1" s="285"/>
      <c r="E1" s="285"/>
      <c r="F1" s="285"/>
      <c r="G1" s="285"/>
    </row>
    <row r="2" spans="1:7" x14ac:dyDescent="0.2">
      <c r="B2" s="3"/>
      <c r="C2" s="3"/>
      <c r="D2" s="3"/>
      <c r="E2" s="3"/>
      <c r="F2" s="3"/>
      <c r="G2" s="3"/>
    </row>
    <row r="3" spans="1:7" ht="12.75" customHeight="1" x14ac:dyDescent="0.2">
      <c r="C3" s="273" t="s">
        <v>289</v>
      </c>
      <c r="D3" s="273"/>
      <c r="E3" s="273"/>
      <c r="F3" s="15" t="s">
        <v>2</v>
      </c>
      <c r="G3" s="15">
        <v>25</v>
      </c>
    </row>
    <row r="4" spans="1:7" ht="12.75" customHeight="1" x14ac:dyDescent="0.2">
      <c r="C4" s="273"/>
      <c r="D4" s="273"/>
      <c r="E4" s="273"/>
      <c r="F4" s="15"/>
      <c r="G4" s="15"/>
    </row>
    <row r="5" spans="1:7" x14ac:dyDescent="0.2">
      <c r="C5" s="16"/>
      <c r="D5" s="16"/>
      <c r="E5" s="16"/>
      <c r="F5" s="16"/>
      <c r="G5" s="16"/>
    </row>
    <row r="6" spans="1:7" ht="12.75" customHeight="1" x14ac:dyDescent="0.2">
      <c r="C6" s="273" t="s">
        <v>290</v>
      </c>
      <c r="D6" s="273"/>
      <c r="E6" s="273"/>
      <c r="F6" s="15" t="s">
        <v>3</v>
      </c>
      <c r="G6" s="15">
        <v>50</v>
      </c>
    </row>
    <row r="7" spans="1:7" x14ac:dyDescent="0.2">
      <c r="C7" s="273"/>
      <c r="D7" s="273"/>
      <c r="E7" s="273"/>
      <c r="F7" s="15"/>
      <c r="G7" s="15"/>
    </row>
    <row r="8" spans="1:7" x14ac:dyDescent="0.2">
      <c r="C8" s="16"/>
      <c r="D8" s="16"/>
      <c r="E8" s="16"/>
      <c r="F8" s="16"/>
      <c r="G8" s="16"/>
    </row>
    <row r="9" spans="1:7" ht="12.75" customHeight="1" x14ac:dyDescent="0.2">
      <c r="C9" s="273" t="s">
        <v>291</v>
      </c>
      <c r="D9" s="273"/>
      <c r="E9" s="273"/>
      <c r="F9" s="15" t="s">
        <v>4</v>
      </c>
      <c r="G9" s="15">
        <v>100</v>
      </c>
    </row>
    <row r="10" spans="1:7" x14ac:dyDescent="0.2">
      <c r="C10" s="273"/>
      <c r="D10" s="273"/>
      <c r="E10" s="273"/>
      <c r="F10" s="15"/>
      <c r="G10" s="15"/>
    </row>
    <row r="11" spans="1:7" x14ac:dyDescent="0.2">
      <c r="C11" s="9"/>
      <c r="D11" s="9"/>
      <c r="E11" s="9"/>
      <c r="F11" s="10"/>
      <c r="G11" s="10"/>
    </row>
    <row r="12" spans="1:7" ht="12.75" customHeight="1" x14ac:dyDescent="0.2">
      <c r="B12" s="279" t="s">
        <v>184</v>
      </c>
      <c r="C12" s="279"/>
      <c r="D12" s="279"/>
      <c r="E12" s="279"/>
      <c r="F12" s="279"/>
      <c r="G12" s="279"/>
    </row>
    <row r="13" spans="1:7" x14ac:dyDescent="0.2">
      <c r="B13" s="279"/>
      <c r="C13" s="279"/>
      <c r="D13" s="279"/>
      <c r="E13" s="279"/>
      <c r="F13" s="279"/>
      <c r="G13" s="279"/>
    </row>
    <row r="14" spans="1:7" x14ac:dyDescent="0.2">
      <c r="B14" s="279"/>
      <c r="C14" s="279"/>
      <c r="D14" s="279"/>
      <c r="E14" s="279"/>
      <c r="F14" s="279"/>
      <c r="G14" s="279"/>
    </row>
    <row r="15" spans="1:7" x14ac:dyDescent="0.2">
      <c r="B15" s="279"/>
      <c r="C15" s="279"/>
      <c r="D15" s="279"/>
      <c r="E15" s="279"/>
      <c r="F15" s="279"/>
      <c r="G15" s="279"/>
    </row>
    <row r="16" spans="1:7" x14ac:dyDescent="0.2">
      <c r="C16" s="3"/>
      <c r="D16" s="3"/>
      <c r="E16" s="3"/>
      <c r="F16" s="1"/>
      <c r="G16" s="1"/>
    </row>
    <row r="17" spans="2:7" s="29" customFormat="1" ht="18.75" customHeight="1" x14ac:dyDescent="0.2">
      <c r="B17" s="282" t="s">
        <v>160</v>
      </c>
      <c r="C17" s="309" t="str">
        <f>"Number of eligible participants in "&amp;HIDE!B34</f>
        <v>Number of eligible participants in 2013</v>
      </c>
      <c r="D17" s="309"/>
      <c r="E17" s="309"/>
      <c r="F17" s="384"/>
      <c r="G17" s="385"/>
    </row>
    <row r="18" spans="2:7" s="29" customFormat="1" x14ac:dyDescent="0.2">
      <c r="B18" s="283"/>
    </row>
    <row r="19" spans="2:7" s="29" customFormat="1" ht="28.5" customHeight="1" x14ac:dyDescent="0.2">
      <c r="B19" s="283"/>
      <c r="C19" s="309" t="str">
        <f>"Number of eligible participants that participated in LLD course in "&amp;HIDE!B34</f>
        <v>Number of eligible participants that participated in LLD course in 2013</v>
      </c>
      <c r="D19" s="309"/>
      <c r="E19" s="309"/>
      <c r="F19" s="384"/>
      <c r="G19" s="385"/>
    </row>
    <row r="20" spans="2:7" s="29" customFormat="1" x14ac:dyDescent="0.2">
      <c r="B20" s="283"/>
    </row>
    <row r="21" spans="2:7" s="29" customFormat="1" ht="27" customHeight="1" x14ac:dyDescent="0.2">
      <c r="B21" s="284"/>
      <c r="C21" s="309" t="str">
        <f>"Percentage of eligible participants that participated in LLD course in "&amp;HIDE!B34</f>
        <v>Percentage of eligible participants that participated in LLD course in 2013</v>
      </c>
      <c r="D21" s="309"/>
      <c r="F21" s="378" t="str">
        <f>IF(F17&lt;&gt;0, F19/F17, "-")</f>
        <v>-</v>
      </c>
      <c r="G21" s="379"/>
    </row>
    <row r="22" spans="2:7" s="29" customFormat="1" x14ac:dyDescent="0.2">
      <c r="B22" s="51"/>
    </row>
    <row r="23" spans="2:7" s="29" customFormat="1" ht="12.75" customHeight="1" x14ac:dyDescent="0.2">
      <c r="C23" s="309" t="s">
        <v>185</v>
      </c>
      <c r="D23" s="309"/>
      <c r="E23" s="309"/>
      <c r="F23" s="309"/>
    </row>
    <row r="24" spans="2:7" s="29" customFormat="1" x14ac:dyDescent="0.2">
      <c r="B24" s="51"/>
      <c r="C24" s="309"/>
      <c r="D24" s="309"/>
      <c r="E24" s="309"/>
      <c r="F24" s="309"/>
    </row>
    <row r="25" spans="2:7" s="29" customFormat="1" x14ac:dyDescent="0.2">
      <c r="B25" s="51"/>
      <c r="C25" s="47" t="s">
        <v>70</v>
      </c>
      <c r="D25" s="57"/>
    </row>
    <row r="26" spans="2:7" s="29" customFormat="1" x14ac:dyDescent="0.2">
      <c r="B26" s="51"/>
      <c r="C26" s="47" t="s">
        <v>71</v>
      </c>
      <c r="D26" s="57"/>
    </row>
    <row r="27" spans="2:7" s="29" customFormat="1" x14ac:dyDescent="0.2">
      <c r="B27" s="51"/>
      <c r="C27" s="47" t="s">
        <v>72</v>
      </c>
      <c r="D27" s="57"/>
    </row>
    <row r="28" spans="2:7" s="29" customFormat="1" x14ac:dyDescent="0.2">
      <c r="B28" s="51"/>
      <c r="C28" s="47" t="s">
        <v>73</v>
      </c>
      <c r="D28" s="57"/>
    </row>
    <row r="29" spans="2:7" s="29" customFormat="1" x14ac:dyDescent="0.2">
      <c r="B29" s="51"/>
    </row>
    <row r="30" spans="2:7" s="29" customFormat="1" ht="18" customHeight="1" x14ac:dyDescent="0.2">
      <c r="B30" s="282" t="s">
        <v>28</v>
      </c>
      <c r="C30" s="309" t="str">
        <f>"Number of eligible participants in "&amp;HIDE!B33</f>
        <v>Number of eligible participants in 2014</v>
      </c>
      <c r="D30" s="309"/>
      <c r="E30" s="309"/>
      <c r="F30" s="384"/>
      <c r="G30" s="385"/>
    </row>
    <row r="31" spans="2:7" s="29" customFormat="1" ht="10.5" customHeight="1" x14ac:dyDescent="0.2">
      <c r="B31" s="283"/>
    </row>
    <row r="32" spans="2:7" s="29" customFormat="1" ht="24.75" customHeight="1" x14ac:dyDescent="0.2">
      <c r="B32" s="283"/>
      <c r="C32" s="309" t="str">
        <f>"Number of eligible participants that participated in LLD course in "&amp;HIDE!B33</f>
        <v>Number of eligible participants that participated in LLD course in 2014</v>
      </c>
      <c r="D32" s="309"/>
      <c r="E32" s="309"/>
      <c r="F32" s="384"/>
      <c r="G32" s="385"/>
    </row>
    <row r="33" spans="2:7" s="29" customFormat="1" x14ac:dyDescent="0.2">
      <c r="B33" s="283"/>
    </row>
    <row r="34" spans="2:7" s="29" customFormat="1" ht="27" customHeight="1" x14ac:dyDescent="0.2">
      <c r="B34" s="284"/>
      <c r="C34" s="309" t="str">
        <f>"Percentage of eligible participants that participated in LLD course in "&amp;HIDE!B33</f>
        <v>Percentage of eligible participants that participated in LLD course in 2014</v>
      </c>
      <c r="D34" s="309"/>
      <c r="E34" s="309"/>
      <c r="F34" s="378" t="str">
        <f>IF(F30&lt;&gt;0, F32/F30, "-")</f>
        <v>-</v>
      </c>
      <c r="G34" s="379"/>
    </row>
    <row r="35" spans="2:7" x14ac:dyDescent="0.2">
      <c r="F35" s="380" t="str">
        <f>IF(OR(F34="-",F21="-"),"-",IF(OR(F34*100&gt;=100,AND((F34*100)-(F21*100)&gt;=3,F21*100&gt;=83)),"GOLD",IF(OR(F34*100&gt;=83,AND((F34*100)-(F21*100)&gt;=3,F21*100&gt;=66)),"SILVER",IF(OR(F34*100&gt;=66,(F34*100)-(F21*100)&gt;=3),"BRONZE","NONE"))))</f>
        <v>-</v>
      </c>
      <c r="G35" s="381"/>
    </row>
    <row r="37" spans="2:7" x14ac:dyDescent="0.2">
      <c r="C37" s="285" t="s">
        <v>186</v>
      </c>
      <c r="D37" s="285"/>
      <c r="E37" s="285"/>
      <c r="F37" s="285"/>
      <c r="G37" s="285"/>
    </row>
    <row r="38" spans="2:7" x14ac:dyDescent="0.2">
      <c r="B38" s="281" t="s">
        <v>22</v>
      </c>
      <c r="C38" s="286"/>
      <c r="D38" s="287"/>
      <c r="E38" s="287"/>
      <c r="F38" s="287"/>
      <c r="G38" s="288"/>
    </row>
    <row r="39" spans="2:7" x14ac:dyDescent="0.2">
      <c r="B39" s="281"/>
      <c r="C39" s="289"/>
      <c r="D39" s="290"/>
      <c r="E39" s="290"/>
      <c r="F39" s="290"/>
      <c r="G39" s="291"/>
    </row>
    <row r="40" spans="2:7" x14ac:dyDescent="0.2">
      <c r="B40" s="281"/>
      <c r="C40" s="289"/>
      <c r="D40" s="290"/>
      <c r="E40" s="290"/>
      <c r="F40" s="290"/>
      <c r="G40" s="291"/>
    </row>
    <row r="41" spans="2:7" x14ac:dyDescent="0.2">
      <c r="B41" s="281"/>
      <c r="C41" s="289"/>
      <c r="D41" s="290"/>
      <c r="E41" s="290"/>
      <c r="F41" s="290"/>
      <c r="G41" s="291"/>
    </row>
    <row r="42" spans="2:7" x14ac:dyDescent="0.2">
      <c r="B42" s="281"/>
      <c r="C42" s="292"/>
      <c r="D42" s="293"/>
      <c r="E42" s="293"/>
      <c r="F42" s="293"/>
      <c r="G42" s="294"/>
    </row>
  </sheetData>
  <sheetProtection password="9C31" sheet="1" objects="1" scenarios="1"/>
  <mergeCells count="24">
    <mergeCell ref="B17:B21"/>
    <mergeCell ref="C17:E17"/>
    <mergeCell ref="F17:G17"/>
    <mergeCell ref="B1:G1"/>
    <mergeCell ref="C6:E7"/>
    <mergeCell ref="C9:E10"/>
    <mergeCell ref="C3:E4"/>
    <mergeCell ref="B12:G15"/>
    <mergeCell ref="C19:E19"/>
    <mergeCell ref="F19:G19"/>
    <mergeCell ref="C21:D21"/>
    <mergeCell ref="F21:G21"/>
    <mergeCell ref="C23:F24"/>
    <mergeCell ref="C37:G37"/>
    <mergeCell ref="B38:B42"/>
    <mergeCell ref="C38:G42"/>
    <mergeCell ref="B30:B34"/>
    <mergeCell ref="C30:E30"/>
    <mergeCell ref="F30:G30"/>
    <mergeCell ref="C32:E32"/>
    <mergeCell ref="F32:G32"/>
    <mergeCell ref="F35:G35"/>
    <mergeCell ref="C34:E34"/>
    <mergeCell ref="F34:G34"/>
  </mergeCells>
  <phoneticPr fontId="3" type="noConversion"/>
  <pageMargins left="0.5" right="0.5" top="0.5" bottom="0.5" header="0.3" footer="0.3"/>
  <pageSetup orientation="portrait"/>
  <headerFooter alignWithMargins="0">
    <oddHeader>&amp;C&amp;K000000Chapter Journey to Excellence Workbook</oddHeader>
    <oddFooter>&amp;R&amp;K000000&amp;A</oddFooter>
  </headerFooter>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enableFormatConditionsCalculation="0"/>
  <dimension ref="A1:H53"/>
  <sheetViews>
    <sheetView showGridLines="0" workbookViewId="0">
      <selection activeCell="B1" sqref="B1:G1"/>
    </sheetView>
  </sheetViews>
  <sheetFormatPr defaultColWidth="8.85546875" defaultRowHeight="12.75" x14ac:dyDescent="0.2"/>
  <cols>
    <col min="1" max="1" width="6.85546875" style="7" customWidth="1"/>
    <col min="2" max="2" width="7.42578125" style="7" customWidth="1"/>
    <col min="3" max="3" width="5.7109375" style="7" customWidth="1"/>
    <col min="4" max="4" width="30" style="7" customWidth="1"/>
    <col min="5" max="5" width="9.85546875" style="7" customWidth="1"/>
    <col min="6" max="6" width="10.85546875" style="7" bestFit="1" customWidth="1"/>
    <col min="7" max="7" width="6.42578125" style="7" customWidth="1"/>
    <col min="8" max="16384" width="8.85546875" style="7"/>
  </cols>
  <sheetData>
    <row r="1" spans="1:8" x14ac:dyDescent="0.2">
      <c r="A1" s="299">
        <v>17</v>
      </c>
      <c r="B1" s="226" t="s">
        <v>187</v>
      </c>
      <c r="C1" s="309"/>
      <c r="D1" s="309"/>
      <c r="E1" s="309"/>
      <c r="F1" s="309"/>
      <c r="G1" s="309"/>
    </row>
    <row r="2" spans="1:8" x14ac:dyDescent="0.2">
      <c r="A2" s="299"/>
      <c r="B2" s="309"/>
      <c r="C2" s="309"/>
      <c r="D2" s="309"/>
      <c r="E2" s="309"/>
      <c r="F2" s="309"/>
      <c r="G2" s="309"/>
    </row>
    <row r="3" spans="1:8" x14ac:dyDescent="0.2">
      <c r="B3" s="3"/>
      <c r="C3" s="3"/>
      <c r="D3" s="3"/>
      <c r="E3" s="3"/>
      <c r="F3" s="3"/>
      <c r="G3" s="3"/>
    </row>
    <row r="4" spans="1:8" ht="12.75" customHeight="1" x14ac:dyDescent="0.2">
      <c r="C4" s="274" t="s">
        <v>188</v>
      </c>
      <c r="D4" s="274"/>
      <c r="E4" s="274"/>
      <c r="F4" s="274" t="s">
        <v>2</v>
      </c>
      <c r="G4" s="274">
        <v>25</v>
      </c>
    </row>
    <row r="5" spans="1:8" ht="12.75" customHeight="1" x14ac:dyDescent="0.2">
      <c r="C5" s="274"/>
      <c r="D5" s="274"/>
      <c r="E5" s="274"/>
      <c r="F5" s="274"/>
      <c r="G5" s="274"/>
    </row>
    <row r="6" spans="1:8" ht="12.75" customHeight="1" x14ac:dyDescent="0.2">
      <c r="C6" s="274"/>
      <c r="D6" s="274"/>
      <c r="E6" s="274"/>
      <c r="F6" s="274"/>
      <c r="G6" s="274"/>
    </row>
    <row r="7" spans="1:8" ht="12.75" customHeight="1" x14ac:dyDescent="0.2">
      <c r="C7" s="15"/>
      <c r="D7" s="15"/>
      <c r="E7" s="15"/>
      <c r="F7" s="30"/>
      <c r="G7" s="30"/>
    </row>
    <row r="8" spans="1:8" ht="12.75" customHeight="1" x14ac:dyDescent="0.2">
      <c r="C8" s="273" t="s">
        <v>189</v>
      </c>
      <c r="D8" s="273"/>
      <c r="E8" s="273"/>
      <c r="F8" s="274" t="s">
        <v>3</v>
      </c>
      <c r="G8" s="274">
        <v>50</v>
      </c>
    </row>
    <row r="9" spans="1:8" ht="12.75" customHeight="1" x14ac:dyDescent="0.2">
      <c r="C9" s="273"/>
      <c r="D9" s="273"/>
      <c r="E9" s="273"/>
      <c r="F9" s="274"/>
      <c r="G9" s="274"/>
    </row>
    <row r="10" spans="1:8" x14ac:dyDescent="0.2">
      <c r="C10" s="16"/>
      <c r="D10" s="16"/>
      <c r="E10" s="16"/>
      <c r="F10" s="16"/>
      <c r="G10" s="16"/>
    </row>
    <row r="11" spans="1:8" ht="12.75" customHeight="1" x14ac:dyDescent="0.2">
      <c r="C11" s="273" t="s">
        <v>190</v>
      </c>
      <c r="D11" s="273"/>
      <c r="E11" s="273"/>
      <c r="F11" s="274" t="s">
        <v>4</v>
      </c>
      <c r="G11" s="274">
        <v>100</v>
      </c>
    </row>
    <row r="12" spans="1:8" ht="12.75" customHeight="1" x14ac:dyDescent="0.2">
      <c r="C12" s="273"/>
      <c r="D12" s="273"/>
      <c r="E12" s="273"/>
      <c r="F12" s="274"/>
      <c r="G12" s="274"/>
    </row>
    <row r="13" spans="1:8" ht="12.75" customHeight="1" x14ac:dyDescent="0.2">
      <c r="C13" s="273"/>
      <c r="D13" s="273"/>
      <c r="E13" s="273"/>
      <c r="F13" s="274"/>
      <c r="G13" s="274"/>
    </row>
    <row r="14" spans="1:8" x14ac:dyDescent="0.2">
      <c r="C14" s="9"/>
      <c r="D14" s="9"/>
      <c r="E14" s="9"/>
      <c r="F14" s="10"/>
      <c r="G14" s="34"/>
      <c r="H14" s="6"/>
    </row>
    <row r="15" spans="1:8" ht="12.75" customHeight="1" x14ac:dyDescent="0.2">
      <c r="B15" s="315" t="s">
        <v>191</v>
      </c>
      <c r="C15" s="315"/>
      <c r="D15" s="315"/>
      <c r="E15" s="315"/>
      <c r="F15" s="315"/>
      <c r="G15" s="315"/>
      <c r="H15" s="6"/>
    </row>
    <row r="16" spans="1:8" x14ac:dyDescent="0.2">
      <c r="B16" s="315"/>
      <c r="C16" s="315"/>
      <c r="D16" s="315"/>
      <c r="E16" s="315"/>
      <c r="F16" s="315"/>
      <c r="G16" s="315"/>
      <c r="H16" s="6"/>
    </row>
    <row r="17" spans="2:8" x14ac:dyDescent="0.2">
      <c r="B17" s="315"/>
      <c r="C17" s="315"/>
      <c r="D17" s="315"/>
      <c r="E17" s="315"/>
      <c r="F17" s="315"/>
      <c r="G17" s="315"/>
      <c r="H17" s="6"/>
    </row>
    <row r="18" spans="2:8" x14ac:dyDescent="0.2">
      <c r="B18" s="315"/>
      <c r="C18" s="315"/>
      <c r="D18" s="315"/>
      <c r="E18" s="315"/>
      <c r="F18" s="315"/>
      <c r="G18" s="315"/>
      <c r="H18" s="6"/>
    </row>
    <row r="19" spans="2:8" x14ac:dyDescent="0.2">
      <c r="B19" s="315"/>
      <c r="C19" s="315"/>
      <c r="D19" s="315"/>
      <c r="E19" s="315"/>
      <c r="F19" s="315"/>
      <c r="G19" s="315"/>
      <c r="H19" s="6"/>
    </row>
    <row r="20" spans="2:8" x14ac:dyDescent="0.2">
      <c r="C20" s="9"/>
      <c r="D20" s="9"/>
      <c r="E20" s="9"/>
      <c r="F20" s="10"/>
      <c r="G20" s="34"/>
      <c r="H20" s="6"/>
    </row>
    <row r="21" spans="2:8" x14ac:dyDescent="0.2">
      <c r="C21" s="386" t="s">
        <v>192</v>
      </c>
      <c r="D21" s="386"/>
      <c r="E21" s="386"/>
      <c r="F21" s="386"/>
      <c r="G21" s="386"/>
      <c r="H21" s="224" t="s">
        <v>13</v>
      </c>
    </row>
    <row r="22" spans="2:8" x14ac:dyDescent="0.2">
      <c r="B22" s="281" t="s">
        <v>15</v>
      </c>
      <c r="C22" s="286"/>
      <c r="D22" s="287"/>
      <c r="E22" s="287"/>
      <c r="F22" s="287"/>
      <c r="G22" s="288"/>
      <c r="H22" s="224"/>
    </row>
    <row r="23" spans="2:8" x14ac:dyDescent="0.2">
      <c r="B23" s="281"/>
      <c r="C23" s="289"/>
      <c r="D23" s="290"/>
      <c r="E23" s="290"/>
      <c r="F23" s="290"/>
      <c r="G23" s="291"/>
      <c r="H23" s="398"/>
    </row>
    <row r="24" spans="2:8" x14ac:dyDescent="0.2">
      <c r="B24" s="281"/>
      <c r="C24" s="292"/>
      <c r="D24" s="293"/>
      <c r="E24" s="293"/>
      <c r="F24" s="293"/>
      <c r="G24" s="294"/>
      <c r="H24" s="399"/>
    </row>
    <row r="25" spans="2:8" x14ac:dyDescent="0.2">
      <c r="C25" s="9"/>
      <c r="D25" s="9"/>
      <c r="E25" s="9"/>
      <c r="F25" s="10"/>
      <c r="G25" s="34"/>
      <c r="H25" s="6"/>
    </row>
    <row r="26" spans="2:8" ht="12.75" customHeight="1" x14ac:dyDescent="0.2">
      <c r="C26" s="285" t="s">
        <v>193</v>
      </c>
      <c r="D26" s="285"/>
      <c r="E26" s="285"/>
      <c r="F26" s="285"/>
      <c r="G26" s="285"/>
      <c r="H26" s="6"/>
    </row>
    <row r="27" spans="2:8" ht="12.75" customHeight="1" x14ac:dyDescent="0.2">
      <c r="C27" s="386"/>
      <c r="D27" s="386"/>
      <c r="E27" s="386"/>
      <c r="F27" s="386"/>
      <c r="G27" s="386"/>
      <c r="H27" s="6"/>
    </row>
    <row r="28" spans="2:8" ht="13.5" customHeight="1" x14ac:dyDescent="0.2">
      <c r="B28" s="281" t="s">
        <v>16</v>
      </c>
      <c r="C28" s="286"/>
      <c r="D28" s="287"/>
      <c r="E28" s="287"/>
      <c r="F28" s="287"/>
      <c r="G28" s="288"/>
      <c r="H28" s="6"/>
    </row>
    <row r="29" spans="2:8" ht="21.95" customHeight="1" x14ac:dyDescent="0.2">
      <c r="B29" s="281"/>
      <c r="C29" s="289"/>
      <c r="D29" s="290"/>
      <c r="E29" s="290"/>
      <c r="F29" s="290"/>
      <c r="G29" s="291"/>
      <c r="H29" s="6"/>
    </row>
    <row r="30" spans="2:8" ht="13.5" customHeight="1" x14ac:dyDescent="0.2">
      <c r="B30" s="281"/>
      <c r="C30" s="289"/>
      <c r="D30" s="290"/>
      <c r="E30" s="290"/>
      <c r="F30" s="290"/>
      <c r="G30" s="291"/>
      <c r="H30" s="6"/>
    </row>
    <row r="31" spans="2:8" ht="13.5" customHeight="1" x14ac:dyDescent="0.2">
      <c r="B31" s="281"/>
      <c r="C31" s="289"/>
      <c r="D31" s="290"/>
      <c r="E31" s="290"/>
      <c r="F31" s="290"/>
      <c r="G31" s="291"/>
      <c r="H31" s="6"/>
    </row>
    <row r="32" spans="2:8" ht="13.5" customHeight="1" x14ac:dyDescent="0.2">
      <c r="B32" s="281"/>
      <c r="C32" s="292"/>
      <c r="D32" s="293"/>
      <c r="E32" s="293"/>
      <c r="F32" s="293"/>
      <c r="G32" s="294"/>
      <c r="H32" s="6"/>
    </row>
    <row r="33" spans="2:8" ht="13.5" customHeight="1" x14ac:dyDescent="0.2">
      <c r="B33" s="14"/>
      <c r="C33" s="4"/>
      <c r="D33" s="4"/>
      <c r="E33" s="4"/>
      <c r="F33" s="4"/>
      <c r="G33" s="4"/>
      <c r="H33" s="6"/>
    </row>
    <row r="34" spans="2:8" ht="12.75" customHeight="1" x14ac:dyDescent="0.2">
      <c r="B34" s="22"/>
      <c r="C34" s="22"/>
      <c r="D34" s="22"/>
      <c r="E34" s="26"/>
      <c r="F34" s="400" t="s">
        <v>197</v>
      </c>
      <c r="G34" s="400"/>
    </row>
    <row r="35" spans="2:8" ht="12.75" customHeight="1" x14ac:dyDescent="0.2">
      <c r="B35" s="22"/>
      <c r="C35" s="22"/>
      <c r="D35" s="22"/>
      <c r="E35" s="24" t="s">
        <v>196</v>
      </c>
      <c r="F35" s="400" t="s">
        <v>196</v>
      </c>
      <c r="G35" s="400"/>
      <c r="H35" s="6" t="s">
        <v>170</v>
      </c>
    </row>
    <row r="36" spans="2:8" ht="12.75" customHeight="1" x14ac:dyDescent="0.2">
      <c r="B36" s="278" t="s">
        <v>194</v>
      </c>
      <c r="C36" s="278"/>
      <c r="D36" s="278"/>
      <c r="E36" s="71"/>
      <c r="F36" s="384"/>
      <c r="G36" s="385"/>
      <c r="H36" s="70"/>
    </row>
    <row r="37" spans="2:8" ht="12.75" customHeight="1" x14ac:dyDescent="0.2">
      <c r="B37" s="22"/>
      <c r="C37" s="22"/>
      <c r="D37" s="22"/>
      <c r="E37" s="24"/>
      <c r="F37" s="24"/>
      <c r="G37" s="6"/>
      <c r="H37" s="6"/>
    </row>
    <row r="38" spans="2:8" ht="12.75" customHeight="1" x14ac:dyDescent="0.2">
      <c r="B38" s="278" t="s">
        <v>199</v>
      </c>
      <c r="C38" s="278"/>
      <c r="D38" s="278"/>
      <c r="E38" s="71"/>
      <c r="F38" s="384"/>
      <c r="G38" s="385"/>
      <c r="H38" s="70"/>
    </row>
    <row r="39" spans="2:8" ht="12.75" customHeight="1" x14ac:dyDescent="0.2">
      <c r="B39" s="22"/>
      <c r="C39" s="22"/>
      <c r="D39" s="22"/>
      <c r="E39" s="24"/>
      <c r="F39" s="24"/>
      <c r="G39" s="6"/>
      <c r="H39" s="6"/>
    </row>
    <row r="40" spans="2:8" ht="12.75" customHeight="1" x14ac:dyDescent="0.2">
      <c r="B40" s="278" t="s">
        <v>200</v>
      </c>
      <c r="C40" s="278"/>
      <c r="D40" s="278"/>
      <c r="E40" s="311"/>
      <c r="F40" s="286"/>
      <c r="G40" s="288"/>
      <c r="H40" s="398"/>
    </row>
    <row r="41" spans="2:8" ht="12.75" customHeight="1" x14ac:dyDescent="0.2">
      <c r="B41" s="278"/>
      <c r="C41" s="278"/>
      <c r="D41" s="278"/>
      <c r="E41" s="313"/>
      <c r="F41" s="292"/>
      <c r="G41" s="294"/>
      <c r="H41" s="399"/>
    </row>
    <row r="42" spans="2:8" ht="12.75" customHeight="1" x14ac:dyDescent="0.2">
      <c r="B42" s="22"/>
      <c r="C42" s="22"/>
      <c r="D42" s="22"/>
      <c r="E42" s="24"/>
      <c r="F42" s="24"/>
      <c r="G42" s="6"/>
      <c r="H42" s="6"/>
    </row>
    <row r="43" spans="2:8" ht="12.75" customHeight="1" x14ac:dyDescent="0.2">
      <c r="B43" s="278" t="s">
        <v>201</v>
      </c>
      <c r="C43" s="278"/>
      <c r="D43" s="278"/>
      <c r="E43" s="71"/>
      <c r="F43" s="384"/>
      <c r="G43" s="385"/>
      <c r="H43" s="70"/>
    </row>
    <row r="44" spans="2:8" ht="12.75" customHeight="1" x14ac:dyDescent="0.2">
      <c r="B44" s="278"/>
      <c r="C44" s="278"/>
      <c r="D44" s="278"/>
      <c r="E44" s="24"/>
      <c r="F44" s="24"/>
      <c r="G44" s="24"/>
      <c r="H44" s="13"/>
    </row>
    <row r="45" spans="2:8" ht="12.75" customHeight="1" x14ac:dyDescent="0.2">
      <c r="B45" s="22"/>
      <c r="C45" s="22"/>
      <c r="D45" s="22"/>
      <c r="E45" s="24"/>
      <c r="F45" s="24"/>
      <c r="G45" s="6"/>
      <c r="H45" s="6"/>
    </row>
    <row r="46" spans="2:8" ht="12.75" customHeight="1" x14ac:dyDescent="0.2">
      <c r="B46" s="278" t="s">
        <v>195</v>
      </c>
      <c r="C46" s="278"/>
      <c r="D46" s="278"/>
      <c r="E46" s="311"/>
      <c r="F46" s="286"/>
      <c r="G46" s="288"/>
      <c r="H46" s="398"/>
    </row>
    <row r="47" spans="2:8" ht="12.75" customHeight="1" x14ac:dyDescent="0.2">
      <c r="B47" s="278"/>
      <c r="C47" s="278"/>
      <c r="D47" s="278"/>
      <c r="E47" s="313"/>
      <c r="F47" s="292"/>
      <c r="G47" s="294"/>
      <c r="H47" s="399"/>
    </row>
    <row r="48" spans="2:8" ht="12.75" customHeight="1" x14ac:dyDescent="0.2">
      <c r="B48" s="22"/>
      <c r="C48" s="22"/>
      <c r="D48" s="22"/>
      <c r="E48" s="24"/>
      <c r="F48" s="24"/>
      <c r="G48" s="6"/>
      <c r="H48" s="6"/>
    </row>
    <row r="49" spans="2:8" ht="12.75" customHeight="1" x14ac:dyDescent="0.2">
      <c r="B49" s="278" t="s">
        <v>198</v>
      </c>
      <c r="C49" s="278"/>
      <c r="D49" s="278"/>
      <c r="E49" s="71"/>
      <c r="F49" s="384"/>
      <c r="G49" s="385"/>
      <c r="H49" s="70"/>
    </row>
    <row r="50" spans="2:8" ht="12.75" customHeight="1" x14ac:dyDescent="0.2">
      <c r="B50" s="22"/>
      <c r="C50" s="22"/>
      <c r="D50" s="22"/>
      <c r="E50" s="26"/>
      <c r="F50" s="26"/>
      <c r="G50" s="6"/>
    </row>
    <row r="51" spans="2:8" ht="12.75" customHeight="1" x14ac:dyDescent="0.2">
      <c r="B51" s="22"/>
      <c r="C51" s="22"/>
      <c r="D51" s="22"/>
      <c r="E51" s="26"/>
      <c r="F51" s="397" t="str">
        <f>IF(AND(F36="Yes",F38="Yes",F40="Yes",F43="Yes",F46="Yes",F49="Yes"),"GOLD",IF(AND(F46="Yes",F49="Yes",E36="Yes",E40="Yes"),"SILVER",IF(AND(E36="Yes",E40="Yes"),"BRONZE","None")))</f>
        <v>None</v>
      </c>
      <c r="G51" s="397"/>
    </row>
    <row r="52" spans="2:8" ht="12.75" customHeight="1" x14ac:dyDescent="0.2">
      <c r="B52" s="47"/>
      <c r="C52" s="22"/>
      <c r="D52" s="22"/>
      <c r="E52" s="22"/>
      <c r="F52" s="26"/>
      <c r="G52" s="26"/>
      <c r="H52" s="6"/>
    </row>
    <row r="53" spans="2:8" ht="12.75" customHeight="1" x14ac:dyDescent="0.2"/>
  </sheetData>
  <sheetProtection password="9C31" sheet="1" objects="1" scenarios="1"/>
  <mergeCells count="39">
    <mergeCell ref="F34:G34"/>
    <mergeCell ref="F35:G35"/>
    <mergeCell ref="H23:H24"/>
    <mergeCell ref="H21:H22"/>
    <mergeCell ref="A1:A2"/>
    <mergeCell ref="B1:G2"/>
    <mergeCell ref="C8:E9"/>
    <mergeCell ref="C4:E6"/>
    <mergeCell ref="F4:F6"/>
    <mergeCell ref="G4:G6"/>
    <mergeCell ref="F11:F13"/>
    <mergeCell ref="F8:F9"/>
    <mergeCell ref="G8:G9"/>
    <mergeCell ref="C26:G27"/>
    <mergeCell ref="C22:G24"/>
    <mergeCell ref="G11:G13"/>
    <mergeCell ref="B15:G19"/>
    <mergeCell ref="B28:B32"/>
    <mergeCell ref="C28:G32"/>
    <mergeCell ref="C21:G21"/>
    <mergeCell ref="C11:E13"/>
    <mergeCell ref="B22:B24"/>
    <mergeCell ref="F36:G36"/>
    <mergeCell ref="F43:G43"/>
    <mergeCell ref="F46:G47"/>
    <mergeCell ref="F49:G49"/>
    <mergeCell ref="B38:D38"/>
    <mergeCell ref="B36:D36"/>
    <mergeCell ref="F38:G38"/>
    <mergeCell ref="F51:G51"/>
    <mergeCell ref="H46:H47"/>
    <mergeCell ref="B40:D41"/>
    <mergeCell ref="E40:E41"/>
    <mergeCell ref="F40:G41"/>
    <mergeCell ref="H40:H41"/>
    <mergeCell ref="B43:D44"/>
    <mergeCell ref="B46:D47"/>
    <mergeCell ref="B49:D49"/>
    <mergeCell ref="E46:E47"/>
  </mergeCells>
  <phoneticPr fontId="3" type="noConversion"/>
  <dataValidations count="1">
    <dataValidation allowBlank="1" showInputMessage="1" sqref="E37:G37 E39:G39 E42:G42 E44:G45 E48:G48"/>
  </dataValidations>
  <pageMargins left="0.5" right="0.5" top="0.5" bottom="0.5" header="0.3" footer="0.3"/>
  <pageSetup orientation="portrait"/>
  <headerFooter alignWithMargins="0">
    <oddHeader>&amp;C&amp;K000000Chapter Journey to Excellence Workbook</oddHeader>
    <oddFooter>&amp;R&amp;K000000&amp;A</oddFooter>
  </headerFooter>
  <extLst>
    <ext xmlns:x14="http://schemas.microsoft.com/office/spreadsheetml/2009/9/main" uri="{CCE6A557-97BC-4b89-ADB6-D9C93CAAB3DF}">
      <x14:dataValidations xmlns:xm="http://schemas.microsoft.com/office/excel/2006/main" count="1">
        <x14:dataValidation type="list" allowBlank="1" showErrorMessage="1" errorTitle="Yes/No Only" error="Please use the drop-down menu in the cell to select either &quot;Yes&quot; or &quot;No.&quot;">
          <x14:formula1>
            <xm:f>HIDE!$A$1:$A$2</xm:f>
          </x14:formula1>
          <xm:sqref>E49:G49 E46:G47 E43:G43 E40:G41 E38:G38 E36:G36</xm:sqref>
        </x14:dataValidation>
      </x14:dataValidations>
    </ex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2"/>
  <sheetViews>
    <sheetView showGridLines="0" tabSelected="1" zoomScale="125" zoomScaleNormal="125" zoomScalePageLayoutView="125" workbookViewId="0">
      <selection sqref="A1:I1"/>
    </sheetView>
  </sheetViews>
  <sheetFormatPr defaultColWidth="8.85546875" defaultRowHeight="12.75" x14ac:dyDescent="0.2"/>
  <cols>
    <col min="1" max="1" width="5.7109375" style="172" customWidth="1"/>
    <col min="2" max="2" width="6.28515625" style="172" customWidth="1"/>
    <col min="3" max="3" width="16.140625" style="172" customWidth="1"/>
    <col min="4" max="6" width="13.85546875" style="172" customWidth="1"/>
    <col min="7" max="7" width="7" style="172" customWidth="1"/>
    <col min="8" max="9" width="6.28515625" style="172" customWidth="1"/>
    <col min="10" max="16384" width="8.85546875" style="172"/>
  </cols>
  <sheetData>
    <row r="1" spans="1:9" ht="16.5" x14ac:dyDescent="0.25">
      <c r="A1" s="403" t="s">
        <v>0</v>
      </c>
      <c r="B1" s="403"/>
      <c r="C1" s="403"/>
      <c r="D1" s="403"/>
      <c r="E1" s="403"/>
      <c r="F1" s="403"/>
      <c r="G1" s="403"/>
      <c r="H1" s="403"/>
      <c r="I1" s="403"/>
    </row>
    <row r="2" spans="1:9" ht="15" x14ac:dyDescent="0.25">
      <c r="A2" s="404" t="str">
        <f>HIDE!B33&amp;" OA Chapter Performance Recognition Program"</f>
        <v>2014 OA Chapter Performance Recognition Program</v>
      </c>
      <c r="B2" s="404"/>
      <c r="C2" s="404"/>
      <c r="D2" s="404"/>
      <c r="E2" s="404"/>
      <c r="F2" s="404"/>
      <c r="G2" s="404"/>
      <c r="H2" s="404"/>
      <c r="I2" s="404"/>
    </row>
    <row r="4" spans="1:9" x14ac:dyDescent="0.2">
      <c r="A4" s="457" t="s">
        <v>206</v>
      </c>
      <c r="B4" s="458"/>
      <c r="C4" s="218" t="str">
        <f>IF(ISBLANK(Worksheet!B3), "", Worksheet!B3)</f>
        <v/>
      </c>
      <c r="D4" s="174" t="s">
        <v>207</v>
      </c>
      <c r="E4" s="217" t="str">
        <f>IF(ISBLANK(Worksheet!B5), "", Worksheet!B5)</f>
        <v/>
      </c>
      <c r="F4" s="174" t="s">
        <v>208</v>
      </c>
      <c r="G4" s="405" t="str">
        <f>IF(ISBLANK(Worksheet!B7), "", Worksheet!B7)</f>
        <v/>
      </c>
      <c r="H4" s="406"/>
      <c r="I4" s="407"/>
    </row>
    <row r="5" spans="1:9" x14ac:dyDescent="0.2">
      <c r="A5" s="175"/>
      <c r="B5" s="175"/>
      <c r="C5" s="176"/>
      <c r="D5" s="174"/>
      <c r="E5" s="177"/>
      <c r="F5" s="175"/>
      <c r="G5" s="175"/>
      <c r="H5" s="175"/>
      <c r="I5" s="175"/>
    </row>
    <row r="6" spans="1:9" x14ac:dyDescent="0.2">
      <c r="A6" s="457" t="s">
        <v>209</v>
      </c>
      <c r="B6" s="458"/>
      <c r="C6" s="218" t="str">
        <f>IF(ISBLANK(Worksheet!B9), "", Worksheet!B9)</f>
        <v/>
      </c>
      <c r="D6" s="174" t="s">
        <v>210</v>
      </c>
      <c r="E6" s="217" t="str">
        <f>IF(ISBLANK(Worksheet!B11), "", Worksheet!B11)</f>
        <v/>
      </c>
      <c r="F6" s="174" t="s">
        <v>211</v>
      </c>
      <c r="G6" s="405" t="str">
        <f>IF(ISBLANK(Worksheet!B13), "", Worksheet!B13)</f>
        <v/>
      </c>
      <c r="H6" s="406"/>
      <c r="I6" s="407"/>
    </row>
    <row r="7" spans="1:9" x14ac:dyDescent="0.2">
      <c r="I7" s="173"/>
    </row>
    <row r="8" spans="1:9" x14ac:dyDescent="0.2">
      <c r="A8" s="459" t="s">
        <v>170</v>
      </c>
      <c r="B8" s="460"/>
      <c r="C8" s="216" t="str">
        <f>IF(ISBLANK(Worksheet!B15), "", Worksheet!B15)</f>
        <v/>
      </c>
      <c r="D8" s="461"/>
      <c r="E8" s="457"/>
      <c r="F8" s="462"/>
      <c r="G8" s="214"/>
      <c r="I8" s="173"/>
    </row>
    <row r="9" spans="1:9" ht="3.75" customHeight="1" x14ac:dyDescent="0.2">
      <c r="D9" s="173" t="s">
        <v>203</v>
      </c>
      <c r="I9" s="173"/>
    </row>
    <row r="10" spans="1:9" ht="82.5" customHeight="1" x14ac:dyDescent="0.2">
      <c r="A10" s="401" t="s">
        <v>274</v>
      </c>
      <c r="B10" s="401"/>
      <c r="C10" s="402"/>
      <c r="D10" s="402"/>
      <c r="E10" s="402"/>
      <c r="F10" s="402"/>
      <c r="G10" s="402"/>
      <c r="H10" s="402"/>
      <c r="I10" s="402"/>
    </row>
    <row r="11" spans="1:9" ht="25.5" x14ac:dyDescent="0.2">
      <c r="A11" s="408" t="s">
        <v>212</v>
      </c>
      <c r="B11" s="410" t="s">
        <v>213</v>
      </c>
      <c r="C11" s="411"/>
      <c r="D11" s="198" t="s">
        <v>214</v>
      </c>
      <c r="E11" s="198" t="s">
        <v>215</v>
      </c>
      <c r="F11" s="198" t="s">
        <v>216</v>
      </c>
      <c r="G11" s="198" t="s">
        <v>217</v>
      </c>
      <c r="H11" s="198" t="s">
        <v>218</v>
      </c>
      <c r="I11" s="198" t="s">
        <v>219</v>
      </c>
    </row>
    <row r="12" spans="1:9" x14ac:dyDescent="0.2">
      <c r="A12" s="409"/>
      <c r="B12" s="417" t="s">
        <v>220</v>
      </c>
      <c r="C12" s="418"/>
      <c r="D12" s="178"/>
      <c r="E12" s="178"/>
      <c r="F12" s="178"/>
      <c r="G12" s="466"/>
      <c r="H12" s="466"/>
      <c r="I12" s="466"/>
    </row>
    <row r="13" spans="1:9" ht="45.75" customHeight="1" x14ac:dyDescent="0.2">
      <c r="A13" s="412">
        <v>1</v>
      </c>
      <c r="B13" s="413" t="s">
        <v>267</v>
      </c>
      <c r="C13" s="414"/>
      <c r="D13" s="179" t="s">
        <v>5</v>
      </c>
      <c r="E13" s="180" t="s">
        <v>221</v>
      </c>
      <c r="F13" s="180" t="s">
        <v>222</v>
      </c>
      <c r="G13" s="419">
        <f>IF(AND(D14="Complete.", E14="Incomplete.", F14="Incomplete."), 75, 0)</f>
        <v>0</v>
      </c>
      <c r="H13" s="419">
        <f>IF(AND(D14="Complete.", E14="Complete.", F14="Incomplete."), 100, 0)</f>
        <v>0</v>
      </c>
      <c r="I13" s="419">
        <f>IF(AND(D14="Complete.", E14="Complete.", F14="Complete."), 200, 0)</f>
        <v>0</v>
      </c>
    </row>
    <row r="14" spans="1:9" x14ac:dyDescent="0.2">
      <c r="A14" s="412"/>
      <c r="B14" s="415"/>
      <c r="C14" s="416"/>
      <c r="D14" s="181" t="str">
        <f>IF(COUNTA('1 Fiscal'!H17)=1, "Complete.", "Incomplete.")</f>
        <v>Incomplete.</v>
      </c>
      <c r="E14" s="181" t="str">
        <f>IF(COUNTA('1 Fiscal'!H31:H34)=1, "Complete.", "Incomplete.")</f>
        <v>Incomplete.</v>
      </c>
      <c r="F14" s="181" t="str">
        <f>IF(COUNTA('1 Fiscal'!H38:H41)=1, "Complete.", "Incomplete.")</f>
        <v>Incomplete.</v>
      </c>
      <c r="G14" s="420"/>
      <c r="H14" s="420"/>
      <c r="I14" s="420"/>
    </row>
    <row r="15" spans="1:9" x14ac:dyDescent="0.2">
      <c r="A15" s="182"/>
      <c r="B15" s="421" t="s">
        <v>223</v>
      </c>
      <c r="C15" s="421"/>
      <c r="D15" s="182"/>
      <c r="E15" s="182"/>
      <c r="F15" s="182"/>
      <c r="G15" s="467"/>
      <c r="H15" s="467"/>
      <c r="I15" s="467"/>
    </row>
    <row r="16" spans="1:9" ht="48" customHeight="1" x14ac:dyDescent="0.2">
      <c r="A16" s="203">
        <v>2</v>
      </c>
      <c r="B16" s="422" t="s">
        <v>249</v>
      </c>
      <c r="C16" s="423"/>
      <c r="D16" s="183" t="s">
        <v>11</v>
      </c>
      <c r="E16" s="183" t="s">
        <v>224</v>
      </c>
      <c r="F16" s="183" t="s">
        <v>275</v>
      </c>
      <c r="G16" s="184">
        <f>IF('2 Membership Impact'!E32="BRONZE", 75, 0)</f>
        <v>0</v>
      </c>
      <c r="H16" s="184">
        <f>IF('2 Membership Impact'!E32="Silver", 100, 0)</f>
        <v>0</v>
      </c>
      <c r="I16" s="184">
        <f>IF('2 Membership Impact'!E32="Gold", 200, 0)</f>
        <v>0</v>
      </c>
    </row>
    <row r="17" spans="1:9" ht="67.5" x14ac:dyDescent="0.2">
      <c r="A17" s="203">
        <v>3</v>
      </c>
      <c r="B17" s="428" t="s">
        <v>250</v>
      </c>
      <c r="C17" s="429"/>
      <c r="D17" s="183" t="s">
        <v>276</v>
      </c>
      <c r="E17" s="183" t="s">
        <v>277</v>
      </c>
      <c r="F17" s="183" t="s">
        <v>278</v>
      </c>
      <c r="G17" s="184">
        <f>IF('3 Ordeal Completion'!E36="BRONZE", 25, 0)</f>
        <v>0</v>
      </c>
      <c r="H17" s="184">
        <f>IF('3 Ordeal Completion'!E36="Silver", 50, 0)</f>
        <v>0</v>
      </c>
      <c r="I17" s="184">
        <f>IF('3 Ordeal Completion'!E36="Gold", 100, 0)</f>
        <v>0</v>
      </c>
    </row>
    <row r="18" spans="1:9" ht="45" x14ac:dyDescent="0.2">
      <c r="A18" s="203">
        <v>4</v>
      </c>
      <c r="B18" s="428" t="s">
        <v>251</v>
      </c>
      <c r="C18" s="429"/>
      <c r="D18" s="183" t="s">
        <v>279</v>
      </c>
      <c r="E18" s="183" t="s">
        <v>280</v>
      </c>
      <c r="F18" s="183" t="s">
        <v>281</v>
      </c>
      <c r="G18" s="184">
        <f>IF('4 Brotherhood Conversion'!E38="BRONZE", 75, 0)</f>
        <v>0</v>
      </c>
      <c r="H18" s="184">
        <f>IF('4 Brotherhood Conversion'!E38="Silver", 100, 0)</f>
        <v>0</v>
      </c>
      <c r="I18" s="184">
        <f>IF('4 Brotherhood Conversion'!E38="Gold", 200, 0)</f>
        <v>0</v>
      </c>
    </row>
    <row r="19" spans="1:9" ht="33.75" x14ac:dyDescent="0.2">
      <c r="A19" s="203">
        <v>5</v>
      </c>
      <c r="B19" s="428" t="s">
        <v>252</v>
      </c>
      <c r="C19" s="429"/>
      <c r="D19" s="183" t="s">
        <v>282</v>
      </c>
      <c r="E19" s="183" t="s">
        <v>283</v>
      </c>
      <c r="F19" s="183" t="s">
        <v>284</v>
      </c>
      <c r="G19" s="184">
        <f>IF('5 Membership Retention'!F36="BRONZE", 75, 0)</f>
        <v>0</v>
      </c>
      <c r="H19" s="184">
        <f>IF('5 Membership Retention'!F36="Silver", 100, 0)</f>
        <v>0</v>
      </c>
      <c r="I19" s="184">
        <f>IF('5 Membership Retention'!F36="Gold", 200, 0)</f>
        <v>0</v>
      </c>
    </row>
    <row r="20" spans="1:9" x14ac:dyDescent="0.2">
      <c r="A20" s="199"/>
      <c r="B20" s="424" t="s">
        <v>225</v>
      </c>
      <c r="C20" s="424"/>
      <c r="D20" s="199"/>
      <c r="E20" s="199"/>
      <c r="F20" s="199"/>
      <c r="G20" s="468"/>
      <c r="H20" s="468"/>
      <c r="I20" s="468"/>
    </row>
    <row r="21" spans="1:9" ht="33.75" x14ac:dyDescent="0.2">
      <c r="A21" s="203">
        <v>6</v>
      </c>
      <c r="B21" s="422" t="s">
        <v>253</v>
      </c>
      <c r="C21" s="423"/>
      <c r="D21" s="183" t="s">
        <v>56</v>
      </c>
      <c r="E21" s="183" t="s">
        <v>57</v>
      </c>
      <c r="F21" s="183" t="s">
        <v>58</v>
      </c>
      <c r="G21" s="184">
        <f>IF('6 Unit Elections'!E36="BRONZE", 25, 0)</f>
        <v>0</v>
      </c>
      <c r="H21" s="184">
        <f>IF('6 Unit Elections'!E36="Silver", 50, 0)</f>
        <v>0</v>
      </c>
      <c r="I21" s="184">
        <f>IF('6 Unit Elections'!E36="Gold", 100, 0)</f>
        <v>0</v>
      </c>
    </row>
    <row r="22" spans="1:9" ht="45.75" customHeight="1" x14ac:dyDescent="0.2">
      <c r="A22" s="203">
        <v>7</v>
      </c>
      <c r="B22" s="422" t="s">
        <v>270</v>
      </c>
      <c r="C22" s="423"/>
      <c r="D22" s="183" t="s">
        <v>226</v>
      </c>
      <c r="E22" s="183" t="s">
        <v>227</v>
      </c>
      <c r="F22" s="183" t="s">
        <v>228</v>
      </c>
      <c r="G22" s="184">
        <f>IF('7 Attendance'!I34="BRONZE", 25, 0)</f>
        <v>0</v>
      </c>
      <c r="H22" s="184">
        <f>IF('7 Attendance'!I34="SILVER", 50, 0)</f>
        <v>0</v>
      </c>
      <c r="I22" s="184">
        <f>IF('7 Attendance'!I34="GOLD", 100, 0)</f>
        <v>0</v>
      </c>
    </row>
    <row r="23" spans="1:9" ht="45" x14ac:dyDescent="0.2">
      <c r="A23" s="425">
        <v>8</v>
      </c>
      <c r="B23" s="426" t="s">
        <v>254</v>
      </c>
      <c r="C23" s="427"/>
      <c r="D23" s="185" t="s">
        <v>84</v>
      </c>
      <c r="E23" s="185" t="s">
        <v>229</v>
      </c>
      <c r="F23" s="185" t="s">
        <v>85</v>
      </c>
      <c r="G23" s="419">
        <f>IF(AND(D24="Yes.", E24="-"), 25, 0)</f>
        <v>0</v>
      </c>
      <c r="H23" s="419">
        <f>IF(AND(D24="Yes.", E24="Yes.", F24="-"), 50, 0)</f>
        <v>0</v>
      </c>
      <c r="I23" s="419">
        <f>IF(AND(D24="Yes.", E24="Yes.", F24="Yes."), 100, 0)</f>
        <v>0</v>
      </c>
    </row>
    <row r="24" spans="1:9" x14ac:dyDescent="0.2">
      <c r="A24" s="425"/>
      <c r="B24" s="415"/>
      <c r="C24" s="416"/>
      <c r="D24" s="181" t="str">
        <f>IF(AND('8 Communications'!H27="Yes", '8 Communications'!H29="Yes"), "Yes.", "-")</f>
        <v>-</v>
      </c>
      <c r="E24" s="181" t="str">
        <f>IF('8 Communications'!H31="Yes", "Yes.", "-")</f>
        <v>-</v>
      </c>
      <c r="F24" s="181" t="str">
        <f>IF('8 Communications'!H33="Yes", "Yes.", "-")</f>
        <v>-</v>
      </c>
      <c r="G24" s="420"/>
      <c r="H24" s="420"/>
      <c r="I24" s="420"/>
    </row>
    <row r="25" spans="1:9" ht="45" x14ac:dyDescent="0.2">
      <c r="A25" s="203">
        <v>9</v>
      </c>
      <c r="B25" s="422" t="s">
        <v>255</v>
      </c>
      <c r="C25" s="423"/>
      <c r="D25" s="183" t="s">
        <v>230</v>
      </c>
      <c r="E25" s="183" t="s">
        <v>285</v>
      </c>
      <c r="F25" s="183" t="s">
        <v>100</v>
      </c>
      <c r="G25" s="184">
        <f>IF('9 Participation'!G32="BRONZE", 25, 0)</f>
        <v>0</v>
      </c>
      <c r="H25" s="184">
        <f>IF('9 Participation'!G32="SILVER", 50, 0)</f>
        <v>0</v>
      </c>
      <c r="I25" s="184">
        <f>IF('9 Participation'!G32="GOLD", 100, 0)</f>
        <v>0</v>
      </c>
    </row>
    <row r="26" spans="1:9" ht="90" x14ac:dyDescent="0.2">
      <c r="A26" s="425">
        <v>10</v>
      </c>
      <c r="B26" s="430" t="s">
        <v>256</v>
      </c>
      <c r="C26" s="431"/>
      <c r="D26" s="185" t="s">
        <v>231</v>
      </c>
      <c r="E26" s="185" t="s">
        <v>116</v>
      </c>
      <c r="F26" s="185" t="s">
        <v>232</v>
      </c>
      <c r="G26" s="419">
        <f>IF(AND(D27="Yes.", E27="-"), 25, 0)</f>
        <v>0</v>
      </c>
      <c r="H26" s="419">
        <f>IF(AND(D27="Yes.", E27="Yes.", F27="-"), 50, 0)</f>
        <v>0</v>
      </c>
      <c r="I26" s="419">
        <f>IF(AND(D27="Yes.", E27="Yes.", F27="Yes."), 100, 0)</f>
        <v>0</v>
      </c>
    </row>
    <row r="27" spans="1:9" x14ac:dyDescent="0.2">
      <c r="A27" s="425"/>
      <c r="B27" s="431"/>
      <c r="C27" s="431"/>
      <c r="D27" s="181" t="str">
        <f>IF(AND('10 Planning'!H14="Yes", '10 Planning'!H16="Yes", '10 Planning'!H20="Yes"), "Yes.", "-")</f>
        <v>-</v>
      </c>
      <c r="E27" s="181" t="str">
        <f>IF('10 Planning'!H25="Yes", "Yes.", "-")</f>
        <v>-</v>
      </c>
      <c r="F27" s="181" t="str">
        <f>IF('10 Planning'!H29="Yes", "Yes.", "-")</f>
        <v>-</v>
      </c>
      <c r="G27" s="420"/>
      <c r="H27" s="420"/>
      <c r="I27" s="420"/>
    </row>
    <row r="28" spans="1:9" ht="45" customHeight="1" x14ac:dyDescent="0.2">
      <c r="A28" s="203">
        <v>11</v>
      </c>
      <c r="B28" s="470" t="s">
        <v>257</v>
      </c>
      <c r="C28" s="471"/>
      <c r="D28" s="185" t="s">
        <v>129</v>
      </c>
      <c r="E28" s="185" t="s">
        <v>130</v>
      </c>
      <c r="F28" s="185" t="s">
        <v>131</v>
      </c>
      <c r="G28" s="184">
        <f>IF(COUNTA('11 Lodge Support'!F26,'11 Lodge Support'!F33,'11 Lodge Support'!F40)=1,75,0)</f>
        <v>0</v>
      </c>
      <c r="H28" s="184">
        <f>IF(COUNTA('11 Lodge Support'!F26,'11 Lodge Support'!F33,'11 Lodge Support'!F40)=2,100,0)</f>
        <v>0</v>
      </c>
      <c r="I28" s="184">
        <f>IF(COUNTA('11 Lodge Support'!F26,'11 Lodge Support'!F33,'11 Lodge Support'!F40)=3,200,0)</f>
        <v>0</v>
      </c>
    </row>
    <row r="29" spans="1:9" x14ac:dyDescent="0.2">
      <c r="A29" s="199"/>
      <c r="B29" s="424" t="s">
        <v>233</v>
      </c>
      <c r="C29" s="424"/>
      <c r="D29" s="199"/>
      <c r="E29" s="199"/>
      <c r="F29" s="199"/>
      <c r="G29" s="469"/>
      <c r="H29" s="469"/>
      <c r="I29" s="469"/>
    </row>
    <row r="30" spans="1:9" ht="69" customHeight="1" x14ac:dyDescent="0.2">
      <c r="A30" s="203">
        <v>12</v>
      </c>
      <c r="B30" s="470" t="s">
        <v>269</v>
      </c>
      <c r="C30" s="423"/>
      <c r="D30" s="183" t="s">
        <v>286</v>
      </c>
      <c r="E30" s="183" t="s">
        <v>287</v>
      </c>
      <c r="F30" s="183" t="s">
        <v>288</v>
      </c>
      <c r="G30" s="184">
        <f>IF('12 Service Projects'!F38="BRONZE", 75, 0)</f>
        <v>0</v>
      </c>
      <c r="H30" s="184">
        <f>IF('12 Service Projects'!F38="Silver", 100, 0)</f>
        <v>0</v>
      </c>
      <c r="I30" s="184">
        <f>IF('12 Service Projects'!F38="Gold", 200, 0)</f>
        <v>0</v>
      </c>
    </row>
    <row r="31" spans="1:9" ht="45" x14ac:dyDescent="0.2">
      <c r="A31" s="203">
        <v>13</v>
      </c>
      <c r="B31" s="422" t="s">
        <v>258</v>
      </c>
      <c r="C31" s="423"/>
      <c r="D31" s="183" t="s">
        <v>153</v>
      </c>
      <c r="E31" s="183" t="s">
        <v>154</v>
      </c>
      <c r="F31" s="183" t="s">
        <v>155</v>
      </c>
      <c r="G31" s="184">
        <f>IF('13 Camping Support'!F38="BRONZE", 75, 0)</f>
        <v>0</v>
      </c>
      <c r="H31" s="184">
        <f>IF('13 Camping Support'!F38="Silver", 100, 0)</f>
        <v>0</v>
      </c>
      <c r="I31" s="184">
        <f>IF('13 Camping Support'!F38="Gold", 200, 0)</f>
        <v>0</v>
      </c>
    </row>
    <row r="32" spans="1:9" ht="43.5" customHeight="1" x14ac:dyDescent="0.2">
      <c r="A32" s="186">
        <v>14</v>
      </c>
      <c r="B32" s="422" t="s">
        <v>259</v>
      </c>
      <c r="C32" s="423"/>
      <c r="D32" s="183" t="s">
        <v>166</v>
      </c>
      <c r="E32" s="183" t="s">
        <v>167</v>
      </c>
      <c r="F32" s="183" t="s">
        <v>168</v>
      </c>
      <c r="G32" s="184">
        <f>IF('14 Program Support'!F38="BRONZE", 75, 0)</f>
        <v>0</v>
      </c>
      <c r="H32" s="184">
        <f>IF('14 Program Support'!F38="Silver", 100, 0)</f>
        <v>0</v>
      </c>
      <c r="I32" s="184">
        <f>IF('14 Program Support'!F38="Gold", 200, 0)</f>
        <v>0</v>
      </c>
    </row>
    <row r="33" spans="1:9" ht="57.75" customHeight="1" x14ac:dyDescent="0.2">
      <c r="A33" s="203">
        <v>15</v>
      </c>
      <c r="B33" s="422" t="s">
        <v>260</v>
      </c>
      <c r="C33" s="423"/>
      <c r="D33" s="183" t="s">
        <v>163</v>
      </c>
      <c r="E33" s="183" t="s">
        <v>164</v>
      </c>
      <c r="F33" s="183" t="s">
        <v>165</v>
      </c>
      <c r="G33" s="184">
        <f>IF(COUNTA('15 BSA Designated Support'!F31,'15 BSA Designated Support'!F37,'15 BSA Designated Support'!F43)=1, 75, 0)</f>
        <v>0</v>
      </c>
      <c r="H33" s="184">
        <f>IF(COUNTA('15 BSA Designated Support'!F31,'15 BSA Designated Support'!F37,'15 BSA Designated Support'!F43)=2, 100, 0)</f>
        <v>0</v>
      </c>
      <c r="I33" s="184">
        <f>IF(COUNTA('15 BSA Designated Support'!F31,'15 BSA Designated Support'!F37,'15 BSA Designated Support'!F43)=3, 200, 0)</f>
        <v>0</v>
      </c>
    </row>
    <row r="34" spans="1:9" x14ac:dyDescent="0.2">
      <c r="A34" s="199"/>
      <c r="B34" s="424" t="s">
        <v>234</v>
      </c>
      <c r="C34" s="424"/>
      <c r="D34" s="199"/>
      <c r="E34" s="199"/>
      <c r="F34" s="199"/>
      <c r="G34" s="469"/>
      <c r="H34" s="469"/>
      <c r="I34" s="469"/>
    </row>
    <row r="35" spans="1:9" ht="45" x14ac:dyDescent="0.2">
      <c r="A35" s="203">
        <v>16</v>
      </c>
      <c r="B35" s="422" t="s">
        <v>268</v>
      </c>
      <c r="C35" s="423"/>
      <c r="D35" s="183" t="s">
        <v>289</v>
      </c>
      <c r="E35" s="183" t="s">
        <v>290</v>
      </c>
      <c r="F35" s="183" t="s">
        <v>291</v>
      </c>
      <c r="G35" s="187">
        <f>IF('16 Chapter Leadership'!F35="BRONZE", 25, 0)</f>
        <v>0</v>
      </c>
      <c r="H35" s="187">
        <f>IF('16 Chapter Leadership'!F35="Silver", 50, 0)</f>
        <v>0</v>
      </c>
      <c r="I35" s="187">
        <f>IF('16 Chapter Leadership'!F35="Gold", 100, 0)</f>
        <v>0</v>
      </c>
    </row>
    <row r="36" spans="1:9" ht="90" customHeight="1" x14ac:dyDescent="0.2">
      <c r="A36" s="188">
        <v>17</v>
      </c>
      <c r="B36" s="432" t="s">
        <v>261</v>
      </c>
      <c r="C36" s="433"/>
      <c r="D36" s="185" t="s">
        <v>188</v>
      </c>
      <c r="E36" s="185" t="s">
        <v>189</v>
      </c>
      <c r="F36" s="185" t="s">
        <v>190</v>
      </c>
      <c r="G36" s="184">
        <f>IF('17 Annual Report'!F51="BRONZE", 25, 0)</f>
        <v>0</v>
      </c>
      <c r="H36" s="184">
        <f>IF('17 Annual Report'!F51="Silver", 50, 0)</f>
        <v>0</v>
      </c>
      <c r="I36" s="184">
        <f>IF('17 Annual Report'!F51="Gold", 100, 0)</f>
        <v>0</v>
      </c>
    </row>
    <row r="37" spans="1:9" ht="15" x14ac:dyDescent="0.25">
      <c r="F37" s="189" t="s">
        <v>235</v>
      </c>
      <c r="G37" s="190">
        <f>SUM(G13:G36)</f>
        <v>0</v>
      </c>
      <c r="H37" s="190">
        <f>SUM(H13:H36)</f>
        <v>0</v>
      </c>
      <c r="I37" s="190">
        <f>SUM(I13:I36)</f>
        <v>0</v>
      </c>
    </row>
    <row r="38" spans="1:9" ht="15.75" x14ac:dyDescent="0.25">
      <c r="B38" s="449" t="s">
        <v>236</v>
      </c>
      <c r="C38" s="450"/>
      <c r="D38" s="453" t="str">
        <f>IF(AND(I38&gt;=1400,SUM(G16:I16)&gt;0,SUM(G18:I18)&gt;0,COUNTIF(G13:I36,0)&lt;=36),"Gold",IF(AND(I38&gt;=1100,SUM(G16:I16)&gt;0,SUM(G18:I18)&gt;0,COUNTIF(G13:I36,0)&lt;=39),"Silver",IF(AND(I38&gt;=800,SUM(G16:I16)&gt;0,SUM(G18:I18)&gt;0,COUNTIF(G13:I36,0)&lt;=41),"Bronze","None")))</f>
        <v>None</v>
      </c>
      <c r="H38" s="191" t="s">
        <v>237</v>
      </c>
      <c r="I38" s="192">
        <f>SUM(G37:I37)</f>
        <v>0</v>
      </c>
    </row>
    <row r="39" spans="1:9" x14ac:dyDescent="0.2">
      <c r="B39" s="451"/>
      <c r="C39" s="452"/>
      <c r="D39" s="454"/>
    </row>
    <row r="40" spans="1:9" ht="30.95" customHeight="1" x14ac:dyDescent="0.2">
      <c r="A40" s="435" t="s">
        <v>292</v>
      </c>
      <c r="B40" s="435"/>
      <c r="C40" s="436"/>
      <c r="D40" s="436"/>
      <c r="E40" s="436"/>
      <c r="F40" s="436"/>
      <c r="G40" s="436"/>
      <c r="H40" s="436"/>
      <c r="I40" s="436"/>
    </row>
    <row r="41" spans="1:9" ht="3.75" customHeight="1" x14ac:dyDescent="0.2"/>
    <row r="42" spans="1:9" ht="14.25" x14ac:dyDescent="0.2">
      <c r="A42" s="193" t="s">
        <v>238</v>
      </c>
      <c r="B42" s="194"/>
      <c r="C42" s="194"/>
      <c r="D42" s="194"/>
      <c r="E42" s="194"/>
      <c r="F42" s="194"/>
      <c r="G42" s="194"/>
      <c r="H42" s="194"/>
      <c r="I42" s="195"/>
    </row>
    <row r="43" spans="1:9" ht="39.75" customHeight="1" x14ac:dyDescent="0.2">
      <c r="A43" s="200" t="s">
        <v>264</v>
      </c>
      <c r="B43" s="442" t="s">
        <v>239</v>
      </c>
      <c r="C43" s="442"/>
      <c r="D43" s="442"/>
      <c r="E43" s="442"/>
      <c r="F43" s="442"/>
      <c r="G43" s="442"/>
      <c r="H43" s="442"/>
      <c r="I43" s="443"/>
    </row>
    <row r="44" spans="1:9" ht="50.25" customHeight="1" x14ac:dyDescent="0.2">
      <c r="A44" s="200" t="s">
        <v>264</v>
      </c>
      <c r="B44" s="442" t="s">
        <v>262</v>
      </c>
      <c r="C44" s="442"/>
      <c r="D44" s="442"/>
      <c r="E44" s="442"/>
      <c r="F44" s="442"/>
      <c r="G44" s="442"/>
      <c r="H44" s="442"/>
      <c r="I44" s="443"/>
    </row>
    <row r="45" spans="1:9" x14ac:dyDescent="0.2">
      <c r="A45" s="200" t="s">
        <v>264</v>
      </c>
      <c r="B45" s="442" t="s">
        <v>263</v>
      </c>
      <c r="C45" s="442"/>
      <c r="D45" s="442"/>
      <c r="E45" s="442"/>
      <c r="F45" s="442"/>
      <c r="G45" s="442"/>
      <c r="H45" s="442"/>
      <c r="I45" s="443"/>
    </row>
    <row r="46" spans="1:9" ht="25.5" customHeight="1" x14ac:dyDescent="0.2">
      <c r="A46" s="196"/>
      <c r="B46" s="444" t="s">
        <v>293</v>
      </c>
      <c r="C46" s="444"/>
      <c r="D46" s="444"/>
      <c r="E46" s="444"/>
      <c r="F46" s="444"/>
      <c r="G46" s="444"/>
      <c r="H46" s="444"/>
      <c r="I46" s="445"/>
    </row>
    <row r="47" spans="1:9" ht="24.75" customHeight="1" x14ac:dyDescent="0.2">
      <c r="A47" s="196"/>
      <c r="B47" s="446" t="s">
        <v>294</v>
      </c>
      <c r="C47" s="447"/>
      <c r="D47" s="447"/>
      <c r="E47" s="447"/>
      <c r="F47" s="447"/>
      <c r="G47" s="447"/>
      <c r="H47" s="447"/>
      <c r="I47" s="448"/>
    </row>
    <row r="48" spans="1:9" ht="23.25" customHeight="1" x14ac:dyDescent="0.2">
      <c r="A48" s="196"/>
      <c r="B48" s="447" t="s">
        <v>295</v>
      </c>
      <c r="C48" s="447"/>
      <c r="D48" s="447"/>
      <c r="E48" s="447"/>
      <c r="F48" s="447"/>
      <c r="G48" s="447"/>
      <c r="H48" s="447"/>
      <c r="I48" s="448"/>
    </row>
    <row r="49" spans="1:9" ht="40.5" customHeight="1" x14ac:dyDescent="0.2">
      <c r="A49" s="437" t="s">
        <v>265</v>
      </c>
      <c r="B49" s="438"/>
      <c r="C49" s="439"/>
      <c r="D49" s="439"/>
      <c r="E49" s="439"/>
      <c r="F49" s="439"/>
      <c r="G49" s="439"/>
      <c r="H49" s="439"/>
      <c r="I49" s="440"/>
    </row>
    <row r="50" spans="1:9" x14ac:dyDescent="0.2">
      <c r="B50" s="197"/>
    </row>
    <row r="51" spans="1:9" x14ac:dyDescent="0.2">
      <c r="A51" s="197" t="s">
        <v>240</v>
      </c>
    </row>
    <row r="52" spans="1:9" ht="50.1" customHeight="1" x14ac:dyDescent="0.2">
      <c r="A52" s="472" t="s">
        <v>305</v>
      </c>
      <c r="B52" s="472"/>
      <c r="C52" s="472"/>
      <c r="D52" s="472"/>
      <c r="E52" s="472"/>
      <c r="F52" s="472"/>
      <c r="G52" s="472"/>
      <c r="H52" s="472"/>
      <c r="I52" s="472"/>
    </row>
    <row r="53" spans="1:9" ht="18" customHeight="1" x14ac:dyDescent="0.2">
      <c r="A53" s="472" t="s">
        <v>306</v>
      </c>
      <c r="B53" s="472"/>
      <c r="C53" s="472"/>
      <c r="D53" s="472"/>
      <c r="E53" s="472"/>
      <c r="F53" s="472"/>
      <c r="G53" s="472"/>
      <c r="H53" s="472"/>
      <c r="I53" s="472"/>
    </row>
    <row r="54" spans="1:9" ht="29.1" customHeight="1" x14ac:dyDescent="0.2">
      <c r="A54" s="472" t="s">
        <v>307</v>
      </c>
      <c r="B54" s="472"/>
      <c r="C54" s="472"/>
      <c r="D54" s="472"/>
      <c r="E54" s="472"/>
      <c r="F54" s="472"/>
      <c r="G54" s="472"/>
      <c r="H54" s="472"/>
      <c r="I54" s="472"/>
    </row>
    <row r="55" spans="1:9" ht="30" customHeight="1" x14ac:dyDescent="0.2">
      <c r="A55" s="472" t="str">
        <f>"5.  To determine chapter retention, take current year total membership less current year Ordeal inductions times 100 and then divide by prior year total membership. For example, ("&amp;HIDE!B33&amp;" total membership less "&amp;HIDE!B33&amp;" Ordeal inductions) x 100) ÷ ("&amp;HIDE!B34&amp;" total membership). All chapter numbers are to be taken from the same database source from which the lodge’s reported numbers on its charter renewal application were based."</f>
        <v>5.  To determine chapter retention, take current year total membership less current year Ordeal inductions times 100 and then divide by prior year total membership. For example, (2014 total membership less 2014 Ordeal inductions) x 100) ÷ (2013 total membership). All chapter numbers are to be taken from the same database source from which the lodge’s reported numbers on its charter renewal application were based.</v>
      </c>
      <c r="B55" s="472"/>
      <c r="C55" s="472"/>
      <c r="D55" s="472"/>
      <c r="E55" s="472"/>
      <c r="F55" s="472"/>
      <c r="G55" s="472"/>
      <c r="H55" s="472"/>
      <c r="I55" s="472"/>
    </row>
    <row r="56" spans="1:9" ht="39" customHeight="1" x14ac:dyDescent="0.2">
      <c r="A56" s="434" t="s">
        <v>308</v>
      </c>
      <c r="B56" s="434"/>
      <c r="C56" s="441"/>
      <c r="D56" s="441"/>
      <c r="E56" s="441"/>
      <c r="F56" s="441"/>
      <c r="G56" s="441"/>
      <c r="H56" s="441"/>
      <c r="I56" s="441"/>
    </row>
    <row r="57" spans="1:9" ht="42.95" customHeight="1" x14ac:dyDescent="0.2">
      <c r="A57" s="464" t="s">
        <v>309</v>
      </c>
      <c r="B57" s="464"/>
      <c r="C57" s="464"/>
      <c r="D57" s="464"/>
      <c r="E57" s="464"/>
      <c r="F57" s="464"/>
      <c r="G57" s="464"/>
      <c r="H57" s="464"/>
      <c r="I57" s="464"/>
    </row>
    <row r="58" spans="1:9" ht="162" customHeight="1" x14ac:dyDescent="0.2">
      <c r="A58" s="473" t="s">
        <v>310</v>
      </c>
      <c r="B58" s="473"/>
      <c r="C58" s="473"/>
      <c r="D58" s="473"/>
      <c r="E58" s="473"/>
      <c r="F58" s="473"/>
      <c r="G58" s="473"/>
      <c r="H58" s="473"/>
      <c r="I58" s="473"/>
    </row>
    <row r="59" spans="1:9" ht="25.5" customHeight="1" x14ac:dyDescent="0.2">
      <c r="A59" s="465" t="s">
        <v>241</v>
      </c>
      <c r="B59" s="465"/>
      <c r="C59" s="465"/>
      <c r="D59" s="465"/>
      <c r="E59" s="465"/>
      <c r="F59" s="465"/>
      <c r="G59" s="465"/>
      <c r="H59" s="465"/>
      <c r="I59" s="465"/>
    </row>
    <row r="60" spans="1:9" ht="25.5" customHeight="1" x14ac:dyDescent="0.2">
      <c r="A60" s="201" t="s">
        <v>264</v>
      </c>
      <c r="B60" s="434" t="s">
        <v>133</v>
      </c>
      <c r="C60" s="434"/>
      <c r="D60" s="434"/>
      <c r="E60" s="434"/>
      <c r="F60" s="434"/>
      <c r="G60" s="434"/>
      <c r="H60" s="434"/>
      <c r="I60" s="434"/>
    </row>
    <row r="61" spans="1:9" x14ac:dyDescent="0.2">
      <c r="A61" s="201" t="s">
        <v>264</v>
      </c>
      <c r="B61" s="434" t="s">
        <v>242</v>
      </c>
      <c r="C61" s="434"/>
      <c r="D61" s="434"/>
      <c r="E61" s="434"/>
      <c r="F61" s="434"/>
      <c r="G61" s="434"/>
      <c r="H61" s="434"/>
      <c r="I61" s="434"/>
    </row>
    <row r="62" spans="1:9" ht="17.100000000000001" customHeight="1" x14ac:dyDescent="0.2">
      <c r="A62" s="201" t="s">
        <v>264</v>
      </c>
      <c r="B62" s="434" t="s">
        <v>135</v>
      </c>
      <c r="C62" s="434"/>
      <c r="D62" s="434"/>
      <c r="E62" s="434"/>
      <c r="F62" s="434"/>
      <c r="G62" s="434"/>
      <c r="H62" s="434"/>
      <c r="I62" s="434"/>
    </row>
    <row r="63" spans="1:9" x14ac:dyDescent="0.2">
      <c r="A63" s="201" t="s">
        <v>264</v>
      </c>
      <c r="B63" s="434" t="s">
        <v>243</v>
      </c>
      <c r="C63" s="434"/>
      <c r="D63" s="434"/>
      <c r="E63" s="434"/>
      <c r="F63" s="434"/>
      <c r="G63" s="434"/>
      <c r="H63" s="434"/>
      <c r="I63" s="434"/>
    </row>
    <row r="64" spans="1:9" x14ac:dyDescent="0.2">
      <c r="A64" s="204"/>
      <c r="B64" s="204"/>
      <c r="C64" s="204"/>
      <c r="D64" s="204"/>
      <c r="E64" s="204"/>
      <c r="F64" s="204"/>
      <c r="G64" s="204"/>
      <c r="H64" s="204"/>
      <c r="I64" s="204"/>
    </row>
    <row r="65" spans="1:9" ht="23.25" customHeight="1" x14ac:dyDescent="0.2">
      <c r="A65" s="463" t="s">
        <v>244</v>
      </c>
      <c r="B65" s="463"/>
      <c r="C65" s="463"/>
      <c r="D65" s="463"/>
      <c r="E65" s="463"/>
      <c r="F65" s="463"/>
      <c r="G65" s="463"/>
      <c r="H65" s="463"/>
      <c r="I65" s="463"/>
    </row>
    <row r="66" spans="1:9" x14ac:dyDescent="0.2">
      <c r="A66" s="201" t="s">
        <v>264</v>
      </c>
      <c r="B66" s="455" t="s">
        <v>176</v>
      </c>
      <c r="C66" s="455"/>
      <c r="D66" s="455"/>
      <c r="E66" s="455"/>
      <c r="F66" s="455"/>
      <c r="G66" s="455"/>
      <c r="H66" s="455"/>
      <c r="I66" s="455"/>
    </row>
    <row r="67" spans="1:9" x14ac:dyDescent="0.2">
      <c r="A67" s="201" t="s">
        <v>264</v>
      </c>
      <c r="B67" s="455" t="s">
        <v>180</v>
      </c>
      <c r="C67" s="455"/>
      <c r="D67" s="455"/>
      <c r="E67" s="455"/>
      <c r="F67" s="455"/>
      <c r="G67" s="455"/>
      <c r="H67" s="455"/>
      <c r="I67" s="455"/>
    </row>
    <row r="68" spans="1:9" x14ac:dyDescent="0.2">
      <c r="A68" s="201" t="s">
        <v>264</v>
      </c>
      <c r="B68" s="455" t="s">
        <v>177</v>
      </c>
      <c r="C68" s="455"/>
      <c r="D68" s="455"/>
      <c r="E68" s="455"/>
      <c r="F68" s="455"/>
      <c r="G68" s="455"/>
      <c r="H68" s="455"/>
      <c r="I68" s="455"/>
    </row>
    <row r="69" spans="1:9" s="202" customFormat="1" ht="30" customHeight="1" x14ac:dyDescent="0.2">
      <c r="A69" s="201" t="s">
        <v>264</v>
      </c>
      <c r="B69" s="455" t="s">
        <v>178</v>
      </c>
      <c r="C69" s="455"/>
      <c r="D69" s="455"/>
      <c r="E69" s="455"/>
      <c r="F69" s="455"/>
      <c r="G69" s="455"/>
      <c r="H69" s="455"/>
      <c r="I69" s="455"/>
    </row>
    <row r="70" spans="1:9" x14ac:dyDescent="0.2">
      <c r="A70" s="201" t="s">
        <v>264</v>
      </c>
      <c r="B70" s="455" t="s">
        <v>179</v>
      </c>
      <c r="C70" s="455"/>
      <c r="D70" s="455"/>
      <c r="E70" s="455"/>
      <c r="F70" s="455"/>
      <c r="G70" s="455"/>
      <c r="H70" s="455"/>
      <c r="I70" s="455"/>
    </row>
    <row r="71" spans="1:9" ht="14.1" customHeight="1" x14ac:dyDescent="0.2"/>
    <row r="72" spans="1:9" ht="24.95" customHeight="1" x14ac:dyDescent="0.2">
      <c r="A72" s="456" t="s">
        <v>266</v>
      </c>
      <c r="B72" s="456"/>
      <c r="C72" s="456"/>
      <c r="D72" s="456"/>
      <c r="E72" s="456"/>
      <c r="F72" s="456"/>
      <c r="G72" s="456"/>
      <c r="H72" s="456"/>
      <c r="I72" s="456"/>
    </row>
  </sheetData>
  <sheetProtection password="9C31" sheet="1" objects="1" scenarios="1"/>
  <mergeCells count="79">
    <mergeCell ref="A52:I52"/>
    <mergeCell ref="A53:I53"/>
    <mergeCell ref="A54:I54"/>
    <mergeCell ref="A55:I55"/>
    <mergeCell ref="A58:I58"/>
    <mergeCell ref="G12:I12"/>
    <mergeCell ref="G15:I15"/>
    <mergeCell ref="G20:I20"/>
    <mergeCell ref="G29:I29"/>
    <mergeCell ref="B34:C34"/>
    <mergeCell ref="B29:C29"/>
    <mergeCell ref="G34:I34"/>
    <mergeCell ref="B28:C28"/>
    <mergeCell ref="B30:C30"/>
    <mergeCell ref="B31:C31"/>
    <mergeCell ref="B32:C32"/>
    <mergeCell ref="G23:G24"/>
    <mergeCell ref="H23:H24"/>
    <mergeCell ref="I23:I24"/>
    <mergeCell ref="B33:C33"/>
    <mergeCell ref="I13:I14"/>
    <mergeCell ref="B70:I70"/>
    <mergeCell ref="A72:I72"/>
    <mergeCell ref="A4:B4"/>
    <mergeCell ref="A6:B6"/>
    <mergeCell ref="A8:B8"/>
    <mergeCell ref="D8:F8"/>
    <mergeCell ref="B63:I63"/>
    <mergeCell ref="A65:I65"/>
    <mergeCell ref="B66:I66"/>
    <mergeCell ref="B67:I67"/>
    <mergeCell ref="B68:I68"/>
    <mergeCell ref="B69:I69"/>
    <mergeCell ref="A57:I57"/>
    <mergeCell ref="A59:I59"/>
    <mergeCell ref="B60:I60"/>
    <mergeCell ref="B61:I61"/>
    <mergeCell ref="B36:C36"/>
    <mergeCell ref="I26:I27"/>
    <mergeCell ref="B22:C22"/>
    <mergeCell ref="B25:C25"/>
    <mergeCell ref="B62:I62"/>
    <mergeCell ref="A40:I40"/>
    <mergeCell ref="A49:I49"/>
    <mergeCell ref="A56:I56"/>
    <mergeCell ref="B43:I43"/>
    <mergeCell ref="B44:I44"/>
    <mergeCell ref="B45:I45"/>
    <mergeCell ref="B46:I46"/>
    <mergeCell ref="B47:I47"/>
    <mergeCell ref="B48:I48"/>
    <mergeCell ref="B38:C39"/>
    <mergeCell ref="D38:D39"/>
    <mergeCell ref="B35:C35"/>
    <mergeCell ref="A26:A27"/>
    <mergeCell ref="B26:C27"/>
    <mergeCell ref="G26:G27"/>
    <mergeCell ref="H26:H27"/>
    <mergeCell ref="H13:H14"/>
    <mergeCell ref="B15:C15"/>
    <mergeCell ref="B21:C21"/>
    <mergeCell ref="B20:C20"/>
    <mergeCell ref="A23:A24"/>
    <mergeCell ref="B23:C24"/>
    <mergeCell ref="B16:C16"/>
    <mergeCell ref="B17:C17"/>
    <mergeCell ref="B18:C18"/>
    <mergeCell ref="B19:C19"/>
    <mergeCell ref="G13:G14"/>
    <mergeCell ref="A11:A12"/>
    <mergeCell ref="B11:C11"/>
    <mergeCell ref="A13:A14"/>
    <mergeCell ref="B13:C14"/>
    <mergeCell ref="B12:C12"/>
    <mergeCell ref="A10:I10"/>
    <mergeCell ref="A1:I1"/>
    <mergeCell ref="A2:I2"/>
    <mergeCell ref="G4:I4"/>
    <mergeCell ref="G6:I6"/>
  </mergeCells>
  <phoneticPr fontId="3" type="noConversion"/>
  <pageMargins left="0.5" right="0.5" top="0.5" bottom="0.5" header="0.3" footer="0.3"/>
  <pageSetup orientation="portrait"/>
  <headerFooter>
    <oddHeader>&amp;C&amp;K000000Chapter Journey to Excellence Workbook</oddHeader>
    <oddFooter>&amp;R&amp;K000000&amp;A</oddFooter>
  </headerFooter>
  <rowBreaks count="1" manualBreakCount="1">
    <brk id="28" max="16383" man="1"/>
  </rowBreaks>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enableFormatConditionsCalculation="0"/>
  <dimension ref="A1:G35"/>
  <sheetViews>
    <sheetView workbookViewId="0">
      <selection activeCell="B33" sqref="B33"/>
    </sheetView>
  </sheetViews>
  <sheetFormatPr defaultColWidth="8.85546875" defaultRowHeight="12.75" x14ac:dyDescent="0.2"/>
  <cols>
    <col min="1" max="1" width="13.42578125" bestFit="1" customWidth="1"/>
    <col min="3" max="6" width="13.140625" customWidth="1"/>
    <col min="7" max="7" width="13.140625" style="83" customWidth="1"/>
  </cols>
  <sheetData>
    <row r="1" spans="1:1" x14ac:dyDescent="0.2">
      <c r="A1" s="17" t="s">
        <v>202</v>
      </c>
    </row>
    <row r="2" spans="1:1" x14ac:dyDescent="0.2">
      <c r="A2" s="17" t="s">
        <v>203</v>
      </c>
    </row>
    <row r="3" spans="1:1" x14ac:dyDescent="0.2">
      <c r="A3" s="17"/>
    </row>
    <row r="4" spans="1:1" hidden="1" x14ac:dyDescent="0.2">
      <c r="A4" s="17"/>
    </row>
    <row r="5" spans="1:1" hidden="1" x14ac:dyDescent="0.2">
      <c r="A5" s="17"/>
    </row>
    <row r="6" spans="1:1" hidden="1" x14ac:dyDescent="0.2">
      <c r="A6" s="17"/>
    </row>
    <row r="7" spans="1:1" hidden="1" x14ac:dyDescent="0.2">
      <c r="A7" s="17"/>
    </row>
    <row r="8" spans="1:1" hidden="1" x14ac:dyDescent="0.2">
      <c r="A8" s="17"/>
    </row>
    <row r="9" spans="1:1" hidden="1" x14ac:dyDescent="0.2">
      <c r="A9" s="17"/>
    </row>
    <row r="10" spans="1:1" hidden="1" x14ac:dyDescent="0.2">
      <c r="A10" s="17"/>
    </row>
    <row r="11" spans="1:1" hidden="1" x14ac:dyDescent="0.2">
      <c r="A11" s="17"/>
    </row>
    <row r="12" spans="1:1" hidden="1" x14ac:dyDescent="0.2">
      <c r="A12" s="17"/>
    </row>
    <row r="13" spans="1:1" hidden="1" x14ac:dyDescent="0.2">
      <c r="A13" s="17"/>
    </row>
    <row r="14" spans="1:1" hidden="1" x14ac:dyDescent="0.2">
      <c r="A14" s="17"/>
    </row>
    <row r="15" spans="1:1" hidden="1" x14ac:dyDescent="0.2">
      <c r="A15" s="17"/>
    </row>
    <row r="16" spans="1:1" hidden="1" x14ac:dyDescent="0.2">
      <c r="A16" s="17"/>
    </row>
    <row r="17" spans="1:7" hidden="1" x14ac:dyDescent="0.2">
      <c r="A17" s="17"/>
    </row>
    <row r="18" spans="1:7" hidden="1" x14ac:dyDescent="0.2">
      <c r="A18" s="17"/>
    </row>
    <row r="19" spans="1:7" hidden="1" x14ac:dyDescent="0.2">
      <c r="A19" s="17"/>
    </row>
    <row r="20" spans="1:7" ht="96" x14ac:dyDescent="0.2">
      <c r="C20" s="42" t="s">
        <v>99</v>
      </c>
      <c r="D20" s="37" t="s">
        <v>77</v>
      </c>
      <c r="E20" s="37" t="s">
        <v>78</v>
      </c>
      <c r="F20" s="37" t="s">
        <v>79</v>
      </c>
    </row>
    <row r="21" spans="1:7" ht="39" customHeight="1" x14ac:dyDescent="0.2">
      <c r="A21" s="282" t="s">
        <v>69</v>
      </c>
      <c r="B21" s="41" t="s">
        <v>70</v>
      </c>
      <c r="C21" s="60">
        <f>'7 Attendance'!C21</f>
        <v>0</v>
      </c>
      <c r="D21" s="60">
        <f>'7 Attendance'!D21</f>
        <v>0</v>
      </c>
      <c r="E21" s="60">
        <f>'7 Attendance'!E21</f>
        <v>0</v>
      </c>
      <c r="F21" s="60">
        <f>'7 Attendance'!F21</f>
        <v>0</v>
      </c>
      <c r="G21" s="83" t="str">
        <f>IF(AND(C21&lt;&gt;"",E21&gt;0,F21&gt;0,F21=E21),0,IF(AND(C21&lt;&gt;"",E21&gt;0,F21&gt;0,F21&lt;E21),"Goal Not Met.",IF(AND(C21&lt;&gt;"",E21&gt;0,F21&gt;0,F21&gt;E21),((((F21-E21)/E21))*100),IF(AND(C21&lt;&gt;"",E21&gt;0),"NEEDS RESULT",""))))</f>
        <v/>
      </c>
    </row>
    <row r="22" spans="1:7" ht="39" customHeight="1" x14ac:dyDescent="0.2">
      <c r="A22" s="283"/>
      <c r="B22" s="41" t="s">
        <v>71</v>
      </c>
      <c r="C22" s="60">
        <f>'7 Attendance'!C22</f>
        <v>0</v>
      </c>
      <c r="D22" s="60">
        <f>'7 Attendance'!D22</f>
        <v>0</v>
      </c>
      <c r="E22" s="60">
        <f>'7 Attendance'!E22</f>
        <v>0</v>
      </c>
      <c r="F22" s="60">
        <f>'7 Attendance'!F22</f>
        <v>0</v>
      </c>
      <c r="G22" s="83" t="str">
        <f t="shared" ref="G22:G31" si="0">IF(AND(C22&lt;&gt;"",E22&gt;0,F22&gt;0,F22=E22),0,IF(AND(C22&lt;&gt;"",E22&gt;0,F22&gt;0,F22&lt;E22),"Goal Not Met.",IF(AND(C22&lt;&gt;"",E22&gt;0,F22&gt;0,F22&gt;E22),((((F22-E22)/E22))*100),IF(AND(C22&lt;&gt;"",E22&gt;0),"NEEDS RESULT",""))))</f>
        <v/>
      </c>
    </row>
    <row r="23" spans="1:7" ht="39" customHeight="1" x14ac:dyDescent="0.2">
      <c r="A23" s="283"/>
      <c r="B23" s="41" t="s">
        <v>72</v>
      </c>
      <c r="C23" s="60">
        <f>'7 Attendance'!C23</f>
        <v>0</v>
      </c>
      <c r="D23" s="60">
        <f>'7 Attendance'!D23</f>
        <v>0</v>
      </c>
      <c r="E23" s="60">
        <f>'7 Attendance'!E23</f>
        <v>0</v>
      </c>
      <c r="F23" s="60">
        <f>'7 Attendance'!F23</f>
        <v>0</v>
      </c>
      <c r="G23" s="83" t="str">
        <f t="shared" si="0"/>
        <v/>
      </c>
    </row>
    <row r="24" spans="1:7" ht="39" customHeight="1" x14ac:dyDescent="0.2">
      <c r="A24" s="283"/>
      <c r="B24" s="41" t="s">
        <v>73</v>
      </c>
      <c r="C24" s="60">
        <f>'7 Attendance'!C24</f>
        <v>0</v>
      </c>
      <c r="D24" s="60">
        <f>'7 Attendance'!D24</f>
        <v>0</v>
      </c>
      <c r="E24" s="60">
        <f>'7 Attendance'!E24</f>
        <v>0</v>
      </c>
      <c r="F24" s="60">
        <f>'7 Attendance'!F24</f>
        <v>0</v>
      </c>
      <c r="G24" s="83" t="str">
        <f t="shared" si="0"/>
        <v/>
      </c>
    </row>
    <row r="25" spans="1:7" ht="39" customHeight="1" x14ac:dyDescent="0.2">
      <c r="A25" s="284"/>
      <c r="B25" s="41" t="s">
        <v>74</v>
      </c>
      <c r="C25" s="60">
        <f>'7 Attendance'!C25</f>
        <v>0</v>
      </c>
      <c r="D25" s="60">
        <f>'7 Attendance'!D25</f>
        <v>0</v>
      </c>
      <c r="E25" s="60">
        <f>'7 Attendance'!E25</f>
        <v>0</v>
      </c>
      <c r="F25" s="60">
        <f>'7 Attendance'!F25</f>
        <v>0</v>
      </c>
      <c r="G25" s="83" t="str">
        <f t="shared" si="0"/>
        <v/>
      </c>
    </row>
    <row r="26" spans="1:7" s="81" customFormat="1" ht="9.75" customHeight="1" x14ac:dyDescent="0.2">
      <c r="A26" s="33"/>
      <c r="B26" s="79"/>
      <c r="C26" s="80"/>
      <c r="D26" s="80"/>
      <c r="E26" s="80"/>
      <c r="F26" s="80"/>
      <c r="G26" s="83" t="str">
        <f t="shared" si="0"/>
        <v/>
      </c>
    </row>
    <row r="27" spans="1:7" ht="39" customHeight="1" x14ac:dyDescent="0.2">
      <c r="A27" s="306" t="s">
        <v>75</v>
      </c>
      <c r="B27" s="41" t="s">
        <v>70</v>
      </c>
      <c r="C27" s="60">
        <f>'7 Attendance'!C27</f>
        <v>0</v>
      </c>
      <c r="D27" s="60">
        <f>'7 Attendance'!D27</f>
        <v>0</v>
      </c>
      <c r="E27" s="60">
        <f>'7 Attendance'!E27</f>
        <v>0</v>
      </c>
      <c r="F27" s="60">
        <f>'7 Attendance'!F27</f>
        <v>0</v>
      </c>
      <c r="G27" s="83" t="str">
        <f t="shared" si="0"/>
        <v/>
      </c>
    </row>
    <row r="28" spans="1:7" ht="39" customHeight="1" x14ac:dyDescent="0.2">
      <c r="A28" s="308"/>
      <c r="B28" s="41" t="s">
        <v>71</v>
      </c>
      <c r="C28" s="60">
        <f>'7 Attendance'!C28</f>
        <v>0</v>
      </c>
      <c r="D28" s="60">
        <f>'7 Attendance'!D28</f>
        <v>0</v>
      </c>
      <c r="E28" s="60">
        <f>'7 Attendance'!E28</f>
        <v>0</v>
      </c>
      <c r="F28" s="60">
        <f>'7 Attendance'!F28</f>
        <v>0</v>
      </c>
      <c r="G28" s="83" t="str">
        <f t="shared" si="0"/>
        <v/>
      </c>
    </row>
    <row r="29" spans="1:7" s="81" customFormat="1" ht="6" customHeight="1" x14ac:dyDescent="0.2">
      <c r="A29" s="82"/>
      <c r="B29" s="79"/>
      <c r="C29" s="80"/>
      <c r="D29" s="80"/>
      <c r="E29" s="80"/>
      <c r="F29" s="80"/>
      <c r="G29" s="83" t="str">
        <f t="shared" si="0"/>
        <v/>
      </c>
    </row>
    <row r="30" spans="1:7" ht="39" customHeight="1" x14ac:dyDescent="0.2">
      <c r="A30" s="306" t="s">
        <v>76</v>
      </c>
      <c r="B30" s="41" t="s">
        <v>70</v>
      </c>
      <c r="C30" s="60">
        <f>'7 Attendance'!C30</f>
        <v>0</v>
      </c>
      <c r="D30" s="60">
        <f>'7 Attendance'!D30</f>
        <v>0</v>
      </c>
      <c r="E30" s="60">
        <f>'7 Attendance'!E30</f>
        <v>0</v>
      </c>
      <c r="F30" s="60">
        <f>'7 Attendance'!F30</f>
        <v>0</v>
      </c>
      <c r="G30" s="83" t="str">
        <f t="shared" si="0"/>
        <v/>
      </c>
    </row>
    <row r="31" spans="1:7" ht="39" customHeight="1" x14ac:dyDescent="0.2">
      <c r="A31" s="308"/>
      <c r="B31" s="41" t="s">
        <v>71</v>
      </c>
      <c r="C31" s="60">
        <f>'7 Attendance'!C31</f>
        <v>0</v>
      </c>
      <c r="D31" s="60">
        <f>'7 Attendance'!D31</f>
        <v>0</v>
      </c>
      <c r="E31" s="60">
        <f>'7 Attendance'!E31</f>
        <v>0</v>
      </c>
      <c r="F31" s="60">
        <f>'7 Attendance'!F31</f>
        <v>0</v>
      </c>
      <c r="G31" s="83" t="str">
        <f t="shared" si="0"/>
        <v/>
      </c>
    </row>
    <row r="33" spans="1:2" x14ac:dyDescent="0.2">
      <c r="A33" t="s">
        <v>30</v>
      </c>
      <c r="B33">
        <v>2014</v>
      </c>
    </row>
    <row r="34" spans="1:2" x14ac:dyDescent="0.2">
      <c r="A34" t="s">
        <v>298</v>
      </c>
      <c r="B34">
        <v>2013</v>
      </c>
    </row>
    <row r="35" spans="1:2" x14ac:dyDescent="0.2">
      <c r="A35" t="s">
        <v>299</v>
      </c>
      <c r="B35">
        <v>2012</v>
      </c>
    </row>
  </sheetData>
  <sheetProtection password="9C31" sheet="1" objects="1" scenarios="1"/>
  <mergeCells count="3">
    <mergeCell ref="A21:A25"/>
    <mergeCell ref="A27:A28"/>
    <mergeCell ref="A30:A31"/>
  </mergeCells>
  <phoneticPr fontId="3" type="noConversion"/>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5</vt:i4>
      </vt:variant>
    </vt:vector>
  </HeadingPairs>
  <TitlesOfParts>
    <vt:vector size="26" baseType="lpstr">
      <vt:lpstr>Intro</vt:lpstr>
      <vt:lpstr>Worksheet</vt:lpstr>
      <vt:lpstr>1 Fiscal</vt:lpstr>
      <vt:lpstr>2 Membership Impact</vt:lpstr>
      <vt:lpstr>3 Ordeal Completion</vt:lpstr>
      <vt:lpstr>4 Brotherhood Conversion</vt:lpstr>
      <vt:lpstr>5 Membership Retention</vt:lpstr>
      <vt:lpstr>6 Unit Elections</vt:lpstr>
      <vt:lpstr>7 Attendance</vt:lpstr>
      <vt:lpstr>8 Communications</vt:lpstr>
      <vt:lpstr>9 Participation</vt:lpstr>
      <vt:lpstr>10 Planning</vt:lpstr>
      <vt:lpstr>11 Lodge Support</vt:lpstr>
      <vt:lpstr>12 Service Projects</vt:lpstr>
      <vt:lpstr>13 Camping Support</vt:lpstr>
      <vt:lpstr>14 Program Support</vt:lpstr>
      <vt:lpstr>15 BSA Designated Support</vt:lpstr>
      <vt:lpstr>16 Chapter Leadership</vt:lpstr>
      <vt:lpstr>17 Annual Report</vt:lpstr>
      <vt:lpstr>PETITION</vt:lpstr>
      <vt:lpstr>HIDE</vt:lpstr>
      <vt:lpstr>PETITION!_GoBack</vt:lpstr>
      <vt:lpstr>'14 Program Support'!Print_Area</vt:lpstr>
      <vt:lpstr>Intro!Print_Area</vt:lpstr>
      <vt:lpstr>Worksheet!Print_Area</vt:lpstr>
      <vt:lpstr>YNList</vt:lpstr>
    </vt:vector>
  </TitlesOfParts>
  <Company>McGuireWoods LLP.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McGuireWoods</dc:creator>
  <cp:lastModifiedBy>CPPASD</cp:lastModifiedBy>
  <cp:lastPrinted>2012-10-17T14:26:24Z</cp:lastPrinted>
  <dcterms:created xsi:type="dcterms:W3CDTF">2012-06-08T01:18:53Z</dcterms:created>
  <dcterms:modified xsi:type="dcterms:W3CDTF">2014-03-30T18:26:01Z</dcterms:modified>
</cp:coreProperties>
</file>