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75" windowWidth="15120" windowHeight="7995"/>
  </bookViews>
  <sheets>
    <sheet name="Background &amp; Assumptions" sheetId="3" r:id="rId1"/>
    <sheet name="Snowmaking Capital Cost" sheetId="1" r:id="rId2"/>
    <sheet name="Snowmaking Operating Cost" sheetId="2" r:id="rId3"/>
    <sheet name="Conclusions" sheetId="4" r:id="rId4"/>
  </sheets>
  <calcPr calcId="145621"/>
</workbook>
</file>

<file path=xl/calcChain.xml><?xml version="1.0" encoding="utf-8"?>
<calcChain xmlns="http://schemas.openxmlformats.org/spreadsheetml/2006/main">
  <c r="E7" i="2" l="1"/>
  <c r="D7" i="2"/>
  <c r="F13" i="1"/>
</calcChain>
</file>

<file path=xl/sharedStrings.xml><?xml version="1.0" encoding="utf-8"?>
<sst xmlns="http://schemas.openxmlformats.org/spreadsheetml/2006/main" count="91" uniqueCount="79">
  <si>
    <t>Piping</t>
  </si>
  <si>
    <t>Total</t>
  </si>
  <si>
    <t>Ticket Increase</t>
  </si>
  <si>
    <t>Pass increase</t>
  </si>
  <si>
    <t>Storage</t>
  </si>
  <si>
    <t>Cooling</t>
  </si>
  <si>
    <t>Pumping</t>
  </si>
  <si>
    <t>Pipe Hydrants</t>
  </si>
  <si>
    <t>Snow Cannons</t>
  </si>
  <si>
    <t xml:space="preserve"> </t>
  </si>
  <si>
    <t>Today, MRG has a very basic, bare-bones, simplistic, and antiquated snowmaking infrastructure that was built and has been maintained to provide snow on the bottom reaches of the mountain including the base area, practice slope, and runouts.  The water is sourced from runoff in the MillBrook and distributed through piping.  MRG does not have an air compression system; water is vaporized using snow cannon fans/compressors.  Additional below information highlights the key aspects of the current infrastructure.</t>
  </si>
  <si>
    <t>Current Infrastructure</t>
  </si>
  <si>
    <t>None</t>
  </si>
  <si>
    <t>Components</t>
  </si>
  <si>
    <t>Key Assumptions:</t>
  </si>
  <si>
    <t>Open question: Should we consider acquisition of land for water or parking?</t>
  </si>
  <si>
    <t>Snowmaking investment and changes would likely require a bylaw change</t>
  </si>
  <si>
    <t>If we move ahead with this investment, we are committed…</t>
  </si>
  <si>
    <t>Just adding 3 more fan guns is a $1M+ investment.</t>
  </si>
  <si>
    <t>Future "BASE" Infrastructure</t>
  </si>
  <si>
    <t>15M Gals</t>
  </si>
  <si>
    <t>Future "BASE" Infrastructure Cost</t>
  </si>
  <si>
    <t>MRG SNOW MAKING - Capital Infrastructure Expense</t>
  </si>
  <si>
    <t>MRG SNOW MAKING - Background and Assumptions</t>
  </si>
  <si>
    <t>Background &amp; Current State:</t>
  </si>
  <si>
    <t>Total Estimated cost for base infrastructure</t>
  </si>
  <si>
    <t>Coverage</t>
  </si>
  <si>
    <t>MRG SNOW MAKING - Annual Operations Expense</t>
  </si>
  <si>
    <t>Electric, Labor, Fuel</t>
  </si>
  <si>
    <t>Grooming - Labor</t>
  </si>
  <si>
    <t>Grooming - Fuel</t>
  </si>
  <si>
    <t>Annual Coop NOI</t>
  </si>
  <si>
    <t>Annual projected shortfall</t>
  </si>
  <si>
    <t>Projected
New Budget</t>
  </si>
  <si>
    <t xml:space="preserve">Current Budget
 </t>
  </si>
  <si>
    <t xml:space="preserve">Cost Type
 </t>
  </si>
  <si>
    <t>Income Need:</t>
  </si>
  <si>
    <t>Electrical</t>
  </si>
  <si>
    <t>Snowmaking investment would significant change the current business model adding significant ongoing/annual operational cost as well as the upfront investment.</t>
  </si>
  <si>
    <t>130 HP</t>
  </si>
  <si>
    <t>270GPM</t>
  </si>
  <si>
    <t>4700 FT</t>
  </si>
  <si>
    <t>3 Hedcos 1996</t>
  </si>
  <si>
    <t>7 acres</t>
  </si>
  <si>
    <t>Currently no infrastructure for electrical expansion</t>
  </si>
  <si>
    <t>7acres</t>
  </si>
  <si>
    <t>130HP</t>
  </si>
  <si>
    <t>4,500HP</t>
  </si>
  <si>
    <t>3 Hedco's 1996</t>
  </si>
  <si>
    <t>80 AW</t>
  </si>
  <si>
    <t>270 GPM</t>
  </si>
  <si>
    <t>1500 GPM</t>
  </si>
  <si>
    <t>4700FT</t>
  </si>
  <si>
    <t>Hydrants</t>
  </si>
  <si>
    <t>60acres</t>
  </si>
  <si>
    <t>Trail Coverage could include fox, vixen, broadway, canyon, porky, l gazelle, lark, loon, bunny, rockefellers, easy way, practice slope, waterfall</t>
  </si>
  <si>
    <t>Current</t>
  </si>
  <si>
    <t>Projected</t>
  </si>
  <si>
    <t>In addition to the financial challenges, MRG would probably face a number of permitting challenges</t>
  </si>
  <si>
    <r>
      <t xml:space="preserve">We currently </t>
    </r>
    <r>
      <rPr>
        <sz val="11"/>
        <rFont val="Calibri"/>
        <family val="2"/>
      </rPr>
      <t>have inadequate water storage and insufficient land to locate expanded storage</t>
    </r>
  </si>
  <si>
    <t>No water to support them</t>
  </si>
  <si>
    <t>Snowmaking would impact other departments</t>
  </si>
  <si>
    <t>Patrol, Grooming, Lifts</t>
  </si>
  <si>
    <t>Excludes permitting and electric infrastructure</t>
  </si>
  <si>
    <t>1M gallons / acre / year as base water assumption and then downgraded</t>
  </si>
  <si>
    <t>Excludes land for snowmaking pond</t>
  </si>
  <si>
    <t>Conclusions</t>
  </si>
  <si>
    <t>Expanding snowmaking would not be a wise business decision for Mad River Glen</t>
  </si>
  <si>
    <t>Excludes year round labor to maintain snowmaking system</t>
  </si>
  <si>
    <t>Assumes price increase does not cause drop in pass or day ticket volume</t>
  </si>
  <si>
    <t>No storage on site</t>
  </si>
  <si>
    <t>Water rights to home owner well on mountian (unproven)</t>
  </si>
  <si>
    <t>Parking limits skier volume</t>
  </si>
  <si>
    <t>Uphill capacity limits skier volume</t>
  </si>
  <si>
    <t>Preliminary studies from the 80's call for snowmaking withdrawal near the battle ground for addiquate water supply. (DuBois&amp;King)</t>
  </si>
  <si>
    <t>Excludes Capital expense for upgraded grooming fleet</t>
  </si>
  <si>
    <t>Snow Guns</t>
  </si>
  <si>
    <t>Lack of water is what stops MRG from covering any more terrian. Seldom finish what we have pipe on before we run out of water</t>
  </si>
  <si>
    <t>We currently do all we can with water we have.(Is actually fairly effient system)</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</si>
</sst>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4" formatCode="_(&quot;$&quot;* #,##0.00_);_(&quot;$&quot;* \(#,##0.00\);_(&quot;$&quot;* &quot;-&quot;??_);_(@_)"/>
    <numFmt numFmtId="164" formatCode="_(&quot;$&quot;* #,##0_);_(&quot;$&quot;* \(#,##0\);_(&quot;$&quot;* &quot;-&quot;??_);_(@_)"/>
  </numFmts>
  <fonts count="10" x14ac:knownFonts="1">
    <font>
      <sz val="11"/>
      <color theme="1"/>
      <name val="Calibri"/>
      <family val="2"/>
      <scheme val="minor"/>
    </font>
    <font>
      <sz val="11"/>
      <color indexed="10"/>
      <name val="Calibri"/>
      <family val="2"/>
    </font>
    <font>
      <b/>
      <sz val="11"/>
      <color indexed="8"/>
      <name val="Calibri"/>
      <family val="2"/>
    </font>
    <font>
      <sz val="11"/>
      <color indexed="8"/>
      <name val="Calibri"/>
      <family val="2"/>
    </font>
    <font>
      <sz val="11"/>
      <color indexed="17"/>
      <name val="Calibri"/>
      <family val="2"/>
    </font>
    <font>
      <b/>
      <u/>
      <sz val="11"/>
      <color indexed="8"/>
      <name val="Calibri"/>
      <family val="2"/>
    </font>
    <font>
      <sz val="11"/>
      <name val="Calibri"/>
      <family val="2"/>
    </font>
    <font>
      <sz val="8"/>
      <name val="Calibri"/>
      <family val="2"/>
    </font>
    <font>
      <sz val="11"/>
      <name val="Calibri"/>
      <family val="2"/>
    </font>
    <font>
      <sz val="11"/>
      <name val="Calibri"/>
      <family val="2"/>
      <scheme val="minor"/>
    </font>
  </fonts>
  <fills count="2">
    <fill>
      <patternFill patternType="none"/>
    </fill>
    <fill>
      <patternFill patternType="gray125"/>
    </fill>
  </fills>
  <borders count="14">
    <border>
      <left/>
      <right/>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bottom/>
      <diagonal/>
    </border>
    <border>
      <left/>
      <right/>
      <top style="medium">
        <color indexed="64"/>
      </top>
      <bottom/>
      <diagonal/>
    </border>
  </borders>
  <cellStyleXfs count="2">
    <xf numFmtId="0" fontId="0" fillId="0" borderId="0"/>
    <xf numFmtId="44" fontId="3" fillId="0" borderId="0" applyFont="0" applyFill="0" applyBorder="0" applyAlignment="0" applyProtection="0"/>
  </cellStyleXfs>
  <cellXfs count="71">
    <xf numFmtId="0" fontId="0" fillId="0" borderId="0" xfId="0"/>
    <xf numFmtId="164" fontId="0" fillId="0" borderId="0" xfId="1" applyNumberFormat="1" applyFont="1"/>
    <xf numFmtId="164" fontId="1" fillId="0" borderId="0" xfId="1" applyNumberFormat="1" applyFont="1"/>
    <xf numFmtId="0" fontId="4" fillId="0" borderId="0" xfId="0" applyFont="1"/>
    <xf numFmtId="0" fontId="0" fillId="0" borderId="0" xfId="0"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0" fillId="0" borderId="4" xfId="0" applyBorder="1" applyAlignment="1">
      <alignment vertical="top" wrapText="1"/>
    </xf>
    <xf numFmtId="0" fontId="5" fillId="0" borderId="0" xfId="0" applyFont="1"/>
    <xf numFmtId="0" fontId="5" fillId="0" borderId="0" xfId="0" applyFont="1" applyFill="1" applyBorder="1" applyAlignment="1">
      <alignment vertical="top" wrapText="1"/>
    </xf>
    <xf numFmtId="164" fontId="2" fillId="0" borderId="0" xfId="1" applyNumberFormat="1" applyFont="1" applyBorder="1" applyAlignment="1">
      <alignment horizontal="center" vertical="top" wrapText="1"/>
    </xf>
    <xf numFmtId="3" fontId="0" fillId="0" borderId="6" xfId="0" applyNumberFormat="1" applyFont="1" applyBorder="1" applyAlignment="1">
      <alignment vertical="top" wrapText="1"/>
    </xf>
    <xf numFmtId="0" fontId="0" fillId="0" borderId="4" xfId="0" applyFont="1" applyBorder="1" applyAlignment="1">
      <alignment vertical="top" wrapText="1"/>
    </xf>
    <xf numFmtId="0" fontId="1" fillId="0" borderId="4" xfId="0" applyFont="1" applyBorder="1" applyAlignment="1">
      <alignment horizontal="center" vertical="top" wrapText="1"/>
    </xf>
    <xf numFmtId="3" fontId="0" fillId="0" borderId="4" xfId="0" applyNumberFormat="1" applyFont="1" applyBorder="1" applyAlignment="1">
      <alignment vertical="top" wrapText="1"/>
    </xf>
    <xf numFmtId="0" fontId="1" fillId="0" borderId="5" xfId="0" applyFont="1" applyBorder="1" applyAlignment="1">
      <alignment horizontal="center" vertical="top" wrapText="1"/>
    </xf>
    <xf numFmtId="164" fontId="0" fillId="0" borderId="0" xfId="1" applyNumberFormat="1" applyFont="1" applyAlignment="1">
      <alignment horizontal="center"/>
    </xf>
    <xf numFmtId="9" fontId="0" fillId="0" borderId="0" xfId="0" applyNumberFormat="1" applyAlignment="1">
      <alignment horizontal="center"/>
    </xf>
    <xf numFmtId="0" fontId="0" fillId="0" borderId="4" xfId="0" applyBorder="1"/>
    <xf numFmtId="6" fontId="0" fillId="0" borderId="7" xfId="0" applyNumberFormat="1" applyBorder="1" applyAlignment="1">
      <alignment horizontal="center"/>
    </xf>
    <xf numFmtId="6" fontId="0" fillId="0" borderId="4" xfId="0" applyNumberFormat="1" applyBorder="1" applyAlignment="1">
      <alignment horizontal="center"/>
    </xf>
    <xf numFmtId="0" fontId="0" fillId="0" borderId="8" xfId="0" applyBorder="1"/>
    <xf numFmtId="6" fontId="0" fillId="0" borderId="8" xfId="0" applyNumberFormat="1" applyBorder="1" applyAlignment="1">
      <alignment horizontal="center"/>
    </xf>
    <xf numFmtId="6" fontId="0" fillId="0" borderId="9" xfId="0" applyNumberFormat="1" applyBorder="1" applyAlignment="1">
      <alignment horizontal="center"/>
    </xf>
    <xf numFmtId="0" fontId="2" fillId="0" borderId="2" xfId="0" applyFont="1" applyBorder="1"/>
    <xf numFmtId="6" fontId="2" fillId="0" borderId="2" xfId="0" applyNumberFormat="1" applyFont="1" applyBorder="1" applyAlignment="1">
      <alignment horizontal="center"/>
    </xf>
    <xf numFmtId="6" fontId="2" fillId="0" borderId="10" xfId="0" applyNumberFormat="1" applyFont="1" applyBorder="1" applyAlignment="1">
      <alignment horizontal="center"/>
    </xf>
    <xf numFmtId="0" fontId="0" fillId="0" borderId="3" xfId="0" applyBorder="1"/>
    <xf numFmtId="6" fontId="0" fillId="0" borderId="3" xfId="0" applyNumberFormat="1" applyFont="1" applyBorder="1" applyAlignment="1">
      <alignment horizontal="center"/>
    </xf>
    <xf numFmtId="6" fontId="0" fillId="0" borderId="11" xfId="0" applyNumberFormat="1" applyFont="1" applyBorder="1" applyAlignment="1">
      <alignment horizontal="center"/>
    </xf>
    <xf numFmtId="0" fontId="0" fillId="0" borderId="2" xfId="0" applyBorder="1" applyAlignment="1">
      <alignment horizontal="center" wrapText="1"/>
    </xf>
    <xf numFmtId="0" fontId="0" fillId="0" borderId="10" xfId="0" applyBorder="1" applyAlignment="1">
      <alignment horizontal="center" wrapText="1"/>
    </xf>
    <xf numFmtId="6" fontId="0" fillId="0" borderId="0" xfId="0" applyNumberFormat="1" applyBorder="1" applyAlignment="1">
      <alignment horizontal="center"/>
    </xf>
    <xf numFmtId="0" fontId="6" fillId="0" borderId="4" xfId="0" applyFont="1" applyBorder="1" applyAlignment="1">
      <alignment vertical="top" wrapText="1"/>
    </xf>
    <xf numFmtId="0" fontId="6" fillId="0" borderId="4" xfId="0" applyFont="1" applyBorder="1" applyAlignment="1">
      <alignment horizontal="left" vertical="top" wrapText="1"/>
    </xf>
    <xf numFmtId="0" fontId="6" fillId="0" borderId="5" xfId="0" applyFont="1" applyBorder="1" applyAlignment="1">
      <alignment vertical="top" wrapText="1"/>
    </xf>
    <xf numFmtId="0" fontId="0" fillId="0" borderId="0" xfId="0" applyFill="1"/>
    <xf numFmtId="0" fontId="6" fillId="0" borderId="4" xfId="0" applyFont="1" applyBorder="1" applyAlignment="1">
      <alignment horizontal="center" vertical="center" wrapText="1"/>
    </xf>
    <xf numFmtId="3" fontId="6" fillId="0" borderId="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6" fillId="0" borderId="12" xfId="0" applyFont="1" applyFill="1" applyBorder="1" applyAlignment="1">
      <alignment horizontal="center" vertical="center" wrapText="1"/>
    </xf>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2" fillId="0" borderId="2" xfId="0" applyFont="1" applyBorder="1" applyAlignment="1">
      <alignment horizontal="center" vertical="top" wrapText="1"/>
    </xf>
    <xf numFmtId="0" fontId="0" fillId="0" borderId="0" xfId="0" applyAlignment="1">
      <alignment horizontal="right"/>
    </xf>
    <xf numFmtId="0" fontId="2" fillId="0" borderId="0" xfId="0" applyFont="1" applyAlignment="1">
      <alignment horizontal="right"/>
    </xf>
    <xf numFmtId="0" fontId="1" fillId="0" borderId="0" xfId="0" applyFont="1"/>
    <xf numFmtId="6" fontId="0" fillId="0" borderId="0" xfId="0" applyNumberFormat="1"/>
    <xf numFmtId="0" fontId="8" fillId="0" borderId="0" xfId="0" applyFont="1"/>
    <xf numFmtId="0" fontId="6" fillId="0" borderId="0" xfId="0" applyFont="1" applyFill="1" applyBorder="1" applyAlignment="1">
      <alignment vertical="top"/>
    </xf>
    <xf numFmtId="0" fontId="8" fillId="0" borderId="0" xfId="0" applyFont="1" applyAlignment="1">
      <alignment wrapText="1"/>
    </xf>
    <xf numFmtId="0" fontId="6" fillId="0" borderId="0" xfId="0" applyFont="1"/>
    <xf numFmtId="6" fontId="6" fillId="0" borderId="0" xfId="0" applyNumberFormat="1" applyFont="1"/>
    <xf numFmtId="0" fontId="0" fillId="0" borderId="0" xfId="0" applyAlignment="1">
      <alignment horizontal="left"/>
    </xf>
    <xf numFmtId="0" fontId="0" fillId="0" borderId="0" xfId="0" applyAlignment="1"/>
    <xf numFmtId="0" fontId="1" fillId="0" borderId="0" xfId="0" applyFont="1"/>
    <xf numFmtId="0" fontId="2" fillId="0" borderId="0" xfId="0" applyFont="1"/>
    <xf numFmtId="0" fontId="9" fillId="0" borderId="0" xfId="0" applyFont="1"/>
    <xf numFmtId="0" fontId="0" fillId="0" borderId="0" xfId="0" applyAlignment="1">
      <alignment vertical="top" wrapText="1"/>
    </xf>
    <xf numFmtId="0" fontId="0" fillId="0" borderId="0" xfId="0" applyFill="1" applyBorder="1" applyAlignment="1">
      <alignment vertical="top" wrapText="1"/>
    </xf>
    <xf numFmtId="0" fontId="0" fillId="0" borderId="0" xfId="0" applyFont="1" applyAlignment="1">
      <alignment wrapText="1"/>
    </xf>
    <xf numFmtId="0" fontId="2" fillId="0" borderId="13" xfId="0" applyFont="1" applyBorder="1" applyAlignment="1">
      <alignment vertical="top" wrapText="1"/>
    </xf>
    <xf numFmtId="0" fontId="0" fillId="0" borderId="13" xfId="0" applyBorder="1" applyAlignment="1">
      <alignment vertical="top"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tabSelected="1" topLeftCell="B1" workbookViewId="0">
      <selection activeCell="P36" sqref="P36"/>
    </sheetView>
  </sheetViews>
  <sheetFormatPr defaultRowHeight="15" x14ac:dyDescent="0.25"/>
  <cols>
    <col min="2" max="2" width="9.140625" style="52"/>
    <col min="3" max="4" width="19.7109375" customWidth="1"/>
  </cols>
  <sheetData>
    <row r="1" spans="1:17" x14ac:dyDescent="0.25">
      <c r="A1" s="62"/>
      <c r="B1" s="61" t="s">
        <v>23</v>
      </c>
    </row>
    <row r="3" spans="1:17" x14ac:dyDescent="0.25">
      <c r="A3" t="s">
        <v>9</v>
      </c>
      <c r="C3" s="13" t="s">
        <v>24</v>
      </c>
    </row>
    <row r="4" spans="1:17" x14ac:dyDescent="0.25">
      <c r="C4" s="66" t="s">
        <v>10</v>
      </c>
      <c r="D4" s="66"/>
      <c r="E4" s="66"/>
      <c r="F4" s="66"/>
      <c r="G4" s="66"/>
      <c r="H4" s="66"/>
      <c r="I4" s="66"/>
      <c r="J4" s="66"/>
      <c r="K4" s="66"/>
      <c r="L4" s="66"/>
      <c r="M4" s="66"/>
      <c r="N4" s="66"/>
      <c r="O4" s="66"/>
      <c r="P4" s="66"/>
      <c r="Q4" s="66"/>
    </row>
    <row r="5" spans="1:17" x14ac:dyDescent="0.25">
      <c r="C5" s="66"/>
      <c r="D5" s="66"/>
      <c r="E5" s="66"/>
      <c r="F5" s="66"/>
      <c r="G5" s="66"/>
      <c r="H5" s="66"/>
      <c r="I5" s="66"/>
      <c r="J5" s="66"/>
      <c r="K5" s="66"/>
      <c r="L5" s="66"/>
      <c r="M5" s="66"/>
      <c r="N5" s="66"/>
      <c r="O5" s="66"/>
      <c r="P5" s="66"/>
      <c r="Q5" s="66"/>
    </row>
    <row r="6" spans="1:17" x14ac:dyDescent="0.25">
      <c r="C6" s="66"/>
      <c r="D6" s="66"/>
      <c r="E6" s="66"/>
      <c r="F6" s="66"/>
      <c r="G6" s="66"/>
      <c r="H6" s="66"/>
      <c r="I6" s="66"/>
      <c r="J6" s="66"/>
      <c r="K6" s="66"/>
      <c r="L6" s="66"/>
      <c r="M6" s="66"/>
      <c r="N6" s="66"/>
      <c r="O6" s="66"/>
      <c r="P6" s="66"/>
      <c r="Q6" s="66"/>
    </row>
    <row r="7" spans="1:17" ht="15.75" thickBot="1" x14ac:dyDescent="0.3">
      <c r="C7" s="4"/>
      <c r="D7" s="4"/>
      <c r="E7" s="4"/>
      <c r="F7" s="4"/>
      <c r="G7" s="4"/>
      <c r="H7" s="4"/>
      <c r="I7" s="4"/>
      <c r="J7" s="4"/>
      <c r="K7" s="4"/>
      <c r="L7" s="4"/>
      <c r="M7" s="4"/>
      <c r="N7" s="4"/>
      <c r="O7" s="4"/>
      <c r="P7" s="4"/>
      <c r="Q7" s="4"/>
    </row>
    <row r="8" spans="1:17" ht="30.75" thickBot="1" x14ac:dyDescent="0.3">
      <c r="C8" s="7" t="s">
        <v>13</v>
      </c>
      <c r="D8" s="6" t="s">
        <v>11</v>
      </c>
      <c r="E8" s="5"/>
      <c r="F8" s="5"/>
      <c r="G8" s="4"/>
      <c r="H8" s="4"/>
      <c r="I8" s="4"/>
      <c r="J8" s="4"/>
      <c r="K8" s="4"/>
      <c r="L8" s="4"/>
      <c r="M8" s="4"/>
      <c r="N8" s="4"/>
      <c r="O8" s="4"/>
      <c r="P8" s="4"/>
      <c r="Q8" s="4"/>
    </row>
    <row r="9" spans="1:17" x14ac:dyDescent="0.25">
      <c r="C9" s="8" t="s">
        <v>4</v>
      </c>
      <c r="D9" s="11" t="s">
        <v>12</v>
      </c>
      <c r="E9" s="4"/>
      <c r="F9" s="4"/>
      <c r="G9" s="4"/>
      <c r="H9" s="4"/>
      <c r="I9" s="4"/>
      <c r="J9" s="4"/>
      <c r="K9" s="4"/>
      <c r="L9" s="4"/>
      <c r="M9" s="4"/>
      <c r="N9" s="4"/>
      <c r="O9" s="4"/>
      <c r="P9" s="4"/>
      <c r="Q9" s="4"/>
    </row>
    <row r="10" spans="1:17" x14ac:dyDescent="0.25">
      <c r="C10" s="9" t="s">
        <v>5</v>
      </c>
      <c r="D10" s="12" t="s">
        <v>12</v>
      </c>
      <c r="E10" s="4"/>
      <c r="F10" s="4"/>
      <c r="G10" s="4"/>
      <c r="H10" s="4"/>
      <c r="I10" s="4"/>
      <c r="J10" s="4"/>
      <c r="K10" s="4"/>
      <c r="L10" s="4"/>
      <c r="M10" s="4"/>
      <c r="N10" s="4"/>
      <c r="O10" s="4"/>
      <c r="P10" s="4"/>
      <c r="Q10" s="4"/>
    </row>
    <row r="11" spans="1:17" x14ac:dyDescent="0.25">
      <c r="C11" s="9" t="s">
        <v>37</v>
      </c>
      <c r="D11" s="38" t="s">
        <v>39</v>
      </c>
      <c r="E11" s="4"/>
      <c r="F11" s="4"/>
      <c r="G11" s="4"/>
      <c r="H11" s="4"/>
      <c r="I11" s="4"/>
      <c r="J11" s="4"/>
      <c r="K11" s="4"/>
      <c r="L11" s="4"/>
      <c r="M11" s="4"/>
      <c r="N11" s="4"/>
      <c r="O11" s="4"/>
      <c r="P11" s="4"/>
      <c r="Q11" s="4"/>
    </row>
    <row r="12" spans="1:17" x14ac:dyDescent="0.25">
      <c r="C12" s="9" t="s">
        <v>6</v>
      </c>
      <c r="D12" s="38" t="s">
        <v>40</v>
      </c>
      <c r="E12" s="4"/>
      <c r="F12" s="4"/>
      <c r="G12" s="4"/>
      <c r="H12" s="4"/>
      <c r="I12" s="4"/>
      <c r="J12" s="4"/>
      <c r="K12" s="4"/>
      <c r="L12" s="4"/>
      <c r="M12" s="4"/>
      <c r="N12" s="4"/>
      <c r="O12" s="4"/>
      <c r="P12" s="4"/>
      <c r="Q12" s="4"/>
    </row>
    <row r="13" spans="1:17" x14ac:dyDescent="0.25">
      <c r="C13" s="9" t="s">
        <v>0</v>
      </c>
      <c r="D13" s="38" t="s">
        <v>41</v>
      </c>
      <c r="E13" s="4"/>
      <c r="F13" s="4"/>
      <c r="G13" s="4"/>
      <c r="H13" s="4"/>
      <c r="I13" s="4"/>
      <c r="J13" s="4"/>
      <c r="K13" s="4"/>
      <c r="L13" s="4"/>
      <c r="M13" s="4"/>
      <c r="N13" s="4"/>
      <c r="O13" s="4"/>
      <c r="P13" s="4"/>
      <c r="Q13" s="4"/>
    </row>
    <row r="14" spans="1:17" x14ac:dyDescent="0.25">
      <c r="C14" s="9" t="s">
        <v>7</v>
      </c>
      <c r="D14" s="39">
        <v>14</v>
      </c>
    </row>
    <row r="15" spans="1:17" x14ac:dyDescent="0.25">
      <c r="C15" s="9" t="s">
        <v>8</v>
      </c>
      <c r="D15" s="38" t="s">
        <v>42</v>
      </c>
    </row>
    <row r="16" spans="1:17" ht="15.75" hidden="1" thickBot="1" x14ac:dyDescent="0.3">
      <c r="C16" s="10"/>
      <c r="D16" s="38"/>
    </row>
    <row r="17" spans="2:14" ht="15.75" thickBot="1" x14ac:dyDescent="0.3">
      <c r="C17" s="10" t="s">
        <v>26</v>
      </c>
      <c r="D17" s="40" t="s">
        <v>43</v>
      </c>
    </row>
    <row r="19" spans="2:14" x14ac:dyDescent="0.25">
      <c r="C19" s="14" t="s">
        <v>14</v>
      </c>
    </row>
    <row r="20" spans="2:14" x14ac:dyDescent="0.25">
      <c r="C20" t="s">
        <v>70</v>
      </c>
      <c r="L20" s="63"/>
    </row>
    <row r="21" spans="2:14" x14ac:dyDescent="0.25">
      <c r="C21" s="59" t="s">
        <v>71</v>
      </c>
    </row>
    <row r="22" spans="2:14" x14ac:dyDescent="0.25">
      <c r="C22" s="56" t="s">
        <v>59</v>
      </c>
      <c r="D22" s="56"/>
      <c r="E22" s="56"/>
      <c r="F22" s="56"/>
      <c r="G22" s="56"/>
      <c r="H22" s="56"/>
      <c r="I22" s="56"/>
    </row>
    <row r="23" spans="2:14" x14ac:dyDescent="0.25">
      <c r="C23" t="s">
        <v>15</v>
      </c>
    </row>
    <row r="24" spans="2:14" hidden="1" x14ac:dyDescent="0.25"/>
    <row r="25" spans="2:14" hidden="1" x14ac:dyDescent="0.25"/>
    <row r="26" spans="2:14" x14ac:dyDescent="0.25">
      <c r="C26" t="s">
        <v>72</v>
      </c>
      <c r="L26" s="63"/>
    </row>
    <row r="27" spans="2:14" x14ac:dyDescent="0.25">
      <c r="C27" t="s">
        <v>73</v>
      </c>
      <c r="L27" s="63"/>
    </row>
    <row r="28" spans="2:14" hidden="1" x14ac:dyDescent="0.25"/>
    <row r="29" spans="2:14" x14ac:dyDescent="0.25">
      <c r="C29" t="s">
        <v>44</v>
      </c>
    </row>
    <row r="30" spans="2:14" x14ac:dyDescent="0.25">
      <c r="B30" s="53"/>
      <c r="C30" s="41" t="s">
        <v>18</v>
      </c>
      <c r="D30" s="41"/>
      <c r="E30" s="41"/>
      <c r="F30" s="41" t="s">
        <v>60</v>
      </c>
    </row>
    <row r="31" spans="2:14" hidden="1" x14ac:dyDescent="0.25">
      <c r="C31" s="41"/>
    </row>
    <row r="32" spans="2:14" ht="15" customHeight="1" x14ac:dyDescent="0.25">
      <c r="C32" s="57" t="s">
        <v>55</v>
      </c>
      <c r="D32" s="58"/>
      <c r="E32" s="58"/>
      <c r="F32" s="58"/>
      <c r="G32" s="56"/>
      <c r="H32" s="56"/>
      <c r="I32" s="56"/>
      <c r="J32" s="56"/>
      <c r="K32" s="56"/>
      <c r="L32" s="56"/>
      <c r="M32" s="56"/>
      <c r="N32" s="56"/>
    </row>
    <row r="33" spans="3:3" hidden="1" x14ac:dyDescent="0.25"/>
    <row r="34" spans="3:3" x14ac:dyDescent="0.25">
      <c r="C34" t="s">
        <v>64</v>
      </c>
    </row>
    <row r="35" spans="3:3" x14ac:dyDescent="0.25">
      <c r="C35" t="s">
        <v>74</v>
      </c>
    </row>
    <row r="36" spans="3:3" x14ac:dyDescent="0.25">
      <c r="C36" s="63"/>
    </row>
    <row r="37" spans="3:3" x14ac:dyDescent="0.25">
      <c r="C37" s="63"/>
    </row>
  </sheetData>
  <mergeCells count="1">
    <mergeCell ref="C4:Q6"/>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8"/>
  <sheetViews>
    <sheetView workbookViewId="0">
      <selection activeCell="K6" sqref="K6"/>
    </sheetView>
  </sheetViews>
  <sheetFormatPr defaultRowHeight="15" x14ac:dyDescent="0.25"/>
  <cols>
    <col min="3" max="6" width="19.7109375" customWidth="1"/>
    <col min="8" max="8" width="10.85546875" bestFit="1" customWidth="1"/>
  </cols>
  <sheetData>
    <row r="1" spans="2:10" x14ac:dyDescent="0.25">
      <c r="B1" t="s">
        <v>22</v>
      </c>
    </row>
    <row r="2" spans="2:10" ht="15.75" thickBot="1" x14ac:dyDescent="0.3"/>
    <row r="3" spans="2:10" ht="30.75" thickBot="1" x14ac:dyDescent="0.3">
      <c r="C3" s="51" t="s">
        <v>13</v>
      </c>
      <c r="D3" s="49" t="s">
        <v>11</v>
      </c>
      <c r="E3" s="50" t="s">
        <v>19</v>
      </c>
      <c r="F3" s="50" t="s">
        <v>21</v>
      </c>
    </row>
    <row r="4" spans="2:10" x14ac:dyDescent="0.25">
      <c r="C4" s="8" t="s">
        <v>4</v>
      </c>
      <c r="D4" s="46" t="s">
        <v>12</v>
      </c>
      <c r="E4" s="46" t="s">
        <v>20</v>
      </c>
      <c r="F4" s="16">
        <v>2700000</v>
      </c>
    </row>
    <row r="5" spans="2:10" x14ac:dyDescent="0.25">
      <c r="C5" s="9" t="s">
        <v>5</v>
      </c>
      <c r="D5" s="47" t="s">
        <v>12</v>
      </c>
      <c r="E5" s="47" t="s">
        <v>4</v>
      </c>
      <c r="F5" s="17"/>
    </row>
    <row r="6" spans="2:10" x14ac:dyDescent="0.25">
      <c r="C6" s="9" t="s">
        <v>37</v>
      </c>
      <c r="D6" s="47" t="s">
        <v>46</v>
      </c>
      <c r="E6" s="42" t="s">
        <v>47</v>
      </c>
      <c r="F6" s="18"/>
    </row>
    <row r="7" spans="2:10" x14ac:dyDescent="0.25">
      <c r="C7" s="9" t="s">
        <v>6</v>
      </c>
      <c r="D7" s="47" t="s">
        <v>50</v>
      </c>
      <c r="E7" s="42" t="s">
        <v>51</v>
      </c>
      <c r="F7" s="18"/>
    </row>
    <row r="8" spans="2:10" x14ac:dyDescent="0.25">
      <c r="C8" s="9" t="s">
        <v>0</v>
      </c>
      <c r="D8" s="47" t="s">
        <v>52</v>
      </c>
      <c r="E8" s="43">
        <v>84480</v>
      </c>
      <c r="F8" s="18"/>
      <c r="J8" s="3"/>
    </row>
    <row r="9" spans="2:10" x14ac:dyDescent="0.25">
      <c r="C9" s="9" t="s">
        <v>53</v>
      </c>
      <c r="D9" s="47">
        <v>14</v>
      </c>
      <c r="E9" s="42">
        <v>200</v>
      </c>
      <c r="F9" s="18"/>
    </row>
    <row r="10" spans="2:10" x14ac:dyDescent="0.25">
      <c r="C10" s="9" t="s">
        <v>76</v>
      </c>
      <c r="D10" s="47" t="s">
        <v>48</v>
      </c>
      <c r="E10" s="42" t="s">
        <v>49</v>
      </c>
      <c r="F10" s="19">
        <v>3530000</v>
      </c>
    </row>
    <row r="11" spans="2:10" ht="15.75" hidden="1" thickBot="1" x14ac:dyDescent="0.3">
      <c r="C11" s="10"/>
      <c r="D11" s="48"/>
      <c r="E11" s="44"/>
      <c r="F11" s="20"/>
    </row>
    <row r="12" spans="2:10" ht="15.75" thickBot="1" x14ac:dyDescent="0.3">
      <c r="C12" s="10" t="s">
        <v>26</v>
      </c>
      <c r="D12" s="44" t="s">
        <v>45</v>
      </c>
      <c r="E12" s="45" t="s">
        <v>54</v>
      </c>
    </row>
    <row r="13" spans="2:10" x14ac:dyDescent="0.25">
      <c r="C13" s="69" t="s">
        <v>25</v>
      </c>
      <c r="D13" s="70"/>
      <c r="E13" s="70"/>
      <c r="F13" s="15">
        <f>+SUM(F4:F11)</f>
        <v>6230000</v>
      </c>
    </row>
    <row r="15" spans="2:10" ht="30.75" customHeight="1" x14ac:dyDescent="0.25">
      <c r="C15" s="67"/>
      <c r="D15" s="68"/>
      <c r="E15" s="68"/>
      <c r="F15" s="68"/>
      <c r="H15" s="54"/>
    </row>
    <row r="16" spans="2:10" x14ac:dyDescent="0.25">
      <c r="C16" s="59" t="s">
        <v>63</v>
      </c>
      <c r="D16" s="65"/>
      <c r="E16" s="65"/>
    </row>
    <row r="17" spans="3:5" x14ac:dyDescent="0.25">
      <c r="C17" s="59" t="s">
        <v>65</v>
      </c>
      <c r="D17" s="65"/>
      <c r="E17" s="65"/>
    </row>
    <row r="18" spans="3:5" x14ac:dyDescent="0.25">
      <c r="C18" t="s">
        <v>75</v>
      </c>
    </row>
  </sheetData>
  <mergeCells count="2">
    <mergeCell ref="C15:F15"/>
    <mergeCell ref="C13:E13"/>
  </mergeCells>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19"/>
  <sheetViews>
    <sheetView workbookViewId="0">
      <selection activeCell="F24" sqref="F24"/>
    </sheetView>
  </sheetViews>
  <sheetFormatPr defaultRowHeight="15" x14ac:dyDescent="0.25"/>
  <cols>
    <col min="3" max="3" width="23" customWidth="1"/>
    <col min="4" max="4" width="14.5703125" bestFit="1" customWidth="1"/>
    <col min="5" max="5" width="12.7109375" customWidth="1"/>
    <col min="6" max="6" width="12.5703125" bestFit="1" customWidth="1"/>
    <col min="7" max="7" width="10.85546875" customWidth="1"/>
  </cols>
  <sheetData>
    <row r="1" spans="2:8" x14ac:dyDescent="0.25">
      <c r="B1" t="s">
        <v>27</v>
      </c>
    </row>
    <row r="2" spans="2:8" ht="15.75" thickBot="1" x14ac:dyDescent="0.3"/>
    <row r="3" spans="2:8" ht="30.75" thickBot="1" x14ac:dyDescent="0.3">
      <c r="C3" s="35" t="s">
        <v>35</v>
      </c>
      <c r="D3" s="35" t="s">
        <v>34</v>
      </c>
      <c r="E3" s="36" t="s">
        <v>33</v>
      </c>
    </row>
    <row r="4" spans="2:8" x14ac:dyDescent="0.25">
      <c r="C4" s="32" t="s">
        <v>28</v>
      </c>
      <c r="D4" s="33">
        <v>9400</v>
      </c>
      <c r="E4" s="34">
        <v>310000</v>
      </c>
    </row>
    <row r="5" spans="2:8" x14ac:dyDescent="0.25">
      <c r="C5" s="23" t="s">
        <v>29</v>
      </c>
      <c r="D5" s="25">
        <v>8500</v>
      </c>
      <c r="E5" s="24">
        <v>32000</v>
      </c>
    </row>
    <row r="6" spans="2:8" ht="15.75" thickBot="1" x14ac:dyDescent="0.3">
      <c r="C6" s="26" t="s">
        <v>30</v>
      </c>
      <c r="D6" s="27">
        <v>16000</v>
      </c>
      <c r="E6" s="28">
        <v>64000</v>
      </c>
    </row>
    <row r="7" spans="2:8" ht="15.75" thickBot="1" x14ac:dyDescent="0.3">
      <c r="C7" s="29" t="s">
        <v>1</v>
      </c>
      <c r="D7" s="30">
        <f>+SUM(D4:D6)</f>
        <v>33900</v>
      </c>
      <c r="E7" s="31">
        <f>+SUM(E4:E6)</f>
        <v>406000</v>
      </c>
    </row>
    <row r="9" spans="2:8" x14ac:dyDescent="0.25">
      <c r="C9" t="s">
        <v>31</v>
      </c>
      <c r="D9" s="1"/>
      <c r="E9" s="37">
        <v>101000</v>
      </c>
    </row>
    <row r="10" spans="2:8" x14ac:dyDescent="0.25">
      <c r="C10" t="s">
        <v>32</v>
      </c>
      <c r="D10" s="1"/>
      <c r="E10" s="37">
        <v>-305000</v>
      </c>
    </row>
    <row r="11" spans="2:8" x14ac:dyDescent="0.25">
      <c r="D11" s="1"/>
      <c r="E11" s="21"/>
      <c r="F11" s="1"/>
      <c r="G11" s="2"/>
    </row>
    <row r="12" spans="2:8" x14ac:dyDescent="0.25">
      <c r="C12" t="s">
        <v>36</v>
      </c>
      <c r="E12" t="s">
        <v>56</v>
      </c>
      <c r="F12" s="59" t="s">
        <v>57</v>
      </c>
      <c r="H12" s="59"/>
    </row>
    <row r="13" spans="2:8" x14ac:dyDescent="0.25">
      <c r="C13" t="s">
        <v>2</v>
      </c>
      <c r="D13" s="22">
        <v>0.22</v>
      </c>
      <c r="E13" s="55">
        <v>69</v>
      </c>
      <c r="F13" s="60">
        <v>84</v>
      </c>
      <c r="G13" s="55"/>
      <c r="H13" s="60"/>
    </row>
    <row r="14" spans="2:8" x14ac:dyDescent="0.25">
      <c r="C14" t="s">
        <v>3</v>
      </c>
      <c r="D14" s="22">
        <v>0.22</v>
      </c>
      <c r="E14" s="55">
        <v>749</v>
      </c>
      <c r="F14" s="60">
        <v>913</v>
      </c>
      <c r="G14" s="55"/>
      <c r="H14" s="60"/>
    </row>
    <row r="16" spans="2:8" hidden="1" x14ac:dyDescent="0.25"/>
    <row r="17" spans="3:7" hidden="1" x14ac:dyDescent="0.25"/>
    <row r="18" spans="3:7" x14ac:dyDescent="0.25">
      <c r="C18" s="59" t="s">
        <v>68</v>
      </c>
      <c r="D18" s="65"/>
      <c r="E18" s="65"/>
      <c r="F18" s="65"/>
      <c r="G18" s="65"/>
    </row>
    <row r="19" spans="3:7" x14ac:dyDescent="0.25">
      <c r="C19" s="59" t="s">
        <v>69</v>
      </c>
      <c r="D19" s="65"/>
      <c r="E19" s="65"/>
      <c r="F19" s="65"/>
      <c r="G19" s="65"/>
    </row>
  </sheetData>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2"/>
  <sheetViews>
    <sheetView topLeftCell="B1" workbookViewId="0">
      <selection activeCell="G22" sqref="G22"/>
    </sheetView>
  </sheetViews>
  <sheetFormatPr defaultRowHeight="15" x14ac:dyDescent="0.25"/>
  <sheetData>
    <row r="2" spans="2:8" x14ac:dyDescent="0.25">
      <c r="B2" s="64" t="s">
        <v>66</v>
      </c>
    </row>
    <row r="4" spans="2:8" x14ac:dyDescent="0.25">
      <c r="C4" t="s">
        <v>16</v>
      </c>
    </row>
    <row r="5" spans="2:8" x14ac:dyDescent="0.25">
      <c r="C5" t="s">
        <v>38</v>
      </c>
    </row>
    <row r="6" spans="2:8" x14ac:dyDescent="0.25">
      <c r="C6" t="s">
        <v>17</v>
      </c>
    </row>
    <row r="7" spans="2:8" x14ac:dyDescent="0.25">
      <c r="C7" t="s">
        <v>61</v>
      </c>
      <c r="H7" t="s">
        <v>62</v>
      </c>
    </row>
    <row r="8" spans="2:8" x14ac:dyDescent="0.25">
      <c r="C8" t="s">
        <v>58</v>
      </c>
    </row>
    <row r="9" spans="2:8" x14ac:dyDescent="0.25">
      <c r="C9" t="s">
        <v>78</v>
      </c>
    </row>
    <row r="10" spans="2:8" x14ac:dyDescent="0.25">
      <c r="C10" t="s">
        <v>77</v>
      </c>
    </row>
    <row r="11" spans="2:8" hidden="1" x14ac:dyDescent="0.25"/>
    <row r="12" spans="2:8" x14ac:dyDescent="0.25">
      <c r="C12" s="64" t="s">
        <v>67</v>
      </c>
    </row>
  </sheetData>
  <phoneticPr fontId="7"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Background &amp; Assumptions</vt:lpstr>
      <vt:lpstr>Snowmaking Capital Cost</vt:lpstr>
      <vt:lpstr>Snowmaking Operating Cost</vt:lpstr>
      <vt:lpstr>Conclusions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Jamey Wimble</dc:creator>
  <cp:lastModifiedBy>Jamey Wimble</cp:lastModifiedBy>
  <dcterms:created xsi:type="dcterms:W3CDTF">2013-02-21T18:24:58Z</dcterms:created>
  <dcterms:modified xsi:type="dcterms:W3CDTF">2013-03-02T16:57:24Z</dcterms:modified>
</cp:coreProperties>
</file>