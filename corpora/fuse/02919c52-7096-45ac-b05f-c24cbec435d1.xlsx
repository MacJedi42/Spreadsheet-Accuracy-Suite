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D8" i="1" l="1"/>
  <c r="D19" i="1" s="1"/>
  <c r="F8" i="1"/>
  <c r="F19" i="1" s="1"/>
  <c r="H8" i="1"/>
  <c r="H19" i="1" s="1"/>
  <c r="J8" i="1"/>
  <c r="J19" i="1" s="1"/>
  <c r="B8" i="1"/>
  <c r="B19" i="1" s="1"/>
</calcChain>
</file>

<file path=xl/sharedStrings.xml><?xml version="1.0" encoding="utf-8"?>
<sst xmlns="http://schemas.openxmlformats.org/spreadsheetml/2006/main" count="80" uniqueCount="34">
  <si>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</si>
  <si>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</si>
  <si>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</si>
  <si>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</si>
  <si>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</si>
  <si>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</si>
  <si>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</si>
  <si>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</si>
  <si>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</si>
  <si>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</si>
  <si>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</si>
  <si>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</si>
  <si>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</si>
  <si>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</si>
  <si>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</si>
  <si>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</si>
  <si>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</si>
  <si>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</si>
  <si>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</si>
  <si>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</si>
  <si>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</si>
  <si>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</si>
  <si>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</si>
  <si>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</si>
  <si>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</si>
  <si>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</si>
  <si>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</si>
  <si>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</si>
  <si>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</si>
  <si>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</si>
  <si>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</si>
  <si>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 TEC UG SUCCESS RATE (DEV LEVEL) </t>
  </si>
  <si>
    <t>AY12-13</t>
  </si>
  <si>
    <t>AY13-14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</si>
</sst>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62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9" fontId="0" fillId="0" borderId="0" xfId="117" applyFont="1" applyBorder="1" applyAlignment="1">
      <alignment horizontal="center"/>
    </xf>
    <xf numFmtId="0" fontId="26" fillId="33" borderId="21" xfId="2" applyFont="1" applyFill="1" applyBorder="1" applyAlignment="1">
      <alignment wrapText="1"/>
    </xf>
    <xf numFmtId="0" fontId="22" fillId="0" borderId="12" xfId="2" applyFont="1" applyFill="1" applyBorder="1" applyAlignment="1">
      <alignment horizontal="center" vertical="center" wrapText="1"/>
    </xf>
    <xf numFmtId="0" fontId="16" fillId="0" borderId="18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3" xfId="0" applyBorder="1" applyAlignment="1">
      <alignment horizontal="center"/>
    </xf>
    <xf numFmtId="9" fontId="23" fillId="0" borderId="14" xfId="117" applyFont="1" applyFill="1" applyBorder="1" applyAlignment="1">
      <alignment horizontal="center" vertical="center"/>
    </xf>
    <xf numFmtId="0" fontId="8" fillId="4" borderId="0" xfId="120"/>
    <xf numFmtId="0" fontId="24" fillId="0" borderId="14" xfId="2" applyFont="1" applyBorder="1" applyAlignment="1">
      <alignment horizontal="center" vertical="center" wrapText="1"/>
    </xf>
    <xf numFmtId="0" fontId="22" fillId="0" borderId="12" xfId="2" applyFont="1" applyBorder="1" applyAlignment="1">
      <alignment horizontal="center"/>
    </xf>
    <xf numFmtId="0" fontId="21" fillId="0" borderId="20" xfId="2" applyFont="1" applyFill="1" applyBorder="1" applyAlignment="1">
      <alignment horizontal="left" vertical="center" wrapText="1"/>
    </xf>
    <xf numFmtId="0" fontId="21" fillId="0" borderId="21" xfId="2" applyFont="1" applyFill="1" applyBorder="1" applyAlignment="1">
      <alignment wrapText="1"/>
    </xf>
    <xf numFmtId="0" fontId="0" fillId="0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4" fillId="0" borderId="23" xfId="2" applyFont="1" applyBorder="1" applyAlignment="1">
      <alignment horizontal="center" vertical="center" wrapText="1"/>
    </xf>
    <xf numFmtId="0" fontId="22" fillId="0" borderId="18" xfId="2" applyFont="1" applyBorder="1" applyAlignment="1">
      <alignment horizontal="center" vertical="center" wrapText="1"/>
    </xf>
    <xf numFmtId="0" fontId="21" fillId="0" borderId="20" xfId="49" applyFont="1" applyBorder="1" applyAlignment="1" applyProtection="1"/>
    <xf numFmtId="0" fontId="24" fillId="0" borderId="22" xfId="2" applyFont="1" applyBorder="1" applyAlignment="1">
      <alignment horizontal="center" vertical="center" wrapText="1"/>
    </xf>
    <xf numFmtId="0" fontId="16" fillId="0" borderId="18" xfId="2" applyFont="1" applyBorder="1"/>
    <xf numFmtId="0" fontId="24" fillId="0" borderId="13" xfId="2" applyFont="1" applyBorder="1" applyAlignment="1">
      <alignment horizontal="center" vertical="center" wrapText="1"/>
    </xf>
    <xf numFmtId="0" fontId="21" fillId="0" borderId="21" xfId="49" applyFont="1" applyFill="1" applyBorder="1" applyAlignment="1" applyProtection="1"/>
    <xf numFmtId="0" fontId="21" fillId="0" borderId="21" xfId="49" applyFont="1" applyBorder="1" applyAlignment="1" applyProtection="1"/>
    <xf numFmtId="0" fontId="21" fillId="0" borderId="11" xfId="49" applyFont="1" applyBorder="1" applyAlignment="1" applyProtection="1"/>
    <xf numFmtId="9" fontId="23" fillId="0" borderId="14" xfId="117" applyFont="1" applyBorder="1" applyAlignment="1">
      <alignment horizontal="center" vertical="center"/>
    </xf>
    <xf numFmtId="9" fontId="23" fillId="0" borderId="17" xfId="117" applyFont="1" applyBorder="1" applyAlignment="1">
      <alignment horizontal="center" vertical="center"/>
    </xf>
    <xf numFmtId="9" fontId="23" fillId="0" borderId="14" xfId="117" applyFont="1" applyBorder="1" applyAlignment="1">
      <alignment horizontal="center" vertical="center"/>
    </xf>
    <xf numFmtId="9" fontId="23" fillId="0" borderId="17" xfId="117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9" fontId="23" fillId="0" borderId="14" xfId="117" applyFont="1" applyFill="1" applyBorder="1" applyAlignment="1">
      <alignment horizontal="center" vertical="center"/>
    </xf>
    <xf numFmtId="0" fontId="24" fillId="0" borderId="14" xfId="2" applyFont="1" applyBorder="1" applyAlignment="1">
      <alignment horizontal="center" vertical="center" wrapText="1"/>
    </xf>
    <xf numFmtId="0" fontId="0" fillId="0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4" fillId="0" borderId="13" xfId="2" applyFont="1" applyBorder="1" applyAlignment="1">
      <alignment horizontal="center" vertical="center" wrapText="1"/>
    </xf>
    <xf numFmtId="0" fontId="8" fillId="4" borderId="21" xfId="120" applyBorder="1" applyAlignment="1">
      <alignment horizontal="center"/>
    </xf>
    <xf numFmtId="0" fontId="8" fillId="4" borderId="24" xfId="120" applyBorder="1" applyAlignment="1">
      <alignment horizontal="center"/>
    </xf>
    <xf numFmtId="0" fontId="24" fillId="0" borderId="15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1" xfId="56" applyBorder="1" applyAlignment="1">
      <alignment horizontal="center"/>
    </xf>
    <xf numFmtId="0" fontId="8" fillId="4" borderId="24" xfId="56" applyBorder="1" applyAlignment="1">
      <alignment horizontal="center"/>
    </xf>
    <xf numFmtId="0" fontId="22" fillId="0" borderId="25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5" fillId="0" borderId="12" xfId="2" applyFont="1" applyBorder="1" applyAlignment="1">
      <alignment horizontal="center" vertical="center" wrapText="1"/>
    </xf>
    <xf numFmtId="0" fontId="25" fillId="0" borderId="19" xfId="2" applyFont="1" applyBorder="1" applyAlignment="1">
      <alignment horizontal="center" vertical="center" wrapText="1"/>
    </xf>
    <xf numFmtId="0" fontId="24" fillId="0" borderId="13" xfId="2" applyFont="1" applyBorder="1" applyAlignment="1">
      <alignment horizontal="center" vertical="center"/>
    </xf>
    <xf numFmtId="0" fontId="24" fillId="0" borderId="14" xfId="2" applyFont="1" applyBorder="1" applyAlignment="1">
      <alignment horizontal="center" vertical="center"/>
    </xf>
  </cellXfs>
  <cellStyles count="162">
    <cellStyle name="20% - Accent1" xfId="139" builtinId="30" customBuiltin="1"/>
    <cellStyle name="20% - Accent1 2" xfId="78"/>
    <cellStyle name="20% - Accent1 3" xfId="23"/>
    <cellStyle name="20% - Accent2" xfId="143" builtinId="34" customBuiltin="1"/>
    <cellStyle name="20% - Accent2 2" xfId="82"/>
    <cellStyle name="20% - Accent2 3" xfId="27"/>
    <cellStyle name="20% - Accent3" xfId="147" builtinId="38" customBuiltin="1"/>
    <cellStyle name="20% - Accent3 2" xfId="86"/>
    <cellStyle name="20% - Accent3 3" xfId="31"/>
    <cellStyle name="20% - Accent4" xfId="151" builtinId="42" customBuiltin="1"/>
    <cellStyle name="20% - Accent4 2" xfId="90"/>
    <cellStyle name="20% - Accent4 3" xfId="35"/>
    <cellStyle name="20% - Accent5" xfId="155" builtinId="46" customBuiltin="1"/>
    <cellStyle name="20% - Accent5 2" xfId="94"/>
    <cellStyle name="20% - Accent5 3" xfId="39"/>
    <cellStyle name="20% - Accent6" xfId="159" builtinId="50" customBuiltin="1"/>
    <cellStyle name="20% - Accent6 2" xfId="98"/>
    <cellStyle name="20% - Accent6 3" xfId="43"/>
    <cellStyle name="40% - Accent1" xfId="140" builtinId="31" customBuiltin="1"/>
    <cellStyle name="40% - Accent1 2" xfId="79"/>
    <cellStyle name="40% - Accent1 3" xfId="24"/>
    <cellStyle name="40% - Accent2" xfId="144" builtinId="35" customBuiltin="1"/>
    <cellStyle name="40% - Accent2 2" xfId="83"/>
    <cellStyle name="40% - Accent2 3" xfId="28"/>
    <cellStyle name="40% - Accent3" xfId="148" builtinId="39" customBuiltin="1"/>
    <cellStyle name="40% - Accent3 2" xfId="87"/>
    <cellStyle name="40% - Accent3 3" xfId="32"/>
    <cellStyle name="40% - Accent4" xfId="152" builtinId="43" customBuiltin="1"/>
    <cellStyle name="40% - Accent4 2" xfId="91"/>
    <cellStyle name="40% - Accent4 3" xfId="36"/>
    <cellStyle name="40% - Accent5" xfId="156" builtinId="47" customBuiltin="1"/>
    <cellStyle name="40% - Accent5 2" xfId="95"/>
    <cellStyle name="40% - Accent5 3" xfId="40"/>
    <cellStyle name="40% - Accent6" xfId="160" builtinId="51" customBuiltin="1"/>
    <cellStyle name="40% - Accent6 2" xfId="99"/>
    <cellStyle name="40% - Accent6 3" xfId="44"/>
    <cellStyle name="60% - Accent1" xfId="141" builtinId="32" customBuiltin="1"/>
    <cellStyle name="60% - Accent1 2" xfId="80"/>
    <cellStyle name="60% - Accent1 3" xfId="25"/>
    <cellStyle name="60% - Accent2" xfId="145" builtinId="36" customBuiltin="1"/>
    <cellStyle name="60% - Accent2 2" xfId="84"/>
    <cellStyle name="60% - Accent2 3" xfId="29"/>
    <cellStyle name="60% - Accent3" xfId="149" builtinId="40" customBuiltin="1"/>
    <cellStyle name="60% - Accent3 2" xfId="88"/>
    <cellStyle name="60% - Accent3 3" xfId="33"/>
    <cellStyle name="60% - Accent4" xfId="153" builtinId="44" customBuiltin="1"/>
    <cellStyle name="60% - Accent4 2" xfId="92"/>
    <cellStyle name="60% - Accent4 3" xfId="37"/>
    <cellStyle name="60% - Accent5" xfId="157" builtinId="48" customBuiltin="1"/>
    <cellStyle name="60% - Accent5 2" xfId="96"/>
    <cellStyle name="60% - Accent5 3" xfId="41"/>
    <cellStyle name="60% - Accent6" xfId="161" builtinId="52" customBuiltin="1"/>
    <cellStyle name="60% - Accent6 2" xfId="100"/>
    <cellStyle name="60% - Accent6 3" xfId="45"/>
    <cellStyle name="Accent1" xfId="138" builtinId="29" customBuiltin="1"/>
    <cellStyle name="Accent1 2" xfId="77"/>
    <cellStyle name="Accent1 3" xfId="22"/>
    <cellStyle name="Accent2" xfId="142" builtinId="33" customBuiltin="1"/>
    <cellStyle name="Accent2 2" xfId="81"/>
    <cellStyle name="Accent2 3" xfId="26"/>
    <cellStyle name="Accent3" xfId="146" builtinId="37" customBuiltin="1"/>
    <cellStyle name="Accent3 2" xfId="85"/>
    <cellStyle name="Accent3 3" xfId="30"/>
    <cellStyle name="Accent4" xfId="150" builtinId="41" customBuiltin="1"/>
    <cellStyle name="Accent4 2" xfId="89"/>
    <cellStyle name="Accent4 3" xfId="34"/>
    <cellStyle name="Accent5" xfId="154" builtinId="45" customBuiltin="1"/>
    <cellStyle name="Accent5 2" xfId="93"/>
    <cellStyle name="Accent5 3" xfId="38"/>
    <cellStyle name="Accent6" xfId="158" builtinId="49" customBuiltin="1"/>
    <cellStyle name="Accent6 2" xfId="97"/>
    <cellStyle name="Accent6 3" xfId="42"/>
    <cellStyle name="Bad" xfId="128" builtinId="27" customBuiltin="1"/>
    <cellStyle name="Bad 2" xfId="66"/>
    <cellStyle name="Bad 3" xfId="11"/>
    <cellStyle name="Calculation" xfId="131" builtinId="22" customBuiltin="1"/>
    <cellStyle name="Calculation 2" xfId="70"/>
    <cellStyle name="Calculation 3" xfId="15"/>
    <cellStyle name="Check Cell" xfId="133" builtinId="23" customBuiltin="1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" xfId="136" builtinId="53" customBuiltin="1"/>
    <cellStyle name="Explanatory Text 2" xfId="75"/>
    <cellStyle name="Explanatory Text 3" xfId="20"/>
    <cellStyle name="Good" xfId="127" builtinId="26" customBuiltin="1"/>
    <cellStyle name="Good 2" xfId="65"/>
    <cellStyle name="Good 3" xfId="10"/>
    <cellStyle name="Heading 1" xfId="123" builtinId="16" customBuiltin="1"/>
    <cellStyle name="Heading 1 2" xfId="61"/>
    <cellStyle name="Heading 1 3" xfId="6"/>
    <cellStyle name="Heading 2" xfId="124" builtinId="17" customBuiltin="1"/>
    <cellStyle name="Heading 2 2" xfId="62"/>
    <cellStyle name="Heading 2 3" xfId="7"/>
    <cellStyle name="Heading 3" xfId="125" builtinId="18" customBuiltin="1"/>
    <cellStyle name="Heading 3 2" xfId="63"/>
    <cellStyle name="Heading 3 3" xfId="8"/>
    <cellStyle name="Heading 4" xfId="126" builtinId="19" customBuiltin="1"/>
    <cellStyle name="Heading 4 2" xfId="64"/>
    <cellStyle name="Heading 4 3" xfId="9"/>
    <cellStyle name="Hyperlink" xfId="49" builtinId="8"/>
    <cellStyle name="Hyperlink 2" xfId="53"/>
    <cellStyle name="Input" xfId="129" builtinId="20" customBuiltin="1"/>
    <cellStyle name="Input 2" xfId="68"/>
    <cellStyle name="Input 3" xfId="13"/>
    <cellStyle name="Linked Cell" xfId="132" builtinId="24" customBuiltin="1"/>
    <cellStyle name="Linked Cell 2" xfId="71"/>
    <cellStyle name="Linked Cell 3" xfId="16"/>
    <cellStyle name="Neutral" xfId="120" builtinId="28" customBuiltin="1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" xfId="135" builtinId="10" customBuiltin="1"/>
    <cellStyle name="Note 2" xfId="48"/>
    <cellStyle name="Note 3" xfId="74"/>
    <cellStyle name="Note 4" xfId="19"/>
    <cellStyle name="Output" xfId="130" builtinId="21" customBuiltin="1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" xfId="137" builtinId="25" customBuiltin="1"/>
    <cellStyle name="Total 2" xfId="76"/>
    <cellStyle name="Total 3" xfId="21"/>
    <cellStyle name="Warning Text" xfId="134" builtinId="11" customBuiltin="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workbookViewId="0">
      <selection activeCell="N20" sqref="N20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  <col min="12" max="12" width="11.28515625" bestFit="1" customWidth="1"/>
    <col min="13" max="13" width="11.42578125" bestFit="1" customWidth="1"/>
    <col min="14" max="14" width="11.28515625" bestFit="1" customWidth="1"/>
    <col min="15" max="15" width="11.42578125" bestFit="1" customWidth="1"/>
  </cols>
  <sheetData>
    <row r="1" spans="1:15" ht="15.75" customHeight="1" thickBot="1" x14ac:dyDescent="0.3">
      <c r="A1" s="44" t="s">
        <v>0</v>
      </c>
      <c r="B1" s="42" t="s">
        <v>31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5" ht="15" customHeight="1" x14ac:dyDescent="0.25">
      <c r="A2" s="45"/>
      <c r="B2" s="38" t="s">
        <v>25</v>
      </c>
      <c r="C2" s="39"/>
      <c r="D2" s="38" t="s">
        <v>26</v>
      </c>
      <c r="E2" s="39"/>
      <c r="F2" s="38" t="s">
        <v>27</v>
      </c>
      <c r="G2" s="39"/>
      <c r="H2" s="38" t="s">
        <v>28</v>
      </c>
      <c r="I2" s="39"/>
      <c r="J2" s="38" t="s">
        <v>29</v>
      </c>
      <c r="K2" s="39"/>
      <c r="L2" s="38" t="s">
        <v>32</v>
      </c>
      <c r="M2" s="39"/>
      <c r="N2" s="38" t="s">
        <v>33</v>
      </c>
      <c r="O2" s="39"/>
    </row>
    <row r="3" spans="1:15" ht="15.75" customHeight="1" x14ac:dyDescent="0.25">
      <c r="A3" s="18" t="s">
        <v>1</v>
      </c>
      <c r="B3" s="22" t="s">
        <v>30</v>
      </c>
      <c r="C3" s="11" t="s">
        <v>2</v>
      </c>
      <c r="D3" s="22" t="s">
        <v>30</v>
      </c>
      <c r="E3" s="11" t="s">
        <v>2</v>
      </c>
      <c r="F3" s="22" t="s">
        <v>30</v>
      </c>
      <c r="G3" s="11" t="s">
        <v>2</v>
      </c>
      <c r="H3" s="22" t="s">
        <v>30</v>
      </c>
      <c r="I3" s="11" t="s">
        <v>2</v>
      </c>
      <c r="J3" s="22" t="s">
        <v>30</v>
      </c>
      <c r="K3" s="11" t="s">
        <v>2</v>
      </c>
      <c r="L3" s="35" t="s">
        <v>30</v>
      </c>
      <c r="M3" s="32" t="s">
        <v>2</v>
      </c>
      <c r="N3" s="46" t="s">
        <v>30</v>
      </c>
      <c r="O3" s="47" t="s">
        <v>2</v>
      </c>
    </row>
    <row r="4" spans="1:15" ht="15.75" customHeight="1" x14ac:dyDescent="0.25">
      <c r="A4" s="21" t="s">
        <v>3</v>
      </c>
      <c r="B4" s="8">
        <v>279</v>
      </c>
      <c r="C4" s="26">
        <v>0.60573476702508966</v>
      </c>
      <c r="D4" s="8">
        <v>571</v>
      </c>
      <c r="E4" s="26">
        <v>0.73905429071803852</v>
      </c>
      <c r="F4" s="8">
        <v>685</v>
      </c>
      <c r="G4" s="26">
        <v>0.77956204379562044</v>
      </c>
      <c r="H4" s="8">
        <v>541</v>
      </c>
      <c r="I4" s="26">
        <v>0.74121996303142335</v>
      </c>
      <c r="J4" s="8">
        <v>436</v>
      </c>
      <c r="K4" s="26">
        <v>0.75458715596330272</v>
      </c>
      <c r="L4" s="30">
        <v>412</v>
      </c>
      <c r="M4" s="28">
        <v>0.72089999999999999</v>
      </c>
      <c r="N4" s="30">
        <v>384</v>
      </c>
      <c r="O4" s="28">
        <v>0.69010416666666663</v>
      </c>
    </row>
    <row r="5" spans="1:15" x14ac:dyDescent="0.25">
      <c r="A5" s="21" t="s">
        <v>4</v>
      </c>
      <c r="B5" s="8">
        <v>187</v>
      </c>
      <c r="C5" s="26">
        <v>0.52406417112299464</v>
      </c>
      <c r="D5" s="8">
        <v>319</v>
      </c>
      <c r="E5" s="26">
        <v>0.77429467084639503</v>
      </c>
      <c r="F5" s="8">
        <v>387</v>
      </c>
      <c r="G5" s="26">
        <v>0.68992248062015504</v>
      </c>
      <c r="H5" s="8">
        <v>289</v>
      </c>
      <c r="I5" s="26">
        <v>0.74740484429065746</v>
      </c>
      <c r="J5" s="8">
        <v>283</v>
      </c>
      <c r="K5" s="26">
        <v>0.66077738515901063</v>
      </c>
      <c r="L5" s="30">
        <v>307</v>
      </c>
      <c r="M5" s="28">
        <v>0.63519999999999999</v>
      </c>
      <c r="N5" s="30">
        <v>249</v>
      </c>
      <c r="O5" s="28">
        <v>0.60642570281124497</v>
      </c>
    </row>
    <row r="6" spans="1:15" x14ac:dyDescent="0.25">
      <c r="A6" s="21" t="s">
        <v>5</v>
      </c>
      <c r="B6" s="8">
        <v>4</v>
      </c>
      <c r="C6" s="26">
        <v>0.75</v>
      </c>
      <c r="D6" s="8">
        <v>13</v>
      </c>
      <c r="E6" s="26">
        <v>0.84615384615384615</v>
      </c>
      <c r="F6" s="8">
        <v>5</v>
      </c>
      <c r="G6" s="26">
        <v>1</v>
      </c>
      <c r="H6" s="8">
        <v>7</v>
      </c>
      <c r="I6" s="26">
        <v>0.7142857142857143</v>
      </c>
      <c r="J6" s="8">
        <v>6</v>
      </c>
      <c r="K6" s="26">
        <v>0.66666666666666663</v>
      </c>
      <c r="L6" s="30">
        <v>3</v>
      </c>
      <c r="M6" s="28">
        <v>0.66669999999999996</v>
      </c>
      <c r="N6" s="30">
        <v>4</v>
      </c>
      <c r="O6" s="28">
        <v>0.25</v>
      </c>
    </row>
    <row r="7" spans="1:15" x14ac:dyDescent="0.25">
      <c r="A7" s="6" t="s">
        <v>23</v>
      </c>
      <c r="B7" s="8">
        <v>470</v>
      </c>
      <c r="C7" s="26">
        <v>0.57446808510638303</v>
      </c>
      <c r="D7" s="8">
        <v>903</v>
      </c>
      <c r="E7" s="26">
        <v>0.75304540420819488</v>
      </c>
      <c r="F7" s="8">
        <v>1077</v>
      </c>
      <c r="G7" s="26">
        <v>0.74837511606313833</v>
      </c>
      <c r="H7" s="8">
        <v>837</v>
      </c>
      <c r="I7" s="26">
        <v>0.7431302270011948</v>
      </c>
      <c r="J7" s="8">
        <v>725</v>
      </c>
      <c r="K7" s="26">
        <v>0.71724137931034482</v>
      </c>
      <c r="L7" s="30">
        <v>722</v>
      </c>
      <c r="M7" s="28">
        <v>0.68420000000000003</v>
      </c>
      <c r="N7" s="30">
        <v>637</v>
      </c>
      <c r="O7" s="28">
        <v>0.65463108320251173</v>
      </c>
    </row>
    <row r="8" spans="1:15" ht="15.75" thickBot="1" x14ac:dyDescent="0.3">
      <c r="A8" s="7"/>
      <c r="B8" s="40" t="str">
        <f>B2</f>
        <v>AY07-08</v>
      </c>
      <c r="C8" s="41"/>
      <c r="D8" s="40" t="str">
        <f t="shared" ref="D8" si="0">D2</f>
        <v>AY08-09</v>
      </c>
      <c r="E8" s="41"/>
      <c r="F8" s="40" t="str">
        <f t="shared" ref="F8" si="1">F2</f>
        <v>AY09-10</v>
      </c>
      <c r="G8" s="41"/>
      <c r="H8" s="40" t="str">
        <f t="shared" ref="H8" si="2">H2</f>
        <v>AY10-11</v>
      </c>
      <c r="I8" s="41"/>
      <c r="J8" s="40" t="str">
        <f t="shared" ref="J8" si="3">J2</f>
        <v>AY11-12</v>
      </c>
      <c r="K8" s="41"/>
      <c r="L8" s="40" t="s">
        <v>32</v>
      </c>
      <c r="M8" s="41"/>
      <c r="N8" s="40" t="s">
        <v>33</v>
      </c>
      <c r="O8" s="41"/>
    </row>
    <row r="9" spans="1:15" ht="15.75" thickBot="1" x14ac:dyDescent="0.3">
      <c r="A9" s="12" t="s">
        <v>6</v>
      </c>
      <c r="B9" s="20" t="s">
        <v>30</v>
      </c>
      <c r="C9" s="17" t="s">
        <v>2</v>
      </c>
      <c r="D9" s="20" t="s">
        <v>30</v>
      </c>
      <c r="E9" s="17" t="s">
        <v>2</v>
      </c>
      <c r="F9" s="20" t="s">
        <v>30</v>
      </c>
      <c r="G9" s="17" t="s">
        <v>2</v>
      </c>
      <c r="H9" s="20" t="s">
        <v>30</v>
      </c>
      <c r="I9" s="17" t="s">
        <v>2</v>
      </c>
      <c r="J9" s="20" t="s">
        <v>30</v>
      </c>
      <c r="K9" s="17" t="s">
        <v>2</v>
      </c>
      <c r="L9" s="35" t="s">
        <v>30</v>
      </c>
      <c r="M9" s="32" t="s">
        <v>2</v>
      </c>
      <c r="N9" s="46" t="s">
        <v>30</v>
      </c>
      <c r="O9" s="47" t="s">
        <v>2</v>
      </c>
    </row>
    <row r="10" spans="1:15" x14ac:dyDescent="0.25">
      <c r="A10" s="19" t="s">
        <v>7</v>
      </c>
      <c r="B10" s="8">
        <v>244</v>
      </c>
      <c r="C10" s="26">
        <v>0.57786885245901642</v>
      </c>
      <c r="D10" s="8">
        <v>425</v>
      </c>
      <c r="E10" s="26">
        <v>0.78117647058823525</v>
      </c>
      <c r="F10" s="8">
        <v>480</v>
      </c>
      <c r="G10" s="26">
        <v>0.8041666666666667</v>
      </c>
      <c r="H10" s="8">
        <v>360</v>
      </c>
      <c r="I10" s="26">
        <v>0.76111111111111107</v>
      </c>
      <c r="J10" s="8">
        <v>347</v>
      </c>
      <c r="K10" s="26">
        <v>0.75504322766570608</v>
      </c>
      <c r="L10" s="30">
        <v>285</v>
      </c>
      <c r="M10" s="28">
        <v>0.68469999999999998</v>
      </c>
      <c r="N10" s="30">
        <v>239</v>
      </c>
      <c r="O10" s="28">
        <v>0.66945606694560666</v>
      </c>
    </row>
    <row r="11" spans="1:15" x14ac:dyDescent="0.25">
      <c r="A11" s="24" t="s">
        <v>8</v>
      </c>
      <c r="B11" s="8">
        <v>107</v>
      </c>
      <c r="C11" s="26">
        <v>0.60747663551401865</v>
      </c>
      <c r="D11" s="8">
        <v>227</v>
      </c>
      <c r="E11" s="26">
        <v>0.70925110132158586</v>
      </c>
      <c r="F11" s="8">
        <v>293</v>
      </c>
      <c r="G11" s="26">
        <v>0.71672354948805461</v>
      </c>
      <c r="H11" s="8">
        <v>258</v>
      </c>
      <c r="I11" s="26">
        <v>0.70155038759689925</v>
      </c>
      <c r="J11" s="8">
        <v>232</v>
      </c>
      <c r="K11" s="26">
        <v>0.67672413793103448</v>
      </c>
      <c r="L11" s="30">
        <v>279</v>
      </c>
      <c r="M11" s="28">
        <v>0.67379999999999995</v>
      </c>
      <c r="N11" s="30">
        <v>254</v>
      </c>
      <c r="O11" s="28">
        <v>0.6417322834645669</v>
      </c>
    </row>
    <row r="12" spans="1:15" x14ac:dyDescent="0.25">
      <c r="A12" s="23" t="s">
        <v>9</v>
      </c>
      <c r="B12" s="15">
        <v>26</v>
      </c>
      <c r="C12" s="9">
        <v>0.46153846153846156</v>
      </c>
      <c r="D12" s="15">
        <v>80</v>
      </c>
      <c r="E12" s="9">
        <v>0.63749999999999996</v>
      </c>
      <c r="F12" s="15">
        <v>74</v>
      </c>
      <c r="G12" s="9">
        <v>0.56756756756756754</v>
      </c>
      <c r="H12" s="15">
        <v>82</v>
      </c>
      <c r="I12" s="9">
        <v>0.79268292682926833</v>
      </c>
      <c r="J12" s="15">
        <v>31</v>
      </c>
      <c r="K12" s="9">
        <v>0.67741935483870963</v>
      </c>
      <c r="L12" s="33">
        <v>43</v>
      </c>
      <c r="M12" s="31">
        <v>0.69769999999999999</v>
      </c>
      <c r="N12" s="33">
        <v>43</v>
      </c>
      <c r="O12" s="31">
        <v>0.62790697674418605</v>
      </c>
    </row>
    <row r="13" spans="1:15" x14ac:dyDescent="0.25">
      <c r="A13" s="24" t="s">
        <v>10</v>
      </c>
      <c r="B13" s="8">
        <v>14</v>
      </c>
      <c r="C13" s="26">
        <v>0.7857142857142857</v>
      </c>
      <c r="D13" s="8">
        <v>25</v>
      </c>
      <c r="E13" s="26">
        <v>0.84</v>
      </c>
      <c r="F13" s="8">
        <v>24</v>
      </c>
      <c r="G13" s="26">
        <v>0.625</v>
      </c>
      <c r="H13" s="8">
        <v>21</v>
      </c>
      <c r="I13" s="26">
        <v>0.76190476190476186</v>
      </c>
      <c r="J13" s="8">
        <v>13</v>
      </c>
      <c r="K13" s="26">
        <v>0.76923076923076927</v>
      </c>
      <c r="L13" s="30">
        <v>16</v>
      </c>
      <c r="M13" s="28">
        <v>0.8125</v>
      </c>
      <c r="N13" s="30">
        <v>10</v>
      </c>
      <c r="O13" s="28">
        <v>0.8</v>
      </c>
    </row>
    <row r="14" spans="1:15" x14ac:dyDescent="0.25">
      <c r="A14" s="24" t="s">
        <v>11</v>
      </c>
      <c r="B14" s="8">
        <v>6</v>
      </c>
      <c r="C14" s="26">
        <v>0.16666666666666666</v>
      </c>
      <c r="D14" s="8">
        <v>8</v>
      </c>
      <c r="E14" s="26">
        <v>0.875</v>
      </c>
      <c r="F14" s="8">
        <v>6</v>
      </c>
      <c r="G14" s="26">
        <v>1</v>
      </c>
      <c r="H14" s="8">
        <v>4</v>
      </c>
      <c r="I14" s="26">
        <v>0.5</v>
      </c>
      <c r="J14" s="8"/>
      <c r="K14" s="26">
        <v>0</v>
      </c>
      <c r="L14" s="30">
        <v>3</v>
      </c>
      <c r="M14" s="28">
        <v>0.66669999999999996</v>
      </c>
      <c r="N14" s="30">
        <v>2</v>
      </c>
      <c r="O14" s="28">
        <v>0</v>
      </c>
    </row>
    <row r="15" spans="1:15" x14ac:dyDescent="0.25">
      <c r="A15" s="24" t="s">
        <v>12</v>
      </c>
      <c r="B15" s="8">
        <v>30</v>
      </c>
      <c r="C15" s="26">
        <v>0.6</v>
      </c>
      <c r="D15" s="8">
        <v>59</v>
      </c>
      <c r="E15" s="26">
        <v>0.76271186440677963</v>
      </c>
      <c r="F15" s="8">
        <v>70</v>
      </c>
      <c r="G15" s="26">
        <v>0.7142857142857143</v>
      </c>
      <c r="H15" s="8">
        <v>34</v>
      </c>
      <c r="I15" s="26">
        <v>0.8529411764705882</v>
      </c>
      <c r="J15" s="8">
        <v>20</v>
      </c>
      <c r="K15" s="26">
        <v>0.85</v>
      </c>
      <c r="L15" s="30">
        <v>27</v>
      </c>
      <c r="M15" s="28">
        <v>0.57140000000000002</v>
      </c>
      <c r="N15" s="30">
        <v>22</v>
      </c>
      <c r="O15" s="28">
        <v>0.77272727272727271</v>
      </c>
    </row>
    <row r="16" spans="1:15" x14ac:dyDescent="0.25">
      <c r="A16" s="24" t="s">
        <v>13</v>
      </c>
      <c r="B16" s="8">
        <v>4</v>
      </c>
      <c r="C16" s="26">
        <v>0.25</v>
      </c>
      <c r="D16" s="8">
        <v>8</v>
      </c>
      <c r="E16" s="26">
        <v>1</v>
      </c>
      <c r="F16" s="8">
        <v>11</v>
      </c>
      <c r="G16" s="26">
        <v>0.72727272727272729</v>
      </c>
      <c r="H16" s="8">
        <v>5</v>
      </c>
      <c r="I16" s="26">
        <v>0.6</v>
      </c>
      <c r="J16" s="8">
        <v>4</v>
      </c>
      <c r="K16" s="26">
        <v>0.5</v>
      </c>
      <c r="L16" s="30">
        <v>1</v>
      </c>
      <c r="M16" s="28">
        <v>1</v>
      </c>
      <c r="N16" s="30">
        <v>4</v>
      </c>
      <c r="O16" s="28">
        <v>0.75</v>
      </c>
    </row>
    <row r="17" spans="1:15" x14ac:dyDescent="0.25">
      <c r="A17" s="24" t="s">
        <v>14</v>
      </c>
      <c r="B17" s="8">
        <v>4</v>
      </c>
      <c r="C17" s="26">
        <v>0.5</v>
      </c>
      <c r="D17" s="8">
        <v>13</v>
      </c>
      <c r="E17" s="26">
        <v>0.92310000000000003</v>
      </c>
      <c r="F17" s="8">
        <v>33</v>
      </c>
      <c r="G17" s="26">
        <v>0.78790000000000004</v>
      </c>
      <c r="H17" s="8">
        <v>30</v>
      </c>
      <c r="I17" s="26">
        <v>0.7</v>
      </c>
      <c r="J17" s="8">
        <v>50</v>
      </c>
      <c r="K17" s="26">
        <v>0.72</v>
      </c>
      <c r="L17" s="30">
        <v>54</v>
      </c>
      <c r="M17" s="28">
        <v>0.70369999999999999</v>
      </c>
      <c r="N17" s="30">
        <v>56</v>
      </c>
      <c r="O17" s="28">
        <v>0.6428571428571429</v>
      </c>
    </row>
    <row r="18" spans="1:15" ht="15.75" thickBot="1" x14ac:dyDescent="0.3">
      <c r="A18" s="25" t="s">
        <v>5</v>
      </c>
      <c r="B18" s="8">
        <v>35</v>
      </c>
      <c r="C18" s="26">
        <v>0.6</v>
      </c>
      <c r="D18" s="8">
        <v>58</v>
      </c>
      <c r="E18" s="26">
        <v>0.74137931034482762</v>
      </c>
      <c r="F18" s="8">
        <v>86</v>
      </c>
      <c r="G18" s="26">
        <v>0.73255813953488369</v>
      </c>
      <c r="H18" s="8">
        <v>43</v>
      </c>
      <c r="I18" s="26">
        <v>0.72093023255813948</v>
      </c>
      <c r="J18" s="8">
        <v>28</v>
      </c>
      <c r="K18" s="26">
        <v>0.5357142857142857</v>
      </c>
      <c r="L18" s="30">
        <v>13</v>
      </c>
      <c r="M18" s="28">
        <v>0.61539999999999995</v>
      </c>
      <c r="N18" s="30">
        <v>7</v>
      </c>
      <c r="O18" s="28">
        <v>0.42857142857142855</v>
      </c>
    </row>
    <row r="19" spans="1:15" ht="15.75" thickBot="1" x14ac:dyDescent="0.3">
      <c r="A19" s="10"/>
      <c r="B19" s="36" t="str">
        <f>B8</f>
        <v>AY07-08</v>
      </c>
      <c r="C19" s="37"/>
      <c r="D19" s="36" t="str">
        <f t="shared" ref="D19" si="4">D8</f>
        <v>AY08-09</v>
      </c>
      <c r="E19" s="37"/>
      <c r="F19" s="36" t="str">
        <f t="shared" ref="F19" si="5">F8</f>
        <v>AY09-10</v>
      </c>
      <c r="G19" s="37"/>
      <c r="H19" s="36" t="str">
        <f t="shared" ref="H19" si="6">H8</f>
        <v>AY10-11</v>
      </c>
      <c r="I19" s="37"/>
      <c r="J19" s="36" t="str">
        <f t="shared" ref="J19" si="7">J8</f>
        <v>AY11-12</v>
      </c>
      <c r="K19" s="37"/>
      <c r="L19" s="36" t="s">
        <v>32</v>
      </c>
      <c r="M19" s="37"/>
      <c r="N19" s="36" t="s">
        <v>33</v>
      </c>
      <c r="O19" s="37"/>
    </row>
    <row r="20" spans="1:15" ht="15.75" thickBot="1" x14ac:dyDescent="0.3">
      <c r="A20" s="5" t="s">
        <v>15</v>
      </c>
      <c r="B20" s="20" t="s">
        <v>30</v>
      </c>
      <c r="C20" s="17" t="s">
        <v>2</v>
      </c>
      <c r="D20" s="20" t="s">
        <v>30</v>
      </c>
      <c r="E20" s="17" t="s">
        <v>2</v>
      </c>
      <c r="F20" s="20" t="s">
        <v>30</v>
      </c>
      <c r="G20" s="17" t="s">
        <v>2</v>
      </c>
      <c r="H20" s="20" t="s">
        <v>30</v>
      </c>
      <c r="I20" s="17" t="s">
        <v>2</v>
      </c>
      <c r="J20" s="20" t="s">
        <v>30</v>
      </c>
      <c r="K20" s="17" t="s">
        <v>2</v>
      </c>
      <c r="L20" s="35" t="s">
        <v>30</v>
      </c>
      <c r="M20" s="32" t="s">
        <v>2</v>
      </c>
      <c r="N20" s="46" t="s">
        <v>30</v>
      </c>
      <c r="O20" s="47" t="s">
        <v>2</v>
      </c>
    </row>
    <row r="21" spans="1:15" x14ac:dyDescent="0.25">
      <c r="A21" s="13" t="s">
        <v>16</v>
      </c>
      <c r="B21" s="8">
        <v>21</v>
      </c>
      <c r="C21" s="26">
        <v>0.7142857142857143</v>
      </c>
      <c r="D21" s="8">
        <v>26</v>
      </c>
      <c r="E21" s="26">
        <v>0.80769230769230771</v>
      </c>
      <c r="F21" s="8">
        <v>15</v>
      </c>
      <c r="G21" s="26">
        <v>0.8</v>
      </c>
      <c r="H21" s="8">
        <v>14</v>
      </c>
      <c r="I21" s="26">
        <v>0.9285714285714286</v>
      </c>
      <c r="J21" s="8">
        <v>5</v>
      </c>
      <c r="K21" s="26">
        <v>0.8</v>
      </c>
      <c r="L21" s="30">
        <v>14</v>
      </c>
      <c r="M21" s="28">
        <v>0.85709999999999997</v>
      </c>
      <c r="N21" s="30">
        <v>14</v>
      </c>
      <c r="O21" s="28">
        <v>0.6428571428571429</v>
      </c>
    </row>
    <row r="22" spans="1:15" x14ac:dyDescent="0.25">
      <c r="A22" s="14" t="s">
        <v>17</v>
      </c>
      <c r="B22" s="8">
        <v>186</v>
      </c>
      <c r="C22" s="26">
        <v>0.54838709677419351</v>
      </c>
      <c r="D22" s="8">
        <v>328</v>
      </c>
      <c r="E22" s="26">
        <v>0.72865853658536583</v>
      </c>
      <c r="F22" s="8">
        <v>344</v>
      </c>
      <c r="G22" s="26">
        <v>0.68023255813953487</v>
      </c>
      <c r="H22" s="8">
        <v>231</v>
      </c>
      <c r="I22" s="26">
        <v>0.7186147186147186</v>
      </c>
      <c r="J22" s="8">
        <v>260</v>
      </c>
      <c r="K22" s="26">
        <v>0.74230769230769234</v>
      </c>
      <c r="L22" s="30">
        <v>288</v>
      </c>
      <c r="M22" s="28">
        <v>0.70140000000000002</v>
      </c>
      <c r="N22" s="30">
        <v>221</v>
      </c>
      <c r="O22" s="28">
        <v>0.66968325791855199</v>
      </c>
    </row>
    <row r="23" spans="1:15" x14ac:dyDescent="0.25">
      <c r="A23" s="14" t="s">
        <v>18</v>
      </c>
      <c r="B23" s="8">
        <v>136</v>
      </c>
      <c r="C23" s="26">
        <v>0.52941176470588236</v>
      </c>
      <c r="D23" s="8">
        <v>245</v>
      </c>
      <c r="E23" s="26">
        <v>0.73061224489795917</v>
      </c>
      <c r="F23" s="8">
        <v>269</v>
      </c>
      <c r="G23" s="26">
        <v>0.75836431226765799</v>
      </c>
      <c r="H23" s="8">
        <v>247</v>
      </c>
      <c r="I23" s="26">
        <v>0.72874493927125505</v>
      </c>
      <c r="J23" s="8">
        <v>224</v>
      </c>
      <c r="K23" s="26">
        <v>0.6741071428571429</v>
      </c>
      <c r="L23" s="30">
        <v>239</v>
      </c>
      <c r="M23" s="28">
        <v>0.6109</v>
      </c>
      <c r="N23" s="30">
        <v>219</v>
      </c>
      <c r="O23" s="28">
        <v>0.63926940639269403</v>
      </c>
    </row>
    <row r="24" spans="1:15" x14ac:dyDescent="0.25">
      <c r="A24" s="14" t="s">
        <v>19</v>
      </c>
      <c r="B24" s="8">
        <v>36</v>
      </c>
      <c r="C24" s="26">
        <v>0.61111111111111116</v>
      </c>
      <c r="D24" s="8">
        <v>81</v>
      </c>
      <c r="E24" s="26">
        <v>0.77777777777777779</v>
      </c>
      <c r="F24" s="8">
        <v>115</v>
      </c>
      <c r="G24" s="26">
        <v>0.75652173913043474</v>
      </c>
      <c r="H24" s="8">
        <v>112</v>
      </c>
      <c r="I24" s="26">
        <v>0.75</v>
      </c>
      <c r="J24" s="8">
        <v>84</v>
      </c>
      <c r="K24" s="26">
        <v>0.75</v>
      </c>
      <c r="L24" s="30">
        <v>66</v>
      </c>
      <c r="M24" s="28">
        <v>0.74239999999999995</v>
      </c>
      <c r="N24" s="30">
        <v>79</v>
      </c>
      <c r="O24" s="28">
        <v>0.68354430379746833</v>
      </c>
    </row>
    <row r="25" spans="1:15" x14ac:dyDescent="0.25">
      <c r="A25" s="14" t="s">
        <v>20</v>
      </c>
      <c r="B25" s="8">
        <v>27</v>
      </c>
      <c r="C25" s="26">
        <v>0.51851851851851849</v>
      </c>
      <c r="D25" s="8">
        <v>54</v>
      </c>
      <c r="E25" s="26">
        <v>0.88888888888888884</v>
      </c>
      <c r="F25" s="8">
        <v>60</v>
      </c>
      <c r="G25" s="26">
        <v>0.73333333333333328</v>
      </c>
      <c r="H25" s="8">
        <v>49</v>
      </c>
      <c r="I25" s="26">
        <v>0.7142857142857143</v>
      </c>
      <c r="J25" s="8">
        <v>45</v>
      </c>
      <c r="K25" s="26">
        <v>0.68888888888888888</v>
      </c>
      <c r="L25" s="30">
        <v>42</v>
      </c>
      <c r="M25" s="28">
        <v>0.76190000000000002</v>
      </c>
      <c r="N25" s="30">
        <v>44</v>
      </c>
      <c r="O25" s="28">
        <v>0.63636363636363635</v>
      </c>
    </row>
    <row r="26" spans="1:15" x14ac:dyDescent="0.25">
      <c r="A26" s="14" t="s">
        <v>21</v>
      </c>
      <c r="B26" s="8">
        <v>29</v>
      </c>
      <c r="C26" s="26">
        <v>0.68965517241379315</v>
      </c>
      <c r="D26" s="8">
        <v>75</v>
      </c>
      <c r="E26" s="26">
        <v>0.82666666666666666</v>
      </c>
      <c r="F26" s="8">
        <v>77</v>
      </c>
      <c r="G26" s="26">
        <v>0.68831168831168832</v>
      </c>
      <c r="H26" s="8">
        <v>58</v>
      </c>
      <c r="I26" s="26">
        <v>0.75862068965517238</v>
      </c>
      <c r="J26" s="8">
        <v>35</v>
      </c>
      <c r="K26" s="26">
        <v>0.6</v>
      </c>
      <c r="L26" s="30">
        <v>27</v>
      </c>
      <c r="M26" s="28">
        <v>0.74070000000000003</v>
      </c>
      <c r="N26" s="30">
        <v>25</v>
      </c>
      <c r="O26" s="28">
        <v>0.6</v>
      </c>
    </row>
    <row r="27" spans="1:15" x14ac:dyDescent="0.25">
      <c r="A27" s="4" t="s">
        <v>22</v>
      </c>
      <c r="B27" s="8">
        <v>28</v>
      </c>
      <c r="C27" s="26">
        <v>0.7142857142857143</v>
      </c>
      <c r="D27" s="8">
        <v>67</v>
      </c>
      <c r="E27" s="26">
        <v>0.67164179104477617</v>
      </c>
      <c r="F27" s="8">
        <v>137</v>
      </c>
      <c r="G27" s="26">
        <v>0.85401459854014594</v>
      </c>
      <c r="H27" s="8">
        <v>88</v>
      </c>
      <c r="I27" s="26">
        <v>0.79545454545454541</v>
      </c>
      <c r="J27" s="8">
        <v>53</v>
      </c>
      <c r="K27" s="26">
        <v>0.77358490566037741</v>
      </c>
      <c r="L27" s="30">
        <v>39</v>
      </c>
      <c r="M27" s="28">
        <v>0.76919999999999999</v>
      </c>
      <c r="N27" s="30">
        <v>28</v>
      </c>
      <c r="O27" s="28">
        <v>0.6428571428571429</v>
      </c>
    </row>
    <row r="28" spans="1:15" x14ac:dyDescent="0.25">
      <c r="A28" s="4" t="s">
        <v>24</v>
      </c>
      <c r="B28" s="8">
        <v>7</v>
      </c>
      <c r="C28" s="26">
        <v>0.7142857142857143</v>
      </c>
      <c r="D28" s="8">
        <v>27</v>
      </c>
      <c r="E28" s="26">
        <v>0.85185185185185186</v>
      </c>
      <c r="F28" s="8">
        <v>60</v>
      </c>
      <c r="G28" s="26">
        <v>0.91666666666666663</v>
      </c>
      <c r="H28" s="8">
        <v>38</v>
      </c>
      <c r="I28" s="26">
        <v>0.78947368421052633</v>
      </c>
      <c r="J28" s="8">
        <v>19</v>
      </c>
      <c r="K28" s="26">
        <v>0.84210526315789469</v>
      </c>
      <c r="L28" s="30">
        <v>7</v>
      </c>
      <c r="M28" s="28">
        <v>0.42859999999999998</v>
      </c>
      <c r="N28" s="30">
        <v>7</v>
      </c>
      <c r="O28" s="28">
        <v>0.7142857142857143</v>
      </c>
    </row>
    <row r="29" spans="1:15" ht="15.75" thickBot="1" x14ac:dyDescent="0.3">
      <c r="A29" s="25" t="s">
        <v>5</v>
      </c>
      <c r="B29" s="16"/>
      <c r="C29" s="27">
        <v>0</v>
      </c>
      <c r="D29" s="16"/>
      <c r="E29" s="27">
        <v>0</v>
      </c>
      <c r="F29" s="16"/>
      <c r="G29" s="27">
        <v>0</v>
      </c>
      <c r="H29" s="16"/>
      <c r="I29" s="27">
        <v>0</v>
      </c>
      <c r="J29" s="16"/>
      <c r="K29" s="27">
        <v>0</v>
      </c>
      <c r="L29" s="34"/>
      <c r="M29" s="29"/>
      <c r="N29" s="34"/>
      <c r="O29" s="29"/>
    </row>
    <row r="30" spans="1:15" x14ac:dyDescent="0.25">
      <c r="A30" s="1"/>
      <c r="B30" s="1"/>
      <c r="C30" s="3"/>
      <c r="D30" s="3"/>
      <c r="E30" s="3"/>
      <c r="F30" s="3"/>
      <c r="G30" s="3"/>
      <c r="H30" s="3"/>
      <c r="I30" s="3"/>
      <c r="J30" s="3"/>
      <c r="K30" s="3"/>
    </row>
    <row r="31" spans="1:15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</sheetData>
  <mergeCells count="23">
    <mergeCell ref="D19:E19"/>
    <mergeCell ref="F19:G19"/>
    <mergeCell ref="H19:I19"/>
    <mergeCell ref="J19:K19"/>
    <mergeCell ref="N2:O2"/>
    <mergeCell ref="N8:O8"/>
    <mergeCell ref="N19:O19"/>
    <mergeCell ref="L19:M19"/>
    <mergeCell ref="L2:M2"/>
    <mergeCell ref="L8:M8"/>
    <mergeCell ref="B1:M1"/>
    <mergeCell ref="A1:A2"/>
    <mergeCell ref="B2:C2"/>
    <mergeCell ref="D2:E2"/>
    <mergeCell ref="F2:G2"/>
    <mergeCell ref="H2:I2"/>
    <mergeCell ref="J2:K2"/>
    <mergeCell ref="B8:C8"/>
    <mergeCell ref="D8:E8"/>
    <mergeCell ref="F8:G8"/>
    <mergeCell ref="H8:I8"/>
    <mergeCell ref="J8:K8"/>
    <mergeCell ref="B19:C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F0C56F0-4B89-4FE9-9F44-817D2B7192C4}">
  <ds:schemaRefs>
    <ds:schemaRef ds:uri="http://schemas.microsoft.com/office/2006/metadata/properties"/>
    <ds:schemaRef ds:uri="http://purl.org/dc/terms/"/>
    <ds:schemaRef ds:uri="http://www.w3.org/XML/1998/namespace"/>
    <ds:schemaRef ds:uri="http://purl.org/dc/dcmitype/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TEC Credit Success Rates (DEV)</dc:title>
  <dc:creator>nmesaris</dc:creator>
  <cp:lastModifiedBy>Wesley Klein</cp:lastModifiedBy>
  <dcterms:created xsi:type="dcterms:W3CDTF">2012-06-05T22:10:59Z</dcterms:created>
  <dcterms:modified xsi:type="dcterms:W3CDTF">2014-07-23T21:43:56Z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