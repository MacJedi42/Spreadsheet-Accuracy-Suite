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7100" windowHeight="9600"/>
  </bookViews>
  <sheets>
    <sheet name="Petty Cash Declaration" sheetId="1" r:id="rId1"/>
    <sheet name="Worksheet" sheetId="2" state="hidden" r:id="rId2"/>
  </sheets>
  <definedNames>
    <definedName name="_xlnm.Print_Area" localSheetId="0">'Petty Cash Declaration'!$A$1:$H$44</definedName>
  </definedNames>
  <calcPr calcId="125725"/>
</workbook>
</file>

<file path=xl/calcChain.xml><?xml version="1.0" encoding="utf-8"?>
<calcChain xmlns="http://schemas.openxmlformats.org/spreadsheetml/2006/main">
  <c r="C64" i="2"/>
  <c r="D54"/>
  <c r="D9"/>
  <c r="D64" l="1"/>
  <c r="D66" s="1"/>
  <c r="G25" i="1" l="1"/>
  <c r="G34"/>
  <c r="G35"/>
  <c r="E36"/>
  <c r="G36" s="1"/>
  <c r="G26"/>
  <c r="G18"/>
  <c r="G19" s="1"/>
  <c r="G37" s="1"/>
</calcChain>
</file>

<file path=xl/comments1.xml><?xml version="1.0" encoding="utf-8"?>
<comments xmlns="http://schemas.openxmlformats.org/spreadsheetml/2006/main">
  <authors>
    <author>reimannm</author>
  </authors>
  <commentList>
    <comment ref="G15" authorId="0">
      <text>
        <r>
          <rPr>
            <b/>
            <sz val="8"/>
            <color indexed="81"/>
            <rFont val="Tahoma"/>
            <family val="2"/>
          </rPr>
          <t>reimannm:</t>
        </r>
        <r>
          <rPr>
            <sz val="8"/>
            <color indexed="81"/>
            <rFont val="Tahoma"/>
            <family val="2"/>
          </rPr>
          <t xml:space="preserve">
This is the total of the approved float for your department - confirmed by email from Manager, Financial Reporting.</t>
        </r>
      </text>
    </comment>
    <comment ref="G20" authorId="0">
      <text>
        <r>
          <rPr>
            <b/>
            <sz val="8"/>
            <color indexed="81"/>
            <rFont val="Tahoma"/>
            <family val="2"/>
          </rPr>
          <t>reimannm:</t>
        </r>
        <r>
          <rPr>
            <sz val="8"/>
            <color indexed="81"/>
            <rFont val="Tahoma"/>
            <family val="2"/>
          </rPr>
          <t xml:space="preserve">
This is the total of the approved cash register float (if applicable) for your department - confrimed by email from Manager, Financial Reporting.</t>
        </r>
      </text>
    </comment>
    <comment ref="G27" authorId="0">
      <text>
        <r>
          <rPr>
            <b/>
            <sz val="8"/>
            <color indexed="81"/>
            <rFont val="Tahoma"/>
            <family val="2"/>
          </rPr>
          <t>reimannm:</t>
        </r>
        <r>
          <rPr>
            <sz val="8"/>
            <color indexed="81"/>
            <rFont val="Tahoma"/>
            <family val="2"/>
          </rPr>
          <t xml:space="preserve">
This is the total of any other cash float that your department maintains - confirmed by email from Manager, Financial Reporting.</t>
        </r>
      </text>
    </comment>
  </commentList>
</comments>
</file>

<file path=xl/sharedStrings.xml><?xml version="1.0" encoding="utf-8"?>
<sst xmlns="http://schemas.openxmlformats.org/spreadsheetml/2006/main" count="163" uniqueCount="140">
  <si>
    <t>UNIVERSITY OF SOUTHERN QUEENSLAND</t>
  </si>
  <si>
    <t>DEPT ID:</t>
  </si>
  <si>
    <t>DATE:</t>
  </si>
  <si>
    <t>(enter Department name here)</t>
  </si>
  <si>
    <t>On Hand</t>
  </si>
  <si>
    <t>Approved</t>
  </si>
  <si>
    <t>Petty Cash</t>
  </si>
  <si>
    <t>Consisting of:</t>
  </si>
  <si>
    <t xml:space="preserve">      Cash on Hand</t>
  </si>
  <si>
    <t xml:space="preserve">      Vouchers to be Reimbursed</t>
  </si>
  <si>
    <t>Cash Registers</t>
  </si>
  <si>
    <t xml:space="preserve">      Register 1</t>
  </si>
  <si>
    <t xml:space="preserve">      Register 2</t>
  </si>
  <si>
    <t xml:space="preserve">      Register 3</t>
  </si>
  <si>
    <t xml:space="preserve">      Change Float</t>
  </si>
  <si>
    <t xml:space="preserve">      Collections Not Banked</t>
  </si>
  <si>
    <t>Other Cash Floats</t>
  </si>
  <si>
    <t xml:space="preserve">      Cashier</t>
  </si>
  <si>
    <t xml:space="preserve">      Relief Cashier</t>
  </si>
  <si>
    <t xml:space="preserve">      Emergency Loans</t>
  </si>
  <si>
    <t xml:space="preserve">      English Language Cultural Program</t>
  </si>
  <si>
    <t>TOTAL</t>
  </si>
  <si>
    <t>(Dept ID here)</t>
  </si>
  <si>
    <t xml:space="preserve">      Tickets – Artsworx</t>
  </si>
  <si>
    <t xml:space="preserve">      Candy Bar – Artsworx</t>
  </si>
  <si>
    <t xml:space="preserve">      Programs – Artsworx</t>
  </si>
  <si>
    <t>I hereby certify that the above cash advances are in existence and that cash together with the authorised vouchers are held in accordance with the approved procedures.</t>
  </si>
  <si>
    <t>Signature:</t>
  </si>
  <si>
    <t>Responsible Officer:</t>
  </si>
  <si>
    <t>Position:</t>
  </si>
  <si>
    <t>(type details here)</t>
  </si>
  <si>
    <r>
      <t xml:space="preserve">DEPARTMENT NAME: </t>
    </r>
    <r>
      <rPr>
        <b/>
        <sz val="12"/>
        <color indexed="12"/>
        <rFont val="Trebuchet MS"/>
        <family val="2"/>
      </rPr>
      <t xml:space="preserve"> </t>
    </r>
  </si>
  <si>
    <t>Instructions:</t>
  </si>
  <si>
    <t>1. Enter Dept name and Dept ID in cells D9 and D11 respectively</t>
  </si>
  <si>
    <t>2. Place a cross in the type of float/s you maintain</t>
  </si>
  <si>
    <t>3. Enter the float amount that is approved to you (confimed by</t>
  </si>
  <si>
    <t>email from the Manager, Financial Reporting) in cells G15, G20 and/or G27</t>
  </si>
  <si>
    <t>4. Itemise cash on hand in colum E - this should balance to the approved amount</t>
  </si>
  <si>
    <t>There are check cells that will indicate a variance if one exists</t>
  </si>
  <si>
    <t>Petty Cash Worksheet</t>
  </si>
  <si>
    <t>60502 - Petty Cash/Cash Float</t>
  </si>
  <si>
    <t>Description</t>
  </si>
  <si>
    <t>Float</t>
  </si>
  <si>
    <t>Custodian</t>
  </si>
  <si>
    <t>Comments</t>
  </si>
  <si>
    <t>VC &amp; University Services Divisions</t>
  </si>
  <si>
    <t>VC, DVC (S), COO, SBMI, HR, DVC (GL), CFO, CTO</t>
  </si>
  <si>
    <t>Imelda Logan</t>
  </si>
  <si>
    <t>Tracey Jensen</t>
  </si>
  <si>
    <t>Uni Services (ICT, FM, Multicultural)</t>
  </si>
  <si>
    <t>Vicki Harper</t>
  </si>
  <si>
    <t>Uni Services (ICT, &amp; any other Dept's as required)</t>
  </si>
  <si>
    <t>Linda Harvey</t>
  </si>
  <si>
    <t>Uni Services (ICT)</t>
  </si>
  <si>
    <t>Jenelle Twyford</t>
  </si>
  <si>
    <t>Uni Services (Financial Services)</t>
  </si>
  <si>
    <t>Sue Sternes</t>
  </si>
  <si>
    <t>Uni Services (Finance - Cashier Float)</t>
  </si>
  <si>
    <t>Sue Smith</t>
  </si>
  <si>
    <t>Uni Services (Finance - Imprest)</t>
  </si>
  <si>
    <t>Uni Services (Finance - Cashier 2 Float)</t>
  </si>
  <si>
    <t>Leanne Bentley</t>
  </si>
  <si>
    <t>Uni Services (Finance - Cashier 3 Float)</t>
  </si>
  <si>
    <t>Tanya Stockler</t>
  </si>
  <si>
    <t>Uni Services (FM)</t>
  </si>
  <si>
    <t>Greg Reis</t>
  </si>
  <si>
    <t>Scholarship Division</t>
  </si>
  <si>
    <t>Scholarship Division (FOB)</t>
  </si>
  <si>
    <t>Sharlene Gordon</t>
  </si>
  <si>
    <t>Scholarship Division (FOB, FOA, CAIK)</t>
  </si>
  <si>
    <t>Terri Miller</t>
  </si>
  <si>
    <t>Scholarship Division (FOB, FOS)</t>
  </si>
  <si>
    <t>Bob Coy</t>
  </si>
  <si>
    <t>Scholarship Division (FOES)</t>
  </si>
  <si>
    <t>Lez Seal</t>
  </si>
  <si>
    <t>Scholarship Division (FOES, FOE, FOS)</t>
  </si>
  <si>
    <t>Carolyn McDougall</t>
  </si>
  <si>
    <t>Scholarship Division (FOS)</t>
  </si>
  <si>
    <t>Pam Harris</t>
  </si>
  <si>
    <t>Scholarship Division (FOA)</t>
  </si>
  <si>
    <t>Karen Petersen</t>
  </si>
  <si>
    <t>Scholarship Division (FOA, FOE)</t>
  </si>
  <si>
    <t>Brendan Hohn</t>
  </si>
  <si>
    <t>Scholarship Division (FOE)</t>
  </si>
  <si>
    <t>Ann Ney</t>
  </si>
  <si>
    <t>Vikki Cartwright</t>
  </si>
  <si>
    <t>Lucinda Van Bael</t>
  </si>
  <si>
    <t xml:space="preserve">Office of Research </t>
  </si>
  <si>
    <t>Jodie Parke</t>
  </si>
  <si>
    <t>GL Division</t>
  </si>
  <si>
    <t>GL Division (DAIS, DEC, Lib, LTSU, OAC, LA &amp; SM)</t>
  </si>
  <si>
    <t>David Simons</t>
  </si>
  <si>
    <t>Jenni Thistlewood</t>
  </si>
  <si>
    <t>Suzanne Browning</t>
  </si>
  <si>
    <t>Donna Spratt</t>
  </si>
  <si>
    <t>Non-Finance Float Custodians</t>
  </si>
  <si>
    <t>Artsworx - Performance Centre</t>
  </si>
  <si>
    <t>Sue Pearson</t>
  </si>
  <si>
    <t>Artsworx - McGregor Schools</t>
  </si>
  <si>
    <t>Elizabeth Newbury</t>
  </si>
  <si>
    <t>QCWT</t>
  </si>
  <si>
    <t>Chrissy Mattiazzi</t>
  </si>
  <si>
    <t>Fraser Coast</t>
  </si>
  <si>
    <t>Lisa Aurisch</t>
  </si>
  <si>
    <t>CAIK</t>
  </si>
  <si>
    <t>Ronald Davis</t>
  </si>
  <si>
    <t>Springfield</t>
  </si>
  <si>
    <t>Sandi Newby</t>
  </si>
  <si>
    <t>Springfield Library Register 1</t>
  </si>
  <si>
    <t>Kerrie McLaren/Rae Brown</t>
  </si>
  <si>
    <t>Library</t>
  </si>
  <si>
    <t>Mandy Callow</t>
  </si>
  <si>
    <t>NCEA/CRC</t>
  </si>
  <si>
    <t>Sue Sutherland</t>
  </si>
  <si>
    <t>OAC - Study Tours</t>
  </si>
  <si>
    <t>Soomi Kim</t>
  </si>
  <si>
    <t>USQ Bookshop</t>
  </si>
  <si>
    <t>Noela Nolan</t>
  </si>
  <si>
    <t>USQ Bookshop - Register 1</t>
  </si>
  <si>
    <t>USQ Bookshop - Register 2</t>
  </si>
  <si>
    <t>Fraser Coast Bookshop</t>
  </si>
  <si>
    <t>Residential Colleges</t>
  </si>
  <si>
    <t>Rhonda Broksch</t>
  </si>
  <si>
    <t>McGregor College</t>
  </si>
  <si>
    <t>Steele Rudd College</t>
  </si>
  <si>
    <t>Concannon College</t>
  </si>
  <si>
    <t xml:space="preserve">DeC - Media Services </t>
  </si>
  <si>
    <t>Liza Mattiazzi/Cindy Laine</t>
  </si>
  <si>
    <t>Susan Hannemann</t>
  </si>
  <si>
    <t>Chris Kiepe</t>
  </si>
  <si>
    <t>Closed (secondment)</t>
  </si>
  <si>
    <t>Total Petty Cash &amp; Floats per GL @ 31/12/10</t>
  </si>
  <si>
    <t>for the period ended 31 December 2010</t>
  </si>
  <si>
    <t>CASH ON HAND DECLARATION AS AT 31 DECEMBER</t>
  </si>
  <si>
    <t>31/12/</t>
  </si>
  <si>
    <t>Year</t>
  </si>
  <si>
    <t>Manager (Financial Reporting &amp; Analysis) - Financial &amp; Business Services</t>
  </si>
  <si>
    <t xml:space="preserve">To be completed on the last working day in December and forwarded to </t>
  </si>
  <si>
    <t>Mar 2012</t>
  </si>
  <si>
    <t>Version 1.3</t>
  </si>
</sst>
</file>

<file path=xl/styles.xml><?xml version="1.0" encoding="utf-8"?>
<styleSheet xmlns="http://schemas.openxmlformats.org/spreadsheetml/2006/main">
  <numFmts count="4">
    <numFmt numFmtId="7" formatCode="&quot;$&quot;#,##0.00;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;\(&quot;$&quot;#,##0.00\)"/>
  </numFmts>
  <fonts count="43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Trebuchet MS"/>
      <family val="2"/>
    </font>
    <font>
      <sz val="11"/>
      <color indexed="8"/>
      <name val="Trebuchet MS"/>
      <family val="2"/>
    </font>
    <font>
      <b/>
      <i/>
      <sz val="11"/>
      <name val="Trebuchet MS"/>
      <family val="2"/>
    </font>
    <font>
      <b/>
      <sz val="12"/>
      <name val="Trebuchet MS"/>
      <family val="2"/>
    </font>
    <font>
      <b/>
      <i/>
      <sz val="12"/>
      <color indexed="10"/>
      <name val="Trebuchet MS"/>
      <family val="2"/>
    </font>
    <font>
      <b/>
      <sz val="14"/>
      <name val="Trebuchet MS"/>
      <family val="2"/>
    </font>
    <font>
      <sz val="12"/>
      <name val="Trebuchet MS"/>
      <family val="2"/>
    </font>
    <font>
      <b/>
      <i/>
      <sz val="12"/>
      <name val="Trebuchet MS"/>
      <family val="2"/>
    </font>
    <font>
      <i/>
      <sz val="10"/>
      <name val="Trebuchet MS"/>
      <family val="2"/>
    </font>
    <font>
      <sz val="6"/>
      <name val="Trebuchet MS"/>
      <family val="2"/>
    </font>
    <font>
      <b/>
      <sz val="13"/>
      <name val="Trebuchet MS"/>
      <family val="2"/>
    </font>
    <font>
      <b/>
      <i/>
      <sz val="13"/>
      <name val="Trebuchet MS"/>
      <family val="2"/>
    </font>
    <font>
      <sz val="13"/>
      <name val="Trebuchet MS"/>
      <family val="2"/>
    </font>
    <font>
      <b/>
      <sz val="12"/>
      <color indexed="12"/>
      <name val="Trebuchet MS"/>
      <family val="2"/>
    </font>
    <font>
      <b/>
      <i/>
      <u/>
      <sz val="12"/>
      <name val="Trebuchet MS"/>
      <family val="2"/>
    </font>
    <font>
      <i/>
      <sz val="10"/>
      <color indexed="12"/>
      <name val="Trebuchet MS"/>
      <family val="2"/>
    </font>
    <font>
      <i/>
      <sz val="13"/>
      <color indexed="12"/>
      <name val="Trebuchet MS"/>
      <family val="2"/>
    </font>
    <font>
      <sz val="10"/>
      <color indexed="10"/>
      <name val="Trebuchet MS"/>
      <family val="2"/>
    </font>
    <font>
      <sz val="11"/>
      <color theme="1"/>
      <name val="Calibri"/>
      <family val="2"/>
      <scheme val="minor"/>
    </font>
    <font>
      <b/>
      <sz val="18"/>
      <color rgb="FFFFFF00"/>
      <name val="Trebuchet MS"/>
      <family val="2"/>
    </font>
    <font>
      <sz val="11"/>
      <color rgb="FFFFFF00"/>
      <name val="Trebuchet MS"/>
      <family val="2"/>
    </font>
    <font>
      <sz val="6"/>
      <color rgb="FFFF0000"/>
      <name val="Trebuchet MS"/>
      <family val="2"/>
    </font>
    <font>
      <sz val="10"/>
      <color rgb="FFFF0000"/>
      <name val="Trebuchet MS"/>
      <family val="2"/>
    </font>
    <font>
      <sz val="10"/>
      <color rgb="FFFFFF00"/>
      <name val="Arial"/>
      <family val="2"/>
    </font>
    <font>
      <b/>
      <sz val="10"/>
      <name val="Trebuchet MS"/>
      <family val="2"/>
    </font>
    <font>
      <b/>
      <sz val="12"/>
      <color rgb="FFC00000"/>
      <name val="Trebuchet MS"/>
      <family val="2"/>
    </font>
    <font>
      <i/>
      <sz val="11"/>
      <name val="Trebuchet MS"/>
      <family val="2"/>
    </font>
    <font>
      <b/>
      <u/>
      <sz val="10"/>
      <name val="Trebuchet MS"/>
      <family val="2"/>
    </font>
    <font>
      <b/>
      <i/>
      <u/>
      <sz val="10"/>
      <name val="Trebuchet MS"/>
      <family val="2"/>
    </font>
    <font>
      <b/>
      <sz val="11"/>
      <name val="Trebuchet MS"/>
      <family val="2"/>
    </font>
    <font>
      <i/>
      <sz val="10"/>
      <color rgb="FF0000FF"/>
      <name val="Trebuchet MS"/>
      <family val="2"/>
    </font>
    <font>
      <b/>
      <i/>
      <u/>
      <sz val="12"/>
      <color rgb="FF0000FF"/>
      <name val="Trebuchet MS"/>
      <family val="2"/>
    </font>
    <font>
      <b/>
      <sz val="12"/>
      <color rgb="FF0000FF"/>
      <name val="Trebuchet MS"/>
      <family val="2"/>
    </font>
    <font>
      <b/>
      <i/>
      <sz val="10"/>
      <name val="Trebuchet MS"/>
      <family val="2"/>
    </font>
    <font>
      <sz val="8"/>
      <name val="Trebuchet MS"/>
      <family val="2"/>
    </font>
    <font>
      <b/>
      <i/>
      <sz val="12"/>
      <color rgb="FFFF0000"/>
      <name val="Trebuchet MS"/>
      <family val="2"/>
    </font>
    <font>
      <sz val="8"/>
      <color indexed="8"/>
      <name val="Trebuchet MS"/>
      <family val="2"/>
    </font>
    <font>
      <b/>
      <sz val="14"/>
      <color rgb="FFFFFF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/>
  </cellStyleXfs>
  <cellXfs count="116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2" xfId="0" applyFont="1" applyBorder="1"/>
    <xf numFmtId="0" fontId="5" fillId="0" borderId="0" xfId="0" applyFont="1" applyBorder="1"/>
    <xf numFmtId="0" fontId="11" fillId="0" borderId="0" xfId="0" applyFont="1" applyBorder="1" applyAlignment="1">
      <alignment wrapText="1"/>
    </xf>
    <xf numFmtId="44" fontId="13" fillId="0" borderId="0" xfId="2" applyFont="1" applyBorder="1" applyAlignment="1">
      <alignment wrapText="1"/>
    </xf>
    <xf numFmtId="44" fontId="13" fillId="0" borderId="0" xfId="0" applyNumberFormat="1" applyFont="1" applyBorder="1" applyAlignment="1">
      <alignment wrapText="1"/>
    </xf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  <xf numFmtId="0" fontId="5" fillId="3" borderId="0" xfId="0" applyFont="1" applyFill="1" applyBorder="1"/>
    <xf numFmtId="43" fontId="26" fillId="0" borderId="0" xfId="1" applyFont="1" applyBorder="1" applyAlignment="1">
      <alignment wrapText="1"/>
    </xf>
    <xf numFmtId="43" fontId="27" fillId="0" borderId="0" xfId="1" applyFont="1" applyBorder="1"/>
    <xf numFmtId="0" fontId="6" fillId="0" borderId="0" xfId="0" applyFont="1" applyFill="1" applyBorder="1" applyAlignment="1"/>
    <xf numFmtId="0" fontId="22" fillId="0" borderId="0" xfId="0" applyFont="1" applyFill="1"/>
    <xf numFmtId="0" fontId="22" fillId="0" borderId="0" xfId="0" applyFont="1"/>
    <xf numFmtId="0" fontId="31" fillId="0" borderId="2" xfId="0" applyFont="1" applyBorder="1"/>
    <xf numFmtId="0" fontId="32" fillId="0" borderId="0" xfId="0" applyFont="1" applyBorder="1"/>
    <xf numFmtId="0" fontId="32" fillId="0" borderId="3" xfId="0" applyFont="1" applyBorder="1"/>
    <xf numFmtId="0" fontId="33" fillId="0" borderId="0" xfId="0" applyFont="1" applyFill="1" applyBorder="1"/>
    <xf numFmtId="0" fontId="5" fillId="0" borderId="0" xfId="0" applyFont="1" applyFill="1" applyBorder="1"/>
    <xf numFmtId="164" fontId="5" fillId="0" borderId="0" xfId="0" applyNumberFormat="1" applyFont="1" applyFill="1" applyBorder="1"/>
    <xf numFmtId="0" fontId="13" fillId="0" borderId="0" xfId="0" applyFont="1" applyFill="1" applyBorder="1"/>
    <xf numFmtId="0" fontId="13" fillId="0" borderId="3" xfId="0" applyFont="1" applyFill="1" applyBorder="1"/>
    <xf numFmtId="0" fontId="13" fillId="0" borderId="0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quotePrefix="1" applyFont="1" applyFill="1" applyBorder="1" applyAlignment="1">
      <alignment horizontal="left"/>
    </xf>
    <xf numFmtId="0" fontId="13" fillId="0" borderId="0" xfId="0" quotePrefix="1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quotePrefix="1" applyFont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7" fontId="5" fillId="0" borderId="12" xfId="0" applyNumberFormat="1" applyFont="1" applyBorder="1"/>
    <xf numFmtId="164" fontId="5" fillId="0" borderId="0" xfId="0" applyNumberFormat="1" applyFont="1" applyBorder="1"/>
    <xf numFmtId="0" fontId="34" fillId="0" borderId="2" xfId="0" applyFont="1" applyBorder="1"/>
    <xf numFmtId="0" fontId="29" fillId="0" borderId="0" xfId="0" applyFont="1" applyBorder="1"/>
    <xf numFmtId="164" fontId="29" fillId="0" borderId="0" xfId="0" applyNumberFormat="1" applyFont="1" applyBorder="1"/>
    <xf numFmtId="0" fontId="5" fillId="7" borderId="0" xfId="0" applyFont="1" applyFill="1" applyBorder="1"/>
    <xf numFmtId="164" fontId="5" fillId="7" borderId="0" xfId="0" applyNumberFormat="1" applyFont="1" applyFill="1" applyBorder="1"/>
    <xf numFmtId="0" fontId="13" fillId="7" borderId="0" xfId="0" applyFont="1" applyFill="1" applyBorder="1" applyAlignment="1">
      <alignment horizontal="left"/>
    </xf>
    <xf numFmtId="0" fontId="5" fillId="7" borderId="0" xfId="0" quotePrefix="1" applyFont="1" applyFill="1" applyBorder="1" applyAlignment="1">
      <alignment horizontal="left"/>
    </xf>
    <xf numFmtId="0" fontId="6" fillId="0" borderId="0" xfId="3" applyFont="1" applyBorder="1" applyAlignment="1" applyProtection="1"/>
    <xf numFmtId="0" fontId="5" fillId="0" borderId="0" xfId="0" applyFont="1" applyBorder="1" applyProtection="1"/>
    <xf numFmtId="0" fontId="11" fillId="0" borderId="0" xfId="0" applyFont="1" applyBorder="1" applyAlignment="1" applyProtection="1">
      <alignment vertical="top" wrapText="1"/>
    </xf>
    <xf numFmtId="0" fontId="10" fillId="0" borderId="0" xfId="0" applyFont="1" applyBorder="1" applyAlignment="1" applyProtection="1">
      <alignment wrapText="1"/>
    </xf>
    <xf numFmtId="0" fontId="11" fillId="0" borderId="0" xfId="0" applyFont="1" applyBorder="1" applyAlignment="1" applyProtection="1">
      <alignment wrapText="1"/>
    </xf>
    <xf numFmtId="0" fontId="11" fillId="0" borderId="0" xfId="0" applyFont="1" applyBorder="1" applyAlignment="1" applyProtection="1"/>
    <xf numFmtId="0" fontId="11" fillId="0" borderId="0" xfId="0" applyFont="1" applyBorder="1" applyAlignment="1" applyProtection="1">
      <alignment horizontal="left"/>
    </xf>
    <xf numFmtId="0" fontId="14" fillId="0" borderId="0" xfId="0" applyFont="1" applyBorder="1" applyAlignment="1" applyProtection="1">
      <alignment vertical="top" wrapText="1"/>
    </xf>
    <xf numFmtId="0" fontId="11" fillId="0" borderId="0" xfId="0" applyFont="1" applyBorder="1" applyProtection="1"/>
    <xf numFmtId="0" fontId="10" fillId="0" borderId="0" xfId="0" applyFont="1" applyBorder="1" applyAlignment="1" applyProtection="1">
      <alignment horizontal="center" vertical="top" wrapText="1"/>
    </xf>
    <xf numFmtId="0" fontId="10" fillId="0" borderId="0" xfId="0" applyFont="1" applyBorder="1" applyAlignment="1" applyProtection="1">
      <alignment horizontal="center" wrapText="1"/>
    </xf>
    <xf numFmtId="0" fontId="12" fillId="0" borderId="0" xfId="0" applyFont="1" applyBorder="1" applyProtection="1"/>
    <xf numFmtId="0" fontId="11" fillId="0" borderId="0" xfId="0" applyFont="1" applyBorder="1" applyAlignment="1" applyProtection="1">
      <alignment horizontal="left" wrapText="1" indent="2"/>
    </xf>
    <xf numFmtId="43" fontId="26" fillId="0" borderId="0" xfId="1" applyFont="1" applyBorder="1" applyAlignment="1" applyProtection="1">
      <alignment vertical="top" wrapText="1"/>
    </xf>
    <xf numFmtId="0" fontId="14" fillId="0" borderId="0" xfId="0" applyFont="1" applyBorder="1" applyAlignment="1" applyProtection="1">
      <alignment wrapText="1"/>
    </xf>
    <xf numFmtId="0" fontId="14" fillId="0" borderId="0" xfId="0" applyFont="1" applyBorder="1" applyAlignment="1" applyProtection="1"/>
    <xf numFmtId="0" fontId="16" fillId="0" borderId="0" xfId="0" applyFont="1" applyBorder="1" applyAlignment="1" applyProtection="1"/>
    <xf numFmtId="0" fontId="20" fillId="3" borderId="0" xfId="0" applyFont="1" applyFill="1" applyBorder="1" applyProtection="1">
      <protection locked="0"/>
    </xf>
    <xf numFmtId="44" fontId="11" fillId="2" borderId="0" xfId="2" applyFont="1" applyFill="1" applyBorder="1" applyAlignment="1" applyProtection="1">
      <alignment wrapText="1"/>
      <protection locked="0"/>
    </xf>
    <xf numFmtId="0" fontId="11" fillId="2" borderId="0" xfId="0" applyFont="1" applyFill="1" applyBorder="1" applyAlignment="1" applyProtection="1">
      <alignment wrapText="1"/>
      <protection locked="0"/>
    </xf>
    <xf numFmtId="0" fontId="8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7" fillId="0" borderId="0" xfId="3" applyFont="1" applyBorder="1" applyAlignment="1" applyProtection="1">
      <alignment horizontal="center"/>
    </xf>
    <xf numFmtId="0" fontId="6" fillId="0" borderId="0" xfId="3" applyFont="1" applyBorder="1" applyAlignment="1" applyProtection="1"/>
    <xf numFmtId="0" fontId="24" fillId="4" borderId="7" xfId="0" applyFont="1" applyFill="1" applyBorder="1" applyAlignment="1">
      <alignment horizontal="center"/>
    </xf>
    <xf numFmtId="0" fontId="28" fillId="5" borderId="1" xfId="0" applyFont="1" applyFill="1" applyBorder="1" applyAlignment="1"/>
    <xf numFmtId="0" fontId="28" fillId="5" borderId="11" xfId="0" applyFont="1" applyFill="1" applyBorder="1" applyAlignment="1"/>
    <xf numFmtId="0" fontId="15" fillId="6" borderId="10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8" fillId="6" borderId="2" xfId="0" quotePrefix="1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6" fillId="0" borderId="0" xfId="3" applyFont="1" applyBorder="1" applyProtection="1"/>
    <xf numFmtId="0" fontId="9" fillId="0" borderId="0" xfId="0" applyFont="1" applyBorder="1" applyAlignment="1" applyProtection="1">
      <alignment horizontal="center" vertical="center"/>
    </xf>
    <xf numFmtId="0" fontId="8" fillId="0" borderId="0" xfId="0" applyFont="1" applyBorder="1" applyProtection="1"/>
    <xf numFmtId="44" fontId="12" fillId="2" borderId="0" xfId="2" applyFont="1" applyFill="1" applyBorder="1" applyAlignment="1" applyProtection="1">
      <alignment horizontal="center" wrapText="1"/>
      <protection locked="0"/>
    </xf>
    <xf numFmtId="44" fontId="11" fillId="0" borderId="0" xfId="0" applyNumberFormat="1" applyFont="1" applyBorder="1" applyAlignment="1">
      <alignment wrapText="1"/>
    </xf>
    <xf numFmtId="44" fontId="12" fillId="0" borderId="0" xfId="0" applyNumberFormat="1" applyFont="1" applyBorder="1" applyAlignment="1">
      <alignment horizontal="center" wrapText="1"/>
    </xf>
    <xf numFmtId="0" fontId="15" fillId="0" borderId="0" xfId="0" applyFont="1" applyBorder="1" applyAlignment="1" applyProtection="1">
      <alignment horizontal="justify"/>
    </xf>
    <xf numFmtId="0" fontId="17" fillId="0" borderId="0" xfId="0" applyFont="1" applyBorder="1" applyAlignment="1" applyProtection="1">
      <alignment wrapText="1"/>
    </xf>
    <xf numFmtId="0" fontId="21" fillId="3" borderId="0" xfId="0" applyFont="1" applyFill="1" applyBorder="1" applyAlignment="1" applyProtection="1">
      <alignment wrapText="1"/>
      <protection locked="0"/>
    </xf>
    <xf numFmtId="0" fontId="20" fillId="3" borderId="0" xfId="0" applyFont="1" applyFill="1" applyBorder="1" applyAlignment="1" applyProtection="1">
      <protection locked="0"/>
    </xf>
    <xf numFmtId="14" fontId="19" fillId="0" borderId="0" xfId="0" applyNumberFormat="1" applyFont="1" applyBorder="1" applyAlignment="1" applyProtection="1">
      <alignment horizontal="right"/>
    </xf>
    <xf numFmtId="0" fontId="35" fillId="3" borderId="0" xfId="0" applyFont="1" applyFill="1" applyBorder="1" applyProtection="1">
      <protection locked="0"/>
    </xf>
    <xf numFmtId="0" fontId="36" fillId="3" borderId="0" xfId="0" applyFont="1" applyFill="1" applyBorder="1" applyProtection="1">
      <protection locked="0"/>
    </xf>
    <xf numFmtId="0" fontId="38" fillId="0" borderId="0" xfId="0" applyFont="1" applyBorder="1" applyProtection="1"/>
    <xf numFmtId="0" fontId="40" fillId="0" borderId="0" xfId="0" applyFont="1" applyBorder="1" applyProtection="1"/>
    <xf numFmtId="0" fontId="8" fillId="6" borderId="12" xfId="0" applyFont="1" applyFill="1" applyBorder="1" applyAlignment="1">
      <alignment horizontal="right" vertical="center"/>
    </xf>
    <xf numFmtId="0" fontId="8" fillId="6" borderId="13" xfId="0" applyFont="1" applyFill="1" applyBorder="1" applyAlignment="1">
      <alignment horizontal="right" vertical="center"/>
    </xf>
    <xf numFmtId="0" fontId="5" fillId="0" borderId="0" xfId="0" applyFont="1" applyBorder="1" applyAlignment="1"/>
    <xf numFmtId="0" fontId="39" fillId="0" borderId="0" xfId="0" applyFont="1" applyBorder="1" applyAlignment="1">
      <alignment horizontal="right"/>
    </xf>
    <xf numFmtId="0" fontId="8" fillId="6" borderId="12" xfId="0" applyFont="1" applyFill="1" applyBorder="1" applyAlignment="1">
      <alignment vertical="center"/>
    </xf>
    <xf numFmtId="0" fontId="8" fillId="6" borderId="13" xfId="0" applyFont="1" applyFill="1" applyBorder="1" applyAlignment="1">
      <alignment vertical="center"/>
    </xf>
    <xf numFmtId="0" fontId="41" fillId="0" borderId="0" xfId="3" applyFont="1" applyBorder="1" applyAlignment="1" applyProtection="1">
      <alignment horizontal="right"/>
    </xf>
    <xf numFmtId="0" fontId="8" fillId="0" borderId="0" xfId="3" applyFont="1" applyFill="1" applyBorder="1" applyAlignment="1" applyProtection="1">
      <alignment vertical="center" wrapText="1"/>
    </xf>
    <xf numFmtId="0" fontId="6" fillId="0" borderId="13" xfId="3" applyFont="1" applyBorder="1" applyAlignment="1" applyProtection="1"/>
    <xf numFmtId="0" fontId="24" fillId="0" borderId="0" xfId="3" applyFont="1" applyFill="1" applyBorder="1" applyAlignment="1" applyProtection="1"/>
    <xf numFmtId="0" fontId="25" fillId="0" borderId="0" xfId="3" applyFont="1" applyFill="1" applyBorder="1" applyAlignment="1" applyProtection="1"/>
    <xf numFmtId="0" fontId="42" fillId="5" borderId="0" xfId="3" applyFont="1" applyFill="1" applyBorder="1" applyAlignment="1" applyProtection="1">
      <alignment horizontal="center"/>
    </xf>
    <xf numFmtId="0" fontId="42" fillId="5" borderId="0" xfId="3" applyFont="1" applyFill="1" applyBorder="1" applyAlignment="1" applyProtection="1"/>
    <xf numFmtId="17" fontId="39" fillId="0" borderId="0" xfId="0" quotePrefix="1" applyNumberFormat="1" applyFont="1" applyBorder="1" applyAlignment="1">
      <alignment horizontal="right" vertical="top"/>
    </xf>
    <xf numFmtId="0" fontId="37" fillId="6" borderId="12" xfId="0" applyFont="1" applyFill="1" applyBorder="1" applyAlignment="1" applyProtection="1">
      <alignment horizontal="left" vertical="center"/>
      <protection locked="0"/>
    </xf>
    <xf numFmtId="0" fontId="8" fillId="6" borderId="13" xfId="0" applyFont="1" applyFill="1" applyBorder="1" applyAlignment="1" applyProtection="1">
      <alignment horizontal="left" vertical="center"/>
      <protection locked="0"/>
    </xf>
    <xf numFmtId="0" fontId="5" fillId="0" borderId="0" xfId="0" applyFont="1" applyProtection="1"/>
    <xf numFmtId="44" fontId="12" fillId="3" borderId="0" xfId="2" applyFont="1" applyFill="1" applyBorder="1" applyAlignment="1" applyProtection="1">
      <alignment horizontal="center" wrapText="1"/>
      <protection locked="0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0"/>
  <tableStyles count="0" defaultTableStyle="TableStyleMedium9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2</xdr:col>
      <xdr:colOff>0</xdr:colOff>
      <xdr:row>5</xdr:row>
      <xdr:rowOff>42278</xdr:rowOff>
    </xdr:to>
    <xdr:pic>
      <xdr:nvPicPr>
        <xdr:cNvPr id="5" name="Picture 2" descr="USQAus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0"/>
          <a:ext cx="704850" cy="11376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4"/>
  <sheetViews>
    <sheetView tabSelected="1" topLeftCell="D3" zoomScaleNormal="100" workbookViewId="0">
      <selection activeCell="D9" sqref="D9"/>
    </sheetView>
  </sheetViews>
  <sheetFormatPr defaultRowHeight="15"/>
  <cols>
    <col min="1" max="1" width="2" style="1" customWidth="1"/>
    <col min="2" max="2" width="9.140625" style="1" customWidth="1"/>
    <col min="3" max="3" width="29.140625" style="1" customWidth="1"/>
    <col min="4" max="4" width="12.28515625" style="1" customWidth="1"/>
    <col min="5" max="5" width="20.5703125" style="1" customWidth="1"/>
    <col min="6" max="6" width="7.7109375" style="1" customWidth="1"/>
    <col min="7" max="7" width="17.42578125" style="1" customWidth="1"/>
    <col min="8" max="8" width="7" style="1" customWidth="1"/>
    <col min="9" max="16384" width="9.140625" style="1"/>
  </cols>
  <sheetData>
    <row r="1" spans="1:10" ht="23.25">
      <c r="A1" s="107"/>
      <c r="B1" s="108"/>
      <c r="C1" s="109" t="s">
        <v>0</v>
      </c>
      <c r="D1" s="109"/>
      <c r="E1" s="109"/>
      <c r="F1" s="109"/>
      <c r="G1" s="109"/>
      <c r="H1" s="110"/>
    </row>
    <row r="2" spans="1:10" ht="16.5">
      <c r="A2" s="83"/>
      <c r="B2" s="69"/>
      <c r="C2" s="106"/>
      <c r="D2" s="106"/>
      <c r="E2" s="106"/>
      <c r="F2" s="106"/>
      <c r="G2" s="70"/>
      <c r="H2" s="70"/>
    </row>
    <row r="3" spans="1:10" ht="15" customHeight="1">
      <c r="A3" s="105"/>
      <c r="B3" s="100"/>
      <c r="C3" s="98" t="s">
        <v>133</v>
      </c>
      <c r="D3" s="98"/>
      <c r="E3" s="98"/>
      <c r="F3" s="98"/>
      <c r="G3" s="112" t="s">
        <v>135</v>
      </c>
      <c r="H3" s="102"/>
    </row>
    <row r="4" spans="1:10" ht="15" customHeight="1">
      <c r="A4" s="100"/>
      <c r="B4" s="100"/>
      <c r="C4" s="99"/>
      <c r="D4" s="99"/>
      <c r="E4" s="99"/>
      <c r="F4" s="99"/>
      <c r="G4" s="113"/>
      <c r="H4" s="103"/>
    </row>
    <row r="5" spans="1:10" ht="16.5">
      <c r="A5" s="83"/>
      <c r="B5" s="101"/>
      <c r="C5" s="47"/>
      <c r="D5" s="47"/>
      <c r="E5" s="47"/>
      <c r="F5" s="47"/>
      <c r="G5" s="47"/>
      <c r="H5" s="104" t="s">
        <v>139</v>
      </c>
      <c r="J5" s="1" t="s">
        <v>32</v>
      </c>
    </row>
    <row r="6" spans="1:10" ht="18">
      <c r="A6" s="84" t="s">
        <v>137</v>
      </c>
      <c r="B6" s="67"/>
      <c r="C6" s="67"/>
      <c r="D6" s="67"/>
      <c r="E6" s="67"/>
      <c r="F6" s="67"/>
      <c r="G6" s="67"/>
      <c r="H6" s="111" t="s">
        <v>138</v>
      </c>
      <c r="J6" s="1" t="s">
        <v>33</v>
      </c>
    </row>
    <row r="7" spans="1:10" ht="18">
      <c r="A7" s="48"/>
      <c r="B7" s="48"/>
      <c r="C7" s="97" t="s">
        <v>136</v>
      </c>
      <c r="D7" s="48"/>
      <c r="E7" s="48"/>
      <c r="F7" s="48"/>
      <c r="G7" s="48"/>
      <c r="H7" s="48"/>
      <c r="J7" s="1" t="s">
        <v>34</v>
      </c>
    </row>
    <row r="8" spans="1:10">
      <c r="A8" s="48"/>
      <c r="B8" s="48"/>
      <c r="C8" s="48"/>
      <c r="D8" s="48"/>
      <c r="E8" s="48"/>
      <c r="F8" s="48"/>
      <c r="G8" s="48"/>
      <c r="H8" s="48"/>
      <c r="J8" s="1" t="s">
        <v>35</v>
      </c>
    </row>
    <row r="9" spans="1:10" ht="18">
      <c r="A9" s="48"/>
      <c r="B9" s="85" t="s">
        <v>31</v>
      </c>
      <c r="C9" s="48"/>
      <c r="D9" s="64" t="s">
        <v>3</v>
      </c>
      <c r="E9" s="11"/>
      <c r="F9" s="48"/>
      <c r="G9" s="48"/>
      <c r="H9" s="48"/>
      <c r="J9" s="1" t="s">
        <v>36</v>
      </c>
    </row>
    <row r="10" spans="1:10">
      <c r="A10" s="48"/>
      <c r="B10" s="48"/>
      <c r="C10" s="48"/>
      <c r="D10" s="48"/>
      <c r="E10" s="48"/>
      <c r="F10" s="48"/>
      <c r="G10" s="48"/>
      <c r="H10" s="48"/>
      <c r="J10" s="1" t="s">
        <v>37</v>
      </c>
    </row>
    <row r="11" spans="1:10" ht="18">
      <c r="A11" s="48"/>
      <c r="B11" s="85" t="s">
        <v>1</v>
      </c>
      <c r="C11" s="48"/>
      <c r="D11" s="94" t="s">
        <v>22</v>
      </c>
      <c r="E11" s="58" t="s">
        <v>2</v>
      </c>
      <c r="F11" s="55"/>
      <c r="G11" s="93" t="s">
        <v>134</v>
      </c>
      <c r="H11" s="95" t="s">
        <v>135</v>
      </c>
      <c r="J11" s="1" t="s">
        <v>38</v>
      </c>
    </row>
    <row r="12" spans="1:10">
      <c r="A12" s="48"/>
      <c r="B12" s="48"/>
      <c r="C12" s="48"/>
      <c r="D12" s="48"/>
      <c r="E12" s="48"/>
      <c r="F12" s="48"/>
      <c r="G12" s="48"/>
      <c r="H12" s="48"/>
    </row>
    <row r="13" spans="1:10">
      <c r="A13" s="48"/>
      <c r="B13" s="48"/>
      <c r="C13" s="48"/>
      <c r="D13" s="48"/>
      <c r="E13" s="48"/>
      <c r="F13" s="48"/>
      <c r="G13" s="48"/>
      <c r="H13" s="48"/>
    </row>
    <row r="14" spans="1:10" ht="18.75">
      <c r="A14" s="48"/>
      <c r="B14" s="49"/>
      <c r="C14" s="49"/>
      <c r="D14" s="48"/>
      <c r="E14" s="57" t="s">
        <v>4</v>
      </c>
      <c r="F14" s="56"/>
      <c r="G14" s="57" t="s">
        <v>5</v>
      </c>
      <c r="H14" s="48"/>
    </row>
    <row r="15" spans="1:10" ht="32.25" customHeight="1">
      <c r="A15" s="48"/>
      <c r="B15" s="51"/>
      <c r="C15" s="50" t="s">
        <v>6</v>
      </c>
      <c r="D15" s="59"/>
      <c r="E15" s="59"/>
      <c r="F15" s="49"/>
      <c r="G15" s="86"/>
      <c r="H15" s="48"/>
    </row>
    <row r="16" spans="1:10" ht="18">
      <c r="A16" s="48"/>
      <c r="B16" s="51"/>
      <c r="C16" s="51" t="s">
        <v>7</v>
      </c>
      <c r="D16" s="48"/>
      <c r="E16" s="51"/>
      <c r="F16" s="49"/>
      <c r="G16" s="5"/>
      <c r="H16" s="48"/>
    </row>
    <row r="17" spans="1:13" ht="18">
      <c r="A17" s="48"/>
      <c r="B17" s="51"/>
      <c r="C17" s="52" t="s">
        <v>8</v>
      </c>
      <c r="D17" s="48"/>
      <c r="E17" s="65"/>
      <c r="F17" s="49"/>
      <c r="G17" s="5"/>
      <c r="H17" s="48"/>
    </row>
    <row r="18" spans="1:13" ht="18">
      <c r="A18" s="48"/>
      <c r="B18" s="51"/>
      <c r="C18" s="53" t="s">
        <v>9</v>
      </c>
      <c r="D18" s="48"/>
      <c r="E18" s="65"/>
      <c r="F18" s="49"/>
      <c r="G18" s="6">
        <f>SUM(E17:E18)</f>
        <v>0</v>
      </c>
      <c r="H18" s="48"/>
      <c r="M18" s="114"/>
    </row>
    <row r="19" spans="1:13">
      <c r="A19" s="48"/>
      <c r="B19" s="54"/>
      <c r="C19" s="54"/>
      <c r="D19" s="48"/>
      <c r="E19" s="54"/>
      <c r="F19" s="54"/>
      <c r="G19" s="60">
        <f>G15-G18</f>
        <v>0</v>
      </c>
      <c r="H19" s="48"/>
    </row>
    <row r="20" spans="1:13" ht="32.25" customHeight="1">
      <c r="A20" s="48"/>
      <c r="B20" s="51"/>
      <c r="C20" s="50" t="s">
        <v>10</v>
      </c>
      <c r="D20" s="48"/>
      <c r="E20" s="51"/>
      <c r="F20" s="49"/>
      <c r="G20" s="115"/>
      <c r="H20" s="48"/>
    </row>
    <row r="21" spans="1:13" ht="18">
      <c r="A21" s="48"/>
      <c r="B21" s="51"/>
      <c r="C21" s="51" t="s">
        <v>11</v>
      </c>
      <c r="D21" s="48"/>
      <c r="E21" s="65"/>
      <c r="F21" s="49"/>
      <c r="G21" s="51"/>
      <c r="H21" s="48"/>
    </row>
    <row r="22" spans="1:13" ht="18">
      <c r="A22" s="48"/>
      <c r="B22" s="51"/>
      <c r="C22" s="51" t="s">
        <v>12</v>
      </c>
      <c r="D22" s="48"/>
      <c r="E22" s="65"/>
      <c r="F22" s="49"/>
      <c r="G22" s="51"/>
      <c r="H22" s="48"/>
    </row>
    <row r="23" spans="1:13" ht="18">
      <c r="A23" s="48"/>
      <c r="B23" s="51"/>
      <c r="C23" s="51" t="s">
        <v>13</v>
      </c>
      <c r="D23" s="48"/>
      <c r="E23" s="65"/>
      <c r="F23" s="49"/>
      <c r="G23" s="51"/>
      <c r="H23" s="48"/>
    </row>
    <row r="24" spans="1:13" ht="18">
      <c r="A24" s="48"/>
      <c r="B24" s="51"/>
      <c r="C24" s="51" t="s">
        <v>14</v>
      </c>
      <c r="D24" s="48"/>
      <c r="E24" s="65"/>
      <c r="F24" s="49"/>
      <c r="G24" s="51"/>
      <c r="H24" s="48"/>
    </row>
    <row r="25" spans="1:13" ht="36">
      <c r="A25" s="48"/>
      <c r="B25" s="51"/>
      <c r="C25" s="51" t="s">
        <v>15</v>
      </c>
      <c r="D25" s="48"/>
      <c r="E25" s="65"/>
      <c r="F25" s="49"/>
      <c r="G25" s="7">
        <f>SUM(E21:E24)</f>
        <v>0</v>
      </c>
      <c r="H25" s="48"/>
    </row>
    <row r="26" spans="1:13">
      <c r="A26" s="48"/>
      <c r="B26" s="54"/>
      <c r="C26" s="54"/>
      <c r="D26" s="48"/>
      <c r="E26" s="54"/>
      <c r="F26" s="54"/>
      <c r="G26" s="60">
        <f>G20-G25</f>
        <v>0</v>
      </c>
      <c r="H26" s="48"/>
    </row>
    <row r="27" spans="1:13" ht="32.25" customHeight="1">
      <c r="A27" s="48"/>
      <c r="B27" s="5"/>
      <c r="C27" s="50" t="s">
        <v>16</v>
      </c>
      <c r="D27" s="48"/>
      <c r="E27" s="51"/>
      <c r="F27" s="49"/>
      <c r="G27" s="86"/>
      <c r="H27" s="48"/>
    </row>
    <row r="28" spans="1:13" ht="18">
      <c r="A28" s="48"/>
      <c r="B28" s="51"/>
      <c r="C28" s="52" t="s">
        <v>17</v>
      </c>
      <c r="D28" s="48"/>
      <c r="E28" s="66"/>
      <c r="F28" s="49"/>
      <c r="G28" s="51"/>
      <c r="H28" s="48"/>
    </row>
    <row r="29" spans="1:13" ht="18">
      <c r="A29" s="48"/>
      <c r="B29" s="51"/>
      <c r="C29" s="52" t="s">
        <v>18</v>
      </c>
      <c r="D29" s="48"/>
      <c r="E29" s="66"/>
      <c r="F29" s="49"/>
      <c r="G29" s="51"/>
      <c r="H29" s="48"/>
    </row>
    <row r="30" spans="1:13" ht="18">
      <c r="A30" s="48"/>
      <c r="B30" s="51"/>
      <c r="C30" s="52" t="s">
        <v>19</v>
      </c>
      <c r="D30" s="48"/>
      <c r="E30" s="66"/>
      <c r="F30" s="49"/>
      <c r="G30" s="51"/>
      <c r="H30" s="48"/>
    </row>
    <row r="31" spans="1:13" ht="18">
      <c r="A31" s="48"/>
      <c r="B31" s="51"/>
      <c r="C31" s="52" t="s">
        <v>20</v>
      </c>
      <c r="D31" s="48"/>
      <c r="E31" s="66"/>
      <c r="F31" s="49"/>
      <c r="G31" s="51"/>
      <c r="H31" s="48"/>
    </row>
    <row r="32" spans="1:13" ht="18">
      <c r="A32" s="48"/>
      <c r="B32" s="51"/>
      <c r="C32" s="52" t="s">
        <v>23</v>
      </c>
      <c r="D32" s="48"/>
      <c r="E32" s="66"/>
      <c r="F32" s="49"/>
      <c r="G32" s="51"/>
      <c r="H32" s="48"/>
    </row>
    <row r="33" spans="1:8" ht="18">
      <c r="A33" s="48"/>
      <c r="B33" s="51"/>
      <c r="C33" s="52" t="s">
        <v>24</v>
      </c>
      <c r="D33" s="48"/>
      <c r="E33" s="66"/>
      <c r="F33" s="49"/>
      <c r="G33" s="51"/>
      <c r="H33" s="48"/>
    </row>
    <row r="34" spans="1:8" ht="18">
      <c r="A34" s="48"/>
      <c r="B34" s="51"/>
      <c r="C34" s="52" t="s">
        <v>25</v>
      </c>
      <c r="D34" s="48"/>
      <c r="E34" s="66"/>
      <c r="F34" s="49"/>
      <c r="G34" s="6">
        <f>SUM(E28:E34)</f>
        <v>0</v>
      </c>
      <c r="H34" s="48"/>
    </row>
    <row r="35" spans="1:8">
      <c r="A35" s="48"/>
      <c r="B35" s="61"/>
      <c r="C35" s="62"/>
      <c r="D35" s="48"/>
      <c r="E35" s="61"/>
      <c r="F35" s="54"/>
      <c r="G35" s="12">
        <f>G27-G34</f>
        <v>0</v>
      </c>
      <c r="H35" s="48"/>
    </row>
    <row r="36" spans="1:8" ht="19.5">
      <c r="A36" s="48"/>
      <c r="B36" s="51"/>
      <c r="C36" s="57" t="s">
        <v>21</v>
      </c>
      <c r="D36" s="48"/>
      <c r="E36" s="87">
        <f>E17+E18+E21+E22+E23+E24+E25+E28+E29+E30+E31+E32+E33+E34</f>
        <v>0</v>
      </c>
      <c r="F36" s="49"/>
      <c r="G36" s="88">
        <f>IF((E36-(G15+G20+G27))&lt;&gt;0,"ERROR",G15+G20+G27)</f>
        <v>0</v>
      </c>
      <c r="H36" s="48"/>
    </row>
    <row r="37" spans="1:8">
      <c r="A37" s="4"/>
      <c r="B37" s="48"/>
      <c r="C37" s="48"/>
      <c r="D37" s="48"/>
      <c r="E37" s="48"/>
      <c r="F37" s="48"/>
      <c r="G37" s="13">
        <f>G19+G26+G35</f>
        <v>0</v>
      </c>
      <c r="H37" s="4"/>
    </row>
    <row r="38" spans="1:8" ht="36.75" customHeight="1">
      <c r="A38" s="89" t="s">
        <v>26</v>
      </c>
      <c r="B38" s="68"/>
      <c r="C38" s="68"/>
      <c r="D38" s="68"/>
      <c r="E38" s="68"/>
      <c r="F38" s="68"/>
      <c r="G38" s="68"/>
      <c r="H38" s="68"/>
    </row>
    <row r="39" spans="1:8">
      <c r="A39" s="48"/>
      <c r="B39" s="48"/>
      <c r="C39" s="48"/>
      <c r="D39" s="48"/>
      <c r="E39" s="48"/>
      <c r="F39" s="48"/>
      <c r="G39" s="48"/>
      <c r="H39" s="48"/>
    </row>
    <row r="40" spans="1:8" ht="24" customHeight="1">
      <c r="A40" s="48"/>
      <c r="B40" s="63" t="s">
        <v>27</v>
      </c>
      <c r="C40" s="48"/>
      <c r="D40" s="90"/>
      <c r="E40" s="68"/>
      <c r="F40" s="68"/>
      <c r="G40" s="48"/>
      <c r="H40" s="48"/>
    </row>
    <row r="41" spans="1:8" ht="25.5" customHeight="1">
      <c r="A41" s="48"/>
      <c r="B41" s="63" t="s">
        <v>28</v>
      </c>
      <c r="C41" s="48"/>
      <c r="D41" s="91" t="s">
        <v>30</v>
      </c>
      <c r="E41" s="92"/>
      <c r="F41" s="92"/>
      <c r="G41" s="48"/>
      <c r="H41" s="48"/>
    </row>
    <row r="42" spans="1:8" ht="26.25" customHeight="1">
      <c r="A42" s="48"/>
      <c r="B42" s="63" t="s">
        <v>29</v>
      </c>
      <c r="C42" s="48"/>
      <c r="D42" s="91" t="s">
        <v>30</v>
      </c>
      <c r="E42" s="92"/>
      <c r="F42" s="92"/>
      <c r="G42" s="48"/>
      <c r="H42" s="48"/>
    </row>
    <row r="43" spans="1:8">
      <c r="A43" s="48"/>
      <c r="B43" s="48"/>
      <c r="C43" s="48"/>
      <c r="D43" s="48"/>
      <c r="E43" s="48"/>
      <c r="F43" s="48"/>
      <c r="G43" s="48"/>
      <c r="H43" s="48"/>
    </row>
    <row r="44" spans="1:8">
      <c r="A44" s="48"/>
      <c r="B44" s="96"/>
      <c r="C44" s="48"/>
      <c r="D44" s="48"/>
      <c r="E44" s="48"/>
      <c r="F44" s="48"/>
      <c r="G44" s="48"/>
      <c r="H44" s="48"/>
    </row>
  </sheetData>
  <sheetProtection password="9B65" sheet="1" objects="1" scenarios="1" selectLockedCells="1"/>
  <mergeCells count="9">
    <mergeCell ref="C3:F4"/>
    <mergeCell ref="G3:G4"/>
    <mergeCell ref="C1:G1"/>
    <mergeCell ref="D42:F42"/>
    <mergeCell ref="A6:G6"/>
    <mergeCell ref="A38:H38"/>
    <mergeCell ref="D40:F40"/>
    <mergeCell ref="B2:H2"/>
    <mergeCell ref="D41:F41"/>
  </mergeCells>
  <phoneticPr fontId="4" type="noConversion"/>
  <printOptions horizontalCentered="1"/>
  <pageMargins left="0.23622047244094491" right="0.23622047244094491" top="0.51181102362204722" bottom="0.74803149606299213" header="0.51181102362204722" footer="0.51181102362204722"/>
  <pageSetup paperSize="9" scale="90" orientation="portrait" verticalDpi="0" r:id="rId1"/>
  <headerFooter alignWithMargins="0">
    <oddFooter>&amp;L&amp;"Trebuchet MS,Regular"&amp;D&amp;C&amp;"Trebuchet MS,Regular"&amp;A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"/>
  <sheetViews>
    <sheetView workbookViewId="0">
      <selection activeCell="A6" sqref="A6"/>
    </sheetView>
  </sheetViews>
  <sheetFormatPr defaultRowHeight="15"/>
  <cols>
    <col min="1" max="1" width="2.7109375" style="1" customWidth="1"/>
    <col min="2" max="2" width="44.7109375" style="1" customWidth="1"/>
    <col min="3" max="4" width="12.42578125" style="1" customWidth="1"/>
    <col min="5" max="5" width="24.42578125" style="1" customWidth="1"/>
    <col min="6" max="6" width="17.140625" style="1" customWidth="1"/>
    <col min="7" max="7" width="2.7109375" style="1" customWidth="1"/>
    <col min="8" max="16384" width="9.140625" style="1"/>
  </cols>
  <sheetData>
    <row r="1" spans="1:22" ht="24" thickBot="1">
      <c r="A1" s="71" t="s">
        <v>0</v>
      </c>
      <c r="B1" s="72"/>
      <c r="C1" s="72"/>
      <c r="D1" s="72"/>
      <c r="E1" s="72"/>
      <c r="F1" s="72"/>
      <c r="G1" s="73"/>
      <c r="H1" s="14"/>
      <c r="I1" s="14"/>
      <c r="J1" s="14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</row>
    <row r="2" spans="1:22" ht="15.75" thickBot="1"/>
    <row r="3" spans="1:22" ht="18">
      <c r="A3" s="74" t="s">
        <v>39</v>
      </c>
      <c r="B3" s="75"/>
      <c r="C3" s="75"/>
      <c r="D3" s="75"/>
      <c r="E3" s="75"/>
      <c r="F3" s="75"/>
      <c r="G3" s="76"/>
    </row>
    <row r="4" spans="1:22" ht="18">
      <c r="A4" s="77" t="s">
        <v>132</v>
      </c>
      <c r="B4" s="78"/>
      <c r="C4" s="78"/>
      <c r="D4" s="78"/>
      <c r="E4" s="78"/>
      <c r="F4" s="78"/>
      <c r="G4" s="79"/>
    </row>
    <row r="5" spans="1:22" ht="18.75" thickBot="1">
      <c r="A5" s="80" t="s">
        <v>40</v>
      </c>
      <c r="B5" s="81"/>
      <c r="C5" s="81"/>
      <c r="D5" s="81"/>
      <c r="E5" s="81"/>
      <c r="F5" s="81"/>
      <c r="G5" s="82"/>
    </row>
    <row r="6" spans="1:22" ht="16.5">
      <c r="A6" s="17"/>
      <c r="B6" s="4"/>
      <c r="C6" s="4"/>
      <c r="D6" s="4"/>
      <c r="E6" s="4"/>
      <c r="F6" s="4"/>
      <c r="G6" s="2"/>
    </row>
    <row r="7" spans="1:22" ht="16.5">
      <c r="A7" s="17"/>
      <c r="B7" s="18" t="s">
        <v>41</v>
      </c>
      <c r="C7" s="18" t="s">
        <v>42</v>
      </c>
      <c r="D7" s="18" t="s">
        <v>6</v>
      </c>
      <c r="E7" s="18" t="s">
        <v>43</v>
      </c>
      <c r="F7" s="18" t="s">
        <v>44</v>
      </c>
      <c r="G7" s="19"/>
    </row>
    <row r="8" spans="1:22">
      <c r="A8" s="3"/>
      <c r="B8" s="20" t="s">
        <v>45</v>
      </c>
      <c r="C8" s="4"/>
      <c r="D8" s="4"/>
      <c r="E8" s="4"/>
      <c r="F8" s="4"/>
      <c r="G8" s="2"/>
    </row>
    <row r="9" spans="1:22" s="4" customFormat="1">
      <c r="A9" s="3"/>
      <c r="B9" s="21" t="s">
        <v>46</v>
      </c>
      <c r="C9" s="21"/>
      <c r="D9" s="22">
        <f>200+300</f>
        <v>500</v>
      </c>
      <c r="E9" s="23" t="s">
        <v>47</v>
      </c>
      <c r="F9" s="23"/>
      <c r="G9" s="24"/>
    </row>
    <row r="10" spans="1:22" s="4" customFormat="1">
      <c r="A10" s="3"/>
      <c r="B10" s="21" t="s">
        <v>46</v>
      </c>
      <c r="C10" s="22"/>
      <c r="D10" s="22">
        <v>500</v>
      </c>
      <c r="E10" s="23" t="s">
        <v>48</v>
      </c>
      <c r="F10" s="23"/>
      <c r="G10" s="24"/>
    </row>
    <row r="11" spans="1:22" s="4" customFormat="1">
      <c r="A11" s="3"/>
      <c r="B11" s="21" t="s">
        <v>46</v>
      </c>
      <c r="C11" s="22"/>
      <c r="D11" s="22">
        <v>500</v>
      </c>
      <c r="E11" s="23" t="s">
        <v>129</v>
      </c>
      <c r="F11" s="23"/>
      <c r="G11" s="24"/>
    </row>
    <row r="12" spans="1:22" s="4" customFormat="1">
      <c r="A12" s="3"/>
      <c r="B12" s="21" t="s">
        <v>49</v>
      </c>
      <c r="C12" s="22"/>
      <c r="D12" s="22">
        <v>500</v>
      </c>
      <c r="E12" s="25" t="s">
        <v>50</v>
      </c>
      <c r="F12" s="25"/>
      <c r="G12" s="26"/>
    </row>
    <row r="13" spans="1:22" s="4" customFormat="1">
      <c r="A13" s="3"/>
      <c r="B13" s="21" t="s">
        <v>51</v>
      </c>
      <c r="C13" s="22"/>
      <c r="D13" s="22">
        <v>300</v>
      </c>
      <c r="E13" s="25" t="s">
        <v>52</v>
      </c>
      <c r="F13" s="25"/>
      <c r="G13" s="26"/>
    </row>
    <row r="14" spans="1:22" s="4" customFormat="1">
      <c r="A14" s="3"/>
      <c r="B14" s="21" t="s">
        <v>53</v>
      </c>
      <c r="C14" s="22"/>
      <c r="D14" s="22">
        <v>300</v>
      </c>
      <c r="E14" s="25" t="s">
        <v>54</v>
      </c>
      <c r="F14" s="25"/>
      <c r="G14" s="26"/>
    </row>
    <row r="15" spans="1:22" s="4" customFormat="1">
      <c r="A15" s="3"/>
      <c r="B15" s="21" t="s">
        <v>55</v>
      </c>
      <c r="C15" s="22"/>
      <c r="D15" s="22">
        <v>400</v>
      </c>
      <c r="E15" s="25" t="s">
        <v>56</v>
      </c>
      <c r="F15" s="25"/>
      <c r="G15" s="26"/>
    </row>
    <row r="16" spans="1:22" s="4" customFormat="1">
      <c r="A16" s="3"/>
      <c r="B16" s="21" t="s">
        <v>57</v>
      </c>
      <c r="C16" s="22">
        <v>500</v>
      </c>
      <c r="D16" s="22"/>
      <c r="E16" s="25" t="s">
        <v>58</v>
      </c>
      <c r="F16" s="25"/>
      <c r="G16" s="26"/>
    </row>
    <row r="17" spans="1:7" s="4" customFormat="1">
      <c r="A17" s="3"/>
      <c r="B17" s="21" t="s">
        <v>59</v>
      </c>
      <c r="C17" s="22">
        <v>5000</v>
      </c>
      <c r="D17" s="22"/>
      <c r="E17" s="25" t="s">
        <v>58</v>
      </c>
      <c r="F17" s="25"/>
      <c r="G17" s="26"/>
    </row>
    <row r="18" spans="1:7" s="4" customFormat="1">
      <c r="A18" s="3"/>
      <c r="B18" s="21" t="s">
        <v>60</v>
      </c>
      <c r="C18" s="22">
        <v>250</v>
      </c>
      <c r="D18" s="22"/>
      <c r="E18" s="25" t="s">
        <v>61</v>
      </c>
      <c r="F18" s="25"/>
      <c r="G18" s="26"/>
    </row>
    <row r="19" spans="1:7" s="4" customFormat="1">
      <c r="A19" s="3"/>
      <c r="B19" s="27" t="s">
        <v>62</v>
      </c>
      <c r="C19" s="22">
        <v>250</v>
      </c>
      <c r="D19" s="22"/>
      <c r="E19" s="25" t="s">
        <v>63</v>
      </c>
      <c r="F19" s="25"/>
      <c r="G19" s="26"/>
    </row>
    <row r="20" spans="1:7" s="4" customFormat="1">
      <c r="A20" s="3"/>
      <c r="B20" s="27" t="s">
        <v>64</v>
      </c>
      <c r="C20" s="22"/>
      <c r="D20" s="22">
        <v>700</v>
      </c>
      <c r="E20" s="25" t="s">
        <v>65</v>
      </c>
      <c r="F20" s="25"/>
      <c r="G20" s="26"/>
    </row>
    <row r="21" spans="1:7" s="4" customFormat="1">
      <c r="A21" s="3"/>
      <c r="B21" s="28"/>
      <c r="C21" s="22"/>
      <c r="D21" s="22"/>
      <c r="E21" s="25"/>
      <c r="F21" s="25"/>
      <c r="G21" s="29"/>
    </row>
    <row r="22" spans="1:7" s="4" customFormat="1">
      <c r="A22" s="3"/>
      <c r="B22" s="20" t="s">
        <v>66</v>
      </c>
      <c r="C22" s="22"/>
      <c r="D22" s="21"/>
      <c r="E22" s="21"/>
      <c r="F22" s="21"/>
      <c r="G22" s="26"/>
    </row>
    <row r="23" spans="1:7" s="4" customFormat="1">
      <c r="A23" s="3"/>
      <c r="B23" s="43" t="s">
        <v>67</v>
      </c>
      <c r="C23" s="44"/>
      <c r="D23" s="44">
        <v>0</v>
      </c>
      <c r="E23" s="45" t="s">
        <v>68</v>
      </c>
      <c r="F23" s="45" t="s">
        <v>130</v>
      </c>
      <c r="G23" s="26"/>
    </row>
    <row r="24" spans="1:7" s="4" customFormat="1">
      <c r="A24" s="3"/>
      <c r="B24" s="43" t="s">
        <v>69</v>
      </c>
      <c r="C24" s="44"/>
      <c r="D24" s="44">
        <v>0</v>
      </c>
      <c r="E24" s="45" t="s">
        <v>70</v>
      </c>
      <c r="F24" s="45" t="s">
        <v>130</v>
      </c>
      <c r="G24" s="30"/>
    </row>
    <row r="25" spans="1:7" s="4" customFormat="1">
      <c r="A25" s="3"/>
      <c r="B25" s="21" t="s">
        <v>71</v>
      </c>
      <c r="C25" s="22"/>
      <c r="D25" s="22">
        <v>500</v>
      </c>
      <c r="E25" s="31" t="s">
        <v>72</v>
      </c>
      <c r="F25" s="25"/>
      <c r="G25" s="26"/>
    </row>
    <row r="26" spans="1:7" s="4" customFormat="1">
      <c r="A26" s="3"/>
      <c r="B26" s="21" t="s">
        <v>73</v>
      </c>
      <c r="C26" s="22"/>
      <c r="D26" s="22">
        <v>500</v>
      </c>
      <c r="E26" s="25" t="s">
        <v>74</v>
      </c>
      <c r="F26" s="25"/>
      <c r="G26" s="26"/>
    </row>
    <row r="27" spans="1:7" s="4" customFormat="1">
      <c r="A27" s="3"/>
      <c r="B27" s="21" t="s">
        <v>75</v>
      </c>
      <c r="C27" s="22"/>
      <c r="D27" s="22">
        <v>500</v>
      </c>
      <c r="E27" s="25" t="s">
        <v>76</v>
      </c>
      <c r="F27" s="25"/>
      <c r="G27" s="26"/>
    </row>
    <row r="28" spans="1:7" s="4" customFormat="1">
      <c r="A28" s="3"/>
      <c r="B28" s="43" t="s">
        <v>77</v>
      </c>
      <c r="C28" s="44"/>
      <c r="D28" s="44">
        <v>0</v>
      </c>
      <c r="E28" s="45" t="s">
        <v>78</v>
      </c>
      <c r="F28" s="45" t="s">
        <v>130</v>
      </c>
      <c r="G28" s="26"/>
    </row>
    <row r="29" spans="1:7" s="4" customFormat="1">
      <c r="A29" s="3"/>
      <c r="B29" s="21" t="s">
        <v>79</v>
      </c>
      <c r="C29" s="22"/>
      <c r="D29" s="22">
        <v>500</v>
      </c>
      <c r="E29" s="25" t="s">
        <v>80</v>
      </c>
      <c r="F29" s="25"/>
      <c r="G29" s="26"/>
    </row>
    <row r="30" spans="1:7" s="4" customFormat="1">
      <c r="A30" s="3"/>
      <c r="B30" s="21" t="s">
        <v>81</v>
      </c>
      <c r="C30" s="22"/>
      <c r="D30" s="22">
        <v>400</v>
      </c>
      <c r="E30" s="25" t="s">
        <v>82</v>
      </c>
      <c r="F30" s="25"/>
      <c r="G30" s="30"/>
    </row>
    <row r="31" spans="1:7" s="4" customFormat="1">
      <c r="A31" s="3"/>
      <c r="B31" s="21" t="s">
        <v>83</v>
      </c>
      <c r="C31" s="22"/>
      <c r="D31" s="22">
        <v>700</v>
      </c>
      <c r="E31" s="31" t="s">
        <v>84</v>
      </c>
      <c r="F31" s="25"/>
      <c r="G31" s="26"/>
    </row>
    <row r="32" spans="1:7" s="4" customFormat="1">
      <c r="A32" s="3"/>
      <c r="B32" s="21" t="s">
        <v>73</v>
      </c>
      <c r="C32" s="22"/>
      <c r="D32" s="22">
        <v>700</v>
      </c>
      <c r="E32" s="25" t="s">
        <v>85</v>
      </c>
      <c r="F32" s="25"/>
      <c r="G32" s="26"/>
    </row>
    <row r="33" spans="1:7" s="4" customFormat="1">
      <c r="A33" s="3"/>
      <c r="B33" s="21" t="s">
        <v>73</v>
      </c>
      <c r="C33" s="22"/>
      <c r="D33" s="22">
        <v>500</v>
      </c>
      <c r="E33" s="25" t="s">
        <v>86</v>
      </c>
      <c r="F33" s="25"/>
      <c r="G33" s="26"/>
    </row>
    <row r="34" spans="1:7" s="4" customFormat="1">
      <c r="A34" s="3"/>
      <c r="B34" s="21" t="s">
        <v>87</v>
      </c>
      <c r="C34" s="22"/>
      <c r="D34" s="22">
        <v>500</v>
      </c>
      <c r="E34" s="25" t="s">
        <v>88</v>
      </c>
      <c r="F34" s="25"/>
      <c r="G34" s="26"/>
    </row>
    <row r="35" spans="1:7" s="4" customFormat="1">
      <c r="A35" s="3"/>
      <c r="B35" s="21" t="s">
        <v>87</v>
      </c>
      <c r="C35" s="22"/>
      <c r="D35" s="22">
        <v>500</v>
      </c>
      <c r="E35" s="25" t="s">
        <v>128</v>
      </c>
      <c r="F35" s="25"/>
      <c r="G35" s="26"/>
    </row>
    <row r="36" spans="1:7" s="4" customFormat="1">
      <c r="A36" s="3"/>
      <c r="B36" s="21"/>
      <c r="C36" s="22"/>
      <c r="D36" s="22"/>
      <c r="E36" s="25"/>
      <c r="F36" s="25"/>
      <c r="G36" s="26"/>
    </row>
    <row r="37" spans="1:7" s="4" customFormat="1">
      <c r="A37" s="3"/>
      <c r="B37" s="20" t="s">
        <v>89</v>
      </c>
      <c r="C37" s="22"/>
      <c r="D37" s="21"/>
      <c r="E37" s="21"/>
      <c r="F37" s="25"/>
      <c r="G37" s="26"/>
    </row>
    <row r="38" spans="1:7" s="4" customFormat="1">
      <c r="A38" s="3"/>
      <c r="B38" s="21" t="s">
        <v>90</v>
      </c>
      <c r="C38" s="22"/>
      <c r="D38" s="22">
        <v>500</v>
      </c>
      <c r="E38" s="25" t="s">
        <v>91</v>
      </c>
      <c r="F38" s="25"/>
      <c r="G38" s="26"/>
    </row>
    <row r="39" spans="1:7" s="4" customFormat="1">
      <c r="A39" s="3"/>
      <c r="B39" s="21" t="s">
        <v>90</v>
      </c>
      <c r="C39" s="22"/>
      <c r="D39" s="22">
        <v>500</v>
      </c>
      <c r="E39" s="25" t="s">
        <v>92</v>
      </c>
      <c r="F39" s="25"/>
      <c r="G39" s="26"/>
    </row>
    <row r="40" spans="1:7" s="4" customFormat="1">
      <c r="A40" s="3"/>
      <c r="B40" s="21" t="s">
        <v>90</v>
      </c>
      <c r="C40" s="22"/>
      <c r="D40" s="22">
        <v>500</v>
      </c>
      <c r="E40" s="25" t="s">
        <v>93</v>
      </c>
      <c r="F40" s="25"/>
      <c r="G40" s="26"/>
    </row>
    <row r="41" spans="1:7" s="4" customFormat="1">
      <c r="A41" s="3"/>
      <c r="B41" s="21" t="s">
        <v>90</v>
      </c>
      <c r="C41" s="22"/>
      <c r="D41" s="22">
        <v>500</v>
      </c>
      <c r="E41" s="25" t="s">
        <v>94</v>
      </c>
      <c r="F41" s="25"/>
      <c r="G41" s="26"/>
    </row>
    <row r="42" spans="1:7" s="4" customFormat="1">
      <c r="A42" s="3"/>
      <c r="B42" s="32"/>
      <c r="C42" s="22"/>
      <c r="D42" s="22"/>
      <c r="E42" s="33"/>
      <c r="F42" s="33"/>
      <c r="G42" s="29"/>
    </row>
    <row r="43" spans="1:7" s="4" customFormat="1">
      <c r="A43" s="3"/>
      <c r="B43" s="20" t="s">
        <v>95</v>
      </c>
      <c r="C43" s="22"/>
      <c r="D43" s="22"/>
      <c r="E43" s="34"/>
      <c r="F43" s="34"/>
      <c r="G43" s="35"/>
    </row>
    <row r="44" spans="1:7" s="4" customFormat="1">
      <c r="A44" s="3"/>
      <c r="B44" s="21" t="s">
        <v>96</v>
      </c>
      <c r="C44" s="22">
        <v>700</v>
      </c>
      <c r="D44" s="22">
        <v>400</v>
      </c>
      <c r="E44" s="31" t="s">
        <v>97</v>
      </c>
      <c r="F44" s="25"/>
      <c r="G44" s="30"/>
    </row>
    <row r="45" spans="1:7" s="4" customFormat="1">
      <c r="A45" s="3"/>
      <c r="B45" s="21" t="s">
        <v>98</v>
      </c>
      <c r="C45" s="22"/>
      <c r="D45" s="22">
        <v>400</v>
      </c>
      <c r="E45" s="31" t="s">
        <v>99</v>
      </c>
      <c r="F45" s="25"/>
      <c r="G45" s="30"/>
    </row>
    <row r="46" spans="1:7" s="4" customFormat="1">
      <c r="A46" s="3"/>
      <c r="B46" s="21" t="s">
        <v>100</v>
      </c>
      <c r="C46" s="22">
        <v>300</v>
      </c>
      <c r="D46" s="22">
        <v>500</v>
      </c>
      <c r="E46" s="23" t="s">
        <v>101</v>
      </c>
      <c r="F46" s="23"/>
      <c r="G46" s="24"/>
    </row>
    <row r="47" spans="1:7" s="4" customFormat="1">
      <c r="A47" s="3"/>
      <c r="B47" s="21" t="s">
        <v>102</v>
      </c>
      <c r="C47" s="22"/>
      <c r="D47" s="22">
        <v>1200</v>
      </c>
      <c r="E47" s="25" t="s">
        <v>103</v>
      </c>
      <c r="F47" s="25"/>
      <c r="G47" s="26"/>
    </row>
    <row r="48" spans="1:7" s="4" customFormat="1">
      <c r="A48" s="3"/>
      <c r="B48" s="21" t="s">
        <v>104</v>
      </c>
      <c r="C48" s="22"/>
      <c r="D48" s="22">
        <v>200</v>
      </c>
      <c r="E48" s="25" t="s">
        <v>105</v>
      </c>
      <c r="F48" s="25"/>
      <c r="G48" s="26"/>
    </row>
    <row r="49" spans="1:7" s="4" customFormat="1">
      <c r="A49" s="3"/>
      <c r="B49" s="21" t="s">
        <v>106</v>
      </c>
      <c r="C49" s="22"/>
      <c r="D49" s="22">
        <v>800</v>
      </c>
      <c r="E49" s="25" t="s">
        <v>107</v>
      </c>
      <c r="F49" s="25"/>
      <c r="G49" s="26"/>
    </row>
    <row r="50" spans="1:7" s="4" customFormat="1">
      <c r="A50" s="3"/>
      <c r="B50" s="36" t="s">
        <v>108</v>
      </c>
      <c r="C50" s="22">
        <v>250</v>
      </c>
      <c r="D50" s="22"/>
      <c r="E50" s="25" t="s">
        <v>109</v>
      </c>
      <c r="F50" s="25"/>
      <c r="G50" s="26"/>
    </row>
    <row r="51" spans="1:7" s="4" customFormat="1">
      <c r="A51" s="3"/>
      <c r="B51" s="27" t="s">
        <v>110</v>
      </c>
      <c r="C51" s="22">
        <v>150</v>
      </c>
      <c r="D51" s="22"/>
      <c r="E51" s="25" t="s">
        <v>111</v>
      </c>
      <c r="F51" s="25"/>
      <c r="G51" s="26"/>
    </row>
    <row r="52" spans="1:7" s="4" customFormat="1">
      <c r="A52" s="3"/>
      <c r="B52" s="21" t="s">
        <v>112</v>
      </c>
      <c r="C52" s="22"/>
      <c r="D52" s="22">
        <v>800</v>
      </c>
      <c r="E52" s="31" t="s">
        <v>113</v>
      </c>
      <c r="F52" s="25"/>
      <c r="G52" s="30"/>
    </row>
    <row r="53" spans="1:7" s="4" customFormat="1">
      <c r="A53" s="3"/>
      <c r="B53" s="21" t="s">
        <v>114</v>
      </c>
      <c r="C53" s="22"/>
      <c r="D53" s="22">
        <v>3500</v>
      </c>
      <c r="E53" s="31" t="s">
        <v>115</v>
      </c>
      <c r="F53" s="25"/>
      <c r="G53" s="30"/>
    </row>
    <row r="54" spans="1:7" s="4" customFormat="1">
      <c r="A54" s="3"/>
      <c r="B54" s="21" t="s">
        <v>116</v>
      </c>
      <c r="C54" s="22"/>
      <c r="D54" s="22">
        <f>1540-1340</f>
        <v>200</v>
      </c>
      <c r="E54" s="25" t="s">
        <v>117</v>
      </c>
      <c r="F54" s="25"/>
      <c r="G54" s="26"/>
    </row>
    <row r="55" spans="1:7" s="4" customFormat="1">
      <c r="A55" s="3"/>
      <c r="B55" s="36" t="s">
        <v>118</v>
      </c>
      <c r="C55" s="22">
        <v>2000</v>
      </c>
      <c r="D55" s="22"/>
      <c r="E55" s="25" t="s">
        <v>117</v>
      </c>
      <c r="F55" s="25"/>
      <c r="G55" s="26"/>
    </row>
    <row r="56" spans="1:7" s="4" customFormat="1">
      <c r="A56" s="3"/>
      <c r="B56" s="46" t="s">
        <v>119</v>
      </c>
      <c r="C56" s="44">
        <v>0</v>
      </c>
      <c r="D56" s="44"/>
      <c r="E56" s="45" t="s">
        <v>117</v>
      </c>
      <c r="F56" s="45"/>
      <c r="G56" s="26"/>
    </row>
    <row r="57" spans="1:7" s="4" customFormat="1">
      <c r="A57" s="3"/>
      <c r="B57" s="46" t="s">
        <v>120</v>
      </c>
      <c r="C57" s="44"/>
      <c r="D57" s="44"/>
      <c r="E57" s="45" t="s">
        <v>117</v>
      </c>
      <c r="F57" s="45"/>
      <c r="G57" s="26"/>
    </row>
    <row r="58" spans="1:7" s="4" customFormat="1">
      <c r="A58" s="3"/>
      <c r="B58" s="21" t="s">
        <v>121</v>
      </c>
      <c r="C58" s="22"/>
      <c r="D58" s="22">
        <v>300</v>
      </c>
      <c r="E58" s="31" t="s">
        <v>122</v>
      </c>
      <c r="F58" s="25"/>
      <c r="G58" s="30"/>
    </row>
    <row r="59" spans="1:7" s="4" customFormat="1">
      <c r="A59" s="3"/>
      <c r="B59" s="21" t="s">
        <v>123</v>
      </c>
      <c r="C59" s="22">
        <v>100</v>
      </c>
      <c r="D59" s="22"/>
      <c r="E59" s="31" t="s">
        <v>122</v>
      </c>
      <c r="F59" s="25"/>
      <c r="G59" s="30"/>
    </row>
    <row r="60" spans="1:7" s="4" customFormat="1">
      <c r="A60" s="3"/>
      <c r="B60" s="21" t="s">
        <v>124</v>
      </c>
      <c r="C60" s="22">
        <v>100</v>
      </c>
      <c r="D60" s="22"/>
      <c r="E60" s="31" t="s">
        <v>122</v>
      </c>
      <c r="F60" s="25"/>
      <c r="G60" s="30"/>
    </row>
    <row r="61" spans="1:7" s="4" customFormat="1">
      <c r="A61" s="3"/>
      <c r="B61" s="21" t="s">
        <v>125</v>
      </c>
      <c r="C61" s="22">
        <v>100</v>
      </c>
      <c r="D61" s="22"/>
      <c r="E61" s="31" t="s">
        <v>122</v>
      </c>
      <c r="F61" s="25"/>
      <c r="G61" s="30"/>
    </row>
    <row r="62" spans="1:7" s="4" customFormat="1">
      <c r="A62" s="3"/>
      <c r="B62" s="21" t="s">
        <v>121</v>
      </c>
      <c r="C62" s="22">
        <v>220</v>
      </c>
      <c r="D62" s="22"/>
      <c r="E62" s="31" t="s">
        <v>122</v>
      </c>
      <c r="F62" s="25"/>
      <c r="G62" s="30"/>
    </row>
    <row r="63" spans="1:7" s="4" customFormat="1">
      <c r="A63" s="3"/>
      <c r="B63" s="21" t="s">
        <v>126</v>
      </c>
      <c r="C63" s="22">
        <v>150</v>
      </c>
      <c r="D63" s="22"/>
      <c r="E63" s="25" t="s">
        <v>127</v>
      </c>
      <c r="F63" s="25"/>
      <c r="G63" s="26"/>
    </row>
    <row r="64" spans="1:7" s="4" customFormat="1">
      <c r="A64" s="37"/>
      <c r="C64" s="38">
        <f>SUM(C8:C63)</f>
        <v>10070</v>
      </c>
      <c r="D64" s="38">
        <f>SUM(D8:D63)</f>
        <v>19300</v>
      </c>
      <c r="G64" s="2"/>
    </row>
    <row r="65" spans="1:7">
      <c r="A65" s="3"/>
      <c r="B65" s="32"/>
      <c r="C65" s="4"/>
      <c r="D65" s="39"/>
      <c r="E65" s="4"/>
      <c r="F65" s="4"/>
      <c r="G65" s="2"/>
    </row>
    <row r="66" spans="1:7" ht="16.5">
      <c r="A66" s="40"/>
      <c r="B66" s="41" t="s">
        <v>131</v>
      </c>
      <c r="C66" s="41"/>
      <c r="D66" s="42">
        <f>C64+D64</f>
        <v>29370</v>
      </c>
      <c r="E66" s="4"/>
      <c r="F66" s="4"/>
      <c r="G66" s="2"/>
    </row>
    <row r="67" spans="1:7" ht="15.75" thickBot="1">
      <c r="A67" s="8"/>
      <c r="B67" s="9"/>
      <c r="C67" s="9"/>
      <c r="D67" s="9"/>
      <c r="E67" s="9"/>
      <c r="F67" s="9"/>
      <c r="G67" s="10"/>
    </row>
  </sheetData>
  <mergeCells count="4">
    <mergeCell ref="A1:G1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Petty Cash Declaration</vt:lpstr>
      <vt:lpstr>Worksheet</vt:lpstr>
      <vt:lpstr>'Petty Cash Declaration'!Print_Area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reimannm</dc:creator>
  <cp:lastModifiedBy>Sandra Henry</cp:lastModifiedBy>
  <cp:lastPrinted>2012-03-20T04:52:11Z</cp:lastPrinted>
  <dcterms:created xsi:type="dcterms:W3CDTF">2008-11-28T02:29:37Z</dcterms:created>
  <dcterms:modified xsi:type="dcterms:W3CDTF">2012-03-20T05:16:02Z</dcterms:modified>
</cp:coreProperties>
</file>