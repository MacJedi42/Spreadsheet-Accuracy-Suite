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8975" windowHeight="11190"/>
  </bookViews>
  <sheets>
    <sheet name="Resident FTE" sheetId="1" r:id="rId1"/>
    <sheet name="% Change Resident FTE" sheetId="2" r:id="rId2"/>
    <sheet name="Non-Resident FTE" sheetId="3" r:id="rId3"/>
    <sheet name="% Change Non-Resident FTE" sheetId="4" r:id="rId4"/>
    <sheet name="Total FTE" sheetId="5" r:id="rId5"/>
    <sheet name="% Change Total FTE" sheetId="6" r:id="rId6"/>
  </sheets>
  <externalReferences>
    <externalReference r:id="rId7"/>
    <externalReference r:id="rId8"/>
  </externalReferences>
  <definedNames>
    <definedName name="_xlnm.Print_Area" localSheetId="3">'% Change Non-Resident FTE'!$A$1:$R$48</definedName>
    <definedName name="_xlnm.Print_Area" localSheetId="1">'% Change Resident FTE'!$A$1:$S$48</definedName>
    <definedName name="_xlnm.Print_Area" localSheetId="5">'% Change Total FTE'!$A$1:$S$48</definedName>
    <definedName name="_xlnm.Print_Area" localSheetId="2">'Non-Resident FTE'!$A$1:$T$48</definedName>
    <definedName name="_xlnm.Print_Area" localSheetId="0">'Resident FTE'!$A$1:$T$48</definedName>
    <definedName name="_xlnm.Print_Area" localSheetId="4">'Total FTE'!$A$1:$T$48</definedName>
    <definedName name="QRY_FTETOTAL">#REF!</definedName>
  </definedNames>
  <calcPr calcId="125725"/>
</workbook>
</file>

<file path=xl/calcChain.xml><?xml version="1.0" encoding="utf-8"?>
<calcChain xmlns="http://schemas.openxmlformats.org/spreadsheetml/2006/main">
  <c r="T45" i="5"/>
  <c r="S45" i="6" s="1"/>
  <c r="S45" i="5"/>
  <c r="R45"/>
  <c r="Q45" i="6" s="1"/>
  <c r="Q45" i="5"/>
  <c r="P45"/>
  <c r="O45" i="6" s="1"/>
  <c r="O45" i="5"/>
  <c r="N45"/>
  <c r="M45" i="6" s="1"/>
  <c r="M45" i="5"/>
  <c r="L45"/>
  <c r="K45" i="6" s="1"/>
  <c r="K45" i="5"/>
  <c r="J45"/>
  <c r="I45" i="6" s="1"/>
  <c r="I45" i="5"/>
  <c r="H45"/>
  <c r="G45" i="6" s="1"/>
  <c r="G45" i="5"/>
  <c r="F45"/>
  <c r="E45" i="6" s="1"/>
  <c r="E45" i="5"/>
  <c r="D45"/>
  <c r="C45" i="6" s="1"/>
  <c r="C45" i="5"/>
  <c r="B45"/>
  <c r="T44"/>
  <c r="S44"/>
  <c r="R44" i="6" s="1"/>
  <c r="R44" i="5"/>
  <c r="Q44"/>
  <c r="P44" i="6" s="1"/>
  <c r="P44" i="5"/>
  <c r="O44"/>
  <c r="N44" i="6" s="1"/>
  <c r="N44" i="5"/>
  <c r="M44"/>
  <c r="L44" i="6" s="1"/>
  <c r="L44" i="5"/>
  <c r="K44"/>
  <c r="J44" i="6" s="1"/>
  <c r="J44" i="5"/>
  <c r="I44"/>
  <c r="H44" i="6" s="1"/>
  <c r="H44" i="5"/>
  <c r="G44"/>
  <c r="F44" i="6" s="1"/>
  <c r="F44" i="5"/>
  <c r="E44"/>
  <c r="D44" i="6" s="1"/>
  <c r="D44" i="5"/>
  <c r="C44"/>
  <c r="B44" i="6" s="1"/>
  <c r="B44" i="5"/>
  <c r="T43"/>
  <c r="R43"/>
  <c r="Q43" i="6" s="1"/>
  <c r="Q43" i="5"/>
  <c r="P43"/>
  <c r="N43"/>
  <c r="L43"/>
  <c r="J43"/>
  <c r="H43"/>
  <c r="F43"/>
  <c r="D43"/>
  <c r="B43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T30"/>
  <c r="T29" s="1"/>
  <c r="S30"/>
  <c r="R30"/>
  <c r="Q30"/>
  <c r="P30"/>
  <c r="O30"/>
  <c r="N30"/>
  <c r="M30"/>
  <c r="L30"/>
  <c r="L29" s="1"/>
  <c r="K30"/>
  <c r="J30"/>
  <c r="I30"/>
  <c r="H30"/>
  <c r="G30"/>
  <c r="F30"/>
  <c r="E30"/>
  <c r="D30"/>
  <c r="D29" s="1"/>
  <c r="C30"/>
  <c r="B30"/>
  <c r="P29"/>
  <c r="H29"/>
  <c r="S28"/>
  <c r="R28" i="6" s="1"/>
  <c r="R28" i="5"/>
  <c r="Q28"/>
  <c r="P28" i="6" s="1"/>
  <c r="P28" i="5"/>
  <c r="O28"/>
  <c r="N28" i="6" s="1"/>
  <c r="N28" i="5"/>
  <c r="M28"/>
  <c r="L28" i="6" s="1"/>
  <c r="L28" i="5"/>
  <c r="K28"/>
  <c r="J28" i="6" s="1"/>
  <c r="J28" i="5"/>
  <c r="I28"/>
  <c r="H28" i="6" s="1"/>
  <c r="H28" i="5"/>
  <c r="G28"/>
  <c r="F28" i="6" s="1"/>
  <c r="F28" i="5"/>
  <c r="E28"/>
  <c r="D28" i="6" s="1"/>
  <c r="D28" i="5"/>
  <c r="C28"/>
  <c r="B28" i="6" s="1"/>
  <c r="B28" i="5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S24"/>
  <c r="R24" i="6" s="1"/>
  <c r="R24" i="5"/>
  <c r="Q24"/>
  <c r="P24" i="6" s="1"/>
  <c r="P24" i="5"/>
  <c r="O24"/>
  <c r="M24"/>
  <c r="L24"/>
  <c r="K24"/>
  <c r="J24"/>
  <c r="I24"/>
  <c r="H24"/>
  <c r="G24"/>
  <c r="F24"/>
  <c r="E24"/>
  <c r="D24"/>
  <c r="C24"/>
  <c r="B24"/>
  <c r="S22"/>
  <c r="R22"/>
  <c r="Q22" i="6" s="1"/>
  <c r="Q22" i="5"/>
  <c r="P22"/>
  <c r="O22" i="6" s="1"/>
  <c r="O22" i="5"/>
  <c r="N22"/>
  <c r="M22" i="6" s="1"/>
  <c r="M22" i="5"/>
  <c r="L22"/>
  <c r="K22" i="6" s="1"/>
  <c r="K22" i="5"/>
  <c r="J22"/>
  <c r="I22" i="6" s="1"/>
  <c r="I22" i="5"/>
  <c r="H22"/>
  <c r="G22" i="6" s="1"/>
  <c r="G22" i="5"/>
  <c r="F22"/>
  <c r="E22" i="6" s="1"/>
  <c r="E22" i="5"/>
  <c r="D22"/>
  <c r="C22" i="6" s="1"/>
  <c r="C22" i="5"/>
  <c r="B22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K18"/>
  <c r="J18"/>
  <c r="I18" i="6" s="1"/>
  <c r="I18" i="5"/>
  <c r="H18"/>
  <c r="G18" i="6" s="1"/>
  <c r="G18" i="5"/>
  <c r="F18"/>
  <c r="E18" i="6" s="1"/>
  <c r="E18" i="5"/>
  <c r="D18"/>
  <c r="C18" i="6" s="1"/>
  <c r="C18" i="5"/>
  <c r="B18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P15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T13"/>
  <c r="S13"/>
  <c r="R13"/>
  <c r="Q13"/>
  <c r="P13"/>
  <c r="O13"/>
  <c r="N13"/>
  <c r="M13"/>
  <c r="L13"/>
  <c r="K13"/>
  <c r="J13" i="6" s="1"/>
  <c r="J13" i="5"/>
  <c r="I13"/>
  <c r="H13" i="6" s="1"/>
  <c r="H13" i="5"/>
  <c r="G13"/>
  <c r="F13" i="6" s="1"/>
  <c r="F13" i="5"/>
  <c r="E13"/>
  <c r="D13" i="6" s="1"/>
  <c r="D13" i="5"/>
  <c r="C13"/>
  <c r="B13" i="6" s="1"/>
  <c r="B13" i="5"/>
  <c r="T12"/>
  <c r="S12" i="6" s="1"/>
  <c r="S12" i="5"/>
  <c r="R12"/>
  <c r="Q12" i="6" s="1"/>
  <c r="Q12" i="5"/>
  <c r="P12"/>
  <c r="O12" i="6" s="1"/>
  <c r="O12" i="5"/>
  <c r="N12"/>
  <c r="M12" i="6" s="1"/>
  <c r="M12" i="5"/>
  <c r="L12"/>
  <c r="K12" i="6" s="1"/>
  <c r="K12" i="5"/>
  <c r="J12"/>
  <c r="I12" i="6" s="1"/>
  <c r="I12" i="5"/>
  <c r="H12"/>
  <c r="G12" i="6" s="1"/>
  <c r="G12" i="5"/>
  <c r="F12"/>
  <c r="E12" i="6" s="1"/>
  <c r="E12" i="5"/>
  <c r="D12"/>
  <c r="C12" i="6" s="1"/>
  <c r="C12" i="5"/>
  <c r="B12"/>
  <c r="B11" s="1"/>
  <c r="N11"/>
  <c r="F11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T9"/>
  <c r="S9"/>
  <c r="R9"/>
  <c r="Q9"/>
  <c r="P9"/>
  <c r="O9"/>
  <c r="N9"/>
  <c r="M9"/>
  <c r="L9"/>
  <c r="K9"/>
  <c r="J9"/>
  <c r="I9"/>
  <c r="H9"/>
  <c r="G9"/>
  <c r="F9"/>
  <c r="E9"/>
  <c r="D9"/>
  <c r="C9"/>
  <c r="B9"/>
  <c r="T8"/>
  <c r="S8"/>
  <c r="R8"/>
  <c r="Q8"/>
  <c r="P8"/>
  <c r="O8"/>
  <c r="N8"/>
  <c r="M8"/>
  <c r="L8"/>
  <c r="K8"/>
  <c r="J8"/>
  <c r="I8"/>
  <c r="H8"/>
  <c r="G8"/>
  <c r="F8"/>
  <c r="E8"/>
  <c r="D8"/>
  <c r="C8"/>
  <c r="B8"/>
  <c r="T7"/>
  <c r="S7"/>
  <c r="R7"/>
  <c r="Q7"/>
  <c r="P7"/>
  <c r="O7"/>
  <c r="N7"/>
  <c r="M7"/>
  <c r="M6" s="1"/>
  <c r="L7"/>
  <c r="K7"/>
  <c r="J7"/>
  <c r="I7"/>
  <c r="H7"/>
  <c r="G7"/>
  <c r="F7"/>
  <c r="E7"/>
  <c r="E6" s="1"/>
  <c r="D7"/>
  <c r="C7"/>
  <c r="B7"/>
  <c r="Q6"/>
  <c r="I6"/>
  <c r="S45" i="4"/>
  <c r="R45"/>
  <c r="Q45"/>
  <c r="P45"/>
  <c r="O45"/>
  <c r="N45"/>
  <c r="M45"/>
  <c r="L45"/>
  <c r="K45"/>
  <c r="J45"/>
  <c r="I45"/>
  <c r="H45"/>
  <c r="G45"/>
  <c r="F45"/>
  <c r="E45"/>
  <c r="D45"/>
  <c r="C45"/>
  <c r="B45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S36"/>
  <c r="R36"/>
  <c r="Q36"/>
  <c r="P36"/>
  <c r="O36"/>
  <c r="N36"/>
  <c r="M36"/>
  <c r="L36"/>
  <c r="K36"/>
  <c r="J36"/>
  <c r="H36"/>
  <c r="G36"/>
  <c r="F36"/>
  <c r="E36"/>
  <c r="D36"/>
  <c r="C36"/>
  <c r="B36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S34"/>
  <c r="R34"/>
  <c r="Q34"/>
  <c r="P34"/>
  <c r="O34"/>
  <c r="N34"/>
  <c r="M34"/>
  <c r="J34"/>
  <c r="I34"/>
  <c r="H34"/>
  <c r="G34"/>
  <c r="F34"/>
  <c r="E34"/>
  <c r="D34"/>
  <c r="C34"/>
  <c r="B34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R28"/>
  <c r="Q28"/>
  <c r="P28"/>
  <c r="O28"/>
  <c r="N28"/>
  <c r="M28"/>
  <c r="L28"/>
  <c r="K28"/>
  <c r="J28"/>
  <c r="I28"/>
  <c r="H28"/>
  <c r="G28"/>
  <c r="F28"/>
  <c r="E28"/>
  <c r="D28"/>
  <c r="C28"/>
  <c r="B28"/>
  <c r="R26"/>
  <c r="Q26"/>
  <c r="P26"/>
  <c r="O26"/>
  <c r="N26"/>
  <c r="M26"/>
  <c r="L26"/>
  <c r="K26"/>
  <c r="J26"/>
  <c r="I26"/>
  <c r="H26"/>
  <c r="G26"/>
  <c r="F26"/>
  <c r="E26"/>
  <c r="D26"/>
  <c r="C26"/>
  <c r="B26"/>
  <c r="R24"/>
  <c r="Q24"/>
  <c r="P24"/>
  <c r="O24"/>
  <c r="L24"/>
  <c r="K24"/>
  <c r="J24"/>
  <c r="I24"/>
  <c r="H24"/>
  <c r="G24"/>
  <c r="F24"/>
  <c r="E24"/>
  <c r="D24"/>
  <c r="C24"/>
  <c r="B24"/>
  <c r="R22"/>
  <c r="Q22"/>
  <c r="P22"/>
  <c r="O22"/>
  <c r="N22"/>
  <c r="M22"/>
  <c r="L22"/>
  <c r="K22"/>
  <c r="J22"/>
  <c r="I22"/>
  <c r="H22"/>
  <c r="G22"/>
  <c r="F22"/>
  <c r="E22"/>
  <c r="D22"/>
  <c r="C22"/>
  <c r="B22"/>
  <c r="R20"/>
  <c r="Q20"/>
  <c r="P20"/>
  <c r="O20"/>
  <c r="N20"/>
  <c r="M20"/>
  <c r="L20"/>
  <c r="K20"/>
  <c r="J20"/>
  <c r="I20"/>
  <c r="H20"/>
  <c r="G20"/>
  <c r="F20"/>
  <c r="E20"/>
  <c r="D20"/>
  <c r="C20"/>
  <c r="B20"/>
  <c r="J18"/>
  <c r="I18"/>
  <c r="H18"/>
  <c r="G18"/>
  <c r="F18"/>
  <c r="E18"/>
  <c r="D18"/>
  <c r="C18"/>
  <c r="B18"/>
  <c r="R16"/>
  <c r="Q16"/>
  <c r="P16"/>
  <c r="O16"/>
  <c r="N16"/>
  <c r="M16"/>
  <c r="L16"/>
  <c r="K16"/>
  <c r="J16"/>
  <c r="I16"/>
  <c r="H16"/>
  <c r="G16"/>
  <c r="F16"/>
  <c r="E16"/>
  <c r="D16"/>
  <c r="C16"/>
  <c r="B16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S9"/>
  <c r="R9"/>
  <c r="Q9"/>
  <c r="P9"/>
  <c r="O9"/>
  <c r="N9"/>
  <c r="M9"/>
  <c r="L9"/>
  <c r="K9"/>
  <c r="J9"/>
  <c r="I9"/>
  <c r="H9"/>
  <c r="G9"/>
  <c r="F9"/>
  <c r="E9"/>
  <c r="D9"/>
  <c r="C9"/>
  <c r="B9"/>
  <c r="S8"/>
  <c r="R8"/>
  <c r="Q8"/>
  <c r="P8"/>
  <c r="O8"/>
  <c r="N8"/>
  <c r="M8"/>
  <c r="L8"/>
  <c r="K8"/>
  <c r="J8"/>
  <c r="I8"/>
  <c r="H8"/>
  <c r="G8"/>
  <c r="F8"/>
  <c r="E8"/>
  <c r="D8"/>
  <c r="C8"/>
  <c r="B8"/>
  <c r="S7"/>
  <c r="R7"/>
  <c r="Q7"/>
  <c r="P7"/>
  <c r="O7"/>
  <c r="N7"/>
  <c r="M7"/>
  <c r="L7"/>
  <c r="K7"/>
  <c r="J7"/>
  <c r="I7"/>
  <c r="H7"/>
  <c r="G7"/>
  <c r="F7"/>
  <c r="E7"/>
  <c r="D7"/>
  <c r="C7"/>
  <c r="B7"/>
  <c r="T47" i="3"/>
  <c r="S47" i="4" s="1"/>
  <c r="S47" i="3"/>
  <c r="R47" i="4" s="1"/>
  <c r="R47" i="3"/>
  <c r="Q47" i="4" s="1"/>
  <c r="Q47" i="3"/>
  <c r="P47" i="4" s="1"/>
  <c r="P47" i="3"/>
  <c r="O47" i="4" s="1"/>
  <c r="O47" i="3"/>
  <c r="N47" i="4" s="1"/>
  <c r="N47" i="3"/>
  <c r="M47" i="4" s="1"/>
  <c r="M47" i="3"/>
  <c r="L47" i="4" s="1"/>
  <c r="L47" i="3"/>
  <c r="K47" i="4" s="1"/>
  <c r="K47" i="3"/>
  <c r="J47" i="4" s="1"/>
  <c r="J47" i="3"/>
  <c r="I47" i="4" s="1"/>
  <c r="I47" i="3"/>
  <c r="H47" i="4" s="1"/>
  <c r="H47" i="3"/>
  <c r="G47" i="4" s="1"/>
  <c r="G47" i="3"/>
  <c r="F47" i="4" s="1"/>
  <c r="F47" i="3"/>
  <c r="E47" i="4" s="1"/>
  <c r="E47" i="3"/>
  <c r="D47" i="4" s="1"/>
  <c r="D47" i="3"/>
  <c r="C47" i="4" s="1"/>
  <c r="C47" i="3"/>
  <c r="B47" i="4" s="1"/>
  <c r="B47" i="3"/>
  <c r="T43"/>
  <c r="S43" i="4" s="1"/>
  <c r="S43" i="3"/>
  <c r="R43" i="4" s="1"/>
  <c r="R43" i="3"/>
  <c r="Q43" i="4" s="1"/>
  <c r="Q43" i="3"/>
  <c r="P43" i="4" s="1"/>
  <c r="P43" i="3"/>
  <c r="O43" i="4" s="1"/>
  <c r="O43" i="3"/>
  <c r="N43" i="4" s="1"/>
  <c r="N43" i="3"/>
  <c r="M43" i="4" s="1"/>
  <c r="M43" i="3"/>
  <c r="L43" i="4" s="1"/>
  <c r="L43" i="3"/>
  <c r="K43" i="4" s="1"/>
  <c r="K43" i="3"/>
  <c r="J43" i="4" s="1"/>
  <c r="J43" i="3"/>
  <c r="I43" i="4" s="1"/>
  <c r="I43" i="3"/>
  <c r="H43" i="4" s="1"/>
  <c r="H43" i="3"/>
  <c r="G43" i="4" s="1"/>
  <c r="G43" i="3"/>
  <c r="F43" i="4" s="1"/>
  <c r="F43" i="3"/>
  <c r="E43" i="4" s="1"/>
  <c r="E43" i="3"/>
  <c r="D43" i="4" s="1"/>
  <c r="D43" i="3"/>
  <c r="C43" i="4" s="1"/>
  <c r="C43" i="3"/>
  <c r="B43" i="4" s="1"/>
  <c r="B43" i="3"/>
  <c r="T29"/>
  <c r="S29" i="4" s="1"/>
  <c r="S29" i="3"/>
  <c r="R29" i="4" s="1"/>
  <c r="R29" i="3"/>
  <c r="Q29" i="4" s="1"/>
  <c r="Q29" i="3"/>
  <c r="P29" i="4" s="1"/>
  <c r="P29" i="3"/>
  <c r="O29" i="4" s="1"/>
  <c r="O29" i="3"/>
  <c r="N29" i="4" s="1"/>
  <c r="N29" i="3"/>
  <c r="M29" i="4" s="1"/>
  <c r="M29" i="3"/>
  <c r="L29" i="4" s="1"/>
  <c r="L29" i="3"/>
  <c r="K29" i="4" s="1"/>
  <c r="K29" i="3"/>
  <c r="J29" i="4" s="1"/>
  <c r="J29" i="3"/>
  <c r="I29" i="4" s="1"/>
  <c r="I29" i="3"/>
  <c r="H29" i="4" s="1"/>
  <c r="H29" i="3"/>
  <c r="G29" i="4" s="1"/>
  <c r="G29" i="3"/>
  <c r="F29" i="4" s="1"/>
  <c r="F29" i="3"/>
  <c r="E29" i="4" s="1"/>
  <c r="E29" i="3"/>
  <c r="D29" i="4" s="1"/>
  <c r="D29" i="3"/>
  <c r="C29" i="4" s="1"/>
  <c r="C29" i="3"/>
  <c r="B29" i="4" s="1"/>
  <c r="B29" i="3"/>
  <c r="T28"/>
  <c r="T28" i="5" s="1"/>
  <c r="S28" i="6" s="1"/>
  <c r="T26" i="3"/>
  <c r="T26" i="5" s="1"/>
  <c r="S26" i="6" s="1"/>
  <c r="T24" i="3"/>
  <c r="T24" i="5" s="1"/>
  <c r="S24" i="6" s="1"/>
  <c r="N24" i="3"/>
  <c r="N24" i="4" s="1"/>
  <c r="T22" i="3"/>
  <c r="T22" i="5" s="1"/>
  <c r="S22" i="6" s="1"/>
  <c r="T20" i="3"/>
  <c r="T20" i="5" s="1"/>
  <c r="S20" i="6" s="1"/>
  <c r="T18" i="3"/>
  <c r="T18" i="5" s="1"/>
  <c r="S18" i="3"/>
  <c r="R18" i="4" s="1"/>
  <c r="R18" i="3"/>
  <c r="Q18" i="4" s="1"/>
  <c r="Q18" i="3"/>
  <c r="P18" i="4" s="1"/>
  <c r="P18" i="3"/>
  <c r="O18" i="4" s="1"/>
  <c r="O18" i="3"/>
  <c r="N18" i="4" s="1"/>
  <c r="N18" i="3"/>
  <c r="M18" i="4" s="1"/>
  <c r="M18" i="3"/>
  <c r="L18" i="4" s="1"/>
  <c r="L18" i="3"/>
  <c r="K18" i="4" s="1"/>
  <c r="T16" i="3"/>
  <c r="T16" i="5" s="1"/>
  <c r="S16" i="6" s="1"/>
  <c r="T11" i="3"/>
  <c r="S11" i="4" s="1"/>
  <c r="S11" i="3"/>
  <c r="R11" i="4" s="1"/>
  <c r="R11" i="3"/>
  <c r="Q11" i="4" s="1"/>
  <c r="Q11" i="3"/>
  <c r="P11" i="4" s="1"/>
  <c r="P11" i="3"/>
  <c r="O11" i="4" s="1"/>
  <c r="O11" i="3"/>
  <c r="N11" i="4" s="1"/>
  <c r="N11" i="3"/>
  <c r="M11" i="4" s="1"/>
  <c r="M11" i="3"/>
  <c r="L11" i="4" s="1"/>
  <c r="L11" i="3"/>
  <c r="K11" i="4" s="1"/>
  <c r="K11" i="3"/>
  <c r="J11" i="4" s="1"/>
  <c r="J11" i="3"/>
  <c r="I11" i="4" s="1"/>
  <c r="I11" i="3"/>
  <c r="H11" i="4" s="1"/>
  <c r="H11" i="3"/>
  <c r="G11" i="4" s="1"/>
  <c r="G11" i="3"/>
  <c r="F11" i="4" s="1"/>
  <c r="F11" i="3"/>
  <c r="E11" i="4" s="1"/>
  <c r="E11" i="3"/>
  <c r="D11" i="4" s="1"/>
  <c r="D11" i="3"/>
  <c r="C11" i="4" s="1"/>
  <c r="C11" i="3"/>
  <c r="B11" i="4" s="1"/>
  <c r="B11" i="3"/>
  <c r="T6"/>
  <c r="S6" i="4" s="1"/>
  <c r="S6" i="3"/>
  <c r="R6" i="4" s="1"/>
  <c r="R6" i="3"/>
  <c r="Q6" i="4" s="1"/>
  <c r="Q6" i="3"/>
  <c r="P6" i="4" s="1"/>
  <c r="P6" i="3"/>
  <c r="O6" i="4" s="1"/>
  <c r="O6" i="3"/>
  <c r="N6" i="4" s="1"/>
  <c r="N6" i="3"/>
  <c r="M6" i="4" s="1"/>
  <c r="M6" i="3"/>
  <c r="L6" i="4" s="1"/>
  <c r="L6" i="3"/>
  <c r="K6" i="4" s="1"/>
  <c r="K6" i="3"/>
  <c r="J6" i="4" s="1"/>
  <c r="J6" i="3"/>
  <c r="I6" i="4" s="1"/>
  <c r="I6" i="3"/>
  <c r="H6" i="4" s="1"/>
  <c r="H6" i="3"/>
  <c r="G6" i="4" s="1"/>
  <c r="G6" i="3"/>
  <c r="F6" i="4" s="1"/>
  <c r="F6" i="3"/>
  <c r="E6" i="4" s="1"/>
  <c r="E6" i="3"/>
  <c r="D6" i="4" s="1"/>
  <c r="D6" i="3"/>
  <c r="C6" i="4" s="1"/>
  <c r="C6" i="3"/>
  <c r="B6" i="4" s="1"/>
  <c r="B6" i="3"/>
  <c r="B46" s="1"/>
  <c r="B48" s="1"/>
  <c r="S45" i="2"/>
  <c r="R45"/>
  <c r="Q45"/>
  <c r="P45"/>
  <c r="O45"/>
  <c r="N45"/>
  <c r="M45"/>
  <c r="L45"/>
  <c r="K45"/>
  <c r="J45"/>
  <c r="I45"/>
  <c r="H45"/>
  <c r="G45"/>
  <c r="F45"/>
  <c r="E45"/>
  <c r="D45"/>
  <c r="C45"/>
  <c r="B45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S24"/>
  <c r="R24"/>
  <c r="Q24"/>
  <c r="P24"/>
  <c r="O24"/>
  <c r="L24"/>
  <c r="K24"/>
  <c r="J24"/>
  <c r="I24"/>
  <c r="H24"/>
  <c r="G24"/>
  <c r="F24"/>
  <c r="E24"/>
  <c r="D24"/>
  <c r="C24"/>
  <c r="B24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J18"/>
  <c r="I18"/>
  <c r="H18"/>
  <c r="G18"/>
  <c r="F18"/>
  <c r="E18"/>
  <c r="D18"/>
  <c r="C18"/>
  <c r="B18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S9"/>
  <c r="R9"/>
  <c r="Q9"/>
  <c r="P9"/>
  <c r="O9"/>
  <c r="N9"/>
  <c r="M9"/>
  <c r="L9"/>
  <c r="K9"/>
  <c r="J9"/>
  <c r="I9"/>
  <c r="H9"/>
  <c r="G9"/>
  <c r="F9"/>
  <c r="E9"/>
  <c r="D9"/>
  <c r="C9"/>
  <c r="B9"/>
  <c r="S8"/>
  <c r="R8"/>
  <c r="Q8"/>
  <c r="P8"/>
  <c r="O8"/>
  <c r="N8"/>
  <c r="M8"/>
  <c r="L8"/>
  <c r="K8"/>
  <c r="J8"/>
  <c r="I8"/>
  <c r="H8"/>
  <c r="G8"/>
  <c r="F8"/>
  <c r="E8"/>
  <c r="D8"/>
  <c r="C8"/>
  <c r="B8"/>
  <c r="S7"/>
  <c r="R7"/>
  <c r="Q7"/>
  <c r="P7"/>
  <c r="O7"/>
  <c r="N7"/>
  <c r="M7"/>
  <c r="L7"/>
  <c r="K7"/>
  <c r="J7"/>
  <c r="I7"/>
  <c r="H7"/>
  <c r="G7"/>
  <c r="F7"/>
  <c r="E7"/>
  <c r="D7"/>
  <c r="C7"/>
  <c r="B7"/>
  <c r="T47" i="1"/>
  <c r="S47" i="2" s="1"/>
  <c r="S47" i="1"/>
  <c r="R47"/>
  <c r="Q47" i="2" s="1"/>
  <c r="Q47" i="1"/>
  <c r="P47"/>
  <c r="O47" i="2" s="1"/>
  <c r="O47" i="1"/>
  <c r="N47"/>
  <c r="M47" i="2" s="1"/>
  <c r="M47" i="1"/>
  <c r="L47"/>
  <c r="K47" i="2" s="1"/>
  <c r="K47" i="1"/>
  <c r="J47"/>
  <c r="I47" i="2" s="1"/>
  <c r="I47" i="1"/>
  <c r="H47"/>
  <c r="G47" i="2" s="1"/>
  <c r="G47" i="1"/>
  <c r="F47"/>
  <c r="E47" i="2" s="1"/>
  <c r="E47" i="1"/>
  <c r="D47"/>
  <c r="C47" i="2" s="1"/>
  <c r="C47" i="1"/>
  <c r="B47"/>
  <c r="T43"/>
  <c r="S43" i="2" s="1"/>
  <c r="S43" i="1"/>
  <c r="R43"/>
  <c r="Q43" i="2" s="1"/>
  <c r="Q43" i="1"/>
  <c r="P43"/>
  <c r="O43" i="2" s="1"/>
  <c r="O43" i="1"/>
  <c r="N43"/>
  <c r="M43" i="2" s="1"/>
  <c r="M43" i="1"/>
  <c r="L43"/>
  <c r="K43" i="2" s="1"/>
  <c r="K43" i="1"/>
  <c r="J43"/>
  <c r="I43" i="2" s="1"/>
  <c r="I43" i="1"/>
  <c r="H43"/>
  <c r="G43" i="2" s="1"/>
  <c r="G43" i="1"/>
  <c r="F43"/>
  <c r="E43" i="2" s="1"/>
  <c r="E43" i="1"/>
  <c r="D43"/>
  <c r="C43" i="2" s="1"/>
  <c r="C43" i="1"/>
  <c r="B43"/>
  <c r="T29"/>
  <c r="S29"/>
  <c r="R29" i="2" s="1"/>
  <c r="R29" i="1"/>
  <c r="Q29"/>
  <c r="P29" i="2" s="1"/>
  <c r="P29" i="1"/>
  <c r="O29"/>
  <c r="N29" i="2" s="1"/>
  <c r="N29" i="1"/>
  <c r="M29"/>
  <c r="L29" i="2" s="1"/>
  <c r="L29" i="1"/>
  <c r="K29"/>
  <c r="J29" i="2" s="1"/>
  <c r="J29" i="1"/>
  <c r="I29"/>
  <c r="H29" i="2" s="1"/>
  <c r="H29" i="1"/>
  <c r="G29"/>
  <c r="F29" i="2" s="1"/>
  <c r="F29" i="1"/>
  <c r="E29"/>
  <c r="D29" i="2" s="1"/>
  <c r="D29" i="1"/>
  <c r="C29"/>
  <c r="B29" i="2" s="1"/>
  <c r="B29" i="1"/>
  <c r="N24"/>
  <c r="S18"/>
  <c r="R18"/>
  <c r="Q18"/>
  <c r="P18"/>
  <c r="O18"/>
  <c r="N18"/>
  <c r="M18"/>
  <c r="L18"/>
  <c r="T11"/>
  <c r="S11"/>
  <c r="R11" i="2" s="1"/>
  <c r="R11" i="1"/>
  <c r="Q11"/>
  <c r="P11" i="2" s="1"/>
  <c r="P11" i="1"/>
  <c r="O11"/>
  <c r="N11" i="2" s="1"/>
  <c r="N11" i="1"/>
  <c r="M11"/>
  <c r="L11" i="2" s="1"/>
  <c r="L11" i="1"/>
  <c r="K11"/>
  <c r="J11" i="2" s="1"/>
  <c r="J11" i="1"/>
  <c r="I11"/>
  <c r="H11" i="2" s="1"/>
  <c r="H11" i="1"/>
  <c r="G11"/>
  <c r="F11" i="2" s="1"/>
  <c r="F11" i="1"/>
  <c r="E11"/>
  <c r="D11" i="2" s="1"/>
  <c r="D11" i="1"/>
  <c r="C11"/>
  <c r="B11" i="2" s="1"/>
  <c r="B11" i="1"/>
  <c r="T6"/>
  <c r="S6" i="2" s="1"/>
  <c r="S6" i="1"/>
  <c r="R6"/>
  <c r="Q6" i="2" s="1"/>
  <c r="Q6" i="1"/>
  <c r="P6"/>
  <c r="O6" i="2" s="1"/>
  <c r="O6" i="1"/>
  <c r="N6"/>
  <c r="M6" i="2" s="1"/>
  <c r="M6" i="1"/>
  <c r="L6"/>
  <c r="K6" i="2" s="1"/>
  <c r="K6" i="1"/>
  <c r="J6"/>
  <c r="I6" i="2" s="1"/>
  <c r="I6" i="1"/>
  <c r="H6"/>
  <c r="G6" i="2" s="1"/>
  <c r="G6" i="1"/>
  <c r="F6"/>
  <c r="E6" i="2" s="1"/>
  <c r="E6" i="1"/>
  <c r="D6"/>
  <c r="C6" i="2" s="1"/>
  <c r="C6" i="1"/>
  <c r="B6"/>
  <c r="B46" s="1"/>
  <c r="B48" s="1"/>
  <c r="B6" i="5" l="1"/>
  <c r="C7" i="6"/>
  <c r="E7"/>
  <c r="G7"/>
  <c r="I7"/>
  <c r="K7"/>
  <c r="M7"/>
  <c r="O7"/>
  <c r="Q7"/>
  <c r="S7"/>
  <c r="B8"/>
  <c r="D8"/>
  <c r="F8"/>
  <c r="H8"/>
  <c r="J8"/>
  <c r="L8"/>
  <c r="N8"/>
  <c r="P8"/>
  <c r="R8"/>
  <c r="C9"/>
  <c r="E9"/>
  <c r="G9"/>
  <c r="I9"/>
  <c r="K9"/>
  <c r="M9"/>
  <c r="O9"/>
  <c r="Q9"/>
  <c r="S9"/>
  <c r="B10"/>
  <c r="D10"/>
  <c r="F10"/>
  <c r="H10"/>
  <c r="J10"/>
  <c r="L10"/>
  <c r="N10"/>
  <c r="P10"/>
  <c r="R10"/>
  <c r="J11" i="5"/>
  <c r="R11"/>
  <c r="B30" i="6"/>
  <c r="D30"/>
  <c r="F30"/>
  <c r="H30"/>
  <c r="J30"/>
  <c r="L30"/>
  <c r="N30"/>
  <c r="P30"/>
  <c r="R30"/>
  <c r="B29" i="5"/>
  <c r="C31" i="6"/>
  <c r="E31"/>
  <c r="G31"/>
  <c r="I31"/>
  <c r="K31"/>
  <c r="M31"/>
  <c r="O31"/>
  <c r="Q31"/>
  <c r="S31"/>
  <c r="B32"/>
  <c r="D32"/>
  <c r="F32"/>
  <c r="H32"/>
  <c r="J32"/>
  <c r="L32"/>
  <c r="N32"/>
  <c r="P32"/>
  <c r="R32"/>
  <c r="C33"/>
  <c r="E33"/>
  <c r="G33"/>
  <c r="I33"/>
  <c r="K33"/>
  <c r="M33"/>
  <c r="O33"/>
  <c r="Q33"/>
  <c r="S33"/>
  <c r="B34"/>
  <c r="D34"/>
  <c r="F34"/>
  <c r="H34"/>
  <c r="J34"/>
  <c r="L34"/>
  <c r="N34"/>
  <c r="P34"/>
  <c r="R34"/>
  <c r="C35"/>
  <c r="E35"/>
  <c r="G35"/>
  <c r="I35"/>
  <c r="K35"/>
  <c r="M35"/>
  <c r="O35"/>
  <c r="Q35"/>
  <c r="S35"/>
  <c r="B36"/>
  <c r="D36"/>
  <c r="F36"/>
  <c r="H36"/>
  <c r="J36"/>
  <c r="L36"/>
  <c r="N36"/>
  <c r="P36"/>
  <c r="R36"/>
  <c r="C37"/>
  <c r="E37"/>
  <c r="G37"/>
  <c r="I37"/>
  <c r="K37"/>
  <c r="M37"/>
  <c r="O37"/>
  <c r="Q37"/>
  <c r="S37"/>
  <c r="B38"/>
  <c r="D38"/>
  <c r="F38"/>
  <c r="H38"/>
  <c r="J38"/>
  <c r="L38"/>
  <c r="N38"/>
  <c r="P38"/>
  <c r="R38"/>
  <c r="C39"/>
  <c r="E39"/>
  <c r="G39"/>
  <c r="I39"/>
  <c r="K39"/>
  <c r="M39"/>
  <c r="O39"/>
  <c r="Q39"/>
  <c r="S39"/>
  <c r="B40"/>
  <c r="D40"/>
  <c r="F40"/>
  <c r="H40"/>
  <c r="J40"/>
  <c r="L40"/>
  <c r="N40"/>
  <c r="P40"/>
  <c r="R40"/>
  <c r="C41"/>
  <c r="E41"/>
  <c r="G41"/>
  <c r="I41"/>
  <c r="S43" i="5"/>
  <c r="S43" i="6" s="1"/>
  <c r="C6" i="5"/>
  <c r="B6" i="6" s="1"/>
  <c r="G6" i="5"/>
  <c r="K6"/>
  <c r="O6"/>
  <c r="S6"/>
  <c r="B7" i="6"/>
  <c r="D7"/>
  <c r="F7"/>
  <c r="H7"/>
  <c r="J7"/>
  <c r="L7"/>
  <c r="N7"/>
  <c r="P7"/>
  <c r="R7"/>
  <c r="C8"/>
  <c r="E8"/>
  <c r="G8"/>
  <c r="I8"/>
  <c r="K8"/>
  <c r="M8"/>
  <c r="O8"/>
  <c r="Q8"/>
  <c r="S8"/>
  <c r="B9"/>
  <c r="D9"/>
  <c r="F9"/>
  <c r="H9"/>
  <c r="J9"/>
  <c r="L9"/>
  <c r="N9"/>
  <c r="P9"/>
  <c r="R9"/>
  <c r="C10"/>
  <c r="E10"/>
  <c r="G10"/>
  <c r="I10"/>
  <c r="K10"/>
  <c r="M10"/>
  <c r="O10"/>
  <c r="Q10"/>
  <c r="S10"/>
  <c r="D11" i="5"/>
  <c r="H11"/>
  <c r="L11"/>
  <c r="P11"/>
  <c r="T11"/>
  <c r="B12" i="6"/>
  <c r="D12"/>
  <c r="F12"/>
  <c r="H12"/>
  <c r="J12"/>
  <c r="L12"/>
  <c r="N12"/>
  <c r="P12"/>
  <c r="R12"/>
  <c r="C13"/>
  <c r="E13"/>
  <c r="G13"/>
  <c r="I13"/>
  <c r="K13"/>
  <c r="M13"/>
  <c r="O13"/>
  <c r="Q13"/>
  <c r="S13"/>
  <c r="B14"/>
  <c r="D14"/>
  <c r="F14"/>
  <c r="H14"/>
  <c r="J14"/>
  <c r="L14"/>
  <c r="N14"/>
  <c r="P14"/>
  <c r="R14"/>
  <c r="B16"/>
  <c r="D16"/>
  <c r="F16"/>
  <c r="H16"/>
  <c r="J16"/>
  <c r="L16"/>
  <c r="N16"/>
  <c r="P16"/>
  <c r="R16"/>
  <c r="B20"/>
  <c r="D20"/>
  <c r="F20"/>
  <c r="H20"/>
  <c r="J20"/>
  <c r="L20"/>
  <c r="N20"/>
  <c r="P20"/>
  <c r="R20"/>
  <c r="B24"/>
  <c r="D24"/>
  <c r="F24"/>
  <c r="H24"/>
  <c r="J24"/>
  <c r="L24"/>
  <c r="C26"/>
  <c r="E26"/>
  <c r="G26"/>
  <c r="I26"/>
  <c r="K26"/>
  <c r="M26"/>
  <c r="O26"/>
  <c r="Q26"/>
  <c r="F29" i="5"/>
  <c r="J29"/>
  <c r="N29"/>
  <c r="R29"/>
  <c r="B46"/>
  <c r="K41" i="6"/>
  <c r="M41"/>
  <c r="O41"/>
  <c r="Q41"/>
  <c r="S41"/>
  <c r="B42"/>
  <c r="D42"/>
  <c r="F42"/>
  <c r="H42"/>
  <c r="J42"/>
  <c r="L42"/>
  <c r="N42"/>
  <c r="P42"/>
  <c r="R42"/>
  <c r="B47" i="5"/>
  <c r="M18"/>
  <c r="L18" i="2"/>
  <c r="O18" i="5"/>
  <c r="N18" i="2"/>
  <c r="Q18" i="5"/>
  <c r="P18" i="2"/>
  <c r="S18"/>
  <c r="S18" i="5"/>
  <c r="R18" i="2"/>
  <c r="B6"/>
  <c r="D6"/>
  <c r="F6"/>
  <c r="H6"/>
  <c r="J6"/>
  <c r="L6"/>
  <c r="N6"/>
  <c r="P6"/>
  <c r="R6"/>
  <c r="C11"/>
  <c r="E11"/>
  <c r="G11"/>
  <c r="I11"/>
  <c r="K11"/>
  <c r="M11"/>
  <c r="O11"/>
  <c r="Q11"/>
  <c r="S11"/>
  <c r="C29"/>
  <c r="E29"/>
  <c r="G29"/>
  <c r="I29"/>
  <c r="K29"/>
  <c r="M29"/>
  <c r="O29"/>
  <c r="Q29"/>
  <c r="S29"/>
  <c r="B43"/>
  <c r="D43"/>
  <c r="F43"/>
  <c r="H43"/>
  <c r="J43"/>
  <c r="L43"/>
  <c r="N43"/>
  <c r="P43"/>
  <c r="R43"/>
  <c r="D46" i="1"/>
  <c r="F46"/>
  <c r="H46"/>
  <c r="J46"/>
  <c r="L46"/>
  <c r="N46"/>
  <c r="P46"/>
  <c r="R46"/>
  <c r="T46"/>
  <c r="B47" i="2"/>
  <c r="D47"/>
  <c r="F47"/>
  <c r="H47"/>
  <c r="J47"/>
  <c r="L47"/>
  <c r="N47"/>
  <c r="P47"/>
  <c r="R47"/>
  <c r="S18" i="6"/>
  <c r="L18" i="5"/>
  <c r="K18" i="6" s="1"/>
  <c r="K18" i="2"/>
  <c r="N18" i="5"/>
  <c r="M18" i="6" s="1"/>
  <c r="M18" i="2"/>
  <c r="P18" i="5"/>
  <c r="O18" i="6" s="1"/>
  <c r="O18" i="2"/>
  <c r="R18" i="5"/>
  <c r="Q18" i="6" s="1"/>
  <c r="Q18" i="2"/>
  <c r="M24"/>
  <c r="N24" i="5"/>
  <c r="M24" i="6" s="1"/>
  <c r="N24" i="2"/>
  <c r="C46" i="1"/>
  <c r="E46"/>
  <c r="G46"/>
  <c r="I46"/>
  <c r="K46"/>
  <c r="M46"/>
  <c r="O46"/>
  <c r="Q46"/>
  <c r="S46"/>
  <c r="D46" i="3"/>
  <c r="F46"/>
  <c r="H46"/>
  <c r="J46"/>
  <c r="L46"/>
  <c r="N46"/>
  <c r="P46"/>
  <c r="R46"/>
  <c r="T46"/>
  <c r="S16" i="4"/>
  <c r="S18"/>
  <c r="S20"/>
  <c r="S22"/>
  <c r="M24"/>
  <c r="S24"/>
  <c r="S26"/>
  <c r="S28"/>
  <c r="D6" i="5"/>
  <c r="F6"/>
  <c r="F6" i="6" s="1"/>
  <c r="H6" i="5"/>
  <c r="J6"/>
  <c r="L6"/>
  <c r="N6"/>
  <c r="N6" i="6" s="1"/>
  <c r="P6" i="5"/>
  <c r="R6"/>
  <c r="T6"/>
  <c r="C11"/>
  <c r="B11" i="6" s="1"/>
  <c r="E11" i="5"/>
  <c r="D11" i="6" s="1"/>
  <c r="G11" i="5"/>
  <c r="F11" i="6" s="1"/>
  <c r="I11" i="5"/>
  <c r="H11" i="6" s="1"/>
  <c r="K11" i="5"/>
  <c r="J11" i="6" s="1"/>
  <c r="M11" i="5"/>
  <c r="L11" i="6" s="1"/>
  <c r="O11" i="5"/>
  <c r="N11" i="6" s="1"/>
  <c r="Q11" i="5"/>
  <c r="P11" i="6" s="1"/>
  <c r="S11" i="5"/>
  <c r="R11" i="6" s="1"/>
  <c r="L13"/>
  <c r="N13"/>
  <c r="P13"/>
  <c r="R13"/>
  <c r="C14"/>
  <c r="E14"/>
  <c r="G14"/>
  <c r="I14"/>
  <c r="K14"/>
  <c r="M14"/>
  <c r="O14"/>
  <c r="Q14"/>
  <c r="S14"/>
  <c r="C16"/>
  <c r="E16"/>
  <c r="G16"/>
  <c r="I16"/>
  <c r="K16"/>
  <c r="M16"/>
  <c r="O16"/>
  <c r="Q16"/>
  <c r="B18"/>
  <c r="D18"/>
  <c r="F18"/>
  <c r="H18"/>
  <c r="J18"/>
  <c r="C20"/>
  <c r="E20"/>
  <c r="G20"/>
  <c r="I20"/>
  <c r="K20"/>
  <c r="M20"/>
  <c r="O20"/>
  <c r="Q20"/>
  <c r="B22"/>
  <c r="D22"/>
  <c r="F22"/>
  <c r="H22"/>
  <c r="J22"/>
  <c r="L22"/>
  <c r="N22"/>
  <c r="P22"/>
  <c r="R22"/>
  <c r="C24"/>
  <c r="E24"/>
  <c r="G24"/>
  <c r="I24"/>
  <c r="K24"/>
  <c r="O24"/>
  <c r="Q24"/>
  <c r="B26"/>
  <c r="D26"/>
  <c r="F26"/>
  <c r="H26"/>
  <c r="J26"/>
  <c r="L26"/>
  <c r="N26"/>
  <c r="P26"/>
  <c r="R26"/>
  <c r="C28"/>
  <c r="E28"/>
  <c r="G28"/>
  <c r="I28"/>
  <c r="K28"/>
  <c r="M28"/>
  <c r="O28"/>
  <c r="Q28"/>
  <c r="C29" i="5"/>
  <c r="B29" i="6" s="1"/>
  <c r="E29" i="5"/>
  <c r="D29" i="6" s="1"/>
  <c r="G29" i="5"/>
  <c r="F29" i="6" s="1"/>
  <c r="I29" i="5"/>
  <c r="H29" i="6" s="1"/>
  <c r="K29" i="5"/>
  <c r="J29" i="6" s="1"/>
  <c r="M29" i="5"/>
  <c r="L29" i="6" s="1"/>
  <c r="O29" i="5"/>
  <c r="N29" i="6" s="1"/>
  <c r="Q29" i="5"/>
  <c r="P29" i="6" s="1"/>
  <c r="S29" i="5"/>
  <c r="R29" i="6" s="1"/>
  <c r="C30"/>
  <c r="E30"/>
  <c r="G30"/>
  <c r="I30"/>
  <c r="K30"/>
  <c r="M30"/>
  <c r="O30"/>
  <c r="Q30"/>
  <c r="S30"/>
  <c r="B31"/>
  <c r="D31"/>
  <c r="F31"/>
  <c r="H31"/>
  <c r="J31"/>
  <c r="L31"/>
  <c r="N31"/>
  <c r="P31"/>
  <c r="R31"/>
  <c r="C32"/>
  <c r="E32"/>
  <c r="G32"/>
  <c r="I32"/>
  <c r="K32"/>
  <c r="M32"/>
  <c r="O32"/>
  <c r="Q32"/>
  <c r="S32"/>
  <c r="B33"/>
  <c r="D33"/>
  <c r="F33"/>
  <c r="H33"/>
  <c r="J33"/>
  <c r="L33"/>
  <c r="N33"/>
  <c r="P33"/>
  <c r="R33"/>
  <c r="C34"/>
  <c r="E34"/>
  <c r="G34"/>
  <c r="I34"/>
  <c r="K34"/>
  <c r="M34"/>
  <c r="O34"/>
  <c r="Q34"/>
  <c r="S34"/>
  <c r="B35"/>
  <c r="D35"/>
  <c r="F35"/>
  <c r="H35"/>
  <c r="J35"/>
  <c r="L35"/>
  <c r="N35"/>
  <c r="P35"/>
  <c r="R35"/>
  <c r="C36"/>
  <c r="E36"/>
  <c r="G36"/>
  <c r="I36"/>
  <c r="K36"/>
  <c r="M36"/>
  <c r="O36"/>
  <c r="Q36"/>
  <c r="S36"/>
  <c r="B37"/>
  <c r="D37"/>
  <c r="F37"/>
  <c r="H37"/>
  <c r="J37"/>
  <c r="L37"/>
  <c r="N37"/>
  <c r="P37"/>
  <c r="R37"/>
  <c r="C38"/>
  <c r="E38"/>
  <c r="G38"/>
  <c r="I38"/>
  <c r="K38"/>
  <c r="M38"/>
  <c r="O38"/>
  <c r="Q38"/>
  <c r="S38"/>
  <c r="B39"/>
  <c r="D39"/>
  <c r="F39"/>
  <c r="H39"/>
  <c r="J39"/>
  <c r="L39"/>
  <c r="N39"/>
  <c r="P39"/>
  <c r="R39"/>
  <c r="C40"/>
  <c r="E40"/>
  <c r="G40"/>
  <c r="I40"/>
  <c r="K40"/>
  <c r="M40"/>
  <c r="O40"/>
  <c r="Q40"/>
  <c r="S40"/>
  <c r="B41"/>
  <c r="D41"/>
  <c r="F41"/>
  <c r="H41"/>
  <c r="J41"/>
  <c r="L41"/>
  <c r="N41"/>
  <c r="P41"/>
  <c r="R41"/>
  <c r="C42"/>
  <c r="E42"/>
  <c r="G42"/>
  <c r="I42"/>
  <c r="K42"/>
  <c r="M42"/>
  <c r="O42"/>
  <c r="Q42"/>
  <c r="S42"/>
  <c r="C43" i="5"/>
  <c r="B43" i="6" s="1"/>
  <c r="E43" i="5"/>
  <c r="D43" i="6" s="1"/>
  <c r="G43" i="5"/>
  <c r="F43" i="6" s="1"/>
  <c r="I43" i="5"/>
  <c r="H43" i="6" s="1"/>
  <c r="K43" i="5"/>
  <c r="J43" i="6" s="1"/>
  <c r="M43" i="5"/>
  <c r="L43" i="6" s="1"/>
  <c r="O43" i="5"/>
  <c r="N43" i="6" s="1"/>
  <c r="P43"/>
  <c r="R43"/>
  <c r="C44"/>
  <c r="E44"/>
  <c r="G44"/>
  <c r="I44"/>
  <c r="K44"/>
  <c r="M44"/>
  <c r="O44"/>
  <c r="Q44"/>
  <c r="S44"/>
  <c r="B45"/>
  <c r="D45"/>
  <c r="F45"/>
  <c r="H45"/>
  <c r="J45"/>
  <c r="L45"/>
  <c r="N45"/>
  <c r="P45"/>
  <c r="R45"/>
  <c r="C47" i="5"/>
  <c r="B47" i="6" s="1"/>
  <c r="E47" i="5"/>
  <c r="G47"/>
  <c r="I47"/>
  <c r="K47"/>
  <c r="M47"/>
  <c r="O47"/>
  <c r="Q47"/>
  <c r="S47"/>
  <c r="C46" i="3"/>
  <c r="E46"/>
  <c r="G46"/>
  <c r="I46"/>
  <c r="K46"/>
  <c r="M46"/>
  <c r="O46"/>
  <c r="Q46"/>
  <c r="S46"/>
  <c r="N24" i="6"/>
  <c r="C29"/>
  <c r="E29"/>
  <c r="G29"/>
  <c r="I29"/>
  <c r="K29"/>
  <c r="M29"/>
  <c r="O29"/>
  <c r="Q29"/>
  <c r="S29"/>
  <c r="E43"/>
  <c r="I43"/>
  <c r="M43"/>
  <c r="C46" i="5"/>
  <c r="E46"/>
  <c r="G46"/>
  <c r="I46"/>
  <c r="K46"/>
  <c r="M46"/>
  <c r="O46"/>
  <c r="Q46"/>
  <c r="S46"/>
  <c r="D47"/>
  <c r="C47" i="6" s="1"/>
  <c r="F47" i="5"/>
  <c r="E47" i="6" s="1"/>
  <c r="H47" i="5"/>
  <c r="G47" i="6" s="1"/>
  <c r="J47" i="5"/>
  <c r="I47" i="6" s="1"/>
  <c r="L47" i="5"/>
  <c r="K47" i="6" s="1"/>
  <c r="N47" i="5"/>
  <c r="M47" i="6" s="1"/>
  <c r="P47" i="5"/>
  <c r="O47" i="6" s="1"/>
  <c r="R47" i="5"/>
  <c r="Q47" i="6" s="1"/>
  <c r="T47" i="5"/>
  <c r="S47" i="6" s="1"/>
  <c r="B48" i="5" l="1"/>
  <c r="O43" i="6"/>
  <c r="K43"/>
  <c r="G43"/>
  <c r="C43"/>
  <c r="Q48" i="5"/>
  <c r="M48"/>
  <c r="I48"/>
  <c r="E48"/>
  <c r="Q48" i="3"/>
  <c r="P46" i="4"/>
  <c r="M48" i="3"/>
  <c r="L46" i="4"/>
  <c r="I48" i="3"/>
  <c r="H46" i="4"/>
  <c r="E48" i="3"/>
  <c r="D46" i="4"/>
  <c r="S6" i="6"/>
  <c r="T46" i="5"/>
  <c r="O6" i="6"/>
  <c r="P46" i="5"/>
  <c r="P46" i="6" s="1"/>
  <c r="K6"/>
  <c r="L46" i="5"/>
  <c r="L46" i="6" s="1"/>
  <c r="G6"/>
  <c r="H46" i="5"/>
  <c r="H46" i="6" s="1"/>
  <c r="C6"/>
  <c r="D46" i="5"/>
  <c r="D46" i="6" s="1"/>
  <c r="Q46" i="4"/>
  <c r="R48" i="3"/>
  <c r="Q48" i="4" s="1"/>
  <c r="M46"/>
  <c r="N48" i="3"/>
  <c r="M48" i="4" s="1"/>
  <c r="I46"/>
  <c r="J48" i="3"/>
  <c r="I48" i="4" s="1"/>
  <c r="E46"/>
  <c r="F48" i="3"/>
  <c r="E48" i="4" s="1"/>
  <c r="R46" i="2"/>
  <c r="S48" i="1"/>
  <c r="N46" i="2"/>
  <c r="O48" i="1"/>
  <c r="J46" i="2"/>
  <c r="K48" i="1"/>
  <c r="F46" i="2"/>
  <c r="G48" i="1"/>
  <c r="B46" i="2"/>
  <c r="C48" i="1"/>
  <c r="B48" i="2" s="1"/>
  <c r="Q46"/>
  <c r="R48" i="1"/>
  <c r="M46" i="2"/>
  <c r="N48" i="1"/>
  <c r="I46" i="2"/>
  <c r="J48" i="1"/>
  <c r="E46" i="2"/>
  <c r="F48" i="1"/>
  <c r="R47" i="6"/>
  <c r="N47"/>
  <c r="J47"/>
  <c r="F47"/>
  <c r="Q11"/>
  <c r="I11"/>
  <c r="P6"/>
  <c r="H6"/>
  <c r="S11"/>
  <c r="K11"/>
  <c r="C11"/>
  <c r="P18"/>
  <c r="N18"/>
  <c r="L18"/>
  <c r="S48" i="5"/>
  <c r="O48"/>
  <c r="K48"/>
  <c r="G48"/>
  <c r="B46" i="6"/>
  <c r="C48" i="5"/>
  <c r="B48" i="6" s="1"/>
  <c r="S48" i="3"/>
  <c r="R48" i="4" s="1"/>
  <c r="R46"/>
  <c r="O48" i="3"/>
  <c r="N48" i="4" s="1"/>
  <c r="N46"/>
  <c r="K48" i="3"/>
  <c r="J48" i="4" s="1"/>
  <c r="J46"/>
  <c r="G48" i="3"/>
  <c r="F48" i="4" s="1"/>
  <c r="F46"/>
  <c r="C48" i="3"/>
  <c r="B48" i="4" s="1"/>
  <c r="B46"/>
  <c r="Q6" i="6"/>
  <c r="R46" i="5"/>
  <c r="R46" i="6" s="1"/>
  <c r="M6"/>
  <c r="N46" i="5"/>
  <c r="N46" i="6" s="1"/>
  <c r="I6"/>
  <c r="J46" i="5"/>
  <c r="J46" i="6" s="1"/>
  <c r="E6"/>
  <c r="F46" i="5"/>
  <c r="F46" i="6" s="1"/>
  <c r="S46" i="4"/>
  <c r="T48" i="3"/>
  <c r="S48" i="4" s="1"/>
  <c r="O46"/>
  <c r="P48" i="3"/>
  <c r="O48" i="4" s="1"/>
  <c r="K46"/>
  <c r="L48" i="3"/>
  <c r="K48" i="4" s="1"/>
  <c r="G46"/>
  <c r="H48" i="3"/>
  <c r="G48" i="4" s="1"/>
  <c r="C46"/>
  <c r="D48" i="3"/>
  <c r="C48" i="4" s="1"/>
  <c r="P46" i="2"/>
  <c r="Q48" i="1"/>
  <c r="L46" i="2"/>
  <c r="M48" i="1"/>
  <c r="H46" i="2"/>
  <c r="I48" i="1"/>
  <c r="D46" i="2"/>
  <c r="E48" i="1"/>
  <c r="S46" i="2"/>
  <c r="T48" i="1"/>
  <c r="S48" i="2" s="1"/>
  <c r="O46"/>
  <c r="P48" i="1"/>
  <c r="O48" i="2" s="1"/>
  <c r="K46"/>
  <c r="L48" i="1"/>
  <c r="K48" i="2" s="1"/>
  <c r="G46"/>
  <c r="H48" i="1"/>
  <c r="G48" i="2" s="1"/>
  <c r="C46"/>
  <c r="D48" i="1"/>
  <c r="C48" i="2" s="1"/>
  <c r="P47" i="6"/>
  <c r="L47"/>
  <c r="H47"/>
  <c r="D47"/>
  <c r="M11"/>
  <c r="E11"/>
  <c r="L6"/>
  <c r="D6"/>
  <c r="O11"/>
  <c r="G11"/>
  <c r="R6"/>
  <c r="J6"/>
  <c r="R18"/>
  <c r="D48" i="4" l="1"/>
  <c r="H48"/>
  <c r="L48"/>
  <c r="P48"/>
  <c r="E46" i="6"/>
  <c r="F48" i="5"/>
  <c r="E48" i="6" s="1"/>
  <c r="I46"/>
  <c r="J48" i="5"/>
  <c r="I48" i="6" s="1"/>
  <c r="M46"/>
  <c r="N48" i="5"/>
  <c r="M48" i="6" s="1"/>
  <c r="Q46"/>
  <c r="R48" i="5"/>
  <c r="Q48" i="6" s="1"/>
  <c r="C46"/>
  <c r="D48" i="5"/>
  <c r="C48" i="6" s="1"/>
  <c r="G46"/>
  <c r="H48" i="5"/>
  <c r="G48" i="6" s="1"/>
  <c r="K46"/>
  <c r="L48" i="5"/>
  <c r="K48" i="6" s="1"/>
  <c r="O46"/>
  <c r="P48" i="5"/>
  <c r="O48" i="6" s="1"/>
  <c r="S46"/>
  <c r="T48" i="5"/>
  <c r="S48" i="6" s="1"/>
  <c r="D48" i="2"/>
  <c r="H48"/>
  <c r="L48"/>
  <c r="P48"/>
  <c r="E48"/>
  <c r="I48"/>
  <c r="M48"/>
  <c r="Q48"/>
  <c r="F48"/>
  <c r="J48"/>
  <c r="N48"/>
  <c r="R48"/>
  <c r="H48" i="6"/>
  <c r="J48" l="1"/>
  <c r="P48"/>
  <c r="R48"/>
  <c r="F48"/>
  <c r="L48"/>
  <c r="D48"/>
  <c r="N48"/>
</calcChain>
</file>

<file path=xl/comments1.xml><?xml version="1.0" encoding="utf-8"?>
<comments xmlns="http://schemas.openxmlformats.org/spreadsheetml/2006/main">
  <authors>
    <author>ggiang</author>
  </authors>
  <commentList>
    <comment ref="O24" authorId="0">
      <text>
        <r>
          <rPr>
            <b/>
            <sz val="8"/>
            <color indexed="81"/>
            <rFont val="Tahoma"/>
            <family val="2"/>
          </rPr>
          <t>ggiang:</t>
        </r>
        <r>
          <rPr>
            <sz val="8"/>
            <color indexed="81"/>
            <rFont val="Tahoma"/>
            <family val="2"/>
          </rPr>
          <t xml:space="preserve">
Per Pat's e-mail on 11/11/05</t>
        </r>
      </text>
    </comment>
  </commentList>
</comments>
</file>

<file path=xl/sharedStrings.xml><?xml version="1.0" encoding="utf-8"?>
<sst xmlns="http://schemas.openxmlformats.org/spreadsheetml/2006/main" count="401" uniqueCount="93">
  <si>
    <t>The Colorado Department of Higher Education</t>
  </si>
  <si>
    <t>FTE Student Enrollment Report</t>
  </si>
  <si>
    <t>Governing Board / Institutions</t>
  </si>
  <si>
    <t>Resident Student FTE</t>
  </si>
  <si>
    <t>FY 91-92</t>
  </si>
  <si>
    <t>FY 92-93</t>
  </si>
  <si>
    <t>FY 93-94</t>
  </si>
  <si>
    <t>FY 94-95</t>
  </si>
  <si>
    <t>FY 95-96</t>
  </si>
  <si>
    <t>FY 96-97</t>
  </si>
  <si>
    <t>FY 97-98</t>
  </si>
  <si>
    <t>FY 98-99</t>
  </si>
  <si>
    <t>FY 99-2000</t>
  </si>
  <si>
    <t>FY 2000-01</t>
  </si>
  <si>
    <t>FY 2001-02</t>
  </si>
  <si>
    <t>FY 2002-03</t>
  </si>
  <si>
    <t>FY 2003-04</t>
  </si>
  <si>
    <t>FY 2004-05</t>
  </si>
  <si>
    <t>FY 2005-06</t>
  </si>
  <si>
    <t>FY 2006-07</t>
  </si>
  <si>
    <t>FY 2007-08</t>
  </si>
  <si>
    <t>FY 2008-09</t>
  </si>
  <si>
    <t>FY 2009-10</t>
  </si>
  <si>
    <t>Regents of the University of Colorado:</t>
  </si>
  <si>
    <t>University of Colorado-Boulder</t>
  </si>
  <si>
    <t xml:space="preserve"> </t>
  </si>
  <si>
    <t>University of Colorado-Colorado Springs</t>
  </si>
  <si>
    <t>University of Colorado Denver - Downtown Campus</t>
  </si>
  <si>
    <t>University of Colorado Denver - Anschutz Medical Campus</t>
  </si>
  <si>
    <t>Board of Governors of Colorado State University System:</t>
  </si>
  <si>
    <t>Colorado State University-Education &amp; General</t>
  </si>
  <si>
    <t>Colorado State University-Professional Veterinary Medicine</t>
  </si>
  <si>
    <t>Colorado State University - Pueblo</t>
  </si>
  <si>
    <t>Trustees of Fort Lewis College:</t>
  </si>
  <si>
    <t>Fort Lewis College</t>
  </si>
  <si>
    <t>Trustees of Colorado School of Mines:</t>
  </si>
  <si>
    <t>Colorado School of Mines</t>
  </si>
  <si>
    <t>Board of Trustees University of Northern Colorado:</t>
  </si>
  <si>
    <t>University of Northern Colorado</t>
  </si>
  <si>
    <t>Trustees of Adams State College:</t>
  </si>
  <si>
    <t>Adams State College</t>
  </si>
  <si>
    <t>Trustees of Mesa State College:</t>
  </si>
  <si>
    <t>Mesa State College</t>
  </si>
  <si>
    <t>Trustees of Metropolitan State College:</t>
  </si>
  <si>
    <t>Metropolitan State College of Denver</t>
  </si>
  <si>
    <t>Trustees of Western State College:</t>
  </si>
  <si>
    <t>Western State College</t>
  </si>
  <si>
    <t>Community Colleges of Colorado:</t>
  </si>
  <si>
    <t>Arapahoe Community College</t>
  </si>
  <si>
    <t>Colorado Northwestern Community College</t>
  </si>
  <si>
    <t>Community College of Aurora</t>
  </si>
  <si>
    <t>Community College of Denver</t>
  </si>
  <si>
    <t>Front Range Community College</t>
  </si>
  <si>
    <t>Lamar Community College</t>
  </si>
  <si>
    <t>Morgan Community College</t>
  </si>
  <si>
    <t>Northeastern Junior College</t>
  </si>
  <si>
    <t>Otero Junior College</t>
  </si>
  <si>
    <t>Pikes Peak Community College</t>
  </si>
  <si>
    <t>Pueblo Community College</t>
  </si>
  <si>
    <t>Red Rocks Community College</t>
  </si>
  <si>
    <t>Trinidad State Junior College</t>
  </si>
  <si>
    <t>Local District Colleges:</t>
  </si>
  <si>
    <t>Aims Community College</t>
  </si>
  <si>
    <t>Colorado Mountain College</t>
  </si>
  <si>
    <t>Governing Board Summary</t>
  </si>
  <si>
    <t>District Summary</t>
  </si>
  <si>
    <t>Public Summary</t>
  </si>
  <si>
    <t>Final FTE Student Enrollment Report</t>
  </si>
  <si>
    <t>Percentage Change in Resident Student FTE</t>
  </si>
  <si>
    <t>FY 92 to FY 93</t>
  </si>
  <si>
    <t>FY 93 to FY 94</t>
  </si>
  <si>
    <t>FY 94 to FY 95</t>
  </si>
  <si>
    <t>FY 95 to FY 96</t>
  </si>
  <si>
    <t>FY 96 to FY 97</t>
  </si>
  <si>
    <t>FY 97 to FY 98</t>
  </si>
  <si>
    <t>FY 98 to FY 99</t>
  </si>
  <si>
    <t>FY 99 to FY 00</t>
  </si>
  <si>
    <t>FY 00 to 01</t>
  </si>
  <si>
    <t>FY 01 to 02</t>
  </si>
  <si>
    <t>FY 02 to 03</t>
  </si>
  <si>
    <t>FY 03 to 04</t>
  </si>
  <si>
    <t>FY 04 to 05</t>
  </si>
  <si>
    <t>FY 05 to 06</t>
  </si>
  <si>
    <t>FY 06 to 07</t>
  </si>
  <si>
    <t>FY 07 to 08</t>
  </si>
  <si>
    <t>FY 08 to 09</t>
  </si>
  <si>
    <t>FY 09 to 10</t>
  </si>
  <si>
    <t>University of Colorado-Denver</t>
  </si>
  <si>
    <t>University of Colorado-Health Sciences</t>
  </si>
  <si>
    <t>Non-Resident Student FTE</t>
  </si>
  <si>
    <t>Percentage Change in Non-Resident Student FTE</t>
  </si>
  <si>
    <t>Total Student FTE</t>
  </si>
  <si>
    <t>Percentage Change in Total Student FTE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</si>
</sst>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mmmm\ d\,\ yyyy"/>
    <numFmt numFmtId="165" formatCode="_(* #,##0_);_(* \(#,##0\);_(* &quot;-&quot;??_);_(@_)"/>
    <numFmt numFmtId="166" formatCode="0.0%"/>
  </numFmts>
  <fonts count="9">
    <font>
      <sz val="10"/>
      <name val="MS Sans Serif"/>
      <family val="2"/>
    </font>
    <font>
      <sz val="10"/>
      <name val="MS Sans Serif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Border="1" applyAlignment="1">
      <alignment horizontal="right"/>
    </xf>
    <xf numFmtId="165" fontId="3" fillId="0" borderId="0" xfId="1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/>
    <xf numFmtId="3" fontId="5" fillId="0" borderId="3" xfId="0" applyNumberFormat="1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4" fillId="0" borderId="10" xfId="1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/>
    <xf numFmtId="165" fontId="4" fillId="0" borderId="1" xfId="1" applyNumberFormat="1" applyFont="1" applyBorder="1"/>
    <xf numFmtId="165" fontId="4" fillId="0" borderId="14" xfId="1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0" xfId="1" applyNumberFormat="1" applyFont="1" applyBorder="1"/>
    <xf numFmtId="165" fontId="4" fillId="0" borderId="15" xfId="1" applyNumberFormat="1" applyFont="1" applyBorder="1" applyAlignment="1">
      <alignment horizontal="center"/>
    </xf>
    <xf numFmtId="3" fontId="4" fillId="0" borderId="15" xfId="1" applyNumberFormat="1" applyFont="1" applyBorder="1"/>
    <xf numFmtId="165" fontId="4" fillId="0" borderId="15" xfId="1" applyNumberFormat="1" applyFont="1" applyBorder="1"/>
    <xf numFmtId="165" fontId="4" fillId="0" borderId="16" xfId="1" applyNumberFormat="1" applyFont="1" applyBorder="1"/>
    <xf numFmtId="165" fontId="4" fillId="0" borderId="0" xfId="1" applyNumberFormat="1" applyFont="1"/>
    <xf numFmtId="0" fontId="3" fillId="0" borderId="17" xfId="0" applyFont="1" applyBorder="1"/>
    <xf numFmtId="165" fontId="3" fillId="0" borderId="14" xfId="1" applyNumberFormat="1" applyFont="1" applyBorder="1"/>
    <xf numFmtId="165" fontId="3" fillId="0" borderId="0" xfId="1" applyNumberFormat="1" applyFont="1" applyBorder="1"/>
    <xf numFmtId="165" fontId="3" fillId="0" borderId="0" xfId="1" applyNumberFormat="1" applyFont="1" applyBorder="1" applyAlignment="1">
      <alignment horizontal="center"/>
    </xf>
    <xf numFmtId="3" fontId="3" fillId="0" borderId="0" xfId="2" applyNumberFormat="1" applyFont="1" applyBorder="1"/>
    <xf numFmtId="3" fontId="6" fillId="0" borderId="0" xfId="1" applyNumberFormat="1" applyFont="1" applyBorder="1" applyAlignment="1">
      <alignment vertical="center"/>
    </xf>
    <xf numFmtId="3" fontId="6" fillId="0" borderId="18" xfId="1" applyNumberFormat="1" applyFont="1" applyBorder="1" applyAlignment="1">
      <alignment vertical="center"/>
    </xf>
    <xf numFmtId="43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 applyBorder="1"/>
    <xf numFmtId="3" fontId="3" fillId="0" borderId="18" xfId="0" applyNumberFormat="1" applyFont="1" applyBorder="1"/>
    <xf numFmtId="0" fontId="3" fillId="0" borderId="19" xfId="0" applyFont="1" applyBorder="1"/>
    <xf numFmtId="165" fontId="3" fillId="0" borderId="7" xfId="1" applyNumberFormat="1" applyFont="1" applyBorder="1"/>
    <xf numFmtId="165" fontId="3" fillId="0" borderId="8" xfId="1" applyNumberFormat="1" applyFont="1" applyBorder="1"/>
    <xf numFmtId="165" fontId="3" fillId="0" borderId="8" xfId="1" applyNumberFormat="1" applyFont="1" applyBorder="1" applyAlignment="1">
      <alignment horizontal="center"/>
    </xf>
    <xf numFmtId="3" fontId="3" fillId="0" borderId="8" xfId="2" applyNumberFormat="1" applyFont="1" applyFill="1" applyBorder="1"/>
    <xf numFmtId="0" fontId="4" fillId="0" borderId="17" xfId="0" applyFont="1" applyBorder="1"/>
    <xf numFmtId="165" fontId="4" fillId="0" borderId="14" xfId="1" applyNumberFormat="1" applyFont="1" applyBorder="1"/>
    <xf numFmtId="3" fontId="4" fillId="0" borderId="0" xfId="2" applyNumberFormat="1" applyFont="1" applyBorder="1"/>
    <xf numFmtId="3" fontId="4" fillId="0" borderId="15" xfId="0" applyNumberFormat="1" applyFont="1" applyBorder="1"/>
    <xf numFmtId="3" fontId="4" fillId="0" borderId="16" xfId="0" applyNumberFormat="1" applyFont="1" applyBorder="1"/>
    <xf numFmtId="3" fontId="3" fillId="0" borderId="8" xfId="2" applyNumberFormat="1" applyFont="1" applyBorder="1"/>
    <xf numFmtId="3" fontId="3" fillId="0" borderId="8" xfId="0" applyNumberFormat="1" applyFont="1" applyBorder="1"/>
    <xf numFmtId="3" fontId="3" fillId="0" borderId="11" xfId="0" applyNumberFormat="1" applyFont="1" applyBorder="1"/>
    <xf numFmtId="3" fontId="4" fillId="0" borderId="0" xfId="0" applyNumberFormat="1" applyFont="1" applyBorder="1"/>
    <xf numFmtId="3" fontId="4" fillId="0" borderId="18" xfId="0" applyNumberFormat="1" applyFont="1" applyBorder="1"/>
    <xf numFmtId="165" fontId="4" fillId="0" borderId="7" xfId="1" applyNumberFormat="1" applyFont="1" applyBorder="1"/>
    <xf numFmtId="165" fontId="4" fillId="0" borderId="8" xfId="1" applyNumberFormat="1" applyFont="1" applyBorder="1"/>
    <xf numFmtId="165" fontId="4" fillId="0" borderId="8" xfId="1" applyNumberFormat="1" applyFont="1" applyBorder="1" applyAlignment="1">
      <alignment horizontal="center"/>
    </xf>
    <xf numFmtId="3" fontId="4" fillId="0" borderId="8" xfId="2" applyNumberFormat="1" applyFont="1" applyBorder="1"/>
    <xf numFmtId="165" fontId="4" fillId="0" borderId="8" xfId="1" applyNumberFormat="1" applyFont="1" applyFill="1" applyBorder="1"/>
    <xf numFmtId="165" fontId="4" fillId="0" borderId="11" xfId="1" applyNumberFormat="1" applyFont="1" applyFill="1" applyBorder="1"/>
    <xf numFmtId="3" fontId="4" fillId="0" borderId="8" xfId="0" applyNumberFormat="1" applyFont="1" applyBorder="1"/>
    <xf numFmtId="3" fontId="4" fillId="0" borderId="11" xfId="0" applyNumberFormat="1" applyFont="1" applyBorder="1"/>
    <xf numFmtId="3" fontId="4" fillId="0" borderId="15" xfId="2" applyNumberFormat="1" applyFont="1" applyBorder="1"/>
    <xf numFmtId="3" fontId="4" fillId="0" borderId="16" xfId="2" applyNumberFormat="1" applyFont="1" applyBorder="1"/>
    <xf numFmtId="0" fontId="4" fillId="0" borderId="12" xfId="0" applyFont="1" applyBorder="1"/>
    <xf numFmtId="165" fontId="4" fillId="0" borderId="13" xfId="1" applyNumberFormat="1" applyFont="1" applyBorder="1"/>
    <xf numFmtId="165" fontId="4" fillId="0" borderId="20" xfId="1" applyNumberFormat="1" applyFont="1" applyBorder="1"/>
    <xf numFmtId="165" fontId="4" fillId="0" borderId="20" xfId="1" applyNumberFormat="1" applyFont="1" applyBorder="1" applyAlignment="1">
      <alignment horizontal="center"/>
    </xf>
    <xf numFmtId="3" fontId="4" fillId="0" borderId="20" xfId="2" applyNumberFormat="1" applyFont="1" applyBorder="1"/>
    <xf numFmtId="3" fontId="4" fillId="0" borderId="21" xfId="2" applyNumberFormat="1" applyFont="1" applyBorder="1"/>
    <xf numFmtId="3" fontId="4" fillId="0" borderId="18" xfId="2" applyNumberFormat="1" applyFont="1" applyBorder="1"/>
    <xf numFmtId="0" fontId="4" fillId="0" borderId="6" xfId="0" applyFont="1" applyBorder="1"/>
    <xf numFmtId="165" fontId="4" fillId="0" borderId="22" xfId="1" applyNumberFormat="1" applyFont="1" applyBorder="1"/>
    <xf numFmtId="165" fontId="4" fillId="0" borderId="23" xfId="1" applyNumberFormat="1" applyFont="1" applyBorder="1"/>
    <xf numFmtId="165" fontId="4" fillId="0" borderId="23" xfId="1" applyNumberFormat="1" applyFont="1" applyBorder="1" applyAlignment="1">
      <alignment horizontal="center"/>
    </xf>
    <xf numFmtId="3" fontId="4" fillId="0" borderId="23" xfId="2" applyNumberFormat="1" applyFont="1" applyBorder="1"/>
    <xf numFmtId="3" fontId="4" fillId="0" borderId="24" xfId="2" applyNumberFormat="1" applyFont="1" applyBorder="1"/>
    <xf numFmtId="0" fontId="2" fillId="0" borderId="25" xfId="0" applyFont="1" applyBorder="1" applyAlignment="1">
      <alignment horizontal="center"/>
    </xf>
    <xf numFmtId="0" fontId="0" fillId="0" borderId="26" xfId="0" applyBorder="1"/>
    <xf numFmtId="0" fontId="5" fillId="0" borderId="26" xfId="0" applyFont="1" applyBorder="1" applyAlignment="1"/>
    <xf numFmtId="0" fontId="5" fillId="0" borderId="27" xfId="0" applyFont="1" applyBorder="1" applyAlignment="1"/>
    <xf numFmtId="0" fontId="4" fillId="0" borderId="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4" fillId="0" borderId="17" xfId="1" applyNumberFormat="1" applyFont="1" applyBorder="1"/>
    <xf numFmtId="166" fontId="4" fillId="0" borderId="0" xfId="2" applyNumberFormat="1" applyFont="1" applyBorder="1" applyAlignment="1">
      <alignment horizontal="right"/>
    </xf>
    <xf numFmtId="166" fontId="4" fillId="0" borderId="15" xfId="2" applyNumberFormat="1" applyFont="1" applyBorder="1" applyAlignment="1">
      <alignment horizontal="right"/>
    </xf>
    <xf numFmtId="10" fontId="4" fillId="0" borderId="15" xfId="1" applyNumberFormat="1" applyFont="1" applyBorder="1"/>
    <xf numFmtId="10" fontId="4" fillId="0" borderId="16" xfId="1" applyNumberFormat="1" applyFont="1" applyBorder="1"/>
    <xf numFmtId="166" fontId="3" fillId="0" borderId="0" xfId="2" applyNumberFormat="1" applyFont="1" applyBorder="1"/>
    <xf numFmtId="166" fontId="3" fillId="0" borderId="0" xfId="2" applyNumberFormat="1" applyFont="1" applyBorder="1" applyAlignment="1">
      <alignment horizontal="right"/>
    </xf>
    <xf numFmtId="10" fontId="3" fillId="0" borderId="0" xfId="1" applyNumberFormat="1" applyFont="1" applyBorder="1"/>
    <xf numFmtId="10" fontId="3" fillId="0" borderId="18" xfId="1" applyNumberFormat="1" applyFont="1" applyBorder="1"/>
    <xf numFmtId="166" fontId="3" fillId="0" borderId="0" xfId="2" applyNumberFormat="1" applyFont="1"/>
    <xf numFmtId="166" fontId="3" fillId="0" borderId="8" xfId="2" applyNumberFormat="1" applyFont="1" applyBorder="1"/>
    <xf numFmtId="166" fontId="3" fillId="0" borderId="8" xfId="2" applyNumberFormat="1" applyFont="1" applyBorder="1" applyAlignment="1">
      <alignment horizontal="right"/>
    </xf>
    <xf numFmtId="166" fontId="4" fillId="0" borderId="0" xfId="2" applyNumberFormat="1" applyFont="1" applyBorder="1"/>
    <xf numFmtId="166" fontId="4" fillId="0" borderId="0" xfId="2" applyNumberFormat="1" applyFont="1"/>
    <xf numFmtId="10" fontId="3" fillId="0" borderId="8" xfId="1" applyNumberFormat="1" applyFont="1" applyBorder="1"/>
    <xf numFmtId="10" fontId="3" fillId="0" borderId="11" xfId="1" applyNumberFormat="1" applyFont="1" applyBorder="1"/>
    <xf numFmtId="166" fontId="4" fillId="0" borderId="8" xfId="2" applyNumberFormat="1" applyFont="1" applyBorder="1"/>
    <xf numFmtId="166" fontId="4" fillId="0" borderId="8" xfId="2" applyNumberFormat="1" applyFont="1" applyBorder="1" applyAlignment="1">
      <alignment horizontal="right"/>
    </xf>
    <xf numFmtId="10" fontId="4" fillId="0" borderId="8" xfId="1" applyNumberFormat="1" applyFont="1" applyBorder="1"/>
    <xf numFmtId="10" fontId="4" fillId="0" borderId="11" xfId="1" applyNumberFormat="1" applyFont="1" applyBorder="1"/>
    <xf numFmtId="10" fontId="4" fillId="0" borderId="0" xfId="1" applyNumberFormat="1" applyFont="1" applyBorder="1"/>
    <xf numFmtId="10" fontId="4" fillId="0" borderId="18" xfId="1" applyNumberFormat="1" applyFont="1" applyBorder="1"/>
    <xf numFmtId="10" fontId="4" fillId="0" borderId="8" xfId="2" applyNumberFormat="1" applyFont="1" applyBorder="1" applyAlignment="1">
      <alignment horizontal="right"/>
    </xf>
    <xf numFmtId="166" fontId="4" fillId="0" borderId="20" xfId="2" applyNumberFormat="1" applyFont="1" applyBorder="1"/>
    <xf numFmtId="166" fontId="4" fillId="0" borderId="20" xfId="2" applyNumberFormat="1" applyFont="1" applyBorder="1" applyAlignment="1">
      <alignment horizontal="right"/>
    </xf>
    <xf numFmtId="166" fontId="3" fillId="0" borderId="20" xfId="2" applyNumberFormat="1" applyFont="1" applyBorder="1"/>
    <xf numFmtId="166" fontId="4" fillId="0" borderId="23" xfId="2" applyNumberFormat="1" applyFont="1" applyBorder="1"/>
    <xf numFmtId="166" fontId="4" fillId="0" borderId="23" xfId="2" applyNumberFormat="1" applyFont="1" applyBorder="1" applyAlignment="1">
      <alignment horizontal="right"/>
    </xf>
    <xf numFmtId="166" fontId="3" fillId="0" borderId="23" xfId="2" applyNumberFormat="1" applyFont="1" applyBorder="1"/>
    <xf numFmtId="10" fontId="4" fillId="0" borderId="23" xfId="1" applyNumberFormat="1" applyFont="1" applyBorder="1"/>
    <xf numFmtId="10" fontId="4" fillId="0" borderId="24" xfId="1" applyNumberFormat="1" applyFont="1" applyBorder="1"/>
    <xf numFmtId="0" fontId="2" fillId="0" borderId="2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18" xfId="0" applyFont="1" applyBorder="1"/>
    <xf numFmtId="0" fontId="3" fillId="0" borderId="14" xfId="0" applyFont="1" applyBorder="1"/>
    <xf numFmtId="0" fontId="2" fillId="0" borderId="26" xfId="0" applyFont="1" applyBorder="1" applyAlignment="1">
      <alignment horizontal="center"/>
    </xf>
    <xf numFmtId="0" fontId="2" fillId="0" borderId="0" xfId="0" applyFont="1" applyBorder="1" applyAlignment="1"/>
    <xf numFmtId="0" fontId="5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0" xfId="0" applyFont="1" applyBorder="1"/>
    <xf numFmtId="0" fontId="4" fillId="0" borderId="18" xfId="0" applyFont="1" applyBorder="1"/>
    <xf numFmtId="165" fontId="4" fillId="0" borderId="18" xfId="1" applyNumberFormat="1" applyFont="1" applyBorder="1"/>
    <xf numFmtId="165" fontId="3" fillId="0" borderId="0" xfId="0" applyNumberFormat="1" applyFont="1" applyBorder="1"/>
    <xf numFmtId="43" fontId="3" fillId="0" borderId="0" xfId="0" applyNumberFormat="1" applyFont="1" applyBorder="1"/>
    <xf numFmtId="166" fontId="3" fillId="0" borderId="0" xfId="0" applyNumberFormat="1" applyFont="1" applyBorder="1"/>
    <xf numFmtId="43" fontId="3" fillId="0" borderId="18" xfId="0" applyNumberFormat="1" applyFont="1" applyBorder="1"/>
    <xf numFmtId="165" fontId="3" fillId="0" borderId="8" xfId="0" applyNumberFormat="1" applyFont="1" applyBorder="1"/>
    <xf numFmtId="165" fontId="4" fillId="0" borderId="0" xfId="0" applyNumberFormat="1" applyFont="1" applyBorder="1"/>
    <xf numFmtId="165" fontId="3" fillId="0" borderId="15" xfId="0" applyNumberFormat="1" applyFont="1" applyBorder="1"/>
    <xf numFmtId="165" fontId="4" fillId="0" borderId="15" xfId="0" applyNumberFormat="1" applyFont="1" applyBorder="1"/>
    <xf numFmtId="165" fontId="4" fillId="0" borderId="8" xfId="0" applyNumberFormat="1" applyFont="1" applyBorder="1"/>
    <xf numFmtId="165" fontId="4" fillId="0" borderId="0" xfId="2" applyNumberFormat="1" applyFont="1" applyBorder="1"/>
    <xf numFmtId="165" fontId="4" fillId="0" borderId="20" xfId="2" applyNumberFormat="1" applyFont="1" applyBorder="1"/>
    <xf numFmtId="165" fontId="4" fillId="0" borderId="23" xfId="2" applyNumberFormat="1" applyFont="1" applyBorder="1"/>
    <xf numFmtId="0" fontId="3" fillId="0" borderId="23" xfId="0" applyFont="1" applyBorder="1"/>
    <xf numFmtId="0" fontId="3" fillId="0" borderId="24" xfId="0" applyFont="1" applyBorder="1"/>
    <xf numFmtId="0" fontId="2" fillId="0" borderId="27" xfId="0" applyFont="1" applyBorder="1" applyAlignment="1">
      <alignment horizontal="center"/>
    </xf>
    <xf numFmtId="166" fontId="3" fillId="0" borderId="8" xfId="2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5" fontId="3" fillId="0" borderId="15" xfId="1" applyNumberFormat="1" applyFont="1" applyBorder="1"/>
    <xf numFmtId="3" fontId="3" fillId="0" borderId="15" xfId="2" applyNumberFormat="1" applyFont="1" applyBorder="1"/>
    <xf numFmtId="0" fontId="3" fillId="0" borderId="15" xfId="0" applyFont="1" applyBorder="1"/>
    <xf numFmtId="0" fontId="4" fillId="0" borderId="15" xfId="0" applyFont="1" applyBorder="1"/>
    <xf numFmtId="0" fontId="4" fillId="0" borderId="19" xfId="0" applyFont="1" applyBorder="1"/>
    <xf numFmtId="10" fontId="4" fillId="0" borderId="30" xfId="1" applyNumberFormat="1" applyFont="1" applyBorder="1"/>
    <xf numFmtId="10" fontId="4" fillId="0" borderId="31" xfId="1" applyNumberFormat="1" applyFont="1" applyBorder="1"/>
    <xf numFmtId="3" fontId="3" fillId="0" borderId="18" xfId="2" applyNumberFormat="1" applyFont="1" applyBorder="1"/>
    <xf numFmtId="0" fontId="3" fillId="0" borderId="16" xfId="0" applyFont="1" applyBorder="1"/>
    <xf numFmtId="3" fontId="4" fillId="0" borderId="1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Y_2010__Actual_Student_EnrollmentwithFY2011proj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duran\My%20Documents\FY2010YearEndFTEprojections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ident FTE"/>
      <sheetName val="% Change Resident FTE"/>
      <sheetName val="Non-Resident FTE"/>
      <sheetName val="% Change Non-Resident FTE"/>
      <sheetName val="Total FTE"/>
      <sheetName val="% Change Total FTE"/>
      <sheetName val="Resident Undergraduate"/>
      <sheetName val="% Change Res Undergrad"/>
      <sheetName val="Resident Graduate"/>
      <sheetName val="% Change Res Graduate"/>
      <sheetName val="Non-Resident Undergraduate"/>
      <sheetName val="% Change Non-Res Undergrad"/>
      <sheetName val="Non-Resident Graduate"/>
      <sheetName val="% Change Non-Res Grad"/>
      <sheetName val="Undergraduate"/>
      <sheetName val="% Change Undergrad"/>
      <sheetName val="Graduate"/>
      <sheetName val="% Change Graduate"/>
      <sheetName val="Res UG by tier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8">
          <cell r="L18">
            <v>2123.4</v>
          </cell>
          <cell r="M18">
            <v>2155.6</v>
          </cell>
          <cell r="N18">
            <v>2303.1999999999998</v>
          </cell>
          <cell r="O18">
            <v>2468.1</v>
          </cell>
          <cell r="P18">
            <v>2656</v>
          </cell>
          <cell r="Q18">
            <v>2685.9</v>
          </cell>
          <cell r="R18">
            <v>2682.9</v>
          </cell>
          <cell r="S18">
            <v>2744</v>
          </cell>
        </row>
      </sheetData>
      <sheetData sheetId="7"/>
      <sheetData sheetId="8">
        <row r="16">
          <cell r="L16">
            <v>233</v>
          </cell>
          <cell r="M16">
            <v>296.60000000000002</v>
          </cell>
          <cell r="N16">
            <v>281</v>
          </cell>
          <cell r="O16">
            <v>377</v>
          </cell>
          <cell r="P16">
            <v>317.5</v>
          </cell>
          <cell r="Q16">
            <v>333</v>
          </cell>
          <cell r="R16">
            <v>362</v>
          </cell>
          <cell r="S16">
            <v>400</v>
          </cell>
        </row>
      </sheetData>
      <sheetData sheetId="9"/>
      <sheetData sheetId="10">
        <row r="18">
          <cell r="L18">
            <v>660.8</v>
          </cell>
          <cell r="M18">
            <v>627.79999999999995</v>
          </cell>
          <cell r="N18">
            <v>626.1</v>
          </cell>
          <cell r="O18">
            <v>638</v>
          </cell>
          <cell r="P18">
            <v>678.6</v>
          </cell>
          <cell r="Q18">
            <v>745.3</v>
          </cell>
          <cell r="R18">
            <v>839.9</v>
          </cell>
          <cell r="S18">
            <v>936</v>
          </cell>
        </row>
      </sheetData>
      <sheetData sheetId="11"/>
      <sheetData sheetId="12">
        <row r="16">
          <cell r="L16">
            <v>197.1</v>
          </cell>
          <cell r="M16">
            <v>196.3</v>
          </cell>
          <cell r="N16">
            <v>184</v>
          </cell>
          <cell r="O16">
            <v>182</v>
          </cell>
          <cell r="P16">
            <v>153</v>
          </cell>
          <cell r="Q16">
            <v>155</v>
          </cell>
          <cell r="R16">
            <v>190.3</v>
          </cell>
          <cell r="S16">
            <v>245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D4">
            <v>16273.904916121448</v>
          </cell>
        </row>
        <row r="11">
          <cell r="F11">
            <v>1091.2747990476182</v>
          </cell>
        </row>
        <row r="12">
          <cell r="F12">
            <v>1305.9432650725</v>
          </cell>
        </row>
        <row r="13">
          <cell r="F13">
            <v>1039.747677190931</v>
          </cell>
        </row>
        <row r="14">
          <cell r="F14">
            <v>309.04977306002928</v>
          </cell>
        </row>
        <row r="15">
          <cell r="F15">
            <v>622.22330531993521</v>
          </cell>
        </row>
        <row r="16">
          <cell r="F16">
            <v>542.40072047651381</v>
          </cell>
        </row>
        <row r="17">
          <cell r="F17">
            <v>427.23366800216183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48"/>
  <sheetViews>
    <sheetView tabSelected="1" topLeftCell="A59" zoomScaleNormal="100" zoomScaleSheetLayoutView="100" workbookViewId="0">
      <selection activeCell="A83" sqref="A83"/>
    </sheetView>
  </sheetViews>
  <sheetFormatPr defaultRowHeight="12"/>
  <cols>
    <col min="1" max="1" width="55.42578125" style="2" customWidth="1"/>
    <col min="2" max="2" width="0.140625" style="2" customWidth="1"/>
    <col min="3" max="3" width="10.5703125" style="2" hidden="1" customWidth="1"/>
    <col min="4" max="4" width="8.85546875" style="2" hidden="1" customWidth="1"/>
    <col min="5" max="5" width="10.5703125" style="2" hidden="1" customWidth="1"/>
    <col min="6" max="8" width="10.85546875" style="2" hidden="1" customWidth="1"/>
    <col min="9" max="9" width="0.140625" style="2" hidden="1" customWidth="1"/>
    <col min="10" max="10" width="10.85546875" style="2" hidden="1" customWidth="1"/>
    <col min="11" max="11" width="10.85546875" style="2" customWidth="1"/>
    <col min="12" max="12" width="11.28515625" style="2" customWidth="1"/>
    <col min="13" max="14" width="11.5703125" style="4" customWidth="1"/>
    <col min="15" max="15" width="11.5703125" style="5" customWidth="1"/>
    <col min="16" max="17" width="11.5703125" style="6" customWidth="1"/>
    <col min="18" max="20" width="10.28515625" style="2" customWidth="1"/>
    <col min="21" max="16384" width="9.140625" style="2"/>
  </cols>
  <sheetData>
    <row r="1" spans="1:36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36" ht="1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6" ht="12.75" thickBot="1">
      <c r="I3" s="3"/>
      <c r="J3" s="3"/>
    </row>
    <row r="4" spans="1:36" s="14" customFormat="1" ht="18.75" thickBot="1">
      <c r="A4" s="7" t="s">
        <v>2</v>
      </c>
      <c r="B4" s="8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P4" s="11"/>
      <c r="Q4" s="11"/>
      <c r="R4" s="12"/>
      <c r="S4" s="12"/>
      <c r="T4" s="13"/>
    </row>
    <row r="5" spans="1:36" s="24" customFormat="1" ht="13.5" thickTop="1" thickBot="1">
      <c r="A5" s="15"/>
      <c r="B5" s="16" t="s">
        <v>4</v>
      </c>
      <c r="C5" s="17" t="s">
        <v>5</v>
      </c>
      <c r="D5" s="18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19" t="s">
        <v>11</v>
      </c>
      <c r="J5" s="19" t="s">
        <v>12</v>
      </c>
      <c r="K5" s="19" t="s">
        <v>13</v>
      </c>
      <c r="L5" s="19" t="s">
        <v>14</v>
      </c>
      <c r="M5" s="20" t="s">
        <v>15</v>
      </c>
      <c r="N5" s="20" t="s">
        <v>16</v>
      </c>
      <c r="O5" s="21" t="s">
        <v>17</v>
      </c>
      <c r="P5" s="17" t="s">
        <v>18</v>
      </c>
      <c r="Q5" s="22" t="s">
        <v>19</v>
      </c>
      <c r="R5" s="23" t="s">
        <v>20</v>
      </c>
      <c r="S5" s="23" t="s">
        <v>21</v>
      </c>
      <c r="T5" s="22" t="s">
        <v>22</v>
      </c>
    </row>
    <row r="6" spans="1:36" s="33" customFormat="1" ht="12.75" thickTop="1">
      <c r="A6" s="25" t="s">
        <v>23</v>
      </c>
      <c r="B6" s="26">
        <f>SUM(B7:B10)</f>
        <v>27854.400000000001</v>
      </c>
      <c r="C6" s="27">
        <f t="shared" ref="C6:T6" si="0">SUM(C7:C10)</f>
        <v>27362</v>
      </c>
      <c r="D6" s="27">
        <f t="shared" si="0"/>
        <v>27504</v>
      </c>
      <c r="E6" s="27">
        <f t="shared" si="0"/>
        <v>27237</v>
      </c>
      <c r="F6" s="27">
        <f t="shared" si="0"/>
        <v>27083.93</v>
      </c>
      <c r="G6" s="27">
        <f t="shared" si="0"/>
        <v>27312</v>
      </c>
      <c r="H6" s="27">
        <f t="shared" si="0"/>
        <v>28012.9</v>
      </c>
      <c r="I6" s="27">
        <f t="shared" si="0"/>
        <v>28491.3</v>
      </c>
      <c r="J6" s="28">
        <f t="shared" si="0"/>
        <v>28971.49</v>
      </c>
      <c r="K6" s="28">
        <f t="shared" si="0"/>
        <v>29258.25</v>
      </c>
      <c r="L6" s="28">
        <f t="shared" si="0"/>
        <v>30164.02</v>
      </c>
      <c r="M6" s="28">
        <f t="shared" si="0"/>
        <v>32345.940000000002</v>
      </c>
      <c r="N6" s="28">
        <f t="shared" si="0"/>
        <v>33865.83</v>
      </c>
      <c r="O6" s="29">
        <f t="shared" si="0"/>
        <v>34571.35</v>
      </c>
      <c r="P6" s="29">
        <f t="shared" si="0"/>
        <v>34842.400000000001</v>
      </c>
      <c r="Q6" s="30">
        <f t="shared" si="0"/>
        <v>34792.1</v>
      </c>
      <c r="R6" s="31">
        <f t="shared" si="0"/>
        <v>35183.700000000004</v>
      </c>
      <c r="S6" s="31">
        <f>SUM(S7:S10)</f>
        <v>35691</v>
      </c>
      <c r="T6" s="32">
        <f t="shared" si="0"/>
        <v>39101.015523746762</v>
      </c>
    </row>
    <row r="7" spans="1:36" ht="12.75">
      <c r="A7" s="34" t="s">
        <v>24</v>
      </c>
      <c r="B7" s="35">
        <v>15456</v>
      </c>
      <c r="C7" s="36">
        <v>14809</v>
      </c>
      <c r="D7" s="36">
        <v>15097</v>
      </c>
      <c r="E7" s="36">
        <v>14846</v>
      </c>
      <c r="F7" s="36">
        <v>14631.93</v>
      </c>
      <c r="G7" s="36">
        <v>14934</v>
      </c>
      <c r="H7" s="36">
        <v>15239</v>
      </c>
      <c r="I7" s="36">
        <v>15243</v>
      </c>
      <c r="J7" s="36">
        <v>15667</v>
      </c>
      <c r="K7" s="36">
        <v>15691.5</v>
      </c>
      <c r="L7" s="36">
        <v>16007</v>
      </c>
      <c r="M7" s="36">
        <v>16934.099999999999</v>
      </c>
      <c r="N7" s="36">
        <v>17759</v>
      </c>
      <c r="O7" s="37">
        <v>18109</v>
      </c>
      <c r="P7" s="37">
        <v>18020</v>
      </c>
      <c r="Q7" s="38">
        <v>17805</v>
      </c>
      <c r="R7" s="39">
        <v>17785</v>
      </c>
      <c r="S7" s="39">
        <v>17744</v>
      </c>
      <c r="T7" s="40">
        <v>18168.889515743504</v>
      </c>
      <c r="U7" s="41" t="s">
        <v>25</v>
      </c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</row>
    <row r="8" spans="1:36">
      <c r="A8" s="34" t="s">
        <v>26</v>
      </c>
      <c r="B8" s="35">
        <v>3884</v>
      </c>
      <c r="C8" s="36">
        <v>3752</v>
      </c>
      <c r="D8" s="36">
        <v>3669</v>
      </c>
      <c r="E8" s="36">
        <v>3734</v>
      </c>
      <c r="F8" s="36">
        <v>3777</v>
      </c>
      <c r="G8" s="36">
        <v>3840</v>
      </c>
      <c r="H8" s="36">
        <v>4243.8999999999996</v>
      </c>
      <c r="I8" s="36">
        <v>4423</v>
      </c>
      <c r="J8" s="36">
        <v>4601.7</v>
      </c>
      <c r="K8" s="36">
        <v>4687.8999999999996</v>
      </c>
      <c r="L8" s="36">
        <v>4930.1000000000004</v>
      </c>
      <c r="M8" s="36">
        <v>5526.4</v>
      </c>
      <c r="N8" s="36">
        <v>5788.2</v>
      </c>
      <c r="O8" s="37">
        <v>5843.7</v>
      </c>
      <c r="P8" s="37">
        <v>5822</v>
      </c>
      <c r="Q8" s="38">
        <v>5815</v>
      </c>
      <c r="R8" s="43">
        <v>5836</v>
      </c>
      <c r="S8" s="43">
        <v>6118</v>
      </c>
      <c r="T8" s="44">
        <v>6534.7197091337848</v>
      </c>
    </row>
    <row r="9" spans="1:36">
      <c r="A9" s="34" t="s">
        <v>27</v>
      </c>
      <c r="B9" s="35">
        <v>6584.4</v>
      </c>
      <c r="C9" s="36">
        <v>6794</v>
      </c>
      <c r="D9" s="36">
        <v>6564</v>
      </c>
      <c r="E9" s="36">
        <v>6409</v>
      </c>
      <c r="F9" s="36">
        <v>6426</v>
      </c>
      <c r="G9" s="36">
        <v>6313</v>
      </c>
      <c r="H9" s="36">
        <v>6380</v>
      </c>
      <c r="I9" s="36">
        <v>6627.3</v>
      </c>
      <c r="J9" s="36">
        <v>6600.6</v>
      </c>
      <c r="K9" s="36">
        <v>6783</v>
      </c>
      <c r="L9" s="36">
        <v>7065.2</v>
      </c>
      <c r="M9" s="36">
        <v>7636.7</v>
      </c>
      <c r="N9" s="36">
        <v>7908.7</v>
      </c>
      <c r="O9" s="37">
        <v>8110.38</v>
      </c>
      <c r="P9" s="37">
        <v>8056.6</v>
      </c>
      <c r="Q9" s="38">
        <v>8206</v>
      </c>
      <c r="R9" s="43">
        <v>8484.4</v>
      </c>
      <c r="S9" s="43">
        <v>8734</v>
      </c>
      <c r="T9" s="44">
        <v>10455.28756488744</v>
      </c>
    </row>
    <row r="10" spans="1:36" ht="12.75" thickBot="1">
      <c r="A10" s="45" t="s">
        <v>28</v>
      </c>
      <c r="B10" s="46">
        <v>1930</v>
      </c>
      <c r="C10" s="47">
        <v>2007</v>
      </c>
      <c r="D10" s="47">
        <v>2174</v>
      </c>
      <c r="E10" s="47">
        <v>2248</v>
      </c>
      <c r="F10" s="47">
        <v>2249</v>
      </c>
      <c r="G10" s="47">
        <v>2225</v>
      </c>
      <c r="H10" s="47">
        <v>2150</v>
      </c>
      <c r="I10" s="47">
        <v>2198</v>
      </c>
      <c r="J10" s="47">
        <v>2102.19</v>
      </c>
      <c r="K10" s="47">
        <v>2095.85</v>
      </c>
      <c r="L10" s="47">
        <v>2161.7199999999998</v>
      </c>
      <c r="M10" s="47">
        <v>2248.7399999999998</v>
      </c>
      <c r="N10" s="47">
        <v>2409.9299999999998</v>
      </c>
      <c r="O10" s="48">
        <v>2508.27</v>
      </c>
      <c r="P10" s="48">
        <v>2943.8</v>
      </c>
      <c r="Q10" s="49">
        <v>2966.1</v>
      </c>
      <c r="R10" s="43">
        <v>3078.3</v>
      </c>
      <c r="S10" s="43">
        <v>3095</v>
      </c>
      <c r="T10" s="44">
        <v>3942.1187339820362</v>
      </c>
    </row>
    <row r="11" spans="1:36" s="24" customFormat="1" ht="12.75" thickTop="1">
      <c r="A11" s="50" t="s">
        <v>29</v>
      </c>
      <c r="B11" s="51">
        <f>SUM(B12:B14)</f>
        <v>18538.2</v>
      </c>
      <c r="C11" s="28">
        <f t="shared" ref="C11:T11" si="1">SUM(C12:C14)</f>
        <v>18663.900000000001</v>
      </c>
      <c r="D11" s="28">
        <f t="shared" si="1"/>
        <v>18499.2</v>
      </c>
      <c r="E11" s="28">
        <f t="shared" si="1"/>
        <v>18534.5</v>
      </c>
      <c r="F11" s="28">
        <f t="shared" si="1"/>
        <v>18586.3</v>
      </c>
      <c r="G11" s="28">
        <f t="shared" si="1"/>
        <v>18683.400000000001</v>
      </c>
      <c r="H11" s="28">
        <f t="shared" si="1"/>
        <v>18568.5</v>
      </c>
      <c r="I11" s="28">
        <f t="shared" si="1"/>
        <v>18907.400000000001</v>
      </c>
      <c r="J11" s="28">
        <f t="shared" si="1"/>
        <v>19164.66</v>
      </c>
      <c r="K11" s="28">
        <f t="shared" si="1"/>
        <v>19105.7</v>
      </c>
      <c r="L11" s="28">
        <f t="shared" si="1"/>
        <v>19637.899999999998</v>
      </c>
      <c r="M11" s="28">
        <f t="shared" si="1"/>
        <v>20393.2</v>
      </c>
      <c r="N11" s="28">
        <f t="shared" si="1"/>
        <v>20988.300000000003</v>
      </c>
      <c r="O11" s="29">
        <f t="shared" si="1"/>
        <v>21479.8</v>
      </c>
      <c r="P11" s="29">
        <f t="shared" si="1"/>
        <v>21134.500003000005</v>
      </c>
      <c r="Q11" s="52">
        <f t="shared" si="1"/>
        <v>20754.233669999998</v>
      </c>
      <c r="R11" s="53">
        <f t="shared" si="1"/>
        <v>20769.8</v>
      </c>
      <c r="S11" s="53">
        <f>SUM(S12:S14)</f>
        <v>21303</v>
      </c>
      <c r="T11" s="54">
        <f t="shared" si="1"/>
        <v>22107.562172757043</v>
      </c>
    </row>
    <row r="12" spans="1:36">
      <c r="A12" s="34" t="s">
        <v>30</v>
      </c>
      <c r="B12" s="35">
        <v>14496.2</v>
      </c>
      <c r="C12" s="36">
        <v>14583.7</v>
      </c>
      <c r="D12" s="36">
        <v>14530.6</v>
      </c>
      <c r="E12" s="36">
        <v>14660.5</v>
      </c>
      <c r="F12" s="36">
        <v>14844</v>
      </c>
      <c r="G12" s="36">
        <v>15157</v>
      </c>
      <c r="H12" s="36">
        <v>15080</v>
      </c>
      <c r="I12" s="36">
        <v>15423.5</v>
      </c>
      <c r="J12" s="36">
        <v>15657.2</v>
      </c>
      <c r="K12" s="36">
        <v>15597.4</v>
      </c>
      <c r="L12" s="36">
        <v>16173.6</v>
      </c>
      <c r="M12" s="36">
        <v>16931.2</v>
      </c>
      <c r="N12" s="36">
        <v>17405.900000000001</v>
      </c>
      <c r="O12" s="37">
        <v>17779</v>
      </c>
      <c r="P12" s="37">
        <v>17550.466670000002</v>
      </c>
      <c r="Q12" s="38">
        <v>17328.066999999999</v>
      </c>
      <c r="R12" s="43">
        <v>17270</v>
      </c>
      <c r="S12" s="43">
        <v>17479</v>
      </c>
      <c r="T12" s="44">
        <v>17912.429255206236</v>
      </c>
    </row>
    <row r="13" spans="1:36">
      <c r="A13" s="34" t="s">
        <v>31</v>
      </c>
      <c r="B13" s="35">
        <v>331</v>
      </c>
      <c r="C13" s="36">
        <v>326.7</v>
      </c>
      <c r="D13" s="36">
        <v>336.6</v>
      </c>
      <c r="E13" s="36">
        <v>325.5</v>
      </c>
      <c r="F13" s="36">
        <v>329.6</v>
      </c>
      <c r="G13" s="36">
        <v>327.39999999999998</v>
      </c>
      <c r="H13" s="36">
        <v>352.1</v>
      </c>
      <c r="I13" s="36">
        <v>379.9</v>
      </c>
      <c r="J13" s="36">
        <v>399.9</v>
      </c>
      <c r="K13" s="36">
        <v>422</v>
      </c>
      <c r="L13" s="36">
        <v>419.2</v>
      </c>
      <c r="M13" s="36">
        <v>432.3</v>
      </c>
      <c r="N13" s="36">
        <v>424</v>
      </c>
      <c r="O13" s="37">
        <v>434.6</v>
      </c>
      <c r="P13" s="37">
        <v>422.13333299999999</v>
      </c>
      <c r="Q13" s="38">
        <v>423.66667000000001</v>
      </c>
      <c r="R13" s="43">
        <v>419.8</v>
      </c>
      <c r="S13" s="43">
        <v>405</v>
      </c>
      <c r="T13" s="44">
        <v>426.53485664854179</v>
      </c>
    </row>
    <row r="14" spans="1:36" ht="12.75" thickBot="1">
      <c r="A14" s="45" t="s">
        <v>32</v>
      </c>
      <c r="B14" s="46">
        <v>3711</v>
      </c>
      <c r="C14" s="47">
        <v>3753.5</v>
      </c>
      <c r="D14" s="47">
        <v>3632</v>
      </c>
      <c r="E14" s="47">
        <v>3548.5</v>
      </c>
      <c r="F14" s="47">
        <v>3412.7</v>
      </c>
      <c r="G14" s="47">
        <v>3199</v>
      </c>
      <c r="H14" s="47">
        <v>3136.4</v>
      </c>
      <c r="I14" s="47">
        <v>3104</v>
      </c>
      <c r="J14" s="47">
        <v>3107.56</v>
      </c>
      <c r="K14" s="47">
        <v>3086.3</v>
      </c>
      <c r="L14" s="47">
        <v>3045.1</v>
      </c>
      <c r="M14" s="47">
        <v>3029.7</v>
      </c>
      <c r="N14" s="47">
        <v>3158.4</v>
      </c>
      <c r="O14" s="48">
        <v>3266.2</v>
      </c>
      <c r="P14" s="48">
        <v>3161.9</v>
      </c>
      <c r="Q14" s="55">
        <v>3002.5</v>
      </c>
      <c r="R14" s="56">
        <v>3080</v>
      </c>
      <c r="S14" s="56">
        <v>3419</v>
      </c>
      <c r="T14" s="57">
        <v>3768.5980609022677</v>
      </c>
    </row>
    <row r="15" spans="1:36" ht="12.75" thickTop="1">
      <c r="A15" s="50" t="s">
        <v>33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P15" s="37"/>
      <c r="Q15" s="38"/>
      <c r="R15" s="58"/>
      <c r="S15" s="58"/>
      <c r="T15" s="59"/>
    </row>
    <row r="16" spans="1:36" ht="12.75" thickBot="1">
      <c r="A16" s="45" t="s">
        <v>34</v>
      </c>
      <c r="B16" s="60">
        <v>2854</v>
      </c>
      <c r="C16" s="61">
        <v>2783</v>
      </c>
      <c r="D16" s="61">
        <v>2838</v>
      </c>
      <c r="E16" s="61">
        <v>2764</v>
      </c>
      <c r="F16" s="61">
        <v>2913</v>
      </c>
      <c r="G16" s="61">
        <v>2935</v>
      </c>
      <c r="H16" s="61">
        <v>2866</v>
      </c>
      <c r="I16" s="61">
        <v>2733</v>
      </c>
      <c r="J16" s="61">
        <v>2756</v>
      </c>
      <c r="K16" s="61">
        <v>2672</v>
      </c>
      <c r="L16" s="61">
        <v>2800</v>
      </c>
      <c r="M16" s="61">
        <v>2784</v>
      </c>
      <c r="N16" s="61">
        <v>2727</v>
      </c>
      <c r="O16" s="62">
        <v>2733</v>
      </c>
      <c r="P16" s="62">
        <v>2656</v>
      </c>
      <c r="Q16" s="63">
        <v>2644</v>
      </c>
      <c r="R16" s="58">
        <v>2621</v>
      </c>
      <c r="S16" s="58">
        <v>2426</v>
      </c>
      <c r="T16" s="59">
        <v>2395.9293240499023</v>
      </c>
    </row>
    <row r="17" spans="1:20" ht="12.75" thickTop="1">
      <c r="A17" s="50" t="s">
        <v>35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37"/>
      <c r="Q17" s="38"/>
      <c r="R17" s="53"/>
      <c r="S17" s="53"/>
      <c r="T17" s="54"/>
    </row>
    <row r="18" spans="1:20" ht="12.75" thickBot="1">
      <c r="A18" s="45" t="s">
        <v>36</v>
      </c>
      <c r="B18" s="60">
        <v>1743</v>
      </c>
      <c r="C18" s="61">
        <v>1910</v>
      </c>
      <c r="D18" s="61">
        <v>1983</v>
      </c>
      <c r="E18" s="61">
        <v>2043</v>
      </c>
      <c r="F18" s="61">
        <v>2122</v>
      </c>
      <c r="G18" s="61">
        <v>2160</v>
      </c>
      <c r="H18" s="61">
        <v>2168</v>
      </c>
      <c r="I18" s="61">
        <v>2281.1999999999998</v>
      </c>
      <c r="J18" s="61">
        <v>2343.6</v>
      </c>
      <c r="K18" s="61">
        <v>2250.8000000000002</v>
      </c>
      <c r="L18" s="64">
        <f>'[1]Resident Undergraduate'!L18+'[1]Resident Graduate'!L16</f>
        <v>2356.4</v>
      </c>
      <c r="M18" s="64">
        <f>'[1]Resident Undergraduate'!M18+'[1]Resident Graduate'!M16</f>
        <v>2452.1999999999998</v>
      </c>
      <c r="N18" s="64">
        <f>'[1]Resident Undergraduate'!N18+'[1]Resident Graduate'!N16</f>
        <v>2584.1999999999998</v>
      </c>
      <c r="O18" s="64">
        <f>'[1]Resident Undergraduate'!O18+'[1]Resident Graduate'!O16</f>
        <v>2845.1</v>
      </c>
      <c r="P18" s="64">
        <f>'[1]Resident Undergraduate'!P18+'[1]Resident Graduate'!P16</f>
        <v>2973.5</v>
      </c>
      <c r="Q18" s="64">
        <f>'[1]Resident Undergraduate'!Q18+'[1]Resident Graduate'!Q16</f>
        <v>3018.9</v>
      </c>
      <c r="R18" s="64">
        <f>'[1]Resident Undergraduate'!R18+'[1]Resident Graduate'!R16</f>
        <v>3044.9</v>
      </c>
      <c r="S18" s="64">
        <f>'[1]Resident Undergraduate'!S18+'[1]Resident Graduate'!S16</f>
        <v>3144</v>
      </c>
      <c r="T18" s="65">
        <v>3288.3218192514842</v>
      </c>
    </row>
    <row r="19" spans="1:20" ht="12.75" thickTop="1">
      <c r="A19" s="50" t="s">
        <v>37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P19" s="37"/>
      <c r="Q19" s="38"/>
      <c r="R19" s="53"/>
      <c r="S19" s="53"/>
      <c r="T19" s="54"/>
    </row>
    <row r="20" spans="1:20" ht="12.75" thickBot="1">
      <c r="A20" s="45" t="s">
        <v>38</v>
      </c>
      <c r="B20" s="60">
        <v>8717</v>
      </c>
      <c r="C20" s="61">
        <v>8651</v>
      </c>
      <c r="D20" s="61">
        <v>8749</v>
      </c>
      <c r="E20" s="61">
        <v>8643</v>
      </c>
      <c r="F20" s="61">
        <v>8403</v>
      </c>
      <c r="G20" s="61">
        <v>8225</v>
      </c>
      <c r="H20" s="61">
        <v>8315</v>
      </c>
      <c r="I20" s="61">
        <v>8573.36</v>
      </c>
      <c r="J20" s="61">
        <v>8989.58</v>
      </c>
      <c r="K20" s="61">
        <v>9041.07</v>
      </c>
      <c r="L20" s="61">
        <v>9088.1</v>
      </c>
      <c r="M20" s="61">
        <v>9420.91</v>
      </c>
      <c r="N20" s="61">
        <v>9596.4699999999993</v>
      </c>
      <c r="O20" s="62">
        <v>9878.3700000000008</v>
      </c>
      <c r="P20" s="62">
        <v>9880.83</v>
      </c>
      <c r="Q20" s="63">
        <v>9657.93</v>
      </c>
      <c r="R20" s="58">
        <v>9361.7800000000007</v>
      </c>
      <c r="S20" s="58">
        <v>8658</v>
      </c>
      <c r="T20" s="59">
        <v>8918.4350942956426</v>
      </c>
    </row>
    <row r="21" spans="1:20" ht="12.75" thickTop="1">
      <c r="A21" s="50" t="s">
        <v>39</v>
      </c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7"/>
      <c r="P21" s="37"/>
      <c r="Q21" s="38"/>
      <c r="R21" s="53"/>
      <c r="S21" s="53"/>
      <c r="T21" s="54"/>
    </row>
    <row r="22" spans="1:20" ht="12.75" thickBot="1">
      <c r="A22" s="45" t="s">
        <v>40</v>
      </c>
      <c r="B22" s="60">
        <v>1928</v>
      </c>
      <c r="C22" s="61">
        <v>1931</v>
      </c>
      <c r="D22" s="61">
        <v>1748</v>
      </c>
      <c r="E22" s="61">
        <v>1820</v>
      </c>
      <c r="F22" s="61">
        <v>1833</v>
      </c>
      <c r="G22" s="61">
        <v>1869</v>
      </c>
      <c r="H22" s="61">
        <v>1798</v>
      </c>
      <c r="I22" s="61">
        <v>1898.15</v>
      </c>
      <c r="J22" s="61">
        <v>1893.7</v>
      </c>
      <c r="K22" s="61">
        <v>1809</v>
      </c>
      <c r="L22" s="61">
        <v>1919.7</v>
      </c>
      <c r="M22" s="61">
        <v>1965.9</v>
      </c>
      <c r="N22" s="61">
        <v>1993.2</v>
      </c>
      <c r="O22" s="62">
        <v>1893.92</v>
      </c>
      <c r="P22" s="62">
        <v>1933.07</v>
      </c>
      <c r="Q22" s="63">
        <v>1822.01</v>
      </c>
      <c r="R22" s="66">
        <v>1702.96</v>
      </c>
      <c r="S22" s="66">
        <v>1646</v>
      </c>
      <c r="T22" s="67">
        <v>1860.3332434084737</v>
      </c>
    </row>
    <row r="23" spans="1:20" ht="12.75" thickTop="1">
      <c r="A23" s="50" t="s">
        <v>41</v>
      </c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7"/>
      <c r="Q23" s="38"/>
      <c r="R23" s="58"/>
      <c r="S23" s="58"/>
      <c r="T23" s="59"/>
    </row>
    <row r="24" spans="1:20" ht="12.75" thickBot="1">
      <c r="A24" s="45" t="s">
        <v>42</v>
      </c>
      <c r="B24" s="60">
        <v>3280</v>
      </c>
      <c r="C24" s="61">
        <v>3320</v>
      </c>
      <c r="D24" s="61">
        <v>3382</v>
      </c>
      <c r="E24" s="61">
        <v>3494</v>
      </c>
      <c r="F24" s="61">
        <v>3589</v>
      </c>
      <c r="G24" s="61">
        <v>3667</v>
      </c>
      <c r="H24" s="61">
        <v>3663</v>
      </c>
      <c r="I24" s="61">
        <v>3779</v>
      </c>
      <c r="J24" s="61">
        <v>3703.1</v>
      </c>
      <c r="K24" s="61">
        <v>3882.6</v>
      </c>
      <c r="L24" s="61">
        <v>4029.5</v>
      </c>
      <c r="M24" s="61">
        <v>4209.1000000000004</v>
      </c>
      <c r="N24" s="61">
        <f>4312.9+21.4</f>
        <v>4334.2999999999993</v>
      </c>
      <c r="O24" s="62">
        <v>4481</v>
      </c>
      <c r="P24" s="62">
        <v>4228.93</v>
      </c>
      <c r="Q24" s="63">
        <v>4411.2833330000003</v>
      </c>
      <c r="R24" s="58">
        <v>4459.3999999999996</v>
      </c>
      <c r="S24" s="58">
        <v>4541</v>
      </c>
      <c r="T24" s="59">
        <v>5306.118020633623</v>
      </c>
    </row>
    <row r="25" spans="1:20" ht="12.75" thickTop="1">
      <c r="A25" s="50" t="s">
        <v>43</v>
      </c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7"/>
      <c r="P25" s="37"/>
      <c r="Q25" s="38"/>
      <c r="R25" s="53"/>
      <c r="S25" s="53"/>
      <c r="T25" s="54"/>
    </row>
    <row r="26" spans="1:20" ht="12.75" thickBot="1">
      <c r="A26" s="45" t="s">
        <v>44</v>
      </c>
      <c r="B26" s="60">
        <v>12343</v>
      </c>
      <c r="C26" s="61">
        <v>12162</v>
      </c>
      <c r="D26" s="61">
        <v>11996</v>
      </c>
      <c r="E26" s="61">
        <v>11923</v>
      </c>
      <c r="F26" s="61">
        <v>11767</v>
      </c>
      <c r="G26" s="61">
        <v>11988</v>
      </c>
      <c r="H26" s="61">
        <v>12166</v>
      </c>
      <c r="I26" s="61">
        <v>11909</v>
      </c>
      <c r="J26" s="61">
        <v>11942.73</v>
      </c>
      <c r="K26" s="61">
        <v>11845.77</v>
      </c>
      <c r="L26" s="61">
        <v>12760.5</v>
      </c>
      <c r="M26" s="61">
        <v>13720.1</v>
      </c>
      <c r="N26" s="61">
        <v>14178.47</v>
      </c>
      <c r="O26" s="62">
        <v>14626.67</v>
      </c>
      <c r="P26" s="62">
        <v>14685.53</v>
      </c>
      <c r="Q26" s="63">
        <v>14743.84</v>
      </c>
      <c r="R26" s="58">
        <v>15135</v>
      </c>
      <c r="S26" s="58">
        <v>15621</v>
      </c>
      <c r="T26" s="59">
        <v>16790.761448229896</v>
      </c>
    </row>
    <row r="27" spans="1:20" ht="12.75" thickTop="1">
      <c r="A27" s="50" t="s">
        <v>45</v>
      </c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7"/>
      <c r="P27" s="37"/>
      <c r="Q27" s="38"/>
      <c r="R27" s="53"/>
      <c r="S27" s="53"/>
      <c r="T27" s="54"/>
    </row>
    <row r="28" spans="1:20" ht="12.75" thickBot="1">
      <c r="A28" s="45" t="s">
        <v>46</v>
      </c>
      <c r="B28" s="60">
        <v>1584</v>
      </c>
      <c r="C28" s="61">
        <v>1602</v>
      </c>
      <c r="D28" s="61">
        <v>1393</v>
      </c>
      <c r="E28" s="61">
        <v>1417</v>
      </c>
      <c r="F28" s="61">
        <v>1460</v>
      </c>
      <c r="G28" s="61">
        <v>1525</v>
      </c>
      <c r="H28" s="61">
        <v>1478</v>
      </c>
      <c r="I28" s="61">
        <v>1501</v>
      </c>
      <c r="J28" s="61">
        <v>1498.9</v>
      </c>
      <c r="K28" s="61">
        <v>1431.8</v>
      </c>
      <c r="L28" s="61">
        <v>1499.23</v>
      </c>
      <c r="M28" s="61">
        <v>1549.9</v>
      </c>
      <c r="N28" s="61">
        <v>1617.6</v>
      </c>
      <c r="O28" s="62">
        <v>1545</v>
      </c>
      <c r="P28" s="62">
        <v>1521.66</v>
      </c>
      <c r="Q28" s="63">
        <v>1451.68</v>
      </c>
      <c r="R28" s="58">
        <v>1428.43</v>
      </c>
      <c r="S28" s="58">
        <v>1453</v>
      </c>
      <c r="T28" s="59">
        <v>1430.3614557886203</v>
      </c>
    </row>
    <row r="29" spans="1:20" s="24" customFormat="1" ht="12.75" thickTop="1">
      <c r="A29" s="50" t="s">
        <v>47</v>
      </c>
      <c r="B29" s="51">
        <f>SUM(B30:B42)</f>
        <v>31436</v>
      </c>
      <c r="C29" s="28">
        <f t="shared" ref="C29:T29" si="2">SUM(C30:C42)</f>
        <v>33149</v>
      </c>
      <c r="D29" s="28">
        <f t="shared" si="2"/>
        <v>33090</v>
      </c>
      <c r="E29" s="28">
        <f t="shared" si="2"/>
        <v>32960</v>
      </c>
      <c r="F29" s="28">
        <f t="shared" si="2"/>
        <v>33129</v>
      </c>
      <c r="G29" s="28">
        <f t="shared" si="2"/>
        <v>33332</v>
      </c>
      <c r="H29" s="28">
        <f t="shared" si="2"/>
        <v>33810</v>
      </c>
      <c r="I29" s="28">
        <f t="shared" si="2"/>
        <v>34936.300000000003</v>
      </c>
      <c r="J29" s="28">
        <f t="shared" si="2"/>
        <v>35475.47</v>
      </c>
      <c r="K29" s="28">
        <f t="shared" si="2"/>
        <v>35937.53</v>
      </c>
      <c r="L29" s="28">
        <f t="shared" si="2"/>
        <v>37805.010000000009</v>
      </c>
      <c r="M29" s="28">
        <f t="shared" si="2"/>
        <v>41914.219999999994</v>
      </c>
      <c r="N29" s="28">
        <f t="shared" si="2"/>
        <v>44572.600000000006</v>
      </c>
      <c r="O29" s="29">
        <f t="shared" si="2"/>
        <v>44564.390000000007</v>
      </c>
      <c r="P29" s="29">
        <f t="shared" si="2"/>
        <v>42454.33</v>
      </c>
      <c r="Q29" s="52">
        <f t="shared" si="2"/>
        <v>40876.15</v>
      </c>
      <c r="R29" s="68">
        <f t="shared" si="2"/>
        <v>41927.958666699997</v>
      </c>
      <c r="S29" s="68">
        <f>SUM(S30:S42)</f>
        <v>44920</v>
      </c>
      <c r="T29" s="69">
        <f t="shared" si="2"/>
        <v>53454.044934737052</v>
      </c>
    </row>
    <row r="30" spans="1:20">
      <c r="A30" s="34" t="s">
        <v>48</v>
      </c>
      <c r="B30" s="35">
        <v>3880</v>
      </c>
      <c r="C30" s="36">
        <v>3849</v>
      </c>
      <c r="D30" s="36">
        <v>3832</v>
      </c>
      <c r="E30" s="36">
        <v>3744</v>
      </c>
      <c r="F30" s="36">
        <v>3832</v>
      </c>
      <c r="G30" s="36">
        <v>3821</v>
      </c>
      <c r="H30" s="36">
        <v>3785</v>
      </c>
      <c r="I30" s="36">
        <v>3832</v>
      </c>
      <c r="J30" s="36">
        <v>3814.8</v>
      </c>
      <c r="K30" s="36">
        <v>3799.7</v>
      </c>
      <c r="L30" s="36">
        <v>4079.77</v>
      </c>
      <c r="M30" s="36">
        <v>4500.2299999999996</v>
      </c>
      <c r="N30" s="36">
        <v>4657.2299999999996</v>
      </c>
      <c r="O30" s="37">
        <v>4570.57</v>
      </c>
      <c r="P30" s="37">
        <v>4209.17</v>
      </c>
      <c r="Q30" s="38">
        <v>4110.22</v>
      </c>
      <c r="R30" s="43">
        <v>4021.83</v>
      </c>
      <c r="S30" s="43">
        <v>4370</v>
      </c>
      <c r="T30" s="44">
        <v>5120.7086109847087</v>
      </c>
    </row>
    <row r="31" spans="1:20">
      <c r="A31" s="34" t="s">
        <v>49</v>
      </c>
      <c r="B31" s="35">
        <v>782</v>
      </c>
      <c r="C31" s="36">
        <v>807</v>
      </c>
      <c r="D31" s="36">
        <v>750</v>
      </c>
      <c r="E31" s="36">
        <v>697</v>
      </c>
      <c r="F31" s="36">
        <v>704</v>
      </c>
      <c r="G31" s="36">
        <v>732</v>
      </c>
      <c r="H31" s="36">
        <v>768</v>
      </c>
      <c r="I31" s="36">
        <v>710</v>
      </c>
      <c r="J31" s="36">
        <v>651.21</v>
      </c>
      <c r="K31" s="36">
        <v>665.5</v>
      </c>
      <c r="L31" s="36">
        <v>796.27</v>
      </c>
      <c r="M31" s="36">
        <v>842.9</v>
      </c>
      <c r="N31" s="36">
        <v>907.1</v>
      </c>
      <c r="O31" s="37">
        <v>895.38</v>
      </c>
      <c r="P31" s="37">
        <v>698.93</v>
      </c>
      <c r="Q31" s="38">
        <v>623</v>
      </c>
      <c r="R31" s="43">
        <v>663.21</v>
      </c>
      <c r="S31" s="43">
        <v>686</v>
      </c>
      <c r="T31" s="44">
        <v>708.35943423126002</v>
      </c>
    </row>
    <row r="32" spans="1:20">
      <c r="A32" s="34" t="s">
        <v>50</v>
      </c>
      <c r="B32" s="35">
        <v>2359</v>
      </c>
      <c r="C32" s="36">
        <v>2514</v>
      </c>
      <c r="D32" s="36">
        <v>2658</v>
      </c>
      <c r="E32" s="36">
        <v>2603</v>
      </c>
      <c r="F32" s="36">
        <v>2559</v>
      </c>
      <c r="G32" s="36">
        <v>2366</v>
      </c>
      <c r="H32" s="36">
        <v>2349</v>
      </c>
      <c r="I32" s="36">
        <v>2494</v>
      </c>
      <c r="J32" s="36">
        <v>2608.17</v>
      </c>
      <c r="K32" s="36">
        <v>2595.5</v>
      </c>
      <c r="L32" s="36">
        <v>2710.73</v>
      </c>
      <c r="M32" s="36">
        <v>3075.81</v>
      </c>
      <c r="N32" s="36">
        <v>3410.07</v>
      </c>
      <c r="O32" s="37">
        <v>3396.29</v>
      </c>
      <c r="P32" s="37">
        <v>3299.7</v>
      </c>
      <c r="Q32" s="38">
        <v>3058</v>
      </c>
      <c r="R32" s="43">
        <v>3076.6</v>
      </c>
      <c r="S32" s="43">
        <v>3338</v>
      </c>
      <c r="T32" s="44">
        <v>3923.9918198051228</v>
      </c>
    </row>
    <row r="33" spans="1:20">
      <c r="A33" s="34" t="s">
        <v>51</v>
      </c>
      <c r="B33" s="35">
        <v>3873</v>
      </c>
      <c r="C33" s="36">
        <v>4240</v>
      </c>
      <c r="D33" s="36">
        <v>4365</v>
      </c>
      <c r="E33" s="36">
        <v>4187</v>
      </c>
      <c r="F33" s="36">
        <v>3984</v>
      </c>
      <c r="G33" s="36">
        <v>3973</v>
      </c>
      <c r="H33" s="36">
        <v>3801</v>
      </c>
      <c r="I33" s="36">
        <v>3816</v>
      </c>
      <c r="J33" s="36">
        <v>3761.95</v>
      </c>
      <c r="K33" s="36">
        <v>3791.47</v>
      </c>
      <c r="L33" s="36">
        <v>3924.59</v>
      </c>
      <c r="M33" s="36">
        <v>4743.72</v>
      </c>
      <c r="N33" s="36">
        <v>5245.38</v>
      </c>
      <c r="O33" s="37">
        <v>5044.93</v>
      </c>
      <c r="P33" s="37">
        <v>4710.37</v>
      </c>
      <c r="Q33" s="38">
        <v>4890.1400000000003</v>
      </c>
      <c r="R33" s="43">
        <v>4654.9399999999996</v>
      </c>
      <c r="S33" s="43">
        <v>4933</v>
      </c>
      <c r="T33" s="44">
        <v>6900.6971508010865</v>
      </c>
    </row>
    <row r="34" spans="1:20">
      <c r="A34" s="34" t="s">
        <v>52</v>
      </c>
      <c r="B34" s="35">
        <v>5926</v>
      </c>
      <c r="C34" s="36">
        <v>6187</v>
      </c>
      <c r="D34" s="36">
        <v>6061</v>
      </c>
      <c r="E34" s="36">
        <v>5916</v>
      </c>
      <c r="F34" s="36">
        <v>6329</v>
      </c>
      <c r="G34" s="36">
        <v>6056</v>
      </c>
      <c r="H34" s="36">
        <v>6066</v>
      </c>
      <c r="I34" s="36">
        <v>6554</v>
      </c>
      <c r="J34" s="36">
        <v>6984.95</v>
      </c>
      <c r="K34" s="36">
        <v>7286.43</v>
      </c>
      <c r="L34" s="36">
        <v>7718.85</v>
      </c>
      <c r="M34" s="36">
        <v>8764.17</v>
      </c>
      <c r="N34" s="36">
        <v>9401.19</v>
      </c>
      <c r="O34" s="37">
        <v>9629.27</v>
      </c>
      <c r="P34" s="37">
        <v>9316.2000000000007</v>
      </c>
      <c r="Q34" s="38">
        <v>9055.5</v>
      </c>
      <c r="R34" s="43">
        <v>9312.7999999999993</v>
      </c>
      <c r="S34" s="43">
        <v>9945</v>
      </c>
      <c r="T34" s="44">
        <v>11863.859843837014</v>
      </c>
    </row>
    <row r="35" spans="1:20">
      <c r="A35" s="34" t="s">
        <v>53</v>
      </c>
      <c r="B35" s="35">
        <v>586</v>
      </c>
      <c r="C35" s="36">
        <v>612</v>
      </c>
      <c r="D35" s="36">
        <v>581</v>
      </c>
      <c r="E35" s="36">
        <v>557</v>
      </c>
      <c r="F35" s="36">
        <v>580</v>
      </c>
      <c r="G35" s="36">
        <v>621</v>
      </c>
      <c r="H35" s="36">
        <v>633</v>
      </c>
      <c r="I35" s="36">
        <v>649</v>
      </c>
      <c r="J35" s="36">
        <v>614.09</v>
      </c>
      <c r="K35" s="36">
        <v>630.42999999999995</v>
      </c>
      <c r="L35" s="36">
        <v>639.77</v>
      </c>
      <c r="M35" s="36">
        <v>707.21</v>
      </c>
      <c r="N35" s="36">
        <v>696.4</v>
      </c>
      <c r="O35" s="37">
        <v>637</v>
      </c>
      <c r="P35" s="37">
        <v>624.63</v>
      </c>
      <c r="Q35" s="38">
        <v>611.32000000000005</v>
      </c>
      <c r="R35" s="43">
        <v>662.49866669999994</v>
      </c>
      <c r="S35" s="43">
        <v>674</v>
      </c>
      <c r="T35" s="44">
        <v>630.81198070285552</v>
      </c>
    </row>
    <row r="36" spans="1:20">
      <c r="A36" s="34" t="s">
        <v>54</v>
      </c>
      <c r="B36" s="35">
        <v>566</v>
      </c>
      <c r="C36" s="36">
        <v>712</v>
      </c>
      <c r="D36" s="36">
        <v>807</v>
      </c>
      <c r="E36" s="36">
        <v>696</v>
      </c>
      <c r="F36" s="36">
        <v>744</v>
      </c>
      <c r="G36" s="36">
        <v>802</v>
      </c>
      <c r="H36" s="36">
        <v>861</v>
      </c>
      <c r="I36" s="36">
        <v>911</v>
      </c>
      <c r="J36" s="36">
        <v>948.14</v>
      </c>
      <c r="K36" s="36">
        <v>949.03</v>
      </c>
      <c r="L36" s="36">
        <v>979.47</v>
      </c>
      <c r="M36" s="36">
        <v>922.17</v>
      </c>
      <c r="N36" s="36">
        <v>936.36</v>
      </c>
      <c r="O36" s="37">
        <v>961.72</v>
      </c>
      <c r="P36" s="37">
        <v>984.13</v>
      </c>
      <c r="Q36" s="38">
        <v>984.15</v>
      </c>
      <c r="R36" s="43">
        <v>973.57</v>
      </c>
      <c r="S36" s="43">
        <v>999</v>
      </c>
      <c r="T36" s="44">
        <v>1052.3702165331767</v>
      </c>
    </row>
    <row r="37" spans="1:20">
      <c r="A37" s="34" t="s">
        <v>55</v>
      </c>
      <c r="B37" s="35">
        <v>1695</v>
      </c>
      <c r="C37" s="36">
        <v>1724</v>
      </c>
      <c r="D37" s="36">
        <v>1570</v>
      </c>
      <c r="E37" s="36">
        <v>1559</v>
      </c>
      <c r="F37" s="36">
        <v>1515</v>
      </c>
      <c r="G37" s="36">
        <v>1579</v>
      </c>
      <c r="H37" s="36">
        <v>1457</v>
      </c>
      <c r="I37" s="36">
        <v>1500</v>
      </c>
      <c r="J37" s="36">
        <v>1463.85</v>
      </c>
      <c r="K37" s="36">
        <v>1545.8</v>
      </c>
      <c r="L37" s="36">
        <v>1512.5</v>
      </c>
      <c r="M37" s="36">
        <v>1556.57</v>
      </c>
      <c r="N37" s="36">
        <v>1446.77</v>
      </c>
      <c r="O37" s="37">
        <v>1403.32</v>
      </c>
      <c r="P37" s="37">
        <v>1203.9100000000001</v>
      </c>
      <c r="Q37" s="38">
        <v>1151</v>
      </c>
      <c r="R37" s="43">
        <v>1195.8</v>
      </c>
      <c r="S37" s="43">
        <v>1343</v>
      </c>
      <c r="T37" s="44">
        <v>1367.3082997773711</v>
      </c>
    </row>
    <row r="38" spans="1:20">
      <c r="A38" s="34" t="s">
        <v>56</v>
      </c>
      <c r="B38" s="35">
        <v>666</v>
      </c>
      <c r="C38" s="36">
        <v>677</v>
      </c>
      <c r="D38" s="36">
        <v>749</v>
      </c>
      <c r="E38" s="36">
        <v>761</v>
      </c>
      <c r="F38" s="36">
        <v>735</v>
      </c>
      <c r="G38" s="36">
        <v>773</v>
      </c>
      <c r="H38" s="36">
        <v>835</v>
      </c>
      <c r="I38" s="36">
        <v>887</v>
      </c>
      <c r="J38" s="36">
        <v>933.15</v>
      </c>
      <c r="K38" s="36">
        <v>954.58</v>
      </c>
      <c r="L38" s="36">
        <v>1072.25</v>
      </c>
      <c r="M38" s="36">
        <v>1108.7</v>
      </c>
      <c r="N38" s="36">
        <v>1215.8</v>
      </c>
      <c r="O38" s="37">
        <v>1236.6300000000001</v>
      </c>
      <c r="P38" s="37">
        <v>1221.33</v>
      </c>
      <c r="Q38" s="38">
        <v>1219.25</v>
      </c>
      <c r="R38" s="43">
        <v>1138.67</v>
      </c>
      <c r="S38" s="43">
        <v>1123</v>
      </c>
      <c r="T38" s="44">
        <v>1187.8183779483984</v>
      </c>
    </row>
    <row r="39" spans="1:20">
      <c r="A39" s="34" t="s">
        <v>57</v>
      </c>
      <c r="B39" s="35">
        <v>4571</v>
      </c>
      <c r="C39" s="36">
        <v>4717</v>
      </c>
      <c r="D39" s="36">
        <v>4437</v>
      </c>
      <c r="E39" s="36">
        <v>4573</v>
      </c>
      <c r="F39" s="36">
        <v>4436</v>
      </c>
      <c r="G39" s="36">
        <v>4662</v>
      </c>
      <c r="H39" s="36">
        <v>4772</v>
      </c>
      <c r="I39" s="36">
        <v>4994</v>
      </c>
      <c r="J39" s="36">
        <v>5171.3999999999996</v>
      </c>
      <c r="K39" s="36">
        <v>5207.8</v>
      </c>
      <c r="L39" s="36">
        <v>5507.2</v>
      </c>
      <c r="M39" s="36">
        <v>6147.2</v>
      </c>
      <c r="N39" s="36">
        <v>6461.1</v>
      </c>
      <c r="O39" s="37">
        <v>6716.7</v>
      </c>
      <c r="P39" s="37">
        <v>6780.5</v>
      </c>
      <c r="Q39" s="38">
        <v>6412.9</v>
      </c>
      <c r="R39" s="43">
        <v>7102.39</v>
      </c>
      <c r="S39" s="43">
        <v>7624</v>
      </c>
      <c r="T39" s="44">
        <v>8824.5987095198925</v>
      </c>
    </row>
    <row r="40" spans="1:20">
      <c r="A40" s="34" t="s">
        <v>58</v>
      </c>
      <c r="B40" s="35">
        <v>2472</v>
      </c>
      <c r="C40" s="36">
        <v>2696</v>
      </c>
      <c r="D40" s="36">
        <v>2623</v>
      </c>
      <c r="E40" s="36">
        <v>2690</v>
      </c>
      <c r="F40" s="36">
        <v>2747</v>
      </c>
      <c r="G40" s="36">
        <v>2831</v>
      </c>
      <c r="H40" s="36">
        <v>3045</v>
      </c>
      <c r="I40" s="36">
        <v>3053</v>
      </c>
      <c r="J40" s="36">
        <v>3175.34</v>
      </c>
      <c r="K40" s="36">
        <v>3159.03</v>
      </c>
      <c r="L40" s="36">
        <v>3492.31</v>
      </c>
      <c r="M40" s="36">
        <v>3782.45</v>
      </c>
      <c r="N40" s="36">
        <v>4170.87</v>
      </c>
      <c r="O40" s="37">
        <v>4095.57</v>
      </c>
      <c r="P40" s="37">
        <v>3809.38</v>
      </c>
      <c r="Q40" s="38">
        <v>3442</v>
      </c>
      <c r="R40" s="43">
        <v>3404.8</v>
      </c>
      <c r="S40" s="43">
        <v>3761</v>
      </c>
      <c r="T40" s="44">
        <v>4616.2549028184894</v>
      </c>
    </row>
    <row r="41" spans="1:20">
      <c r="A41" s="34" t="s">
        <v>59</v>
      </c>
      <c r="B41" s="35">
        <v>3037</v>
      </c>
      <c r="C41" s="36">
        <v>3365</v>
      </c>
      <c r="D41" s="36">
        <v>3598</v>
      </c>
      <c r="E41" s="36">
        <v>3627</v>
      </c>
      <c r="F41" s="36">
        <v>3666</v>
      </c>
      <c r="G41" s="36">
        <v>3720</v>
      </c>
      <c r="H41" s="36">
        <v>4035</v>
      </c>
      <c r="I41" s="36">
        <v>4228.3</v>
      </c>
      <c r="J41" s="36">
        <v>4033.99</v>
      </c>
      <c r="K41" s="36">
        <v>4064.23</v>
      </c>
      <c r="L41" s="36">
        <v>4031.5</v>
      </c>
      <c r="M41" s="36">
        <v>4323.24</v>
      </c>
      <c r="N41" s="36">
        <v>4581.3900000000003</v>
      </c>
      <c r="O41" s="37">
        <v>4522.55</v>
      </c>
      <c r="P41" s="37">
        <v>4249.33</v>
      </c>
      <c r="Q41" s="38">
        <v>4114.8599999999997</v>
      </c>
      <c r="R41" s="43">
        <v>4465.67</v>
      </c>
      <c r="S41" s="43">
        <v>4841</v>
      </c>
      <c r="T41" s="44">
        <v>5844.4292307557871</v>
      </c>
    </row>
    <row r="42" spans="1:20" ht="12.75" thickBot="1">
      <c r="A42" s="45" t="s">
        <v>60</v>
      </c>
      <c r="B42" s="46">
        <v>1023</v>
      </c>
      <c r="C42" s="47">
        <v>1049</v>
      </c>
      <c r="D42" s="47">
        <v>1059</v>
      </c>
      <c r="E42" s="47">
        <v>1350</v>
      </c>
      <c r="F42" s="47">
        <v>1298</v>
      </c>
      <c r="G42" s="47">
        <v>1396</v>
      </c>
      <c r="H42" s="47">
        <v>1403</v>
      </c>
      <c r="I42" s="47">
        <v>1308</v>
      </c>
      <c r="J42" s="47">
        <v>1314.43</v>
      </c>
      <c r="K42" s="47">
        <v>1288.03</v>
      </c>
      <c r="L42" s="47">
        <v>1339.8</v>
      </c>
      <c r="M42" s="47">
        <v>1439.85</v>
      </c>
      <c r="N42" s="47">
        <v>1442.94</v>
      </c>
      <c r="O42" s="48">
        <v>1454.46</v>
      </c>
      <c r="P42" s="48">
        <v>1346.75</v>
      </c>
      <c r="Q42" s="55">
        <v>1203.81</v>
      </c>
      <c r="R42" s="43">
        <v>1255.18</v>
      </c>
      <c r="S42" s="43">
        <v>1283</v>
      </c>
      <c r="T42" s="44">
        <v>1412.836357021891</v>
      </c>
    </row>
    <row r="43" spans="1:20" ht="12.75" thickTop="1">
      <c r="A43" s="50" t="s">
        <v>61</v>
      </c>
      <c r="B43" s="51">
        <f>SUM(B44:B45)</f>
        <v>6798</v>
      </c>
      <c r="C43" s="28">
        <f t="shared" ref="C43:T43" si="3">SUM(C44:C45)</f>
        <v>6823</v>
      </c>
      <c r="D43" s="28">
        <f t="shared" si="3"/>
        <v>6448</v>
      </c>
      <c r="E43" s="28">
        <f t="shared" si="3"/>
        <v>6307</v>
      </c>
      <c r="F43" s="28">
        <f t="shared" si="3"/>
        <v>6094</v>
      </c>
      <c r="G43" s="28">
        <f t="shared" si="3"/>
        <v>6194</v>
      </c>
      <c r="H43" s="28">
        <f t="shared" si="3"/>
        <v>6119</v>
      </c>
      <c r="I43" s="28">
        <f t="shared" si="3"/>
        <v>5996</v>
      </c>
      <c r="J43" s="28">
        <f t="shared" si="3"/>
        <v>5969.17</v>
      </c>
      <c r="K43" s="28">
        <f t="shared" si="3"/>
        <v>6021.37</v>
      </c>
      <c r="L43" s="28">
        <f t="shared" si="3"/>
        <v>6156.7800000000007</v>
      </c>
      <c r="M43" s="28">
        <f t="shared" si="3"/>
        <v>5845.26</v>
      </c>
      <c r="N43" s="28">
        <f t="shared" si="3"/>
        <v>5456.25</v>
      </c>
      <c r="O43" s="29">
        <f t="shared" si="3"/>
        <v>5231.37</v>
      </c>
      <c r="P43" s="29">
        <f t="shared" si="3"/>
        <v>5041.4699999999993</v>
      </c>
      <c r="Q43" s="52">
        <f t="shared" si="3"/>
        <v>5084.8</v>
      </c>
      <c r="R43" s="53">
        <f t="shared" si="3"/>
        <v>4968.5959999999995</v>
      </c>
      <c r="S43" s="53">
        <f>SUM(S44:S45)</f>
        <v>5174</v>
      </c>
      <c r="T43" s="54">
        <f t="shared" si="3"/>
        <v>5889.0110010152948</v>
      </c>
    </row>
    <row r="44" spans="1:20">
      <c r="A44" s="34" t="s">
        <v>62</v>
      </c>
      <c r="B44" s="35">
        <v>4454</v>
      </c>
      <c r="C44" s="36">
        <v>4544</v>
      </c>
      <c r="D44" s="36">
        <v>3992</v>
      </c>
      <c r="E44" s="36">
        <v>3760</v>
      </c>
      <c r="F44" s="36">
        <v>3630</v>
      </c>
      <c r="G44" s="36">
        <v>3717</v>
      </c>
      <c r="H44" s="36">
        <v>3636</v>
      </c>
      <c r="I44" s="36">
        <v>3554</v>
      </c>
      <c r="J44" s="36">
        <v>3582.17</v>
      </c>
      <c r="K44" s="36">
        <v>3576.37</v>
      </c>
      <c r="L44" s="36">
        <v>3744.78</v>
      </c>
      <c r="M44" s="36">
        <v>3505.26</v>
      </c>
      <c r="N44" s="36">
        <v>3171.25</v>
      </c>
      <c r="O44" s="37">
        <v>2954.37</v>
      </c>
      <c r="P44" s="37">
        <v>2848.47</v>
      </c>
      <c r="Q44" s="38">
        <v>2929.8</v>
      </c>
      <c r="R44" s="43">
        <v>2855.596</v>
      </c>
      <c r="S44" s="43">
        <v>3031</v>
      </c>
      <c r="T44" s="44">
        <v>3356.9793343486285</v>
      </c>
    </row>
    <row r="45" spans="1:20" ht="12.75" thickBot="1">
      <c r="A45" s="45" t="s">
        <v>63</v>
      </c>
      <c r="B45" s="46">
        <v>2344</v>
      </c>
      <c r="C45" s="47">
        <v>2279</v>
      </c>
      <c r="D45" s="47">
        <v>2456</v>
      </c>
      <c r="E45" s="47">
        <v>2547</v>
      </c>
      <c r="F45" s="47">
        <v>2464</v>
      </c>
      <c r="G45" s="47">
        <v>2477</v>
      </c>
      <c r="H45" s="47">
        <v>2483</v>
      </c>
      <c r="I45" s="47">
        <v>2442</v>
      </c>
      <c r="J45" s="47">
        <v>2387</v>
      </c>
      <c r="K45" s="47">
        <v>2445</v>
      </c>
      <c r="L45" s="47">
        <v>2412</v>
      </c>
      <c r="M45" s="47">
        <v>2340</v>
      </c>
      <c r="N45" s="47">
        <v>2285</v>
      </c>
      <c r="O45" s="48">
        <v>2277</v>
      </c>
      <c r="P45" s="48">
        <v>2193</v>
      </c>
      <c r="Q45" s="55">
        <v>2155</v>
      </c>
      <c r="R45" s="43">
        <v>2113</v>
      </c>
      <c r="S45" s="43">
        <v>2143</v>
      </c>
      <c r="T45" s="44">
        <v>2532.0316666666663</v>
      </c>
    </row>
    <row r="46" spans="1:20" ht="13.5" thickTop="1" thickBot="1">
      <c r="A46" s="70" t="s">
        <v>64</v>
      </c>
      <c r="B46" s="71">
        <f>SUM(B6,B11,B16,B18,B20,B22,B24,B26,B28,B29)</f>
        <v>110277.6</v>
      </c>
      <c r="C46" s="72">
        <f t="shared" ref="C46:T46" si="4">SUM(C6,C11,C16,C18,C20,C22,C24,C26,C28,C29)</f>
        <v>111533.9</v>
      </c>
      <c r="D46" s="72">
        <f t="shared" si="4"/>
        <v>111182.2</v>
      </c>
      <c r="E46" s="72">
        <f t="shared" si="4"/>
        <v>110835.5</v>
      </c>
      <c r="F46" s="72">
        <f t="shared" si="4"/>
        <v>110886.23</v>
      </c>
      <c r="G46" s="72">
        <f t="shared" si="4"/>
        <v>111696.4</v>
      </c>
      <c r="H46" s="72">
        <f t="shared" si="4"/>
        <v>112845.4</v>
      </c>
      <c r="I46" s="72">
        <f t="shared" si="4"/>
        <v>115009.71</v>
      </c>
      <c r="J46" s="72">
        <f t="shared" si="4"/>
        <v>116739.23</v>
      </c>
      <c r="K46" s="72">
        <f t="shared" si="4"/>
        <v>117234.52</v>
      </c>
      <c r="L46" s="72">
        <f t="shared" si="4"/>
        <v>122060.36</v>
      </c>
      <c r="M46" s="72">
        <f t="shared" si="4"/>
        <v>130755.47</v>
      </c>
      <c r="N46" s="72">
        <f t="shared" si="4"/>
        <v>136457.97000000003</v>
      </c>
      <c r="O46" s="73">
        <f t="shared" si="4"/>
        <v>138618.6</v>
      </c>
      <c r="P46" s="73">
        <f t="shared" si="4"/>
        <v>136310.75000300002</v>
      </c>
      <c r="Q46" s="74">
        <f t="shared" si="4"/>
        <v>134172.12700299997</v>
      </c>
      <c r="R46" s="74">
        <f t="shared" si="4"/>
        <v>135634.9286667</v>
      </c>
      <c r="S46" s="74">
        <f>SUM(S6,S11,S16,S18,S20,S22,S24,S26,S28,S29)</f>
        <v>139403</v>
      </c>
      <c r="T46" s="75">
        <f t="shared" si="4"/>
        <v>154652.88303689851</v>
      </c>
    </row>
    <row r="47" spans="1:20" ht="12.75" thickTop="1">
      <c r="A47" s="50" t="s">
        <v>65</v>
      </c>
      <c r="B47" s="51">
        <f>SUM(B44:B45)</f>
        <v>6798</v>
      </c>
      <c r="C47" s="28">
        <f t="shared" ref="C47:T47" si="5">SUM(C44:C45)</f>
        <v>6823</v>
      </c>
      <c r="D47" s="28">
        <f t="shared" si="5"/>
        <v>6448</v>
      </c>
      <c r="E47" s="28">
        <f t="shared" si="5"/>
        <v>6307</v>
      </c>
      <c r="F47" s="28">
        <f t="shared" si="5"/>
        <v>6094</v>
      </c>
      <c r="G47" s="28">
        <f t="shared" si="5"/>
        <v>6194</v>
      </c>
      <c r="H47" s="28">
        <f t="shared" si="5"/>
        <v>6119</v>
      </c>
      <c r="I47" s="28">
        <f t="shared" si="5"/>
        <v>5996</v>
      </c>
      <c r="J47" s="28">
        <f t="shared" si="5"/>
        <v>5969.17</v>
      </c>
      <c r="K47" s="28">
        <f t="shared" si="5"/>
        <v>6021.37</v>
      </c>
      <c r="L47" s="28">
        <f t="shared" si="5"/>
        <v>6156.7800000000007</v>
      </c>
      <c r="M47" s="28">
        <f t="shared" si="5"/>
        <v>5845.26</v>
      </c>
      <c r="N47" s="28">
        <f t="shared" si="5"/>
        <v>5456.25</v>
      </c>
      <c r="O47" s="27">
        <f t="shared" si="5"/>
        <v>5231.37</v>
      </c>
      <c r="P47" s="27">
        <f t="shared" si="5"/>
        <v>5041.4699999999993</v>
      </c>
      <c r="Q47" s="52">
        <f t="shared" si="5"/>
        <v>5084.8</v>
      </c>
      <c r="R47" s="52">
        <f t="shared" si="5"/>
        <v>4968.5959999999995</v>
      </c>
      <c r="S47" s="52">
        <f>SUM(S44:S45)</f>
        <v>5174</v>
      </c>
      <c r="T47" s="76">
        <f t="shared" si="5"/>
        <v>5889.0110010152948</v>
      </c>
    </row>
    <row r="48" spans="1:20" ht="12.75" thickBot="1">
      <c r="A48" s="77" t="s">
        <v>66</v>
      </c>
      <c r="B48" s="78">
        <f>SUM(B46:B47)</f>
        <v>117075.6</v>
      </c>
      <c r="C48" s="79">
        <f t="shared" ref="C48:P48" si="6">SUM(C46:C47)</f>
        <v>118356.9</v>
      </c>
      <c r="D48" s="79">
        <f t="shared" si="6"/>
        <v>117630.2</v>
      </c>
      <c r="E48" s="79">
        <f t="shared" si="6"/>
        <v>117142.5</v>
      </c>
      <c r="F48" s="79">
        <f t="shared" si="6"/>
        <v>116980.23</v>
      </c>
      <c r="G48" s="79">
        <f t="shared" si="6"/>
        <v>117890.4</v>
      </c>
      <c r="H48" s="79">
        <f t="shared" si="6"/>
        <v>118964.4</v>
      </c>
      <c r="I48" s="79">
        <f t="shared" si="6"/>
        <v>121005.71</v>
      </c>
      <c r="J48" s="79">
        <f t="shared" si="6"/>
        <v>122708.4</v>
      </c>
      <c r="K48" s="79">
        <f t="shared" si="6"/>
        <v>123255.89</v>
      </c>
      <c r="L48" s="79">
        <f t="shared" si="6"/>
        <v>128217.14</v>
      </c>
      <c r="M48" s="79">
        <f t="shared" si="6"/>
        <v>136600.73000000001</v>
      </c>
      <c r="N48" s="79">
        <f t="shared" si="6"/>
        <v>141914.22000000003</v>
      </c>
      <c r="O48" s="80">
        <f t="shared" si="6"/>
        <v>143849.97</v>
      </c>
      <c r="P48" s="80">
        <f t="shared" si="6"/>
        <v>141352.22000300002</v>
      </c>
      <c r="Q48" s="81">
        <f>SUM(Q46:Q47)</f>
        <v>139256.92700299996</v>
      </c>
      <c r="R48" s="81">
        <f>SUM(R46:R47)</f>
        <v>140603.52466669999</v>
      </c>
      <c r="S48" s="81">
        <f>SUM(S46:S47)</f>
        <v>144577</v>
      </c>
      <c r="T48" s="82">
        <f>SUM(T46:T47)</f>
        <v>160541.89403791379</v>
      </c>
    </row>
  </sheetData>
  <mergeCells count="4">
    <mergeCell ref="A1:T1"/>
    <mergeCell ref="A2:T2"/>
    <mergeCell ref="A4:A5"/>
    <mergeCell ref="B4:O4"/>
  </mergeCells>
  <printOptions horizontalCentered="1"/>
  <pageMargins left="0.25" right="0.25" top="0.5" bottom="0.5" header="0" footer="0"/>
  <pageSetup scale="82" orientation="landscape" r:id="rId1"/>
  <headerFooter alignWithMargins="0">
    <oddFooter>&amp;L&amp;"Arial,Regular"Colorado Department of Higher Education
Final Student FTE Enrollment Report&amp;R&amp;"Arial,Regular"Updated February 2010 with FY09-10 Projections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48"/>
  <sheetViews>
    <sheetView zoomScaleNormal="100" zoomScaleSheetLayoutView="90" workbookViewId="0">
      <selection activeCell="J12" sqref="J12"/>
    </sheetView>
  </sheetViews>
  <sheetFormatPr defaultRowHeight="12"/>
  <cols>
    <col min="1" max="1" width="48.28515625" style="2" customWidth="1"/>
    <col min="2" max="3" width="12" style="2" hidden="1" customWidth="1"/>
    <col min="4" max="4" width="0.140625" style="2" hidden="1" customWidth="1"/>
    <col min="5" max="7" width="12.85546875" style="2" hidden="1" customWidth="1"/>
    <col min="8" max="8" width="6" style="2" hidden="1" customWidth="1"/>
    <col min="9" max="9" width="12.7109375" style="2" hidden="1" customWidth="1"/>
    <col min="10" max="11" width="12.7109375" style="2" customWidth="1"/>
    <col min="12" max="13" width="12.7109375" style="4" customWidth="1"/>
    <col min="14" max="19" width="12.7109375" style="2" customWidth="1"/>
    <col min="20" max="16384" width="9.140625" style="2"/>
  </cols>
  <sheetData>
    <row r="1" spans="1:36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6" ht="18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36" ht="12.75" thickBot="1">
      <c r="H3" s="3"/>
      <c r="I3" s="3"/>
    </row>
    <row r="4" spans="1:36" s="14" customFormat="1" ht="18.75" thickBot="1">
      <c r="A4" s="7" t="s">
        <v>2</v>
      </c>
      <c r="B4" s="83" t="s">
        <v>68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5"/>
      <c r="S4" s="86"/>
    </row>
    <row r="5" spans="1:36" s="24" customFormat="1" ht="12.75" thickBot="1">
      <c r="A5" s="15"/>
      <c r="B5" s="87" t="s">
        <v>69</v>
      </c>
      <c r="C5" s="87" t="s">
        <v>70</v>
      </c>
      <c r="D5" s="18" t="s">
        <v>71</v>
      </c>
      <c r="E5" s="19" t="s">
        <v>72</v>
      </c>
      <c r="F5" s="19" t="s">
        <v>73</v>
      </c>
      <c r="G5" s="19" t="s">
        <v>74</v>
      </c>
      <c r="H5" s="19" t="s">
        <v>75</v>
      </c>
      <c r="I5" s="19" t="s">
        <v>76</v>
      </c>
      <c r="J5" s="19" t="s">
        <v>77</v>
      </c>
      <c r="K5" s="19" t="s">
        <v>78</v>
      </c>
      <c r="L5" s="20" t="s">
        <v>79</v>
      </c>
      <c r="M5" s="20" t="s">
        <v>80</v>
      </c>
      <c r="N5" s="21" t="s">
        <v>81</v>
      </c>
      <c r="O5" s="21" t="s">
        <v>82</v>
      </c>
      <c r="P5" s="88" t="s">
        <v>83</v>
      </c>
      <c r="Q5" s="88" t="s">
        <v>84</v>
      </c>
      <c r="R5" s="88" t="s">
        <v>85</v>
      </c>
      <c r="S5" s="88" t="s">
        <v>86</v>
      </c>
    </row>
    <row r="6" spans="1:36" s="33" customFormat="1" ht="12.75" thickTop="1">
      <c r="A6" s="89" t="s">
        <v>23</v>
      </c>
      <c r="B6" s="90">
        <f>('Resident FTE'!C6-'Resident FTE'!B6)/'Resident FTE'!B6</f>
        <v>-1.767763800333166E-2</v>
      </c>
      <c r="C6" s="90">
        <f>('Resident FTE'!D6-'Resident FTE'!C6)/'Resident FTE'!C6</f>
        <v>5.1896791170236095E-3</v>
      </c>
      <c r="D6" s="90">
        <f>('Resident FTE'!E6-'Resident FTE'!D6)/'Resident FTE'!D6</f>
        <v>-9.7076788830715525E-3</v>
      </c>
      <c r="E6" s="90">
        <f>('Resident FTE'!F6-'Resident FTE'!E6)/'Resident FTE'!E6</f>
        <v>-5.619928773359757E-3</v>
      </c>
      <c r="F6" s="90">
        <f>('Resident FTE'!G6-'Resident FTE'!F6)/'Resident FTE'!F6</f>
        <v>8.4208606358087516E-3</v>
      </c>
      <c r="G6" s="90">
        <f>('Resident FTE'!H6-'Resident FTE'!G6)/'Resident FTE'!G6</f>
        <v>2.5662712360867073E-2</v>
      </c>
      <c r="H6" s="90">
        <f>('Resident FTE'!I6-'Resident FTE'!H6)/'Resident FTE'!H6</f>
        <v>1.7077846277964714E-2</v>
      </c>
      <c r="I6" s="90">
        <f>('Resident FTE'!J6-'Resident FTE'!I6)/'Resident FTE'!I6</f>
        <v>1.6853916809692865E-2</v>
      </c>
      <c r="J6" s="90">
        <f>('Resident FTE'!K6-'Resident FTE'!J6)/'Resident FTE'!J6</f>
        <v>9.8980066265144939E-3</v>
      </c>
      <c r="K6" s="90">
        <f>('Resident FTE'!L6-'Resident FTE'!K6)/'Resident FTE'!K6</f>
        <v>3.095776404945615E-2</v>
      </c>
      <c r="L6" s="90">
        <f>('Resident FTE'!M6-'Resident FTE'!L6)/'Resident FTE'!L6</f>
        <v>7.2335186092569947E-2</v>
      </c>
      <c r="M6" s="90">
        <f>('Resident FTE'!N6-'Resident FTE'!M6)/'Resident FTE'!M6</f>
        <v>4.6988586511939344E-2</v>
      </c>
      <c r="N6" s="91">
        <f>('Resident FTE'!O6-'Resident FTE'!N6)/'Resident FTE'!N6</f>
        <v>2.0832798133103389E-2</v>
      </c>
      <c r="O6" s="91">
        <f>('Resident FTE'!P6-'Resident FTE'!O6)/'Resident FTE'!O6</f>
        <v>7.840307075078148E-3</v>
      </c>
      <c r="P6" s="92">
        <f>('Resident FTE'!Q6-'Resident FTE'!P6)/'Resident FTE'!P6</f>
        <v>-1.4436433770349604E-3</v>
      </c>
      <c r="Q6" s="92">
        <f>('Resident FTE'!R6-'Resident FTE'!Q6)/'Resident FTE'!Q6</f>
        <v>1.1255428674900505E-2</v>
      </c>
      <c r="R6" s="92">
        <f>('Resident FTE'!S6-'Resident FTE'!R6)/'Resident FTE'!R6</f>
        <v>1.4418608617058341E-2</v>
      </c>
      <c r="S6" s="93">
        <f>('Resident FTE'!T6-'Resident FTE'!S6)/'Resident FTE'!S6</f>
        <v>9.5542728523906939E-2</v>
      </c>
    </row>
    <row r="7" spans="1:36">
      <c r="A7" s="34" t="s">
        <v>24</v>
      </c>
      <c r="B7" s="94">
        <f>('Resident FTE'!C7-'Resident FTE'!B7)/'Resident FTE'!B7</f>
        <v>-4.1860766045548656E-2</v>
      </c>
      <c r="C7" s="95">
        <f>('Resident FTE'!D7-'Resident FTE'!C7)/'Resident FTE'!C7</f>
        <v>1.9447633196029442E-2</v>
      </c>
      <c r="D7" s="95">
        <f>('Resident FTE'!E7-'Resident FTE'!D7)/'Resident FTE'!D7</f>
        <v>-1.6625819699278004E-2</v>
      </c>
      <c r="E7" s="95">
        <f>('Resident FTE'!F7-'Resident FTE'!E7)/'Resident FTE'!E7</f>
        <v>-1.4419372221473778E-2</v>
      </c>
      <c r="F7" s="95">
        <f>('Resident FTE'!G7-'Resident FTE'!F7)/'Resident FTE'!F7</f>
        <v>2.064457662112925E-2</v>
      </c>
      <c r="G7" s="95">
        <f>('Resident FTE'!H7-'Resident FTE'!G7)/'Resident FTE'!G7</f>
        <v>2.042319539306281E-2</v>
      </c>
      <c r="H7" s="95">
        <f>('Resident FTE'!I7-'Resident FTE'!H7)/'Resident FTE'!H7</f>
        <v>2.6248441498786011E-4</v>
      </c>
      <c r="I7" s="95">
        <f>('Resident FTE'!J7-'Resident FTE'!I7)/'Resident FTE'!I7</f>
        <v>2.7816046709965229E-2</v>
      </c>
      <c r="J7" s="95">
        <f>('Resident FTE'!K7-'Resident FTE'!J7)/'Resident FTE'!J7</f>
        <v>1.5637965149677667E-3</v>
      </c>
      <c r="K7" s="95">
        <f>('Resident FTE'!L7-'Resident FTE'!K7)/'Resident FTE'!K7</f>
        <v>2.0106427046490138E-2</v>
      </c>
      <c r="L7" s="95">
        <f>('Resident FTE'!M7-'Resident FTE'!L7)/'Resident FTE'!L7</f>
        <v>5.7918410695320707E-2</v>
      </c>
      <c r="M7" s="95">
        <f>('Resident FTE'!N7-'Resident FTE'!M7)/'Resident FTE'!M7</f>
        <v>4.8712361448202242E-2</v>
      </c>
      <c r="N7" s="95">
        <f>('Resident FTE'!O7-'Resident FTE'!N7)/'Resident FTE'!N7</f>
        <v>1.9708316909735908E-2</v>
      </c>
      <c r="O7" s="95">
        <f>('Resident FTE'!P7-'Resident FTE'!O7)/'Resident FTE'!O7</f>
        <v>-4.9146833066431054E-3</v>
      </c>
      <c r="P7" s="94">
        <f>('Resident FTE'!Q7-'Resident FTE'!P7)/'Resident FTE'!P7</f>
        <v>-1.193118756936737E-2</v>
      </c>
      <c r="Q7" s="96">
        <f>('Resident FTE'!R7-'Resident FTE'!Q7)/'Resident FTE'!Q7</f>
        <v>-1.1232799775344005E-3</v>
      </c>
      <c r="R7" s="96">
        <f>('Resident FTE'!S7-'Resident FTE'!R7)/'Resident FTE'!R7</f>
        <v>-2.3053134664042731E-3</v>
      </c>
      <c r="S7" s="97">
        <f>('Resident FTE'!T7-'Resident FTE'!S7)/'Resident FTE'!S7</f>
        <v>2.3945531770936855E-2</v>
      </c>
      <c r="T7" s="98"/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</row>
    <row r="8" spans="1:36">
      <c r="A8" s="34" t="s">
        <v>26</v>
      </c>
      <c r="B8" s="94">
        <f>('Resident FTE'!C8-'Resident FTE'!B8)/'Resident FTE'!B8</f>
        <v>-3.3985581874356331E-2</v>
      </c>
      <c r="C8" s="95">
        <f>('Resident FTE'!D8-'Resident FTE'!C8)/'Resident FTE'!C8</f>
        <v>-2.2121535181236673E-2</v>
      </c>
      <c r="D8" s="95">
        <f>('Resident FTE'!E8-'Resident FTE'!D8)/'Resident FTE'!D8</f>
        <v>1.7715998909784682E-2</v>
      </c>
      <c r="E8" s="95">
        <f>('Resident FTE'!F8-'Resident FTE'!E8)/'Resident FTE'!E8</f>
        <v>1.1515800749866096E-2</v>
      </c>
      <c r="F8" s="95">
        <f>('Resident FTE'!G8-'Resident FTE'!F8)/'Resident FTE'!F8</f>
        <v>1.6679904686258934E-2</v>
      </c>
      <c r="G8" s="95">
        <f>('Resident FTE'!H8-'Resident FTE'!G8)/'Resident FTE'!G8</f>
        <v>0.10518229166666657</v>
      </c>
      <c r="H8" s="95">
        <f>('Resident FTE'!I8-'Resident FTE'!H8)/'Resident FTE'!H8</f>
        <v>4.2201748391809513E-2</v>
      </c>
      <c r="I8" s="95">
        <f>('Resident FTE'!J8-'Resident FTE'!I8)/'Resident FTE'!I8</f>
        <v>4.040244178159616E-2</v>
      </c>
      <c r="J8" s="95">
        <f>('Resident FTE'!K8-'Resident FTE'!J8)/'Resident FTE'!J8</f>
        <v>1.8732207662385602E-2</v>
      </c>
      <c r="K8" s="95">
        <f>('Resident FTE'!L8-'Resident FTE'!K8)/'Resident FTE'!K8</f>
        <v>5.1664924593101548E-2</v>
      </c>
      <c r="L8" s="95">
        <f>('Resident FTE'!M8-'Resident FTE'!L8)/'Resident FTE'!L8</f>
        <v>0.12095089349100409</v>
      </c>
      <c r="M8" s="95">
        <f>('Resident FTE'!N8-'Resident FTE'!M8)/'Resident FTE'!M8</f>
        <v>4.7372611464968191E-2</v>
      </c>
      <c r="N8" s="95">
        <f>('Resident FTE'!O8-'Resident FTE'!N8)/'Resident FTE'!N8</f>
        <v>9.5884731004457352E-3</v>
      </c>
      <c r="O8" s="95">
        <f>('Resident FTE'!P8-'Resident FTE'!O8)/'Resident FTE'!O8</f>
        <v>-3.7134007563700768E-3</v>
      </c>
      <c r="P8" s="94">
        <f>('Resident FTE'!Q8-'Resident FTE'!P8)/'Resident FTE'!P8</f>
        <v>-1.2023359670216421E-3</v>
      </c>
      <c r="Q8" s="96">
        <f>('Resident FTE'!R8-'Resident FTE'!Q8)/'Resident FTE'!Q8</f>
        <v>3.6113499570077385E-3</v>
      </c>
      <c r="R8" s="96">
        <f>('Resident FTE'!S8-'Resident FTE'!R8)/'Resident FTE'!R8</f>
        <v>4.8320767649074711E-2</v>
      </c>
      <c r="S8" s="97">
        <f>('Resident FTE'!T8-'Resident FTE'!S8)/'Resident FTE'!S8</f>
        <v>6.8113715124842239E-2</v>
      </c>
      <c r="T8" s="98"/>
    </row>
    <row r="9" spans="1:36">
      <c r="A9" s="34" t="s">
        <v>87</v>
      </c>
      <c r="B9" s="94">
        <f>('Resident FTE'!C9-'Resident FTE'!B9)/'Resident FTE'!B9</f>
        <v>3.1832816961302531E-2</v>
      </c>
      <c r="C9" s="95">
        <f>('Resident FTE'!D9-'Resident FTE'!C9)/'Resident FTE'!C9</f>
        <v>-3.385340005887548E-2</v>
      </c>
      <c r="D9" s="95">
        <f>('Resident FTE'!E9-'Resident FTE'!D9)/'Resident FTE'!D9</f>
        <v>-2.3613650213284581E-2</v>
      </c>
      <c r="E9" s="95">
        <f>('Resident FTE'!F9-'Resident FTE'!E9)/'Resident FTE'!E9</f>
        <v>2.6525198938992041E-3</v>
      </c>
      <c r="F9" s="95">
        <f>('Resident FTE'!G9-'Resident FTE'!F9)/'Resident FTE'!F9</f>
        <v>-1.758481170245876E-2</v>
      </c>
      <c r="G9" s="95">
        <f>('Resident FTE'!H9-'Resident FTE'!G9)/'Resident FTE'!G9</f>
        <v>1.0613020750831618E-2</v>
      </c>
      <c r="H9" s="95">
        <f>('Resident FTE'!I9-'Resident FTE'!H9)/'Resident FTE'!H9</f>
        <v>3.8761755485893445E-2</v>
      </c>
      <c r="I9" s="95">
        <f>('Resident FTE'!J9-'Resident FTE'!I9)/'Resident FTE'!I9</f>
        <v>-4.0287900049793754E-3</v>
      </c>
      <c r="J9" s="95">
        <f>('Resident FTE'!K9-'Resident FTE'!J9)/'Resident FTE'!J9</f>
        <v>2.7633851468048302E-2</v>
      </c>
      <c r="K9" s="95">
        <f>('Resident FTE'!L9-'Resident FTE'!K9)/'Resident FTE'!K9</f>
        <v>4.1604010025062629E-2</v>
      </c>
      <c r="L9" s="95">
        <f>('Resident FTE'!M9-'Resident FTE'!L9)/'Resident FTE'!L9</f>
        <v>8.0889429881673552E-2</v>
      </c>
      <c r="M9" s="95">
        <f>('Resident FTE'!N9-'Resident FTE'!M9)/'Resident FTE'!M9</f>
        <v>3.5617478753912031E-2</v>
      </c>
      <c r="N9" s="95">
        <f>('Resident FTE'!O9-'Resident FTE'!N9)/'Resident FTE'!N9</f>
        <v>2.5501030510703439E-2</v>
      </c>
      <c r="O9" s="95">
        <f>('Resident FTE'!P9-'Resident FTE'!O9)/'Resident FTE'!O9</f>
        <v>-6.6310086580406522E-3</v>
      </c>
      <c r="P9" s="94">
        <f>('Resident FTE'!Q9-'Resident FTE'!P9)/'Resident FTE'!P9</f>
        <v>1.8543802596628804E-2</v>
      </c>
      <c r="Q9" s="96">
        <f>('Resident FTE'!R9-'Resident FTE'!Q9)/'Resident FTE'!Q9</f>
        <v>3.3926395320497155E-2</v>
      </c>
      <c r="R9" s="96">
        <f>('Resident FTE'!S9-'Resident FTE'!R9)/'Resident FTE'!R9</f>
        <v>2.941869784545759E-2</v>
      </c>
      <c r="S9" s="97">
        <f>('Resident FTE'!T9-'Resident FTE'!S9)/'Resident FTE'!S9</f>
        <v>0.1970789517846851</v>
      </c>
      <c r="T9" s="98"/>
    </row>
    <row r="10" spans="1:36" ht="12.75" thickBot="1">
      <c r="A10" s="45" t="s">
        <v>88</v>
      </c>
      <c r="B10" s="99">
        <f>('Resident FTE'!C10-'Resident FTE'!B10)/'Resident FTE'!B10</f>
        <v>3.9896373056994817E-2</v>
      </c>
      <c r="C10" s="100">
        <f>('Resident FTE'!D10-'Resident FTE'!C10)/'Resident FTE'!C10</f>
        <v>8.3208769307424019E-2</v>
      </c>
      <c r="D10" s="100">
        <f>('Resident FTE'!E10-'Resident FTE'!D10)/'Resident FTE'!D10</f>
        <v>3.4038638454461818E-2</v>
      </c>
      <c r="E10" s="100">
        <f>('Resident FTE'!F10-'Resident FTE'!E10)/'Resident FTE'!E10</f>
        <v>4.4483985765124553E-4</v>
      </c>
      <c r="F10" s="100">
        <f>('Resident FTE'!G10-'Resident FTE'!F10)/'Resident FTE'!F10</f>
        <v>-1.0671409515340151E-2</v>
      </c>
      <c r="G10" s="100">
        <f>('Resident FTE'!H10-'Resident FTE'!G10)/'Resident FTE'!G10</f>
        <v>-3.3707865168539325E-2</v>
      </c>
      <c r="H10" s="100">
        <f>('Resident FTE'!I10-'Resident FTE'!H10)/'Resident FTE'!H10</f>
        <v>2.2325581395348838E-2</v>
      </c>
      <c r="I10" s="100">
        <f>('Resident FTE'!J10-'Resident FTE'!I10)/'Resident FTE'!I10</f>
        <v>-4.3589626933575952E-2</v>
      </c>
      <c r="J10" s="100">
        <f>('Resident FTE'!K10-'Resident FTE'!J10)/'Resident FTE'!J10</f>
        <v>-3.0159024636213401E-3</v>
      </c>
      <c r="K10" s="100">
        <f>('Resident FTE'!L10-'Resident FTE'!K10)/'Resident FTE'!K10</f>
        <v>3.1428775914306796E-2</v>
      </c>
      <c r="L10" s="100">
        <f>('Resident FTE'!M10-'Resident FTE'!L10)/'Resident FTE'!L10</f>
        <v>4.0254982143848414E-2</v>
      </c>
      <c r="M10" s="100">
        <f>('Resident FTE'!N10-'Resident FTE'!M10)/'Resident FTE'!M10</f>
        <v>7.1680140878892212E-2</v>
      </c>
      <c r="N10" s="100">
        <f>('Resident FTE'!O10-'Resident FTE'!N10)/'Resident FTE'!N10</f>
        <v>4.0806164494404468E-2</v>
      </c>
      <c r="O10" s="100">
        <f>('Resident FTE'!P10-'Resident FTE'!O10)/'Resident FTE'!O10</f>
        <v>0.17363760679671655</v>
      </c>
      <c r="P10" s="99">
        <f>('Resident FTE'!Q10-'Resident FTE'!P10)/'Resident FTE'!P10</f>
        <v>7.5752428833479601E-3</v>
      </c>
      <c r="Q10" s="96">
        <f>('Resident FTE'!R10-'Resident FTE'!Q10)/'Resident FTE'!Q10</f>
        <v>3.7827450187114489E-2</v>
      </c>
      <c r="R10" s="96">
        <f>('Resident FTE'!S10-'Resident FTE'!R10)/'Resident FTE'!R10</f>
        <v>5.4250722801545718E-3</v>
      </c>
      <c r="S10" s="97">
        <f>('Resident FTE'!T10-'Resident FTE'!S10)/'Resident FTE'!S10</f>
        <v>0.27370556833022175</v>
      </c>
      <c r="T10" s="98"/>
    </row>
    <row r="11" spans="1:36" s="24" customFormat="1" ht="12.75" thickTop="1">
      <c r="A11" s="50" t="s">
        <v>29</v>
      </c>
      <c r="B11" s="101">
        <f>('Resident FTE'!C11-'Resident FTE'!B11)/'Resident FTE'!B11</f>
        <v>6.7805935851377548E-3</v>
      </c>
      <c r="C11" s="90">
        <f>('Resident FTE'!D11-'Resident FTE'!C11)/'Resident FTE'!C11</f>
        <v>-8.8245222059698519E-3</v>
      </c>
      <c r="D11" s="90">
        <f>('Resident FTE'!E11-'Resident FTE'!D11)/'Resident FTE'!D11</f>
        <v>1.9081906244593967E-3</v>
      </c>
      <c r="E11" s="90">
        <f>('Resident FTE'!F11-'Resident FTE'!E11)/'Resident FTE'!E11</f>
        <v>2.7947880978714977E-3</v>
      </c>
      <c r="F11" s="90">
        <f>('Resident FTE'!G11-'Resident FTE'!F11)/'Resident FTE'!F11</f>
        <v>5.2242780973083503E-3</v>
      </c>
      <c r="G11" s="90">
        <f>('Resident FTE'!H11-'Resident FTE'!G11)/'Resident FTE'!G11</f>
        <v>-6.1498442467645851E-3</v>
      </c>
      <c r="H11" s="90">
        <f>('Resident FTE'!I11-'Resident FTE'!H11)/'Resident FTE'!H11</f>
        <v>1.825133963432703E-2</v>
      </c>
      <c r="I11" s="90">
        <f>('Resident FTE'!J11-'Resident FTE'!I11)/'Resident FTE'!I11</f>
        <v>1.3606312872208679E-2</v>
      </c>
      <c r="J11" s="90">
        <f>('Resident FTE'!K11-'Resident FTE'!J11)/'Resident FTE'!J11</f>
        <v>-3.0764960087994843E-3</v>
      </c>
      <c r="K11" s="90">
        <f>('Resident FTE'!L11-'Resident FTE'!K11)/'Resident FTE'!K11</f>
        <v>2.7855561429311518E-2</v>
      </c>
      <c r="L11" s="90">
        <f>('Resident FTE'!M11-'Resident FTE'!L11)/'Resident FTE'!L11</f>
        <v>3.8461342607916477E-2</v>
      </c>
      <c r="M11" s="90">
        <f>('Resident FTE'!N11-'Resident FTE'!M11)/'Resident FTE'!M11</f>
        <v>2.9181295726026429E-2</v>
      </c>
      <c r="N11" s="90">
        <f>('Resident FTE'!O11-'Resident FTE'!N11)/'Resident FTE'!N11</f>
        <v>2.3417808969759167E-2</v>
      </c>
      <c r="O11" s="90">
        <f>('Resident FTE'!P11-'Resident FTE'!O11)/'Resident FTE'!O11</f>
        <v>-1.6075568534157425E-2</v>
      </c>
      <c r="P11" s="101">
        <f>('Resident FTE'!Q11-'Resident FTE'!P11)/'Resident FTE'!P11</f>
        <v>-1.7992681773688932E-2</v>
      </c>
      <c r="Q11" s="92">
        <f>('Resident FTE'!R11-'Resident FTE'!Q11)/'Resident FTE'!Q11</f>
        <v>7.5003154765971528E-4</v>
      </c>
      <c r="R11" s="92">
        <f>('Resident FTE'!S11-'Resident FTE'!R11)/'Resident FTE'!R11</f>
        <v>2.5671888992672087E-2</v>
      </c>
      <c r="S11" s="93">
        <f>('Resident FTE'!T11-'Resident FTE'!S11)/'Resident FTE'!S11</f>
        <v>3.7767552586820789E-2</v>
      </c>
      <c r="T11" s="102"/>
    </row>
    <row r="12" spans="1:36">
      <c r="A12" s="34" t="s">
        <v>30</v>
      </c>
      <c r="B12" s="94">
        <f>('Resident FTE'!C12-'Resident FTE'!B12)/'Resident FTE'!B12</f>
        <v>6.0360646238324525E-3</v>
      </c>
      <c r="C12" s="95">
        <f>('Resident FTE'!D12-'Resident FTE'!C12)/'Resident FTE'!C12</f>
        <v>-3.6410513107099267E-3</v>
      </c>
      <c r="D12" s="95">
        <f>('Resident FTE'!E12-'Resident FTE'!D12)/'Resident FTE'!D12</f>
        <v>8.9397547245123835E-3</v>
      </c>
      <c r="E12" s="95">
        <f>('Resident FTE'!F12-'Resident FTE'!E12)/'Resident FTE'!E12</f>
        <v>1.2516626308788923E-2</v>
      </c>
      <c r="F12" s="95">
        <f>('Resident FTE'!G12-'Resident FTE'!F12)/'Resident FTE'!F12</f>
        <v>2.1085960657504715E-2</v>
      </c>
      <c r="G12" s="95">
        <f>('Resident FTE'!H12-'Resident FTE'!G12)/'Resident FTE'!G12</f>
        <v>-5.0801609817246159E-3</v>
      </c>
      <c r="H12" s="95">
        <f>('Resident FTE'!I12-'Resident FTE'!H12)/'Resident FTE'!H12</f>
        <v>2.2778514588859416E-2</v>
      </c>
      <c r="I12" s="95">
        <f>('Resident FTE'!J12-'Resident FTE'!I12)/'Resident FTE'!I12</f>
        <v>1.5152202807404333E-2</v>
      </c>
      <c r="J12" s="95">
        <f>('Resident FTE'!K12-'Resident FTE'!J12)/'Resident FTE'!J12</f>
        <v>-3.8193291265361039E-3</v>
      </c>
      <c r="K12" s="95">
        <f>('Resident FTE'!L12-'Resident FTE'!K12)/'Resident FTE'!K12</f>
        <v>3.6942054444971645E-2</v>
      </c>
      <c r="L12" s="95">
        <f>('Resident FTE'!M12-'Resident FTE'!L12)/'Resident FTE'!L12</f>
        <v>4.6841766829895652E-2</v>
      </c>
      <c r="M12" s="95">
        <f>('Resident FTE'!N12-'Resident FTE'!M12)/'Resident FTE'!M12</f>
        <v>2.803699678699683E-2</v>
      </c>
      <c r="N12" s="95">
        <f>('Resident FTE'!O12-'Resident FTE'!N12)/'Resident FTE'!N12</f>
        <v>2.1435260457660824E-2</v>
      </c>
      <c r="O12" s="95">
        <f>('Resident FTE'!P12-'Resident FTE'!O12)/'Resident FTE'!O12</f>
        <v>-1.2854116092018582E-2</v>
      </c>
      <c r="P12" s="94">
        <f>('Resident FTE'!Q12-'Resident FTE'!P12)/'Resident FTE'!P12</f>
        <v>-1.2672008909037318E-2</v>
      </c>
      <c r="Q12" s="96">
        <f>('Resident FTE'!R12-'Resident FTE'!Q12)/'Resident FTE'!Q12</f>
        <v>-3.3510373661412496E-3</v>
      </c>
      <c r="R12" s="96">
        <f>('Resident FTE'!S12-'Resident FTE'!R12)/'Resident FTE'!R12</f>
        <v>1.2101910828025478E-2</v>
      </c>
      <c r="S12" s="97">
        <f>('Resident FTE'!T12-'Resident FTE'!S12)/'Resident FTE'!S12</f>
        <v>2.4797142582884381E-2</v>
      </c>
      <c r="T12" s="98"/>
    </row>
    <row r="13" spans="1:36">
      <c r="A13" s="34" t="s">
        <v>31</v>
      </c>
      <c r="B13" s="94">
        <f>('Resident FTE'!C13-'Resident FTE'!B13)/'Resident FTE'!B13</f>
        <v>-1.2990936555891274E-2</v>
      </c>
      <c r="C13" s="95">
        <f>('Resident FTE'!D13-'Resident FTE'!C13)/'Resident FTE'!C13</f>
        <v>3.0303030303030408E-2</v>
      </c>
      <c r="D13" s="95">
        <f>('Resident FTE'!E13-'Resident FTE'!D13)/'Resident FTE'!D13</f>
        <v>-3.297682709447422E-2</v>
      </c>
      <c r="E13" s="95">
        <f>('Resident FTE'!F13-'Resident FTE'!E13)/'Resident FTE'!E13</f>
        <v>1.2596006144393311E-2</v>
      </c>
      <c r="F13" s="95">
        <f>('Resident FTE'!G13-'Resident FTE'!F13)/'Resident FTE'!F13</f>
        <v>-6.6747572815535356E-3</v>
      </c>
      <c r="G13" s="95">
        <f>('Resident FTE'!H13-'Resident FTE'!G13)/'Resident FTE'!G13</f>
        <v>7.5442883323152257E-2</v>
      </c>
      <c r="H13" s="95">
        <f>('Resident FTE'!I13-'Resident FTE'!H13)/'Resident FTE'!H13</f>
        <v>7.8954842374325346E-2</v>
      </c>
      <c r="I13" s="95">
        <f>('Resident FTE'!J13-'Resident FTE'!I13)/'Resident FTE'!I13</f>
        <v>5.2645433008686501E-2</v>
      </c>
      <c r="J13" s="95">
        <f>('Resident FTE'!K13-'Resident FTE'!J13)/'Resident FTE'!J13</f>
        <v>5.5263815953988556E-2</v>
      </c>
      <c r="K13" s="95">
        <f>('Resident FTE'!L13-'Resident FTE'!K13)/'Resident FTE'!K13</f>
        <v>-6.6350710900474202E-3</v>
      </c>
      <c r="L13" s="95">
        <f>('Resident FTE'!M13-'Resident FTE'!L13)/'Resident FTE'!L13</f>
        <v>3.1250000000000056E-2</v>
      </c>
      <c r="M13" s="95">
        <f>('Resident FTE'!N13-'Resident FTE'!M13)/'Resident FTE'!M13</f>
        <v>-1.9199629886652813E-2</v>
      </c>
      <c r="N13" s="95">
        <f>('Resident FTE'!O13-'Resident FTE'!N13)/'Resident FTE'!N13</f>
        <v>2.5000000000000053E-2</v>
      </c>
      <c r="O13" s="95">
        <f>('Resident FTE'!P13-'Resident FTE'!O13)/'Resident FTE'!O13</f>
        <v>-2.8685381960423445E-2</v>
      </c>
      <c r="P13" s="94">
        <f>('Resident FTE'!Q13-'Resident FTE'!P13)/'Resident FTE'!P13</f>
        <v>3.632352340202467E-3</v>
      </c>
      <c r="Q13" s="96">
        <f>('Resident FTE'!R13-'Resident FTE'!Q13)/'Resident FTE'!Q13</f>
        <v>-9.1266797078939418E-3</v>
      </c>
      <c r="R13" s="96">
        <f>('Resident FTE'!S13-'Resident FTE'!R13)/'Resident FTE'!R13</f>
        <v>-3.5254883277751337E-2</v>
      </c>
      <c r="S13" s="97">
        <f>('Resident FTE'!T13-'Resident FTE'!S13)/'Resident FTE'!S13</f>
        <v>5.3172485551955036E-2</v>
      </c>
      <c r="T13" s="98"/>
    </row>
    <row r="14" spans="1:36" ht="12.75" thickBot="1">
      <c r="A14" s="45" t="s">
        <v>32</v>
      </c>
      <c r="B14" s="99">
        <f>('Resident FTE'!C14-'Resident FTE'!B14)/'Resident FTE'!B14</f>
        <v>1.1452438695769335E-2</v>
      </c>
      <c r="C14" s="100">
        <f>('Resident FTE'!D14-'Resident FTE'!C14)/'Resident FTE'!C14</f>
        <v>-3.2369788197682166E-2</v>
      </c>
      <c r="D14" s="100">
        <f>('Resident FTE'!E14-'Resident FTE'!D14)/'Resident FTE'!D14</f>
        <v>-2.2990088105726874E-2</v>
      </c>
      <c r="E14" s="100">
        <f>('Resident FTE'!F14-'Resident FTE'!E14)/'Resident FTE'!E14</f>
        <v>-3.826969141890945E-2</v>
      </c>
      <c r="F14" s="100">
        <f>('Resident FTE'!G14-'Resident FTE'!F14)/'Resident FTE'!F14</f>
        <v>-6.2619040642306625E-2</v>
      </c>
      <c r="G14" s="100">
        <f>('Resident FTE'!H14-'Resident FTE'!G14)/'Resident FTE'!G14</f>
        <v>-1.9568615192247549E-2</v>
      </c>
      <c r="H14" s="100">
        <f>('Resident FTE'!I14-'Resident FTE'!H14)/'Resident FTE'!H14</f>
        <v>-1.0330315010840483E-2</v>
      </c>
      <c r="I14" s="100">
        <f>('Resident FTE'!J14-'Resident FTE'!I14)/'Resident FTE'!I14</f>
        <v>1.1469072164948279E-3</v>
      </c>
      <c r="J14" s="100">
        <f>('Resident FTE'!K14-'Resident FTE'!J14)/'Resident FTE'!J14</f>
        <v>-6.8413803756000729E-3</v>
      </c>
      <c r="K14" s="100">
        <f>('Resident FTE'!L14-'Resident FTE'!K14)/'Resident FTE'!K14</f>
        <v>-1.3349317953536685E-2</v>
      </c>
      <c r="L14" s="100">
        <f>('Resident FTE'!M14-'Resident FTE'!L14)/'Resident FTE'!L14</f>
        <v>-5.0573051788118913E-3</v>
      </c>
      <c r="M14" s="100">
        <f>('Resident FTE'!N14-'Resident FTE'!M14)/'Resident FTE'!M14</f>
        <v>4.2479453411228926E-2</v>
      </c>
      <c r="N14" s="100">
        <f>('Resident FTE'!O14-'Resident FTE'!N14)/'Resident FTE'!N14</f>
        <v>3.4131205673758776E-2</v>
      </c>
      <c r="O14" s="100">
        <f>('Resident FTE'!P14-'Resident FTE'!O14)/'Resident FTE'!O14</f>
        <v>-3.1933133304757742E-2</v>
      </c>
      <c r="P14" s="99">
        <f>('Resident FTE'!Q14-'Resident FTE'!P14)/'Resident FTE'!P14</f>
        <v>-5.0412726525190577E-2</v>
      </c>
      <c r="Q14" s="103">
        <f>('Resident FTE'!R14-'Resident FTE'!Q14)/'Resident FTE'!Q14</f>
        <v>2.5811823480432972E-2</v>
      </c>
      <c r="R14" s="103">
        <f>('Resident FTE'!S14-'Resident FTE'!R14)/'Resident FTE'!R14</f>
        <v>0.11006493506493506</v>
      </c>
      <c r="S14" s="104">
        <f>('Resident FTE'!T14-'Resident FTE'!S14)/'Resident FTE'!S14</f>
        <v>0.10225155334959569</v>
      </c>
      <c r="T14" s="98"/>
    </row>
    <row r="15" spans="1:36" ht="12.75" thickTop="1">
      <c r="A15" s="50" t="s">
        <v>33</v>
      </c>
      <c r="B15" s="94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4"/>
      <c r="O15" s="94"/>
      <c r="P15" s="94"/>
      <c r="Q15" s="92"/>
      <c r="R15" s="92"/>
      <c r="S15" s="93"/>
      <c r="T15" s="98"/>
    </row>
    <row r="16" spans="1:36" ht="12.75" thickBot="1">
      <c r="A16" s="45" t="s">
        <v>34</v>
      </c>
      <c r="B16" s="105">
        <f>('Resident FTE'!C16-'Resident FTE'!B16)/'Resident FTE'!B16</f>
        <v>-2.4877365101611773E-2</v>
      </c>
      <c r="C16" s="106">
        <f>('Resident FTE'!D16-'Resident FTE'!C16)/'Resident FTE'!C16</f>
        <v>1.9762845849802372E-2</v>
      </c>
      <c r="D16" s="106">
        <f>('Resident FTE'!E16-'Resident FTE'!D16)/'Resident FTE'!D16</f>
        <v>-2.6074700493305146E-2</v>
      </c>
      <c r="E16" s="106">
        <f>('Resident FTE'!F16-'Resident FTE'!E16)/'Resident FTE'!E16</f>
        <v>5.3907380607814762E-2</v>
      </c>
      <c r="F16" s="106">
        <f>('Resident FTE'!G16-'Resident FTE'!F16)/'Resident FTE'!F16</f>
        <v>7.5523515276347411E-3</v>
      </c>
      <c r="G16" s="106">
        <f>('Resident FTE'!H16-'Resident FTE'!G16)/'Resident FTE'!G16</f>
        <v>-2.3509369676320273E-2</v>
      </c>
      <c r="H16" s="106">
        <f>('Resident FTE'!I16-'Resident FTE'!H16)/'Resident FTE'!H16</f>
        <v>-4.6406140963014653E-2</v>
      </c>
      <c r="I16" s="106">
        <f>('Resident FTE'!J16-'Resident FTE'!I16)/'Resident FTE'!I16</f>
        <v>8.4156604463959013E-3</v>
      </c>
      <c r="J16" s="106">
        <f>('Resident FTE'!K16-'Resident FTE'!J16)/'Resident FTE'!J16</f>
        <v>-3.0478955007256895E-2</v>
      </c>
      <c r="K16" s="106">
        <f>('Resident FTE'!L16-'Resident FTE'!K16)/'Resident FTE'!K16</f>
        <v>4.790419161676647E-2</v>
      </c>
      <c r="L16" s="106">
        <f>('Resident FTE'!M16-'Resident FTE'!L16)/'Resident FTE'!L16</f>
        <v>-5.7142857142857143E-3</v>
      </c>
      <c r="M16" s="106">
        <f>('Resident FTE'!N16-'Resident FTE'!M16)/'Resident FTE'!M16</f>
        <v>-2.0474137931034482E-2</v>
      </c>
      <c r="N16" s="106">
        <f>('Resident FTE'!O16-'Resident FTE'!N16)/'Resident FTE'!N16</f>
        <v>2.2002200220022001E-3</v>
      </c>
      <c r="O16" s="106">
        <f>('Resident FTE'!P16-'Resident FTE'!O16)/'Resident FTE'!O16</f>
        <v>-2.8174167581412366E-2</v>
      </c>
      <c r="P16" s="99">
        <f>('Resident FTE'!Q16-'Resident FTE'!P16)/'Resident FTE'!P16</f>
        <v>-4.5180722891566263E-3</v>
      </c>
      <c r="Q16" s="107">
        <f>('Resident FTE'!R16-'Resident FTE'!Q16)/'Resident FTE'!Q16</f>
        <v>-8.6989409984871407E-3</v>
      </c>
      <c r="R16" s="107">
        <f>('Resident FTE'!S16-'Resident FTE'!R16)/'Resident FTE'!R16</f>
        <v>-7.4399084318962222E-2</v>
      </c>
      <c r="S16" s="108">
        <f>('Resident FTE'!T16-'Resident FTE'!S16)/'Resident FTE'!S16</f>
        <v>-1.239516733309879E-2</v>
      </c>
      <c r="T16" s="98"/>
    </row>
    <row r="17" spans="1:20" ht="12.75" thickTop="1">
      <c r="A17" s="50" t="s">
        <v>35</v>
      </c>
      <c r="B17" s="94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4"/>
      <c r="O17" s="94"/>
      <c r="P17" s="94"/>
      <c r="Q17" s="92"/>
      <c r="R17" s="92"/>
      <c r="S17" s="93"/>
      <c r="T17" s="98"/>
    </row>
    <row r="18" spans="1:20" ht="12.75" thickBot="1">
      <c r="A18" s="45" t="s">
        <v>36</v>
      </c>
      <c r="B18" s="105">
        <f>('Resident FTE'!C18-'Resident FTE'!B18)/'Resident FTE'!B18</f>
        <v>9.5811818703384968E-2</v>
      </c>
      <c r="C18" s="106">
        <f>('Resident FTE'!D18-'Resident FTE'!C18)/'Resident FTE'!C18</f>
        <v>3.8219895287958112E-2</v>
      </c>
      <c r="D18" s="106">
        <f>('Resident FTE'!E18-'Resident FTE'!D18)/'Resident FTE'!D18</f>
        <v>3.0257186081694403E-2</v>
      </c>
      <c r="E18" s="106">
        <f>('Resident FTE'!F18-'Resident FTE'!E18)/'Resident FTE'!E18</f>
        <v>3.866862457170827E-2</v>
      </c>
      <c r="F18" s="106">
        <f>('Resident FTE'!G18-'Resident FTE'!F18)/'Resident FTE'!F18</f>
        <v>1.7907634307257305E-2</v>
      </c>
      <c r="G18" s="106">
        <f>('Resident FTE'!H18-'Resident FTE'!G18)/'Resident FTE'!G18</f>
        <v>3.7037037037037038E-3</v>
      </c>
      <c r="H18" s="106">
        <f>('Resident FTE'!I18-'Resident FTE'!H18)/'Resident FTE'!H18</f>
        <v>5.2214022140221319E-2</v>
      </c>
      <c r="I18" s="106">
        <f>('Resident FTE'!J18-'Resident FTE'!I18)/'Resident FTE'!I18</f>
        <v>2.7354024197790677E-2</v>
      </c>
      <c r="J18" s="106">
        <f>('Resident FTE'!K18-'Resident FTE'!J18)/'Resident FTE'!J18</f>
        <v>-3.9597200887523352E-2</v>
      </c>
      <c r="K18" s="106">
        <f>('Resident FTE'!L18-'Resident FTE'!K18)/'Resident FTE'!K18</f>
        <v>4.6916651857117422E-2</v>
      </c>
      <c r="L18" s="106">
        <f>('Resident FTE'!M18-'Resident FTE'!L18)/'Resident FTE'!L18</f>
        <v>4.0655236801901085E-2</v>
      </c>
      <c r="M18" s="106">
        <f>('Resident FTE'!N18-'Resident FTE'!M18)/'Resident FTE'!M18</f>
        <v>5.3829214582823588E-2</v>
      </c>
      <c r="N18" s="106">
        <f>('Resident FTE'!O18-'Resident FTE'!N18)/'Resident FTE'!N18</f>
        <v>0.10095967804349512</v>
      </c>
      <c r="O18" s="106">
        <f>('Resident FTE'!P18-'Resident FTE'!O18)/'Resident FTE'!O18</f>
        <v>4.5130223893712032E-2</v>
      </c>
      <c r="P18" s="99">
        <f>('Resident FTE'!Q18-'Resident FTE'!P18)/'Resident FTE'!P18</f>
        <v>1.5268202455019367E-2</v>
      </c>
      <c r="Q18" s="109">
        <f>('Resident FTE'!R18-'Resident FTE'!Q18)/'Resident FTE'!Q18</f>
        <v>8.6124084931597598E-3</v>
      </c>
      <c r="R18" s="109">
        <f>('Resident FTE'!S18-'Resident FTE'!R18)/'Resident FTE'!R18</f>
        <v>3.2546224834969918E-2</v>
      </c>
      <c r="S18" s="110">
        <f>('Resident FTE'!T18-'Resident FTE'!S18)/'Resident FTE'!S18</f>
        <v>4.590388653037028E-2</v>
      </c>
      <c r="T18" s="98"/>
    </row>
    <row r="19" spans="1:20" ht="12.75" thickTop="1">
      <c r="A19" s="50" t="s">
        <v>37</v>
      </c>
      <c r="B19" s="94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4"/>
      <c r="O19" s="94"/>
      <c r="P19" s="94"/>
      <c r="Q19" s="92"/>
      <c r="R19" s="92"/>
      <c r="S19" s="93"/>
      <c r="T19" s="98"/>
    </row>
    <row r="20" spans="1:20" ht="12.75" thickBot="1">
      <c r="A20" s="45" t="s">
        <v>38</v>
      </c>
      <c r="B20" s="105">
        <f>('Resident FTE'!C20-'Resident FTE'!B20)/'Resident FTE'!B20</f>
        <v>-7.5714121830905128E-3</v>
      </c>
      <c r="C20" s="106">
        <f>('Resident FTE'!D20-'Resident FTE'!C20)/'Resident FTE'!C20</f>
        <v>1.1328170153739452E-2</v>
      </c>
      <c r="D20" s="106">
        <f>('Resident FTE'!E20-'Resident FTE'!D20)/'Resident FTE'!D20</f>
        <v>-1.2115670362327123E-2</v>
      </c>
      <c r="E20" s="106">
        <f>('Resident FTE'!F20-'Resident FTE'!E20)/'Resident FTE'!E20</f>
        <v>-2.7768136063866713E-2</v>
      </c>
      <c r="F20" s="106">
        <f>('Resident FTE'!G20-'Resident FTE'!F20)/'Resident FTE'!F20</f>
        <v>-2.1182910865167201E-2</v>
      </c>
      <c r="G20" s="106">
        <f>('Resident FTE'!H20-'Resident FTE'!G20)/'Resident FTE'!G20</f>
        <v>1.094224924012158E-2</v>
      </c>
      <c r="H20" s="106">
        <f>('Resident FTE'!I20-'Resident FTE'!H20)/'Resident FTE'!H20</f>
        <v>3.1071557426338013E-2</v>
      </c>
      <c r="I20" s="106">
        <f>('Resident FTE'!J20-'Resident FTE'!I20)/'Resident FTE'!I20</f>
        <v>4.8548060503699753E-2</v>
      </c>
      <c r="J20" s="106">
        <f>('Resident FTE'!K20-'Resident FTE'!J20)/'Resident FTE'!J20</f>
        <v>5.7277425641687136E-3</v>
      </c>
      <c r="K20" s="106">
        <f>('Resident FTE'!L20-'Resident FTE'!K20)/'Resident FTE'!K20</f>
        <v>5.2018179264180743E-3</v>
      </c>
      <c r="L20" s="106">
        <f>('Resident FTE'!M20-'Resident FTE'!L20)/'Resident FTE'!L20</f>
        <v>3.6620415708453855E-2</v>
      </c>
      <c r="M20" s="106">
        <f>('Resident FTE'!N20-'Resident FTE'!M20)/'Resident FTE'!M20</f>
        <v>1.8635142465005982E-2</v>
      </c>
      <c r="N20" s="106">
        <f>('Resident FTE'!O20-'Resident FTE'!N20)/'Resident FTE'!N20</f>
        <v>2.9375384907158724E-2</v>
      </c>
      <c r="O20" s="111">
        <f>('Resident FTE'!P20-'Resident FTE'!O20)/'Resident FTE'!O20</f>
        <v>2.4902893898478461E-4</v>
      </c>
      <c r="P20" s="99">
        <f>('Resident FTE'!Q20-'Resident FTE'!P20)/'Resident FTE'!P20</f>
        <v>-2.2558833620252513E-2</v>
      </c>
      <c r="Q20" s="107">
        <f>('Resident FTE'!R20-'Resident FTE'!Q20)/'Resident FTE'!Q20</f>
        <v>-3.0663920736638144E-2</v>
      </c>
      <c r="R20" s="107">
        <f>('Resident FTE'!S20-'Resident FTE'!R20)/'Resident FTE'!R20</f>
        <v>-7.5175874673406196E-2</v>
      </c>
      <c r="S20" s="108">
        <f>('Resident FTE'!T20-'Resident FTE'!S20)/'Resident FTE'!S20</f>
        <v>3.0080283471430186E-2</v>
      </c>
      <c r="T20" s="98"/>
    </row>
    <row r="21" spans="1:20" ht="12.75" thickTop="1">
      <c r="A21" s="50" t="s">
        <v>39</v>
      </c>
      <c r="B21" s="94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4"/>
      <c r="O21" s="94"/>
      <c r="P21" s="94"/>
      <c r="Q21" s="92"/>
      <c r="R21" s="92"/>
      <c r="S21" s="93"/>
      <c r="T21" s="98"/>
    </row>
    <row r="22" spans="1:20" ht="12.75" thickBot="1">
      <c r="A22" s="45" t="s">
        <v>40</v>
      </c>
      <c r="B22" s="105">
        <f>('Resident FTE'!C22-'Resident FTE'!B22)/'Resident FTE'!B22</f>
        <v>1.5560165975103733E-3</v>
      </c>
      <c r="C22" s="106">
        <f>('Resident FTE'!D22-'Resident FTE'!C22)/'Resident FTE'!C22</f>
        <v>-9.476954945624029E-2</v>
      </c>
      <c r="D22" s="106">
        <f>('Resident FTE'!E22-'Resident FTE'!D22)/'Resident FTE'!D22</f>
        <v>4.1189931350114416E-2</v>
      </c>
      <c r="E22" s="106">
        <f>('Resident FTE'!F22-'Resident FTE'!E22)/'Resident FTE'!E22</f>
        <v>7.1428571428571426E-3</v>
      </c>
      <c r="F22" s="106">
        <f>('Resident FTE'!G22-'Resident FTE'!F22)/'Resident FTE'!F22</f>
        <v>1.9639934533551555E-2</v>
      </c>
      <c r="G22" s="106">
        <f>('Resident FTE'!H22-'Resident FTE'!G22)/'Resident FTE'!G22</f>
        <v>-3.7988228999464954E-2</v>
      </c>
      <c r="H22" s="106">
        <f>('Resident FTE'!I22-'Resident FTE'!H22)/'Resident FTE'!H22</f>
        <v>5.5700778642936648E-2</v>
      </c>
      <c r="I22" s="106">
        <f>('Resident FTE'!J22-'Resident FTE'!I22)/'Resident FTE'!I22</f>
        <v>-2.3443879566947003E-3</v>
      </c>
      <c r="J22" s="106">
        <f>('Resident FTE'!K22-'Resident FTE'!J22)/'Resident FTE'!J22</f>
        <v>-4.4727253524845564E-2</v>
      </c>
      <c r="K22" s="106">
        <f>('Resident FTE'!L22-'Resident FTE'!K22)/'Resident FTE'!K22</f>
        <v>6.1194029850746297E-2</v>
      </c>
      <c r="L22" s="106">
        <f>('Resident FTE'!M22-'Resident FTE'!L22)/'Resident FTE'!L22</f>
        <v>2.4066260353180206E-2</v>
      </c>
      <c r="M22" s="106">
        <f>('Resident FTE'!N22-'Resident FTE'!M22)/'Resident FTE'!M22</f>
        <v>1.3886769418586882E-2</v>
      </c>
      <c r="N22" s="106">
        <f>('Resident FTE'!O22-'Resident FTE'!N22)/'Resident FTE'!N22</f>
        <v>-4.9809351796106745E-2</v>
      </c>
      <c r="O22" s="106">
        <f>('Resident FTE'!P22-'Resident FTE'!O22)/'Resident FTE'!O22</f>
        <v>2.0671411675255481E-2</v>
      </c>
      <c r="P22" s="99">
        <f>('Resident FTE'!Q22-'Resident FTE'!P22)/'Resident FTE'!P22</f>
        <v>-5.7452653033775267E-2</v>
      </c>
      <c r="Q22" s="107">
        <f>('Resident FTE'!R22-'Resident FTE'!Q22)/'Resident FTE'!Q22</f>
        <v>-6.5339926784155941E-2</v>
      </c>
      <c r="R22" s="107">
        <f>('Resident FTE'!S22-'Resident FTE'!R22)/'Resident FTE'!R22</f>
        <v>-3.3447644102034123E-2</v>
      </c>
      <c r="S22" s="108">
        <f>('Resident FTE'!T22-'Resident FTE'!S22)/'Resident FTE'!S22</f>
        <v>0.13021460717404232</v>
      </c>
      <c r="T22" s="98"/>
    </row>
    <row r="23" spans="1:20" ht="12.75" thickTop="1">
      <c r="A23" s="50" t="s">
        <v>41</v>
      </c>
      <c r="B23" s="94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4"/>
      <c r="O23" s="94"/>
      <c r="P23" s="94"/>
      <c r="Q23" s="92"/>
      <c r="R23" s="92"/>
      <c r="S23" s="93"/>
      <c r="T23" s="98"/>
    </row>
    <row r="24" spans="1:20" ht="12.75" thickBot="1">
      <c r="A24" s="45" t="s">
        <v>42</v>
      </c>
      <c r="B24" s="105">
        <f>('Resident FTE'!C24-'Resident FTE'!B24)/'Resident FTE'!B24</f>
        <v>1.2195121951219513E-2</v>
      </c>
      <c r="C24" s="106">
        <f>('Resident FTE'!D24-'Resident FTE'!C24)/'Resident FTE'!C24</f>
        <v>1.8674698795180723E-2</v>
      </c>
      <c r="D24" s="106">
        <f>('Resident FTE'!E24-'Resident FTE'!D24)/'Resident FTE'!D24</f>
        <v>3.311649911295092E-2</v>
      </c>
      <c r="E24" s="106">
        <f>('Resident FTE'!F24-'Resident FTE'!E24)/'Resident FTE'!E24</f>
        <v>2.7189467658843731E-2</v>
      </c>
      <c r="F24" s="106">
        <f>('Resident FTE'!G24-'Resident FTE'!F24)/'Resident FTE'!F24</f>
        <v>2.1733073279465033E-2</v>
      </c>
      <c r="G24" s="106">
        <f>('Resident FTE'!H24-'Resident FTE'!G24)/'Resident FTE'!G24</f>
        <v>-1.0908099263703299E-3</v>
      </c>
      <c r="H24" s="106">
        <f>('Resident FTE'!I24-'Resident FTE'!H24)/'Resident FTE'!H24</f>
        <v>3.1668031668031671E-2</v>
      </c>
      <c r="I24" s="106">
        <f>('Resident FTE'!J24-'Resident FTE'!I24)/'Resident FTE'!I24</f>
        <v>-2.008467848637208E-2</v>
      </c>
      <c r="J24" s="106">
        <f>('Resident FTE'!K24-'Resident FTE'!J24)/'Resident FTE'!J24</f>
        <v>4.847290108287651E-2</v>
      </c>
      <c r="K24" s="106">
        <f>('Resident FTE'!L24-'Resident FTE'!K24)/'Resident FTE'!K24</f>
        <v>3.7835471076083059E-2</v>
      </c>
      <c r="L24" s="106">
        <f>('Resident FTE'!M24-'Resident FTE'!L24)/'Resident FTE'!L24</f>
        <v>4.4571286760144026E-2</v>
      </c>
      <c r="M24" s="106">
        <f>('Resident FTE'!N24-'Resident FTE'!M24)/'Resident FTE'!M24</f>
        <v>2.9745076144543702E-2</v>
      </c>
      <c r="N24" s="106">
        <f>('Resident FTE'!O24-'Resident FTE'!N24)/'Resident FTE'!N24</f>
        <v>3.3846295826315841E-2</v>
      </c>
      <c r="O24" s="106">
        <f>('Resident FTE'!P24-'Resident FTE'!O24)/'Resident FTE'!O24</f>
        <v>-5.6253068511492907E-2</v>
      </c>
      <c r="P24" s="99">
        <f>('Resident FTE'!Q24-'Resident FTE'!P24)/'Resident FTE'!P24</f>
        <v>4.3120442523286034E-2</v>
      </c>
      <c r="Q24" s="107">
        <f>('Resident FTE'!R24-'Resident FTE'!Q24)/'Resident FTE'!Q24</f>
        <v>1.0907634664961866E-2</v>
      </c>
      <c r="R24" s="107">
        <f>('Resident FTE'!S24-'Resident FTE'!R24)/'Resident FTE'!R24</f>
        <v>1.8298425797192531E-2</v>
      </c>
      <c r="S24" s="108">
        <f>('Resident FTE'!T24-'Resident FTE'!S24)/'Resident FTE'!S24</f>
        <v>0.16849108580348449</v>
      </c>
      <c r="T24" s="98"/>
    </row>
    <row r="25" spans="1:20" ht="12.75" thickTop="1">
      <c r="A25" s="50" t="s">
        <v>43</v>
      </c>
      <c r="B25" s="94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4"/>
      <c r="O25" s="94"/>
      <c r="P25" s="94"/>
      <c r="Q25" s="92"/>
      <c r="R25" s="92"/>
      <c r="S25" s="93"/>
      <c r="T25" s="98"/>
    </row>
    <row r="26" spans="1:20" ht="12.75" thickBot="1">
      <c r="A26" s="45" t="s">
        <v>44</v>
      </c>
      <c r="B26" s="105">
        <f>('Resident FTE'!C26-'Resident FTE'!B26)/'Resident FTE'!B26</f>
        <v>-1.4664182127521672E-2</v>
      </c>
      <c r="C26" s="106">
        <f>('Resident FTE'!D26-'Resident FTE'!C26)/'Resident FTE'!C26</f>
        <v>-1.3649070876500576E-2</v>
      </c>
      <c r="D26" s="106">
        <f>('Resident FTE'!E26-'Resident FTE'!D26)/'Resident FTE'!D26</f>
        <v>-6.0853617872624211E-3</v>
      </c>
      <c r="E26" s="106">
        <f>('Resident FTE'!F26-'Resident FTE'!E26)/'Resident FTE'!E26</f>
        <v>-1.3083955380357292E-2</v>
      </c>
      <c r="F26" s="106">
        <f>('Resident FTE'!G26-'Resident FTE'!F26)/'Resident FTE'!F26</f>
        <v>1.8781337639160362E-2</v>
      </c>
      <c r="G26" s="106">
        <f>('Resident FTE'!H26-'Resident FTE'!G26)/'Resident FTE'!G26</f>
        <v>1.4848181514848182E-2</v>
      </c>
      <c r="H26" s="106">
        <f>('Resident FTE'!I26-'Resident FTE'!H26)/'Resident FTE'!H26</f>
        <v>-2.1124445175078086E-2</v>
      </c>
      <c r="I26" s="106">
        <f>('Resident FTE'!J26-'Resident FTE'!I26)/'Resident FTE'!I26</f>
        <v>2.8323116970358185E-3</v>
      </c>
      <c r="J26" s="106">
        <f>('Resident FTE'!K26-'Resident FTE'!J26)/'Resident FTE'!J26</f>
        <v>-8.1187467187149951E-3</v>
      </c>
      <c r="K26" s="106">
        <f>('Resident FTE'!L26-'Resident FTE'!K26)/'Resident FTE'!K26</f>
        <v>7.7219969660055829E-2</v>
      </c>
      <c r="L26" s="106">
        <f>('Resident FTE'!M26-'Resident FTE'!L26)/'Resident FTE'!L26</f>
        <v>7.5200815015085645E-2</v>
      </c>
      <c r="M26" s="106">
        <f>('Resident FTE'!N26-'Resident FTE'!M26)/'Resident FTE'!M26</f>
        <v>3.3408648625009946E-2</v>
      </c>
      <c r="N26" s="106">
        <f>('Resident FTE'!O26-'Resident FTE'!N26)/'Resident FTE'!N26</f>
        <v>3.1611309259743876E-2</v>
      </c>
      <c r="O26" s="106">
        <f>('Resident FTE'!P26-'Resident FTE'!O26)/'Resident FTE'!O26</f>
        <v>4.0241558741668871E-3</v>
      </c>
      <c r="P26" s="99">
        <f>('Resident FTE'!Q26-'Resident FTE'!P26)/'Resident FTE'!P26</f>
        <v>3.970575117139081E-3</v>
      </c>
      <c r="Q26" s="107">
        <f>('Resident FTE'!R26-'Resident FTE'!Q26)/'Resident FTE'!Q26</f>
        <v>2.6530401849179038E-2</v>
      </c>
      <c r="R26" s="107">
        <f>('Resident FTE'!S26-'Resident FTE'!R26)/'Resident FTE'!R26</f>
        <v>3.2111000991080274E-2</v>
      </c>
      <c r="S26" s="108">
        <f>('Resident FTE'!T26-'Resident FTE'!S26)/'Resident FTE'!S26</f>
        <v>7.4883902965872606E-2</v>
      </c>
      <c r="T26" s="98"/>
    </row>
    <row r="27" spans="1:20" ht="12.75" thickTop="1">
      <c r="A27" s="50" t="s">
        <v>45</v>
      </c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4"/>
      <c r="O27" s="94"/>
      <c r="P27" s="94"/>
      <c r="Q27" s="92"/>
      <c r="R27" s="92"/>
      <c r="S27" s="93"/>
      <c r="T27" s="98"/>
    </row>
    <row r="28" spans="1:20" ht="12.75" thickBot="1">
      <c r="A28" s="45" t="s">
        <v>46</v>
      </c>
      <c r="B28" s="105">
        <f>('Resident FTE'!C28-'Resident FTE'!B28)/'Resident FTE'!B28</f>
        <v>1.1363636363636364E-2</v>
      </c>
      <c r="C28" s="106">
        <f>('Resident FTE'!D28-'Resident FTE'!C28)/'Resident FTE'!C28</f>
        <v>-0.13046192259675407</v>
      </c>
      <c r="D28" s="106">
        <f>('Resident FTE'!E28-'Resident FTE'!D28)/'Resident FTE'!D28</f>
        <v>1.7229002153625269E-2</v>
      </c>
      <c r="E28" s="106">
        <f>('Resident FTE'!F28-'Resident FTE'!E28)/'Resident FTE'!E28</f>
        <v>3.0345800988002825E-2</v>
      </c>
      <c r="F28" s="106">
        <f>('Resident FTE'!G28-'Resident FTE'!F28)/'Resident FTE'!F28</f>
        <v>4.4520547945205477E-2</v>
      </c>
      <c r="G28" s="106">
        <f>('Resident FTE'!H28-'Resident FTE'!G28)/'Resident FTE'!G28</f>
        <v>-3.081967213114754E-2</v>
      </c>
      <c r="H28" s="106">
        <f>('Resident FTE'!I28-'Resident FTE'!H28)/'Resident FTE'!H28</f>
        <v>1.5561569688768605E-2</v>
      </c>
      <c r="I28" s="106">
        <f>('Resident FTE'!J28-'Resident FTE'!I28)/'Resident FTE'!I28</f>
        <v>-1.3990672884742897E-3</v>
      </c>
      <c r="J28" s="106">
        <f>('Resident FTE'!K28-'Resident FTE'!J28)/'Resident FTE'!J28</f>
        <v>-4.4766161852024908E-2</v>
      </c>
      <c r="K28" s="106">
        <f>('Resident FTE'!L28-'Resident FTE'!K28)/'Resident FTE'!K28</f>
        <v>4.7094566280206779E-2</v>
      </c>
      <c r="L28" s="106">
        <f>('Resident FTE'!M28-'Resident FTE'!L28)/'Resident FTE'!L28</f>
        <v>3.3797349305977116E-2</v>
      </c>
      <c r="M28" s="106">
        <f>('Resident FTE'!N28-'Resident FTE'!M28)/'Resident FTE'!M28</f>
        <v>4.3680237434673086E-2</v>
      </c>
      <c r="N28" s="106">
        <f>('Resident FTE'!O28-'Resident FTE'!N28)/'Resident FTE'!N28</f>
        <v>-4.4881305637982143E-2</v>
      </c>
      <c r="O28" s="106">
        <f>('Resident FTE'!P28-'Resident FTE'!O28)/'Resident FTE'!O28</f>
        <v>-1.5106796116504801E-2</v>
      </c>
      <c r="P28" s="99">
        <f>('Resident FTE'!Q28-'Resident FTE'!P28)/'Resident FTE'!P28</f>
        <v>-4.5989248583783511E-2</v>
      </c>
      <c r="Q28" s="107">
        <f>('Resident FTE'!R28-'Resident FTE'!Q28)/'Resident FTE'!Q28</f>
        <v>-1.6015926374958668E-2</v>
      </c>
      <c r="R28" s="107">
        <f>('Resident FTE'!S28-'Resident FTE'!R28)/'Resident FTE'!R28</f>
        <v>1.7200702869584042E-2</v>
      </c>
      <c r="S28" s="108">
        <f>('Resident FTE'!T28-'Resident FTE'!S28)/'Resident FTE'!S28</f>
        <v>-1.5580553483399633E-2</v>
      </c>
      <c r="T28" s="98"/>
    </row>
    <row r="29" spans="1:20" s="24" customFormat="1" ht="12.75" thickTop="1">
      <c r="A29" s="50" t="s">
        <v>47</v>
      </c>
      <c r="B29" s="101">
        <f>('Resident FTE'!C29-'Resident FTE'!B29)/'Resident FTE'!B29</f>
        <v>5.4491665606311239E-2</v>
      </c>
      <c r="C29" s="90">
        <f>('Resident FTE'!D29-'Resident FTE'!C29)/'Resident FTE'!C29</f>
        <v>-1.7798425291864009E-3</v>
      </c>
      <c r="D29" s="90">
        <f>('Resident FTE'!E29-'Resident FTE'!D29)/'Resident FTE'!D29</f>
        <v>-3.9286793593230583E-3</v>
      </c>
      <c r="E29" s="90">
        <f>('Resident FTE'!F29-'Resident FTE'!E29)/'Resident FTE'!E29</f>
        <v>5.1274271844660192E-3</v>
      </c>
      <c r="F29" s="90">
        <f>('Resident FTE'!G29-'Resident FTE'!F29)/'Resident FTE'!F29</f>
        <v>6.1275619547828189E-3</v>
      </c>
      <c r="G29" s="90">
        <f>('Resident FTE'!H29-'Resident FTE'!G29)/'Resident FTE'!G29</f>
        <v>1.4340573622944918E-2</v>
      </c>
      <c r="H29" s="90">
        <f>('Resident FTE'!I29-'Resident FTE'!H29)/'Resident FTE'!H29</f>
        <v>3.3312629399586006E-2</v>
      </c>
      <c r="I29" s="90">
        <f>('Resident FTE'!J29-'Resident FTE'!I29)/'Resident FTE'!I29</f>
        <v>1.543294510294445E-2</v>
      </c>
      <c r="J29" s="90">
        <f>('Resident FTE'!K29-'Resident FTE'!J29)/'Resident FTE'!J29</f>
        <v>1.3024774583677049E-2</v>
      </c>
      <c r="K29" s="90">
        <f>('Resident FTE'!L29-'Resident FTE'!K29)/'Resident FTE'!K29</f>
        <v>5.196461749040656E-2</v>
      </c>
      <c r="L29" s="90">
        <f>('Resident FTE'!M29-'Resident FTE'!L29)/'Resident FTE'!L29</f>
        <v>0.10869485287796468</v>
      </c>
      <c r="M29" s="90">
        <f>('Resident FTE'!N29-'Resident FTE'!M29)/'Resident FTE'!M29</f>
        <v>6.3424298483903851E-2</v>
      </c>
      <c r="N29" s="90">
        <f>('Resident FTE'!O29-'Resident FTE'!N29)/'Resident FTE'!N29</f>
        <v>-1.8419387695577834E-4</v>
      </c>
      <c r="O29" s="90">
        <f>('Resident FTE'!P29-'Resident FTE'!O29)/'Resident FTE'!O29</f>
        <v>-4.7348566871441629E-2</v>
      </c>
      <c r="P29" s="101">
        <f>('Resident FTE'!Q29-'Resident FTE'!P29)/'Resident FTE'!P29</f>
        <v>-3.717359336491708E-2</v>
      </c>
      <c r="Q29" s="92">
        <f>('Resident FTE'!R29-'Resident FTE'!Q29)/'Resident FTE'!Q29</f>
        <v>2.5731598173996211E-2</v>
      </c>
      <c r="R29" s="92">
        <f>('Resident FTE'!S29-'Resident FTE'!R29)/'Resident FTE'!R29</f>
        <v>7.1361483564816169E-2</v>
      </c>
      <c r="S29" s="93">
        <f>('Resident FTE'!T29-'Resident FTE'!S29)/'Resident FTE'!S29</f>
        <v>0.18998319088907062</v>
      </c>
      <c r="T29" s="102"/>
    </row>
    <row r="30" spans="1:20">
      <c r="A30" s="34" t="s">
        <v>48</v>
      </c>
      <c r="B30" s="94">
        <f>('Resident FTE'!C30-'Resident FTE'!B30)/'Resident FTE'!B30</f>
        <v>-7.9896907216494839E-3</v>
      </c>
      <c r="C30" s="95">
        <f>('Resident FTE'!D30-'Resident FTE'!C30)/'Resident FTE'!C30</f>
        <v>-4.4167316186022347E-3</v>
      </c>
      <c r="D30" s="95">
        <f>('Resident FTE'!E30-'Resident FTE'!D30)/'Resident FTE'!D30</f>
        <v>-2.2964509394572025E-2</v>
      </c>
      <c r="E30" s="95">
        <f>('Resident FTE'!F30-'Resident FTE'!E30)/'Resident FTE'!E30</f>
        <v>2.3504273504273504E-2</v>
      </c>
      <c r="F30" s="95">
        <f>('Resident FTE'!G30-'Resident FTE'!F30)/'Resident FTE'!F30</f>
        <v>-2.8705636743215032E-3</v>
      </c>
      <c r="G30" s="95">
        <f>('Resident FTE'!H30-'Resident FTE'!G30)/'Resident FTE'!G30</f>
        <v>-9.42161737764983E-3</v>
      </c>
      <c r="H30" s="95">
        <f>('Resident FTE'!I30-'Resident FTE'!H30)/'Resident FTE'!H30</f>
        <v>1.2417437252311756E-2</v>
      </c>
      <c r="I30" s="95">
        <f>('Resident FTE'!J30-'Resident FTE'!I30)/'Resident FTE'!I30</f>
        <v>-4.4885177453026668E-3</v>
      </c>
      <c r="J30" s="95">
        <f>('Resident FTE'!K30-'Resident FTE'!J30)/'Resident FTE'!J30</f>
        <v>-3.9582677990983445E-3</v>
      </c>
      <c r="K30" s="95">
        <f>('Resident FTE'!L30-'Resident FTE'!K30)/'Resident FTE'!K30</f>
        <v>7.3708450667157976E-2</v>
      </c>
      <c r="L30" s="95">
        <f>('Resident FTE'!M30-'Resident FTE'!L30)/'Resident FTE'!L30</f>
        <v>0.10305973130838247</v>
      </c>
      <c r="M30" s="95">
        <f>('Resident FTE'!N30-'Resident FTE'!M30)/'Resident FTE'!M30</f>
        <v>3.4887105770149529E-2</v>
      </c>
      <c r="N30" s="95">
        <f>('Resident FTE'!O30-'Resident FTE'!N30)/'Resident FTE'!N30</f>
        <v>-1.86076272805938E-2</v>
      </c>
      <c r="O30" s="95">
        <f>('Resident FTE'!P30-'Resident FTE'!O30)/'Resident FTE'!O30</f>
        <v>-7.9071100541070291E-2</v>
      </c>
      <c r="P30" s="94">
        <f>('Resident FTE'!Q30-'Resident FTE'!P30)/'Resident FTE'!P30</f>
        <v>-2.3508197578144815E-2</v>
      </c>
      <c r="Q30" s="96">
        <f>('Resident FTE'!R30-'Resident FTE'!Q30)/'Resident FTE'!Q30</f>
        <v>-2.1504931609500299E-2</v>
      </c>
      <c r="R30" s="96">
        <f>('Resident FTE'!S30-'Resident FTE'!R30)/'Resident FTE'!R30</f>
        <v>8.6570043984952147E-2</v>
      </c>
      <c r="S30" s="97">
        <f>('Resident FTE'!T30-'Resident FTE'!S30)/'Resident FTE'!S30</f>
        <v>0.17178686750222166</v>
      </c>
      <c r="T30" s="98"/>
    </row>
    <row r="31" spans="1:20">
      <c r="A31" s="34" t="s">
        <v>49</v>
      </c>
      <c r="B31" s="94">
        <f>('Resident FTE'!C31-'Resident FTE'!B31)/'Resident FTE'!B31</f>
        <v>3.1969309462915603E-2</v>
      </c>
      <c r="C31" s="95">
        <f>('Resident FTE'!D31-'Resident FTE'!C31)/'Resident FTE'!C31</f>
        <v>-7.0631970260223054E-2</v>
      </c>
      <c r="D31" s="95">
        <f>('Resident FTE'!E31-'Resident FTE'!D31)/'Resident FTE'!D31</f>
        <v>-7.0666666666666669E-2</v>
      </c>
      <c r="E31" s="95">
        <f>('Resident FTE'!F31-'Resident FTE'!E31)/'Resident FTE'!E31</f>
        <v>1.0043041606886656E-2</v>
      </c>
      <c r="F31" s="95">
        <f>('Resident FTE'!G31-'Resident FTE'!F31)/'Resident FTE'!F31</f>
        <v>3.9772727272727272E-2</v>
      </c>
      <c r="G31" s="95">
        <f>('Resident FTE'!H31-'Resident FTE'!G31)/'Resident FTE'!G31</f>
        <v>4.9180327868852458E-2</v>
      </c>
      <c r="H31" s="95">
        <f>('Resident FTE'!I31-'Resident FTE'!H31)/'Resident FTE'!H31</f>
        <v>-7.5520833333333329E-2</v>
      </c>
      <c r="I31" s="95">
        <f>('Resident FTE'!J31-'Resident FTE'!I31)/'Resident FTE'!I31</f>
        <v>-8.2802816901408394E-2</v>
      </c>
      <c r="J31" s="95">
        <f>('Resident FTE'!K31-'Resident FTE'!J31)/'Resident FTE'!J31</f>
        <v>2.1943766219806149E-2</v>
      </c>
      <c r="K31" s="95">
        <f>('Resident FTE'!L31-'Resident FTE'!K31)/'Resident FTE'!K31</f>
        <v>0.19649887302779862</v>
      </c>
      <c r="L31" s="95">
        <f>('Resident FTE'!M31-'Resident FTE'!L31)/'Resident FTE'!L31</f>
        <v>5.8560538510806628E-2</v>
      </c>
      <c r="M31" s="95">
        <f>('Resident FTE'!N31-'Resident FTE'!M31)/'Resident FTE'!M31</f>
        <v>7.6165618697354429E-2</v>
      </c>
      <c r="N31" s="95">
        <f>('Resident FTE'!O31-'Resident FTE'!N31)/'Resident FTE'!N31</f>
        <v>-1.2920295447029023E-2</v>
      </c>
      <c r="O31" s="95">
        <f>('Resident FTE'!P31-'Resident FTE'!O31)/'Resident FTE'!O31</f>
        <v>-0.21940405191092055</v>
      </c>
      <c r="P31" s="94">
        <f>('Resident FTE'!Q31-'Resident FTE'!P31)/'Resident FTE'!P31</f>
        <v>-0.10863748873277718</v>
      </c>
      <c r="Q31" s="96">
        <f>('Resident FTE'!R31-'Resident FTE'!Q31)/'Resident FTE'!Q31</f>
        <v>6.4542536115569885E-2</v>
      </c>
      <c r="R31" s="96">
        <f>('Resident FTE'!S31-'Resident FTE'!R31)/'Resident FTE'!R31</f>
        <v>3.4363173052275993E-2</v>
      </c>
      <c r="S31" s="97">
        <f>('Resident FTE'!T31-'Resident FTE'!S31)/'Resident FTE'!S31</f>
        <v>3.2593927450816365E-2</v>
      </c>
      <c r="T31" s="98"/>
    </row>
    <row r="32" spans="1:20">
      <c r="A32" s="34" t="s">
        <v>50</v>
      </c>
      <c r="B32" s="94">
        <f>('Resident FTE'!C32-'Resident FTE'!B32)/'Resident FTE'!B32</f>
        <v>6.5705807545570163E-2</v>
      </c>
      <c r="C32" s="95">
        <f>('Resident FTE'!D32-'Resident FTE'!C32)/'Resident FTE'!C32</f>
        <v>5.7279236276849645E-2</v>
      </c>
      <c r="D32" s="95">
        <f>('Resident FTE'!E32-'Resident FTE'!D32)/'Resident FTE'!D32</f>
        <v>-2.0692249811888639E-2</v>
      </c>
      <c r="E32" s="95">
        <f>('Resident FTE'!F32-'Resident FTE'!E32)/'Resident FTE'!E32</f>
        <v>-1.6903572800614674E-2</v>
      </c>
      <c r="F32" s="95">
        <f>('Resident FTE'!G32-'Resident FTE'!F32)/'Resident FTE'!F32</f>
        <v>-7.5420085971082448E-2</v>
      </c>
      <c r="G32" s="95">
        <f>('Resident FTE'!H32-'Resident FTE'!G32)/'Resident FTE'!G32</f>
        <v>-7.1851225697379542E-3</v>
      </c>
      <c r="H32" s="95">
        <f>('Resident FTE'!I32-'Resident FTE'!H32)/'Resident FTE'!H32</f>
        <v>6.1728395061728392E-2</v>
      </c>
      <c r="I32" s="95">
        <f>('Resident FTE'!J32-'Resident FTE'!I32)/'Resident FTE'!I32</f>
        <v>4.577786688051326E-2</v>
      </c>
      <c r="J32" s="95">
        <f>('Resident FTE'!K32-'Resident FTE'!J32)/'Resident FTE'!J32</f>
        <v>-4.8578121824881327E-3</v>
      </c>
      <c r="K32" s="95">
        <f>('Resident FTE'!L32-'Resident FTE'!K32)/'Resident FTE'!K32</f>
        <v>4.4396070121363908E-2</v>
      </c>
      <c r="L32" s="95">
        <f>('Resident FTE'!M32-'Resident FTE'!L32)/'Resident FTE'!L32</f>
        <v>0.13467958815522016</v>
      </c>
      <c r="M32" s="95">
        <f>('Resident FTE'!N32-'Resident FTE'!M32)/'Resident FTE'!M32</f>
        <v>0.10867381275176302</v>
      </c>
      <c r="N32" s="95">
        <f>('Resident FTE'!O32-'Resident FTE'!N32)/'Resident FTE'!N32</f>
        <v>-4.0409727659550098E-3</v>
      </c>
      <c r="O32" s="95">
        <f>('Resident FTE'!P32-'Resident FTE'!O32)/'Resident FTE'!O32</f>
        <v>-2.8439856431576854E-2</v>
      </c>
      <c r="P32" s="94">
        <f>('Resident FTE'!Q32-'Resident FTE'!P32)/'Resident FTE'!P32</f>
        <v>-7.3249083249992367E-2</v>
      </c>
      <c r="Q32" s="96">
        <f>('Resident FTE'!R32-'Resident FTE'!Q32)/'Resident FTE'!Q32</f>
        <v>6.0824068018312328E-3</v>
      </c>
      <c r="R32" s="96">
        <f>('Resident FTE'!S32-'Resident FTE'!R32)/'Resident FTE'!R32</f>
        <v>8.4963921211727259E-2</v>
      </c>
      <c r="S32" s="97">
        <f>('Resident FTE'!T32-'Resident FTE'!S32)/'Resident FTE'!S32</f>
        <v>0.17555177345869466</v>
      </c>
      <c r="T32" s="98"/>
    </row>
    <row r="33" spans="1:21">
      <c r="A33" s="34" t="s">
        <v>51</v>
      </c>
      <c r="B33" s="94">
        <f>('Resident FTE'!C33-'Resident FTE'!B33)/'Resident FTE'!B33</f>
        <v>9.4758585076168342E-2</v>
      </c>
      <c r="C33" s="95">
        <f>('Resident FTE'!D33-'Resident FTE'!C33)/'Resident FTE'!C33</f>
        <v>2.9481132075471699E-2</v>
      </c>
      <c r="D33" s="95">
        <f>('Resident FTE'!E33-'Resident FTE'!D33)/'Resident FTE'!D33</f>
        <v>-4.0778923253150058E-2</v>
      </c>
      <c r="E33" s="95">
        <f>('Resident FTE'!F33-'Resident FTE'!E33)/'Resident FTE'!E33</f>
        <v>-4.8483401003104845E-2</v>
      </c>
      <c r="F33" s="95">
        <f>('Resident FTE'!G33-'Resident FTE'!F33)/'Resident FTE'!F33</f>
        <v>-2.7610441767068274E-3</v>
      </c>
      <c r="G33" s="95">
        <f>('Resident FTE'!H33-'Resident FTE'!G33)/'Resident FTE'!G33</f>
        <v>-4.3292222501887745E-2</v>
      </c>
      <c r="H33" s="95">
        <f>('Resident FTE'!I33-'Resident FTE'!H33)/'Resident FTE'!H33</f>
        <v>3.9463299131807421E-3</v>
      </c>
      <c r="I33" s="95">
        <f>('Resident FTE'!J33-'Resident FTE'!I33)/'Resident FTE'!I33</f>
        <v>-1.4164046121593339E-2</v>
      </c>
      <c r="J33" s="95">
        <f>('Resident FTE'!K33-'Resident FTE'!J33)/'Resident FTE'!J33</f>
        <v>7.8469942450059109E-3</v>
      </c>
      <c r="K33" s="95">
        <f>('Resident FTE'!L33-'Resident FTE'!K33)/'Resident FTE'!K33</f>
        <v>3.5110392539041677E-2</v>
      </c>
      <c r="L33" s="95">
        <f>('Resident FTE'!M33-'Resident FTE'!L33)/'Resident FTE'!L33</f>
        <v>0.20871734372252901</v>
      </c>
      <c r="M33" s="95">
        <f>('Resident FTE'!N33-'Resident FTE'!M33)/'Resident FTE'!M33</f>
        <v>0.10575244744630792</v>
      </c>
      <c r="N33" s="95">
        <f>('Resident FTE'!O33-'Resident FTE'!N33)/'Resident FTE'!N33</f>
        <v>-3.8214581212419274E-2</v>
      </c>
      <c r="O33" s="95">
        <f>('Resident FTE'!P33-'Resident FTE'!O33)/'Resident FTE'!O33</f>
        <v>-6.6316083672122383E-2</v>
      </c>
      <c r="P33" s="94">
        <f>('Resident FTE'!Q33-'Resident FTE'!P33)/'Resident FTE'!P33</f>
        <v>3.8164730159202027E-2</v>
      </c>
      <c r="Q33" s="96">
        <f>('Resident FTE'!R33-'Resident FTE'!Q33)/'Resident FTE'!Q33</f>
        <v>-4.8096782505204494E-2</v>
      </c>
      <c r="R33" s="96">
        <f>('Resident FTE'!S33-'Resident FTE'!R33)/'Resident FTE'!R33</f>
        <v>5.9734389702122997E-2</v>
      </c>
      <c r="S33" s="97">
        <f>('Resident FTE'!T33-'Resident FTE'!S33)/'Resident FTE'!S33</f>
        <v>0.39888448222199202</v>
      </c>
      <c r="T33" s="98"/>
    </row>
    <row r="34" spans="1:21">
      <c r="A34" s="34" t="s">
        <v>52</v>
      </c>
      <c r="B34" s="94">
        <f>('Resident FTE'!C34-'Resident FTE'!B34)/'Resident FTE'!B34</f>
        <v>4.4043199460006753E-2</v>
      </c>
      <c r="C34" s="95">
        <f>('Resident FTE'!D34-'Resident FTE'!C34)/'Resident FTE'!C34</f>
        <v>-2.0365282042993375E-2</v>
      </c>
      <c r="D34" s="95">
        <f>('Resident FTE'!E34-'Resident FTE'!D34)/'Resident FTE'!D34</f>
        <v>-2.3923444976076555E-2</v>
      </c>
      <c r="E34" s="95">
        <f>('Resident FTE'!F34-'Resident FTE'!E34)/'Resident FTE'!E34</f>
        <v>6.981068289384719E-2</v>
      </c>
      <c r="F34" s="95">
        <f>('Resident FTE'!G34-'Resident FTE'!F34)/'Resident FTE'!F34</f>
        <v>-4.3134776425975664E-2</v>
      </c>
      <c r="G34" s="95">
        <f>('Resident FTE'!H34-'Resident FTE'!G34)/'Resident FTE'!G34</f>
        <v>1.6512549537648614E-3</v>
      </c>
      <c r="H34" s="95">
        <f>('Resident FTE'!I34-'Resident FTE'!H34)/'Resident FTE'!H34</f>
        <v>8.044840092317837E-2</v>
      </c>
      <c r="I34" s="95">
        <f>('Resident FTE'!J34-'Resident FTE'!I34)/'Resident FTE'!I34</f>
        <v>6.5753738175160184E-2</v>
      </c>
      <c r="J34" s="95">
        <f>('Resident FTE'!K34-'Resident FTE'!J34)/'Resident FTE'!J34</f>
        <v>4.3161368370568221E-2</v>
      </c>
      <c r="K34" s="95">
        <f>('Resident FTE'!L34-'Resident FTE'!K34)/'Resident FTE'!K34</f>
        <v>5.9345934840518616E-2</v>
      </c>
      <c r="L34" s="95">
        <f>('Resident FTE'!M34-'Resident FTE'!L34)/'Resident FTE'!L34</f>
        <v>0.13542431838939734</v>
      </c>
      <c r="M34" s="95">
        <f>('Resident FTE'!N34-'Resident FTE'!M34)/'Resident FTE'!M34</f>
        <v>7.2684578231595284E-2</v>
      </c>
      <c r="N34" s="95">
        <f>('Resident FTE'!O34-'Resident FTE'!N34)/'Resident FTE'!N34</f>
        <v>2.4260758478447931E-2</v>
      </c>
      <c r="O34" s="95">
        <f>('Resident FTE'!P34-'Resident FTE'!O34)/'Resident FTE'!O34</f>
        <v>-3.2512329595078306E-2</v>
      </c>
      <c r="P34" s="94">
        <f>('Resident FTE'!Q34-'Resident FTE'!P34)/'Resident FTE'!P34</f>
        <v>-2.7983512590970643E-2</v>
      </c>
      <c r="Q34" s="96">
        <f>('Resident FTE'!R34-'Resident FTE'!Q34)/'Resident FTE'!Q34</f>
        <v>2.8413671249516787E-2</v>
      </c>
      <c r="R34" s="96">
        <f>('Resident FTE'!S34-'Resident FTE'!R34)/'Resident FTE'!R34</f>
        <v>6.788506142084022E-2</v>
      </c>
      <c r="S34" s="97">
        <f>('Resident FTE'!T34-'Resident FTE'!S34)/'Resident FTE'!S34</f>
        <v>0.19294719395042872</v>
      </c>
      <c r="T34" s="98"/>
    </row>
    <row r="35" spans="1:21">
      <c r="A35" s="34" t="s">
        <v>53</v>
      </c>
      <c r="B35" s="94">
        <f>('Resident FTE'!C35-'Resident FTE'!B35)/'Resident FTE'!B35</f>
        <v>4.4368600682593858E-2</v>
      </c>
      <c r="C35" s="95">
        <f>('Resident FTE'!D35-'Resident FTE'!C35)/'Resident FTE'!C35</f>
        <v>-5.0653594771241831E-2</v>
      </c>
      <c r="D35" s="95">
        <f>('Resident FTE'!E35-'Resident FTE'!D35)/'Resident FTE'!D35</f>
        <v>-4.1308089500860588E-2</v>
      </c>
      <c r="E35" s="95">
        <f>('Resident FTE'!F35-'Resident FTE'!E35)/'Resident FTE'!E35</f>
        <v>4.1292639138240578E-2</v>
      </c>
      <c r="F35" s="95">
        <f>('Resident FTE'!G35-'Resident FTE'!F35)/'Resident FTE'!F35</f>
        <v>7.0689655172413796E-2</v>
      </c>
      <c r="G35" s="95">
        <f>('Resident FTE'!H35-'Resident FTE'!G35)/'Resident FTE'!G35</f>
        <v>1.932367149758454E-2</v>
      </c>
      <c r="H35" s="95">
        <f>('Resident FTE'!I35-'Resident FTE'!H35)/'Resident FTE'!H35</f>
        <v>2.5276461295418641E-2</v>
      </c>
      <c r="I35" s="95">
        <f>('Resident FTE'!J35-'Resident FTE'!I35)/'Resident FTE'!I35</f>
        <v>-5.3790446841294248E-2</v>
      </c>
      <c r="J35" s="95">
        <f>('Resident FTE'!K35-'Resident FTE'!J35)/'Resident FTE'!J35</f>
        <v>2.6608477584718716E-2</v>
      </c>
      <c r="K35" s="95">
        <f>('Resident FTE'!L35-'Resident FTE'!K35)/'Resident FTE'!K35</f>
        <v>1.4815284805608921E-2</v>
      </c>
      <c r="L35" s="95">
        <f>('Resident FTE'!M35-'Resident FTE'!L35)/'Resident FTE'!L35</f>
        <v>0.10541288275474008</v>
      </c>
      <c r="M35" s="95">
        <f>('Resident FTE'!N35-'Resident FTE'!M35)/'Resident FTE'!M35</f>
        <v>-1.5285417344211844E-2</v>
      </c>
      <c r="N35" s="95">
        <f>('Resident FTE'!O35-'Resident FTE'!N35)/'Resident FTE'!N35</f>
        <v>-8.5295807007466945E-2</v>
      </c>
      <c r="O35" s="95">
        <f>('Resident FTE'!P35-'Resident FTE'!O35)/'Resident FTE'!O35</f>
        <v>-1.9419152276295142E-2</v>
      </c>
      <c r="P35" s="94">
        <f>('Resident FTE'!Q35-'Resident FTE'!P35)/'Resident FTE'!P35</f>
        <v>-2.1308614699902254E-2</v>
      </c>
      <c r="Q35" s="96">
        <f>('Resident FTE'!R35-'Resident FTE'!Q35)/'Resident FTE'!Q35</f>
        <v>8.3718292710855013E-2</v>
      </c>
      <c r="R35" s="96">
        <f>('Resident FTE'!S35-'Resident FTE'!R35)/'Resident FTE'!R35</f>
        <v>1.7360538032913837E-2</v>
      </c>
      <c r="S35" s="97">
        <f>('Resident FTE'!T35-'Resident FTE'!S35)/'Resident FTE'!S35</f>
        <v>-6.4077179966089734E-2</v>
      </c>
      <c r="T35" s="98"/>
    </row>
    <row r="36" spans="1:21">
      <c r="A36" s="34" t="s">
        <v>54</v>
      </c>
      <c r="B36" s="94">
        <f>('Resident FTE'!C36-'Resident FTE'!B36)/'Resident FTE'!B36</f>
        <v>0.25795053003533569</v>
      </c>
      <c r="C36" s="95">
        <f>('Resident FTE'!D36-'Resident FTE'!C36)/'Resident FTE'!C36</f>
        <v>0.13342696629213482</v>
      </c>
      <c r="D36" s="95">
        <f>('Resident FTE'!E36-'Resident FTE'!D36)/'Resident FTE'!D36</f>
        <v>-0.13754646840148699</v>
      </c>
      <c r="E36" s="95">
        <f>('Resident FTE'!F36-'Resident FTE'!E36)/'Resident FTE'!E36</f>
        <v>6.8965517241379309E-2</v>
      </c>
      <c r="F36" s="95">
        <f>('Resident FTE'!G36-'Resident FTE'!F36)/'Resident FTE'!F36</f>
        <v>7.7956989247311828E-2</v>
      </c>
      <c r="G36" s="95">
        <f>('Resident FTE'!H36-'Resident FTE'!G36)/'Resident FTE'!G36</f>
        <v>7.3566084788029923E-2</v>
      </c>
      <c r="H36" s="95">
        <f>('Resident FTE'!I36-'Resident FTE'!H36)/'Resident FTE'!H36</f>
        <v>5.8072009291521488E-2</v>
      </c>
      <c r="I36" s="95">
        <f>('Resident FTE'!J36-'Resident FTE'!I36)/'Resident FTE'!I36</f>
        <v>4.076838638858396E-2</v>
      </c>
      <c r="J36" s="95">
        <f>('Resident FTE'!K36-'Resident FTE'!J36)/'Resident FTE'!J36</f>
        <v>9.3867994178073531E-4</v>
      </c>
      <c r="K36" s="95">
        <f>('Resident FTE'!L36-'Resident FTE'!K36)/'Resident FTE'!K36</f>
        <v>3.207485537864984E-2</v>
      </c>
      <c r="L36" s="95">
        <f>('Resident FTE'!M36-'Resident FTE'!L36)/'Resident FTE'!L36</f>
        <v>-5.8501026065116916E-2</v>
      </c>
      <c r="M36" s="95">
        <f>('Resident FTE'!N36-'Resident FTE'!M36)/'Resident FTE'!M36</f>
        <v>1.5387618335014211E-2</v>
      </c>
      <c r="N36" s="95">
        <f>('Resident FTE'!O36-'Resident FTE'!N36)/'Resident FTE'!N36</f>
        <v>2.7083600324661471E-2</v>
      </c>
      <c r="O36" s="95">
        <f>('Resident FTE'!P36-'Resident FTE'!O36)/'Resident FTE'!O36</f>
        <v>2.3302000582290028E-2</v>
      </c>
      <c r="P36" s="94">
        <f>('Resident FTE'!Q36-'Resident FTE'!P36)/'Resident FTE'!P36</f>
        <v>2.0322518366457492E-5</v>
      </c>
      <c r="Q36" s="96">
        <f>('Resident FTE'!R36-'Resident FTE'!Q36)/'Resident FTE'!Q36</f>
        <v>-1.0750393740791472E-2</v>
      </c>
      <c r="R36" s="96">
        <f>('Resident FTE'!S36-'Resident FTE'!R36)/'Resident FTE'!R36</f>
        <v>2.612036114506399E-2</v>
      </c>
      <c r="S36" s="97">
        <f>('Resident FTE'!T36-'Resident FTE'!S36)/'Resident FTE'!S36</f>
        <v>5.3423640173350093E-2</v>
      </c>
      <c r="T36" s="98"/>
    </row>
    <row r="37" spans="1:21">
      <c r="A37" s="34" t="s">
        <v>55</v>
      </c>
      <c r="B37" s="94">
        <f>('Resident FTE'!C37-'Resident FTE'!B37)/'Resident FTE'!B37</f>
        <v>1.7109144542772861E-2</v>
      </c>
      <c r="C37" s="95">
        <f>('Resident FTE'!D37-'Resident FTE'!C37)/'Resident FTE'!C37</f>
        <v>-8.9327146171693739E-2</v>
      </c>
      <c r="D37" s="95">
        <f>('Resident FTE'!E37-'Resident FTE'!D37)/'Resident FTE'!D37</f>
        <v>-7.0063694267515925E-3</v>
      </c>
      <c r="E37" s="95">
        <f>('Resident FTE'!F37-'Resident FTE'!E37)/'Resident FTE'!E37</f>
        <v>-2.8223220012828735E-2</v>
      </c>
      <c r="F37" s="95">
        <f>('Resident FTE'!G37-'Resident FTE'!F37)/'Resident FTE'!F37</f>
        <v>4.2244224422442245E-2</v>
      </c>
      <c r="G37" s="95">
        <f>('Resident FTE'!H37-'Resident FTE'!G37)/'Resident FTE'!G37</f>
        <v>-7.7264091196960108E-2</v>
      </c>
      <c r="H37" s="95">
        <f>('Resident FTE'!I37-'Resident FTE'!H37)/'Resident FTE'!H37</f>
        <v>2.9512697323266987E-2</v>
      </c>
      <c r="I37" s="95">
        <f>('Resident FTE'!J37-'Resident FTE'!I37)/'Resident FTE'!I37</f>
        <v>-2.4100000000000062E-2</v>
      </c>
      <c r="J37" s="95">
        <f>('Resident FTE'!K37-'Resident FTE'!J37)/'Resident FTE'!J37</f>
        <v>5.5982511869385562E-2</v>
      </c>
      <c r="K37" s="95">
        <f>('Resident FTE'!L37-'Resident FTE'!K37)/'Resident FTE'!K37</f>
        <v>-2.1542243498512068E-2</v>
      </c>
      <c r="L37" s="95">
        <f>('Resident FTE'!M37-'Resident FTE'!L37)/'Resident FTE'!L37</f>
        <v>2.9137190082644586E-2</v>
      </c>
      <c r="M37" s="95">
        <f>('Resident FTE'!N37-'Resident FTE'!M37)/'Resident FTE'!M37</f>
        <v>-7.0539712316182349E-2</v>
      </c>
      <c r="N37" s="95">
        <f>('Resident FTE'!O37-'Resident FTE'!N37)/'Resident FTE'!N37</f>
        <v>-3.0032417039335933E-2</v>
      </c>
      <c r="O37" s="95">
        <f>('Resident FTE'!P37-'Resident FTE'!O37)/'Resident FTE'!O37</f>
        <v>-0.14209873728016409</v>
      </c>
      <c r="P37" s="94">
        <f>('Resident FTE'!Q37-'Resident FTE'!P37)/'Resident FTE'!P37</f>
        <v>-4.3948467908730783E-2</v>
      </c>
      <c r="Q37" s="96">
        <f>('Resident FTE'!R37-'Resident FTE'!Q37)/'Resident FTE'!Q37</f>
        <v>3.8922675933970419E-2</v>
      </c>
      <c r="R37" s="96">
        <f>('Resident FTE'!S37-'Resident FTE'!R37)/'Resident FTE'!R37</f>
        <v>0.12309750794447236</v>
      </c>
      <c r="S37" s="97">
        <f>('Resident FTE'!T37-'Resident FTE'!S37)/'Resident FTE'!S37</f>
        <v>1.8099999834230138E-2</v>
      </c>
      <c r="T37" s="98"/>
    </row>
    <row r="38" spans="1:21">
      <c r="A38" s="34" t="s">
        <v>56</v>
      </c>
      <c r="B38" s="94">
        <f>('Resident FTE'!C38-'Resident FTE'!B38)/'Resident FTE'!B38</f>
        <v>1.6516516516516516E-2</v>
      </c>
      <c r="C38" s="95">
        <f>('Resident FTE'!D38-'Resident FTE'!C38)/'Resident FTE'!C38</f>
        <v>0.10635155096011817</v>
      </c>
      <c r="D38" s="95">
        <f>('Resident FTE'!E38-'Resident FTE'!D38)/'Resident FTE'!D38</f>
        <v>1.602136181575434E-2</v>
      </c>
      <c r="E38" s="95">
        <f>('Resident FTE'!F38-'Resident FTE'!E38)/'Resident FTE'!E38</f>
        <v>-3.4165571616294348E-2</v>
      </c>
      <c r="F38" s="95">
        <f>('Resident FTE'!G38-'Resident FTE'!F38)/'Resident FTE'!F38</f>
        <v>5.1700680272108841E-2</v>
      </c>
      <c r="G38" s="95">
        <f>('Resident FTE'!H38-'Resident FTE'!G38)/'Resident FTE'!G38</f>
        <v>8.0206985769728331E-2</v>
      </c>
      <c r="H38" s="95">
        <f>('Resident FTE'!I38-'Resident FTE'!H38)/'Resident FTE'!H38</f>
        <v>6.2275449101796408E-2</v>
      </c>
      <c r="I38" s="95">
        <f>('Resident FTE'!J38-'Resident FTE'!I38)/'Resident FTE'!I38</f>
        <v>5.202931228861328E-2</v>
      </c>
      <c r="J38" s="95">
        <f>('Resident FTE'!K38-'Resident FTE'!J38)/'Resident FTE'!J38</f>
        <v>2.2965225312114947E-2</v>
      </c>
      <c r="K38" s="95">
        <f>('Resident FTE'!L38-'Resident FTE'!K38)/'Resident FTE'!K38</f>
        <v>0.12326887217414983</v>
      </c>
      <c r="L38" s="95">
        <f>('Resident FTE'!M38-'Resident FTE'!L38)/'Resident FTE'!L38</f>
        <v>3.3993937980881364E-2</v>
      </c>
      <c r="M38" s="95">
        <f>('Resident FTE'!N38-'Resident FTE'!M38)/'Resident FTE'!M38</f>
        <v>9.6599621177956077E-2</v>
      </c>
      <c r="N38" s="95">
        <f>('Resident FTE'!O38-'Resident FTE'!N38)/'Resident FTE'!N38</f>
        <v>1.7132752097384567E-2</v>
      </c>
      <c r="O38" s="95">
        <f>('Resident FTE'!P38-'Resident FTE'!O38)/'Resident FTE'!O38</f>
        <v>-1.2372334489701996E-2</v>
      </c>
      <c r="P38" s="94">
        <f>('Resident FTE'!Q38-'Resident FTE'!P38)/'Resident FTE'!P38</f>
        <v>-1.7030614166522785E-3</v>
      </c>
      <c r="Q38" s="96">
        <f>('Resident FTE'!R38-'Resident FTE'!Q38)/'Resident FTE'!Q38</f>
        <v>-6.6089809309001379E-2</v>
      </c>
      <c r="R38" s="96">
        <f>('Resident FTE'!S38-'Resident FTE'!R38)/'Resident FTE'!R38</f>
        <v>-1.3761669315956399E-2</v>
      </c>
      <c r="S38" s="97">
        <f>('Resident FTE'!T38-'Resident FTE'!S38)/'Resident FTE'!S38</f>
        <v>5.771894741620516E-2</v>
      </c>
      <c r="T38" s="98"/>
    </row>
    <row r="39" spans="1:21">
      <c r="A39" s="34" t="s">
        <v>57</v>
      </c>
      <c r="B39" s="94">
        <f>('Resident FTE'!C39-'Resident FTE'!B39)/'Resident FTE'!B39</f>
        <v>3.1940494421352002E-2</v>
      </c>
      <c r="C39" s="95">
        <f>('Resident FTE'!D39-'Resident FTE'!C39)/'Resident FTE'!C39</f>
        <v>-5.9359762560949755E-2</v>
      </c>
      <c r="D39" s="95">
        <f>('Resident FTE'!E39-'Resident FTE'!D39)/'Resident FTE'!D39</f>
        <v>3.0651340996168581E-2</v>
      </c>
      <c r="E39" s="95">
        <f>('Resident FTE'!F39-'Resident FTE'!E39)/'Resident FTE'!E39</f>
        <v>-2.9958451782199868E-2</v>
      </c>
      <c r="F39" s="95">
        <f>('Resident FTE'!G39-'Resident FTE'!F39)/'Resident FTE'!F39</f>
        <v>5.0946798917944097E-2</v>
      </c>
      <c r="G39" s="95">
        <f>('Resident FTE'!H39-'Resident FTE'!G39)/'Resident FTE'!G39</f>
        <v>2.3595023595023596E-2</v>
      </c>
      <c r="H39" s="95">
        <f>('Resident FTE'!I39-'Resident FTE'!H39)/'Resident FTE'!H39</f>
        <v>4.6521374685666389E-2</v>
      </c>
      <c r="I39" s="95">
        <f>('Resident FTE'!J39-'Resident FTE'!I39)/'Resident FTE'!I39</f>
        <v>3.5522627152583024E-2</v>
      </c>
      <c r="J39" s="95">
        <f>('Resident FTE'!K39-'Resident FTE'!J39)/'Resident FTE'!J39</f>
        <v>7.0387129210659682E-3</v>
      </c>
      <c r="K39" s="95">
        <f>('Resident FTE'!L39-'Resident FTE'!K39)/'Resident FTE'!K39</f>
        <v>5.7490687046353475E-2</v>
      </c>
      <c r="L39" s="95">
        <f>('Resident FTE'!M39-'Resident FTE'!L39)/'Resident FTE'!L39</f>
        <v>0.11621150493898896</v>
      </c>
      <c r="M39" s="95">
        <f>('Resident FTE'!N39-'Resident FTE'!M39)/'Resident FTE'!M39</f>
        <v>5.1063899010931897E-2</v>
      </c>
      <c r="N39" s="95">
        <f>('Resident FTE'!O39-'Resident FTE'!N39)/'Resident FTE'!N39</f>
        <v>3.9559827273993507E-2</v>
      </c>
      <c r="O39" s="95">
        <f>('Resident FTE'!P39-'Resident FTE'!O39)/'Resident FTE'!O39</f>
        <v>9.4987121652002002E-3</v>
      </c>
      <c r="P39" s="94">
        <f>('Resident FTE'!Q39-'Resident FTE'!P39)/'Resident FTE'!P39</f>
        <v>-5.4214290981491095E-2</v>
      </c>
      <c r="Q39" s="96">
        <f>('Resident FTE'!R39-'Resident FTE'!Q39)/'Resident FTE'!Q39</f>
        <v>0.10751610036021156</v>
      </c>
      <c r="R39" s="96">
        <f>('Resident FTE'!S39-'Resident FTE'!R39)/'Resident FTE'!R39</f>
        <v>7.3441475334359227E-2</v>
      </c>
      <c r="S39" s="97">
        <f>('Resident FTE'!T39-'Resident FTE'!S39)/'Resident FTE'!S39</f>
        <v>0.15747622108078338</v>
      </c>
      <c r="T39" s="98"/>
    </row>
    <row r="40" spans="1:21">
      <c r="A40" s="34" t="s">
        <v>58</v>
      </c>
      <c r="B40" s="94">
        <f>('Resident FTE'!C40-'Resident FTE'!B40)/'Resident FTE'!B40</f>
        <v>9.0614886731391592E-2</v>
      </c>
      <c r="C40" s="95">
        <f>('Resident FTE'!D40-'Resident FTE'!C40)/'Resident FTE'!C40</f>
        <v>-2.7077151335311574E-2</v>
      </c>
      <c r="D40" s="95">
        <f>('Resident FTE'!E40-'Resident FTE'!D40)/'Resident FTE'!D40</f>
        <v>2.5543271063667557E-2</v>
      </c>
      <c r="E40" s="95">
        <f>('Resident FTE'!F40-'Resident FTE'!E40)/'Resident FTE'!E40</f>
        <v>2.1189591078066915E-2</v>
      </c>
      <c r="F40" s="95">
        <f>('Resident FTE'!G40-'Resident FTE'!F40)/'Resident FTE'!F40</f>
        <v>3.0578813250819074E-2</v>
      </c>
      <c r="G40" s="95">
        <f>('Resident FTE'!H40-'Resident FTE'!G40)/'Resident FTE'!G40</f>
        <v>7.5591663723066055E-2</v>
      </c>
      <c r="H40" s="95">
        <f>('Resident FTE'!I40-'Resident FTE'!H40)/'Resident FTE'!H40</f>
        <v>2.6272577996715929E-3</v>
      </c>
      <c r="I40" s="95">
        <f>('Resident FTE'!J40-'Resident FTE'!I40)/'Resident FTE'!I40</f>
        <v>4.0072060268588325E-2</v>
      </c>
      <c r="J40" s="95">
        <f>('Resident FTE'!K40-'Resident FTE'!J40)/'Resident FTE'!J40</f>
        <v>-5.1364578281380717E-3</v>
      </c>
      <c r="K40" s="95">
        <f>('Resident FTE'!L40-'Resident FTE'!K40)/'Resident FTE'!K40</f>
        <v>0.10550073915094181</v>
      </c>
      <c r="L40" s="95">
        <f>('Resident FTE'!M40-'Resident FTE'!L40)/'Resident FTE'!L40</f>
        <v>8.3079680784351864E-2</v>
      </c>
      <c r="M40" s="95">
        <f>('Resident FTE'!N40-'Resident FTE'!M40)/'Resident FTE'!M40</f>
        <v>0.10269005538738121</v>
      </c>
      <c r="N40" s="95">
        <f>('Resident FTE'!O40-'Resident FTE'!N40)/'Resident FTE'!N40</f>
        <v>-1.8053787339332016E-2</v>
      </c>
      <c r="O40" s="95">
        <f>('Resident FTE'!P40-'Resident FTE'!O40)/'Resident FTE'!O40</f>
        <v>-6.9877941287781686E-2</v>
      </c>
      <c r="P40" s="94">
        <f>('Resident FTE'!Q40-'Resident FTE'!P40)/'Resident FTE'!P40</f>
        <v>-9.6440890643621824E-2</v>
      </c>
      <c r="Q40" s="96">
        <f>('Resident FTE'!R40-'Resident FTE'!Q40)/'Resident FTE'!Q40</f>
        <v>-1.080766995932592E-2</v>
      </c>
      <c r="R40" s="96">
        <f>('Resident FTE'!S40-'Resident FTE'!R40)/'Resident FTE'!R40</f>
        <v>0.10461701127819543</v>
      </c>
      <c r="S40" s="97">
        <f>('Resident FTE'!T40-'Resident FTE'!S40)/'Resident FTE'!S40</f>
        <v>0.22740093135296183</v>
      </c>
      <c r="T40" s="98"/>
    </row>
    <row r="41" spans="1:21">
      <c r="A41" s="34" t="s">
        <v>59</v>
      </c>
      <c r="B41" s="94">
        <f>('Resident FTE'!C41-'Resident FTE'!B41)/'Resident FTE'!B41</f>
        <v>0.1080013170892328</v>
      </c>
      <c r="C41" s="95">
        <f>('Resident FTE'!D41-'Resident FTE'!C41)/'Resident FTE'!C41</f>
        <v>6.9242199108469543E-2</v>
      </c>
      <c r="D41" s="95">
        <f>('Resident FTE'!E41-'Resident FTE'!D41)/'Resident FTE'!D41</f>
        <v>8.0600333518621465E-3</v>
      </c>
      <c r="E41" s="95">
        <f>('Resident FTE'!F41-'Resident FTE'!E41)/'Resident FTE'!E41</f>
        <v>1.0752688172043012E-2</v>
      </c>
      <c r="F41" s="95">
        <f>('Resident FTE'!G41-'Resident FTE'!F41)/'Resident FTE'!F41</f>
        <v>1.4729950900163666E-2</v>
      </c>
      <c r="G41" s="95">
        <f>('Resident FTE'!H41-'Resident FTE'!G41)/'Resident FTE'!G41</f>
        <v>8.4677419354838704E-2</v>
      </c>
      <c r="H41" s="95">
        <f>('Resident FTE'!I41-'Resident FTE'!H41)/'Resident FTE'!H41</f>
        <v>4.7905824039653079E-2</v>
      </c>
      <c r="I41" s="95">
        <f>('Resident FTE'!J41-'Resident FTE'!I41)/'Resident FTE'!I41</f>
        <v>-4.5954638980204902E-2</v>
      </c>
      <c r="J41" s="95">
        <f>('Resident FTE'!K41-'Resident FTE'!J41)/'Resident FTE'!J41</f>
        <v>7.4963001891428186E-3</v>
      </c>
      <c r="K41" s="95">
        <f>('Resident FTE'!L41-'Resident FTE'!K41)/'Resident FTE'!K41</f>
        <v>-8.0531859663454126E-3</v>
      </c>
      <c r="L41" s="95">
        <f>('Resident FTE'!M41-'Resident FTE'!L41)/'Resident FTE'!L41</f>
        <v>7.2365124643432907E-2</v>
      </c>
      <c r="M41" s="95">
        <f>('Resident FTE'!N41-'Resident FTE'!M41)/'Resident FTE'!M41</f>
        <v>5.9712160324201423E-2</v>
      </c>
      <c r="N41" s="95">
        <f>('Resident FTE'!O41-'Resident FTE'!N41)/'Resident FTE'!N41</f>
        <v>-1.2843263725637884E-2</v>
      </c>
      <c r="O41" s="95">
        <f>('Resident FTE'!P41-'Resident FTE'!O41)/'Resident FTE'!O41</f>
        <v>-6.0412820200992853E-2</v>
      </c>
      <c r="P41" s="94">
        <f>('Resident FTE'!Q41-'Resident FTE'!P41)/'Resident FTE'!P41</f>
        <v>-3.1644988739401331E-2</v>
      </c>
      <c r="Q41" s="96">
        <f>('Resident FTE'!R41-'Resident FTE'!Q41)/'Resident FTE'!Q41</f>
        <v>8.5254419348410493E-2</v>
      </c>
      <c r="R41" s="96">
        <f>('Resident FTE'!S41-'Resident FTE'!R41)/'Resident FTE'!R41</f>
        <v>8.4047858440054884E-2</v>
      </c>
      <c r="S41" s="97">
        <f>('Resident FTE'!T41-'Resident FTE'!S41)/'Resident FTE'!S41</f>
        <v>0.20727726311832001</v>
      </c>
      <c r="T41" s="98"/>
    </row>
    <row r="42" spans="1:21" ht="12.75" thickBot="1">
      <c r="A42" s="45" t="s">
        <v>60</v>
      </c>
      <c r="B42" s="99">
        <f>('Resident FTE'!C42-'Resident FTE'!B42)/'Resident FTE'!B42</f>
        <v>2.5415444770283482E-2</v>
      </c>
      <c r="C42" s="100">
        <f>('Resident FTE'!D42-'Resident FTE'!C42)/'Resident FTE'!C42</f>
        <v>9.5328884652049577E-3</v>
      </c>
      <c r="D42" s="100">
        <f>('Resident FTE'!E42-'Resident FTE'!D42)/'Resident FTE'!D42</f>
        <v>0.27478753541076489</v>
      </c>
      <c r="E42" s="100">
        <f>('Resident FTE'!F42-'Resident FTE'!E42)/'Resident FTE'!E42</f>
        <v>-3.8518518518518521E-2</v>
      </c>
      <c r="F42" s="100">
        <f>('Resident FTE'!G42-'Resident FTE'!F42)/'Resident FTE'!F42</f>
        <v>7.5500770416024654E-2</v>
      </c>
      <c r="G42" s="100">
        <f>('Resident FTE'!H42-'Resident FTE'!G42)/'Resident FTE'!G42</f>
        <v>5.0143266475644703E-3</v>
      </c>
      <c r="H42" s="100">
        <f>('Resident FTE'!I42-'Resident FTE'!H42)/'Resident FTE'!H42</f>
        <v>-6.7712045616535987E-2</v>
      </c>
      <c r="I42" s="100">
        <f>('Resident FTE'!J42-'Resident FTE'!I42)/'Resident FTE'!I42</f>
        <v>4.9159021406728317E-3</v>
      </c>
      <c r="J42" s="100">
        <f>('Resident FTE'!K42-'Resident FTE'!J42)/'Resident FTE'!J42</f>
        <v>-2.0084751565317353E-2</v>
      </c>
      <c r="K42" s="100">
        <f>('Resident FTE'!L42-'Resident FTE'!K42)/'Resident FTE'!K42</f>
        <v>4.0193163202720421E-2</v>
      </c>
      <c r="L42" s="100">
        <f>('Resident FTE'!M42-'Resident FTE'!L42)/'Resident FTE'!L42</f>
        <v>7.4675324675324645E-2</v>
      </c>
      <c r="M42" s="100">
        <f>('Resident FTE'!N42-'Resident FTE'!M42)/'Resident FTE'!M42</f>
        <v>2.1460568809251977E-3</v>
      </c>
      <c r="N42" s="100">
        <f>('Resident FTE'!O42-'Resident FTE'!N42)/'Resident FTE'!N42</f>
        <v>7.9836999459436848E-3</v>
      </c>
      <c r="O42" s="100">
        <f>('Resident FTE'!P42-'Resident FTE'!O42)/'Resident FTE'!O42</f>
        <v>-7.4054975729824155E-2</v>
      </c>
      <c r="P42" s="99">
        <f>('Resident FTE'!Q42-'Resident FTE'!P42)/'Resident FTE'!P42</f>
        <v>-0.10613699647299057</v>
      </c>
      <c r="Q42" s="103">
        <f>('Resident FTE'!R42-'Resident FTE'!Q42)/'Resident FTE'!Q42</f>
        <v>4.2672847043968835E-2</v>
      </c>
      <c r="R42" s="103">
        <f>('Resident FTE'!S42-'Resident FTE'!R42)/'Resident FTE'!R42</f>
        <v>2.2164151755126704E-2</v>
      </c>
      <c r="S42" s="104">
        <f>('Resident FTE'!T42-'Resident FTE'!S42)/'Resident FTE'!S42</f>
        <v>0.1011974723475378</v>
      </c>
      <c r="T42" s="98"/>
    </row>
    <row r="43" spans="1:21" ht="12.75" thickTop="1">
      <c r="A43" s="50" t="s">
        <v>61</v>
      </c>
      <c r="B43" s="101">
        <f>('Resident FTE'!C43-'Resident FTE'!B43)/'Resident FTE'!B43</f>
        <v>3.6775522212415417E-3</v>
      </c>
      <c r="C43" s="90">
        <f>('Resident FTE'!D43-'Resident FTE'!C43)/'Resident FTE'!C43</f>
        <v>-5.4961160779715669E-2</v>
      </c>
      <c r="D43" s="90">
        <f>('Resident FTE'!E43-'Resident FTE'!D43)/'Resident FTE'!D43</f>
        <v>-2.186724565756824E-2</v>
      </c>
      <c r="E43" s="90">
        <f>('Resident FTE'!F43-'Resident FTE'!E43)/'Resident FTE'!E43</f>
        <v>-3.3771999365784053E-2</v>
      </c>
      <c r="F43" s="90">
        <f>('Resident FTE'!G43-'Resident FTE'!F43)/'Resident FTE'!F43</f>
        <v>1.6409583196586808E-2</v>
      </c>
      <c r="G43" s="90">
        <f>('Resident FTE'!H43-'Resident FTE'!G43)/'Resident FTE'!G43</f>
        <v>-1.2108492089118501E-2</v>
      </c>
      <c r="H43" s="90">
        <f>('Resident FTE'!I43-'Resident FTE'!H43)/'Resident FTE'!H43</f>
        <v>-2.0101323745710085E-2</v>
      </c>
      <c r="I43" s="90">
        <f>('Resident FTE'!J43-'Resident FTE'!I43)/'Resident FTE'!I43</f>
        <v>-4.4746497665109951E-3</v>
      </c>
      <c r="J43" s="90">
        <f>('Resident FTE'!K43-'Resident FTE'!J43)/'Resident FTE'!J43</f>
        <v>8.744934387862939E-3</v>
      </c>
      <c r="K43" s="90">
        <f>('Resident FTE'!L43-'Resident FTE'!K43)/'Resident FTE'!K43</f>
        <v>2.2488237726630445E-2</v>
      </c>
      <c r="L43" s="90">
        <f>('Resident FTE'!M43-'Resident FTE'!L43)/'Resident FTE'!L43</f>
        <v>-5.0597877461920092E-2</v>
      </c>
      <c r="M43" s="90">
        <f>('Resident FTE'!N43-'Resident FTE'!M43)/'Resident FTE'!M43</f>
        <v>-6.6551359563133239E-2</v>
      </c>
      <c r="N43" s="90">
        <f>('Resident FTE'!O43-'Resident FTE'!N43)/'Resident FTE'!N43</f>
        <v>-4.1215120274914106E-2</v>
      </c>
      <c r="O43" s="90">
        <f>('Resident FTE'!P43-'Resident FTE'!O43)/'Resident FTE'!O43</f>
        <v>-3.630024257508082E-2</v>
      </c>
      <c r="P43" s="94">
        <f>('Resident FTE'!Q43-'Resident FTE'!P43)/'Resident FTE'!P43</f>
        <v>8.5947154302219077E-3</v>
      </c>
      <c r="Q43" s="92">
        <f>('Resident FTE'!R43-'Resident FTE'!Q43)/'Resident FTE'!Q43</f>
        <v>-2.2853209565764754E-2</v>
      </c>
      <c r="R43" s="92">
        <f>('Resident FTE'!S43-'Resident FTE'!R43)/'Resident FTE'!R43</f>
        <v>4.1340451105302274E-2</v>
      </c>
      <c r="S43" s="93">
        <f>('Resident FTE'!T43-'Resident FTE'!S43)/'Resident FTE'!S43</f>
        <v>0.13819308098478833</v>
      </c>
      <c r="T43" s="98"/>
    </row>
    <row r="44" spans="1:21">
      <c r="A44" s="34" t="s">
        <v>62</v>
      </c>
      <c r="B44" s="94">
        <f>('Resident FTE'!C44-'Resident FTE'!B44)/'Resident FTE'!B44</f>
        <v>2.020655590480467E-2</v>
      </c>
      <c r="C44" s="95">
        <f>('Resident FTE'!D44-'Resident FTE'!C44)/'Resident FTE'!C44</f>
        <v>-0.12147887323943662</v>
      </c>
      <c r="D44" s="95">
        <f>('Resident FTE'!E44-'Resident FTE'!D44)/'Resident FTE'!D44</f>
        <v>-5.8116232464929862E-2</v>
      </c>
      <c r="E44" s="95">
        <f>('Resident FTE'!F44-'Resident FTE'!E44)/'Resident FTE'!E44</f>
        <v>-3.4574468085106384E-2</v>
      </c>
      <c r="F44" s="95">
        <f>('Resident FTE'!G44-'Resident FTE'!F44)/'Resident FTE'!F44</f>
        <v>2.3966942148760332E-2</v>
      </c>
      <c r="G44" s="95">
        <f>('Resident FTE'!H44-'Resident FTE'!G44)/'Resident FTE'!G44</f>
        <v>-2.1791767554479417E-2</v>
      </c>
      <c r="H44" s="95">
        <f>('Resident FTE'!I44-'Resident FTE'!H44)/'Resident FTE'!H44</f>
        <v>-2.2552255225522552E-2</v>
      </c>
      <c r="I44" s="95">
        <f>('Resident FTE'!J44-'Resident FTE'!I44)/'Resident FTE'!I44</f>
        <v>7.9262802476083496E-3</v>
      </c>
      <c r="J44" s="95">
        <f>('Resident FTE'!K44-'Resident FTE'!J44)/'Resident FTE'!J44</f>
        <v>-1.6191303036986468E-3</v>
      </c>
      <c r="K44" s="95">
        <f>('Resident FTE'!L44-'Resident FTE'!K44)/'Resident FTE'!K44</f>
        <v>4.7089646764736398E-2</v>
      </c>
      <c r="L44" s="95">
        <f>('Resident FTE'!M44-'Resident FTE'!L44)/'Resident FTE'!L44</f>
        <v>-6.3961033758992508E-2</v>
      </c>
      <c r="M44" s="95">
        <f>('Resident FTE'!N44-'Resident FTE'!M44)/'Resident FTE'!M44</f>
        <v>-9.5288223983385031E-2</v>
      </c>
      <c r="N44" s="95">
        <f>('Resident FTE'!O44-'Resident FTE'!N44)/'Resident FTE'!N44</f>
        <v>-6.8389436342136414E-2</v>
      </c>
      <c r="O44" s="95">
        <f>('Resident FTE'!P44-'Resident FTE'!O44)/'Resident FTE'!O44</f>
        <v>-3.5845205576823518E-2</v>
      </c>
      <c r="P44" s="94">
        <f>('Resident FTE'!Q44-'Resident FTE'!P44)/'Resident FTE'!P44</f>
        <v>2.8552170112376252E-2</v>
      </c>
      <c r="Q44" s="96">
        <f>('Resident FTE'!R44-'Resident FTE'!Q44)/'Resident FTE'!Q44</f>
        <v>-2.5327326097344588E-2</v>
      </c>
      <c r="R44" s="96">
        <f>('Resident FTE'!S44-'Resident FTE'!R44)/'Resident FTE'!R44</f>
        <v>6.1424655308383959E-2</v>
      </c>
      <c r="S44" s="97">
        <f>('Resident FTE'!T44-'Resident FTE'!S44)/'Resident FTE'!S44</f>
        <v>0.10754844419288305</v>
      </c>
      <c r="T44" s="98"/>
    </row>
    <row r="45" spans="1:21" ht="12.75" thickBot="1">
      <c r="A45" s="45" t="s">
        <v>63</v>
      </c>
      <c r="B45" s="99">
        <f>('Resident FTE'!C45-'Resident FTE'!B45)/'Resident FTE'!B45</f>
        <v>-2.773037542662116E-2</v>
      </c>
      <c r="C45" s="100">
        <f>('Resident FTE'!D45-'Resident FTE'!C45)/'Resident FTE'!C45</f>
        <v>7.7665642825800796E-2</v>
      </c>
      <c r="D45" s="100">
        <f>('Resident FTE'!E45-'Resident FTE'!D45)/'Resident FTE'!D45</f>
        <v>3.7052117263843651E-2</v>
      </c>
      <c r="E45" s="100">
        <f>('Resident FTE'!F45-'Resident FTE'!E45)/'Resident FTE'!E45</f>
        <v>-3.2587357675696899E-2</v>
      </c>
      <c r="F45" s="100">
        <f>('Resident FTE'!G45-'Resident FTE'!F45)/'Resident FTE'!F45</f>
        <v>5.275974025974026E-3</v>
      </c>
      <c r="G45" s="100">
        <f>('Resident FTE'!H45-'Resident FTE'!G45)/'Resident FTE'!G45</f>
        <v>2.4222850222042794E-3</v>
      </c>
      <c r="H45" s="100">
        <f>('Resident FTE'!I45-'Resident FTE'!H45)/'Resident FTE'!H45</f>
        <v>-1.6512283527990335E-2</v>
      </c>
      <c r="I45" s="100">
        <f>('Resident FTE'!J45-'Resident FTE'!I45)/'Resident FTE'!I45</f>
        <v>-2.2522522522522521E-2</v>
      </c>
      <c r="J45" s="100">
        <f>('Resident FTE'!K45-'Resident FTE'!J45)/'Resident FTE'!J45</f>
        <v>2.4298282362798494E-2</v>
      </c>
      <c r="K45" s="100">
        <f>('Resident FTE'!L45-'Resident FTE'!K45)/'Resident FTE'!K45</f>
        <v>-1.3496932515337423E-2</v>
      </c>
      <c r="L45" s="100">
        <f>('Resident FTE'!M45-'Resident FTE'!L45)/'Resident FTE'!L45</f>
        <v>-2.9850746268656716E-2</v>
      </c>
      <c r="M45" s="100">
        <f>('Resident FTE'!N45-'Resident FTE'!M45)/'Resident FTE'!M45</f>
        <v>-2.3504273504273504E-2</v>
      </c>
      <c r="N45" s="100">
        <f>('Resident FTE'!O45-'Resident FTE'!N45)/'Resident FTE'!N45</f>
        <v>-3.50109409190372E-3</v>
      </c>
      <c r="O45" s="100">
        <f>('Resident FTE'!P45-'Resident FTE'!O45)/'Resident FTE'!O45</f>
        <v>-3.689064558629776E-2</v>
      </c>
      <c r="P45" s="99">
        <f>('Resident FTE'!Q45-'Resident FTE'!P45)/'Resident FTE'!P45</f>
        <v>-1.7327861377108983E-2</v>
      </c>
      <c r="Q45" s="96">
        <f>('Resident FTE'!R45-'Resident FTE'!Q45)/'Resident FTE'!Q45</f>
        <v>-1.9489559164733179E-2</v>
      </c>
      <c r="R45" s="96">
        <f>('Resident FTE'!S45-'Resident FTE'!R45)/'Resident FTE'!R45</f>
        <v>1.419782300047326E-2</v>
      </c>
      <c r="S45" s="97">
        <f>('Resident FTE'!T45-'Resident FTE'!S45)/'Resident FTE'!S45</f>
        <v>0.18153600871053024</v>
      </c>
      <c r="T45" s="98"/>
    </row>
    <row r="46" spans="1:21" ht="13.5" thickTop="1" thickBot="1">
      <c r="A46" s="70" t="s">
        <v>64</v>
      </c>
      <c r="B46" s="112">
        <f>('Resident FTE'!C46-'Resident FTE'!B46)/'Resident FTE'!B46</f>
        <v>1.1392159423128436E-2</v>
      </c>
      <c r="C46" s="113">
        <f>('Resident FTE'!D46-'Resident FTE'!C46)/'Resident FTE'!C46</f>
        <v>-3.1533013729457778E-3</v>
      </c>
      <c r="D46" s="113">
        <f>('Resident FTE'!E46-'Resident FTE'!D46)/'Resident FTE'!D46</f>
        <v>-3.1183049085195032E-3</v>
      </c>
      <c r="E46" s="113">
        <f>('Resident FTE'!F46-'Resident FTE'!E46)/'Resident FTE'!E46</f>
        <v>4.5770533809109829E-4</v>
      </c>
      <c r="F46" s="113">
        <f>('Resident FTE'!G46-'Resident FTE'!F46)/'Resident FTE'!F46</f>
        <v>7.3063174751274189E-3</v>
      </c>
      <c r="G46" s="113">
        <f>('Resident FTE'!H46-'Resident FTE'!G46)/'Resident FTE'!G46</f>
        <v>1.0286813182877873E-2</v>
      </c>
      <c r="H46" s="113">
        <f>('Resident FTE'!I46-'Resident FTE'!H46)/'Resident FTE'!H46</f>
        <v>1.9179426011162282E-2</v>
      </c>
      <c r="I46" s="113">
        <f>('Resident FTE'!J46-'Resident FTE'!I46)/'Resident FTE'!I46</f>
        <v>1.5038034614642445E-2</v>
      </c>
      <c r="J46" s="113">
        <f>('Resident FTE'!K46-'Resident FTE'!J46)/'Resident FTE'!J46</f>
        <v>4.2427040164648008E-3</v>
      </c>
      <c r="K46" s="113">
        <f>('Resident FTE'!L46-'Resident FTE'!K46)/'Resident FTE'!K46</f>
        <v>4.116398480584043E-2</v>
      </c>
      <c r="L46" s="113">
        <f>('Resident FTE'!M46-'Resident FTE'!L46)/'Resident FTE'!L46</f>
        <v>7.1236149065921156E-2</v>
      </c>
      <c r="M46" s="113">
        <f>('Resident FTE'!N46-'Resident FTE'!M46)/'Resident FTE'!M46</f>
        <v>4.3611942200200336E-2</v>
      </c>
      <c r="N46" s="113">
        <f>('Resident FTE'!O46-'Resident FTE'!N46)/'Resident FTE'!N46</f>
        <v>1.5833666586128864E-2</v>
      </c>
      <c r="O46" s="113">
        <f>('Resident FTE'!P46-'Resident FTE'!O46)/'Resident FTE'!O46</f>
        <v>-1.6648920108845298E-2</v>
      </c>
      <c r="P46" s="114">
        <f>('Resident FTE'!Q46-'Resident FTE'!P46)/'Resident FTE'!P46</f>
        <v>-1.5689320174329481E-2</v>
      </c>
      <c r="Q46" s="92">
        <f>('Resident FTE'!R46-'Resident FTE'!Q46)/'Resident FTE'!Q46</f>
        <v>1.0902425834445619E-2</v>
      </c>
      <c r="R46" s="92">
        <f>('Resident FTE'!S46-'Resident FTE'!R46)/'Resident FTE'!R46</f>
        <v>2.7780980683518499E-2</v>
      </c>
      <c r="S46" s="93">
        <f>('Resident FTE'!T46-'Resident FTE'!S46)/'Resident FTE'!S46</f>
        <v>0.10939422420535072</v>
      </c>
      <c r="T46" s="98"/>
    </row>
    <row r="47" spans="1:21" ht="12.75" thickTop="1">
      <c r="A47" s="50" t="s">
        <v>65</v>
      </c>
      <c r="B47" s="101">
        <f>('Resident FTE'!C47-'Resident FTE'!B47)/'Resident FTE'!B47</f>
        <v>3.6775522212415417E-3</v>
      </c>
      <c r="C47" s="90">
        <f>('Resident FTE'!D47-'Resident FTE'!C47)/'Resident FTE'!C47</f>
        <v>-5.4961160779715669E-2</v>
      </c>
      <c r="D47" s="90">
        <f>('Resident FTE'!E47-'Resident FTE'!D47)/'Resident FTE'!D47</f>
        <v>-2.186724565756824E-2</v>
      </c>
      <c r="E47" s="90">
        <f>('Resident FTE'!F47-'Resident FTE'!E47)/'Resident FTE'!E47</f>
        <v>-3.3771999365784053E-2</v>
      </c>
      <c r="F47" s="90">
        <f>('Resident FTE'!G47-'Resident FTE'!F47)/'Resident FTE'!F47</f>
        <v>1.6409583196586808E-2</v>
      </c>
      <c r="G47" s="90">
        <f>('Resident FTE'!H47-'Resident FTE'!G47)/'Resident FTE'!G47</f>
        <v>-1.2108492089118501E-2</v>
      </c>
      <c r="H47" s="90">
        <f>('Resident FTE'!I47-'Resident FTE'!H47)/'Resident FTE'!H47</f>
        <v>-2.0101323745710085E-2</v>
      </c>
      <c r="I47" s="90">
        <f>('Resident FTE'!J47-'Resident FTE'!I47)/'Resident FTE'!I47</f>
        <v>-4.4746497665109951E-3</v>
      </c>
      <c r="J47" s="90">
        <f>('Resident FTE'!K47-'Resident FTE'!J47)/'Resident FTE'!J47</f>
        <v>8.744934387862939E-3</v>
      </c>
      <c r="K47" s="90">
        <f>('Resident FTE'!L47-'Resident FTE'!K47)/'Resident FTE'!K47</f>
        <v>2.2488237726630445E-2</v>
      </c>
      <c r="L47" s="90">
        <f>('Resident FTE'!M47-'Resident FTE'!L47)/'Resident FTE'!L47</f>
        <v>-5.0597877461920092E-2</v>
      </c>
      <c r="M47" s="90">
        <f>('Resident FTE'!N47-'Resident FTE'!M47)/'Resident FTE'!M47</f>
        <v>-6.6551359563133239E-2</v>
      </c>
      <c r="N47" s="90">
        <f>('Resident FTE'!O47-'Resident FTE'!N47)/'Resident FTE'!N47</f>
        <v>-4.1215120274914106E-2</v>
      </c>
      <c r="O47" s="90">
        <f>('Resident FTE'!P47-'Resident FTE'!O47)/'Resident FTE'!O47</f>
        <v>-3.630024257508082E-2</v>
      </c>
      <c r="P47" s="94">
        <f>('Resident FTE'!Q47-'Resident FTE'!P47)/'Resident FTE'!P47</f>
        <v>8.5947154302219077E-3</v>
      </c>
      <c r="Q47" s="92">
        <f>('Resident FTE'!R47-'Resident FTE'!Q47)/'Resident FTE'!Q47</f>
        <v>-2.2853209565764754E-2</v>
      </c>
      <c r="R47" s="92">
        <f>('Resident FTE'!S47-'Resident FTE'!R47)/'Resident FTE'!R47</f>
        <v>4.1340451105302274E-2</v>
      </c>
      <c r="S47" s="93">
        <f>('Resident FTE'!T47-'Resident FTE'!S47)/'Resident FTE'!S47</f>
        <v>0.13819308098478833</v>
      </c>
      <c r="T47" s="98" t="s">
        <v>25</v>
      </c>
    </row>
    <row r="48" spans="1:21" ht="12.75" thickBot="1">
      <c r="A48" s="77" t="s">
        <v>66</v>
      </c>
      <c r="B48" s="115">
        <f>('Resident FTE'!C48-'Resident FTE'!B48)/'Resident FTE'!B48</f>
        <v>1.0944210407633942E-2</v>
      </c>
      <c r="C48" s="116">
        <f>('Resident FTE'!D48-'Resident FTE'!C48)/'Resident FTE'!C48</f>
        <v>-6.1399039684209124E-3</v>
      </c>
      <c r="D48" s="116">
        <f>('Resident FTE'!E48-'Resident FTE'!D48)/'Resident FTE'!D48</f>
        <v>-4.1460441281235359E-3</v>
      </c>
      <c r="E48" s="116">
        <f>('Resident FTE'!F48-'Resident FTE'!E48)/'Resident FTE'!E48</f>
        <v>-1.3852359305973842E-3</v>
      </c>
      <c r="F48" s="116">
        <f>('Resident FTE'!G48-'Resident FTE'!F48)/'Resident FTE'!F48</f>
        <v>7.7805454819160321E-3</v>
      </c>
      <c r="G48" s="116">
        <f>('Resident FTE'!H48-'Resident FTE'!G48)/'Resident FTE'!G48</f>
        <v>9.1101565521874567E-3</v>
      </c>
      <c r="H48" s="116">
        <f>('Resident FTE'!I48-'Resident FTE'!H48)/'Resident FTE'!H48</f>
        <v>1.7158998826539807E-2</v>
      </c>
      <c r="I48" s="116">
        <f>('Resident FTE'!J48-'Resident FTE'!I48)/'Resident FTE'!I48</f>
        <v>1.4071154162890228E-2</v>
      </c>
      <c r="J48" s="116">
        <f>('Resident FTE'!K48-'Resident FTE'!J48)/'Resident FTE'!J48</f>
        <v>4.4617157423616086E-3</v>
      </c>
      <c r="K48" s="116">
        <f>('Resident FTE'!L48-'Resident FTE'!K48)/'Resident FTE'!K48</f>
        <v>4.0251626108902379E-2</v>
      </c>
      <c r="L48" s="116">
        <f>('Resident FTE'!M48-'Resident FTE'!L48)/'Resident FTE'!L48</f>
        <v>6.5385875866518395E-2</v>
      </c>
      <c r="M48" s="116">
        <f>('Resident FTE'!N48-'Resident FTE'!M48)/'Resident FTE'!M48</f>
        <v>3.8897961965503547E-2</v>
      </c>
      <c r="N48" s="116">
        <f>('Resident FTE'!O48-'Resident FTE'!N48)/'Resident FTE'!N48</f>
        <v>1.3640282136631343E-2</v>
      </c>
      <c r="O48" s="116">
        <f>('Resident FTE'!P48-'Resident FTE'!O48)/'Resident FTE'!O48</f>
        <v>-1.7363576766821553E-2</v>
      </c>
      <c r="P48" s="117">
        <f>('Resident FTE'!Q48-'Resident FTE'!P48)/'Resident FTE'!P48</f>
        <v>-1.4823205464729124E-2</v>
      </c>
      <c r="Q48" s="118">
        <f>('Resident FTE'!R48-'Resident FTE'!Q48)/'Resident FTE'!Q48</f>
        <v>9.6698792130535689E-3</v>
      </c>
      <c r="R48" s="118">
        <f>('Resident FTE'!S48-'Resident FTE'!R48)/'Resident FTE'!R48</f>
        <v>2.8260140296760817E-2</v>
      </c>
      <c r="S48" s="119">
        <f>('Resident FTE'!T48-'Resident FTE'!S48)/'Resident FTE'!S48</f>
        <v>0.11042485345465594</v>
      </c>
      <c r="T48" s="98"/>
      <c r="U48" s="2" t="s">
        <v>25</v>
      </c>
    </row>
  </sheetData>
  <mergeCells count="4">
    <mergeCell ref="A1:S1"/>
    <mergeCell ref="A2:S2"/>
    <mergeCell ref="A4:A5"/>
    <mergeCell ref="B4:Q4"/>
  </mergeCells>
  <printOptions horizontalCentered="1"/>
  <pageMargins left="0.25" right="0.25" top="0.5" bottom="0.5" header="0" footer="0"/>
  <pageSetup scale="77" orientation="landscape" r:id="rId1"/>
  <headerFooter alignWithMargins="0">
    <oddFooter>&amp;L&amp;"Arial,Regular"Colorado Department of Higher Education
Final Student FTE Enrollment Report&amp;R&amp;"Arial,Regular"Updated February 2010 with FY09-10 Projections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51"/>
  <sheetViews>
    <sheetView zoomScaleNormal="100" zoomScaleSheetLayoutView="100" workbookViewId="0">
      <selection activeCell="O22" sqref="O22"/>
    </sheetView>
  </sheetViews>
  <sheetFormatPr defaultRowHeight="12"/>
  <cols>
    <col min="1" max="1" width="48.140625" style="2" customWidth="1"/>
    <col min="2" max="5" width="10.5703125" style="2" hidden="1" customWidth="1"/>
    <col min="6" max="6" width="8.42578125" style="2" hidden="1" customWidth="1"/>
    <col min="7" max="7" width="12.85546875" style="2" hidden="1" customWidth="1"/>
    <col min="8" max="9" width="10.5703125" style="2" hidden="1" customWidth="1"/>
    <col min="10" max="10" width="11.42578125" style="2" hidden="1" customWidth="1"/>
    <col min="11" max="12" width="11.42578125" style="2" customWidth="1"/>
    <col min="13" max="14" width="11.42578125" style="4" customWidth="1"/>
    <col min="15" max="18" width="11.42578125" style="2" customWidth="1"/>
    <col min="19" max="20" width="11.42578125" style="4" customWidth="1"/>
    <col min="21" max="16384" width="9.140625" style="2"/>
  </cols>
  <sheetData>
    <row r="1" spans="1:37" ht="18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3"/>
    </row>
    <row r="2" spans="1:37" ht="18">
      <c r="A2" s="124" t="s">
        <v>67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</row>
    <row r="3" spans="1:37" ht="12.75" thickBot="1">
      <c r="A3" s="128"/>
      <c r="B3" s="126"/>
      <c r="C3" s="126"/>
      <c r="D3" s="126"/>
      <c r="E3" s="126"/>
      <c r="F3" s="126"/>
      <c r="G3" s="126"/>
      <c r="H3" s="126"/>
      <c r="I3" s="3"/>
      <c r="J3" s="3"/>
      <c r="K3" s="126"/>
      <c r="L3" s="126"/>
      <c r="M3" s="36"/>
      <c r="N3" s="36"/>
      <c r="O3" s="126"/>
      <c r="P3" s="126"/>
      <c r="Q3" s="126"/>
      <c r="R3" s="126"/>
      <c r="S3" s="36"/>
      <c r="T3" s="3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7"/>
    </row>
    <row r="4" spans="1:37" s="131" customFormat="1" ht="18.75" thickBot="1">
      <c r="A4" s="7" t="s">
        <v>2</v>
      </c>
      <c r="B4" s="83" t="s">
        <v>89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</row>
    <row r="5" spans="1:37" s="24" customFormat="1" ht="12.75" thickBot="1">
      <c r="A5" s="15"/>
      <c r="B5" s="87" t="s">
        <v>4</v>
      </c>
      <c r="C5" s="87" t="s">
        <v>5</v>
      </c>
      <c r="D5" s="18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19" t="s">
        <v>11</v>
      </c>
      <c r="J5" s="19" t="s">
        <v>12</v>
      </c>
      <c r="K5" s="19" t="s">
        <v>13</v>
      </c>
      <c r="L5" s="19" t="s">
        <v>14</v>
      </c>
      <c r="M5" s="20" t="s">
        <v>15</v>
      </c>
      <c r="N5" s="20" t="s">
        <v>16</v>
      </c>
      <c r="O5" s="21" t="s">
        <v>17</v>
      </c>
      <c r="P5" s="17" t="s">
        <v>18</v>
      </c>
      <c r="Q5" s="132" t="s">
        <v>19</v>
      </c>
      <c r="R5" s="133" t="s">
        <v>20</v>
      </c>
      <c r="S5" s="133" t="s">
        <v>21</v>
      </c>
      <c r="T5" s="133" t="s">
        <v>22</v>
      </c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5"/>
    </row>
    <row r="6" spans="1:37" s="33" customFormat="1" ht="12.75" thickTop="1">
      <c r="A6" s="25" t="s">
        <v>23</v>
      </c>
      <c r="B6" s="27">
        <f t="shared" ref="B6:S6" si="0">SUM(B7:B10)</f>
        <v>8246</v>
      </c>
      <c r="C6" s="27">
        <f t="shared" si="0"/>
        <v>8499</v>
      </c>
      <c r="D6" s="27">
        <f t="shared" si="0"/>
        <v>8205</v>
      </c>
      <c r="E6" s="27">
        <f t="shared" si="0"/>
        <v>7830</v>
      </c>
      <c r="F6" s="27">
        <f t="shared" si="0"/>
        <v>8028</v>
      </c>
      <c r="G6" s="27">
        <f t="shared" si="0"/>
        <v>7913</v>
      </c>
      <c r="H6" s="27">
        <f t="shared" si="0"/>
        <v>8187</v>
      </c>
      <c r="I6" s="27">
        <f t="shared" si="0"/>
        <v>8387</v>
      </c>
      <c r="J6" s="28">
        <f t="shared" si="0"/>
        <v>8491.0999999999985</v>
      </c>
      <c r="K6" s="28">
        <f t="shared" si="0"/>
        <v>8927.7800000000007</v>
      </c>
      <c r="L6" s="28">
        <f t="shared" si="0"/>
        <v>9383.66</v>
      </c>
      <c r="M6" s="28">
        <f t="shared" si="0"/>
        <v>9740.4500000000007</v>
      </c>
      <c r="N6" s="28">
        <f t="shared" si="0"/>
        <v>9898.1200000000008</v>
      </c>
      <c r="O6" s="31">
        <f t="shared" si="0"/>
        <v>9707.73</v>
      </c>
      <c r="P6" s="31">
        <f t="shared" si="0"/>
        <v>9261.5</v>
      </c>
      <c r="Q6" s="30">
        <f t="shared" si="0"/>
        <v>9486.4000000000015</v>
      </c>
      <c r="R6" s="31">
        <f t="shared" si="0"/>
        <v>9961.4</v>
      </c>
      <c r="S6" s="31">
        <f t="shared" si="0"/>
        <v>11034</v>
      </c>
      <c r="T6" s="31">
        <f>SUM(T7:T10)</f>
        <v>11632.526908480131</v>
      </c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36"/>
    </row>
    <row r="7" spans="1:37">
      <c r="A7" s="34" t="s">
        <v>24</v>
      </c>
      <c r="B7" s="36">
        <v>7374</v>
      </c>
      <c r="C7" s="36">
        <v>7547</v>
      </c>
      <c r="D7" s="36">
        <v>7175</v>
      </c>
      <c r="E7" s="36">
        <v>6787</v>
      </c>
      <c r="F7" s="36">
        <v>6895</v>
      </c>
      <c r="G7" s="36">
        <v>6749</v>
      </c>
      <c r="H7" s="36">
        <v>6957</v>
      </c>
      <c r="I7" s="36">
        <v>7203</v>
      </c>
      <c r="J7" s="36">
        <v>7215</v>
      </c>
      <c r="K7" s="36">
        <v>7521.4</v>
      </c>
      <c r="L7" s="36">
        <v>7914</v>
      </c>
      <c r="M7" s="36">
        <v>8320.2999999999993</v>
      </c>
      <c r="N7" s="36">
        <v>8615</v>
      </c>
      <c r="O7" s="36">
        <v>8399</v>
      </c>
      <c r="P7" s="36">
        <v>7958</v>
      </c>
      <c r="Q7" s="38">
        <v>8155</v>
      </c>
      <c r="R7" s="137">
        <v>8317</v>
      </c>
      <c r="S7" s="137">
        <v>9071</v>
      </c>
      <c r="T7" s="137">
        <v>9163.1046989520164</v>
      </c>
      <c r="U7" s="94" t="s">
        <v>25</v>
      </c>
      <c r="V7" s="138"/>
      <c r="W7" s="139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40"/>
      <c r="AJ7" s="41"/>
      <c r="AK7" s="41"/>
    </row>
    <row r="8" spans="1:37">
      <c r="A8" s="34" t="s">
        <v>26</v>
      </c>
      <c r="B8" s="36">
        <v>205</v>
      </c>
      <c r="C8" s="36">
        <v>231</v>
      </c>
      <c r="D8" s="36">
        <v>247</v>
      </c>
      <c r="E8" s="36">
        <v>240</v>
      </c>
      <c r="F8" s="36">
        <v>232</v>
      </c>
      <c r="G8" s="36">
        <v>244</v>
      </c>
      <c r="H8" s="36">
        <v>315</v>
      </c>
      <c r="I8" s="36">
        <v>345</v>
      </c>
      <c r="J8" s="36">
        <v>366.4</v>
      </c>
      <c r="K8" s="36">
        <v>384.5</v>
      </c>
      <c r="L8" s="36">
        <v>393.6</v>
      </c>
      <c r="M8" s="36">
        <v>379.2</v>
      </c>
      <c r="N8" s="36">
        <v>357.7</v>
      </c>
      <c r="O8" s="36">
        <v>366.4</v>
      </c>
      <c r="P8" s="36">
        <v>380</v>
      </c>
      <c r="Q8" s="38">
        <v>325</v>
      </c>
      <c r="R8" s="137">
        <v>444</v>
      </c>
      <c r="S8" s="137">
        <v>488</v>
      </c>
      <c r="T8" s="137">
        <v>510.83946472019466</v>
      </c>
      <c r="U8" s="94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7"/>
    </row>
    <row r="9" spans="1:37">
      <c r="A9" s="34" t="s">
        <v>27</v>
      </c>
      <c r="B9" s="36">
        <v>423</v>
      </c>
      <c r="C9" s="36">
        <v>460</v>
      </c>
      <c r="D9" s="36">
        <v>516</v>
      </c>
      <c r="E9" s="36">
        <v>546</v>
      </c>
      <c r="F9" s="36">
        <v>611</v>
      </c>
      <c r="G9" s="36">
        <v>656</v>
      </c>
      <c r="H9" s="36">
        <v>677</v>
      </c>
      <c r="I9" s="36">
        <v>602</v>
      </c>
      <c r="J9" s="36">
        <v>651.9</v>
      </c>
      <c r="K9" s="36">
        <v>788.2</v>
      </c>
      <c r="L9" s="36">
        <v>827.4</v>
      </c>
      <c r="M9" s="36">
        <v>770.2</v>
      </c>
      <c r="N9" s="36">
        <v>671.1</v>
      </c>
      <c r="O9" s="36">
        <v>676.1</v>
      </c>
      <c r="P9" s="36">
        <v>606</v>
      </c>
      <c r="Q9" s="38">
        <v>638.20000000000005</v>
      </c>
      <c r="R9" s="137">
        <v>788.4</v>
      </c>
      <c r="S9" s="137">
        <v>955</v>
      </c>
      <c r="T9" s="137">
        <v>1173.2569204369481</v>
      </c>
      <c r="U9" s="94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7"/>
    </row>
    <row r="10" spans="1:37" ht="12.75" thickBot="1">
      <c r="A10" s="45" t="s">
        <v>28</v>
      </c>
      <c r="B10" s="47">
        <v>244</v>
      </c>
      <c r="C10" s="47">
        <v>261</v>
      </c>
      <c r="D10" s="47">
        <v>267</v>
      </c>
      <c r="E10" s="47">
        <v>257</v>
      </c>
      <c r="F10" s="47">
        <v>290</v>
      </c>
      <c r="G10" s="47">
        <v>264</v>
      </c>
      <c r="H10" s="47">
        <v>238</v>
      </c>
      <c r="I10" s="47">
        <v>237</v>
      </c>
      <c r="J10" s="47">
        <v>257.8</v>
      </c>
      <c r="K10" s="47">
        <v>233.68</v>
      </c>
      <c r="L10" s="47">
        <v>248.66</v>
      </c>
      <c r="M10" s="47">
        <v>270.75</v>
      </c>
      <c r="N10" s="47">
        <v>254.32</v>
      </c>
      <c r="O10" s="47">
        <v>266.23</v>
      </c>
      <c r="P10" s="47">
        <v>317.5</v>
      </c>
      <c r="Q10" s="55">
        <v>368.2</v>
      </c>
      <c r="R10" s="141">
        <v>412</v>
      </c>
      <c r="S10" s="141">
        <v>520</v>
      </c>
      <c r="T10" s="141">
        <v>785.32582437097153</v>
      </c>
      <c r="U10" s="94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7"/>
    </row>
    <row r="11" spans="1:37" s="24" customFormat="1" ht="12.75" thickTop="1">
      <c r="A11" s="50" t="s">
        <v>29</v>
      </c>
      <c r="B11" s="28">
        <f t="shared" ref="B11:S11" si="1">SUM(B12:B14)</f>
        <v>5089.5</v>
      </c>
      <c r="C11" s="28">
        <f t="shared" si="1"/>
        <v>5242.5</v>
      </c>
      <c r="D11" s="28">
        <f t="shared" si="1"/>
        <v>5447.3</v>
      </c>
      <c r="E11" s="28">
        <f t="shared" si="1"/>
        <v>5469.3</v>
      </c>
      <c r="F11" s="28">
        <f t="shared" si="1"/>
        <v>5578.1</v>
      </c>
      <c r="G11" s="28">
        <f t="shared" si="1"/>
        <v>5393.4</v>
      </c>
      <c r="H11" s="28">
        <f t="shared" si="1"/>
        <v>5360.2</v>
      </c>
      <c r="I11" s="28">
        <f t="shared" si="1"/>
        <v>5293.1</v>
      </c>
      <c r="J11" s="28">
        <f t="shared" si="1"/>
        <v>5285.07</v>
      </c>
      <c r="K11" s="28">
        <f t="shared" si="1"/>
        <v>5210.1000000000004</v>
      </c>
      <c r="L11" s="28">
        <f t="shared" si="1"/>
        <v>5344.9000000000005</v>
      </c>
      <c r="M11" s="28">
        <f t="shared" si="1"/>
        <v>5341.0999999999995</v>
      </c>
      <c r="N11" s="28">
        <f t="shared" si="1"/>
        <v>5171</v>
      </c>
      <c r="O11" s="28">
        <f t="shared" si="1"/>
        <v>5028.3</v>
      </c>
      <c r="P11" s="28">
        <f t="shared" si="1"/>
        <v>4821.566667000001</v>
      </c>
      <c r="Q11" s="52">
        <f t="shared" si="1"/>
        <v>4758.9999699999998</v>
      </c>
      <c r="R11" s="142">
        <f t="shared" si="1"/>
        <v>4816.5</v>
      </c>
      <c r="S11" s="142">
        <f t="shared" si="1"/>
        <v>4815</v>
      </c>
      <c r="T11" s="142">
        <f>SUM(T12:T14)</f>
        <v>4915.5254037108307</v>
      </c>
      <c r="U11" s="101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5"/>
    </row>
    <row r="12" spans="1:37">
      <c r="A12" s="34" t="s">
        <v>30</v>
      </c>
      <c r="B12" s="36">
        <v>4446</v>
      </c>
      <c r="C12" s="36">
        <v>4567</v>
      </c>
      <c r="D12" s="36">
        <v>4642</v>
      </c>
      <c r="E12" s="36">
        <v>4616</v>
      </c>
      <c r="F12" s="36">
        <v>4689</v>
      </c>
      <c r="G12" s="36">
        <v>4510</v>
      </c>
      <c r="H12" s="36">
        <v>4467</v>
      </c>
      <c r="I12" s="36">
        <v>4440</v>
      </c>
      <c r="J12" s="36">
        <v>4431.1000000000004</v>
      </c>
      <c r="K12" s="36">
        <v>4366.5</v>
      </c>
      <c r="L12" s="36">
        <v>4549.8</v>
      </c>
      <c r="M12" s="36">
        <v>4593.3999999999996</v>
      </c>
      <c r="N12" s="36">
        <v>4465.6000000000004</v>
      </c>
      <c r="O12" s="36">
        <v>4349.6000000000004</v>
      </c>
      <c r="P12" s="36">
        <v>4124.6666670000004</v>
      </c>
      <c r="Q12" s="38">
        <v>4031.0333000000001</v>
      </c>
      <c r="R12" s="137">
        <v>4142.7</v>
      </c>
      <c r="S12" s="137">
        <v>4096</v>
      </c>
      <c r="T12" s="137">
        <v>4113.3933045880231</v>
      </c>
      <c r="U12" s="94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7"/>
    </row>
    <row r="13" spans="1:37">
      <c r="A13" s="34" t="s">
        <v>31</v>
      </c>
      <c r="B13" s="36">
        <v>370.5</v>
      </c>
      <c r="C13" s="36">
        <v>365.5</v>
      </c>
      <c r="D13" s="36">
        <v>397.3</v>
      </c>
      <c r="E13" s="36">
        <v>391.3</v>
      </c>
      <c r="F13" s="36">
        <v>393.1</v>
      </c>
      <c r="G13" s="36">
        <v>399.4</v>
      </c>
      <c r="H13" s="36">
        <v>376.2</v>
      </c>
      <c r="I13" s="36">
        <v>357.1</v>
      </c>
      <c r="J13" s="36">
        <v>332.7</v>
      </c>
      <c r="K13" s="36">
        <v>322.60000000000002</v>
      </c>
      <c r="L13" s="36">
        <v>325.3</v>
      </c>
      <c r="M13" s="36">
        <v>329.8</v>
      </c>
      <c r="N13" s="36">
        <v>329.7</v>
      </c>
      <c r="O13" s="36">
        <v>330.8</v>
      </c>
      <c r="P13" s="36">
        <v>340.8</v>
      </c>
      <c r="Q13" s="38">
        <v>343.96667000000002</v>
      </c>
      <c r="R13" s="137">
        <v>346</v>
      </c>
      <c r="S13" s="137">
        <v>332</v>
      </c>
      <c r="T13" s="137">
        <v>359.83</v>
      </c>
      <c r="U13" s="94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7"/>
    </row>
    <row r="14" spans="1:37" ht="12.75" thickBot="1">
      <c r="A14" s="45" t="s">
        <v>32</v>
      </c>
      <c r="B14" s="47">
        <v>273</v>
      </c>
      <c r="C14" s="47">
        <v>310</v>
      </c>
      <c r="D14" s="47">
        <v>408</v>
      </c>
      <c r="E14" s="47">
        <v>462</v>
      </c>
      <c r="F14" s="47">
        <v>496</v>
      </c>
      <c r="G14" s="47">
        <v>484</v>
      </c>
      <c r="H14" s="47">
        <v>517</v>
      </c>
      <c r="I14" s="47">
        <v>496</v>
      </c>
      <c r="J14" s="47">
        <v>521.27</v>
      </c>
      <c r="K14" s="47">
        <v>521</v>
      </c>
      <c r="L14" s="47">
        <v>469.8</v>
      </c>
      <c r="M14" s="47">
        <v>417.9</v>
      </c>
      <c r="N14" s="47">
        <v>375.7</v>
      </c>
      <c r="O14" s="47">
        <v>347.9</v>
      </c>
      <c r="P14" s="47">
        <v>356.1</v>
      </c>
      <c r="Q14" s="55">
        <v>384</v>
      </c>
      <c r="R14" s="137">
        <v>327.8</v>
      </c>
      <c r="S14" s="137">
        <v>387</v>
      </c>
      <c r="T14" s="137">
        <v>442.30209912280742</v>
      </c>
      <c r="U14" s="94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7"/>
    </row>
    <row r="15" spans="1:37" ht="12.75" thickTop="1">
      <c r="A15" s="50" t="s">
        <v>33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8"/>
      <c r="R15" s="143"/>
      <c r="S15" s="143"/>
      <c r="T15" s="143"/>
      <c r="U15" s="94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7"/>
    </row>
    <row r="16" spans="1:37" ht="12.75" thickBot="1">
      <c r="A16" s="45" t="s">
        <v>34</v>
      </c>
      <c r="B16" s="61">
        <v>939</v>
      </c>
      <c r="C16" s="61">
        <v>1084</v>
      </c>
      <c r="D16" s="61">
        <v>1193</v>
      </c>
      <c r="E16" s="61">
        <v>1182</v>
      </c>
      <c r="F16" s="61">
        <v>1215</v>
      </c>
      <c r="G16" s="61">
        <v>1255</v>
      </c>
      <c r="H16" s="61">
        <v>1301</v>
      </c>
      <c r="I16" s="61">
        <v>1295</v>
      </c>
      <c r="J16" s="61">
        <v>1382</v>
      </c>
      <c r="K16" s="61">
        <v>1347</v>
      </c>
      <c r="L16" s="61">
        <v>1369</v>
      </c>
      <c r="M16" s="61">
        <v>1296</v>
      </c>
      <c r="N16" s="61">
        <v>1214</v>
      </c>
      <c r="O16" s="61">
        <v>1127</v>
      </c>
      <c r="P16" s="61">
        <v>1056</v>
      </c>
      <c r="Q16" s="63">
        <v>1075</v>
      </c>
      <c r="R16" s="142">
        <v>1081</v>
      </c>
      <c r="S16" s="142">
        <v>1104</v>
      </c>
      <c r="T16" s="142">
        <f>[2]Sheet1!$F$11</f>
        <v>1091.2747990476182</v>
      </c>
      <c r="U16" s="94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7"/>
    </row>
    <row r="17" spans="1:35" ht="12.75" thickTop="1">
      <c r="A17" s="50" t="s">
        <v>35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52"/>
      <c r="R17" s="144"/>
      <c r="S17" s="144"/>
      <c r="T17" s="144"/>
      <c r="U17" s="94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7"/>
    </row>
    <row r="18" spans="1:35" ht="12.75" thickBot="1">
      <c r="A18" s="45" t="s">
        <v>36</v>
      </c>
      <c r="B18" s="61">
        <v>830</v>
      </c>
      <c r="C18" s="61">
        <v>948</v>
      </c>
      <c r="D18" s="61">
        <v>1023</v>
      </c>
      <c r="E18" s="61">
        <v>1051</v>
      </c>
      <c r="F18" s="61">
        <v>1067</v>
      </c>
      <c r="G18" s="61">
        <v>1082</v>
      </c>
      <c r="H18" s="61">
        <v>1043</v>
      </c>
      <c r="I18" s="61">
        <v>969</v>
      </c>
      <c r="J18" s="61">
        <v>932.8</v>
      </c>
      <c r="K18" s="61">
        <v>863.6</v>
      </c>
      <c r="L18" s="64">
        <f>'[1]Non-Resident Undergraduate'!L18+'[1]Non-Resident Graduate'!L16</f>
        <v>857.9</v>
      </c>
      <c r="M18" s="64">
        <f>'[1]Non-Resident Undergraduate'!M18+'[1]Non-Resident Graduate'!M16</f>
        <v>824.09999999999991</v>
      </c>
      <c r="N18" s="64">
        <f>'[1]Non-Resident Undergraduate'!N18+'[1]Non-Resident Graduate'!N16</f>
        <v>810.1</v>
      </c>
      <c r="O18" s="64">
        <f>'[1]Non-Resident Undergraduate'!O18+'[1]Non-Resident Graduate'!O16</f>
        <v>820</v>
      </c>
      <c r="P18" s="64">
        <f>'[1]Non-Resident Undergraduate'!P18+'[1]Non-Resident Graduate'!P16</f>
        <v>831.6</v>
      </c>
      <c r="Q18" s="64">
        <f>'[1]Non-Resident Undergraduate'!Q18+'[1]Non-Resident Graduate'!Q16</f>
        <v>900.3</v>
      </c>
      <c r="R18" s="64">
        <f>'[1]Non-Resident Undergraduate'!R18+'[1]Non-Resident Graduate'!R16</f>
        <v>1030.2</v>
      </c>
      <c r="S18" s="64">
        <f>'[1]Non-Resident Undergraduate'!S18+'[1]Non-Resident Graduate'!S16</f>
        <v>1181</v>
      </c>
      <c r="T18" s="64">
        <f>[2]Sheet1!$F$12</f>
        <v>1305.9432650725</v>
      </c>
      <c r="U18" s="94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7"/>
    </row>
    <row r="19" spans="1:35" ht="12.75" thickTop="1">
      <c r="A19" s="50" t="s">
        <v>37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8"/>
      <c r="R19" s="142"/>
      <c r="S19" s="142"/>
      <c r="T19" s="142"/>
      <c r="U19" s="94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7"/>
    </row>
    <row r="20" spans="1:35" ht="12.75" thickBot="1">
      <c r="A20" s="45" t="s">
        <v>38</v>
      </c>
      <c r="B20" s="61">
        <v>1055</v>
      </c>
      <c r="C20" s="61">
        <v>1055</v>
      </c>
      <c r="D20" s="61">
        <v>1091</v>
      </c>
      <c r="E20" s="61">
        <v>1078</v>
      </c>
      <c r="F20" s="61">
        <v>1151</v>
      </c>
      <c r="G20" s="61">
        <v>1218</v>
      </c>
      <c r="H20" s="61">
        <v>1304</v>
      </c>
      <c r="I20" s="61">
        <v>1343</v>
      </c>
      <c r="J20" s="61">
        <v>1305.1199999999999</v>
      </c>
      <c r="K20" s="61">
        <v>1268.1600000000001</v>
      </c>
      <c r="L20" s="61">
        <v>1240.43</v>
      </c>
      <c r="M20" s="61">
        <v>1184.8699999999999</v>
      </c>
      <c r="N20" s="61">
        <v>1112.23</v>
      </c>
      <c r="O20" s="61">
        <v>1134.33</v>
      </c>
      <c r="P20" s="61">
        <v>1103.8599999999999</v>
      </c>
      <c r="Q20" s="63">
        <v>1136.5999999999999</v>
      </c>
      <c r="R20" s="142">
        <v>1058.23</v>
      </c>
      <c r="S20" s="142">
        <v>1033</v>
      </c>
      <c r="T20" s="142">
        <f>[2]Sheet1!$F$13</f>
        <v>1039.747677190931</v>
      </c>
      <c r="U20" s="94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7"/>
    </row>
    <row r="21" spans="1:35" ht="12.75" thickTop="1">
      <c r="A21" s="50" t="s">
        <v>39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8"/>
      <c r="R21" s="144"/>
      <c r="S21" s="144"/>
      <c r="T21" s="144"/>
      <c r="U21" s="94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7"/>
    </row>
    <row r="22" spans="1:35" ht="12.75" thickBot="1">
      <c r="A22" s="45" t="s">
        <v>40</v>
      </c>
      <c r="B22" s="61">
        <v>450</v>
      </c>
      <c r="C22" s="61">
        <v>419</v>
      </c>
      <c r="D22" s="61">
        <v>416</v>
      </c>
      <c r="E22" s="61">
        <v>435</v>
      </c>
      <c r="F22" s="61">
        <v>441</v>
      </c>
      <c r="G22" s="61">
        <v>426</v>
      </c>
      <c r="H22" s="61">
        <v>379</v>
      </c>
      <c r="I22" s="61">
        <v>368</v>
      </c>
      <c r="J22" s="61">
        <v>368</v>
      </c>
      <c r="K22" s="61">
        <v>330.6</v>
      </c>
      <c r="L22" s="61">
        <v>373.7</v>
      </c>
      <c r="M22" s="61">
        <v>355.7</v>
      </c>
      <c r="N22" s="61">
        <v>320</v>
      </c>
      <c r="O22" s="61">
        <v>280.33</v>
      </c>
      <c r="P22" s="61">
        <v>245.76</v>
      </c>
      <c r="Q22" s="63">
        <v>228.4</v>
      </c>
      <c r="R22" s="142">
        <v>274.64999999999998</v>
      </c>
      <c r="S22" s="142">
        <v>273</v>
      </c>
      <c r="T22" s="142">
        <f>[2]Sheet1!$F$14</f>
        <v>309.04977306002928</v>
      </c>
      <c r="U22" s="94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7"/>
    </row>
    <row r="23" spans="1:35" ht="12.75" thickTop="1">
      <c r="A23" s="50" t="s">
        <v>41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8"/>
      <c r="R23" s="144"/>
      <c r="S23" s="144"/>
      <c r="T23" s="144"/>
      <c r="U23" s="94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7"/>
    </row>
    <row r="24" spans="1:35" ht="12.75" thickBot="1">
      <c r="A24" s="45" t="s">
        <v>42</v>
      </c>
      <c r="B24" s="61">
        <v>251</v>
      </c>
      <c r="C24" s="61">
        <v>313</v>
      </c>
      <c r="D24" s="61">
        <v>352</v>
      </c>
      <c r="E24" s="61">
        <v>399</v>
      </c>
      <c r="F24" s="61">
        <v>412</v>
      </c>
      <c r="G24" s="61">
        <v>406</v>
      </c>
      <c r="H24" s="61">
        <v>422</v>
      </c>
      <c r="I24" s="61">
        <v>410</v>
      </c>
      <c r="J24" s="61">
        <v>438.3</v>
      </c>
      <c r="K24" s="61">
        <v>428.1</v>
      </c>
      <c r="L24" s="61">
        <v>431.3</v>
      </c>
      <c r="M24" s="61">
        <v>441.8</v>
      </c>
      <c r="N24" s="61">
        <f>461.2+1.9</f>
        <v>463.09999999999997</v>
      </c>
      <c r="O24" s="61">
        <v>483.1</v>
      </c>
      <c r="P24" s="61">
        <v>457.2</v>
      </c>
      <c r="Q24" s="63">
        <v>437.91666670000001</v>
      </c>
      <c r="R24" s="142">
        <v>507.6</v>
      </c>
      <c r="S24" s="142">
        <v>517</v>
      </c>
      <c r="T24" s="142">
        <f>[2]Sheet1!$F$15</f>
        <v>622.22330531993521</v>
      </c>
      <c r="U24" s="94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7"/>
    </row>
    <row r="25" spans="1:35" ht="12.75" thickTop="1">
      <c r="A25" s="50" t="s">
        <v>43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8"/>
      <c r="R25" s="144"/>
      <c r="S25" s="144"/>
      <c r="T25" s="144"/>
      <c r="U25" s="94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7"/>
    </row>
    <row r="26" spans="1:35" ht="12.75" thickBot="1">
      <c r="A26" s="45" t="s">
        <v>44</v>
      </c>
      <c r="B26" s="61">
        <v>343</v>
      </c>
      <c r="C26" s="61">
        <v>337</v>
      </c>
      <c r="D26" s="61">
        <v>311</v>
      </c>
      <c r="E26" s="61">
        <v>323</v>
      </c>
      <c r="F26" s="61">
        <v>320</v>
      </c>
      <c r="G26" s="61">
        <v>359</v>
      </c>
      <c r="H26" s="61">
        <v>390</v>
      </c>
      <c r="I26" s="61">
        <v>408</v>
      </c>
      <c r="J26" s="61">
        <v>426.5</v>
      </c>
      <c r="K26" s="61">
        <v>434.03</v>
      </c>
      <c r="L26" s="61">
        <v>466.37</v>
      </c>
      <c r="M26" s="61">
        <v>467.56</v>
      </c>
      <c r="N26" s="61">
        <v>449.61</v>
      </c>
      <c r="O26" s="61">
        <v>425.8</v>
      </c>
      <c r="P26" s="61">
        <v>401.53</v>
      </c>
      <c r="Q26" s="63">
        <v>431.54</v>
      </c>
      <c r="R26" s="142">
        <v>502.2</v>
      </c>
      <c r="S26" s="142">
        <v>544</v>
      </c>
      <c r="T26" s="142">
        <f>[2]Sheet1!$F$16</f>
        <v>542.40072047651381</v>
      </c>
      <c r="U26" s="94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7"/>
    </row>
    <row r="27" spans="1:35" ht="12.75" thickTop="1">
      <c r="A27" s="50" t="s">
        <v>45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8"/>
      <c r="R27" s="144"/>
      <c r="S27" s="144"/>
      <c r="T27" s="144"/>
      <c r="U27" s="94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7"/>
    </row>
    <row r="28" spans="1:35" ht="12.75" thickBot="1">
      <c r="A28" s="45" t="s">
        <v>46</v>
      </c>
      <c r="B28" s="61">
        <v>767</v>
      </c>
      <c r="C28" s="61">
        <v>840</v>
      </c>
      <c r="D28" s="61">
        <v>764</v>
      </c>
      <c r="E28" s="61">
        <v>744</v>
      </c>
      <c r="F28" s="61">
        <v>766</v>
      </c>
      <c r="G28" s="61">
        <v>755</v>
      </c>
      <c r="H28" s="61">
        <v>746</v>
      </c>
      <c r="I28" s="61">
        <v>697</v>
      </c>
      <c r="J28" s="61">
        <v>680.1</v>
      </c>
      <c r="K28" s="61">
        <v>640.25</v>
      </c>
      <c r="L28" s="61">
        <v>594.51</v>
      </c>
      <c r="M28" s="61">
        <v>591.35</v>
      </c>
      <c r="N28" s="61">
        <v>547.1</v>
      </c>
      <c r="O28" s="61">
        <v>513.35</v>
      </c>
      <c r="P28" s="61">
        <v>497.2</v>
      </c>
      <c r="Q28" s="63">
        <v>466.23</v>
      </c>
      <c r="R28" s="145">
        <v>447.92</v>
      </c>
      <c r="S28" s="145">
        <v>422</v>
      </c>
      <c r="T28" s="145">
        <f>[2]Sheet1!$F$17</f>
        <v>427.23366800216183</v>
      </c>
      <c r="U28" s="94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7"/>
    </row>
    <row r="29" spans="1:35" s="24" customFormat="1" ht="12.75" thickTop="1">
      <c r="A29" s="50" t="s">
        <v>47</v>
      </c>
      <c r="B29" s="28">
        <f t="shared" ref="B29:S29" si="2">SUM(B30:B42)</f>
        <v>1659</v>
      </c>
      <c r="C29" s="28">
        <f t="shared" si="2"/>
        <v>2063</v>
      </c>
      <c r="D29" s="28">
        <f t="shared" si="2"/>
        <v>2075</v>
      </c>
      <c r="E29" s="28">
        <f t="shared" si="2"/>
        <v>2153</v>
      </c>
      <c r="F29" s="28">
        <f t="shared" si="2"/>
        <v>1957</v>
      </c>
      <c r="G29" s="28">
        <f t="shared" si="2"/>
        <v>1892</v>
      </c>
      <c r="H29" s="28">
        <f t="shared" si="2"/>
        <v>1906</v>
      </c>
      <c r="I29" s="28">
        <f t="shared" si="2"/>
        <v>2077</v>
      </c>
      <c r="J29" s="28">
        <f t="shared" si="2"/>
        <v>1996.36</v>
      </c>
      <c r="K29" s="28">
        <f t="shared" si="2"/>
        <v>1780.752</v>
      </c>
      <c r="L29" s="28">
        <f t="shared" si="2"/>
        <v>1850.1199999999997</v>
      </c>
      <c r="M29" s="28">
        <f t="shared" si="2"/>
        <v>1965.02</v>
      </c>
      <c r="N29" s="28">
        <f t="shared" si="2"/>
        <v>2001.5499999999997</v>
      </c>
      <c r="O29" s="28">
        <f t="shared" si="2"/>
        <v>2121.7100000000005</v>
      </c>
      <c r="P29" s="28">
        <f t="shared" si="2"/>
        <v>2164.6599999999994</v>
      </c>
      <c r="Q29" s="52">
        <f t="shared" si="2"/>
        <v>2570.1200000000003</v>
      </c>
      <c r="R29" s="146">
        <f t="shared" si="2"/>
        <v>2842.6790000000001</v>
      </c>
      <c r="S29" s="146">
        <f t="shared" si="2"/>
        <v>3084</v>
      </c>
      <c r="T29" s="146">
        <f>SUM(T30:T42)</f>
        <v>3978.5323847612558</v>
      </c>
      <c r="U29" s="101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5"/>
    </row>
    <row r="30" spans="1:35">
      <c r="A30" s="34" t="s">
        <v>48</v>
      </c>
      <c r="B30" s="36">
        <v>248</v>
      </c>
      <c r="C30" s="36">
        <v>296</v>
      </c>
      <c r="D30" s="36">
        <v>278</v>
      </c>
      <c r="E30" s="36">
        <v>292</v>
      </c>
      <c r="F30" s="36">
        <v>240</v>
      </c>
      <c r="G30" s="36">
        <v>269</v>
      </c>
      <c r="H30" s="36">
        <v>301</v>
      </c>
      <c r="I30" s="36">
        <v>376</v>
      </c>
      <c r="J30" s="36">
        <v>324.89999999999998</v>
      </c>
      <c r="K30" s="36">
        <v>291.39999999999998</v>
      </c>
      <c r="L30" s="36">
        <v>238.25</v>
      </c>
      <c r="M30" s="36">
        <v>187.59</v>
      </c>
      <c r="N30" s="36">
        <v>196.53</v>
      </c>
      <c r="O30" s="36">
        <v>192.31</v>
      </c>
      <c r="P30" s="36">
        <v>188.9</v>
      </c>
      <c r="Q30" s="38">
        <v>245.75</v>
      </c>
      <c r="R30" s="137">
        <v>221.8</v>
      </c>
      <c r="S30" s="137">
        <v>186</v>
      </c>
      <c r="T30" s="137">
        <v>211.9812528812171</v>
      </c>
      <c r="U30" s="94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7"/>
    </row>
    <row r="31" spans="1:35">
      <c r="A31" s="34" t="s">
        <v>49</v>
      </c>
      <c r="B31" s="36">
        <v>79</v>
      </c>
      <c r="C31" s="36">
        <v>118</v>
      </c>
      <c r="D31" s="36">
        <v>126</v>
      </c>
      <c r="E31" s="36">
        <v>118</v>
      </c>
      <c r="F31" s="36">
        <v>116</v>
      </c>
      <c r="G31" s="36">
        <v>101</v>
      </c>
      <c r="H31" s="36">
        <v>98</v>
      </c>
      <c r="I31" s="36">
        <v>85</v>
      </c>
      <c r="J31" s="36">
        <v>79.08</v>
      </c>
      <c r="K31" s="36">
        <v>88.95</v>
      </c>
      <c r="L31" s="36">
        <v>76.03</v>
      </c>
      <c r="M31" s="36">
        <v>79.36</v>
      </c>
      <c r="N31" s="36">
        <v>101.35</v>
      </c>
      <c r="O31" s="36">
        <v>98.54</v>
      </c>
      <c r="P31" s="36">
        <v>83.97</v>
      </c>
      <c r="Q31" s="38">
        <v>95.55</v>
      </c>
      <c r="R31" s="137">
        <v>107.3</v>
      </c>
      <c r="S31" s="137">
        <v>125</v>
      </c>
      <c r="T31" s="137">
        <v>136.91664108074914</v>
      </c>
      <c r="U31" s="94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7"/>
    </row>
    <row r="32" spans="1:35">
      <c r="A32" s="34" t="s">
        <v>50</v>
      </c>
      <c r="B32" s="36">
        <v>49</v>
      </c>
      <c r="C32" s="36">
        <v>41</v>
      </c>
      <c r="D32" s="36">
        <v>44</v>
      </c>
      <c r="E32" s="36">
        <v>68</v>
      </c>
      <c r="F32" s="36">
        <v>60</v>
      </c>
      <c r="G32" s="36">
        <v>52</v>
      </c>
      <c r="H32" s="36">
        <v>55</v>
      </c>
      <c r="I32" s="36">
        <v>83</v>
      </c>
      <c r="J32" s="36">
        <v>84.42</v>
      </c>
      <c r="K32" s="36">
        <v>73.86</v>
      </c>
      <c r="L32" s="36">
        <v>103.23</v>
      </c>
      <c r="M32" s="36">
        <v>102.17</v>
      </c>
      <c r="N32" s="36">
        <v>73.739999999999995</v>
      </c>
      <c r="O32" s="36">
        <v>91.67</v>
      </c>
      <c r="P32" s="36">
        <v>101.4</v>
      </c>
      <c r="Q32" s="38">
        <v>170</v>
      </c>
      <c r="R32" s="137">
        <v>187.9</v>
      </c>
      <c r="S32" s="137">
        <v>211</v>
      </c>
      <c r="T32" s="137">
        <v>247.77896638843575</v>
      </c>
      <c r="U32" s="94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7"/>
    </row>
    <row r="33" spans="1:35">
      <c r="A33" s="34" t="s">
        <v>51</v>
      </c>
      <c r="B33" s="36">
        <v>159</v>
      </c>
      <c r="C33" s="36">
        <v>246</v>
      </c>
      <c r="D33" s="36">
        <v>238</v>
      </c>
      <c r="E33" s="36">
        <v>253</v>
      </c>
      <c r="F33" s="36">
        <v>252</v>
      </c>
      <c r="G33" s="36">
        <v>254</v>
      </c>
      <c r="H33" s="36">
        <v>237</v>
      </c>
      <c r="I33" s="36">
        <v>255</v>
      </c>
      <c r="J33" s="36">
        <v>264.16000000000003</v>
      </c>
      <c r="K33" s="36">
        <v>235.22</v>
      </c>
      <c r="L33" s="36">
        <v>263.57</v>
      </c>
      <c r="M33" s="36">
        <v>298.02</v>
      </c>
      <c r="N33" s="36">
        <v>293.47000000000003</v>
      </c>
      <c r="O33" s="36">
        <v>296.97000000000003</v>
      </c>
      <c r="P33" s="36">
        <v>311.83</v>
      </c>
      <c r="Q33" s="38">
        <v>414.14</v>
      </c>
      <c r="R33" s="137">
        <v>481.96</v>
      </c>
      <c r="S33" s="137">
        <v>510</v>
      </c>
      <c r="T33" s="137">
        <v>718.4409101531528</v>
      </c>
      <c r="U33" s="94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7"/>
    </row>
    <row r="34" spans="1:35">
      <c r="A34" s="34" t="s">
        <v>52</v>
      </c>
      <c r="B34" s="36">
        <v>308</v>
      </c>
      <c r="C34" s="36">
        <v>405</v>
      </c>
      <c r="D34" s="36">
        <v>422</v>
      </c>
      <c r="E34" s="36">
        <v>434</v>
      </c>
      <c r="F34" s="36">
        <v>408</v>
      </c>
      <c r="G34" s="36">
        <v>390</v>
      </c>
      <c r="H34" s="36">
        <v>434</v>
      </c>
      <c r="I34" s="36">
        <v>454</v>
      </c>
      <c r="J34" s="36">
        <v>481.59</v>
      </c>
      <c r="K34" s="36">
        <v>393.65</v>
      </c>
      <c r="L34" s="36">
        <v>406.35</v>
      </c>
      <c r="M34" s="36">
        <v>459.86</v>
      </c>
      <c r="N34" s="36">
        <v>547.51</v>
      </c>
      <c r="O34" s="36">
        <v>591.08000000000004</v>
      </c>
      <c r="P34" s="36">
        <v>567.79999999999995</v>
      </c>
      <c r="Q34" s="38">
        <v>671.3</v>
      </c>
      <c r="R34" s="137">
        <v>728</v>
      </c>
      <c r="S34" s="137">
        <v>749</v>
      </c>
      <c r="T34" s="137">
        <v>914.4376957481835</v>
      </c>
      <c r="U34" s="94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7"/>
    </row>
    <row r="35" spans="1:35">
      <c r="A35" s="34" t="s">
        <v>53</v>
      </c>
      <c r="B35" s="36">
        <v>51</v>
      </c>
      <c r="C35" s="36">
        <v>63</v>
      </c>
      <c r="D35" s="36">
        <v>73</v>
      </c>
      <c r="E35" s="36">
        <v>73</v>
      </c>
      <c r="F35" s="36">
        <v>84</v>
      </c>
      <c r="G35" s="36">
        <v>77</v>
      </c>
      <c r="H35" s="36">
        <v>104</v>
      </c>
      <c r="I35" s="36">
        <v>96</v>
      </c>
      <c r="J35" s="36">
        <v>59.26</v>
      </c>
      <c r="K35" s="36">
        <v>43.862000000000002</v>
      </c>
      <c r="L35" s="36">
        <v>42.59</v>
      </c>
      <c r="M35" s="36">
        <v>54.94</v>
      </c>
      <c r="N35" s="36">
        <v>44.3</v>
      </c>
      <c r="O35" s="36">
        <v>59.99</v>
      </c>
      <c r="P35" s="36">
        <v>80.39</v>
      </c>
      <c r="Q35" s="38">
        <v>73.959999999999994</v>
      </c>
      <c r="R35" s="137">
        <v>97.888999999999996</v>
      </c>
      <c r="S35" s="137">
        <v>86</v>
      </c>
      <c r="T35" s="137">
        <v>103.06443100358418</v>
      </c>
      <c r="U35" s="94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7"/>
    </row>
    <row r="36" spans="1:35">
      <c r="A36" s="34" t="s">
        <v>54</v>
      </c>
      <c r="B36" s="36">
        <v>18</v>
      </c>
      <c r="C36" s="36">
        <v>45</v>
      </c>
      <c r="D36" s="36">
        <v>39</v>
      </c>
      <c r="E36" s="36">
        <v>20</v>
      </c>
      <c r="F36" s="36">
        <v>25</v>
      </c>
      <c r="G36" s="36">
        <v>13</v>
      </c>
      <c r="H36" s="36">
        <v>18</v>
      </c>
      <c r="I36" s="36">
        <v>16</v>
      </c>
      <c r="J36" s="36">
        <v>11.29</v>
      </c>
      <c r="K36" s="36">
        <v>9.81</v>
      </c>
      <c r="L36" s="36">
        <v>8.3000000000000007</v>
      </c>
      <c r="M36" s="36">
        <v>5.65</v>
      </c>
      <c r="N36" s="36">
        <v>4.75</v>
      </c>
      <c r="O36" s="36">
        <v>18.350000000000001</v>
      </c>
      <c r="P36" s="36">
        <v>36.1</v>
      </c>
      <c r="Q36" s="38">
        <v>38.479999999999997</v>
      </c>
      <c r="R36" s="137">
        <v>29.97</v>
      </c>
      <c r="S36" s="137">
        <v>33</v>
      </c>
      <c r="T36" s="137">
        <v>34.960300093779303</v>
      </c>
      <c r="U36" s="94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7"/>
    </row>
    <row r="37" spans="1:35">
      <c r="A37" s="34" t="s">
        <v>55</v>
      </c>
      <c r="B37" s="36">
        <v>85</v>
      </c>
      <c r="C37" s="36">
        <v>101</v>
      </c>
      <c r="D37" s="36">
        <v>78</v>
      </c>
      <c r="E37" s="36">
        <v>74</v>
      </c>
      <c r="F37" s="36">
        <v>78</v>
      </c>
      <c r="G37" s="36">
        <v>134</v>
      </c>
      <c r="H37" s="36">
        <v>75</v>
      </c>
      <c r="I37" s="36">
        <v>79</v>
      </c>
      <c r="J37" s="36">
        <v>73.650000000000006</v>
      </c>
      <c r="K37" s="36">
        <v>58.58</v>
      </c>
      <c r="L37" s="36">
        <v>81.040000000000006</v>
      </c>
      <c r="M37" s="36">
        <v>84.11</v>
      </c>
      <c r="N37" s="36">
        <v>85.13</v>
      </c>
      <c r="O37" s="36">
        <v>74.64</v>
      </c>
      <c r="P37" s="36">
        <v>70.739999999999995</v>
      </c>
      <c r="Q37" s="38">
        <v>91.03</v>
      </c>
      <c r="R37" s="137">
        <v>101.66</v>
      </c>
      <c r="S37" s="137">
        <v>87</v>
      </c>
      <c r="T37" s="137">
        <v>89.846994557962816</v>
      </c>
      <c r="U37" s="94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7"/>
    </row>
    <row r="38" spans="1:35">
      <c r="A38" s="34" t="s">
        <v>56</v>
      </c>
      <c r="B38" s="36">
        <v>60</v>
      </c>
      <c r="C38" s="36">
        <v>61</v>
      </c>
      <c r="D38" s="36">
        <v>50</v>
      </c>
      <c r="E38" s="36">
        <v>52</v>
      </c>
      <c r="F38" s="36">
        <v>40</v>
      </c>
      <c r="G38" s="36">
        <v>32</v>
      </c>
      <c r="H38" s="36">
        <v>19</v>
      </c>
      <c r="I38" s="36">
        <v>19</v>
      </c>
      <c r="J38" s="36">
        <v>25.37</v>
      </c>
      <c r="K38" s="36">
        <v>19.399999999999999</v>
      </c>
      <c r="L38" s="36">
        <v>19.84</v>
      </c>
      <c r="M38" s="36">
        <v>31.93</v>
      </c>
      <c r="N38" s="36">
        <v>31</v>
      </c>
      <c r="O38" s="36">
        <v>37.299999999999997</v>
      </c>
      <c r="P38" s="36">
        <v>40.6</v>
      </c>
      <c r="Q38" s="38">
        <v>82.4</v>
      </c>
      <c r="R38" s="137">
        <v>97.36</v>
      </c>
      <c r="S38" s="137">
        <v>111</v>
      </c>
      <c r="T38" s="137">
        <v>109.39266419753082</v>
      </c>
      <c r="U38" s="94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7"/>
    </row>
    <row r="39" spans="1:35">
      <c r="A39" s="34" t="s">
        <v>57</v>
      </c>
      <c r="B39" s="36">
        <v>131</v>
      </c>
      <c r="C39" s="36">
        <v>169</v>
      </c>
      <c r="D39" s="36">
        <v>149</v>
      </c>
      <c r="E39" s="36">
        <v>121</v>
      </c>
      <c r="F39" s="36">
        <v>124</v>
      </c>
      <c r="G39" s="36">
        <v>142</v>
      </c>
      <c r="H39" s="36">
        <v>147</v>
      </c>
      <c r="I39" s="36">
        <v>114</v>
      </c>
      <c r="J39" s="36">
        <v>118.4</v>
      </c>
      <c r="K39" s="36">
        <v>126.5</v>
      </c>
      <c r="L39" s="36">
        <v>172.4</v>
      </c>
      <c r="M39" s="36">
        <v>248.9</v>
      </c>
      <c r="N39" s="36">
        <v>245.5</v>
      </c>
      <c r="O39" s="36">
        <v>270</v>
      </c>
      <c r="P39" s="36">
        <v>348.3</v>
      </c>
      <c r="Q39" s="38">
        <v>346.84</v>
      </c>
      <c r="R39" s="137">
        <v>378.88</v>
      </c>
      <c r="S39" s="137">
        <v>524</v>
      </c>
      <c r="T39" s="137">
        <v>821.63493589743575</v>
      </c>
      <c r="U39" s="94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7"/>
    </row>
    <row r="40" spans="1:35">
      <c r="A40" s="34" t="s">
        <v>58</v>
      </c>
      <c r="B40" s="36">
        <v>45</v>
      </c>
      <c r="C40" s="36">
        <v>48</v>
      </c>
      <c r="D40" s="36">
        <v>52</v>
      </c>
      <c r="E40" s="36">
        <v>59</v>
      </c>
      <c r="F40" s="36">
        <v>74</v>
      </c>
      <c r="G40" s="36">
        <v>80</v>
      </c>
      <c r="H40" s="36">
        <v>101</v>
      </c>
      <c r="I40" s="36">
        <v>168</v>
      </c>
      <c r="J40" s="36">
        <v>156.93</v>
      </c>
      <c r="K40" s="36">
        <v>132.52000000000001</v>
      </c>
      <c r="L40" s="36">
        <v>117.99</v>
      </c>
      <c r="M40" s="36">
        <v>120.05</v>
      </c>
      <c r="N40" s="36">
        <v>115</v>
      </c>
      <c r="O40" s="36">
        <v>108.96</v>
      </c>
      <c r="P40" s="36">
        <v>95.56</v>
      </c>
      <c r="Q40" s="38">
        <v>80</v>
      </c>
      <c r="R40" s="137">
        <v>82.6</v>
      </c>
      <c r="S40" s="137">
        <v>95</v>
      </c>
      <c r="T40" s="137">
        <v>134.19594763302632</v>
      </c>
      <c r="U40" s="94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7"/>
    </row>
    <row r="41" spans="1:35">
      <c r="A41" s="34" t="s">
        <v>59</v>
      </c>
      <c r="B41" s="36">
        <v>208</v>
      </c>
      <c r="C41" s="36">
        <v>278</v>
      </c>
      <c r="D41" s="36">
        <v>342</v>
      </c>
      <c r="E41" s="36">
        <v>406</v>
      </c>
      <c r="F41" s="36">
        <v>287</v>
      </c>
      <c r="G41" s="36">
        <v>177</v>
      </c>
      <c r="H41" s="36">
        <v>150</v>
      </c>
      <c r="I41" s="36">
        <v>170</v>
      </c>
      <c r="J41" s="36">
        <v>167.81</v>
      </c>
      <c r="K41" s="36">
        <v>169.13</v>
      </c>
      <c r="L41" s="36">
        <v>172.33</v>
      </c>
      <c r="M41" s="36">
        <v>148.06</v>
      </c>
      <c r="N41" s="36">
        <v>129.47999999999999</v>
      </c>
      <c r="O41" s="36">
        <v>134.12</v>
      </c>
      <c r="P41" s="36">
        <v>137.97</v>
      </c>
      <c r="Q41" s="38">
        <v>163.72999999999999</v>
      </c>
      <c r="R41" s="137">
        <v>214.65</v>
      </c>
      <c r="S41" s="137">
        <v>230</v>
      </c>
      <c r="T41" s="137">
        <v>285.66490107428814</v>
      </c>
      <c r="U41" s="94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7"/>
    </row>
    <row r="42" spans="1:35" ht="12.75" thickBot="1">
      <c r="A42" s="45" t="s">
        <v>60</v>
      </c>
      <c r="B42" s="47">
        <v>218</v>
      </c>
      <c r="C42" s="47">
        <v>192</v>
      </c>
      <c r="D42" s="47">
        <v>184</v>
      </c>
      <c r="E42" s="47">
        <v>183</v>
      </c>
      <c r="F42" s="47">
        <v>169</v>
      </c>
      <c r="G42" s="47">
        <v>171</v>
      </c>
      <c r="H42" s="47">
        <v>167</v>
      </c>
      <c r="I42" s="47">
        <v>162</v>
      </c>
      <c r="J42" s="47">
        <v>149.5</v>
      </c>
      <c r="K42" s="47">
        <v>137.87</v>
      </c>
      <c r="L42" s="47">
        <v>148.19999999999999</v>
      </c>
      <c r="M42" s="47">
        <v>144.38</v>
      </c>
      <c r="N42" s="47">
        <v>133.79</v>
      </c>
      <c r="O42" s="47">
        <v>147.78</v>
      </c>
      <c r="P42" s="47">
        <v>101.1</v>
      </c>
      <c r="Q42" s="55">
        <v>96.94</v>
      </c>
      <c r="R42" s="137">
        <v>112.71</v>
      </c>
      <c r="S42" s="137">
        <v>137</v>
      </c>
      <c r="T42" s="137">
        <v>170.21674405191061</v>
      </c>
      <c r="U42" s="94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7"/>
    </row>
    <row r="43" spans="1:35" ht="12.75" thickTop="1">
      <c r="A43" s="50" t="s">
        <v>61</v>
      </c>
      <c r="B43" s="28">
        <f t="shared" ref="B43:S43" si="3">SUM(B44:B45)</f>
        <v>432</v>
      </c>
      <c r="C43" s="28">
        <f t="shared" si="3"/>
        <v>517</v>
      </c>
      <c r="D43" s="28">
        <f t="shared" si="3"/>
        <v>614</v>
      </c>
      <c r="E43" s="28">
        <f t="shared" si="3"/>
        <v>693</v>
      </c>
      <c r="F43" s="28">
        <f t="shared" si="3"/>
        <v>682</v>
      </c>
      <c r="G43" s="28">
        <f t="shared" si="3"/>
        <v>712</v>
      </c>
      <c r="H43" s="28">
        <f t="shared" si="3"/>
        <v>796</v>
      </c>
      <c r="I43" s="28">
        <f t="shared" si="3"/>
        <v>912</v>
      </c>
      <c r="J43" s="28">
        <f t="shared" si="3"/>
        <v>805.79</v>
      </c>
      <c r="K43" s="28">
        <f t="shared" si="3"/>
        <v>830.15</v>
      </c>
      <c r="L43" s="28">
        <f t="shared" si="3"/>
        <v>749.67</v>
      </c>
      <c r="M43" s="28">
        <f t="shared" si="3"/>
        <v>675.74</v>
      </c>
      <c r="N43" s="28">
        <f t="shared" si="3"/>
        <v>647.4</v>
      </c>
      <c r="O43" s="31">
        <f t="shared" si="3"/>
        <v>697.04</v>
      </c>
      <c r="P43" s="31">
        <f t="shared" si="3"/>
        <v>654.53</v>
      </c>
      <c r="Q43" s="52">
        <f t="shared" si="3"/>
        <v>681.28</v>
      </c>
      <c r="R43" s="144">
        <f t="shared" si="3"/>
        <v>668.92700000000002</v>
      </c>
      <c r="S43" s="144">
        <f t="shared" si="3"/>
        <v>742</v>
      </c>
      <c r="T43" s="144">
        <f>SUM(T44:T45)</f>
        <v>724.37203238852464</v>
      </c>
      <c r="U43" s="94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7"/>
    </row>
    <row r="44" spans="1:35">
      <c r="A44" s="34" t="s">
        <v>62</v>
      </c>
      <c r="B44" s="36">
        <v>55</v>
      </c>
      <c r="C44" s="36">
        <v>60</v>
      </c>
      <c r="D44" s="36">
        <v>60</v>
      </c>
      <c r="E44" s="36">
        <v>60</v>
      </c>
      <c r="F44" s="36">
        <v>68</v>
      </c>
      <c r="G44" s="36">
        <v>90</v>
      </c>
      <c r="H44" s="36">
        <v>143</v>
      </c>
      <c r="I44" s="36">
        <v>276</v>
      </c>
      <c r="J44" s="36">
        <v>265.79000000000002</v>
      </c>
      <c r="K44" s="36">
        <v>236.15</v>
      </c>
      <c r="L44" s="36">
        <v>207.67</v>
      </c>
      <c r="M44" s="36">
        <v>158.74</v>
      </c>
      <c r="N44" s="36">
        <v>116.4</v>
      </c>
      <c r="O44" s="36">
        <v>136.04</v>
      </c>
      <c r="P44" s="36">
        <v>112.53</v>
      </c>
      <c r="Q44" s="38">
        <v>120.28</v>
      </c>
      <c r="R44" s="137">
        <v>105.92700000000001</v>
      </c>
      <c r="S44" s="137">
        <v>119</v>
      </c>
      <c r="T44" s="137">
        <v>115.22756352405584</v>
      </c>
      <c r="U44" s="94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7"/>
    </row>
    <row r="45" spans="1:35" ht="12.75" thickBot="1">
      <c r="A45" s="45" t="s">
        <v>63</v>
      </c>
      <c r="B45" s="47">
        <v>377</v>
      </c>
      <c r="C45" s="47">
        <v>457</v>
      </c>
      <c r="D45" s="47">
        <v>554</v>
      </c>
      <c r="E45" s="47">
        <v>633</v>
      </c>
      <c r="F45" s="47">
        <v>614</v>
      </c>
      <c r="G45" s="47">
        <v>622</v>
      </c>
      <c r="H45" s="47">
        <v>653</v>
      </c>
      <c r="I45" s="47">
        <v>636</v>
      </c>
      <c r="J45" s="47">
        <v>540</v>
      </c>
      <c r="K45" s="47">
        <v>594</v>
      </c>
      <c r="L45" s="47">
        <v>542</v>
      </c>
      <c r="M45" s="47">
        <v>517</v>
      </c>
      <c r="N45" s="47">
        <v>531</v>
      </c>
      <c r="O45" s="47">
        <v>561</v>
      </c>
      <c r="P45" s="47">
        <v>542</v>
      </c>
      <c r="Q45" s="55">
        <v>561</v>
      </c>
      <c r="R45" s="137">
        <v>563</v>
      </c>
      <c r="S45" s="137">
        <v>623</v>
      </c>
      <c r="T45" s="137">
        <v>609.14446886446876</v>
      </c>
      <c r="U45" s="94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7"/>
    </row>
    <row r="46" spans="1:35" ht="13.5" thickTop="1" thickBot="1">
      <c r="A46" s="70" t="s">
        <v>64</v>
      </c>
      <c r="B46" s="72">
        <f>SUM(B6,B11,B16,B18,B20,B22,B24,B26,B28,B29)</f>
        <v>19629.5</v>
      </c>
      <c r="C46" s="72">
        <f t="shared" ref="C46:S46" si="4">SUM(C6,C11,C16,C18,C20,C22,C24,C26,C28,C29)</f>
        <v>20800.5</v>
      </c>
      <c r="D46" s="72">
        <f t="shared" si="4"/>
        <v>20877.3</v>
      </c>
      <c r="E46" s="72">
        <f t="shared" si="4"/>
        <v>20664.3</v>
      </c>
      <c r="F46" s="72">
        <f t="shared" si="4"/>
        <v>20935.099999999999</v>
      </c>
      <c r="G46" s="72">
        <f t="shared" si="4"/>
        <v>20699.400000000001</v>
      </c>
      <c r="H46" s="72">
        <f t="shared" si="4"/>
        <v>21038.2</v>
      </c>
      <c r="I46" s="72">
        <f t="shared" si="4"/>
        <v>21247.1</v>
      </c>
      <c r="J46" s="72">
        <f t="shared" si="4"/>
        <v>21305.349999999995</v>
      </c>
      <c r="K46" s="72">
        <f t="shared" si="4"/>
        <v>21230.371999999999</v>
      </c>
      <c r="L46" s="72">
        <f t="shared" si="4"/>
        <v>21911.89</v>
      </c>
      <c r="M46" s="72">
        <f t="shared" si="4"/>
        <v>22207.949999999997</v>
      </c>
      <c r="N46" s="72">
        <f t="shared" si="4"/>
        <v>21986.809999999998</v>
      </c>
      <c r="O46" s="72">
        <f t="shared" si="4"/>
        <v>21641.649999999998</v>
      </c>
      <c r="P46" s="72">
        <f t="shared" si="4"/>
        <v>20840.876667</v>
      </c>
      <c r="Q46" s="63">
        <f t="shared" si="4"/>
        <v>21491.5066367</v>
      </c>
      <c r="R46" s="147">
        <f t="shared" si="4"/>
        <v>22522.378999999997</v>
      </c>
      <c r="S46" s="147">
        <f t="shared" si="4"/>
        <v>24007</v>
      </c>
      <c r="T46" s="147">
        <f>SUM(T6,T11,T16,T18,T20,T22,T24,T26,T28,T29)</f>
        <v>25864.457905121904</v>
      </c>
      <c r="U46" s="94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7"/>
    </row>
    <row r="47" spans="1:35" ht="12.75" thickTop="1">
      <c r="A47" s="50" t="s">
        <v>65</v>
      </c>
      <c r="B47" s="28">
        <f t="shared" ref="B47:S47" si="5">SUM(B44:B45)</f>
        <v>432</v>
      </c>
      <c r="C47" s="28">
        <f t="shared" si="5"/>
        <v>517</v>
      </c>
      <c r="D47" s="28">
        <f t="shared" si="5"/>
        <v>614</v>
      </c>
      <c r="E47" s="28">
        <f t="shared" si="5"/>
        <v>693</v>
      </c>
      <c r="F47" s="28">
        <f t="shared" si="5"/>
        <v>682</v>
      </c>
      <c r="G47" s="28">
        <f t="shared" si="5"/>
        <v>712</v>
      </c>
      <c r="H47" s="28">
        <f t="shared" si="5"/>
        <v>796</v>
      </c>
      <c r="I47" s="28">
        <f t="shared" si="5"/>
        <v>912</v>
      </c>
      <c r="J47" s="28">
        <f t="shared" si="5"/>
        <v>805.79</v>
      </c>
      <c r="K47" s="28">
        <f t="shared" si="5"/>
        <v>830.15</v>
      </c>
      <c r="L47" s="28">
        <f t="shared" si="5"/>
        <v>749.67</v>
      </c>
      <c r="M47" s="28">
        <f t="shared" si="5"/>
        <v>675.74</v>
      </c>
      <c r="N47" s="28">
        <f t="shared" si="5"/>
        <v>647.4</v>
      </c>
      <c r="O47" s="28">
        <f t="shared" si="5"/>
        <v>697.04</v>
      </c>
      <c r="P47" s="28">
        <f t="shared" si="5"/>
        <v>654.53</v>
      </c>
      <c r="Q47" s="52">
        <f t="shared" si="5"/>
        <v>681.28</v>
      </c>
      <c r="R47" s="146">
        <f t="shared" si="5"/>
        <v>668.92700000000002</v>
      </c>
      <c r="S47" s="146">
        <f t="shared" si="5"/>
        <v>742</v>
      </c>
      <c r="T47" s="146">
        <f>SUM(T44:T45)</f>
        <v>724.37203238852464</v>
      </c>
      <c r="U47" s="94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7"/>
    </row>
    <row r="48" spans="1:35" ht="12.75" thickBot="1">
      <c r="A48" s="77" t="s">
        <v>66</v>
      </c>
      <c r="B48" s="79">
        <f t="shared" ref="B48:P48" si="6">SUM(B46:B47)</f>
        <v>20061.5</v>
      </c>
      <c r="C48" s="79">
        <f t="shared" si="6"/>
        <v>21317.5</v>
      </c>
      <c r="D48" s="79">
        <f t="shared" si="6"/>
        <v>21491.3</v>
      </c>
      <c r="E48" s="79">
        <f t="shared" si="6"/>
        <v>21357.3</v>
      </c>
      <c r="F48" s="79">
        <f t="shared" si="6"/>
        <v>21617.1</v>
      </c>
      <c r="G48" s="79">
        <f t="shared" si="6"/>
        <v>21411.4</v>
      </c>
      <c r="H48" s="79">
        <f t="shared" si="6"/>
        <v>21834.2</v>
      </c>
      <c r="I48" s="79">
        <f t="shared" si="6"/>
        <v>22159.1</v>
      </c>
      <c r="J48" s="79">
        <f t="shared" si="6"/>
        <v>22111.139999999996</v>
      </c>
      <c r="K48" s="79">
        <f t="shared" si="6"/>
        <v>22060.522000000001</v>
      </c>
      <c r="L48" s="79">
        <f t="shared" si="6"/>
        <v>22661.559999999998</v>
      </c>
      <c r="M48" s="79">
        <f t="shared" si="6"/>
        <v>22883.69</v>
      </c>
      <c r="N48" s="79">
        <f t="shared" si="6"/>
        <v>22634.21</v>
      </c>
      <c r="O48" s="79">
        <f t="shared" si="6"/>
        <v>22338.69</v>
      </c>
      <c r="P48" s="79">
        <f t="shared" si="6"/>
        <v>21495.406666999999</v>
      </c>
      <c r="Q48" s="81">
        <f>SUM(Q46:Q47)</f>
        <v>22172.786636699999</v>
      </c>
      <c r="R48" s="148">
        <f>SUM(R46:R47)</f>
        <v>23191.305999999997</v>
      </c>
      <c r="S48" s="148">
        <f>SUM(S46:S47)</f>
        <v>24749</v>
      </c>
      <c r="T48" s="148">
        <f>SUM(T46:T47)</f>
        <v>26588.829937510429</v>
      </c>
      <c r="U48" s="117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50"/>
    </row>
    <row r="49" spans="18:18">
      <c r="R49" s="126"/>
    </row>
    <row r="51" spans="18:18">
      <c r="R51" s="2" t="s">
        <v>25</v>
      </c>
    </row>
  </sheetData>
  <mergeCells count="4">
    <mergeCell ref="A1:T1"/>
    <mergeCell ref="A2:T2"/>
    <mergeCell ref="A4:A5"/>
    <mergeCell ref="B4:T4"/>
  </mergeCells>
  <printOptions horizontalCentered="1"/>
  <pageMargins left="0.25" right="0.25" top="0.5" bottom="0.5" header="0" footer="0"/>
  <pageSetup scale="84" orientation="landscape" r:id="rId1"/>
  <headerFooter alignWithMargins="0">
    <oddFooter>&amp;L&amp;"Arial,Regular"Colorado Department of Higher Education
Final Student FTE Enrollment Report&amp;R&amp;"Arial,Regular"Updated February 2010 with FY09-10 Projections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49"/>
  <sheetViews>
    <sheetView zoomScaleNormal="100" zoomScaleSheetLayoutView="80" workbookViewId="0">
      <selection activeCell="O22" sqref="O22"/>
    </sheetView>
  </sheetViews>
  <sheetFormatPr defaultRowHeight="12"/>
  <cols>
    <col min="1" max="1" width="55" style="2" customWidth="1"/>
    <col min="2" max="3" width="12" style="2" hidden="1" customWidth="1"/>
    <col min="4" max="7" width="12.85546875" style="2" hidden="1" customWidth="1"/>
    <col min="8" max="8" width="12" style="2" hidden="1" customWidth="1"/>
    <col min="9" max="9" width="14" style="2" hidden="1" customWidth="1"/>
    <col min="10" max="11" width="12" style="2" bestFit="1" customWidth="1"/>
    <col min="12" max="13" width="13.28515625" style="4" bestFit="1" customWidth="1"/>
    <col min="14" max="18" width="9.7109375" style="2" bestFit="1" customWidth="1"/>
    <col min="19" max="19" width="9.140625" style="2" customWidth="1"/>
    <col min="20" max="16384" width="9.140625" style="2"/>
  </cols>
  <sheetData>
    <row r="1" spans="1:36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6" ht="18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36" ht="12.75" thickBot="1">
      <c r="H3" s="3"/>
      <c r="I3" s="3"/>
    </row>
    <row r="4" spans="1:36" s="14" customFormat="1" ht="18.75" thickBot="1">
      <c r="A4" s="7" t="s">
        <v>2</v>
      </c>
      <c r="B4" s="83" t="s">
        <v>90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51"/>
    </row>
    <row r="5" spans="1:36" s="24" customFormat="1" ht="12.75" thickBot="1">
      <c r="A5" s="15"/>
      <c r="B5" s="18" t="s">
        <v>69</v>
      </c>
      <c r="C5" s="18" t="s">
        <v>70</v>
      </c>
      <c r="D5" s="18" t="s">
        <v>71</v>
      </c>
      <c r="E5" s="19" t="s">
        <v>72</v>
      </c>
      <c r="F5" s="19" t="s">
        <v>73</v>
      </c>
      <c r="G5" s="19" t="s">
        <v>74</v>
      </c>
      <c r="H5" s="19" t="s">
        <v>75</v>
      </c>
      <c r="I5" s="19" t="s">
        <v>76</v>
      </c>
      <c r="J5" s="19" t="s">
        <v>77</v>
      </c>
      <c r="K5" s="19" t="s">
        <v>78</v>
      </c>
      <c r="L5" s="20" t="s">
        <v>79</v>
      </c>
      <c r="M5" s="20" t="s">
        <v>80</v>
      </c>
      <c r="N5" s="21" t="s">
        <v>81</v>
      </c>
      <c r="O5" s="21" t="s">
        <v>82</v>
      </c>
      <c r="P5" s="88" t="s">
        <v>83</v>
      </c>
      <c r="Q5" s="88" t="s">
        <v>84</v>
      </c>
      <c r="R5" s="88" t="s">
        <v>85</v>
      </c>
      <c r="S5" s="88" t="s">
        <v>86</v>
      </c>
    </row>
    <row r="6" spans="1:36" s="33" customFormat="1" ht="12.75" thickTop="1">
      <c r="A6" s="89" t="s">
        <v>23</v>
      </c>
      <c r="B6" s="90">
        <f>('Non-Resident FTE'!C6-'Non-Resident FTE'!B6)/'Non-Resident FTE'!B6</f>
        <v>3.0681542566092651E-2</v>
      </c>
      <c r="C6" s="90">
        <f>('Non-Resident FTE'!D6-'Non-Resident FTE'!C6)/'Non-Resident FTE'!C6</f>
        <v>-3.4592304977056121E-2</v>
      </c>
      <c r="D6" s="90">
        <f>('Non-Resident FTE'!E6-'Non-Resident FTE'!D6)/'Non-Resident FTE'!D6</f>
        <v>-4.5703839122486288E-2</v>
      </c>
      <c r="E6" s="90">
        <f>('Non-Resident FTE'!F6-'Non-Resident FTE'!E6)/'Non-Resident FTE'!E6</f>
        <v>2.528735632183908E-2</v>
      </c>
      <c r="F6" s="90">
        <f>('Non-Resident FTE'!G6-'Non-Resident FTE'!F6)/'Non-Resident FTE'!F6</f>
        <v>-1.4324862979571499E-2</v>
      </c>
      <c r="G6" s="90">
        <f>('Non-Resident FTE'!H6-'Non-Resident FTE'!G6)/'Non-Resident FTE'!G6</f>
        <v>3.462656388221913E-2</v>
      </c>
      <c r="H6" s="90">
        <f>('Non-Resident FTE'!I6-'Non-Resident FTE'!H6)/'Non-Resident FTE'!H6</f>
        <v>2.442897276169537E-2</v>
      </c>
      <c r="I6" s="90">
        <f>('Non-Resident FTE'!J6-'Non-Resident FTE'!I6)/'Non-Resident FTE'!I6</f>
        <v>1.2412066293072439E-2</v>
      </c>
      <c r="J6" s="90">
        <f>('Non-Resident FTE'!K6-'Non-Resident FTE'!J6)/'Non-Resident FTE'!J6</f>
        <v>5.1427965752376271E-2</v>
      </c>
      <c r="K6" s="90">
        <f>('Non-Resident FTE'!L6-'Non-Resident FTE'!K6)/'Non-Resident FTE'!K6</f>
        <v>5.1063086231963505E-2</v>
      </c>
      <c r="L6" s="90">
        <f>('Non-Resident FTE'!M6-'Non-Resident FTE'!L6)/'Non-Resident FTE'!L6</f>
        <v>3.8022477370237291E-2</v>
      </c>
      <c r="M6" s="90">
        <f>('Non-Resident FTE'!N6-'Non-Resident FTE'!M6)/'Non-Resident FTE'!M6</f>
        <v>1.6187137144587783E-2</v>
      </c>
      <c r="N6" s="91">
        <f>('Non-Resident FTE'!O6-'Non-Resident FTE'!N6)/'Non-Resident FTE'!N6</f>
        <v>-1.9234965831895472E-2</v>
      </c>
      <c r="O6" s="91">
        <f>('Non-Resident FTE'!P6-'Non-Resident FTE'!O6)/'Non-Resident FTE'!O6</f>
        <v>-4.5966461778397173E-2</v>
      </c>
      <c r="P6" s="92">
        <f>('Non-Resident FTE'!Q6-'Non-Resident FTE'!P6)/'Non-Resident FTE'!P6</f>
        <v>2.4283323435728713E-2</v>
      </c>
      <c r="Q6" s="92">
        <f>('Non-Resident FTE'!R6-'Non-Resident FTE'!Q6)/'Non-Resident FTE'!Q6</f>
        <v>5.0071681565187862E-2</v>
      </c>
      <c r="R6" s="92">
        <f>('Non-Resident FTE'!S6-'Non-Resident FTE'!R6)/'Non-Resident FTE'!R6</f>
        <v>0.10767562792378585</v>
      </c>
      <c r="S6" s="93">
        <f>('Non-Resident FTE'!T6-'Non-Resident FTE'!S6)/'Non-Resident FTE'!S6</f>
        <v>5.4243874250510346E-2</v>
      </c>
    </row>
    <row r="7" spans="1:36">
      <c r="A7" s="34" t="s">
        <v>24</v>
      </c>
      <c r="B7" s="94">
        <f>('Non-Resident FTE'!C7-'Non-Resident FTE'!B7)/'Non-Resident FTE'!B7</f>
        <v>2.3460808245185788E-2</v>
      </c>
      <c r="C7" s="95">
        <f>('Non-Resident FTE'!D7-'Non-Resident FTE'!C7)/'Non-Resident FTE'!C7</f>
        <v>-4.9291109049953624E-2</v>
      </c>
      <c r="D7" s="95">
        <f>('Non-Resident FTE'!E7-'Non-Resident FTE'!D7)/'Non-Resident FTE'!D7</f>
        <v>-5.4076655052264812E-2</v>
      </c>
      <c r="E7" s="95">
        <f>('Non-Resident FTE'!F7-'Non-Resident FTE'!E7)/'Non-Resident FTE'!E7</f>
        <v>1.5912774421688522E-2</v>
      </c>
      <c r="F7" s="95">
        <f>('Non-Resident FTE'!G7-'Non-Resident FTE'!F7)/'Non-Resident FTE'!F7</f>
        <v>-2.1174764321972444E-2</v>
      </c>
      <c r="G7" s="95">
        <f>('Non-Resident FTE'!H7-'Non-Resident FTE'!G7)/'Non-Resident FTE'!G7</f>
        <v>3.0819380648985036E-2</v>
      </c>
      <c r="H7" s="95">
        <f>('Non-Resident FTE'!I7-'Non-Resident FTE'!H7)/'Non-Resident FTE'!H7</f>
        <v>3.5360068995256573E-2</v>
      </c>
      <c r="I7" s="95">
        <f>('Non-Resident FTE'!J7-'Non-Resident FTE'!I7)/'Non-Resident FTE'!I7</f>
        <v>1.6659725114535611E-3</v>
      </c>
      <c r="J7" s="95">
        <f>('Non-Resident FTE'!K7-'Non-Resident FTE'!J7)/'Non-Resident FTE'!J7</f>
        <v>4.2467082467082418E-2</v>
      </c>
      <c r="K7" s="95">
        <f>('Non-Resident FTE'!L7-'Non-Resident FTE'!K7)/'Non-Resident FTE'!K7</f>
        <v>5.2197729146169644E-2</v>
      </c>
      <c r="L7" s="95">
        <f>('Non-Resident FTE'!M7-'Non-Resident FTE'!L7)/'Non-Resident FTE'!L7</f>
        <v>5.1339398534243019E-2</v>
      </c>
      <c r="M7" s="95">
        <f>('Non-Resident FTE'!N7-'Non-Resident FTE'!M7)/'Non-Resident FTE'!M7</f>
        <v>3.5419395935242813E-2</v>
      </c>
      <c r="N7" s="95">
        <f>('Non-Resident FTE'!O7-'Non-Resident FTE'!N7)/'Non-Resident FTE'!N7</f>
        <v>-2.5072547881601858E-2</v>
      </c>
      <c r="O7" s="95">
        <f>('Non-Resident FTE'!P7-'Non-Resident FTE'!O7)/'Non-Resident FTE'!O7</f>
        <v>-5.2506250744136208E-2</v>
      </c>
      <c r="P7" s="94">
        <f>('Non-Resident FTE'!Q7-'Non-Resident FTE'!P7)/'Non-Resident FTE'!P7</f>
        <v>2.4754963558683087E-2</v>
      </c>
      <c r="Q7" s="96">
        <f>('Non-Resident FTE'!R7-'Non-Resident FTE'!Q7)/'Non-Resident FTE'!Q7</f>
        <v>1.9865113427345187E-2</v>
      </c>
      <c r="R7" s="96">
        <f>('Non-Resident FTE'!S7-'Non-Resident FTE'!R7)/'Non-Resident FTE'!R7</f>
        <v>9.0657689070578334E-2</v>
      </c>
      <c r="S7" s="97">
        <f>('Non-Resident FTE'!T7-'Non-Resident FTE'!S7)/'Non-Resident FTE'!S7</f>
        <v>1.0153753605117012E-2</v>
      </c>
      <c r="T7" s="98"/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</row>
    <row r="8" spans="1:36">
      <c r="A8" s="34" t="s">
        <v>26</v>
      </c>
      <c r="B8" s="94">
        <f>('Non-Resident FTE'!C8-'Non-Resident FTE'!B8)/'Non-Resident FTE'!B8</f>
        <v>0.12682926829268293</v>
      </c>
      <c r="C8" s="95">
        <f>('Non-Resident FTE'!D8-'Non-Resident FTE'!C8)/'Non-Resident FTE'!C8</f>
        <v>6.9264069264069264E-2</v>
      </c>
      <c r="D8" s="95">
        <f>('Non-Resident FTE'!E8-'Non-Resident FTE'!D8)/'Non-Resident FTE'!D8</f>
        <v>-2.8340080971659919E-2</v>
      </c>
      <c r="E8" s="95">
        <f>('Non-Resident FTE'!F8-'Non-Resident FTE'!E8)/'Non-Resident FTE'!E8</f>
        <v>-3.3333333333333333E-2</v>
      </c>
      <c r="F8" s="95">
        <f>('Non-Resident FTE'!G8-'Non-Resident FTE'!F8)/'Non-Resident FTE'!F8</f>
        <v>5.1724137931034482E-2</v>
      </c>
      <c r="G8" s="95">
        <f>('Non-Resident FTE'!H8-'Non-Resident FTE'!G8)/'Non-Resident FTE'!G8</f>
        <v>0.29098360655737704</v>
      </c>
      <c r="H8" s="95">
        <f>('Non-Resident FTE'!I8-'Non-Resident FTE'!H8)/'Non-Resident FTE'!H8</f>
        <v>9.5238095238095233E-2</v>
      </c>
      <c r="I8" s="95">
        <f>('Non-Resident FTE'!J8-'Non-Resident FTE'!I8)/'Non-Resident FTE'!I8</f>
        <v>6.2028985507246309E-2</v>
      </c>
      <c r="J8" s="95">
        <f>('Non-Resident FTE'!K8-'Non-Resident FTE'!J8)/'Non-Resident FTE'!J8</f>
        <v>4.9399563318777359E-2</v>
      </c>
      <c r="K8" s="95">
        <f>('Non-Resident FTE'!L8-'Non-Resident FTE'!K8)/'Non-Resident FTE'!K8</f>
        <v>2.366710013003907E-2</v>
      </c>
      <c r="L8" s="95">
        <f>('Non-Resident FTE'!M8-'Non-Resident FTE'!L8)/'Non-Resident FTE'!L8</f>
        <v>-3.6585365853658625E-2</v>
      </c>
      <c r="M8" s="95">
        <f>('Non-Resident FTE'!N8-'Non-Resident FTE'!M8)/'Non-Resident FTE'!M8</f>
        <v>-5.6698312236286921E-2</v>
      </c>
      <c r="N8" s="95">
        <f>('Non-Resident FTE'!O8-'Non-Resident FTE'!N8)/'Non-Resident FTE'!N8</f>
        <v>2.4322057590159322E-2</v>
      </c>
      <c r="O8" s="95">
        <f>('Non-Resident FTE'!P8-'Non-Resident FTE'!O8)/'Non-Resident FTE'!O8</f>
        <v>3.711790393013107E-2</v>
      </c>
      <c r="P8" s="94">
        <f>('Non-Resident FTE'!Q8-'Non-Resident FTE'!P8)/'Non-Resident FTE'!P8</f>
        <v>-0.14473684210526316</v>
      </c>
      <c r="Q8" s="96">
        <f>('Non-Resident FTE'!R8-'Non-Resident FTE'!Q8)/'Non-Resident FTE'!Q8</f>
        <v>0.36615384615384616</v>
      </c>
      <c r="R8" s="96">
        <f>('Non-Resident FTE'!S8-'Non-Resident FTE'!R8)/'Non-Resident FTE'!R8</f>
        <v>9.90990990990991E-2</v>
      </c>
      <c r="S8" s="97">
        <f>('Non-Resident FTE'!T8-'Non-Resident FTE'!S8)/'Non-Resident FTE'!S8</f>
        <v>4.6802181803677574E-2</v>
      </c>
      <c r="T8" s="98"/>
    </row>
    <row r="9" spans="1:36">
      <c r="A9" s="34" t="s">
        <v>87</v>
      </c>
      <c r="B9" s="94">
        <f>('Non-Resident FTE'!C9-'Non-Resident FTE'!B9)/'Non-Resident FTE'!B9</f>
        <v>8.7470449172576833E-2</v>
      </c>
      <c r="C9" s="95">
        <f>('Non-Resident FTE'!D9-'Non-Resident FTE'!C9)/'Non-Resident FTE'!C9</f>
        <v>0.12173913043478261</v>
      </c>
      <c r="D9" s="95">
        <f>('Non-Resident FTE'!E9-'Non-Resident FTE'!D9)/'Non-Resident FTE'!D9</f>
        <v>5.8139534883720929E-2</v>
      </c>
      <c r="E9" s="95">
        <f>('Non-Resident FTE'!F9-'Non-Resident FTE'!E9)/'Non-Resident FTE'!E9</f>
        <v>0.11904761904761904</v>
      </c>
      <c r="F9" s="95">
        <f>('Non-Resident FTE'!G9-'Non-Resident FTE'!F9)/'Non-Resident FTE'!F9</f>
        <v>7.3649754500818329E-2</v>
      </c>
      <c r="G9" s="95">
        <f>('Non-Resident FTE'!H9-'Non-Resident FTE'!G9)/'Non-Resident FTE'!G9</f>
        <v>3.201219512195122E-2</v>
      </c>
      <c r="H9" s="95">
        <f>('Non-Resident FTE'!I9-'Non-Resident FTE'!H9)/'Non-Resident FTE'!H9</f>
        <v>-0.11078286558345643</v>
      </c>
      <c r="I9" s="95">
        <f>('Non-Resident FTE'!J9-'Non-Resident FTE'!I9)/'Non-Resident FTE'!I9</f>
        <v>8.2890365448504949E-2</v>
      </c>
      <c r="J9" s="95">
        <f>('Non-Resident FTE'!K9-'Non-Resident FTE'!J9)/'Non-Resident FTE'!J9</f>
        <v>0.20908114741524786</v>
      </c>
      <c r="K9" s="95">
        <f>('Non-Resident FTE'!L9-'Non-Resident FTE'!K9)/'Non-Resident FTE'!K9</f>
        <v>4.9733570159857812E-2</v>
      </c>
      <c r="L9" s="95">
        <f>('Non-Resident FTE'!M9-'Non-Resident FTE'!L9)/'Non-Resident FTE'!L9</f>
        <v>-6.9132221416485298E-2</v>
      </c>
      <c r="M9" s="95">
        <f>('Non-Resident FTE'!N9-'Non-Resident FTE'!M9)/'Non-Resident FTE'!M9</f>
        <v>-0.12866787847312389</v>
      </c>
      <c r="N9" s="95">
        <f>('Non-Resident FTE'!O9-'Non-Resident FTE'!N9)/'Non-Resident FTE'!N9</f>
        <v>7.450454477723141E-3</v>
      </c>
      <c r="O9" s="95">
        <f>('Non-Resident FTE'!P9-'Non-Resident FTE'!O9)/'Non-Resident FTE'!O9</f>
        <v>-0.10368288714687179</v>
      </c>
      <c r="P9" s="94">
        <f>('Non-Resident FTE'!Q9-'Non-Resident FTE'!P9)/'Non-Resident FTE'!P9</f>
        <v>5.3135313531353208E-2</v>
      </c>
      <c r="Q9" s="96">
        <f>('Non-Resident FTE'!R9-'Non-Resident FTE'!Q9)/'Non-Resident FTE'!Q9</f>
        <v>0.23534942024443736</v>
      </c>
      <c r="R9" s="96">
        <f>('Non-Resident FTE'!S9-'Non-Resident FTE'!R9)/'Non-Resident FTE'!R9</f>
        <v>0.21131405377980725</v>
      </c>
      <c r="S9" s="97">
        <f>('Non-Resident FTE'!T9-'Non-Resident FTE'!S9)/'Non-Resident FTE'!S9</f>
        <v>0.22854127794444828</v>
      </c>
      <c r="T9" s="98"/>
    </row>
    <row r="10" spans="1:36" ht="12.75" thickBot="1">
      <c r="A10" s="45" t="s">
        <v>88</v>
      </c>
      <c r="B10" s="99">
        <f>('Non-Resident FTE'!C10-'Non-Resident FTE'!B10)/'Non-Resident FTE'!B10</f>
        <v>6.9672131147540978E-2</v>
      </c>
      <c r="C10" s="100">
        <f>('Non-Resident FTE'!D10-'Non-Resident FTE'!C10)/'Non-Resident FTE'!C10</f>
        <v>2.2988505747126436E-2</v>
      </c>
      <c r="D10" s="100">
        <f>('Non-Resident FTE'!E10-'Non-Resident FTE'!D10)/'Non-Resident FTE'!D10</f>
        <v>-3.7453183520599252E-2</v>
      </c>
      <c r="E10" s="100">
        <f>('Non-Resident FTE'!F10-'Non-Resident FTE'!E10)/'Non-Resident FTE'!E10</f>
        <v>0.12840466926070038</v>
      </c>
      <c r="F10" s="100">
        <f>('Non-Resident FTE'!G10-'Non-Resident FTE'!F10)/'Non-Resident FTE'!F10</f>
        <v>-8.9655172413793102E-2</v>
      </c>
      <c r="G10" s="100">
        <f>('Non-Resident FTE'!H10-'Non-Resident FTE'!G10)/'Non-Resident FTE'!G10</f>
        <v>-9.8484848484848481E-2</v>
      </c>
      <c r="H10" s="100">
        <f>('Non-Resident FTE'!I10-'Non-Resident FTE'!H10)/'Non-Resident FTE'!H10</f>
        <v>-4.2016806722689074E-3</v>
      </c>
      <c r="I10" s="100">
        <f>('Non-Resident FTE'!J10-'Non-Resident FTE'!I10)/'Non-Resident FTE'!I10</f>
        <v>8.7763713080168823E-2</v>
      </c>
      <c r="J10" s="100">
        <f>('Non-Resident FTE'!K10-'Non-Resident FTE'!J10)/'Non-Resident FTE'!J10</f>
        <v>-9.356089992242049E-2</v>
      </c>
      <c r="K10" s="100">
        <f>('Non-Resident FTE'!L10-'Non-Resident FTE'!K10)/'Non-Resident FTE'!K10</f>
        <v>6.4104758644299847E-2</v>
      </c>
      <c r="L10" s="100">
        <f>('Non-Resident FTE'!M10-'Non-Resident FTE'!L10)/'Non-Resident FTE'!L10</f>
        <v>8.8836161827394858E-2</v>
      </c>
      <c r="M10" s="100">
        <f>('Non-Resident FTE'!N10-'Non-Resident FTE'!M10)/'Non-Resident FTE'!M10</f>
        <v>-6.0683287165281652E-2</v>
      </c>
      <c r="N10" s="100">
        <f>('Non-Resident FTE'!O10-'Non-Resident FTE'!N10)/'Non-Resident FTE'!N10</f>
        <v>4.6830764391318121E-2</v>
      </c>
      <c r="O10" s="100">
        <f>('Non-Resident FTE'!P10-'Non-Resident FTE'!O10)/'Non-Resident FTE'!O10</f>
        <v>0.19257784622319038</v>
      </c>
      <c r="P10" s="152">
        <f>('Non-Resident FTE'!Q10-'Non-Resident FTE'!P10)/'Non-Resident FTE'!P10</f>
        <v>0.15968503937007869</v>
      </c>
      <c r="Q10" s="96">
        <f>('Non-Resident FTE'!R10-'Non-Resident FTE'!Q10)/'Non-Resident FTE'!Q10</f>
        <v>0.11895708853883762</v>
      </c>
      <c r="R10" s="96">
        <f>('Non-Resident FTE'!S10-'Non-Resident FTE'!R10)/'Non-Resident FTE'!R10</f>
        <v>0.26213592233009708</v>
      </c>
      <c r="S10" s="97">
        <f>('Non-Resident FTE'!T10-'Non-Resident FTE'!S10)/'Non-Resident FTE'!S10</f>
        <v>0.51024196994417603</v>
      </c>
      <c r="T10" s="98"/>
    </row>
    <row r="11" spans="1:36" s="24" customFormat="1" ht="12.75" thickTop="1">
      <c r="A11" s="50" t="s">
        <v>29</v>
      </c>
      <c r="B11" s="101">
        <f>('Non-Resident FTE'!C11-'Non-Resident FTE'!B11)/'Non-Resident FTE'!B11</f>
        <v>3.0061892130857647E-2</v>
      </c>
      <c r="C11" s="90">
        <f>('Non-Resident FTE'!D11-'Non-Resident FTE'!C11)/'Non-Resident FTE'!C11</f>
        <v>3.9065331425846485E-2</v>
      </c>
      <c r="D11" s="90">
        <f>('Non-Resident FTE'!E11-'Non-Resident FTE'!D11)/'Non-Resident FTE'!D11</f>
        <v>4.0386980706037853E-3</v>
      </c>
      <c r="E11" s="90">
        <f>('Non-Resident FTE'!F11-'Non-Resident FTE'!E11)/'Non-Resident FTE'!E11</f>
        <v>1.9892856489861624E-2</v>
      </c>
      <c r="F11" s="90">
        <f>('Non-Resident FTE'!G11-'Non-Resident FTE'!F11)/'Non-Resident FTE'!F11</f>
        <v>-3.3111632993313267E-2</v>
      </c>
      <c r="G11" s="90">
        <f>('Non-Resident FTE'!H11-'Non-Resident FTE'!G11)/'Non-Resident FTE'!G11</f>
        <v>-6.1556717469499426E-3</v>
      </c>
      <c r="H11" s="90">
        <f>('Non-Resident FTE'!I11-'Non-Resident FTE'!H11)/'Non-Resident FTE'!H11</f>
        <v>-1.2518189619790204E-2</v>
      </c>
      <c r="I11" s="90">
        <f>('Non-Resident FTE'!J11-'Non-Resident FTE'!I11)/'Non-Resident FTE'!I11</f>
        <v>-1.5170693922277408E-3</v>
      </c>
      <c r="J11" s="90">
        <f>('Non-Resident FTE'!K11-'Non-Resident FTE'!J11)/'Non-Resident FTE'!J11</f>
        <v>-1.4185242579568359E-2</v>
      </c>
      <c r="K11" s="90">
        <f>('Non-Resident FTE'!L11-'Non-Resident FTE'!K11)/'Non-Resident FTE'!K11</f>
        <v>2.5872823938120224E-2</v>
      </c>
      <c r="L11" s="90">
        <f>('Non-Resident FTE'!M11-'Non-Resident FTE'!L11)/'Non-Resident FTE'!L11</f>
        <v>-7.1095810960000955E-4</v>
      </c>
      <c r="M11" s="90">
        <f>('Non-Resident FTE'!N11-'Non-Resident FTE'!M11)/'Non-Resident FTE'!M11</f>
        <v>-3.184737226414025E-2</v>
      </c>
      <c r="N11" s="90">
        <f>('Non-Resident FTE'!O11-'Non-Resident FTE'!N11)/'Non-Resident FTE'!N11</f>
        <v>-2.7596209630632338E-2</v>
      </c>
      <c r="O11" s="90">
        <f>('Non-Resident FTE'!P11-'Non-Resident FTE'!O11)/'Non-Resident FTE'!O11</f>
        <v>-4.1113961577471353E-2</v>
      </c>
      <c r="P11" s="101">
        <f>('Non-Resident FTE'!Q11-'Non-Resident FTE'!P11)/'Non-Resident FTE'!P11</f>
        <v>-1.297642474348081E-2</v>
      </c>
      <c r="Q11" s="92">
        <f>('Non-Resident FTE'!R11-'Non-Resident FTE'!Q11)/'Non-Resident FTE'!Q11</f>
        <v>1.208237662586078E-2</v>
      </c>
      <c r="R11" s="92">
        <f>('Non-Resident FTE'!S11-'Non-Resident FTE'!R11)/'Non-Resident FTE'!R11</f>
        <v>-3.114294612270321E-4</v>
      </c>
      <c r="S11" s="93">
        <f>('Non-Resident FTE'!T11-'Non-Resident FTE'!S11)/'Non-Resident FTE'!S11</f>
        <v>2.0877550095707308E-2</v>
      </c>
      <c r="T11" s="102"/>
    </row>
    <row r="12" spans="1:36">
      <c r="A12" s="34" t="s">
        <v>30</v>
      </c>
      <c r="B12" s="94">
        <f>('Non-Resident FTE'!C12-'Non-Resident FTE'!B12)/'Non-Resident FTE'!B12</f>
        <v>2.7215474583895637E-2</v>
      </c>
      <c r="C12" s="95">
        <f>('Non-Resident FTE'!D12-'Non-Resident FTE'!C12)/'Non-Resident FTE'!C12</f>
        <v>1.6422158966498797E-2</v>
      </c>
      <c r="D12" s="95">
        <f>('Non-Resident FTE'!E12-'Non-Resident FTE'!D12)/'Non-Resident FTE'!D12</f>
        <v>-5.6010340370529947E-3</v>
      </c>
      <c r="E12" s="95">
        <f>('Non-Resident FTE'!F12-'Non-Resident FTE'!E12)/'Non-Resident FTE'!E12</f>
        <v>1.5814558058925475E-2</v>
      </c>
      <c r="F12" s="95">
        <f>('Non-Resident FTE'!G12-'Non-Resident FTE'!F12)/'Non-Resident FTE'!F12</f>
        <v>-3.8174450842397102E-2</v>
      </c>
      <c r="G12" s="95">
        <f>('Non-Resident FTE'!H12-'Non-Resident FTE'!G12)/'Non-Resident FTE'!G12</f>
        <v>-9.5343680709534372E-3</v>
      </c>
      <c r="H12" s="95">
        <f>('Non-Resident FTE'!I12-'Non-Resident FTE'!H12)/'Non-Resident FTE'!H12</f>
        <v>-6.044325050369375E-3</v>
      </c>
      <c r="I12" s="95">
        <f>('Non-Resident FTE'!J12-'Non-Resident FTE'!I12)/'Non-Resident FTE'!I12</f>
        <v>-2.0045045045044224E-3</v>
      </c>
      <c r="J12" s="95">
        <f>('Non-Resident FTE'!K12-'Non-Resident FTE'!J12)/'Non-Resident FTE'!J12</f>
        <v>-1.4578772765227677E-2</v>
      </c>
      <c r="K12" s="95">
        <f>('Non-Resident FTE'!L12-'Non-Resident FTE'!K12)/'Non-Resident FTE'!K12</f>
        <v>4.1978701477155655E-2</v>
      </c>
      <c r="L12" s="95">
        <f>('Non-Resident FTE'!M12-'Non-Resident FTE'!L12)/'Non-Resident FTE'!L12</f>
        <v>9.5828388061012463E-3</v>
      </c>
      <c r="M12" s="95">
        <f>('Non-Resident FTE'!N12-'Non-Resident FTE'!M12)/'Non-Resident FTE'!M12</f>
        <v>-2.7822527974920384E-2</v>
      </c>
      <c r="N12" s="95">
        <f>('Non-Resident FTE'!O12-'Non-Resident FTE'!N12)/'Non-Resident FTE'!N12</f>
        <v>-2.5976352561805801E-2</v>
      </c>
      <c r="O12" s="95">
        <f>('Non-Resident FTE'!P12-'Non-Resident FTE'!O12)/'Non-Resident FTE'!O12</f>
        <v>-5.1713567454478554E-2</v>
      </c>
      <c r="P12" s="94">
        <f>('Non-Resident FTE'!Q12-'Non-Resident FTE'!P12)/'Non-Resident FTE'!P12</f>
        <v>-2.270083246947634E-2</v>
      </c>
      <c r="Q12" s="96">
        <f>('Non-Resident FTE'!R12-'Non-Resident FTE'!Q12)/'Non-Resident FTE'!Q12</f>
        <v>2.7701755775622037E-2</v>
      </c>
      <c r="R12" s="96">
        <f>('Non-Resident FTE'!S12-'Non-Resident FTE'!R12)/'Non-Resident FTE'!R12</f>
        <v>-1.1272841383638646E-2</v>
      </c>
      <c r="S12" s="97">
        <f>('Non-Resident FTE'!T12-'Non-Resident FTE'!S12)/'Non-Resident FTE'!S12</f>
        <v>4.2464122529353165E-3</v>
      </c>
      <c r="T12" s="98"/>
    </row>
    <row r="13" spans="1:36">
      <c r="A13" s="34" t="s">
        <v>31</v>
      </c>
      <c r="B13" s="94">
        <f>('Non-Resident FTE'!C13-'Non-Resident FTE'!B13)/'Non-Resident FTE'!B13</f>
        <v>-1.3495276653171391E-2</v>
      </c>
      <c r="C13" s="95">
        <f>('Non-Resident FTE'!D13-'Non-Resident FTE'!C13)/'Non-Resident FTE'!C13</f>
        <v>8.7004103967168289E-2</v>
      </c>
      <c r="D13" s="95">
        <f>('Non-Resident FTE'!E13-'Non-Resident FTE'!D13)/'Non-Resident FTE'!D13</f>
        <v>-1.5101938082053862E-2</v>
      </c>
      <c r="E13" s="95">
        <f>('Non-Resident FTE'!F13-'Non-Resident FTE'!E13)/'Non-Resident FTE'!E13</f>
        <v>4.6000511116790479E-3</v>
      </c>
      <c r="F13" s="95">
        <f>('Non-Resident FTE'!G13-'Non-Resident FTE'!F13)/'Non-Resident FTE'!F13</f>
        <v>1.6026456372424204E-2</v>
      </c>
      <c r="G13" s="95">
        <f>('Non-Resident FTE'!H13-'Non-Resident FTE'!G13)/'Non-Resident FTE'!G13</f>
        <v>-5.8087130696044043E-2</v>
      </c>
      <c r="H13" s="95">
        <f>('Non-Resident FTE'!I13-'Non-Resident FTE'!H13)/'Non-Resident FTE'!H13</f>
        <v>-5.0770866560340154E-2</v>
      </c>
      <c r="I13" s="95">
        <f>('Non-Resident FTE'!J13-'Non-Resident FTE'!I13)/'Non-Resident FTE'!I13</f>
        <v>-6.8328199383926161E-2</v>
      </c>
      <c r="J13" s="95">
        <f>('Non-Resident FTE'!K13-'Non-Resident FTE'!J13)/'Non-Resident FTE'!J13</f>
        <v>-3.0357679591223222E-2</v>
      </c>
      <c r="K13" s="95">
        <f>('Non-Resident FTE'!L13-'Non-Resident FTE'!K13)/'Non-Resident FTE'!K13</f>
        <v>8.3694978301301556E-3</v>
      </c>
      <c r="L13" s="95">
        <f>('Non-Resident FTE'!M13-'Non-Resident FTE'!L13)/'Non-Resident FTE'!L13</f>
        <v>1.3833384568090993E-2</v>
      </c>
      <c r="M13" s="95">
        <f>('Non-Resident FTE'!N13-'Non-Resident FTE'!M13)/'Non-Resident FTE'!M13</f>
        <v>-3.0321406913287667E-4</v>
      </c>
      <c r="N13" s="95">
        <f>('Non-Resident FTE'!O13-'Non-Resident FTE'!N13)/'Non-Resident FTE'!N13</f>
        <v>3.3363663936913034E-3</v>
      </c>
      <c r="O13" s="95">
        <f>('Non-Resident FTE'!P13-'Non-Resident FTE'!O13)/'Non-Resident FTE'!O13</f>
        <v>3.0229746070133009E-2</v>
      </c>
      <c r="P13" s="94">
        <f>('Non-Resident FTE'!Q13-'Non-Resident FTE'!P13)/'Non-Resident FTE'!P13</f>
        <v>9.2918720657277302E-3</v>
      </c>
      <c r="Q13" s="96">
        <f>('Non-Resident FTE'!R13-'Non-Resident FTE'!Q13)/'Non-Resident FTE'!Q13</f>
        <v>5.9114157775809438E-3</v>
      </c>
      <c r="R13" s="96">
        <f>('Non-Resident FTE'!S13-'Non-Resident FTE'!R13)/'Non-Resident FTE'!R13</f>
        <v>-4.046242774566474E-2</v>
      </c>
      <c r="S13" s="97">
        <f>('Non-Resident FTE'!T13-'Non-Resident FTE'!S13)/'Non-Resident FTE'!S13</f>
        <v>8.3825301204819236E-2</v>
      </c>
      <c r="T13" s="98"/>
    </row>
    <row r="14" spans="1:36" ht="12.75" thickBot="1">
      <c r="A14" s="45" t="s">
        <v>32</v>
      </c>
      <c r="B14" s="99">
        <f>('Non-Resident FTE'!C14-'Non-Resident FTE'!B14)/'Non-Resident FTE'!B14</f>
        <v>0.13553113553113552</v>
      </c>
      <c r="C14" s="100">
        <f>('Non-Resident FTE'!D14-'Non-Resident FTE'!C14)/'Non-Resident FTE'!C14</f>
        <v>0.31612903225806449</v>
      </c>
      <c r="D14" s="100">
        <f>('Non-Resident FTE'!E14-'Non-Resident FTE'!D14)/'Non-Resident FTE'!D14</f>
        <v>0.13235294117647059</v>
      </c>
      <c r="E14" s="100">
        <f>('Non-Resident FTE'!F14-'Non-Resident FTE'!E14)/'Non-Resident FTE'!E14</f>
        <v>7.3593073593073599E-2</v>
      </c>
      <c r="F14" s="100">
        <f>('Non-Resident FTE'!G14-'Non-Resident FTE'!F14)/'Non-Resident FTE'!F14</f>
        <v>-2.4193548387096774E-2</v>
      </c>
      <c r="G14" s="100">
        <f>('Non-Resident FTE'!H14-'Non-Resident FTE'!G14)/'Non-Resident FTE'!G14</f>
        <v>6.8181818181818177E-2</v>
      </c>
      <c r="H14" s="100">
        <f>('Non-Resident FTE'!I14-'Non-Resident FTE'!H14)/'Non-Resident FTE'!H14</f>
        <v>-4.0618955512572531E-2</v>
      </c>
      <c r="I14" s="100">
        <f>('Non-Resident FTE'!J14-'Non-Resident FTE'!I14)/'Non-Resident FTE'!I14</f>
        <v>5.0947580645161257E-2</v>
      </c>
      <c r="J14" s="100">
        <f>('Non-Resident FTE'!K14-'Non-Resident FTE'!J14)/'Non-Resident FTE'!J14</f>
        <v>-5.1796573752562359E-4</v>
      </c>
      <c r="K14" s="100">
        <f>('Non-Resident FTE'!L14-'Non-Resident FTE'!K14)/'Non-Resident FTE'!K14</f>
        <v>-9.8272552783109382E-2</v>
      </c>
      <c r="L14" s="100">
        <f>('Non-Resident FTE'!M14-'Non-Resident FTE'!L14)/'Non-Resident FTE'!L14</f>
        <v>-0.11047254150702433</v>
      </c>
      <c r="M14" s="100">
        <f>('Non-Resident FTE'!N14-'Non-Resident FTE'!M14)/'Non-Resident FTE'!M14</f>
        <v>-0.10098109595597031</v>
      </c>
      <c r="N14" s="100">
        <f>('Non-Resident FTE'!O14-'Non-Resident FTE'!N14)/'Non-Resident FTE'!N14</f>
        <v>-7.3995208943305857E-2</v>
      </c>
      <c r="O14" s="100">
        <f>('Non-Resident FTE'!P14-'Non-Resident FTE'!O14)/'Non-Resident FTE'!O14</f>
        <v>2.3569991376832557E-2</v>
      </c>
      <c r="P14" s="99">
        <f>('Non-Resident FTE'!Q14-'Non-Resident FTE'!P14)/'Non-Resident FTE'!P14</f>
        <v>7.834877843302436E-2</v>
      </c>
      <c r="Q14" s="96">
        <f>('Non-Resident FTE'!R14-'Non-Resident FTE'!Q14)/'Non-Resident FTE'!Q14</f>
        <v>-0.14635416666666665</v>
      </c>
      <c r="R14" s="96">
        <f>('Non-Resident FTE'!S14-'Non-Resident FTE'!R14)/'Non-Resident FTE'!R14</f>
        <v>0.18059792556436849</v>
      </c>
      <c r="S14" s="97">
        <f>('Non-Resident FTE'!T14-'Non-Resident FTE'!S14)/'Non-Resident FTE'!S14</f>
        <v>0.14289948093748686</v>
      </c>
      <c r="T14" s="98"/>
    </row>
    <row r="15" spans="1:36" ht="12.75" thickTop="1">
      <c r="A15" s="50" t="s">
        <v>33</v>
      </c>
      <c r="B15" s="94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4"/>
      <c r="O15" s="94"/>
      <c r="P15" s="94"/>
      <c r="Q15" s="92"/>
      <c r="R15" s="92"/>
      <c r="S15" s="93"/>
      <c r="T15" s="98"/>
    </row>
    <row r="16" spans="1:36" ht="12.75" thickBot="1">
      <c r="A16" s="45" t="s">
        <v>34</v>
      </c>
      <c r="B16" s="105">
        <f>('Non-Resident FTE'!C16-'Non-Resident FTE'!B16)/'Non-Resident FTE'!B16</f>
        <v>0.15441959531416399</v>
      </c>
      <c r="C16" s="106">
        <f>('Non-Resident FTE'!D16-'Non-Resident FTE'!C16)/'Non-Resident FTE'!C16</f>
        <v>0.10055350553505535</v>
      </c>
      <c r="D16" s="106">
        <f>('Non-Resident FTE'!E16-'Non-Resident FTE'!D16)/'Non-Resident FTE'!D16</f>
        <v>-9.2204526404023462E-3</v>
      </c>
      <c r="E16" s="106">
        <f>('Non-Resident FTE'!F16-'Non-Resident FTE'!E16)/'Non-Resident FTE'!E16</f>
        <v>2.7918781725888325E-2</v>
      </c>
      <c r="F16" s="106">
        <f>('Non-Resident FTE'!G16-'Non-Resident FTE'!F16)/'Non-Resident FTE'!F16</f>
        <v>3.292181069958848E-2</v>
      </c>
      <c r="G16" s="106">
        <f>('Non-Resident FTE'!H16-'Non-Resident FTE'!G16)/'Non-Resident FTE'!G16</f>
        <v>3.6653386454183264E-2</v>
      </c>
      <c r="H16" s="106">
        <f>('Non-Resident FTE'!I16-'Non-Resident FTE'!H16)/'Non-Resident FTE'!H16</f>
        <v>-4.6118370484242886E-3</v>
      </c>
      <c r="I16" s="106">
        <f>('Non-Resident FTE'!J16-'Non-Resident FTE'!I16)/'Non-Resident FTE'!I16</f>
        <v>6.7181467181467183E-2</v>
      </c>
      <c r="J16" s="106">
        <f>('Non-Resident FTE'!K16-'Non-Resident FTE'!J16)/'Non-Resident FTE'!J16</f>
        <v>-2.5325615050651229E-2</v>
      </c>
      <c r="K16" s="106">
        <f>('Non-Resident FTE'!L16-'Non-Resident FTE'!K16)/'Non-Resident FTE'!K16</f>
        <v>1.6332590942835932E-2</v>
      </c>
      <c r="L16" s="106">
        <f>('Non-Resident FTE'!M16-'Non-Resident FTE'!L16)/'Non-Resident FTE'!L16</f>
        <v>-5.3323593864134405E-2</v>
      </c>
      <c r="M16" s="106">
        <f>('Non-Resident FTE'!N16-'Non-Resident FTE'!M16)/'Non-Resident FTE'!M16</f>
        <v>-6.3271604938271608E-2</v>
      </c>
      <c r="N16" s="106">
        <f>('Non-Resident FTE'!O16-'Non-Resident FTE'!N16)/'Non-Resident FTE'!N16</f>
        <v>-7.1663920922570012E-2</v>
      </c>
      <c r="O16" s="106">
        <f>('Non-Resident FTE'!P16-'Non-Resident FTE'!O16)/'Non-Resident FTE'!O16</f>
        <v>-6.2999112688553682E-2</v>
      </c>
      <c r="P16" s="105">
        <f>('Non-Resident FTE'!Q16-'Non-Resident FTE'!P16)/'Non-Resident FTE'!P16</f>
        <v>1.7992424242424244E-2</v>
      </c>
      <c r="Q16" s="109">
        <f>('Non-Resident FTE'!R16-'Non-Resident FTE'!Q16)/'Non-Resident FTE'!Q16</f>
        <v>5.5813953488372094E-3</v>
      </c>
      <c r="R16" s="109">
        <f>('Non-Resident FTE'!S16-'Non-Resident FTE'!R16)/'Non-Resident FTE'!R16</f>
        <v>2.1276595744680851E-2</v>
      </c>
      <c r="S16" s="110">
        <f>('Non-Resident FTE'!T16-'Non-Resident FTE'!S16)/'Non-Resident FTE'!S16</f>
        <v>-1.1526450138026978E-2</v>
      </c>
      <c r="T16" s="98"/>
    </row>
    <row r="17" spans="1:20" ht="12.75" thickTop="1">
      <c r="A17" s="50" t="s">
        <v>35</v>
      </c>
      <c r="B17" s="94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4"/>
      <c r="O17" s="94"/>
      <c r="P17" s="94"/>
      <c r="Q17" s="92"/>
      <c r="R17" s="92"/>
      <c r="S17" s="93"/>
      <c r="T17" s="98"/>
    </row>
    <row r="18" spans="1:20" ht="12.75" thickBot="1">
      <c r="A18" s="45" t="s">
        <v>36</v>
      </c>
      <c r="B18" s="105">
        <f>('Non-Resident FTE'!C18-'Non-Resident FTE'!B18)/'Non-Resident FTE'!B18</f>
        <v>0.14216867469879518</v>
      </c>
      <c r="C18" s="106">
        <f>('Non-Resident FTE'!D18-'Non-Resident FTE'!C18)/'Non-Resident FTE'!C18</f>
        <v>7.9113924050632917E-2</v>
      </c>
      <c r="D18" s="106">
        <f>('Non-Resident FTE'!E18-'Non-Resident FTE'!D18)/'Non-Resident FTE'!D18</f>
        <v>2.7370478983382209E-2</v>
      </c>
      <c r="E18" s="106">
        <f>('Non-Resident FTE'!F18-'Non-Resident FTE'!E18)/'Non-Resident FTE'!E18</f>
        <v>1.5223596574690771E-2</v>
      </c>
      <c r="F18" s="106">
        <f>('Non-Resident FTE'!G18-'Non-Resident FTE'!F18)/'Non-Resident FTE'!F18</f>
        <v>1.4058106841611996E-2</v>
      </c>
      <c r="G18" s="106">
        <f>('Non-Resident FTE'!H18-'Non-Resident FTE'!G18)/'Non-Resident FTE'!G18</f>
        <v>-3.6044362292051754E-2</v>
      </c>
      <c r="H18" s="106">
        <f>('Non-Resident FTE'!I18-'Non-Resident FTE'!H18)/'Non-Resident FTE'!H18</f>
        <v>-7.0949185043144777E-2</v>
      </c>
      <c r="I18" s="106">
        <f>('Non-Resident FTE'!J18-'Non-Resident FTE'!I18)/'Non-Resident FTE'!I18</f>
        <v>-3.7358101135190967E-2</v>
      </c>
      <c r="J18" s="106">
        <f>('Non-Resident FTE'!K18-'Non-Resident FTE'!J18)/'Non-Resident FTE'!J18</f>
        <v>-7.4185248713550533E-2</v>
      </c>
      <c r="K18" s="106">
        <f>('Non-Resident FTE'!L18-'Non-Resident FTE'!K18)/'Non-Resident FTE'!K18</f>
        <v>-6.6002779064382186E-3</v>
      </c>
      <c r="L18" s="106">
        <f>('Non-Resident FTE'!M18-'Non-Resident FTE'!L18)/'Non-Resident FTE'!L18</f>
        <v>-3.9398531297354086E-2</v>
      </c>
      <c r="M18" s="106">
        <f>('Non-Resident FTE'!N18-'Non-Resident FTE'!M18)/'Non-Resident FTE'!M18</f>
        <v>-1.698822958378824E-2</v>
      </c>
      <c r="N18" s="106">
        <f>('Non-Resident FTE'!O18-'Non-Resident FTE'!N18)/'Non-Resident FTE'!N18</f>
        <v>1.2220713492161433E-2</v>
      </c>
      <c r="O18" s="106">
        <f>('Non-Resident FTE'!P18-'Non-Resident FTE'!O18)/'Non-Resident FTE'!O18</f>
        <v>1.4146341463414662E-2</v>
      </c>
      <c r="P18" s="105">
        <f>('Non-Resident FTE'!Q18-'Non-Resident FTE'!P18)/'Non-Resident FTE'!P18</f>
        <v>8.2611832611832525E-2</v>
      </c>
      <c r="Q18" s="109">
        <f>('Non-Resident FTE'!R18-'Non-Resident FTE'!Q18)/'Non-Resident FTE'!Q18</f>
        <v>0.14428523825391548</v>
      </c>
      <c r="R18" s="109">
        <f>('Non-Resident FTE'!S18-'Non-Resident FTE'!R18)/'Non-Resident FTE'!R18</f>
        <v>0.14637934381673456</v>
      </c>
      <c r="S18" s="110">
        <f>('Non-Resident FTE'!T18-'Non-Resident FTE'!S18)/'Non-Resident FTE'!S18</f>
        <v>0.10579446661515667</v>
      </c>
      <c r="T18" s="98"/>
    </row>
    <row r="19" spans="1:20" ht="12.75" thickTop="1">
      <c r="A19" s="50" t="s">
        <v>37</v>
      </c>
      <c r="B19" s="94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4"/>
      <c r="O19" s="94"/>
      <c r="P19" s="94"/>
      <c r="Q19" s="92"/>
      <c r="R19" s="92"/>
      <c r="S19" s="93"/>
      <c r="T19" s="98"/>
    </row>
    <row r="20" spans="1:20" ht="12.75" thickBot="1">
      <c r="A20" s="45" t="s">
        <v>38</v>
      </c>
      <c r="B20" s="105">
        <f>('Non-Resident FTE'!C20-'Non-Resident FTE'!B20)/'Non-Resident FTE'!B20</f>
        <v>0</v>
      </c>
      <c r="C20" s="106">
        <f>('Non-Resident FTE'!D20-'Non-Resident FTE'!C20)/'Non-Resident FTE'!C20</f>
        <v>3.4123222748815164E-2</v>
      </c>
      <c r="D20" s="106">
        <f>('Non-Resident FTE'!E20-'Non-Resident FTE'!D20)/'Non-Resident FTE'!D20</f>
        <v>-1.1915673693858845E-2</v>
      </c>
      <c r="E20" s="106">
        <f>('Non-Resident FTE'!F20-'Non-Resident FTE'!E20)/'Non-Resident FTE'!E20</f>
        <v>6.7717996289424862E-2</v>
      </c>
      <c r="F20" s="106">
        <f>('Non-Resident FTE'!G20-'Non-Resident FTE'!F20)/'Non-Resident FTE'!F20</f>
        <v>5.8210251954821893E-2</v>
      </c>
      <c r="G20" s="106">
        <f>('Non-Resident FTE'!H20-'Non-Resident FTE'!G20)/'Non-Resident FTE'!G20</f>
        <v>7.0607553366174053E-2</v>
      </c>
      <c r="H20" s="106">
        <f>('Non-Resident FTE'!I20-'Non-Resident FTE'!H20)/'Non-Resident FTE'!H20</f>
        <v>2.99079754601227E-2</v>
      </c>
      <c r="I20" s="106">
        <f>('Non-Resident FTE'!J20-'Non-Resident FTE'!I20)/'Non-Resident FTE'!I20</f>
        <v>-2.8205510052122195E-2</v>
      </c>
      <c r="J20" s="106">
        <f>('Non-Resident FTE'!K20-'Non-Resident FTE'!J20)/'Non-Resident FTE'!J20</f>
        <v>-2.8319235012872236E-2</v>
      </c>
      <c r="K20" s="106">
        <f>('Non-Resident FTE'!L20-'Non-Resident FTE'!K20)/'Non-Resident FTE'!K20</f>
        <v>-2.1866326015644727E-2</v>
      </c>
      <c r="L20" s="106">
        <f>('Non-Resident FTE'!M20-'Non-Resident FTE'!L20)/'Non-Resident FTE'!L20</f>
        <v>-4.4790919277992447E-2</v>
      </c>
      <c r="M20" s="106">
        <f>('Non-Resident FTE'!N20-'Non-Resident FTE'!M20)/'Non-Resident FTE'!M20</f>
        <v>-6.1306303645125522E-2</v>
      </c>
      <c r="N20" s="106">
        <f>('Non-Resident FTE'!O20-'Non-Resident FTE'!N20)/'Non-Resident FTE'!N20</f>
        <v>1.9869990919144341E-2</v>
      </c>
      <c r="O20" s="106">
        <f>('Non-Resident FTE'!P20-'Non-Resident FTE'!O20)/'Non-Resident FTE'!O20</f>
        <v>-2.6861671647580534E-2</v>
      </c>
      <c r="P20" s="105">
        <f>('Non-Resident FTE'!Q20-'Non-Resident FTE'!P20)/'Non-Resident FTE'!P20</f>
        <v>2.9659558277317786E-2</v>
      </c>
      <c r="Q20" s="109">
        <f>('Non-Resident FTE'!R20-'Non-Resident FTE'!Q20)/'Non-Resident FTE'!Q20</f>
        <v>-6.8951258138307145E-2</v>
      </c>
      <c r="R20" s="109">
        <f>('Non-Resident FTE'!S20-'Non-Resident FTE'!R20)/'Non-Resident FTE'!R20</f>
        <v>-2.3841697929561645E-2</v>
      </c>
      <c r="S20" s="110">
        <f>('Non-Resident FTE'!T20-'Non-Resident FTE'!S20)/'Non-Resident FTE'!S20</f>
        <v>6.532117319391067E-3</v>
      </c>
      <c r="T20" s="98"/>
    </row>
    <row r="21" spans="1:20" ht="12.75" thickTop="1">
      <c r="A21" s="50" t="s">
        <v>39</v>
      </c>
      <c r="B21" s="94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4"/>
      <c r="O21" s="94"/>
      <c r="P21" s="94"/>
      <c r="Q21" s="92"/>
      <c r="R21" s="92"/>
      <c r="S21" s="93"/>
      <c r="T21" s="98"/>
    </row>
    <row r="22" spans="1:20" ht="12.75" thickBot="1">
      <c r="A22" s="45" t="s">
        <v>40</v>
      </c>
      <c r="B22" s="105">
        <f>('Non-Resident FTE'!C22-'Non-Resident FTE'!B22)/'Non-Resident FTE'!B22</f>
        <v>-6.8888888888888888E-2</v>
      </c>
      <c r="C22" s="106">
        <f>('Non-Resident FTE'!D22-'Non-Resident FTE'!C22)/'Non-Resident FTE'!C22</f>
        <v>-7.1599045346062056E-3</v>
      </c>
      <c r="D22" s="106">
        <f>('Non-Resident FTE'!E22-'Non-Resident FTE'!D22)/'Non-Resident FTE'!D22</f>
        <v>4.567307692307692E-2</v>
      </c>
      <c r="E22" s="106">
        <f>('Non-Resident FTE'!F22-'Non-Resident FTE'!E22)/'Non-Resident FTE'!E22</f>
        <v>1.3793103448275862E-2</v>
      </c>
      <c r="F22" s="106">
        <f>('Non-Resident FTE'!G22-'Non-Resident FTE'!F22)/'Non-Resident FTE'!F22</f>
        <v>-3.4013605442176874E-2</v>
      </c>
      <c r="G22" s="106">
        <f>('Non-Resident FTE'!H22-'Non-Resident FTE'!G22)/'Non-Resident FTE'!G22</f>
        <v>-0.11032863849765258</v>
      </c>
      <c r="H22" s="106">
        <f>('Non-Resident FTE'!I22-'Non-Resident FTE'!H22)/'Non-Resident FTE'!H22</f>
        <v>-2.9023746701846966E-2</v>
      </c>
      <c r="I22" s="106">
        <f>('Non-Resident FTE'!J22-'Non-Resident FTE'!I22)/'Non-Resident FTE'!I22</f>
        <v>0</v>
      </c>
      <c r="J22" s="106">
        <f>('Non-Resident FTE'!K22-'Non-Resident FTE'!J22)/'Non-Resident FTE'!J22</f>
        <v>-0.10163043478260864</v>
      </c>
      <c r="K22" s="106">
        <f>('Non-Resident FTE'!L22-'Non-Resident FTE'!K22)/'Non-Resident FTE'!K22</f>
        <v>0.13036902601330902</v>
      </c>
      <c r="L22" s="106">
        <f>('Non-Resident FTE'!M22-'Non-Resident FTE'!L22)/'Non-Resident FTE'!L22</f>
        <v>-4.8166978860048171E-2</v>
      </c>
      <c r="M22" s="106">
        <f>('Non-Resident FTE'!N22-'Non-Resident FTE'!M22)/'Non-Resident FTE'!M22</f>
        <v>-0.10036547652516162</v>
      </c>
      <c r="N22" s="106">
        <f>('Non-Resident FTE'!O22-'Non-Resident FTE'!N22)/'Non-Resident FTE'!N22</f>
        <v>-0.12396875000000004</v>
      </c>
      <c r="O22" s="106">
        <f>('Non-Resident FTE'!P22-'Non-Resident FTE'!O22)/'Non-Resident FTE'!O22</f>
        <v>-0.12331894552848427</v>
      </c>
      <c r="P22" s="105">
        <f>('Non-Resident FTE'!Q22-'Non-Resident FTE'!P22)/'Non-Resident FTE'!P22</f>
        <v>-7.0638020833333273E-2</v>
      </c>
      <c r="Q22" s="109">
        <f>('Non-Resident FTE'!R22-'Non-Resident FTE'!Q22)/'Non-Resident FTE'!Q22</f>
        <v>0.2024956217162871</v>
      </c>
      <c r="R22" s="109">
        <f>('Non-Resident FTE'!S22-'Non-Resident FTE'!R22)/'Non-Resident FTE'!R22</f>
        <v>-6.0076460950299563E-3</v>
      </c>
      <c r="S22" s="110">
        <f>('Non-Resident FTE'!T22-'Non-Resident FTE'!S22)/'Non-Resident FTE'!S22</f>
        <v>0.13205045076933802</v>
      </c>
      <c r="T22" s="98"/>
    </row>
    <row r="23" spans="1:20" ht="12.75" thickTop="1">
      <c r="A23" s="50" t="s">
        <v>41</v>
      </c>
      <c r="B23" s="94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4"/>
      <c r="O23" s="94"/>
      <c r="P23" s="94"/>
      <c r="Q23" s="92"/>
      <c r="R23" s="92"/>
      <c r="S23" s="93"/>
      <c r="T23" s="98"/>
    </row>
    <row r="24" spans="1:20" ht="12.75" thickBot="1">
      <c r="A24" s="45" t="s">
        <v>42</v>
      </c>
      <c r="B24" s="105">
        <f>('Non-Resident FTE'!C24-'Non-Resident FTE'!B24)/'Non-Resident FTE'!B24</f>
        <v>0.24701195219123506</v>
      </c>
      <c r="C24" s="106">
        <f>('Non-Resident FTE'!D24-'Non-Resident FTE'!C24)/'Non-Resident FTE'!C24</f>
        <v>0.12460063897763578</v>
      </c>
      <c r="D24" s="106">
        <f>('Non-Resident FTE'!E24-'Non-Resident FTE'!D24)/'Non-Resident FTE'!D24</f>
        <v>0.13352272727272727</v>
      </c>
      <c r="E24" s="106">
        <f>('Non-Resident FTE'!F24-'Non-Resident FTE'!E24)/'Non-Resident FTE'!E24</f>
        <v>3.2581453634085211E-2</v>
      </c>
      <c r="F24" s="106">
        <f>('Non-Resident FTE'!G24-'Non-Resident FTE'!F24)/'Non-Resident FTE'!F24</f>
        <v>-1.4563106796116505E-2</v>
      </c>
      <c r="G24" s="106">
        <f>('Non-Resident FTE'!H24-'Non-Resident FTE'!G24)/'Non-Resident FTE'!G24</f>
        <v>3.9408866995073892E-2</v>
      </c>
      <c r="H24" s="106">
        <f>('Non-Resident FTE'!I24-'Non-Resident FTE'!H24)/'Non-Resident FTE'!H24</f>
        <v>-2.843601895734597E-2</v>
      </c>
      <c r="I24" s="106">
        <f>('Non-Resident FTE'!J24-'Non-Resident FTE'!I24)/'Non-Resident FTE'!I24</f>
        <v>6.9024390243902473E-2</v>
      </c>
      <c r="J24" s="106">
        <f>('Non-Resident FTE'!K24-'Non-Resident FTE'!J24)/'Non-Resident FTE'!J24</f>
        <v>-2.3271731690622834E-2</v>
      </c>
      <c r="K24" s="106">
        <f>('Non-Resident FTE'!L24-'Non-Resident FTE'!K24)/'Non-Resident FTE'!K24</f>
        <v>7.4748890446157167E-3</v>
      </c>
      <c r="L24" s="106">
        <f>('Non-Resident FTE'!M24-'Non-Resident FTE'!L24)/'Non-Resident FTE'!L24</f>
        <v>2.4345003477857639E-2</v>
      </c>
      <c r="M24" s="106">
        <f>('Non-Resident FTE'!N24-'Non-Resident FTE'!M24)/'Non-Resident FTE'!M24</f>
        <v>4.8211860570393741E-2</v>
      </c>
      <c r="N24" s="106">
        <f>('Non-Resident FTE'!O24-'Non-Resident FTE'!N24)/'Non-Resident FTE'!N24</f>
        <v>4.3187216583891297E-2</v>
      </c>
      <c r="O24" s="106">
        <f>('Non-Resident FTE'!P24-'Non-Resident FTE'!O24)/'Non-Resident FTE'!O24</f>
        <v>-5.3612088594493963E-2</v>
      </c>
      <c r="P24" s="105">
        <f>('Non-Resident FTE'!Q24-'Non-Resident FTE'!P24)/'Non-Resident FTE'!P24</f>
        <v>-4.2177019466316669E-2</v>
      </c>
      <c r="Q24" s="109">
        <f>('Non-Resident FTE'!R24-'Non-Resident FTE'!Q24)/'Non-Resident FTE'!Q24</f>
        <v>0.15912464310872509</v>
      </c>
      <c r="R24" s="109">
        <f>('Non-Resident FTE'!S24-'Non-Resident FTE'!R24)/'Non-Resident FTE'!R24</f>
        <v>1.8518518518518472E-2</v>
      </c>
      <c r="S24" s="110">
        <f>('Non-Resident FTE'!T24-'Non-Resident FTE'!S24)/'Non-Resident FTE'!S24</f>
        <v>0.20352670274648976</v>
      </c>
      <c r="T24" s="98"/>
    </row>
    <row r="25" spans="1:20" ht="12.75" thickTop="1">
      <c r="A25" s="50" t="s">
        <v>43</v>
      </c>
      <c r="B25" s="94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4"/>
      <c r="O25" s="94"/>
      <c r="P25" s="94"/>
      <c r="Q25" s="92"/>
      <c r="R25" s="92"/>
      <c r="S25" s="93"/>
      <c r="T25" s="98"/>
    </row>
    <row r="26" spans="1:20" ht="12.75" thickBot="1">
      <c r="A26" s="45" t="s">
        <v>44</v>
      </c>
      <c r="B26" s="105">
        <f>('Non-Resident FTE'!C26-'Non-Resident FTE'!B26)/'Non-Resident FTE'!B26</f>
        <v>-1.7492711370262391E-2</v>
      </c>
      <c r="C26" s="106">
        <f>('Non-Resident FTE'!D26-'Non-Resident FTE'!C26)/'Non-Resident FTE'!C26</f>
        <v>-7.71513353115727E-2</v>
      </c>
      <c r="D26" s="106">
        <f>('Non-Resident FTE'!E26-'Non-Resident FTE'!D26)/'Non-Resident FTE'!D26</f>
        <v>3.8585209003215437E-2</v>
      </c>
      <c r="E26" s="106">
        <f>('Non-Resident FTE'!F26-'Non-Resident FTE'!E26)/'Non-Resident FTE'!E26</f>
        <v>-9.2879256965944269E-3</v>
      </c>
      <c r="F26" s="106">
        <f>('Non-Resident FTE'!G26-'Non-Resident FTE'!F26)/'Non-Resident FTE'!F26</f>
        <v>0.121875</v>
      </c>
      <c r="G26" s="106">
        <f>('Non-Resident FTE'!H26-'Non-Resident FTE'!G26)/'Non-Resident FTE'!G26</f>
        <v>8.6350974930362118E-2</v>
      </c>
      <c r="H26" s="106">
        <f>('Non-Resident FTE'!I26-'Non-Resident FTE'!H26)/'Non-Resident FTE'!H26</f>
        <v>4.6153846153846156E-2</v>
      </c>
      <c r="I26" s="106">
        <f>('Non-Resident FTE'!J26-'Non-Resident FTE'!I26)/'Non-Resident FTE'!I26</f>
        <v>4.5343137254901959E-2</v>
      </c>
      <c r="J26" s="106">
        <f>('Non-Resident FTE'!K26-'Non-Resident FTE'!J26)/'Non-Resident FTE'!J26</f>
        <v>1.7655334114888566E-2</v>
      </c>
      <c r="K26" s="106">
        <f>('Non-Resident FTE'!L26-'Non-Resident FTE'!K26)/'Non-Resident FTE'!K26</f>
        <v>7.451097850379014E-2</v>
      </c>
      <c r="L26" s="106">
        <f>('Non-Resident FTE'!M26-'Non-Resident FTE'!L26)/'Non-Resident FTE'!L26</f>
        <v>2.5516221026223767E-3</v>
      </c>
      <c r="M26" s="106">
        <f>('Non-Resident FTE'!N26-'Non-Resident FTE'!M26)/'Non-Resident FTE'!M26</f>
        <v>-3.8390794764308296E-2</v>
      </c>
      <c r="N26" s="106">
        <f>('Non-Resident FTE'!O26-'Non-Resident FTE'!N26)/'Non-Resident FTE'!N26</f>
        <v>-5.2957007184003917E-2</v>
      </c>
      <c r="O26" s="106">
        <f>('Non-Resident FTE'!P26-'Non-Resident FTE'!O26)/'Non-Resident FTE'!O26</f>
        <v>-5.6998590887740813E-2</v>
      </c>
      <c r="P26" s="105">
        <f>('Non-Resident FTE'!Q26-'Non-Resident FTE'!P26)/'Non-Resident FTE'!P26</f>
        <v>7.4739122855079443E-2</v>
      </c>
      <c r="Q26" s="109">
        <f>('Non-Resident FTE'!R26-'Non-Resident FTE'!Q26)/'Non-Resident FTE'!Q26</f>
        <v>0.16373916670528796</v>
      </c>
      <c r="R26" s="109">
        <f>('Non-Resident FTE'!S26-'Non-Resident FTE'!R26)/'Non-Resident FTE'!R26</f>
        <v>8.3233771405814436E-2</v>
      </c>
      <c r="S26" s="110">
        <f>('Non-Resident FTE'!T26-'Non-Resident FTE'!S26)/'Non-Resident FTE'!S26</f>
        <v>-2.9398520652319645E-3</v>
      </c>
      <c r="T26" s="98"/>
    </row>
    <row r="27" spans="1:20" ht="12.75" thickTop="1">
      <c r="A27" s="50" t="s">
        <v>45</v>
      </c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4"/>
      <c r="O27" s="94"/>
      <c r="P27" s="94"/>
      <c r="Q27" s="92"/>
      <c r="R27" s="92"/>
      <c r="S27" s="93"/>
      <c r="T27" s="98"/>
    </row>
    <row r="28" spans="1:20" ht="12.75" thickBot="1">
      <c r="A28" s="45" t="s">
        <v>46</v>
      </c>
      <c r="B28" s="105">
        <f>('Non-Resident FTE'!C28-'Non-Resident FTE'!B28)/'Non-Resident FTE'!B28</f>
        <v>9.5176010430247718E-2</v>
      </c>
      <c r="C28" s="106">
        <f>('Non-Resident FTE'!D28-'Non-Resident FTE'!C28)/'Non-Resident FTE'!C28</f>
        <v>-9.0476190476190474E-2</v>
      </c>
      <c r="D28" s="106">
        <f>('Non-Resident FTE'!E28-'Non-Resident FTE'!D28)/'Non-Resident FTE'!D28</f>
        <v>-2.6178010471204188E-2</v>
      </c>
      <c r="E28" s="106">
        <f>('Non-Resident FTE'!F28-'Non-Resident FTE'!E28)/'Non-Resident FTE'!E28</f>
        <v>2.9569892473118281E-2</v>
      </c>
      <c r="F28" s="106">
        <f>('Non-Resident FTE'!G28-'Non-Resident FTE'!F28)/'Non-Resident FTE'!F28</f>
        <v>-1.4360313315926894E-2</v>
      </c>
      <c r="G28" s="106">
        <f>('Non-Resident FTE'!H28-'Non-Resident FTE'!G28)/'Non-Resident FTE'!G28</f>
        <v>-1.1920529801324504E-2</v>
      </c>
      <c r="H28" s="106">
        <f>('Non-Resident FTE'!I28-'Non-Resident FTE'!H28)/'Non-Resident FTE'!H28</f>
        <v>-6.5683646112600538E-2</v>
      </c>
      <c r="I28" s="106">
        <f>('Non-Resident FTE'!J28-'Non-Resident FTE'!I28)/'Non-Resident FTE'!I28</f>
        <v>-2.4246771879483469E-2</v>
      </c>
      <c r="J28" s="106">
        <f>('Non-Resident FTE'!K28-'Non-Resident FTE'!J28)/'Non-Resident FTE'!J28</f>
        <v>-5.8594324364064143E-2</v>
      </c>
      <c r="K28" s="106">
        <f>('Non-Resident FTE'!L28-'Non-Resident FTE'!K28)/'Non-Resident FTE'!K28</f>
        <v>-7.1440843420538871E-2</v>
      </c>
      <c r="L28" s="106">
        <f>('Non-Resident FTE'!M28-'Non-Resident FTE'!L28)/'Non-Resident FTE'!L28</f>
        <v>-5.3153016770112671E-3</v>
      </c>
      <c r="M28" s="106">
        <f>('Non-Resident FTE'!N28-'Non-Resident FTE'!M28)/'Non-Resident FTE'!M28</f>
        <v>-7.482878160142048E-2</v>
      </c>
      <c r="N28" s="106">
        <f>('Non-Resident FTE'!O28-'Non-Resident FTE'!N28)/'Non-Resident FTE'!N28</f>
        <v>-6.1688905136172541E-2</v>
      </c>
      <c r="O28" s="106">
        <f>('Non-Resident FTE'!P28-'Non-Resident FTE'!O28)/'Non-Resident FTE'!O28</f>
        <v>-3.1460017531898379E-2</v>
      </c>
      <c r="P28" s="105">
        <f>('Non-Resident FTE'!Q28-'Non-Resident FTE'!P28)/'Non-Resident FTE'!P28</f>
        <v>-6.2288817377312893E-2</v>
      </c>
      <c r="Q28" s="109">
        <f>('Non-Resident FTE'!R28-'Non-Resident FTE'!Q28)/'Non-Resident FTE'!Q28</f>
        <v>-3.927246208952663E-2</v>
      </c>
      <c r="R28" s="109">
        <f>('Non-Resident FTE'!S28-'Non-Resident FTE'!R28)/'Non-Resident FTE'!R28</f>
        <v>-5.7867476335059863E-2</v>
      </c>
      <c r="S28" s="110">
        <f>('Non-Resident FTE'!T28-'Non-Resident FTE'!S28)/'Non-Resident FTE'!S28</f>
        <v>1.2402056877160747E-2</v>
      </c>
      <c r="T28" s="98"/>
    </row>
    <row r="29" spans="1:20" s="24" customFormat="1" ht="12.75" thickTop="1">
      <c r="A29" s="50" t="s">
        <v>47</v>
      </c>
      <c r="B29" s="101">
        <f>('Non-Resident FTE'!C29-'Non-Resident FTE'!B29)/'Non-Resident FTE'!B29</f>
        <v>0.24352019288728149</v>
      </c>
      <c r="C29" s="90">
        <f>('Non-Resident FTE'!D29-'Non-Resident FTE'!C29)/'Non-Resident FTE'!C29</f>
        <v>5.8167716917111E-3</v>
      </c>
      <c r="D29" s="90">
        <f>('Non-Resident FTE'!E29-'Non-Resident FTE'!D29)/'Non-Resident FTE'!D29</f>
        <v>3.7590361445783135E-2</v>
      </c>
      <c r="E29" s="90">
        <f>('Non-Resident FTE'!F29-'Non-Resident FTE'!E29)/'Non-Resident FTE'!E29</f>
        <v>-9.103576405016256E-2</v>
      </c>
      <c r="F29" s="90">
        <f>('Non-Resident FTE'!G29-'Non-Resident FTE'!F29)/'Non-Resident FTE'!F29</f>
        <v>-3.321410321921308E-2</v>
      </c>
      <c r="G29" s="90">
        <f>('Non-Resident FTE'!H29-'Non-Resident FTE'!G29)/'Non-Resident FTE'!G29</f>
        <v>7.3995771670190271E-3</v>
      </c>
      <c r="H29" s="90">
        <f>('Non-Resident FTE'!I29-'Non-Resident FTE'!H29)/'Non-Resident FTE'!H29</f>
        <v>8.9716684155299056E-2</v>
      </c>
      <c r="I29" s="90">
        <f>('Non-Resident FTE'!J29-'Non-Resident FTE'!I29)/'Non-Resident FTE'!I29</f>
        <v>-3.8825228695233555E-2</v>
      </c>
      <c r="J29" s="90">
        <f>('Non-Resident FTE'!K29-'Non-Resident FTE'!J29)/'Non-Resident FTE'!J29</f>
        <v>-0.1080005610210583</v>
      </c>
      <c r="K29" s="90">
        <f>('Non-Resident FTE'!L29-'Non-Resident FTE'!K29)/'Non-Resident FTE'!K29</f>
        <v>3.8954329406902091E-2</v>
      </c>
      <c r="L29" s="90">
        <f>('Non-Resident FTE'!M29-'Non-Resident FTE'!L29)/'Non-Resident FTE'!L29</f>
        <v>6.2104079735368703E-2</v>
      </c>
      <c r="M29" s="90">
        <f>('Non-Resident FTE'!N29-'Non-Resident FTE'!M29)/'Non-Resident FTE'!M29</f>
        <v>1.8590141576167035E-2</v>
      </c>
      <c r="N29" s="90">
        <f>('Non-Resident FTE'!O29-'Non-Resident FTE'!N29)/'Non-Resident FTE'!N29</f>
        <v>6.0033474057605743E-2</v>
      </c>
      <c r="O29" s="90">
        <f>('Non-Resident FTE'!P29-'Non-Resident FTE'!O29)/'Non-Resident FTE'!O29</f>
        <v>2.0243105796738905E-2</v>
      </c>
      <c r="P29" s="101">
        <f>('Non-Resident FTE'!Q29-'Non-Resident FTE'!P29)/'Non-Resident FTE'!P29</f>
        <v>0.18730886143782444</v>
      </c>
      <c r="Q29" s="92">
        <f>('Non-Resident FTE'!R29-'Non-Resident FTE'!Q29)/'Non-Resident FTE'!Q29</f>
        <v>0.10604913389258078</v>
      </c>
      <c r="R29" s="92">
        <f>('Non-Resident FTE'!S29-'Non-Resident FTE'!R29)/'Non-Resident FTE'!R29</f>
        <v>8.4892103540357491E-2</v>
      </c>
      <c r="S29" s="93">
        <f>('Non-Resident FTE'!T29-'Non-Resident FTE'!S29)/'Non-Resident FTE'!S29</f>
        <v>0.29005589648549152</v>
      </c>
      <c r="T29" s="102"/>
    </row>
    <row r="30" spans="1:20">
      <c r="A30" s="34" t="s">
        <v>48</v>
      </c>
      <c r="B30" s="94">
        <f>('Non-Resident FTE'!C30-'Non-Resident FTE'!B30)/'Non-Resident FTE'!B30</f>
        <v>0.19354838709677419</v>
      </c>
      <c r="C30" s="95">
        <f>('Non-Resident FTE'!D30-'Non-Resident FTE'!C30)/'Non-Resident FTE'!C30</f>
        <v>-6.0810810810810814E-2</v>
      </c>
      <c r="D30" s="95">
        <f>('Non-Resident FTE'!E30-'Non-Resident FTE'!D30)/'Non-Resident FTE'!D30</f>
        <v>5.0359712230215826E-2</v>
      </c>
      <c r="E30" s="95">
        <f>('Non-Resident FTE'!F30-'Non-Resident FTE'!E30)/'Non-Resident FTE'!E30</f>
        <v>-0.17808219178082191</v>
      </c>
      <c r="F30" s="95">
        <f>('Non-Resident FTE'!G30-'Non-Resident FTE'!F30)/'Non-Resident FTE'!F30</f>
        <v>0.12083333333333333</v>
      </c>
      <c r="G30" s="95">
        <f>('Non-Resident FTE'!H30-'Non-Resident FTE'!G30)/'Non-Resident FTE'!G30</f>
        <v>0.11895910780669144</v>
      </c>
      <c r="H30" s="95">
        <f>('Non-Resident FTE'!I30-'Non-Resident FTE'!H30)/'Non-Resident FTE'!H30</f>
        <v>0.24916943521594684</v>
      </c>
      <c r="I30" s="95">
        <f>('Non-Resident FTE'!J30-'Non-Resident FTE'!I30)/'Non-Resident FTE'!I30</f>
        <v>-0.13590425531914899</v>
      </c>
      <c r="J30" s="95">
        <f>('Non-Resident FTE'!K30-'Non-Resident FTE'!J30)/'Non-Resident FTE'!J30</f>
        <v>-0.10310864881502001</v>
      </c>
      <c r="K30" s="95">
        <f>('Non-Resident FTE'!L30-'Non-Resident FTE'!K30)/'Non-Resident FTE'!K30</f>
        <v>-0.18239533287577206</v>
      </c>
      <c r="L30" s="95">
        <f>('Non-Resident FTE'!M30-'Non-Resident FTE'!L30)/'Non-Resident FTE'!L30</f>
        <v>-0.21263378803777544</v>
      </c>
      <c r="M30" s="95">
        <f>('Non-Resident FTE'!N30-'Non-Resident FTE'!M30)/'Non-Resident FTE'!M30</f>
        <v>4.7657124580201493E-2</v>
      </c>
      <c r="N30" s="95">
        <f>('Non-Resident FTE'!O30-'Non-Resident FTE'!N30)/'Non-Resident FTE'!N30</f>
        <v>-2.1472548720297149E-2</v>
      </c>
      <c r="O30" s="95">
        <f>('Non-Resident FTE'!P30-'Non-Resident FTE'!O30)/'Non-Resident FTE'!O30</f>
        <v>-1.7731787218553358E-2</v>
      </c>
      <c r="P30" s="94">
        <f>('Non-Resident FTE'!Q30-'Non-Resident FTE'!P30)/'Non-Resident FTE'!P30</f>
        <v>0.30095288512440443</v>
      </c>
      <c r="Q30" s="96">
        <f>('Non-Resident FTE'!R30-'Non-Resident FTE'!Q30)/'Non-Resident FTE'!Q30</f>
        <v>-9.7456765005086418E-2</v>
      </c>
      <c r="R30" s="96">
        <f>('Non-Resident FTE'!S30-'Non-Resident FTE'!R30)/'Non-Resident FTE'!R30</f>
        <v>-0.16140667267808842</v>
      </c>
      <c r="S30" s="97">
        <f>('Non-Resident FTE'!T30-'Non-Resident FTE'!S30)/'Non-Resident FTE'!S30</f>
        <v>0.13968415527536077</v>
      </c>
      <c r="T30" s="98"/>
    </row>
    <row r="31" spans="1:20">
      <c r="A31" s="34" t="s">
        <v>49</v>
      </c>
      <c r="B31" s="94">
        <f>('Non-Resident FTE'!C31-'Non-Resident FTE'!B31)/'Non-Resident FTE'!B31</f>
        <v>0.49367088607594939</v>
      </c>
      <c r="C31" s="95">
        <f>('Non-Resident FTE'!D31-'Non-Resident FTE'!C31)/'Non-Resident FTE'!C31</f>
        <v>6.7796610169491525E-2</v>
      </c>
      <c r="D31" s="95">
        <f>('Non-Resident FTE'!E31-'Non-Resident FTE'!D31)/'Non-Resident FTE'!D31</f>
        <v>-6.3492063492063489E-2</v>
      </c>
      <c r="E31" s="95">
        <f>('Non-Resident FTE'!F31-'Non-Resident FTE'!E31)/'Non-Resident FTE'!E31</f>
        <v>-1.6949152542372881E-2</v>
      </c>
      <c r="F31" s="95">
        <f>('Non-Resident FTE'!G31-'Non-Resident FTE'!F31)/'Non-Resident FTE'!F31</f>
        <v>-0.12931034482758622</v>
      </c>
      <c r="G31" s="95">
        <f>('Non-Resident FTE'!H31-'Non-Resident FTE'!G31)/'Non-Resident FTE'!G31</f>
        <v>-2.9702970297029702E-2</v>
      </c>
      <c r="H31" s="95">
        <f>('Non-Resident FTE'!I31-'Non-Resident FTE'!H31)/'Non-Resident FTE'!H31</f>
        <v>-0.1326530612244898</v>
      </c>
      <c r="I31" s="95">
        <f>('Non-Resident FTE'!J31-'Non-Resident FTE'!I31)/'Non-Resident FTE'!I31</f>
        <v>-6.9647058823529437E-2</v>
      </c>
      <c r="J31" s="95">
        <f>('Non-Resident FTE'!K31-'Non-Resident FTE'!J31)/'Non-Resident FTE'!J31</f>
        <v>0.12481031866464345</v>
      </c>
      <c r="K31" s="95">
        <f>('Non-Resident FTE'!L31-'Non-Resident FTE'!K31)/'Non-Resident FTE'!K31</f>
        <v>-0.14525014052838675</v>
      </c>
      <c r="L31" s="95">
        <f>('Non-Resident FTE'!M31-'Non-Resident FTE'!L31)/'Non-Resident FTE'!L31</f>
        <v>4.3798500591871604E-2</v>
      </c>
      <c r="M31" s="95">
        <f>('Non-Resident FTE'!N31-'Non-Resident FTE'!M31)/'Non-Resident FTE'!M31</f>
        <v>0.27709173387096769</v>
      </c>
      <c r="N31" s="95">
        <f>('Non-Resident FTE'!O31-'Non-Resident FTE'!N31)/'Non-Resident FTE'!N31</f>
        <v>-2.7725703009373343E-2</v>
      </c>
      <c r="O31" s="95">
        <f>('Non-Resident FTE'!P31-'Non-Resident FTE'!O31)/'Non-Resident FTE'!O31</f>
        <v>-0.14785873756850015</v>
      </c>
      <c r="P31" s="94">
        <f>('Non-Resident FTE'!Q31-'Non-Resident FTE'!P31)/'Non-Resident FTE'!P31</f>
        <v>0.13790639514112182</v>
      </c>
      <c r="Q31" s="96">
        <f>('Non-Resident FTE'!R31-'Non-Resident FTE'!Q31)/'Non-Resident FTE'!Q31</f>
        <v>0.12297226582940869</v>
      </c>
      <c r="R31" s="96">
        <f>('Non-Resident FTE'!S31-'Non-Resident FTE'!R31)/'Non-Resident FTE'!R31</f>
        <v>0.16495806150978568</v>
      </c>
      <c r="S31" s="97">
        <f>('Non-Resident FTE'!T31-'Non-Resident FTE'!S31)/'Non-Resident FTE'!S31</f>
        <v>9.5333128645993151E-2</v>
      </c>
      <c r="T31" s="98"/>
    </row>
    <row r="32" spans="1:20">
      <c r="A32" s="34" t="s">
        <v>50</v>
      </c>
      <c r="B32" s="94">
        <f>('Non-Resident FTE'!C32-'Non-Resident FTE'!B32)/'Non-Resident FTE'!B32</f>
        <v>-0.16326530612244897</v>
      </c>
      <c r="C32" s="95">
        <f>('Non-Resident FTE'!D32-'Non-Resident FTE'!C32)/'Non-Resident FTE'!C32</f>
        <v>7.3170731707317069E-2</v>
      </c>
      <c r="D32" s="95">
        <f>('Non-Resident FTE'!E32-'Non-Resident FTE'!D32)/'Non-Resident FTE'!D32</f>
        <v>0.54545454545454541</v>
      </c>
      <c r="E32" s="95">
        <f>('Non-Resident FTE'!F32-'Non-Resident FTE'!E32)/'Non-Resident FTE'!E32</f>
        <v>-0.11764705882352941</v>
      </c>
      <c r="F32" s="95">
        <f>('Non-Resident FTE'!G32-'Non-Resident FTE'!F32)/'Non-Resident FTE'!F32</f>
        <v>-0.13333333333333333</v>
      </c>
      <c r="G32" s="95">
        <f>('Non-Resident FTE'!H32-'Non-Resident FTE'!G32)/'Non-Resident FTE'!G32</f>
        <v>5.7692307692307696E-2</v>
      </c>
      <c r="H32" s="95">
        <f>('Non-Resident FTE'!I32-'Non-Resident FTE'!H32)/'Non-Resident FTE'!H32</f>
        <v>0.50909090909090904</v>
      </c>
      <c r="I32" s="95">
        <f>('Non-Resident FTE'!J32-'Non-Resident FTE'!I32)/'Non-Resident FTE'!I32</f>
        <v>1.7108433734939778E-2</v>
      </c>
      <c r="J32" s="95">
        <f>('Non-Resident FTE'!K32-'Non-Resident FTE'!J32)/'Non-Resident FTE'!J32</f>
        <v>-0.12508884150675198</v>
      </c>
      <c r="K32" s="95">
        <f>('Non-Resident FTE'!L32-'Non-Resident FTE'!K32)/'Non-Resident FTE'!K32</f>
        <v>0.39764419171405369</v>
      </c>
      <c r="L32" s="95">
        <f>('Non-Resident FTE'!M32-'Non-Resident FTE'!L32)/'Non-Resident FTE'!L32</f>
        <v>-1.0268332848978032E-2</v>
      </c>
      <c r="M32" s="95">
        <f>('Non-Resident FTE'!N32-'Non-Resident FTE'!M32)/'Non-Resident FTE'!M32</f>
        <v>-0.2782617206616424</v>
      </c>
      <c r="N32" s="95">
        <f>('Non-Resident FTE'!O32-'Non-Resident FTE'!N32)/'Non-Resident FTE'!N32</f>
        <v>0.24315161377813951</v>
      </c>
      <c r="O32" s="95">
        <f>('Non-Resident FTE'!P32-'Non-Resident FTE'!O32)/'Non-Resident FTE'!O32</f>
        <v>0.10614159485109637</v>
      </c>
      <c r="P32" s="94">
        <f>('Non-Resident FTE'!Q32-'Non-Resident FTE'!P32)/'Non-Resident FTE'!P32</f>
        <v>0.67652859960552258</v>
      </c>
      <c r="Q32" s="96">
        <f>('Non-Resident FTE'!R32-'Non-Resident FTE'!Q32)/'Non-Resident FTE'!Q32</f>
        <v>0.10529411764705886</v>
      </c>
      <c r="R32" s="96">
        <f>('Non-Resident FTE'!S32-'Non-Resident FTE'!R32)/'Non-Resident FTE'!R32</f>
        <v>0.12293773283661519</v>
      </c>
      <c r="S32" s="97">
        <f>('Non-Resident FTE'!T32-'Non-Resident FTE'!S32)/'Non-Resident FTE'!S32</f>
        <v>0.17430789757552487</v>
      </c>
      <c r="T32" s="98"/>
    </row>
    <row r="33" spans="1:20">
      <c r="A33" s="34" t="s">
        <v>51</v>
      </c>
      <c r="B33" s="94">
        <f>('Non-Resident FTE'!C33-'Non-Resident FTE'!B33)/'Non-Resident FTE'!B33</f>
        <v>0.54716981132075471</v>
      </c>
      <c r="C33" s="95">
        <f>('Non-Resident FTE'!D33-'Non-Resident FTE'!C33)/'Non-Resident FTE'!C33</f>
        <v>-3.2520325203252036E-2</v>
      </c>
      <c r="D33" s="95">
        <f>('Non-Resident FTE'!E33-'Non-Resident FTE'!D33)/'Non-Resident FTE'!D33</f>
        <v>6.3025210084033612E-2</v>
      </c>
      <c r="E33" s="95">
        <f>('Non-Resident FTE'!F33-'Non-Resident FTE'!E33)/'Non-Resident FTE'!E33</f>
        <v>-3.952569169960474E-3</v>
      </c>
      <c r="F33" s="95">
        <f>('Non-Resident FTE'!G33-'Non-Resident FTE'!F33)/'Non-Resident FTE'!F33</f>
        <v>7.9365079365079361E-3</v>
      </c>
      <c r="G33" s="95">
        <f>('Non-Resident FTE'!H33-'Non-Resident FTE'!G33)/'Non-Resident FTE'!G33</f>
        <v>-6.6929133858267723E-2</v>
      </c>
      <c r="H33" s="95">
        <f>('Non-Resident FTE'!I33-'Non-Resident FTE'!H33)/'Non-Resident FTE'!H33</f>
        <v>7.5949367088607597E-2</v>
      </c>
      <c r="I33" s="95">
        <f>('Non-Resident FTE'!J33-'Non-Resident FTE'!I33)/'Non-Resident FTE'!I33</f>
        <v>3.5921568627451078E-2</v>
      </c>
      <c r="J33" s="95">
        <f>('Non-Resident FTE'!K33-'Non-Resident FTE'!J33)/'Non-Resident FTE'!J33</f>
        <v>-0.10955481526347677</v>
      </c>
      <c r="K33" s="95">
        <f>('Non-Resident FTE'!L33-'Non-Resident FTE'!K33)/'Non-Resident FTE'!K33</f>
        <v>0.1205254655216393</v>
      </c>
      <c r="L33" s="95">
        <f>('Non-Resident FTE'!M33-'Non-Resident FTE'!L33)/'Non-Resident FTE'!L33</f>
        <v>0.13070531547596459</v>
      </c>
      <c r="M33" s="95">
        <f>('Non-Resident FTE'!N33-'Non-Resident FTE'!M33)/'Non-Resident FTE'!M33</f>
        <v>-1.5267431715992064E-2</v>
      </c>
      <c r="N33" s="95">
        <f>('Non-Resident FTE'!O33-'Non-Resident FTE'!N33)/'Non-Resident FTE'!N33</f>
        <v>1.1926261628105086E-2</v>
      </c>
      <c r="O33" s="95">
        <f>('Non-Resident FTE'!P33-'Non-Resident FTE'!O33)/'Non-Resident FTE'!O33</f>
        <v>5.0038724450281021E-2</v>
      </c>
      <c r="P33" s="94">
        <f>('Non-Resident FTE'!Q33-'Non-Resident FTE'!P33)/'Non-Resident FTE'!P33</f>
        <v>0.32809543661610496</v>
      </c>
      <c r="Q33" s="96">
        <f>('Non-Resident FTE'!R33-'Non-Resident FTE'!Q33)/'Non-Resident FTE'!Q33</f>
        <v>0.16376104698894092</v>
      </c>
      <c r="R33" s="96">
        <f>('Non-Resident FTE'!S33-'Non-Resident FTE'!R33)/'Non-Resident FTE'!R33</f>
        <v>5.8179102000166037E-2</v>
      </c>
      <c r="S33" s="97">
        <f>('Non-Resident FTE'!T33-'Non-Resident FTE'!S33)/'Non-Resident FTE'!S33</f>
        <v>0.40870766696696625</v>
      </c>
      <c r="T33" s="98"/>
    </row>
    <row r="34" spans="1:20">
      <c r="A34" s="34" t="s">
        <v>52</v>
      </c>
      <c r="B34" s="94">
        <f>('Non-Resident FTE'!C34-'Non-Resident FTE'!B34)/'Non-Resident FTE'!B34</f>
        <v>0.31493506493506496</v>
      </c>
      <c r="C34" s="95">
        <f>('Non-Resident FTE'!D34-'Non-Resident FTE'!C34)/'Non-Resident FTE'!C34</f>
        <v>4.1975308641975309E-2</v>
      </c>
      <c r="D34" s="95">
        <f>('Non-Resident FTE'!E34-'Non-Resident FTE'!D34)/'Non-Resident FTE'!D34</f>
        <v>2.843601895734597E-2</v>
      </c>
      <c r="E34" s="95">
        <f>('Non-Resident FTE'!F34-'Non-Resident FTE'!E34)/'Non-Resident FTE'!E34</f>
        <v>-5.9907834101382486E-2</v>
      </c>
      <c r="F34" s="95">
        <f>('Non-Resident FTE'!G34-'Non-Resident FTE'!F34)/'Non-Resident FTE'!F34</f>
        <v>-4.4117647058823532E-2</v>
      </c>
      <c r="G34" s="95">
        <f>('Non-Resident FTE'!H34-'Non-Resident FTE'!G34)/'Non-Resident FTE'!G34</f>
        <v>0.11282051282051282</v>
      </c>
      <c r="H34" s="95">
        <f>('Non-Resident FTE'!I34-'Non-Resident FTE'!H34)/'Non-Resident FTE'!H34</f>
        <v>4.6082949308755762E-2</v>
      </c>
      <c r="I34" s="95">
        <f>('Non-Resident FTE'!J34-'Non-Resident FTE'!I34)/'Non-Resident FTE'!I34</f>
        <v>6.0770925110132101E-2</v>
      </c>
      <c r="J34" s="95">
        <f>('Non-Resident FTE'!K34-'Non-Resident FTE'!J34)/'Non-Resident FTE'!J34</f>
        <v>-0.18260345937415645</v>
      </c>
      <c r="K34" s="95">
        <v>0.03</v>
      </c>
      <c r="L34" s="95">
        <v>0.13300000000000001</v>
      </c>
      <c r="M34" s="95">
        <f>('Non-Resident FTE'!N34-'Non-Resident FTE'!M34)/'Non-Resident FTE'!M34</f>
        <v>0.19060148740921146</v>
      </c>
      <c r="N34" s="95">
        <f>('Non-Resident FTE'!O34-'Non-Resident FTE'!N34)/'Non-Resident FTE'!N34</f>
        <v>7.9578455188033193E-2</v>
      </c>
      <c r="O34" s="95">
        <f>('Non-Resident FTE'!P34-'Non-Resident FTE'!O34)/'Non-Resident FTE'!O34</f>
        <v>-3.9385531569330862E-2</v>
      </c>
      <c r="P34" s="94">
        <f>('Non-Resident FTE'!Q34-'Non-Resident FTE'!P34)/'Non-Resident FTE'!P34</f>
        <v>0.18228249383585771</v>
      </c>
      <c r="Q34" s="96">
        <f>('Non-Resident FTE'!R34-'Non-Resident FTE'!Q34)/'Non-Resident FTE'!Q34</f>
        <v>8.4462982273201329E-2</v>
      </c>
      <c r="R34" s="96">
        <f>('Non-Resident FTE'!S34-'Non-Resident FTE'!R34)/'Non-Resident FTE'!R34</f>
        <v>2.8846153846153848E-2</v>
      </c>
      <c r="S34" s="97">
        <f>('Non-Resident FTE'!T34-'Non-Resident FTE'!S34)/'Non-Resident FTE'!S34</f>
        <v>0.22087809846219425</v>
      </c>
      <c r="T34" s="98"/>
    </row>
    <row r="35" spans="1:20">
      <c r="A35" s="34" t="s">
        <v>53</v>
      </c>
      <c r="B35" s="94">
        <f>('Non-Resident FTE'!C35-'Non-Resident FTE'!B35)/'Non-Resident FTE'!B35</f>
        <v>0.23529411764705882</v>
      </c>
      <c r="C35" s="95">
        <f>('Non-Resident FTE'!D35-'Non-Resident FTE'!C35)/'Non-Resident FTE'!C35</f>
        <v>0.15873015873015872</v>
      </c>
      <c r="D35" s="95">
        <f>('Non-Resident FTE'!E35-'Non-Resident FTE'!D35)/'Non-Resident FTE'!D35</f>
        <v>0</v>
      </c>
      <c r="E35" s="95">
        <f>('Non-Resident FTE'!F35-'Non-Resident FTE'!E35)/'Non-Resident FTE'!E35</f>
        <v>0.15068493150684931</v>
      </c>
      <c r="F35" s="95">
        <f>('Non-Resident FTE'!G35-'Non-Resident FTE'!F35)/'Non-Resident FTE'!F35</f>
        <v>-8.3333333333333329E-2</v>
      </c>
      <c r="G35" s="95">
        <f>('Non-Resident FTE'!H35-'Non-Resident FTE'!G35)/'Non-Resident FTE'!G35</f>
        <v>0.35064935064935066</v>
      </c>
      <c r="H35" s="95">
        <f>('Non-Resident FTE'!I35-'Non-Resident FTE'!H35)/'Non-Resident FTE'!H35</f>
        <v>-7.6923076923076927E-2</v>
      </c>
      <c r="I35" s="95">
        <f>('Non-Resident FTE'!J35-'Non-Resident FTE'!I35)/'Non-Resident FTE'!I35</f>
        <v>-0.38270833333333337</v>
      </c>
      <c r="J35" s="95">
        <f>('Non-Resident FTE'!K35-'Non-Resident FTE'!J35)/'Non-Resident FTE'!J35</f>
        <v>-0.25983800202497465</v>
      </c>
      <c r="K35" s="95">
        <f>('Non-Resident FTE'!L35-'Non-Resident FTE'!K35)/'Non-Resident FTE'!K35</f>
        <v>-2.9000045597555934E-2</v>
      </c>
      <c r="L35" s="95">
        <f>('Non-Resident FTE'!M35-'Non-Resident FTE'!L35)/'Non-Resident FTE'!L35</f>
        <v>0.28997417234092493</v>
      </c>
      <c r="M35" s="95">
        <f>('Non-Resident FTE'!N35-'Non-Resident FTE'!M35)/'Non-Resident FTE'!M35</f>
        <v>-0.1936658172551875</v>
      </c>
      <c r="N35" s="95">
        <f>('Non-Resident FTE'!O35-'Non-Resident FTE'!N35)/'Non-Resident FTE'!N35</f>
        <v>0.35417607223476311</v>
      </c>
      <c r="O35" s="95">
        <f>('Non-Resident FTE'!P35-'Non-Resident FTE'!O35)/'Non-Resident FTE'!O35</f>
        <v>0.34005667611268542</v>
      </c>
      <c r="P35" s="94">
        <f>('Non-Resident FTE'!Q35-'Non-Resident FTE'!P35)/'Non-Resident FTE'!P35</f>
        <v>-7.9985072770245136E-2</v>
      </c>
      <c r="Q35" s="96">
        <f>('Non-Resident FTE'!R35-'Non-Resident FTE'!Q35)/'Non-Resident FTE'!Q35</f>
        <v>0.32353975121687406</v>
      </c>
      <c r="R35" s="96">
        <f>('Non-Resident FTE'!S35-'Non-Resident FTE'!R35)/'Non-Resident FTE'!R35</f>
        <v>-0.12145389165279037</v>
      </c>
      <c r="S35" s="97">
        <f>('Non-Resident FTE'!T35-'Non-Resident FTE'!S35)/'Non-Resident FTE'!S35</f>
        <v>0.19842361632074623</v>
      </c>
      <c r="T35" s="98"/>
    </row>
    <row r="36" spans="1:20">
      <c r="A36" s="34" t="s">
        <v>54</v>
      </c>
      <c r="B36" s="94">
        <f>('Non-Resident FTE'!C36-'Non-Resident FTE'!B36)/'Non-Resident FTE'!B36</f>
        <v>1.5</v>
      </c>
      <c r="C36" s="95">
        <f>('Non-Resident FTE'!D36-'Non-Resident FTE'!C36)/'Non-Resident FTE'!C36</f>
        <v>-0.13333333333333333</v>
      </c>
      <c r="D36" s="95">
        <f>('Non-Resident FTE'!E36-'Non-Resident FTE'!D36)/'Non-Resident FTE'!D36</f>
        <v>-0.48717948717948717</v>
      </c>
      <c r="E36" s="95">
        <f>('Non-Resident FTE'!F36-'Non-Resident FTE'!E36)/'Non-Resident FTE'!E36</f>
        <v>0.25</v>
      </c>
      <c r="F36" s="95">
        <f>('Non-Resident FTE'!G36-'Non-Resident FTE'!F36)/'Non-Resident FTE'!F36</f>
        <v>-0.48</v>
      </c>
      <c r="G36" s="95">
        <f>('Non-Resident FTE'!H36-'Non-Resident FTE'!G36)/'Non-Resident FTE'!G36</f>
        <v>0.38461538461538464</v>
      </c>
      <c r="H36" s="95">
        <f>('Non-Resident FTE'!I36-'Non-Resident FTE'!H36)/'Non-Resident FTE'!H36</f>
        <v>-0.1111111111111111</v>
      </c>
      <c r="I36" s="95">
        <v>0.183</v>
      </c>
      <c r="J36" s="95">
        <f>('Non-Resident FTE'!K36-'Non-Resident FTE'!J36)/'Non-Resident FTE'!J36</f>
        <v>-0.13108945969884842</v>
      </c>
      <c r="K36" s="95">
        <f>('Non-Resident FTE'!L36-'Non-Resident FTE'!K36)/'Non-Resident FTE'!K36</f>
        <v>-0.15392456676860344</v>
      </c>
      <c r="L36" s="95">
        <f>('Non-Resident FTE'!M36-'Non-Resident FTE'!L36)/'Non-Resident FTE'!L36</f>
        <v>-0.31927710843373497</v>
      </c>
      <c r="M36" s="95">
        <f>('Non-Resident FTE'!N36-'Non-Resident FTE'!M36)/'Non-Resident FTE'!M36</f>
        <v>-0.15929203539823014</v>
      </c>
      <c r="N36" s="95">
        <f>('Non-Resident FTE'!O36-'Non-Resident FTE'!N36)/'Non-Resident FTE'!N36</f>
        <v>2.8631578947368426</v>
      </c>
      <c r="O36" s="95">
        <f>('Non-Resident FTE'!P36-'Non-Resident FTE'!O36)/'Non-Resident FTE'!O36</f>
        <v>0.96730245231607626</v>
      </c>
      <c r="P36" s="94">
        <f>('Non-Resident FTE'!Q36-'Non-Resident FTE'!P36)/'Non-Resident FTE'!P36</f>
        <v>6.5927977839335045E-2</v>
      </c>
      <c r="Q36" s="96">
        <f>('Non-Resident FTE'!R36-'Non-Resident FTE'!Q36)/'Non-Resident FTE'!Q36</f>
        <v>-0.22115384615384612</v>
      </c>
      <c r="R36" s="96">
        <f>('Non-Resident FTE'!S36-'Non-Resident FTE'!R36)/'Non-Resident FTE'!R36</f>
        <v>0.10110110110110114</v>
      </c>
      <c r="S36" s="97">
        <f>('Non-Resident FTE'!T36-'Non-Resident FTE'!S36)/'Non-Resident FTE'!S36</f>
        <v>5.9403033144827352E-2</v>
      </c>
      <c r="T36" s="98"/>
    </row>
    <row r="37" spans="1:20">
      <c r="A37" s="34" t="s">
        <v>55</v>
      </c>
      <c r="B37" s="94">
        <f>('Non-Resident FTE'!C37-'Non-Resident FTE'!B37)/'Non-Resident FTE'!B37</f>
        <v>0.18823529411764706</v>
      </c>
      <c r="C37" s="95">
        <f>('Non-Resident FTE'!D37-'Non-Resident FTE'!C37)/'Non-Resident FTE'!C37</f>
        <v>-0.22772277227722773</v>
      </c>
      <c r="D37" s="95">
        <f>('Non-Resident FTE'!E37-'Non-Resident FTE'!D37)/'Non-Resident FTE'!D37</f>
        <v>-5.128205128205128E-2</v>
      </c>
      <c r="E37" s="95">
        <f>('Non-Resident FTE'!F37-'Non-Resident FTE'!E37)/'Non-Resident FTE'!E37</f>
        <v>5.4054054054054057E-2</v>
      </c>
      <c r="F37" s="95">
        <f>('Non-Resident FTE'!G37-'Non-Resident FTE'!F37)/'Non-Resident FTE'!F37</f>
        <v>0.71794871794871795</v>
      </c>
      <c r="G37" s="95">
        <f>('Non-Resident FTE'!H37-'Non-Resident FTE'!G37)/'Non-Resident FTE'!G37</f>
        <v>-0.44029850746268656</v>
      </c>
      <c r="H37" s="95">
        <f>('Non-Resident FTE'!I37-'Non-Resident FTE'!H37)/'Non-Resident FTE'!H37</f>
        <v>5.3333333333333337E-2</v>
      </c>
      <c r="I37" s="95">
        <f>('Non-Resident FTE'!J37-'Non-Resident FTE'!I37)/'Non-Resident FTE'!I37</f>
        <v>-6.7721518987341703E-2</v>
      </c>
      <c r="J37" s="95">
        <f>('Non-Resident FTE'!K37-'Non-Resident FTE'!J37)/'Non-Resident FTE'!J37</f>
        <v>-0.20461642905634767</v>
      </c>
      <c r="K37" s="95">
        <f>('Non-Resident FTE'!L37-'Non-Resident FTE'!K37)/'Non-Resident FTE'!K37</f>
        <v>0.38340730624786629</v>
      </c>
      <c r="L37" s="95">
        <f>('Non-Resident FTE'!M37-'Non-Resident FTE'!L37)/'Non-Resident FTE'!L37</f>
        <v>3.7882527147087772E-2</v>
      </c>
      <c r="M37" s="95">
        <f>('Non-Resident FTE'!N37-'Non-Resident FTE'!M37)/'Non-Resident FTE'!M37</f>
        <v>1.2126976578290287E-2</v>
      </c>
      <c r="N37" s="95">
        <f>('Non-Resident FTE'!O37-'Non-Resident FTE'!N37)/'Non-Resident FTE'!N37</f>
        <v>-0.12322330553271461</v>
      </c>
      <c r="O37" s="95">
        <f>('Non-Resident FTE'!P37-'Non-Resident FTE'!O37)/'Non-Resident FTE'!O37</f>
        <v>-5.2250803858520975E-2</v>
      </c>
      <c r="P37" s="94">
        <f>('Non-Resident FTE'!Q37-'Non-Resident FTE'!P37)/'Non-Resident FTE'!P37</f>
        <v>0.28682499293186325</v>
      </c>
      <c r="Q37" s="96">
        <f>('Non-Resident FTE'!R37-'Non-Resident FTE'!Q37)/'Non-Resident FTE'!Q37</f>
        <v>0.1167746896627485</v>
      </c>
      <c r="R37" s="96">
        <f>('Non-Resident FTE'!S37-'Non-Resident FTE'!R37)/'Non-Resident FTE'!R37</f>
        <v>-0.14420617745425926</v>
      </c>
      <c r="S37" s="97">
        <f>('Non-Resident FTE'!T37-'Non-Resident FTE'!S37)/'Non-Resident FTE'!S37</f>
        <v>3.2724075378882944E-2</v>
      </c>
      <c r="T37" s="98"/>
    </row>
    <row r="38" spans="1:20">
      <c r="A38" s="34" t="s">
        <v>56</v>
      </c>
      <c r="B38" s="94">
        <f>('Non-Resident FTE'!C38-'Non-Resident FTE'!B38)/'Non-Resident FTE'!B38</f>
        <v>1.6666666666666666E-2</v>
      </c>
      <c r="C38" s="95">
        <f>('Non-Resident FTE'!D38-'Non-Resident FTE'!C38)/'Non-Resident FTE'!C38</f>
        <v>-0.18032786885245902</v>
      </c>
      <c r="D38" s="95">
        <f>('Non-Resident FTE'!E38-'Non-Resident FTE'!D38)/'Non-Resident FTE'!D38</f>
        <v>0.04</v>
      </c>
      <c r="E38" s="95">
        <f>('Non-Resident FTE'!F38-'Non-Resident FTE'!E38)/'Non-Resident FTE'!E38</f>
        <v>-0.23076923076923078</v>
      </c>
      <c r="F38" s="95">
        <f>('Non-Resident FTE'!G38-'Non-Resident FTE'!F38)/'Non-Resident FTE'!F38</f>
        <v>-0.2</v>
      </c>
      <c r="G38" s="95">
        <f>('Non-Resident FTE'!H38-'Non-Resident FTE'!G38)/'Non-Resident FTE'!G38</f>
        <v>-0.40625</v>
      </c>
      <c r="H38" s="95">
        <f>('Non-Resident FTE'!I38-'Non-Resident FTE'!H38)/'Non-Resident FTE'!H38</f>
        <v>0</v>
      </c>
      <c r="I38" s="95">
        <f>('Non-Resident FTE'!J38-'Non-Resident FTE'!I38)/'Non-Resident FTE'!I38</f>
        <v>0.33526315789473687</v>
      </c>
      <c r="J38" s="95">
        <f>('Non-Resident FTE'!K38-'Non-Resident FTE'!J38)/'Non-Resident FTE'!J38</f>
        <v>-0.23531730390224684</v>
      </c>
      <c r="K38" s="95">
        <f>('Non-Resident FTE'!L38-'Non-Resident FTE'!K38)/'Non-Resident FTE'!K38</f>
        <v>2.2680412371134089E-2</v>
      </c>
      <c r="L38" s="95">
        <f>('Non-Resident FTE'!M38-'Non-Resident FTE'!L38)/'Non-Resident FTE'!L38</f>
        <v>0.609375</v>
      </c>
      <c r="M38" s="95">
        <f>('Non-Resident FTE'!N38-'Non-Resident FTE'!M38)/'Non-Resident FTE'!M38</f>
        <v>-2.9126213592233E-2</v>
      </c>
      <c r="N38" s="95">
        <f>('Non-Resident FTE'!O38-'Non-Resident FTE'!N38)/'Non-Resident FTE'!N38</f>
        <v>0.20322580645161281</v>
      </c>
      <c r="O38" s="95">
        <f>('Non-Resident FTE'!P38-'Non-Resident FTE'!O38)/'Non-Resident FTE'!O38</f>
        <v>8.8471849865951857E-2</v>
      </c>
      <c r="P38" s="94">
        <f>('Non-Resident FTE'!Q38-'Non-Resident FTE'!P38)/'Non-Resident FTE'!P38</f>
        <v>1.0295566502463054</v>
      </c>
      <c r="Q38" s="96">
        <f>('Non-Resident FTE'!R38-'Non-Resident FTE'!Q38)/'Non-Resident FTE'!Q38</f>
        <v>0.18155339805825235</v>
      </c>
      <c r="R38" s="96">
        <f>('Non-Resident FTE'!S38-'Non-Resident FTE'!R38)/'Non-Resident FTE'!R38</f>
        <v>0.14009860312243222</v>
      </c>
      <c r="S38" s="97">
        <f>('Non-Resident FTE'!T38-'Non-Resident FTE'!S38)/'Non-Resident FTE'!S38</f>
        <v>-1.4480502724947567E-2</v>
      </c>
      <c r="T38" s="98"/>
    </row>
    <row r="39" spans="1:20">
      <c r="A39" s="34" t="s">
        <v>57</v>
      </c>
      <c r="B39" s="94">
        <f>('Non-Resident FTE'!C39-'Non-Resident FTE'!B39)/'Non-Resident FTE'!B39</f>
        <v>0.29007633587786258</v>
      </c>
      <c r="C39" s="95">
        <f>('Non-Resident FTE'!D39-'Non-Resident FTE'!C39)/'Non-Resident FTE'!C39</f>
        <v>-0.11834319526627218</v>
      </c>
      <c r="D39" s="95">
        <f>('Non-Resident FTE'!E39-'Non-Resident FTE'!D39)/'Non-Resident FTE'!D39</f>
        <v>-0.18791946308724833</v>
      </c>
      <c r="E39" s="95">
        <f>('Non-Resident FTE'!F39-'Non-Resident FTE'!E39)/'Non-Resident FTE'!E39</f>
        <v>2.4793388429752067E-2</v>
      </c>
      <c r="F39" s="95">
        <f>('Non-Resident FTE'!G39-'Non-Resident FTE'!F39)/'Non-Resident FTE'!F39</f>
        <v>0.14516129032258066</v>
      </c>
      <c r="G39" s="95">
        <f>('Non-Resident FTE'!H39-'Non-Resident FTE'!G39)/'Non-Resident FTE'!G39</f>
        <v>3.5211267605633804E-2</v>
      </c>
      <c r="H39" s="95">
        <f>('Non-Resident FTE'!I39-'Non-Resident FTE'!H39)/'Non-Resident FTE'!H39</f>
        <v>-0.22448979591836735</v>
      </c>
      <c r="I39" s="95">
        <f>('Non-Resident FTE'!J39-'Non-Resident FTE'!I39)/'Non-Resident FTE'!I39</f>
        <v>3.8596491228070226E-2</v>
      </c>
      <c r="J39" s="95">
        <f>('Non-Resident FTE'!K39-'Non-Resident FTE'!J39)/'Non-Resident FTE'!J39</f>
        <v>6.8412162162162116E-2</v>
      </c>
      <c r="K39" s="95">
        <f>('Non-Resident FTE'!L39-'Non-Resident FTE'!K39)/'Non-Resident FTE'!K39</f>
        <v>0.36284584980237161</v>
      </c>
      <c r="L39" s="95">
        <f>('Non-Resident FTE'!M39-'Non-Resident FTE'!L39)/'Non-Resident FTE'!L39</f>
        <v>0.44373549883990721</v>
      </c>
      <c r="M39" s="95">
        <f>('Non-Resident FTE'!N39-'Non-Resident FTE'!M39)/'Non-Resident FTE'!M39</f>
        <v>-1.366010445962236E-2</v>
      </c>
      <c r="N39" s="95">
        <f>('Non-Resident FTE'!O39-'Non-Resident FTE'!N39)/'Non-Resident FTE'!N39</f>
        <v>9.9796334012219962E-2</v>
      </c>
      <c r="O39" s="95">
        <f>('Non-Resident FTE'!P39-'Non-Resident FTE'!O39)/'Non-Resident FTE'!O39</f>
        <v>0.29000000000000004</v>
      </c>
      <c r="P39" s="94">
        <f>('Non-Resident FTE'!Q39-'Non-Resident FTE'!P39)/'Non-Resident FTE'!P39</f>
        <v>-4.1917886879128232E-3</v>
      </c>
      <c r="Q39" s="96">
        <f>('Non-Resident FTE'!R39-'Non-Resident FTE'!Q39)/'Non-Resident FTE'!Q39</f>
        <v>9.2376888478837571E-2</v>
      </c>
      <c r="R39" s="96">
        <f>('Non-Resident FTE'!S39-'Non-Resident FTE'!R39)/'Non-Resident FTE'!R39</f>
        <v>0.38302364864864868</v>
      </c>
      <c r="S39" s="97">
        <f>('Non-Resident FTE'!T39-'Non-Resident FTE'!S39)/'Non-Resident FTE'!S39</f>
        <v>0.56800560285770185</v>
      </c>
      <c r="T39" s="98"/>
    </row>
    <row r="40" spans="1:20">
      <c r="A40" s="34" t="s">
        <v>58</v>
      </c>
      <c r="B40" s="94">
        <f>('Non-Resident FTE'!C40-'Non-Resident FTE'!B40)/'Non-Resident FTE'!B40</f>
        <v>6.6666666666666666E-2</v>
      </c>
      <c r="C40" s="95">
        <f>('Non-Resident FTE'!D40-'Non-Resident FTE'!C40)/'Non-Resident FTE'!C40</f>
        <v>8.3333333333333329E-2</v>
      </c>
      <c r="D40" s="95">
        <f>('Non-Resident FTE'!E40-'Non-Resident FTE'!D40)/'Non-Resident FTE'!D40</f>
        <v>0.13461538461538461</v>
      </c>
      <c r="E40" s="95">
        <f>('Non-Resident FTE'!F40-'Non-Resident FTE'!E40)/'Non-Resident FTE'!E40</f>
        <v>0.25423728813559321</v>
      </c>
      <c r="F40" s="95">
        <f>('Non-Resident FTE'!G40-'Non-Resident FTE'!F40)/'Non-Resident FTE'!F40</f>
        <v>8.1081081081081086E-2</v>
      </c>
      <c r="G40" s="95">
        <f>('Non-Resident FTE'!H40-'Non-Resident FTE'!G40)/'Non-Resident FTE'!G40</f>
        <v>0.26250000000000001</v>
      </c>
      <c r="H40" s="95">
        <f>('Non-Resident FTE'!I40-'Non-Resident FTE'!H40)/'Non-Resident FTE'!H40</f>
        <v>0.6633663366336634</v>
      </c>
      <c r="I40" s="95">
        <f>('Non-Resident FTE'!J40-'Non-Resident FTE'!I40)/'Non-Resident FTE'!I40</f>
        <v>-6.58928571428571E-2</v>
      </c>
      <c r="J40" s="95">
        <f>('Non-Resident FTE'!K40-'Non-Resident FTE'!J40)/'Non-Resident FTE'!J40</f>
        <v>-0.15554705919836867</v>
      </c>
      <c r="K40" s="95">
        <f>('Non-Resident FTE'!L40-'Non-Resident FTE'!K40)/'Non-Resident FTE'!K40</f>
        <v>-0.10964382734681569</v>
      </c>
      <c r="L40" s="95">
        <f>('Non-Resident FTE'!M40-'Non-Resident FTE'!L40)/'Non-Resident FTE'!L40</f>
        <v>1.7459106703957984E-2</v>
      </c>
      <c r="M40" s="95">
        <f>('Non-Resident FTE'!N40-'Non-Resident FTE'!M40)/'Non-Resident FTE'!M40</f>
        <v>-4.2065805914202392E-2</v>
      </c>
      <c r="N40" s="95">
        <f>('Non-Resident FTE'!O40-'Non-Resident FTE'!N40)/'Non-Resident FTE'!N40</f>
        <v>-5.2521739130434834E-2</v>
      </c>
      <c r="O40" s="95">
        <f>('Non-Resident FTE'!P40-'Non-Resident FTE'!O40)/'Non-Resident FTE'!O40</f>
        <v>-0.12298091042584428</v>
      </c>
      <c r="P40" s="94">
        <f>('Non-Resident FTE'!Q40-'Non-Resident FTE'!P40)/'Non-Resident FTE'!P40</f>
        <v>-0.16282963583089161</v>
      </c>
      <c r="Q40" s="96">
        <f>('Non-Resident FTE'!R40-'Non-Resident FTE'!Q40)/'Non-Resident FTE'!Q40</f>
        <v>3.2499999999999932E-2</v>
      </c>
      <c r="R40" s="96">
        <f>('Non-Resident FTE'!S40-'Non-Resident FTE'!R40)/'Non-Resident FTE'!R40</f>
        <v>0.15012106537530273</v>
      </c>
      <c r="S40" s="97">
        <f>('Non-Resident FTE'!T40-'Non-Resident FTE'!S40)/'Non-Resident FTE'!S40</f>
        <v>0.41258892245290862</v>
      </c>
      <c r="T40" s="98"/>
    </row>
    <row r="41" spans="1:20">
      <c r="A41" s="34" t="s">
        <v>59</v>
      </c>
      <c r="B41" s="94">
        <f>('Non-Resident FTE'!C41-'Non-Resident FTE'!B41)/'Non-Resident FTE'!B41</f>
        <v>0.33653846153846156</v>
      </c>
      <c r="C41" s="95">
        <f>('Non-Resident FTE'!D41-'Non-Resident FTE'!C41)/'Non-Resident FTE'!C41</f>
        <v>0.23021582733812951</v>
      </c>
      <c r="D41" s="95">
        <f>('Non-Resident FTE'!E41-'Non-Resident FTE'!D41)/'Non-Resident FTE'!D41</f>
        <v>0.1871345029239766</v>
      </c>
      <c r="E41" s="95">
        <f>('Non-Resident FTE'!F41-'Non-Resident FTE'!E41)/'Non-Resident FTE'!E41</f>
        <v>-0.29310344827586204</v>
      </c>
      <c r="F41" s="95">
        <f>('Non-Resident FTE'!G41-'Non-Resident FTE'!F41)/'Non-Resident FTE'!F41</f>
        <v>-0.38327526132404183</v>
      </c>
      <c r="G41" s="95">
        <f>('Non-Resident FTE'!H41-'Non-Resident FTE'!G41)/'Non-Resident FTE'!G41</f>
        <v>-0.15254237288135594</v>
      </c>
      <c r="H41" s="95">
        <f>('Non-Resident FTE'!I41-'Non-Resident FTE'!H41)/'Non-Resident FTE'!H41</f>
        <v>0.13333333333333333</v>
      </c>
      <c r="I41" s="95">
        <f>('Non-Resident FTE'!J41-'Non-Resident FTE'!I41)/'Non-Resident FTE'!I41</f>
        <v>-1.2882352941176458E-2</v>
      </c>
      <c r="J41" s="95">
        <f>('Non-Resident FTE'!K41-'Non-Resident FTE'!J41)/'Non-Resident FTE'!J41</f>
        <v>7.8660389726475967E-3</v>
      </c>
      <c r="K41" s="95">
        <f>('Non-Resident FTE'!L41-'Non-Resident FTE'!K41)/'Non-Resident FTE'!K41</f>
        <v>1.8920357121740772E-2</v>
      </c>
      <c r="L41" s="95">
        <f>('Non-Resident FTE'!M41-'Non-Resident FTE'!L41)/'Non-Resident FTE'!L41</f>
        <v>-0.14083444554053276</v>
      </c>
      <c r="M41" s="95">
        <f>('Non-Resident FTE'!N41-'Non-Resident FTE'!M41)/'Non-Resident FTE'!M41</f>
        <v>-0.12548966635147921</v>
      </c>
      <c r="N41" s="95">
        <f>('Non-Resident FTE'!O41-'Non-Resident FTE'!N41)/'Non-Resident FTE'!N41</f>
        <v>3.5835650293481736E-2</v>
      </c>
      <c r="O41" s="95">
        <f>('Non-Resident FTE'!P41-'Non-Resident FTE'!O41)/'Non-Resident FTE'!O41</f>
        <v>2.8705636743214989E-2</v>
      </c>
      <c r="P41" s="94">
        <f>('Non-Resident FTE'!Q41-'Non-Resident FTE'!P41)/'Non-Resident FTE'!P41</f>
        <v>0.18670725520040582</v>
      </c>
      <c r="Q41" s="96">
        <f>('Non-Resident FTE'!R41-'Non-Resident FTE'!Q41)/'Non-Resident FTE'!Q41</f>
        <v>0.31099981677151417</v>
      </c>
      <c r="R41" s="96">
        <f>('Non-Resident FTE'!S41-'Non-Resident FTE'!R41)/'Non-Resident FTE'!R41</f>
        <v>7.1511763335662684E-2</v>
      </c>
      <c r="S41" s="97">
        <f>('Non-Resident FTE'!T41-'Non-Resident FTE'!S41)/'Non-Resident FTE'!S41</f>
        <v>0.24202130901864408</v>
      </c>
      <c r="T41" s="98"/>
    </row>
    <row r="42" spans="1:20" ht="12.75" thickBot="1">
      <c r="A42" s="45" t="s">
        <v>60</v>
      </c>
      <c r="B42" s="99">
        <f>('Non-Resident FTE'!C42-'Non-Resident FTE'!B42)/'Non-Resident FTE'!B42</f>
        <v>-0.11926605504587157</v>
      </c>
      <c r="C42" s="100">
        <f>('Non-Resident FTE'!D42-'Non-Resident FTE'!C42)/'Non-Resident FTE'!C42</f>
        <v>-4.1666666666666664E-2</v>
      </c>
      <c r="D42" s="100">
        <f>('Non-Resident FTE'!E42-'Non-Resident FTE'!D42)/'Non-Resident FTE'!D42</f>
        <v>-5.434782608695652E-3</v>
      </c>
      <c r="E42" s="100">
        <f>('Non-Resident FTE'!F42-'Non-Resident FTE'!E42)/'Non-Resident FTE'!E42</f>
        <v>-7.650273224043716E-2</v>
      </c>
      <c r="F42" s="100">
        <f>('Non-Resident FTE'!G42-'Non-Resident FTE'!F42)/'Non-Resident FTE'!F42</f>
        <v>1.1834319526627219E-2</v>
      </c>
      <c r="G42" s="100">
        <f>('Non-Resident FTE'!H42-'Non-Resident FTE'!G42)/'Non-Resident FTE'!G42</f>
        <v>-2.3391812865497075E-2</v>
      </c>
      <c r="H42" s="100">
        <f>('Non-Resident FTE'!I42-'Non-Resident FTE'!H42)/'Non-Resident FTE'!H42</f>
        <v>-2.9940119760479042E-2</v>
      </c>
      <c r="I42" s="100">
        <f>('Non-Resident FTE'!J42-'Non-Resident FTE'!I42)/'Non-Resident FTE'!I42</f>
        <v>-7.716049382716049E-2</v>
      </c>
      <c r="J42" s="100">
        <f>('Non-Resident FTE'!K42-'Non-Resident FTE'!J42)/'Non-Resident FTE'!J42</f>
        <v>-7.7792642140468202E-2</v>
      </c>
      <c r="K42" s="100">
        <f>('Non-Resident FTE'!L42-'Non-Resident FTE'!K42)/'Non-Resident FTE'!K42</f>
        <v>7.4925654602161343E-2</v>
      </c>
      <c r="L42" s="100">
        <f>('Non-Resident FTE'!M42-'Non-Resident FTE'!L42)/'Non-Resident FTE'!L42</f>
        <v>-2.5775978407557312E-2</v>
      </c>
      <c r="M42" s="100">
        <f>('Non-Resident FTE'!N42-'Non-Resident FTE'!M42)/'Non-Resident FTE'!M42</f>
        <v>-7.3348109156392879E-2</v>
      </c>
      <c r="N42" s="100">
        <f>('Non-Resident FTE'!O42-'Non-Resident FTE'!N42)/'Non-Resident FTE'!N42</f>
        <v>0.10456685850960468</v>
      </c>
      <c r="O42" s="100">
        <f>('Non-Resident FTE'!P42-'Non-Resident FTE'!O42)/'Non-Resident FTE'!O42</f>
        <v>-0.31587494924888354</v>
      </c>
      <c r="P42" s="99">
        <f>('Non-Resident FTE'!Q42-'Non-Resident FTE'!P42)/'Non-Resident FTE'!P42</f>
        <v>-4.1147378832838741E-2</v>
      </c>
      <c r="Q42" s="96">
        <f>('Non-Resident FTE'!R42-'Non-Resident FTE'!Q42)/'Non-Resident FTE'!Q42</f>
        <v>0.16267794512069317</v>
      </c>
      <c r="R42" s="96">
        <f>('Non-Resident FTE'!S42-'Non-Resident FTE'!R42)/'Non-Resident FTE'!R42</f>
        <v>0.21550882796557544</v>
      </c>
      <c r="S42" s="97">
        <f>('Non-Resident FTE'!T42-'Non-Resident FTE'!S42)/'Non-Resident FTE'!S42</f>
        <v>0.24245798578036942</v>
      </c>
      <c r="T42" s="98"/>
    </row>
    <row r="43" spans="1:20" ht="12.75" thickTop="1">
      <c r="A43" s="50" t="s">
        <v>61</v>
      </c>
      <c r="B43" s="101">
        <f>('Non-Resident FTE'!C43-'Non-Resident FTE'!B43)/'Non-Resident FTE'!B43</f>
        <v>0.19675925925925927</v>
      </c>
      <c r="C43" s="90">
        <f>('Non-Resident FTE'!D43-'Non-Resident FTE'!C43)/'Non-Resident FTE'!C43</f>
        <v>0.18762088974854932</v>
      </c>
      <c r="D43" s="90">
        <f>('Non-Resident FTE'!E43-'Non-Resident FTE'!D43)/'Non-Resident FTE'!D43</f>
        <v>0.12866449511400652</v>
      </c>
      <c r="E43" s="90">
        <f>('Non-Resident FTE'!F43-'Non-Resident FTE'!E43)/'Non-Resident FTE'!E43</f>
        <v>-1.5873015873015872E-2</v>
      </c>
      <c r="F43" s="90">
        <f>('Non-Resident FTE'!G43-'Non-Resident FTE'!F43)/'Non-Resident FTE'!F43</f>
        <v>4.398826979472141E-2</v>
      </c>
      <c r="G43" s="90">
        <f>('Non-Resident FTE'!H43-'Non-Resident FTE'!G43)/'Non-Resident FTE'!G43</f>
        <v>0.11797752808988764</v>
      </c>
      <c r="H43" s="90">
        <f>('Non-Resident FTE'!I43-'Non-Resident FTE'!H43)/'Non-Resident FTE'!H43</f>
        <v>0.14572864321608039</v>
      </c>
      <c r="I43" s="90">
        <f>('Non-Resident FTE'!J43-'Non-Resident FTE'!I43)/'Non-Resident FTE'!I43</f>
        <v>-0.11645833333333337</v>
      </c>
      <c r="J43" s="90">
        <f>('Non-Resident FTE'!K43-'Non-Resident FTE'!J43)/'Non-Resident FTE'!J43</f>
        <v>3.0231201677856531E-2</v>
      </c>
      <c r="K43" s="90">
        <f>('Non-Resident FTE'!L43-'Non-Resident FTE'!K43)/'Non-Resident FTE'!K43</f>
        <v>-9.6946334999698874E-2</v>
      </c>
      <c r="L43" s="90">
        <f>('Non-Resident FTE'!M43-'Non-Resident FTE'!L43)/'Non-Resident FTE'!L43</f>
        <v>-9.8616724692197844E-2</v>
      </c>
      <c r="M43" s="90">
        <f>('Non-Resident FTE'!N43-'Non-Resident FTE'!M43)/'Non-Resident FTE'!M43</f>
        <v>-4.193920738745676E-2</v>
      </c>
      <c r="N43" s="90">
        <f>('Non-Resident FTE'!O43-'Non-Resident FTE'!N43)/'Non-Resident FTE'!N43</f>
        <v>7.6675934507259791E-2</v>
      </c>
      <c r="O43" s="90">
        <f>('Non-Resident FTE'!P43-'Non-Resident FTE'!O43)/'Non-Resident FTE'!O43</f>
        <v>-6.0986457018248584E-2</v>
      </c>
      <c r="P43" s="94">
        <f>('Non-Resident FTE'!Q43-'Non-Resident FTE'!P43)/'Non-Resident FTE'!P43</f>
        <v>4.0869020518540022E-2</v>
      </c>
      <c r="Q43" s="92">
        <f>('Non-Resident FTE'!R43-'Non-Resident FTE'!Q43)/'Non-Resident FTE'!Q43</f>
        <v>-1.8132045561296314E-2</v>
      </c>
      <c r="R43" s="92">
        <f>('Non-Resident FTE'!S43-'Non-Resident FTE'!R43)/'Non-Resident FTE'!R43</f>
        <v>0.10923912474754342</v>
      </c>
      <c r="S43" s="93">
        <f>('Non-Resident FTE'!T43-'Non-Resident FTE'!S43)/'Non-Resident FTE'!S43</f>
        <v>-2.3757368748619077E-2</v>
      </c>
      <c r="T43" s="98"/>
    </row>
    <row r="44" spans="1:20">
      <c r="A44" s="34" t="s">
        <v>62</v>
      </c>
      <c r="B44" s="94">
        <f>('Non-Resident FTE'!C44-'Non-Resident FTE'!B44)/'Non-Resident FTE'!B44</f>
        <v>9.0909090909090912E-2</v>
      </c>
      <c r="C44" s="95">
        <f>('Non-Resident FTE'!D44-'Non-Resident FTE'!C44)/'Non-Resident FTE'!C44</f>
        <v>0</v>
      </c>
      <c r="D44" s="95">
        <f>('Non-Resident FTE'!E44-'Non-Resident FTE'!D44)/'Non-Resident FTE'!D44</f>
        <v>0</v>
      </c>
      <c r="E44" s="95">
        <f>('Non-Resident FTE'!F44-'Non-Resident FTE'!E44)/'Non-Resident FTE'!E44</f>
        <v>0.13333333333333333</v>
      </c>
      <c r="F44" s="95">
        <f>('Non-Resident FTE'!G44-'Non-Resident FTE'!F44)/'Non-Resident FTE'!F44</f>
        <v>0.3235294117647059</v>
      </c>
      <c r="G44" s="95">
        <f>('Non-Resident FTE'!H44-'Non-Resident FTE'!G44)/'Non-Resident FTE'!G44</f>
        <v>0.58888888888888891</v>
      </c>
      <c r="H44" s="95">
        <f>('Non-Resident FTE'!I44-'Non-Resident FTE'!H44)/'Non-Resident FTE'!H44</f>
        <v>0.93006993006993011</v>
      </c>
      <c r="I44" s="95">
        <f>('Non-Resident FTE'!J44-'Non-Resident FTE'!I44)/'Non-Resident FTE'!I44</f>
        <v>-3.6992753623188331E-2</v>
      </c>
      <c r="J44" s="95">
        <f>('Non-Resident FTE'!K44-'Non-Resident FTE'!J44)/'Non-Resident FTE'!J44</f>
        <v>-0.11151661085819636</v>
      </c>
      <c r="K44" s="95">
        <f>('Non-Resident FTE'!L44-'Non-Resident FTE'!K44)/'Non-Resident FTE'!K44</f>
        <v>-0.12060131272496302</v>
      </c>
      <c r="L44" s="95">
        <f>('Non-Resident FTE'!M44-'Non-Resident FTE'!L44)/'Non-Resident FTE'!L44</f>
        <v>-0.23561419559878644</v>
      </c>
      <c r="M44" s="95">
        <f>('Non-Resident FTE'!N44-'Non-Resident FTE'!M44)/'Non-Resident FTE'!M44</f>
        <v>-0.26672546302129269</v>
      </c>
      <c r="N44" s="95">
        <f>('Non-Resident FTE'!O44-'Non-Resident FTE'!N44)/'Non-Resident FTE'!N44</f>
        <v>0.16872852233676963</v>
      </c>
      <c r="O44" s="95">
        <f>('Non-Resident FTE'!P44-'Non-Resident FTE'!O44)/'Non-Resident FTE'!O44</f>
        <v>-0.1728168185827697</v>
      </c>
      <c r="P44" s="94">
        <f>('Non-Resident FTE'!Q44-'Non-Resident FTE'!P44)/'Non-Resident FTE'!P44</f>
        <v>6.8870523415977963E-2</v>
      </c>
      <c r="Q44" s="96">
        <f>('Non-Resident FTE'!R44-'Non-Resident FTE'!Q44)/'Non-Resident FTE'!Q44</f>
        <v>-0.11932989690721645</v>
      </c>
      <c r="R44" s="96">
        <f>('Non-Resident FTE'!S44-'Non-Resident FTE'!R44)/'Non-Resident FTE'!R44</f>
        <v>0.12341518215374732</v>
      </c>
      <c r="S44" s="97">
        <f>('Non-Resident FTE'!T44-'Non-Resident FTE'!S44)/'Non-Resident FTE'!S44</f>
        <v>-3.1701146856673627E-2</v>
      </c>
      <c r="T44" s="98"/>
    </row>
    <row r="45" spans="1:20" ht="12.75" thickBot="1">
      <c r="A45" s="45" t="s">
        <v>63</v>
      </c>
      <c r="B45" s="99">
        <f>('Non-Resident FTE'!C45-'Non-Resident FTE'!B45)/'Non-Resident FTE'!B45</f>
        <v>0.21220159151193635</v>
      </c>
      <c r="C45" s="100">
        <f>('Non-Resident FTE'!D45-'Non-Resident FTE'!C45)/'Non-Resident FTE'!C45</f>
        <v>0.21225382932166301</v>
      </c>
      <c r="D45" s="100">
        <f>('Non-Resident FTE'!E45-'Non-Resident FTE'!D45)/'Non-Resident FTE'!D45</f>
        <v>0.14259927797833935</v>
      </c>
      <c r="E45" s="100">
        <f>('Non-Resident FTE'!F45-'Non-Resident FTE'!E45)/'Non-Resident FTE'!E45</f>
        <v>-3.0015797788309637E-2</v>
      </c>
      <c r="F45" s="100">
        <f>('Non-Resident FTE'!G45-'Non-Resident FTE'!F45)/'Non-Resident FTE'!F45</f>
        <v>1.3029315960912053E-2</v>
      </c>
      <c r="G45" s="100">
        <f>('Non-Resident FTE'!H45-'Non-Resident FTE'!G45)/'Non-Resident FTE'!G45</f>
        <v>4.9839228295819937E-2</v>
      </c>
      <c r="H45" s="100">
        <f>('Non-Resident FTE'!I45-'Non-Resident FTE'!H45)/'Non-Resident FTE'!H45</f>
        <v>-2.6033690658499236E-2</v>
      </c>
      <c r="I45" s="100">
        <f>('Non-Resident FTE'!J45-'Non-Resident FTE'!I45)/'Non-Resident FTE'!I45</f>
        <v>-0.15094339622641509</v>
      </c>
      <c r="J45" s="100">
        <f>('Non-Resident FTE'!K45-'Non-Resident FTE'!J45)/'Non-Resident FTE'!J45</f>
        <v>0.1</v>
      </c>
      <c r="K45" s="100">
        <f>('Non-Resident FTE'!L45-'Non-Resident FTE'!K45)/'Non-Resident FTE'!K45</f>
        <v>-8.7542087542087546E-2</v>
      </c>
      <c r="L45" s="100">
        <f>('Non-Resident FTE'!M45-'Non-Resident FTE'!L45)/'Non-Resident FTE'!L45</f>
        <v>-4.6125461254612546E-2</v>
      </c>
      <c r="M45" s="100">
        <f>('Non-Resident FTE'!N45-'Non-Resident FTE'!M45)/'Non-Resident FTE'!M45</f>
        <v>2.7079303675048357E-2</v>
      </c>
      <c r="N45" s="95">
        <f>('Non-Resident FTE'!O45-'Non-Resident FTE'!N45)/'Non-Resident FTE'!N45</f>
        <v>5.6497175141242938E-2</v>
      </c>
      <c r="O45" s="95">
        <f>('Non-Resident FTE'!P45-'Non-Resident FTE'!O45)/'Non-Resident FTE'!O45</f>
        <v>-3.3868092691622102E-2</v>
      </c>
      <c r="P45" s="99">
        <f>('Non-Resident FTE'!Q45-'Non-Resident FTE'!P45)/'Non-Resident FTE'!P45</f>
        <v>3.5055350553505532E-2</v>
      </c>
      <c r="Q45" s="103">
        <f>('Non-Resident FTE'!R45-'Non-Resident FTE'!Q45)/'Non-Resident FTE'!Q45</f>
        <v>3.5650623885918001E-3</v>
      </c>
      <c r="R45" s="103">
        <f>('Non-Resident FTE'!S45-'Non-Resident FTE'!R45)/'Non-Resident FTE'!R45</f>
        <v>0.10657193605683836</v>
      </c>
      <c r="S45" s="104">
        <f>('Non-Resident FTE'!T45-'Non-Resident FTE'!S45)/'Non-Resident FTE'!S45</f>
        <v>-2.2240017874046929E-2</v>
      </c>
      <c r="T45" s="98"/>
    </row>
    <row r="46" spans="1:20" ht="13.5" thickTop="1" thickBot="1">
      <c r="A46" s="70" t="s">
        <v>64</v>
      </c>
      <c r="B46" s="112">
        <f>('Non-Resident FTE'!C46-'Non-Resident FTE'!B46)/'Non-Resident FTE'!B46</f>
        <v>5.9655110929977842E-2</v>
      </c>
      <c r="C46" s="113">
        <f>('Non-Resident FTE'!D46-'Non-Resident FTE'!C46)/'Non-Resident FTE'!C46</f>
        <v>3.6922189370447475E-3</v>
      </c>
      <c r="D46" s="113">
        <f>('Non-Resident FTE'!E46-'Non-Resident FTE'!D46)/'Non-Resident FTE'!D46</f>
        <v>-1.0202468710034343E-2</v>
      </c>
      <c r="E46" s="113">
        <f>('Non-Resident FTE'!F46-'Non-Resident FTE'!E46)/'Non-Resident FTE'!E46</f>
        <v>1.3104726509003416E-2</v>
      </c>
      <c r="F46" s="113">
        <f>('Non-Resident FTE'!G46-'Non-Resident FTE'!F46)/'Non-Resident FTE'!F46</f>
        <v>-1.1258603971320754E-2</v>
      </c>
      <c r="G46" s="113">
        <f>('Non-Resident FTE'!H46-'Non-Resident FTE'!G46)/'Non-Resident FTE'!G46</f>
        <v>1.6367624182343412E-2</v>
      </c>
      <c r="H46" s="113">
        <f>('Non-Resident FTE'!I46-'Non-Resident FTE'!H46)/'Non-Resident FTE'!H46</f>
        <v>9.929556711125373E-3</v>
      </c>
      <c r="I46" s="113">
        <f>('Non-Resident FTE'!J46-'Non-Resident FTE'!I46)/'Non-Resident FTE'!I46</f>
        <v>2.7415506116127081E-3</v>
      </c>
      <c r="J46" s="113">
        <f>('Non-Resident FTE'!K46-'Non-Resident FTE'!J46)/'Non-Resident FTE'!J46</f>
        <v>-3.5192099636943554E-3</v>
      </c>
      <c r="K46" s="113">
        <f>('Non-Resident FTE'!L46-'Non-Resident FTE'!K46)/'Non-Resident FTE'!K46</f>
        <v>3.2101086123220074E-2</v>
      </c>
      <c r="L46" s="113">
        <f>('Non-Resident FTE'!M46-'Non-Resident FTE'!L46)/'Non-Resident FTE'!L46</f>
        <v>1.3511385827511806E-2</v>
      </c>
      <c r="M46" s="113">
        <f>('Non-Resident FTE'!N46-'Non-Resident FTE'!M46)/'Non-Resident FTE'!M46</f>
        <v>-9.9576953298255548E-3</v>
      </c>
      <c r="N46" s="113">
        <f>('Non-Resident FTE'!O46-'Non-Resident FTE'!N46)/'Non-Resident FTE'!N46</f>
        <v>-1.5698502875132858E-2</v>
      </c>
      <c r="O46" s="113">
        <f>('Non-Resident FTE'!P46-'Non-Resident FTE'!O46)/'Non-Resident FTE'!O46</f>
        <v>-3.7001491706963076E-2</v>
      </c>
      <c r="P46" s="114">
        <f>('Non-Resident FTE'!Q46-'Non-Resident FTE'!P46)/'Non-Resident FTE'!P46</f>
        <v>3.1218934793190555E-2</v>
      </c>
      <c r="Q46" s="109">
        <f>('Non-Resident FTE'!R46-'Non-Resident FTE'!Q46)/'Non-Resident FTE'!Q46</f>
        <v>4.7966500475105207E-2</v>
      </c>
      <c r="R46" s="109">
        <f>('Non-Resident FTE'!S46-'Non-Resident FTE'!R46)/'Non-Resident FTE'!R46</f>
        <v>6.5917592453266283E-2</v>
      </c>
      <c r="S46" s="110">
        <f>('Non-Resident FTE'!T46-'Non-Resident FTE'!S46)/'Non-Resident FTE'!S46</f>
        <v>7.737151268887843E-2</v>
      </c>
      <c r="T46" s="98"/>
    </row>
    <row r="47" spans="1:20" ht="12.75" thickTop="1">
      <c r="A47" s="50" t="s">
        <v>65</v>
      </c>
      <c r="B47" s="101">
        <f>('Non-Resident FTE'!C47-'Non-Resident FTE'!B47)/'Non-Resident FTE'!B47</f>
        <v>0.19675925925925927</v>
      </c>
      <c r="C47" s="90">
        <f>('Non-Resident FTE'!D47-'Non-Resident FTE'!C47)/'Non-Resident FTE'!C47</f>
        <v>0.18762088974854932</v>
      </c>
      <c r="D47" s="90">
        <f>('Non-Resident FTE'!E47-'Non-Resident FTE'!D47)/'Non-Resident FTE'!D47</f>
        <v>0.12866449511400652</v>
      </c>
      <c r="E47" s="90">
        <f>('Non-Resident FTE'!F47-'Non-Resident FTE'!E47)/'Non-Resident FTE'!E47</f>
        <v>-1.5873015873015872E-2</v>
      </c>
      <c r="F47" s="90">
        <f>('Non-Resident FTE'!G47-'Non-Resident FTE'!F47)/'Non-Resident FTE'!F47</f>
        <v>4.398826979472141E-2</v>
      </c>
      <c r="G47" s="90">
        <f>('Non-Resident FTE'!H47-'Non-Resident FTE'!G47)/'Non-Resident FTE'!G47</f>
        <v>0.11797752808988764</v>
      </c>
      <c r="H47" s="90">
        <f>('Non-Resident FTE'!I47-'Non-Resident FTE'!H47)/'Non-Resident FTE'!H47</f>
        <v>0.14572864321608039</v>
      </c>
      <c r="I47" s="90">
        <f>('Non-Resident FTE'!J47-'Non-Resident FTE'!I47)/'Non-Resident FTE'!I47</f>
        <v>-0.11645833333333337</v>
      </c>
      <c r="J47" s="90">
        <f>('Non-Resident FTE'!K47-'Non-Resident FTE'!J47)/'Non-Resident FTE'!J47</f>
        <v>3.0231201677856531E-2</v>
      </c>
      <c r="K47" s="90">
        <f>('Non-Resident FTE'!L47-'Non-Resident FTE'!K47)/'Non-Resident FTE'!K47</f>
        <v>-9.6946334999698874E-2</v>
      </c>
      <c r="L47" s="90">
        <f>('Non-Resident FTE'!M47-'Non-Resident FTE'!L47)/'Non-Resident FTE'!L47</f>
        <v>-9.8616724692197844E-2</v>
      </c>
      <c r="M47" s="90">
        <f>('Non-Resident FTE'!N47-'Non-Resident FTE'!M47)/'Non-Resident FTE'!M47</f>
        <v>-4.193920738745676E-2</v>
      </c>
      <c r="N47" s="90">
        <f>('Non-Resident FTE'!O47-'Non-Resident FTE'!N47)/'Non-Resident FTE'!N47</f>
        <v>7.6675934507259791E-2</v>
      </c>
      <c r="O47" s="90">
        <f>('Non-Resident FTE'!P47-'Non-Resident FTE'!O47)/'Non-Resident FTE'!O47</f>
        <v>-6.0986457018248584E-2</v>
      </c>
      <c r="P47" s="94">
        <f>('Non-Resident FTE'!Q47-'Non-Resident FTE'!P47)/'Non-Resident FTE'!P47</f>
        <v>4.0869020518540022E-2</v>
      </c>
      <c r="Q47" s="92">
        <f>('Non-Resident FTE'!R47-'Non-Resident FTE'!Q47)/'Non-Resident FTE'!Q47</f>
        <v>-1.8132045561296314E-2</v>
      </c>
      <c r="R47" s="92">
        <f>('Non-Resident FTE'!S47-'Non-Resident FTE'!R47)/'Non-Resident FTE'!R47</f>
        <v>0.10923912474754342</v>
      </c>
      <c r="S47" s="93">
        <f>('Non-Resident FTE'!T47-'Non-Resident FTE'!S47)/'Non-Resident FTE'!S47</f>
        <v>-2.3757368748619077E-2</v>
      </c>
      <c r="T47" s="98"/>
    </row>
    <row r="48" spans="1:20" ht="12.75" thickBot="1">
      <c r="A48" s="77" t="s">
        <v>66</v>
      </c>
      <c r="B48" s="115">
        <f>('Non-Resident FTE'!C48-'Non-Resident FTE'!B48)/'Non-Resident FTE'!B48</f>
        <v>6.2607481992871916E-2</v>
      </c>
      <c r="C48" s="116">
        <f>('Non-Resident FTE'!D48-'Non-Resident FTE'!C48)/'Non-Resident FTE'!C48</f>
        <v>8.1529259997654164E-3</v>
      </c>
      <c r="D48" s="116">
        <f>('Non-Resident FTE'!E48-'Non-Resident FTE'!D48)/'Non-Resident FTE'!D48</f>
        <v>-6.2350811723813826E-3</v>
      </c>
      <c r="E48" s="116">
        <f>('Non-Resident FTE'!F48-'Non-Resident FTE'!E48)/'Non-Resident FTE'!E48</f>
        <v>1.216445899060271E-2</v>
      </c>
      <c r="F48" s="116">
        <f>('Non-Resident FTE'!G48-'Non-Resident FTE'!F48)/'Non-Resident FTE'!F48</f>
        <v>-9.5156149529769078E-3</v>
      </c>
      <c r="G48" s="116">
        <f>('Non-Resident FTE'!H48-'Non-Resident FTE'!G48)/'Non-Resident FTE'!G48</f>
        <v>1.9746490187470191E-2</v>
      </c>
      <c r="H48" s="116">
        <f>('Non-Resident FTE'!I48-'Non-Resident FTE'!H48)/'Non-Resident FTE'!H48</f>
        <v>1.4880325361130603E-2</v>
      </c>
      <c r="I48" s="116">
        <f>('Non-Resident FTE'!J48-'Non-Resident FTE'!I48)/'Non-Resident FTE'!I48</f>
        <v>-2.1643478300112716E-3</v>
      </c>
      <c r="J48" s="116">
        <f>('Non-Resident FTE'!K48-'Non-Resident FTE'!J48)/'Non-Resident FTE'!J48</f>
        <v>-2.289253290422608E-3</v>
      </c>
      <c r="K48" s="116">
        <f>('Non-Resident FTE'!L48-'Non-Resident FTE'!K48)/'Non-Resident FTE'!K48</f>
        <v>2.7244958210870841E-2</v>
      </c>
      <c r="L48" s="116">
        <f>('Non-Resident FTE'!M48-'Non-Resident FTE'!L48)/'Non-Resident FTE'!L48</f>
        <v>9.802061287925502E-3</v>
      </c>
      <c r="M48" s="116">
        <f>('Non-Resident FTE'!N48-'Non-Resident FTE'!M48)/'Non-Resident FTE'!M48</f>
        <v>-1.0902087906277334E-2</v>
      </c>
      <c r="N48" s="116">
        <f>('Non-Resident FTE'!O48-'Non-Resident FTE'!N48)/'Non-Resident FTE'!N48</f>
        <v>-1.3056342589381315E-2</v>
      </c>
      <c r="O48" s="116">
        <f>('Non-Resident FTE'!P48-'Non-Resident FTE'!O48)/'Non-Resident FTE'!O48</f>
        <v>-3.7749900867060669E-2</v>
      </c>
      <c r="P48" s="117">
        <f>('Non-Resident FTE'!Q48-'Non-Resident FTE'!P48)/'Non-Resident FTE'!P48</f>
        <v>3.1512777599128711E-2</v>
      </c>
      <c r="Q48" s="118">
        <f>('Non-Resident FTE'!R48-'Non-Resident FTE'!Q48)/'Non-Resident FTE'!Q48</f>
        <v>4.5935559656455772E-2</v>
      </c>
      <c r="R48" s="118">
        <f>('Non-Resident FTE'!S48-'Non-Resident FTE'!R48)/'Non-Resident FTE'!R48</f>
        <v>6.7167153070206709E-2</v>
      </c>
      <c r="S48" s="119">
        <f>('Non-Resident FTE'!T48-'Non-Resident FTE'!S48)/'Non-Resident FTE'!S48</f>
        <v>7.4339566750593111E-2</v>
      </c>
      <c r="T48" s="98"/>
    </row>
    <row r="49" spans="17:18">
      <c r="Q49" s="122"/>
      <c r="R49" s="122"/>
    </row>
  </sheetData>
  <mergeCells count="4">
    <mergeCell ref="A1:S1"/>
    <mergeCell ref="A2:S2"/>
    <mergeCell ref="A4:A5"/>
    <mergeCell ref="B4:S4"/>
  </mergeCells>
  <printOptions horizontalCentered="1"/>
  <pageMargins left="0.25" right="0.25" top="0.5" bottom="0.5" header="0" footer="0"/>
  <pageSetup scale="88" orientation="landscape" r:id="rId1"/>
  <headerFooter alignWithMargins="0">
    <oddFooter>&amp;L&amp;"Arial,Regular"Colorado Department of Higher Education
Final Student FTE Enrollment Report&amp;R&amp;"Arial,Regular"Updated February 2010 with FY09-10 Projections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50"/>
  <sheetViews>
    <sheetView showRuler="0" zoomScaleNormal="100" zoomScaleSheetLayoutView="100" workbookViewId="0">
      <selection activeCell="L26" sqref="L26"/>
    </sheetView>
  </sheetViews>
  <sheetFormatPr defaultRowHeight="12"/>
  <cols>
    <col min="1" max="1" width="48" style="2" customWidth="1"/>
    <col min="2" max="4" width="10.5703125" style="2" hidden="1" customWidth="1"/>
    <col min="5" max="5" width="10.42578125" style="2" hidden="1" customWidth="1"/>
    <col min="6" max="10" width="10.5703125" style="2" hidden="1" customWidth="1"/>
    <col min="11" max="12" width="10.5703125" style="2" customWidth="1"/>
    <col min="13" max="14" width="10.5703125" style="4" customWidth="1"/>
    <col min="15" max="15" width="12.28515625" style="2" customWidth="1"/>
    <col min="16" max="17" width="10.5703125" style="2" customWidth="1"/>
    <col min="18" max="20" width="10.85546875" style="2" customWidth="1"/>
    <col min="21" max="16384" width="9.140625" style="2"/>
  </cols>
  <sheetData>
    <row r="1" spans="1:37" ht="18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37" ht="18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37" ht="12.75" thickBot="1">
      <c r="I3" s="3"/>
      <c r="J3" s="3"/>
    </row>
    <row r="4" spans="1:37" s="14" customFormat="1" ht="18.75" thickBot="1">
      <c r="A4" s="153" t="s">
        <v>2</v>
      </c>
      <c r="B4" s="83" t="s">
        <v>91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51"/>
    </row>
    <row r="5" spans="1:37" s="24" customFormat="1" ht="13.5" customHeight="1" thickBot="1">
      <c r="A5" s="154"/>
      <c r="B5" s="18" t="s">
        <v>4</v>
      </c>
      <c r="C5" s="18" t="s">
        <v>5</v>
      </c>
      <c r="D5" s="18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19" t="s">
        <v>11</v>
      </c>
      <c r="J5" s="19" t="s">
        <v>12</v>
      </c>
      <c r="K5" s="19" t="s">
        <v>13</v>
      </c>
      <c r="L5" s="19" t="s">
        <v>14</v>
      </c>
      <c r="M5" s="20" t="s">
        <v>15</v>
      </c>
      <c r="N5" s="20" t="s">
        <v>16</v>
      </c>
      <c r="O5" s="21" t="s">
        <v>17</v>
      </c>
      <c r="P5" s="21" t="s">
        <v>18</v>
      </c>
      <c r="Q5" s="132" t="s">
        <v>19</v>
      </c>
      <c r="R5" s="132" t="s">
        <v>20</v>
      </c>
      <c r="S5" s="132" t="s">
        <v>21</v>
      </c>
      <c r="T5" s="132" t="s">
        <v>22</v>
      </c>
    </row>
    <row r="6" spans="1:37" s="33" customFormat="1" ht="12.75" thickTop="1">
      <c r="A6" s="25" t="s">
        <v>23</v>
      </c>
      <c r="B6" s="27">
        <f t="shared" ref="B6:S6" si="0">SUM(B7:B10)</f>
        <v>36100.400000000001</v>
      </c>
      <c r="C6" s="27">
        <f t="shared" si="0"/>
        <v>35861</v>
      </c>
      <c r="D6" s="27">
        <f t="shared" si="0"/>
        <v>35709</v>
      </c>
      <c r="E6" s="27">
        <f t="shared" si="0"/>
        <v>35067</v>
      </c>
      <c r="F6" s="27">
        <f t="shared" si="0"/>
        <v>35111.93</v>
      </c>
      <c r="G6" s="27">
        <f t="shared" si="0"/>
        <v>35225</v>
      </c>
      <c r="H6" s="27">
        <f t="shared" si="0"/>
        <v>36199.9</v>
      </c>
      <c r="I6" s="27">
        <f t="shared" si="0"/>
        <v>36878.300000000003</v>
      </c>
      <c r="J6" s="28">
        <f t="shared" si="0"/>
        <v>37462.589999999997</v>
      </c>
      <c r="K6" s="28">
        <f t="shared" si="0"/>
        <v>38186.03</v>
      </c>
      <c r="L6" s="28">
        <f t="shared" si="0"/>
        <v>39547.68</v>
      </c>
      <c r="M6" s="28">
        <f t="shared" si="0"/>
        <v>42086.389999999992</v>
      </c>
      <c r="N6" s="28">
        <f t="shared" si="0"/>
        <v>43763.95</v>
      </c>
      <c r="O6" s="31">
        <f t="shared" si="0"/>
        <v>44279.08</v>
      </c>
      <c r="P6" s="31">
        <f t="shared" si="0"/>
        <v>44103.9</v>
      </c>
      <c r="Q6" s="30">
        <f t="shared" si="0"/>
        <v>44278.5</v>
      </c>
      <c r="R6" s="31">
        <f t="shared" si="0"/>
        <v>45145.100000000006</v>
      </c>
      <c r="S6" s="31">
        <f t="shared" si="0"/>
        <v>46725</v>
      </c>
      <c r="T6" s="32">
        <f>SUM(T7:T10)</f>
        <v>50733.542432226903</v>
      </c>
      <c r="U6" s="33" t="s">
        <v>25</v>
      </c>
    </row>
    <row r="7" spans="1:37">
      <c r="A7" s="34" t="s">
        <v>24</v>
      </c>
      <c r="B7" s="36">
        <f>'Resident FTE'!B7+'Non-Resident FTE'!B7</f>
        <v>22830</v>
      </c>
      <c r="C7" s="36">
        <f>'Resident FTE'!C7+'Non-Resident FTE'!C7</f>
        <v>22356</v>
      </c>
      <c r="D7" s="36">
        <f>'Resident FTE'!D7+'Non-Resident FTE'!D7</f>
        <v>22272</v>
      </c>
      <c r="E7" s="36">
        <f>'Resident FTE'!E7+'Non-Resident FTE'!E7</f>
        <v>21633</v>
      </c>
      <c r="F7" s="36">
        <f>'Resident FTE'!F7+'Non-Resident FTE'!F7</f>
        <v>21526.93</v>
      </c>
      <c r="G7" s="36">
        <f>'Resident FTE'!G7+'Non-Resident FTE'!G7</f>
        <v>21683</v>
      </c>
      <c r="H7" s="36">
        <f>'Resident FTE'!H7+'Non-Resident FTE'!H7</f>
        <v>22196</v>
      </c>
      <c r="I7" s="36">
        <f>'Resident FTE'!I7+'Non-Resident FTE'!I7</f>
        <v>22446</v>
      </c>
      <c r="J7" s="36">
        <f>'Resident FTE'!J7+'Non-Resident FTE'!J7</f>
        <v>22882</v>
      </c>
      <c r="K7" s="36">
        <f>'Resident FTE'!K7+'Non-Resident FTE'!K7</f>
        <v>23212.9</v>
      </c>
      <c r="L7" s="36">
        <f>'Resident FTE'!L7+'Non-Resident FTE'!L7</f>
        <v>23921</v>
      </c>
      <c r="M7" s="36">
        <f>'Resident FTE'!M7+'Non-Resident FTE'!M7</f>
        <v>25254.399999999998</v>
      </c>
      <c r="N7" s="36">
        <f>'Resident FTE'!N7+'Non-Resident FTE'!N7</f>
        <v>26374</v>
      </c>
      <c r="O7" s="36">
        <f>'Resident FTE'!O7+'Non-Resident FTE'!O7</f>
        <v>26508</v>
      </c>
      <c r="P7" s="36">
        <f>'Resident FTE'!P7+'Non-Resident FTE'!P7</f>
        <v>25978</v>
      </c>
      <c r="Q7" s="38">
        <f>'Resident FTE'!Q7+'Non-Resident FTE'!Q7</f>
        <v>25960</v>
      </c>
      <c r="R7" s="38">
        <f>'Resident FTE'!R7+'Non-Resident FTE'!R7</f>
        <v>26102</v>
      </c>
      <c r="S7" s="38">
        <f>'Resident FTE'!S7+'Non-Resident FTE'!S7</f>
        <v>26815</v>
      </c>
      <c r="T7" s="162">
        <f>'Resident FTE'!T7+'Non-Resident FTE'!T7</f>
        <v>27331.994214695522</v>
      </c>
      <c r="U7" s="98"/>
      <c r="V7" s="41"/>
      <c r="W7" s="42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</row>
    <row r="8" spans="1:37">
      <c r="A8" s="34" t="s">
        <v>26</v>
      </c>
      <c r="B8" s="36">
        <f>'Resident FTE'!B8+'Non-Resident FTE'!B8</f>
        <v>4089</v>
      </c>
      <c r="C8" s="36">
        <f>'Resident FTE'!C8+'Non-Resident FTE'!C8</f>
        <v>3983</v>
      </c>
      <c r="D8" s="36">
        <f>'Resident FTE'!D8+'Non-Resident FTE'!D8</f>
        <v>3916</v>
      </c>
      <c r="E8" s="36">
        <f>'Resident FTE'!E8+'Non-Resident FTE'!E8</f>
        <v>3974</v>
      </c>
      <c r="F8" s="36">
        <f>'Resident FTE'!F8+'Non-Resident FTE'!F8</f>
        <v>4009</v>
      </c>
      <c r="G8" s="36">
        <f>'Resident FTE'!G8+'Non-Resident FTE'!G8</f>
        <v>4084</v>
      </c>
      <c r="H8" s="36">
        <f>'Resident FTE'!H8+'Non-Resident FTE'!H8</f>
        <v>4558.8999999999996</v>
      </c>
      <c r="I8" s="36">
        <f>'Resident FTE'!I8+'Non-Resident FTE'!I8</f>
        <v>4768</v>
      </c>
      <c r="J8" s="36">
        <f>'Resident FTE'!J8+'Non-Resident FTE'!J8</f>
        <v>4968.0999999999995</v>
      </c>
      <c r="K8" s="36">
        <f>'Resident FTE'!K8+'Non-Resident FTE'!K8</f>
        <v>5072.3999999999996</v>
      </c>
      <c r="L8" s="36">
        <f>'Resident FTE'!L8+'Non-Resident FTE'!L8</f>
        <v>5323.7000000000007</v>
      </c>
      <c r="M8" s="36">
        <f>'Resident FTE'!M8+'Non-Resident FTE'!M8</f>
        <v>5905.5999999999995</v>
      </c>
      <c r="N8" s="36">
        <f>'Resident FTE'!N8+'Non-Resident FTE'!N8</f>
        <v>6145.9</v>
      </c>
      <c r="O8" s="36">
        <f>'Resident FTE'!O8+'Non-Resident FTE'!O8</f>
        <v>6210.0999999999995</v>
      </c>
      <c r="P8" s="36">
        <f>'Resident FTE'!P8+'Non-Resident FTE'!P8</f>
        <v>6202</v>
      </c>
      <c r="Q8" s="38">
        <f>'Resident FTE'!Q8+'Non-Resident FTE'!Q8</f>
        <v>6140</v>
      </c>
      <c r="R8" s="38">
        <f>'Resident FTE'!R8+'Non-Resident FTE'!R8</f>
        <v>6280</v>
      </c>
      <c r="S8" s="38">
        <f>'Resident FTE'!S8+'Non-Resident FTE'!S8</f>
        <v>6606</v>
      </c>
      <c r="T8" s="162">
        <f>'Resident FTE'!T8+'Non-Resident FTE'!T8</f>
        <v>7045.5591738539797</v>
      </c>
      <c r="U8" s="98"/>
    </row>
    <row r="9" spans="1:37">
      <c r="A9" s="34" t="s">
        <v>27</v>
      </c>
      <c r="B9" s="36">
        <f>'Resident FTE'!B9+'Non-Resident FTE'!B9</f>
        <v>7007.4</v>
      </c>
      <c r="C9" s="36">
        <f>'Resident FTE'!C9+'Non-Resident FTE'!C9</f>
        <v>7254</v>
      </c>
      <c r="D9" s="36">
        <f>'Resident FTE'!D9+'Non-Resident FTE'!D9</f>
        <v>7080</v>
      </c>
      <c r="E9" s="36">
        <f>'Resident FTE'!E9+'Non-Resident FTE'!E9</f>
        <v>6955</v>
      </c>
      <c r="F9" s="36">
        <f>'Resident FTE'!F9+'Non-Resident FTE'!F9</f>
        <v>7037</v>
      </c>
      <c r="G9" s="36">
        <f>'Resident FTE'!G9+'Non-Resident FTE'!G9</f>
        <v>6969</v>
      </c>
      <c r="H9" s="36">
        <f>'Resident FTE'!H9+'Non-Resident FTE'!H9</f>
        <v>7057</v>
      </c>
      <c r="I9" s="36">
        <f>'Resident FTE'!I9+'Non-Resident FTE'!I9</f>
        <v>7229.3</v>
      </c>
      <c r="J9" s="36">
        <f>'Resident FTE'!J9+'Non-Resident FTE'!J9</f>
        <v>7252.5</v>
      </c>
      <c r="K9" s="36">
        <f>'Resident FTE'!K9+'Non-Resident FTE'!K9</f>
        <v>7571.2</v>
      </c>
      <c r="L9" s="36">
        <f>'Resident FTE'!L9+'Non-Resident FTE'!L9</f>
        <v>7892.5999999999995</v>
      </c>
      <c r="M9" s="36">
        <f>'Resident FTE'!M9+'Non-Resident FTE'!M9</f>
        <v>8406.9</v>
      </c>
      <c r="N9" s="36">
        <f>'Resident FTE'!N9+'Non-Resident FTE'!N9</f>
        <v>8579.7999999999993</v>
      </c>
      <c r="O9" s="36">
        <f>'Resident FTE'!O9+'Non-Resident FTE'!O9</f>
        <v>8786.48</v>
      </c>
      <c r="P9" s="36">
        <f>'Resident FTE'!P9+'Non-Resident FTE'!P9</f>
        <v>8662.6</v>
      </c>
      <c r="Q9" s="38">
        <f>'Resident FTE'!Q9+'Non-Resident FTE'!Q9</f>
        <v>8844.2000000000007</v>
      </c>
      <c r="R9" s="38">
        <f>'Resident FTE'!R9+'Non-Resident FTE'!R9</f>
        <v>9272.7999999999993</v>
      </c>
      <c r="S9" s="38">
        <f>'Resident FTE'!S9+'Non-Resident FTE'!S9</f>
        <v>9689</v>
      </c>
      <c r="T9" s="162">
        <f>'Resident FTE'!T9+'Non-Resident FTE'!T9</f>
        <v>11628.544485324388</v>
      </c>
      <c r="U9" s="98"/>
    </row>
    <row r="10" spans="1:37" ht="12.75" thickBot="1">
      <c r="A10" s="45" t="s">
        <v>28</v>
      </c>
      <c r="B10" s="47">
        <f>'Resident FTE'!B10+'Non-Resident FTE'!B10</f>
        <v>2174</v>
      </c>
      <c r="C10" s="47">
        <f>'Resident FTE'!C10+'Non-Resident FTE'!C10</f>
        <v>2268</v>
      </c>
      <c r="D10" s="47">
        <f>'Resident FTE'!D10+'Non-Resident FTE'!D10</f>
        <v>2441</v>
      </c>
      <c r="E10" s="47">
        <f>'Resident FTE'!E10+'Non-Resident FTE'!E10</f>
        <v>2505</v>
      </c>
      <c r="F10" s="47">
        <f>'Resident FTE'!F10+'Non-Resident FTE'!F10</f>
        <v>2539</v>
      </c>
      <c r="G10" s="47">
        <f>'Resident FTE'!G10+'Non-Resident FTE'!G10</f>
        <v>2489</v>
      </c>
      <c r="H10" s="47">
        <f>'Resident FTE'!H10+'Non-Resident FTE'!H10</f>
        <v>2388</v>
      </c>
      <c r="I10" s="47">
        <f>'Resident FTE'!I10+'Non-Resident FTE'!I10</f>
        <v>2435</v>
      </c>
      <c r="J10" s="47">
        <f>'Resident FTE'!J10+'Non-Resident FTE'!J10</f>
        <v>2359.9900000000002</v>
      </c>
      <c r="K10" s="47">
        <f>'Resident FTE'!K10+'Non-Resident FTE'!K10</f>
        <v>2329.5299999999997</v>
      </c>
      <c r="L10" s="47">
        <f>'Resident FTE'!L10+'Non-Resident FTE'!L10</f>
        <v>2410.3799999999997</v>
      </c>
      <c r="M10" s="47">
        <f>'Resident FTE'!M10+'Non-Resident FTE'!M10</f>
        <v>2519.4899999999998</v>
      </c>
      <c r="N10" s="47">
        <f>'Resident FTE'!N10+'Non-Resident FTE'!N10</f>
        <v>2664.25</v>
      </c>
      <c r="O10" s="47">
        <f>'Resident FTE'!O10+'Non-Resident FTE'!O10</f>
        <v>2774.5</v>
      </c>
      <c r="P10" s="47">
        <f>'Resident FTE'!P10+'Non-Resident FTE'!P10</f>
        <v>3261.3</v>
      </c>
      <c r="Q10" s="49">
        <f>'Resident FTE'!Q10+'Non-Resident FTE'!Q10</f>
        <v>3334.2999999999997</v>
      </c>
      <c r="R10" s="38">
        <f>'Resident FTE'!R10+'Non-Resident FTE'!R10</f>
        <v>3490.3</v>
      </c>
      <c r="S10" s="38">
        <f>'Resident FTE'!S10+'Non-Resident FTE'!S10</f>
        <v>3615</v>
      </c>
      <c r="T10" s="162">
        <f>'Resident FTE'!T10+'Non-Resident FTE'!T10</f>
        <v>4727.4445583530078</v>
      </c>
      <c r="U10" s="98"/>
    </row>
    <row r="11" spans="1:37" s="24" customFormat="1" ht="12.75" thickTop="1">
      <c r="A11" s="50" t="s">
        <v>29</v>
      </c>
      <c r="B11" s="28">
        <f t="shared" ref="B11:S11" si="1">SUM(B12:B14)</f>
        <v>23627.7</v>
      </c>
      <c r="C11" s="28">
        <f t="shared" si="1"/>
        <v>23906.400000000001</v>
      </c>
      <c r="D11" s="28">
        <f t="shared" si="1"/>
        <v>23946.5</v>
      </c>
      <c r="E11" s="28">
        <f t="shared" si="1"/>
        <v>24003.8</v>
      </c>
      <c r="F11" s="28">
        <f t="shared" si="1"/>
        <v>24164.400000000001</v>
      </c>
      <c r="G11" s="28">
        <f t="shared" si="1"/>
        <v>24076.799999999999</v>
      </c>
      <c r="H11" s="28">
        <f t="shared" si="1"/>
        <v>23928.7</v>
      </c>
      <c r="I11" s="28">
        <f t="shared" si="1"/>
        <v>24200.5</v>
      </c>
      <c r="J11" s="28">
        <f t="shared" si="1"/>
        <v>24449.730000000003</v>
      </c>
      <c r="K11" s="28">
        <f t="shared" si="1"/>
        <v>24315.8</v>
      </c>
      <c r="L11" s="28">
        <f t="shared" si="1"/>
        <v>24982.800000000003</v>
      </c>
      <c r="M11" s="28">
        <f t="shared" si="1"/>
        <v>25734.299999999996</v>
      </c>
      <c r="N11" s="28">
        <f t="shared" si="1"/>
        <v>26159.3</v>
      </c>
      <c r="O11" s="28">
        <f t="shared" si="1"/>
        <v>26508.1</v>
      </c>
      <c r="P11" s="28">
        <f t="shared" si="1"/>
        <v>25956.066670000004</v>
      </c>
      <c r="Q11" s="52">
        <f t="shared" si="1"/>
        <v>25513.233639999999</v>
      </c>
      <c r="R11" s="53">
        <f t="shared" si="1"/>
        <v>25586.3</v>
      </c>
      <c r="S11" s="53">
        <f t="shared" si="1"/>
        <v>26118</v>
      </c>
      <c r="T11" s="54">
        <f>SUM(T12:T14)</f>
        <v>27023.087576467875</v>
      </c>
      <c r="U11" s="102"/>
    </row>
    <row r="12" spans="1:37">
      <c r="A12" s="34" t="s">
        <v>30</v>
      </c>
      <c r="B12" s="36">
        <f>'Resident FTE'!B12+'Non-Resident FTE'!B12</f>
        <v>18942.2</v>
      </c>
      <c r="C12" s="36">
        <f>'Resident FTE'!C12+'Non-Resident FTE'!C12</f>
        <v>19150.7</v>
      </c>
      <c r="D12" s="36">
        <f>'Resident FTE'!D12+'Non-Resident FTE'!D12</f>
        <v>19172.599999999999</v>
      </c>
      <c r="E12" s="36">
        <f>'Resident FTE'!E12+'Non-Resident FTE'!E12</f>
        <v>19276.5</v>
      </c>
      <c r="F12" s="36">
        <f>'Resident FTE'!F12+'Non-Resident FTE'!F12</f>
        <v>19533</v>
      </c>
      <c r="G12" s="36">
        <f>'Resident FTE'!G12+'Non-Resident FTE'!G12</f>
        <v>19667</v>
      </c>
      <c r="H12" s="36">
        <f>'Resident FTE'!H12+'Non-Resident FTE'!H12</f>
        <v>19547</v>
      </c>
      <c r="I12" s="36">
        <f>'Resident FTE'!I12+'Non-Resident FTE'!I12</f>
        <v>19863.5</v>
      </c>
      <c r="J12" s="36">
        <f>'Resident FTE'!J12+'Non-Resident FTE'!J12</f>
        <v>20088.300000000003</v>
      </c>
      <c r="K12" s="36">
        <f>'Resident FTE'!K12+'Non-Resident FTE'!K12</f>
        <v>19963.900000000001</v>
      </c>
      <c r="L12" s="36">
        <f>'Resident FTE'!L12+'Non-Resident FTE'!L12</f>
        <v>20723.400000000001</v>
      </c>
      <c r="M12" s="36">
        <f>'Resident FTE'!M12+'Non-Resident FTE'!M12</f>
        <v>21524.6</v>
      </c>
      <c r="N12" s="36">
        <f>'Resident FTE'!N12+'Non-Resident FTE'!N12</f>
        <v>21871.5</v>
      </c>
      <c r="O12" s="36">
        <f>'Resident FTE'!O12+'Non-Resident FTE'!O12</f>
        <v>22128.6</v>
      </c>
      <c r="P12" s="36">
        <f>'Resident FTE'!P12+'Non-Resident FTE'!P12</f>
        <v>21675.133337000003</v>
      </c>
      <c r="Q12" s="38">
        <f>'Resident FTE'!Q12+'Non-Resident FTE'!Q12</f>
        <v>21359.100299999998</v>
      </c>
      <c r="R12" s="38">
        <f>'Resident FTE'!R12+'Non-Resident FTE'!R12</f>
        <v>21412.7</v>
      </c>
      <c r="S12" s="38">
        <f>'Resident FTE'!S12+'Non-Resident FTE'!S12</f>
        <v>21575</v>
      </c>
      <c r="T12" s="162">
        <f>'Resident FTE'!T12+'Non-Resident FTE'!T12</f>
        <v>22025.822559794258</v>
      </c>
      <c r="U12" s="98"/>
    </row>
    <row r="13" spans="1:37">
      <c r="A13" s="34" t="s">
        <v>31</v>
      </c>
      <c r="B13" s="36">
        <f>'Resident FTE'!B13+'Non-Resident FTE'!B13</f>
        <v>701.5</v>
      </c>
      <c r="C13" s="36">
        <f>'Resident FTE'!C13+'Non-Resident FTE'!C13</f>
        <v>692.2</v>
      </c>
      <c r="D13" s="36">
        <f>'Resident FTE'!D13+'Non-Resident FTE'!D13</f>
        <v>733.90000000000009</v>
      </c>
      <c r="E13" s="36">
        <f>'Resident FTE'!E13+'Non-Resident FTE'!E13</f>
        <v>716.8</v>
      </c>
      <c r="F13" s="36">
        <f>'Resident FTE'!F13+'Non-Resident FTE'!F13</f>
        <v>722.7</v>
      </c>
      <c r="G13" s="36">
        <f>'Resident FTE'!G13+'Non-Resident FTE'!G13</f>
        <v>726.8</v>
      </c>
      <c r="H13" s="36">
        <f>'Resident FTE'!H13+'Non-Resident FTE'!H13</f>
        <v>728.3</v>
      </c>
      <c r="I13" s="36">
        <f>'Resident FTE'!I13+'Non-Resident FTE'!I13</f>
        <v>737</v>
      </c>
      <c r="J13" s="36">
        <f>'Resident FTE'!J13+'Non-Resident FTE'!J13</f>
        <v>732.59999999999991</v>
      </c>
      <c r="K13" s="36">
        <f>'Resident FTE'!K13+'Non-Resident FTE'!K13</f>
        <v>744.6</v>
      </c>
      <c r="L13" s="36">
        <f>'Resident FTE'!L13+'Non-Resident FTE'!L13</f>
        <v>744.5</v>
      </c>
      <c r="M13" s="36">
        <f>'Resident FTE'!M13+'Non-Resident FTE'!M13</f>
        <v>762.1</v>
      </c>
      <c r="N13" s="36">
        <f>'Resident FTE'!N13+'Non-Resident FTE'!N13</f>
        <v>753.7</v>
      </c>
      <c r="O13" s="36">
        <f>'Resident FTE'!O13+'Non-Resident FTE'!O13</f>
        <v>765.40000000000009</v>
      </c>
      <c r="P13" s="36">
        <f>'Resident FTE'!P13+'Non-Resident FTE'!P13</f>
        <v>762.93333299999995</v>
      </c>
      <c r="Q13" s="38">
        <f>'Resident FTE'!Q13+'Non-Resident FTE'!Q13</f>
        <v>767.63334000000009</v>
      </c>
      <c r="R13" s="38">
        <f>'Resident FTE'!R13+'Non-Resident FTE'!R13</f>
        <v>765.8</v>
      </c>
      <c r="S13" s="38">
        <f>'Resident FTE'!S13+'Non-Resident FTE'!S13</f>
        <v>737</v>
      </c>
      <c r="T13" s="162">
        <f>'Resident FTE'!T13+'Non-Resident FTE'!T13</f>
        <v>786.36485664854172</v>
      </c>
      <c r="U13" s="98"/>
    </row>
    <row r="14" spans="1:37" ht="12.75" thickBot="1">
      <c r="A14" s="45" t="s">
        <v>32</v>
      </c>
      <c r="B14" s="47">
        <f>'Resident FTE'!B14+'Non-Resident FTE'!B14</f>
        <v>3984</v>
      </c>
      <c r="C14" s="47">
        <f>'Resident FTE'!C14+'Non-Resident FTE'!C14</f>
        <v>4063.5</v>
      </c>
      <c r="D14" s="47">
        <f>'Resident FTE'!D14+'Non-Resident FTE'!D14</f>
        <v>4040</v>
      </c>
      <c r="E14" s="47">
        <f>'Resident FTE'!E14+'Non-Resident FTE'!E14</f>
        <v>4010.5</v>
      </c>
      <c r="F14" s="47">
        <f>'Resident FTE'!F14+'Non-Resident FTE'!F14</f>
        <v>3908.7</v>
      </c>
      <c r="G14" s="47">
        <f>'Resident FTE'!G14+'Non-Resident FTE'!G14</f>
        <v>3683</v>
      </c>
      <c r="H14" s="47">
        <f>'Resident FTE'!H14+'Non-Resident FTE'!H14</f>
        <v>3653.4</v>
      </c>
      <c r="I14" s="47">
        <f>'Resident FTE'!I14+'Non-Resident FTE'!I14</f>
        <v>3600</v>
      </c>
      <c r="J14" s="47">
        <f>'Resident FTE'!J14+'Non-Resident FTE'!J14</f>
        <v>3628.83</v>
      </c>
      <c r="K14" s="47">
        <f>'Resident FTE'!K14+'Non-Resident FTE'!K14</f>
        <v>3607.3</v>
      </c>
      <c r="L14" s="47">
        <f>'Resident FTE'!L14+'Non-Resident FTE'!L14</f>
        <v>3514.9</v>
      </c>
      <c r="M14" s="47">
        <f>'Resident FTE'!M14+'Non-Resident FTE'!M14</f>
        <v>3447.6</v>
      </c>
      <c r="N14" s="47">
        <f>'Resident FTE'!N14+'Non-Resident FTE'!N14</f>
        <v>3534.1</v>
      </c>
      <c r="O14" s="47">
        <f>'Resident FTE'!O14+'Non-Resident FTE'!O14</f>
        <v>3614.1</v>
      </c>
      <c r="P14" s="36">
        <f>'Resident FTE'!P14+'Non-Resident FTE'!P14</f>
        <v>3518</v>
      </c>
      <c r="Q14" s="38">
        <f>'Resident FTE'!Q14+'Non-Resident FTE'!Q14</f>
        <v>3386.5</v>
      </c>
      <c r="R14" s="38">
        <f>'Resident FTE'!R14+'Non-Resident FTE'!R14</f>
        <v>3407.8</v>
      </c>
      <c r="S14" s="38">
        <f>'Resident FTE'!S14+'Non-Resident FTE'!S14</f>
        <v>3806</v>
      </c>
      <c r="T14" s="162">
        <f>'Resident FTE'!T14+'Non-Resident FTE'!T14</f>
        <v>4210.9001600250749</v>
      </c>
      <c r="U14" s="98"/>
    </row>
    <row r="15" spans="1:37" ht="12.75" thickTop="1">
      <c r="A15" s="50" t="s">
        <v>33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155">
        <f>'Resident FTE'!P15+'Non-Resident FTE'!P15</f>
        <v>0</v>
      </c>
      <c r="Q15" s="156"/>
      <c r="R15" s="157"/>
      <c r="S15" s="157"/>
      <c r="T15" s="163"/>
      <c r="U15" s="98"/>
    </row>
    <row r="16" spans="1:37" ht="12.75" thickBot="1">
      <c r="A16" s="45" t="s">
        <v>34</v>
      </c>
      <c r="B16" s="61">
        <f>'Resident FTE'!B16+'Non-Resident FTE'!B16</f>
        <v>3793</v>
      </c>
      <c r="C16" s="61">
        <f>'Resident FTE'!C16+'Non-Resident FTE'!C16</f>
        <v>3867</v>
      </c>
      <c r="D16" s="61">
        <f>'Resident FTE'!D16+'Non-Resident FTE'!D16</f>
        <v>4031</v>
      </c>
      <c r="E16" s="61">
        <f>'Resident FTE'!E16+'Non-Resident FTE'!E16</f>
        <v>3946</v>
      </c>
      <c r="F16" s="61">
        <f>'Resident FTE'!F16+'Non-Resident FTE'!F16</f>
        <v>4128</v>
      </c>
      <c r="G16" s="61">
        <f>'Resident FTE'!G16+'Non-Resident FTE'!G16</f>
        <v>4190</v>
      </c>
      <c r="H16" s="61">
        <f>'Resident FTE'!H16+'Non-Resident FTE'!H16</f>
        <v>4167</v>
      </c>
      <c r="I16" s="61">
        <f>'Resident FTE'!I16+'Non-Resident FTE'!I16</f>
        <v>4028</v>
      </c>
      <c r="J16" s="61">
        <f>'Resident FTE'!J16+'Non-Resident FTE'!J16</f>
        <v>4138</v>
      </c>
      <c r="K16" s="61">
        <f>'Resident FTE'!K16+'Non-Resident FTE'!K16</f>
        <v>4019</v>
      </c>
      <c r="L16" s="61">
        <f>'Resident FTE'!L16+'Non-Resident FTE'!L16</f>
        <v>4169</v>
      </c>
      <c r="M16" s="61">
        <f>'Resident FTE'!M16+'Non-Resident FTE'!M16</f>
        <v>4080</v>
      </c>
      <c r="N16" s="61">
        <f>'Resident FTE'!N16+'Non-Resident FTE'!N16</f>
        <v>3941</v>
      </c>
      <c r="O16" s="61">
        <f>'Resident FTE'!O16+'Non-Resident FTE'!O16</f>
        <v>3860</v>
      </c>
      <c r="P16" s="61">
        <f>'Resident FTE'!P16+'Non-Resident FTE'!P16</f>
        <v>3712</v>
      </c>
      <c r="Q16" s="63">
        <f>'Resident FTE'!Q16+'Non-Resident FTE'!Q16</f>
        <v>3719</v>
      </c>
      <c r="R16" s="63">
        <f>'Resident FTE'!R16+'Non-Resident FTE'!R16</f>
        <v>3702</v>
      </c>
      <c r="S16" s="52">
        <f>'Resident FTE'!S16+'Non-Resident FTE'!S16</f>
        <v>3530</v>
      </c>
      <c r="T16" s="164">
        <f>'Resident FTE'!T16+'Non-Resident FTE'!T16</f>
        <v>3487.2041230975206</v>
      </c>
      <c r="U16" s="98"/>
    </row>
    <row r="17" spans="1:21" ht="12.75" thickTop="1">
      <c r="A17" s="50" t="s">
        <v>35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8"/>
      <c r="R17" s="157"/>
      <c r="S17" s="158"/>
      <c r="T17" s="163"/>
      <c r="U17" s="98"/>
    </row>
    <row r="18" spans="1:21" ht="12.75" thickBot="1">
      <c r="A18" s="45" t="s">
        <v>36</v>
      </c>
      <c r="B18" s="61">
        <f>'Resident FTE'!B18+'Non-Resident FTE'!B18</f>
        <v>2573</v>
      </c>
      <c r="C18" s="61">
        <f>'Resident FTE'!C18+'Non-Resident FTE'!C18</f>
        <v>2858</v>
      </c>
      <c r="D18" s="61">
        <f>'Resident FTE'!D18+'Non-Resident FTE'!D18</f>
        <v>3006</v>
      </c>
      <c r="E18" s="61">
        <f>'Resident FTE'!E18+'Non-Resident FTE'!E18</f>
        <v>3094</v>
      </c>
      <c r="F18" s="61">
        <f>'Resident FTE'!F18+'Non-Resident FTE'!F18</f>
        <v>3189</v>
      </c>
      <c r="G18" s="61">
        <f>'Resident FTE'!G18+'Non-Resident FTE'!G18</f>
        <v>3242</v>
      </c>
      <c r="H18" s="61">
        <f>'Resident FTE'!H18+'Non-Resident FTE'!H18</f>
        <v>3211</v>
      </c>
      <c r="I18" s="61">
        <f>'Resident FTE'!I18+'Non-Resident FTE'!I18</f>
        <v>3250.2</v>
      </c>
      <c r="J18" s="61">
        <f>'Resident FTE'!J18+'Non-Resident FTE'!J18</f>
        <v>3276.3999999999996</v>
      </c>
      <c r="K18" s="61">
        <f>'Resident FTE'!K18+'Non-Resident FTE'!K18</f>
        <v>3114.4</v>
      </c>
      <c r="L18" s="61">
        <f>'Resident FTE'!L18+'Non-Resident FTE'!L18</f>
        <v>3214.3</v>
      </c>
      <c r="M18" s="61">
        <f>'Resident FTE'!M18+'Non-Resident FTE'!M18</f>
        <v>3276.2999999999997</v>
      </c>
      <c r="N18" s="61">
        <f>'Resident FTE'!N18+'Non-Resident FTE'!N18</f>
        <v>3394.2999999999997</v>
      </c>
      <c r="O18" s="61">
        <f>'Resident FTE'!O18+'Non-Resident FTE'!O18</f>
        <v>3665.1</v>
      </c>
      <c r="P18" s="28">
        <f>'Resident FTE'!P18+'Non-Resident FTE'!P18</f>
        <v>3805.1</v>
      </c>
      <c r="Q18" s="63">
        <f>'Resident FTE'!Q18+'Non-Resident FTE'!Q18</f>
        <v>3919.2</v>
      </c>
      <c r="R18" s="63">
        <f>'Resident FTE'!R18+'Non-Resident FTE'!R18</f>
        <v>4075.1000000000004</v>
      </c>
      <c r="S18" s="63">
        <f>'Resident FTE'!S18+'Non-Resident FTE'!S18</f>
        <v>4325</v>
      </c>
      <c r="T18" s="164">
        <f>'Resident FTE'!T18+'Non-Resident FTE'!T18</f>
        <v>4594.2650843239844</v>
      </c>
      <c r="U18" s="98"/>
    </row>
    <row r="19" spans="1:21" ht="12.75" thickTop="1">
      <c r="A19" s="50" t="s">
        <v>37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55"/>
      <c r="Q19" s="38"/>
      <c r="R19" s="126"/>
      <c r="S19" s="134"/>
      <c r="T19" s="127"/>
      <c r="U19" s="98"/>
    </row>
    <row r="20" spans="1:21" ht="12.75" thickBot="1">
      <c r="A20" s="45" t="s">
        <v>38</v>
      </c>
      <c r="B20" s="61">
        <f>'Resident FTE'!B20+'Non-Resident FTE'!B20</f>
        <v>9772</v>
      </c>
      <c r="C20" s="61">
        <f>'Resident FTE'!C20+'Non-Resident FTE'!C20</f>
        <v>9706</v>
      </c>
      <c r="D20" s="61">
        <f>'Resident FTE'!D20+'Non-Resident FTE'!D20</f>
        <v>9840</v>
      </c>
      <c r="E20" s="61">
        <f>'Resident FTE'!E20+'Non-Resident FTE'!E20</f>
        <v>9721</v>
      </c>
      <c r="F20" s="61">
        <f>'Resident FTE'!F20+'Non-Resident FTE'!F20</f>
        <v>9554</v>
      </c>
      <c r="G20" s="61">
        <f>'Resident FTE'!G20+'Non-Resident FTE'!G20</f>
        <v>9443</v>
      </c>
      <c r="H20" s="61">
        <f>'Resident FTE'!H20+'Non-Resident FTE'!H20</f>
        <v>9619</v>
      </c>
      <c r="I20" s="61">
        <f>'Resident FTE'!I20+'Non-Resident FTE'!I20</f>
        <v>9916.36</v>
      </c>
      <c r="J20" s="61">
        <f>'Resident FTE'!J20+'Non-Resident FTE'!J20</f>
        <v>10294.700000000001</v>
      </c>
      <c r="K20" s="61">
        <f>'Resident FTE'!K20+'Non-Resident FTE'!K20</f>
        <v>10309.23</v>
      </c>
      <c r="L20" s="61">
        <f>'Resident FTE'!L20+'Non-Resident FTE'!L20</f>
        <v>10328.530000000001</v>
      </c>
      <c r="M20" s="61">
        <f>'Resident FTE'!M20+'Non-Resident FTE'!M20</f>
        <v>10605.779999999999</v>
      </c>
      <c r="N20" s="61">
        <f>'Resident FTE'!N20+'Non-Resident FTE'!N20</f>
        <v>10708.699999999999</v>
      </c>
      <c r="O20" s="61">
        <f>'Resident FTE'!O20+'Non-Resident FTE'!O20</f>
        <v>11012.7</v>
      </c>
      <c r="P20" s="28">
        <f>'Resident FTE'!P20+'Non-Resident FTE'!P20</f>
        <v>10984.69</v>
      </c>
      <c r="Q20" s="63">
        <f>'Resident FTE'!Q20+'Non-Resident FTE'!Q20</f>
        <v>10794.53</v>
      </c>
      <c r="R20" s="63">
        <f>'Resident FTE'!R20+'Non-Resident FTE'!R20</f>
        <v>10420.01</v>
      </c>
      <c r="S20" s="52">
        <f>'Resident FTE'!S20+'Non-Resident FTE'!S20</f>
        <v>9691</v>
      </c>
      <c r="T20" s="164">
        <f>'Resident FTE'!T20+'Non-Resident FTE'!T20</f>
        <v>9958.182771486574</v>
      </c>
      <c r="U20" s="98"/>
    </row>
    <row r="21" spans="1:21" ht="12.75" thickTop="1">
      <c r="A21" s="50" t="s">
        <v>39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155"/>
      <c r="Q21" s="38"/>
      <c r="R21" s="157"/>
      <c r="S21" s="158"/>
      <c r="T21" s="163"/>
      <c r="U21" s="98"/>
    </row>
    <row r="22" spans="1:21" ht="12.75" thickBot="1">
      <c r="A22" s="45" t="s">
        <v>40</v>
      </c>
      <c r="B22" s="61">
        <f>'Resident FTE'!B22+'Non-Resident FTE'!B22</f>
        <v>2378</v>
      </c>
      <c r="C22" s="61">
        <f>'Resident FTE'!C22+'Non-Resident FTE'!C22</f>
        <v>2350</v>
      </c>
      <c r="D22" s="61">
        <f>'Resident FTE'!D22+'Non-Resident FTE'!D22</f>
        <v>2164</v>
      </c>
      <c r="E22" s="61">
        <f>'Resident FTE'!E22+'Non-Resident FTE'!E22</f>
        <v>2255</v>
      </c>
      <c r="F22" s="61">
        <f>'Resident FTE'!F22+'Non-Resident FTE'!F22</f>
        <v>2274</v>
      </c>
      <c r="G22" s="61">
        <f>'Resident FTE'!G22+'Non-Resident FTE'!G22</f>
        <v>2295</v>
      </c>
      <c r="H22" s="61">
        <f>'Resident FTE'!H22+'Non-Resident FTE'!H22</f>
        <v>2177</v>
      </c>
      <c r="I22" s="61">
        <f>'Resident FTE'!I22+'Non-Resident FTE'!I22</f>
        <v>2266.15</v>
      </c>
      <c r="J22" s="61">
        <f>'Resident FTE'!J22+'Non-Resident FTE'!J22</f>
        <v>2261.6999999999998</v>
      </c>
      <c r="K22" s="61">
        <f>'Resident FTE'!K22+'Non-Resident FTE'!K22</f>
        <v>2139.6</v>
      </c>
      <c r="L22" s="61">
        <f>'Resident FTE'!L22+'Non-Resident FTE'!L22</f>
        <v>2293.4</v>
      </c>
      <c r="M22" s="61">
        <f>'Resident FTE'!M22+'Non-Resident FTE'!M22</f>
        <v>2321.6</v>
      </c>
      <c r="N22" s="61">
        <f>'Resident FTE'!N22+'Non-Resident FTE'!N22</f>
        <v>2313.1999999999998</v>
      </c>
      <c r="O22" s="61">
        <f>'Resident FTE'!O22+'Non-Resident FTE'!O22</f>
        <v>2174.25</v>
      </c>
      <c r="P22" s="28">
        <f>'Resident FTE'!P22+'Non-Resident FTE'!P22</f>
        <v>2178.83</v>
      </c>
      <c r="Q22" s="63">
        <f>'Resident FTE'!Q22+'Non-Resident FTE'!Q22</f>
        <v>2050.41</v>
      </c>
      <c r="R22" s="63">
        <f>'Resident FTE'!R22+'Non-Resident FTE'!R22</f>
        <v>1977.6100000000001</v>
      </c>
      <c r="S22" s="52">
        <f>'Resident FTE'!S22+'Non-Resident FTE'!S22</f>
        <v>1919</v>
      </c>
      <c r="T22" s="164">
        <f>'Resident FTE'!T22+'Non-Resident FTE'!T22</f>
        <v>2169.3830164685028</v>
      </c>
      <c r="U22" s="98"/>
    </row>
    <row r="23" spans="1:21" ht="12.75" thickTop="1">
      <c r="A23" s="50" t="s">
        <v>41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155"/>
      <c r="Q23" s="38"/>
      <c r="R23" s="157"/>
      <c r="S23" s="158"/>
      <c r="T23" s="163"/>
      <c r="U23" s="98"/>
    </row>
    <row r="24" spans="1:21" ht="12.75" thickBot="1">
      <c r="A24" s="45" t="s">
        <v>42</v>
      </c>
      <c r="B24" s="61">
        <f>'Resident FTE'!B24+'Non-Resident FTE'!B24</f>
        <v>3531</v>
      </c>
      <c r="C24" s="61">
        <f>'Resident FTE'!C24+'Non-Resident FTE'!C24</f>
        <v>3633</v>
      </c>
      <c r="D24" s="61">
        <f>'Resident FTE'!D24+'Non-Resident FTE'!D24</f>
        <v>3734</v>
      </c>
      <c r="E24" s="61">
        <f>'Resident FTE'!E24+'Non-Resident FTE'!E24</f>
        <v>3893</v>
      </c>
      <c r="F24" s="61">
        <f>'Resident FTE'!F24+'Non-Resident FTE'!F24</f>
        <v>4001</v>
      </c>
      <c r="G24" s="61">
        <f>'Resident FTE'!G24+'Non-Resident FTE'!G24</f>
        <v>4073</v>
      </c>
      <c r="H24" s="61">
        <f>'Resident FTE'!H24+'Non-Resident FTE'!H24</f>
        <v>4085</v>
      </c>
      <c r="I24" s="61">
        <f>'Resident FTE'!I24+'Non-Resident FTE'!I24</f>
        <v>4189</v>
      </c>
      <c r="J24" s="61">
        <f>'Resident FTE'!J24+'Non-Resident FTE'!J24</f>
        <v>4141.3999999999996</v>
      </c>
      <c r="K24" s="61">
        <f>'Resident FTE'!K24+'Non-Resident FTE'!K24</f>
        <v>4310.7</v>
      </c>
      <c r="L24" s="61">
        <f>'Resident FTE'!L24+'Non-Resident FTE'!L24</f>
        <v>4460.8</v>
      </c>
      <c r="M24" s="61">
        <f>'Resident FTE'!M24+'Non-Resident FTE'!M24</f>
        <v>4650.9000000000005</v>
      </c>
      <c r="N24" s="61">
        <f>'Resident FTE'!N24+'Non-Resident FTE'!N24</f>
        <v>4797.3999999999996</v>
      </c>
      <c r="O24" s="61">
        <f>'Resident FTE'!O24+'Non-Resident FTE'!O24</f>
        <v>4964.1000000000004</v>
      </c>
      <c r="P24" s="61">
        <f>'Resident FTE'!P24+'Non-Resident FTE'!P24</f>
        <v>4686.13</v>
      </c>
      <c r="Q24" s="63">
        <f>'Resident FTE'!Q24+'Non-Resident FTE'!Q24</f>
        <v>4849.1999997000003</v>
      </c>
      <c r="R24" s="63">
        <f>'Resident FTE'!R24+'Non-Resident FTE'!R24</f>
        <v>4967</v>
      </c>
      <c r="S24" s="52">
        <f>'Resident FTE'!S24+'Non-Resident FTE'!S24</f>
        <v>5058</v>
      </c>
      <c r="T24" s="164">
        <f>'Resident FTE'!T24+'Non-Resident FTE'!T24</f>
        <v>5928.3413259535582</v>
      </c>
      <c r="U24" s="98"/>
    </row>
    <row r="25" spans="1:21" ht="12.75" thickTop="1">
      <c r="A25" s="50" t="s">
        <v>43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8"/>
      <c r="R25" s="157"/>
      <c r="S25" s="158"/>
      <c r="T25" s="163"/>
      <c r="U25" s="98"/>
    </row>
    <row r="26" spans="1:21" ht="12.75" thickBot="1">
      <c r="A26" s="45" t="s">
        <v>44</v>
      </c>
      <c r="B26" s="61">
        <f>'Resident FTE'!B26+'Non-Resident FTE'!B26</f>
        <v>12686</v>
      </c>
      <c r="C26" s="61">
        <f>'Resident FTE'!C26+'Non-Resident FTE'!C26</f>
        <v>12499</v>
      </c>
      <c r="D26" s="61">
        <f>'Resident FTE'!D26+'Non-Resident FTE'!D26</f>
        <v>12307</v>
      </c>
      <c r="E26" s="61">
        <f>'Resident FTE'!E26+'Non-Resident FTE'!E26</f>
        <v>12246</v>
      </c>
      <c r="F26" s="61">
        <f>'Resident FTE'!F26+'Non-Resident FTE'!F26</f>
        <v>12087</v>
      </c>
      <c r="G26" s="61">
        <f>'Resident FTE'!G26+'Non-Resident FTE'!G26</f>
        <v>12347</v>
      </c>
      <c r="H26" s="61">
        <f>'Resident FTE'!H26+'Non-Resident FTE'!H26</f>
        <v>12556</v>
      </c>
      <c r="I26" s="61">
        <f>'Resident FTE'!I26+'Non-Resident FTE'!I26</f>
        <v>12317</v>
      </c>
      <c r="J26" s="61">
        <f>'Resident FTE'!J26+'Non-Resident FTE'!J26</f>
        <v>12369.23</v>
      </c>
      <c r="K26" s="61">
        <f>'Resident FTE'!K26+'Non-Resident FTE'!K26</f>
        <v>12279.800000000001</v>
      </c>
      <c r="L26" s="61">
        <f>'Resident FTE'!L26+'Non-Resident FTE'!L26</f>
        <v>13226.87</v>
      </c>
      <c r="M26" s="61">
        <f>'Resident FTE'!M26+'Non-Resident FTE'!M26</f>
        <v>14187.66</v>
      </c>
      <c r="N26" s="61">
        <f>'Resident FTE'!N26+'Non-Resident FTE'!N26</f>
        <v>14628.08</v>
      </c>
      <c r="O26" s="61">
        <f>'Resident FTE'!O26+'Non-Resident FTE'!O26</f>
        <v>15052.47</v>
      </c>
      <c r="P26" s="61">
        <f>'Resident FTE'!P26+'Non-Resident FTE'!P26</f>
        <v>15087.060000000001</v>
      </c>
      <c r="Q26" s="63">
        <f>'Resident FTE'!Q26+'Non-Resident FTE'!Q26</f>
        <v>15175.380000000001</v>
      </c>
      <c r="R26" s="63">
        <f>'Resident FTE'!R26+'Non-Resident FTE'!R26</f>
        <v>15637.2</v>
      </c>
      <c r="S26" s="52">
        <f>'Resident FTE'!S26+'Non-Resident FTE'!S26</f>
        <v>16165</v>
      </c>
      <c r="T26" s="164">
        <f>'Resident FTE'!T26+'Non-Resident FTE'!T26</f>
        <v>17333.162168706411</v>
      </c>
      <c r="U26" s="98"/>
    </row>
    <row r="27" spans="1:21" ht="12.75" thickTop="1">
      <c r="A27" s="50" t="s">
        <v>45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8"/>
      <c r="R27" s="157"/>
      <c r="S27" s="157"/>
      <c r="T27" s="163"/>
      <c r="U27" s="98"/>
    </row>
    <row r="28" spans="1:21" ht="12.75" thickBot="1">
      <c r="A28" s="45" t="s">
        <v>46</v>
      </c>
      <c r="B28" s="61">
        <f>'Resident FTE'!B28+'Non-Resident FTE'!B28</f>
        <v>2351</v>
      </c>
      <c r="C28" s="61">
        <f>'Resident FTE'!C28+'Non-Resident FTE'!C28</f>
        <v>2442</v>
      </c>
      <c r="D28" s="61">
        <f>'Resident FTE'!D28+'Non-Resident FTE'!D28</f>
        <v>2157</v>
      </c>
      <c r="E28" s="61">
        <f>'Resident FTE'!E28+'Non-Resident FTE'!E28</f>
        <v>2161</v>
      </c>
      <c r="F28" s="61">
        <f>'Resident FTE'!F28+'Non-Resident FTE'!F28</f>
        <v>2226</v>
      </c>
      <c r="G28" s="61">
        <f>'Resident FTE'!G28+'Non-Resident FTE'!G28</f>
        <v>2280</v>
      </c>
      <c r="H28" s="61">
        <f>'Resident FTE'!H28+'Non-Resident FTE'!H28</f>
        <v>2224</v>
      </c>
      <c r="I28" s="61">
        <f>'Resident FTE'!I28+'Non-Resident FTE'!I28</f>
        <v>2198</v>
      </c>
      <c r="J28" s="61">
        <f>'Resident FTE'!J28+'Non-Resident FTE'!J28</f>
        <v>2179</v>
      </c>
      <c r="K28" s="61">
        <f>'Resident FTE'!K28+'Non-Resident FTE'!K28</f>
        <v>2072.0500000000002</v>
      </c>
      <c r="L28" s="61">
        <f>'Resident FTE'!L28+'Non-Resident FTE'!L28</f>
        <v>2093.7399999999998</v>
      </c>
      <c r="M28" s="61">
        <f>'Resident FTE'!M28+'Non-Resident FTE'!M28</f>
        <v>2141.25</v>
      </c>
      <c r="N28" s="61">
        <f>'Resident FTE'!N28+'Non-Resident FTE'!N28</f>
        <v>2164.6999999999998</v>
      </c>
      <c r="O28" s="61">
        <f>'Resident FTE'!O28+'Non-Resident FTE'!O28</f>
        <v>2058.35</v>
      </c>
      <c r="P28" s="61">
        <f>'Resident FTE'!P28+'Non-Resident FTE'!P28</f>
        <v>2018.8600000000001</v>
      </c>
      <c r="Q28" s="63">
        <f>'Resident FTE'!Q28+'Non-Resident FTE'!Q28</f>
        <v>1917.91</v>
      </c>
      <c r="R28" s="63">
        <f>'Resident FTE'!R28+'Non-Resident FTE'!R28</f>
        <v>1876.3500000000001</v>
      </c>
      <c r="S28" s="63">
        <f>'Resident FTE'!S28+'Non-Resident FTE'!S28</f>
        <v>1875</v>
      </c>
      <c r="T28" s="164">
        <f>'Resident FTE'!T28+'Non-Resident FTE'!T28</f>
        <v>1857.5951237907821</v>
      </c>
      <c r="U28" s="98"/>
    </row>
    <row r="29" spans="1:21" s="24" customFormat="1" ht="12.75" thickTop="1">
      <c r="A29" s="50" t="s">
        <v>47</v>
      </c>
      <c r="B29" s="28">
        <f t="shared" ref="B29:S29" si="2">SUM(B30:B42)</f>
        <v>33095</v>
      </c>
      <c r="C29" s="28">
        <f t="shared" si="2"/>
        <v>35212</v>
      </c>
      <c r="D29" s="28">
        <f t="shared" si="2"/>
        <v>35165</v>
      </c>
      <c r="E29" s="28">
        <f t="shared" si="2"/>
        <v>35113</v>
      </c>
      <c r="F29" s="28">
        <f t="shared" si="2"/>
        <v>35086</v>
      </c>
      <c r="G29" s="28">
        <f t="shared" si="2"/>
        <v>35224</v>
      </c>
      <c r="H29" s="28">
        <f t="shared" si="2"/>
        <v>35716</v>
      </c>
      <c r="I29" s="28">
        <f t="shared" si="2"/>
        <v>37013.300000000003</v>
      </c>
      <c r="J29" s="28">
        <f t="shared" si="2"/>
        <v>37471.83</v>
      </c>
      <c r="K29" s="28">
        <f t="shared" si="2"/>
        <v>37718.281999999999</v>
      </c>
      <c r="L29" s="28">
        <f t="shared" si="2"/>
        <v>39655.130000000005</v>
      </c>
      <c r="M29" s="28">
        <f t="shared" si="2"/>
        <v>43879.240000000013</v>
      </c>
      <c r="N29" s="28">
        <f t="shared" si="2"/>
        <v>46574.150000000009</v>
      </c>
      <c r="O29" s="28">
        <f t="shared" si="2"/>
        <v>46686.1</v>
      </c>
      <c r="P29" s="28">
        <f t="shared" si="2"/>
        <v>44618.990000000005</v>
      </c>
      <c r="Q29" s="52">
        <f t="shared" si="2"/>
        <v>43446.27</v>
      </c>
      <c r="R29" s="52">
        <f t="shared" si="2"/>
        <v>44770.6376667</v>
      </c>
      <c r="S29" s="52">
        <f t="shared" si="2"/>
        <v>48004</v>
      </c>
      <c r="T29" s="76">
        <f>SUM(T30:T42)</f>
        <v>57432.577319498312</v>
      </c>
      <c r="U29" s="102"/>
    </row>
    <row r="30" spans="1:21">
      <c r="A30" s="34" t="s">
        <v>48</v>
      </c>
      <c r="B30" s="36">
        <f>'Resident FTE'!B30+'Non-Resident FTE'!B30</f>
        <v>4128</v>
      </c>
      <c r="C30" s="36">
        <f>'Resident FTE'!C30+'Non-Resident FTE'!C30</f>
        <v>4145</v>
      </c>
      <c r="D30" s="36">
        <f>'Resident FTE'!D30+'Non-Resident FTE'!D30</f>
        <v>4110</v>
      </c>
      <c r="E30" s="36">
        <f>'Resident FTE'!E30+'Non-Resident FTE'!E30</f>
        <v>4036</v>
      </c>
      <c r="F30" s="36">
        <f>'Resident FTE'!F30+'Non-Resident FTE'!F30</f>
        <v>4072</v>
      </c>
      <c r="G30" s="36">
        <f>'Resident FTE'!G30+'Non-Resident FTE'!G30</f>
        <v>4090</v>
      </c>
      <c r="H30" s="36">
        <f>'Resident FTE'!H30+'Non-Resident FTE'!H30</f>
        <v>4086</v>
      </c>
      <c r="I30" s="36">
        <f>'Resident FTE'!I30+'Non-Resident FTE'!I30</f>
        <v>4208</v>
      </c>
      <c r="J30" s="36">
        <f>'Resident FTE'!J30+'Non-Resident FTE'!J30</f>
        <v>4139.7</v>
      </c>
      <c r="K30" s="36">
        <f>'Resident FTE'!K30+'Non-Resident FTE'!K30</f>
        <v>4091.1</v>
      </c>
      <c r="L30" s="36">
        <f>'Resident FTE'!L30+'Non-Resident FTE'!L30</f>
        <v>4318.0200000000004</v>
      </c>
      <c r="M30" s="36">
        <f>'Resident FTE'!M30+'Non-Resident FTE'!M30</f>
        <v>4687.82</v>
      </c>
      <c r="N30" s="36">
        <f>'Resident FTE'!N30+'Non-Resident FTE'!N30</f>
        <v>4853.7599999999993</v>
      </c>
      <c r="O30" s="36">
        <f>'Resident FTE'!O30+'Non-Resident FTE'!O30</f>
        <v>4762.88</v>
      </c>
      <c r="P30" s="36">
        <f>'Resident FTE'!P30+'Non-Resident FTE'!P30</f>
        <v>4398.07</v>
      </c>
      <c r="Q30" s="38">
        <f>'Resident FTE'!Q30+'Non-Resident FTE'!Q30</f>
        <v>4355.97</v>
      </c>
      <c r="R30" s="38">
        <f>'Resident FTE'!R30+'Non-Resident FTE'!R30</f>
        <v>4243.63</v>
      </c>
      <c r="S30" s="38">
        <f>'Resident FTE'!S30+'Non-Resident FTE'!S30</f>
        <v>4556</v>
      </c>
      <c r="T30" s="162">
        <f>'Resident FTE'!T30+'Non-Resident FTE'!T30</f>
        <v>5332.6898638659259</v>
      </c>
      <c r="U30" s="98"/>
    </row>
    <row r="31" spans="1:21">
      <c r="A31" s="34" t="s">
        <v>49</v>
      </c>
      <c r="B31" s="36">
        <f>'Resident FTE'!B31+'Non-Resident FTE'!B31</f>
        <v>861</v>
      </c>
      <c r="C31" s="36">
        <f>'Resident FTE'!C31+'Non-Resident FTE'!C31</f>
        <v>925</v>
      </c>
      <c r="D31" s="36">
        <f>'Resident FTE'!D31+'Non-Resident FTE'!D31</f>
        <v>876</v>
      </c>
      <c r="E31" s="36">
        <f>'Resident FTE'!E31+'Non-Resident FTE'!E31</f>
        <v>815</v>
      </c>
      <c r="F31" s="36">
        <f>'Resident FTE'!F31+'Non-Resident FTE'!F31</f>
        <v>820</v>
      </c>
      <c r="G31" s="36">
        <f>'Resident FTE'!G31+'Non-Resident FTE'!G31</f>
        <v>833</v>
      </c>
      <c r="H31" s="36">
        <f>'Resident FTE'!H31+'Non-Resident FTE'!H31</f>
        <v>866</v>
      </c>
      <c r="I31" s="36">
        <f>'Resident FTE'!I31+'Non-Resident FTE'!I31</f>
        <v>795</v>
      </c>
      <c r="J31" s="36">
        <f>'Resident FTE'!J31+'Non-Resident FTE'!J31</f>
        <v>730.29000000000008</v>
      </c>
      <c r="K31" s="36">
        <f>'Resident FTE'!K31+'Non-Resident FTE'!K31</f>
        <v>754.45</v>
      </c>
      <c r="L31" s="36">
        <f>'Resident FTE'!L31+'Non-Resident FTE'!L31</f>
        <v>872.3</v>
      </c>
      <c r="M31" s="36">
        <f>'Resident FTE'!M31+'Non-Resident FTE'!M31</f>
        <v>922.26</v>
      </c>
      <c r="N31" s="36">
        <f>'Resident FTE'!N31+'Non-Resident FTE'!N31</f>
        <v>1008.45</v>
      </c>
      <c r="O31" s="36">
        <f>'Resident FTE'!O31+'Non-Resident FTE'!O31</f>
        <v>993.92</v>
      </c>
      <c r="P31" s="36">
        <f>'Resident FTE'!P31+'Non-Resident FTE'!P31</f>
        <v>782.9</v>
      </c>
      <c r="Q31" s="38">
        <f>'Resident FTE'!Q31+'Non-Resident FTE'!Q31</f>
        <v>718.55</v>
      </c>
      <c r="R31" s="38">
        <f>'Resident FTE'!R31+'Non-Resident FTE'!R31</f>
        <v>770.51</v>
      </c>
      <c r="S31" s="38">
        <f>'Resident FTE'!S31+'Non-Resident FTE'!S31</f>
        <v>811</v>
      </c>
      <c r="T31" s="162">
        <f>'Resident FTE'!T31+'Non-Resident FTE'!T31</f>
        <v>845.2760753120092</v>
      </c>
      <c r="U31" s="98"/>
    </row>
    <row r="32" spans="1:21">
      <c r="A32" s="34" t="s">
        <v>50</v>
      </c>
      <c r="B32" s="36">
        <f>'Resident FTE'!B32+'Non-Resident FTE'!B32</f>
        <v>2408</v>
      </c>
      <c r="C32" s="36">
        <f>'Resident FTE'!C32+'Non-Resident FTE'!C32</f>
        <v>2555</v>
      </c>
      <c r="D32" s="36">
        <f>'Resident FTE'!D32+'Non-Resident FTE'!D32</f>
        <v>2702</v>
      </c>
      <c r="E32" s="36">
        <f>'Resident FTE'!E32+'Non-Resident FTE'!E32</f>
        <v>2671</v>
      </c>
      <c r="F32" s="36">
        <f>'Resident FTE'!F32+'Non-Resident FTE'!F32</f>
        <v>2619</v>
      </c>
      <c r="G32" s="36">
        <f>'Resident FTE'!G32+'Non-Resident FTE'!G32</f>
        <v>2418</v>
      </c>
      <c r="H32" s="36">
        <f>'Resident FTE'!H32+'Non-Resident FTE'!H32</f>
        <v>2404</v>
      </c>
      <c r="I32" s="36">
        <f>'Resident FTE'!I32+'Non-Resident FTE'!I32</f>
        <v>2577</v>
      </c>
      <c r="J32" s="36">
        <f>'Resident FTE'!J32+'Non-Resident FTE'!J32</f>
        <v>2692.59</v>
      </c>
      <c r="K32" s="36">
        <f>'Resident FTE'!K32+'Non-Resident FTE'!K32</f>
        <v>2669.36</v>
      </c>
      <c r="L32" s="36">
        <f>'Resident FTE'!L32+'Non-Resident FTE'!L32</f>
        <v>2813.96</v>
      </c>
      <c r="M32" s="36">
        <f>'Resident FTE'!M32+'Non-Resident FTE'!M32</f>
        <v>3177.98</v>
      </c>
      <c r="N32" s="36">
        <f>'Resident FTE'!N32+'Non-Resident FTE'!N32</f>
        <v>3483.81</v>
      </c>
      <c r="O32" s="36">
        <f>'Resident FTE'!O32+'Non-Resident FTE'!O32</f>
        <v>3487.96</v>
      </c>
      <c r="P32" s="36">
        <f>'Resident FTE'!P32+'Non-Resident FTE'!P32</f>
        <v>3401.1</v>
      </c>
      <c r="Q32" s="38">
        <f>'Resident FTE'!Q32+'Non-Resident FTE'!Q32</f>
        <v>3228</v>
      </c>
      <c r="R32" s="38">
        <f>'Resident FTE'!R32+'Non-Resident FTE'!R32</f>
        <v>3264.5</v>
      </c>
      <c r="S32" s="38">
        <f>'Resident FTE'!S32+'Non-Resident FTE'!S32</f>
        <v>3549</v>
      </c>
      <c r="T32" s="162">
        <f>'Resident FTE'!T32+'Non-Resident FTE'!T32</f>
        <v>4171.7707861935587</v>
      </c>
      <c r="U32" s="98"/>
    </row>
    <row r="33" spans="1:21">
      <c r="A33" s="34" t="s">
        <v>51</v>
      </c>
      <c r="B33" s="36">
        <f>'Resident FTE'!B33+'Non-Resident FTE'!B33</f>
        <v>4032</v>
      </c>
      <c r="C33" s="36">
        <f>'Resident FTE'!C33+'Non-Resident FTE'!C33</f>
        <v>4486</v>
      </c>
      <c r="D33" s="36">
        <f>'Resident FTE'!D33+'Non-Resident FTE'!D33</f>
        <v>4603</v>
      </c>
      <c r="E33" s="36">
        <f>'Resident FTE'!E33+'Non-Resident FTE'!E33</f>
        <v>4440</v>
      </c>
      <c r="F33" s="36">
        <f>'Resident FTE'!F33+'Non-Resident FTE'!F33</f>
        <v>4236</v>
      </c>
      <c r="G33" s="36">
        <f>'Resident FTE'!G33+'Non-Resident FTE'!G33</f>
        <v>4227</v>
      </c>
      <c r="H33" s="36">
        <f>'Resident FTE'!H33+'Non-Resident FTE'!H33</f>
        <v>4038</v>
      </c>
      <c r="I33" s="36">
        <f>'Resident FTE'!I33+'Non-Resident FTE'!I33</f>
        <v>4071</v>
      </c>
      <c r="J33" s="36">
        <f>'Resident FTE'!J33+'Non-Resident FTE'!J33</f>
        <v>4026.1099999999997</v>
      </c>
      <c r="K33" s="36">
        <f>'Resident FTE'!K33+'Non-Resident FTE'!K33</f>
        <v>4026.6899999999996</v>
      </c>
      <c r="L33" s="36">
        <f>'Resident FTE'!L33+'Non-Resident FTE'!L33</f>
        <v>4188.16</v>
      </c>
      <c r="M33" s="36">
        <f>'Resident FTE'!M33+'Non-Resident FTE'!M33</f>
        <v>5041.74</v>
      </c>
      <c r="N33" s="36">
        <f>'Resident FTE'!N33+'Non-Resident FTE'!N33</f>
        <v>5538.85</v>
      </c>
      <c r="O33" s="36">
        <f>'Resident FTE'!O33+'Non-Resident FTE'!O33</f>
        <v>5341.9000000000005</v>
      </c>
      <c r="P33" s="36">
        <f>'Resident FTE'!P33+'Non-Resident FTE'!P33</f>
        <v>5022.2</v>
      </c>
      <c r="Q33" s="38">
        <f>'Resident FTE'!Q33+'Non-Resident FTE'!Q33</f>
        <v>5304.2800000000007</v>
      </c>
      <c r="R33" s="38">
        <f>'Resident FTE'!R33+'Non-Resident FTE'!R33</f>
        <v>5136.8999999999996</v>
      </c>
      <c r="S33" s="38">
        <f>'Resident FTE'!S33+'Non-Resident FTE'!S33</f>
        <v>5443</v>
      </c>
      <c r="T33" s="162">
        <f>'Resident FTE'!T33+'Non-Resident FTE'!T33</f>
        <v>7619.1380609542393</v>
      </c>
      <c r="U33" s="98"/>
    </row>
    <row r="34" spans="1:21">
      <c r="A34" s="34" t="s">
        <v>52</v>
      </c>
      <c r="B34" s="36">
        <f>'Resident FTE'!B34+'Non-Resident FTE'!B34</f>
        <v>6234</v>
      </c>
      <c r="C34" s="36">
        <f>'Resident FTE'!C34+'Non-Resident FTE'!C34</f>
        <v>6592</v>
      </c>
      <c r="D34" s="36">
        <f>'Resident FTE'!D34+'Non-Resident FTE'!D34</f>
        <v>6483</v>
      </c>
      <c r="E34" s="36">
        <f>'Resident FTE'!E34+'Non-Resident FTE'!E34</f>
        <v>6350</v>
      </c>
      <c r="F34" s="36">
        <f>'Resident FTE'!F34+'Non-Resident FTE'!F34</f>
        <v>6737</v>
      </c>
      <c r="G34" s="36">
        <f>'Resident FTE'!G34+'Non-Resident FTE'!G34</f>
        <v>6446</v>
      </c>
      <c r="H34" s="36">
        <f>'Resident FTE'!H34+'Non-Resident FTE'!H34</f>
        <v>6500</v>
      </c>
      <c r="I34" s="36">
        <f>'Resident FTE'!I34+'Non-Resident FTE'!I34</f>
        <v>7008</v>
      </c>
      <c r="J34" s="36">
        <f>'Resident FTE'!J34+'Non-Resident FTE'!J34</f>
        <v>7466.54</v>
      </c>
      <c r="K34" s="36">
        <f>'Resident FTE'!K34+'Non-Resident FTE'!K34</f>
        <v>7680.08</v>
      </c>
      <c r="L34" s="36">
        <f>'Resident FTE'!L34+'Non-Resident FTE'!L34</f>
        <v>8125.2000000000007</v>
      </c>
      <c r="M34" s="36">
        <f>'Resident FTE'!M34+'Non-Resident FTE'!M34</f>
        <v>9224.0300000000007</v>
      </c>
      <c r="N34" s="36">
        <f>'Resident FTE'!N34+'Non-Resident FTE'!N34</f>
        <v>9948.7000000000007</v>
      </c>
      <c r="O34" s="36">
        <f>'Resident FTE'!O34+'Non-Resident FTE'!O34</f>
        <v>10220.35</v>
      </c>
      <c r="P34" s="36">
        <f>'Resident FTE'!P34+'Non-Resident FTE'!P34</f>
        <v>9884</v>
      </c>
      <c r="Q34" s="38">
        <f>'Resident FTE'!Q34+'Non-Resident FTE'!Q34</f>
        <v>9726.7999999999993</v>
      </c>
      <c r="R34" s="38">
        <f>'Resident FTE'!R34+'Non-Resident FTE'!R34</f>
        <v>10040.799999999999</v>
      </c>
      <c r="S34" s="38">
        <f>'Resident FTE'!S34+'Non-Resident FTE'!S34</f>
        <v>10694</v>
      </c>
      <c r="T34" s="162">
        <f>'Resident FTE'!T34+'Non-Resident FTE'!T34</f>
        <v>12778.297539585197</v>
      </c>
      <c r="U34" s="98"/>
    </row>
    <row r="35" spans="1:21">
      <c r="A35" s="34" t="s">
        <v>53</v>
      </c>
      <c r="B35" s="36">
        <f>'Resident FTE'!B35+'Non-Resident FTE'!B35</f>
        <v>637</v>
      </c>
      <c r="C35" s="36">
        <f>'Resident FTE'!C35+'Non-Resident FTE'!C35</f>
        <v>675</v>
      </c>
      <c r="D35" s="36">
        <f>'Resident FTE'!D35+'Non-Resident FTE'!D35</f>
        <v>654</v>
      </c>
      <c r="E35" s="36">
        <f>'Resident FTE'!E35+'Non-Resident FTE'!E35</f>
        <v>630</v>
      </c>
      <c r="F35" s="36">
        <f>'Resident FTE'!F35+'Non-Resident FTE'!F35</f>
        <v>664</v>
      </c>
      <c r="G35" s="36">
        <f>'Resident FTE'!G35+'Non-Resident FTE'!G35</f>
        <v>698</v>
      </c>
      <c r="H35" s="36">
        <f>'Resident FTE'!H35+'Non-Resident FTE'!H35</f>
        <v>737</v>
      </c>
      <c r="I35" s="36">
        <f>'Resident FTE'!I35+'Non-Resident FTE'!I35</f>
        <v>745</v>
      </c>
      <c r="J35" s="36">
        <f>'Resident FTE'!J35+'Non-Resident FTE'!J35</f>
        <v>673.35</v>
      </c>
      <c r="K35" s="36">
        <f>'Resident FTE'!K35+'Non-Resident FTE'!K35</f>
        <v>674.29199999999992</v>
      </c>
      <c r="L35" s="36">
        <f>'Resident FTE'!L35+'Non-Resident FTE'!L35</f>
        <v>682.36</v>
      </c>
      <c r="M35" s="36">
        <f>'Resident FTE'!M35+'Non-Resident FTE'!M35</f>
        <v>762.15000000000009</v>
      </c>
      <c r="N35" s="36">
        <f>'Resident FTE'!N35+'Non-Resident FTE'!N35</f>
        <v>740.69999999999993</v>
      </c>
      <c r="O35" s="36">
        <f>'Resident FTE'!O35+'Non-Resident FTE'!O35</f>
        <v>696.99</v>
      </c>
      <c r="P35" s="36">
        <f>'Resident FTE'!P35+'Non-Resident FTE'!P35</f>
        <v>705.02</v>
      </c>
      <c r="Q35" s="38">
        <f>'Resident FTE'!Q35+'Non-Resident FTE'!Q35</f>
        <v>685.28000000000009</v>
      </c>
      <c r="R35" s="38">
        <f>'Resident FTE'!R35+'Non-Resident FTE'!R35</f>
        <v>760.38766669999995</v>
      </c>
      <c r="S35" s="38">
        <f>'Resident FTE'!S35+'Non-Resident FTE'!S35</f>
        <v>760</v>
      </c>
      <c r="T35" s="162">
        <f>'Resident FTE'!T35+'Non-Resident FTE'!T35</f>
        <v>733.87641170643974</v>
      </c>
      <c r="U35" s="98"/>
    </row>
    <row r="36" spans="1:21">
      <c r="A36" s="34" t="s">
        <v>54</v>
      </c>
      <c r="B36" s="36">
        <f>'Resident FTE'!B36+'Non-Resident FTE'!B36</f>
        <v>584</v>
      </c>
      <c r="C36" s="36">
        <f>'Resident FTE'!C36+'Non-Resident FTE'!C36</f>
        <v>757</v>
      </c>
      <c r="D36" s="36">
        <f>'Resident FTE'!D36+'Non-Resident FTE'!D36</f>
        <v>846</v>
      </c>
      <c r="E36" s="36">
        <f>'Resident FTE'!E36+'Non-Resident FTE'!E36</f>
        <v>716</v>
      </c>
      <c r="F36" s="36">
        <f>'Resident FTE'!F36+'Non-Resident FTE'!F36</f>
        <v>769</v>
      </c>
      <c r="G36" s="36">
        <f>'Resident FTE'!G36+'Non-Resident FTE'!G36</f>
        <v>815</v>
      </c>
      <c r="H36" s="36">
        <f>'Resident FTE'!H36+'Non-Resident FTE'!H36</f>
        <v>879</v>
      </c>
      <c r="I36" s="36">
        <f>'Resident FTE'!I36+'Non-Resident FTE'!I36</f>
        <v>927</v>
      </c>
      <c r="J36" s="36">
        <f>'Resident FTE'!J36+'Non-Resident FTE'!J36</f>
        <v>959.43</v>
      </c>
      <c r="K36" s="36">
        <f>'Resident FTE'!K36+'Non-Resident FTE'!K36</f>
        <v>958.83999999999992</v>
      </c>
      <c r="L36" s="36">
        <f>'Resident FTE'!L36+'Non-Resident FTE'!L36</f>
        <v>987.77</v>
      </c>
      <c r="M36" s="36">
        <f>'Resident FTE'!M36+'Non-Resident FTE'!M36</f>
        <v>927.81999999999994</v>
      </c>
      <c r="N36" s="36">
        <f>'Resident FTE'!N36+'Non-Resident FTE'!N36</f>
        <v>941.11</v>
      </c>
      <c r="O36" s="36">
        <f>'Resident FTE'!O36+'Non-Resident FTE'!O36</f>
        <v>980.07</v>
      </c>
      <c r="P36" s="36">
        <f>'Resident FTE'!P36+'Non-Resident FTE'!P36</f>
        <v>1020.23</v>
      </c>
      <c r="Q36" s="38">
        <f>'Resident FTE'!Q36+'Non-Resident FTE'!Q36</f>
        <v>1022.63</v>
      </c>
      <c r="R36" s="38">
        <f>'Resident FTE'!R36+'Non-Resident FTE'!R36</f>
        <v>1003.5400000000001</v>
      </c>
      <c r="S36" s="38">
        <f>'Resident FTE'!S36+'Non-Resident FTE'!S36</f>
        <v>1032</v>
      </c>
      <c r="T36" s="162">
        <f>'Resident FTE'!T36+'Non-Resident FTE'!T36</f>
        <v>1087.3305166269561</v>
      </c>
      <c r="U36" s="98"/>
    </row>
    <row r="37" spans="1:21">
      <c r="A37" s="34" t="s">
        <v>55</v>
      </c>
      <c r="B37" s="36">
        <f>'Resident FTE'!B37+'Non-Resident FTE'!B37</f>
        <v>1780</v>
      </c>
      <c r="C37" s="36">
        <f>'Resident FTE'!C37+'Non-Resident FTE'!C37</f>
        <v>1825</v>
      </c>
      <c r="D37" s="36">
        <f>'Resident FTE'!D37+'Non-Resident FTE'!D37</f>
        <v>1648</v>
      </c>
      <c r="E37" s="36">
        <f>'Resident FTE'!E37+'Non-Resident FTE'!E37</f>
        <v>1633</v>
      </c>
      <c r="F37" s="36">
        <f>'Resident FTE'!F37+'Non-Resident FTE'!F37</f>
        <v>1593</v>
      </c>
      <c r="G37" s="36">
        <f>'Resident FTE'!G37+'Non-Resident FTE'!G37</f>
        <v>1713</v>
      </c>
      <c r="H37" s="36">
        <f>'Resident FTE'!H37+'Non-Resident FTE'!H37</f>
        <v>1532</v>
      </c>
      <c r="I37" s="36">
        <f>'Resident FTE'!I37+'Non-Resident FTE'!I37</f>
        <v>1579</v>
      </c>
      <c r="J37" s="36">
        <f>'Resident FTE'!J37+'Non-Resident FTE'!J37</f>
        <v>1537.5</v>
      </c>
      <c r="K37" s="36">
        <f>'Resident FTE'!K37+'Non-Resident FTE'!K37</f>
        <v>1604.3799999999999</v>
      </c>
      <c r="L37" s="36">
        <f>'Resident FTE'!L37+'Non-Resident FTE'!L37</f>
        <v>1593.54</v>
      </c>
      <c r="M37" s="36">
        <f>'Resident FTE'!M37+'Non-Resident FTE'!M37</f>
        <v>1640.6799999999998</v>
      </c>
      <c r="N37" s="36">
        <f>'Resident FTE'!N37+'Non-Resident FTE'!N37</f>
        <v>1531.9</v>
      </c>
      <c r="O37" s="36">
        <f>'Resident FTE'!O37+'Non-Resident FTE'!O37</f>
        <v>1477.96</v>
      </c>
      <c r="P37" s="36">
        <f>'Resident FTE'!P37+'Non-Resident FTE'!P37</f>
        <v>1274.6500000000001</v>
      </c>
      <c r="Q37" s="38">
        <f>'Resident FTE'!Q37+'Non-Resident FTE'!Q37</f>
        <v>1242.03</v>
      </c>
      <c r="R37" s="38">
        <f>'Resident FTE'!R37+'Non-Resident FTE'!R37</f>
        <v>1297.46</v>
      </c>
      <c r="S37" s="38">
        <f>'Resident FTE'!S37+'Non-Resident FTE'!S37</f>
        <v>1430</v>
      </c>
      <c r="T37" s="162">
        <f>'Resident FTE'!T37+'Non-Resident FTE'!T37</f>
        <v>1457.1552943353338</v>
      </c>
      <c r="U37" s="98"/>
    </row>
    <row r="38" spans="1:21">
      <c r="A38" s="34" t="s">
        <v>56</v>
      </c>
      <c r="B38" s="36">
        <f>'Resident FTE'!B38+'Non-Resident FTE'!B38</f>
        <v>726</v>
      </c>
      <c r="C38" s="36">
        <f>'Resident FTE'!C38+'Non-Resident FTE'!C38</f>
        <v>738</v>
      </c>
      <c r="D38" s="36">
        <f>'Resident FTE'!D38+'Non-Resident FTE'!D38</f>
        <v>799</v>
      </c>
      <c r="E38" s="36">
        <f>'Resident FTE'!E38+'Non-Resident FTE'!E38</f>
        <v>813</v>
      </c>
      <c r="F38" s="36">
        <f>'Resident FTE'!F38+'Non-Resident FTE'!F38</f>
        <v>775</v>
      </c>
      <c r="G38" s="36">
        <f>'Resident FTE'!G38+'Non-Resident FTE'!G38</f>
        <v>805</v>
      </c>
      <c r="H38" s="36">
        <f>'Resident FTE'!H38+'Non-Resident FTE'!H38</f>
        <v>854</v>
      </c>
      <c r="I38" s="36">
        <f>'Resident FTE'!I38+'Non-Resident FTE'!I38</f>
        <v>906</v>
      </c>
      <c r="J38" s="36">
        <f>'Resident FTE'!J38+'Non-Resident FTE'!J38</f>
        <v>958.52</v>
      </c>
      <c r="K38" s="36">
        <f>'Resident FTE'!K38+'Non-Resident FTE'!K38</f>
        <v>973.98</v>
      </c>
      <c r="L38" s="36">
        <f>'Resident FTE'!L38+'Non-Resident FTE'!L38</f>
        <v>1092.0899999999999</v>
      </c>
      <c r="M38" s="36">
        <f>'Resident FTE'!M38+'Non-Resident FTE'!M38</f>
        <v>1140.6300000000001</v>
      </c>
      <c r="N38" s="36">
        <f>'Resident FTE'!N38+'Non-Resident FTE'!N38</f>
        <v>1246.8</v>
      </c>
      <c r="O38" s="36">
        <f>'Resident FTE'!O38+'Non-Resident FTE'!O38</f>
        <v>1273.93</v>
      </c>
      <c r="P38" s="36">
        <f>'Resident FTE'!P38+'Non-Resident FTE'!P38</f>
        <v>1261.9299999999998</v>
      </c>
      <c r="Q38" s="38">
        <f>'Resident FTE'!Q38+'Non-Resident FTE'!Q38</f>
        <v>1301.6500000000001</v>
      </c>
      <c r="R38" s="38">
        <f>'Resident FTE'!R38+'Non-Resident FTE'!R38</f>
        <v>1236.03</v>
      </c>
      <c r="S38" s="38">
        <f>'Resident FTE'!S38+'Non-Resident FTE'!S38</f>
        <v>1234</v>
      </c>
      <c r="T38" s="162">
        <f>'Resident FTE'!T38+'Non-Resident FTE'!T38</f>
        <v>1297.2110421459292</v>
      </c>
      <c r="U38" s="98"/>
    </row>
    <row r="39" spans="1:21">
      <c r="A39" s="34" t="s">
        <v>57</v>
      </c>
      <c r="B39" s="36">
        <f>'Resident FTE'!B39+'Non-Resident FTE'!B39</f>
        <v>4702</v>
      </c>
      <c r="C39" s="36">
        <f>'Resident FTE'!C39+'Non-Resident FTE'!C39</f>
        <v>4886</v>
      </c>
      <c r="D39" s="36">
        <f>'Resident FTE'!D39+'Non-Resident FTE'!D39</f>
        <v>4586</v>
      </c>
      <c r="E39" s="36">
        <f>'Resident FTE'!E39+'Non-Resident FTE'!E39</f>
        <v>4694</v>
      </c>
      <c r="F39" s="36">
        <f>'Resident FTE'!F39+'Non-Resident FTE'!F39</f>
        <v>4560</v>
      </c>
      <c r="G39" s="36">
        <f>'Resident FTE'!G39+'Non-Resident FTE'!G39</f>
        <v>4804</v>
      </c>
      <c r="H39" s="36">
        <f>'Resident FTE'!H39+'Non-Resident FTE'!H39</f>
        <v>4919</v>
      </c>
      <c r="I39" s="36">
        <f>'Resident FTE'!I39+'Non-Resident FTE'!I39</f>
        <v>5108</v>
      </c>
      <c r="J39" s="36">
        <f>'Resident FTE'!J39+'Non-Resident FTE'!J39</f>
        <v>5289.7999999999993</v>
      </c>
      <c r="K39" s="36">
        <f>'Resident FTE'!K39+'Non-Resident FTE'!K39</f>
        <v>5334.3</v>
      </c>
      <c r="L39" s="36">
        <f>'Resident FTE'!L39+'Non-Resident FTE'!L39</f>
        <v>5679.5999999999995</v>
      </c>
      <c r="M39" s="36">
        <f>'Resident FTE'!M39+'Non-Resident FTE'!M39</f>
        <v>6396.0999999999995</v>
      </c>
      <c r="N39" s="36">
        <f>'Resident FTE'!N39+'Non-Resident FTE'!N39</f>
        <v>6706.6</v>
      </c>
      <c r="O39" s="36">
        <f>'Resident FTE'!O39+'Non-Resident FTE'!O39</f>
        <v>6986.7</v>
      </c>
      <c r="P39" s="36">
        <f>'Resident FTE'!P39+'Non-Resident FTE'!P39</f>
        <v>7128.8</v>
      </c>
      <c r="Q39" s="38">
        <f>'Resident FTE'!Q39+'Non-Resident FTE'!Q39</f>
        <v>6759.74</v>
      </c>
      <c r="R39" s="38">
        <f>'Resident FTE'!R39+'Non-Resident FTE'!R39</f>
        <v>7481.27</v>
      </c>
      <c r="S39" s="38">
        <f>'Resident FTE'!S39+'Non-Resident FTE'!S39</f>
        <v>8148</v>
      </c>
      <c r="T39" s="162">
        <f>'Resident FTE'!T39+'Non-Resident FTE'!T39</f>
        <v>9646.2336454173274</v>
      </c>
      <c r="U39" s="98"/>
    </row>
    <row r="40" spans="1:21">
      <c r="A40" s="34" t="s">
        <v>58</v>
      </c>
      <c r="B40" s="36">
        <f>'Resident FTE'!B40+'Non-Resident FTE'!B40</f>
        <v>2517</v>
      </c>
      <c r="C40" s="36">
        <f>'Resident FTE'!C40+'Non-Resident FTE'!C40</f>
        <v>2744</v>
      </c>
      <c r="D40" s="36">
        <f>'Resident FTE'!D40+'Non-Resident FTE'!D40</f>
        <v>2675</v>
      </c>
      <c r="E40" s="36">
        <f>'Resident FTE'!E40+'Non-Resident FTE'!E40</f>
        <v>2749</v>
      </c>
      <c r="F40" s="36">
        <f>'Resident FTE'!F40+'Non-Resident FTE'!F40</f>
        <v>2821</v>
      </c>
      <c r="G40" s="36">
        <f>'Resident FTE'!G40+'Non-Resident FTE'!G40</f>
        <v>2911</v>
      </c>
      <c r="H40" s="36">
        <f>'Resident FTE'!H40+'Non-Resident FTE'!H40</f>
        <v>3146</v>
      </c>
      <c r="I40" s="36">
        <f>'Resident FTE'!I40+'Non-Resident FTE'!I40</f>
        <v>3221</v>
      </c>
      <c r="J40" s="36">
        <f>'Resident FTE'!J40+'Non-Resident FTE'!J40</f>
        <v>3332.27</v>
      </c>
      <c r="K40" s="36">
        <f>'Resident FTE'!K40+'Non-Resident FTE'!K40</f>
        <v>3291.55</v>
      </c>
      <c r="L40" s="36">
        <f>'Resident FTE'!L40+'Non-Resident FTE'!L40</f>
        <v>3610.2999999999997</v>
      </c>
      <c r="M40" s="36">
        <f>'Resident FTE'!M40+'Non-Resident FTE'!M40</f>
        <v>3902.5</v>
      </c>
      <c r="N40" s="36">
        <f>'Resident FTE'!N40+'Non-Resident FTE'!N40</f>
        <v>4285.87</v>
      </c>
      <c r="O40" s="36">
        <f>'Resident FTE'!O40+'Non-Resident FTE'!O40</f>
        <v>4204.53</v>
      </c>
      <c r="P40" s="36">
        <f>'Resident FTE'!P40+'Non-Resident FTE'!P40</f>
        <v>3904.94</v>
      </c>
      <c r="Q40" s="38">
        <f>'Resident FTE'!Q40+'Non-Resident FTE'!Q40</f>
        <v>3522</v>
      </c>
      <c r="R40" s="38">
        <f>'Resident FTE'!R40+'Non-Resident FTE'!R40</f>
        <v>3487.4</v>
      </c>
      <c r="S40" s="38">
        <f>'Resident FTE'!S40+'Non-Resident FTE'!S40</f>
        <v>3856</v>
      </c>
      <c r="T40" s="162">
        <f>'Resident FTE'!T40+'Non-Resident FTE'!T40</f>
        <v>4750.4508504515161</v>
      </c>
      <c r="U40" s="98"/>
    </row>
    <row r="41" spans="1:21">
      <c r="A41" s="34" t="s">
        <v>59</v>
      </c>
      <c r="B41" s="36">
        <f>'Resident FTE'!B41+'Non-Resident FTE'!B41</f>
        <v>3245</v>
      </c>
      <c r="C41" s="36">
        <f>'Resident FTE'!C41+'Non-Resident FTE'!C41</f>
        <v>3643</v>
      </c>
      <c r="D41" s="36">
        <f>'Resident FTE'!D41+'Non-Resident FTE'!D41</f>
        <v>3940</v>
      </c>
      <c r="E41" s="36">
        <f>'Resident FTE'!E41+'Non-Resident FTE'!E41</f>
        <v>4033</v>
      </c>
      <c r="F41" s="36">
        <f>'Resident FTE'!F41+'Non-Resident FTE'!F41</f>
        <v>3953</v>
      </c>
      <c r="G41" s="36">
        <f>'Resident FTE'!G41+'Non-Resident FTE'!G41</f>
        <v>3897</v>
      </c>
      <c r="H41" s="36">
        <f>'Resident FTE'!H41+'Non-Resident FTE'!H41</f>
        <v>4185</v>
      </c>
      <c r="I41" s="36">
        <f>'Resident FTE'!I41+'Non-Resident FTE'!I41</f>
        <v>4398.3</v>
      </c>
      <c r="J41" s="36">
        <f>'Resident FTE'!J41+'Non-Resident FTE'!J41</f>
        <v>4201.8</v>
      </c>
      <c r="K41" s="36">
        <f>'Resident FTE'!K41+'Non-Resident FTE'!K41</f>
        <v>4233.3599999999997</v>
      </c>
      <c r="L41" s="36">
        <f>'Resident FTE'!L41+'Non-Resident FTE'!L41</f>
        <v>4203.83</v>
      </c>
      <c r="M41" s="36">
        <f>'Resident FTE'!M41+'Non-Resident FTE'!M41</f>
        <v>4471.3</v>
      </c>
      <c r="N41" s="36">
        <f>'Resident FTE'!N41+'Non-Resident FTE'!N41</f>
        <v>4710.87</v>
      </c>
      <c r="O41" s="36">
        <f>'Resident FTE'!O41+'Non-Resident FTE'!O41</f>
        <v>4656.67</v>
      </c>
      <c r="P41" s="36">
        <f>'Resident FTE'!P41+'Non-Resident FTE'!P41</f>
        <v>4387.3</v>
      </c>
      <c r="Q41" s="38">
        <f>'Resident FTE'!Q41+'Non-Resident FTE'!Q41</f>
        <v>4278.5899999999992</v>
      </c>
      <c r="R41" s="38">
        <f>'Resident FTE'!R41+'Non-Resident FTE'!R41</f>
        <v>4680.32</v>
      </c>
      <c r="S41" s="38">
        <f>'Resident FTE'!S41+'Non-Resident FTE'!S41</f>
        <v>5071</v>
      </c>
      <c r="T41" s="162">
        <f>'Resident FTE'!T41+'Non-Resident FTE'!T41</f>
        <v>6130.0941318300756</v>
      </c>
      <c r="U41" s="98"/>
    </row>
    <row r="42" spans="1:21" ht="12.75" thickBot="1">
      <c r="A42" s="45" t="s">
        <v>60</v>
      </c>
      <c r="B42" s="47">
        <f>'Resident FTE'!B42+'Non-Resident FTE'!B42</f>
        <v>1241</v>
      </c>
      <c r="C42" s="47">
        <f>'Resident FTE'!C42+'Non-Resident FTE'!C42</f>
        <v>1241</v>
      </c>
      <c r="D42" s="47">
        <f>'Resident FTE'!D42+'Non-Resident FTE'!D42</f>
        <v>1243</v>
      </c>
      <c r="E42" s="47">
        <f>'Resident FTE'!E42+'Non-Resident FTE'!E42</f>
        <v>1533</v>
      </c>
      <c r="F42" s="47">
        <f>'Resident FTE'!F42+'Non-Resident FTE'!F42</f>
        <v>1467</v>
      </c>
      <c r="G42" s="47">
        <f>'Resident FTE'!G42+'Non-Resident FTE'!G42</f>
        <v>1567</v>
      </c>
      <c r="H42" s="47">
        <f>'Resident FTE'!H42+'Non-Resident FTE'!H42</f>
        <v>1570</v>
      </c>
      <c r="I42" s="47">
        <f>'Resident FTE'!I42+'Non-Resident FTE'!I42</f>
        <v>1470</v>
      </c>
      <c r="J42" s="47">
        <f>'Resident FTE'!J42+'Non-Resident FTE'!J42</f>
        <v>1463.93</v>
      </c>
      <c r="K42" s="47">
        <f>'Resident FTE'!K42+'Non-Resident FTE'!K42</f>
        <v>1425.9</v>
      </c>
      <c r="L42" s="47">
        <f>'Resident FTE'!L42+'Non-Resident FTE'!L42</f>
        <v>1488</v>
      </c>
      <c r="M42" s="47">
        <f>'Resident FTE'!M42+'Non-Resident FTE'!M42</f>
        <v>1584.23</v>
      </c>
      <c r="N42" s="47">
        <f>'Resident FTE'!N42+'Non-Resident FTE'!N42</f>
        <v>1576.73</v>
      </c>
      <c r="O42" s="47">
        <f>'Resident FTE'!O42+'Non-Resident FTE'!O42</f>
        <v>1602.24</v>
      </c>
      <c r="P42" s="36">
        <f>'Resident FTE'!P42+'Non-Resident FTE'!P42</f>
        <v>1447.85</v>
      </c>
      <c r="Q42" s="55">
        <f>'Resident FTE'!Q42+'Non-Resident FTE'!Q42</f>
        <v>1300.75</v>
      </c>
      <c r="R42" s="38">
        <f>'Resident FTE'!R42+'Non-Resident FTE'!R42</f>
        <v>1367.89</v>
      </c>
      <c r="S42" s="38">
        <f>'Resident FTE'!S42+'Non-Resident FTE'!S42</f>
        <v>1420</v>
      </c>
      <c r="T42" s="162">
        <f>'Resident FTE'!T42+'Non-Resident FTE'!T42</f>
        <v>1583.0531010738016</v>
      </c>
      <c r="U42" s="98"/>
    </row>
    <row r="43" spans="1:21" ht="12.75" thickTop="1">
      <c r="A43" s="50" t="s">
        <v>61</v>
      </c>
      <c r="B43" s="28">
        <f t="shared" ref="B43:S43" si="3">SUM(B44:B45)</f>
        <v>7230</v>
      </c>
      <c r="C43" s="28">
        <f t="shared" si="3"/>
        <v>7340</v>
      </c>
      <c r="D43" s="28">
        <f t="shared" si="3"/>
        <v>7062</v>
      </c>
      <c r="E43" s="28">
        <f t="shared" si="3"/>
        <v>7000</v>
      </c>
      <c r="F43" s="28">
        <f t="shared" si="3"/>
        <v>6776</v>
      </c>
      <c r="G43" s="28">
        <f t="shared" si="3"/>
        <v>6906</v>
      </c>
      <c r="H43" s="28">
        <f t="shared" si="3"/>
        <v>6915</v>
      </c>
      <c r="I43" s="28">
        <f t="shared" si="3"/>
        <v>6908</v>
      </c>
      <c r="J43" s="28">
        <f t="shared" si="3"/>
        <v>6774.96</v>
      </c>
      <c r="K43" s="28">
        <f t="shared" si="3"/>
        <v>6851.52</v>
      </c>
      <c r="L43" s="28">
        <f t="shared" si="3"/>
        <v>6906.4500000000007</v>
      </c>
      <c r="M43" s="28">
        <f t="shared" si="3"/>
        <v>6521</v>
      </c>
      <c r="N43" s="28">
        <f t="shared" si="3"/>
        <v>6103.65</v>
      </c>
      <c r="O43" s="28">
        <f t="shared" si="3"/>
        <v>5928.41</v>
      </c>
      <c r="P43" s="31">
        <f t="shared" si="3"/>
        <v>5696</v>
      </c>
      <c r="Q43" s="52">
        <f t="shared" si="3"/>
        <v>5766.08</v>
      </c>
      <c r="R43" s="53">
        <f t="shared" si="3"/>
        <v>5637.5230000000001</v>
      </c>
      <c r="S43" s="53">
        <f t="shared" si="3"/>
        <v>5916</v>
      </c>
      <c r="T43" s="54">
        <f>SUM(T44:T45)</f>
        <v>6613.3830334038194</v>
      </c>
      <c r="U43" s="98"/>
    </row>
    <row r="44" spans="1:21">
      <c r="A44" s="34" t="s">
        <v>62</v>
      </c>
      <c r="B44" s="36">
        <f>'Resident FTE'!B44+'Non-Resident FTE'!B44</f>
        <v>4509</v>
      </c>
      <c r="C44" s="36">
        <f>'Resident FTE'!C44+'Non-Resident FTE'!C44</f>
        <v>4604</v>
      </c>
      <c r="D44" s="36">
        <f>'Resident FTE'!D44+'Non-Resident FTE'!D44</f>
        <v>4052</v>
      </c>
      <c r="E44" s="36">
        <f>'Resident FTE'!E44+'Non-Resident FTE'!E44</f>
        <v>3820</v>
      </c>
      <c r="F44" s="36">
        <f>'Resident FTE'!F44+'Non-Resident FTE'!F44</f>
        <v>3698</v>
      </c>
      <c r="G44" s="36">
        <f>'Resident FTE'!G44+'Non-Resident FTE'!G44</f>
        <v>3807</v>
      </c>
      <c r="H44" s="36">
        <f>'Resident FTE'!H44+'Non-Resident FTE'!H44</f>
        <v>3779</v>
      </c>
      <c r="I44" s="36">
        <f>'Resident FTE'!I44+'Non-Resident FTE'!I44</f>
        <v>3830</v>
      </c>
      <c r="J44" s="36">
        <f>'Resident FTE'!J44+'Non-Resident FTE'!J44</f>
        <v>3847.96</v>
      </c>
      <c r="K44" s="36">
        <f>'Resident FTE'!K44+'Non-Resident FTE'!K44</f>
        <v>3812.52</v>
      </c>
      <c r="L44" s="36">
        <f>'Resident FTE'!L44+'Non-Resident FTE'!L44</f>
        <v>3952.4500000000003</v>
      </c>
      <c r="M44" s="36">
        <f>'Resident FTE'!M44+'Non-Resident FTE'!M44</f>
        <v>3664</v>
      </c>
      <c r="N44" s="36">
        <f>'Resident FTE'!N44+'Non-Resident FTE'!N44</f>
        <v>3287.65</v>
      </c>
      <c r="O44" s="36">
        <f>'Resident FTE'!O44+'Non-Resident FTE'!O44</f>
        <v>3090.41</v>
      </c>
      <c r="P44" s="36">
        <f>'Resident FTE'!P44+'Non-Resident FTE'!P44</f>
        <v>2961</v>
      </c>
      <c r="Q44" s="38">
        <f>'Resident FTE'!Q44+'Non-Resident FTE'!Q44</f>
        <v>3050.0800000000004</v>
      </c>
      <c r="R44" s="38">
        <f>'Resident FTE'!R44+'Non-Resident FTE'!R44</f>
        <v>2961.5230000000001</v>
      </c>
      <c r="S44" s="38">
        <f>'Resident FTE'!S44+'Non-Resident FTE'!S44</f>
        <v>3150</v>
      </c>
      <c r="T44" s="162">
        <f>'Resident FTE'!T44+'Non-Resident FTE'!T44</f>
        <v>3472.2068978726843</v>
      </c>
      <c r="U44" s="98"/>
    </row>
    <row r="45" spans="1:21" ht="12.75" thickBot="1">
      <c r="A45" s="45" t="s">
        <v>63</v>
      </c>
      <c r="B45" s="47">
        <f>'Resident FTE'!B45+'Non-Resident FTE'!B45</f>
        <v>2721</v>
      </c>
      <c r="C45" s="47">
        <f>'Resident FTE'!C45+'Non-Resident FTE'!C45</f>
        <v>2736</v>
      </c>
      <c r="D45" s="47">
        <f>'Resident FTE'!D45+'Non-Resident FTE'!D45</f>
        <v>3010</v>
      </c>
      <c r="E45" s="47">
        <f>'Resident FTE'!E45+'Non-Resident FTE'!E45</f>
        <v>3180</v>
      </c>
      <c r="F45" s="47">
        <f>'Resident FTE'!F45+'Non-Resident FTE'!F45</f>
        <v>3078</v>
      </c>
      <c r="G45" s="47">
        <f>'Resident FTE'!G45+'Non-Resident FTE'!G45</f>
        <v>3099</v>
      </c>
      <c r="H45" s="47">
        <f>'Resident FTE'!H45+'Non-Resident FTE'!H45</f>
        <v>3136</v>
      </c>
      <c r="I45" s="47">
        <f>'Resident FTE'!I45+'Non-Resident FTE'!I45</f>
        <v>3078</v>
      </c>
      <c r="J45" s="47">
        <f>'Resident FTE'!J45+'Non-Resident FTE'!J45</f>
        <v>2927</v>
      </c>
      <c r="K45" s="47">
        <f>'Resident FTE'!K45+'Non-Resident FTE'!K45</f>
        <v>3039</v>
      </c>
      <c r="L45" s="47">
        <f>'Resident FTE'!L45+'Non-Resident FTE'!L45</f>
        <v>2954</v>
      </c>
      <c r="M45" s="47">
        <f>'Resident FTE'!M45+'Non-Resident FTE'!M45</f>
        <v>2857</v>
      </c>
      <c r="N45" s="47">
        <f>'Resident FTE'!N45+'Non-Resident FTE'!N45</f>
        <v>2816</v>
      </c>
      <c r="O45" s="47">
        <f>'Resident FTE'!O45+'Non-Resident FTE'!O45</f>
        <v>2838</v>
      </c>
      <c r="P45" s="36">
        <f>'Resident FTE'!P45+'Non-Resident FTE'!P45</f>
        <v>2735</v>
      </c>
      <c r="Q45" s="38">
        <f>'Resident FTE'!Q45+'Non-Resident FTE'!Q45</f>
        <v>2716</v>
      </c>
      <c r="R45" s="38">
        <f>'Resident FTE'!R45+'Non-Resident FTE'!R45</f>
        <v>2676</v>
      </c>
      <c r="S45" s="38">
        <f>'Resident FTE'!S45+'Non-Resident FTE'!S45</f>
        <v>2766</v>
      </c>
      <c r="T45" s="162">
        <f>'Resident FTE'!T45+'Non-Resident FTE'!T45</f>
        <v>3141.1761355311351</v>
      </c>
      <c r="U45" s="98"/>
    </row>
    <row r="46" spans="1:21" ht="12.75" thickTop="1">
      <c r="A46" s="50" t="s">
        <v>64</v>
      </c>
      <c r="B46" s="28">
        <f t="shared" ref="B46:S46" si="4">SUM(B6,B11,B16,B18,B20,B22,B24,B26,B28,B29)</f>
        <v>129907.1</v>
      </c>
      <c r="C46" s="28">
        <f t="shared" si="4"/>
        <v>132334.39999999999</v>
      </c>
      <c r="D46" s="28">
        <f t="shared" si="4"/>
        <v>132059.5</v>
      </c>
      <c r="E46" s="28">
        <f t="shared" si="4"/>
        <v>131499.79999999999</v>
      </c>
      <c r="F46" s="28">
        <f t="shared" si="4"/>
        <v>131821.33000000002</v>
      </c>
      <c r="G46" s="28">
        <f t="shared" si="4"/>
        <v>132395.79999999999</v>
      </c>
      <c r="H46" s="28">
        <f t="shared" si="4"/>
        <v>133883.6</v>
      </c>
      <c r="I46" s="28">
        <f t="shared" si="4"/>
        <v>136256.81</v>
      </c>
      <c r="J46" s="28">
        <f t="shared" si="4"/>
        <v>138044.57999999999</v>
      </c>
      <c r="K46" s="28">
        <f t="shared" si="4"/>
        <v>138464.89199999999</v>
      </c>
      <c r="L46" s="28">
        <f t="shared" si="4"/>
        <v>143972.25</v>
      </c>
      <c r="M46" s="28">
        <f t="shared" si="4"/>
        <v>152963.42000000001</v>
      </c>
      <c r="N46" s="28">
        <f t="shared" si="4"/>
        <v>158444.78</v>
      </c>
      <c r="O46" s="28">
        <f t="shared" si="4"/>
        <v>160260.25</v>
      </c>
      <c r="P46" s="31">
        <f t="shared" si="4"/>
        <v>157151.62667000003</v>
      </c>
      <c r="Q46" s="68">
        <f t="shared" si="4"/>
        <v>155663.63363969998</v>
      </c>
      <c r="R46" s="68">
        <f t="shared" si="4"/>
        <v>158157.30766670001</v>
      </c>
      <c r="S46" s="68">
        <f t="shared" si="4"/>
        <v>163410</v>
      </c>
      <c r="T46" s="69">
        <f>SUM(T6,T11,T16,T18,T20,T22,T24,T26,T28,T29)</f>
        <v>180517.34094202044</v>
      </c>
      <c r="U46" s="98"/>
    </row>
    <row r="47" spans="1:21" ht="12.75" thickBot="1">
      <c r="A47" s="159" t="s">
        <v>65</v>
      </c>
      <c r="B47" s="61">
        <f t="shared" ref="B47:S47" si="5">SUM(B44:B45)</f>
        <v>7230</v>
      </c>
      <c r="C47" s="61">
        <f t="shared" si="5"/>
        <v>7340</v>
      </c>
      <c r="D47" s="61">
        <f t="shared" si="5"/>
        <v>7062</v>
      </c>
      <c r="E47" s="61">
        <f t="shared" si="5"/>
        <v>7000</v>
      </c>
      <c r="F47" s="61">
        <f t="shared" si="5"/>
        <v>6776</v>
      </c>
      <c r="G47" s="61">
        <f t="shared" si="5"/>
        <v>6906</v>
      </c>
      <c r="H47" s="61">
        <f t="shared" si="5"/>
        <v>6915</v>
      </c>
      <c r="I47" s="61">
        <f t="shared" si="5"/>
        <v>6908</v>
      </c>
      <c r="J47" s="61">
        <f t="shared" si="5"/>
        <v>6774.96</v>
      </c>
      <c r="K47" s="61">
        <f t="shared" si="5"/>
        <v>6851.52</v>
      </c>
      <c r="L47" s="61">
        <f t="shared" si="5"/>
        <v>6906.4500000000007</v>
      </c>
      <c r="M47" s="61">
        <f t="shared" si="5"/>
        <v>6521</v>
      </c>
      <c r="N47" s="61">
        <f t="shared" si="5"/>
        <v>6103.65</v>
      </c>
      <c r="O47" s="61">
        <f t="shared" si="5"/>
        <v>5928.41</v>
      </c>
      <c r="P47" s="61">
        <f t="shared" si="5"/>
        <v>5696</v>
      </c>
      <c r="Q47" s="63">
        <f t="shared" si="5"/>
        <v>5766.08</v>
      </c>
      <c r="R47" s="63">
        <f t="shared" si="5"/>
        <v>5637.5230000000001</v>
      </c>
      <c r="S47" s="63">
        <f t="shared" si="5"/>
        <v>5916</v>
      </c>
      <c r="T47" s="164">
        <f>SUM(T44:T45)</f>
        <v>6613.3830334038194</v>
      </c>
      <c r="U47" s="98"/>
    </row>
    <row r="48" spans="1:21" ht="13.5" thickTop="1" thickBot="1">
      <c r="A48" s="77" t="s">
        <v>66</v>
      </c>
      <c r="B48" s="79">
        <f t="shared" ref="B48:P48" si="6">SUM(B46:B47)</f>
        <v>137137.1</v>
      </c>
      <c r="C48" s="79">
        <f t="shared" si="6"/>
        <v>139674.4</v>
      </c>
      <c r="D48" s="79">
        <f t="shared" si="6"/>
        <v>139121.5</v>
      </c>
      <c r="E48" s="79">
        <f t="shared" si="6"/>
        <v>138499.79999999999</v>
      </c>
      <c r="F48" s="79">
        <f t="shared" si="6"/>
        <v>138597.33000000002</v>
      </c>
      <c r="G48" s="79">
        <f t="shared" si="6"/>
        <v>139301.79999999999</v>
      </c>
      <c r="H48" s="79">
        <f t="shared" si="6"/>
        <v>140798.6</v>
      </c>
      <c r="I48" s="79">
        <f t="shared" si="6"/>
        <v>143164.81</v>
      </c>
      <c r="J48" s="79">
        <f t="shared" si="6"/>
        <v>144819.53999999998</v>
      </c>
      <c r="K48" s="79">
        <f t="shared" si="6"/>
        <v>145316.41199999998</v>
      </c>
      <c r="L48" s="79">
        <f t="shared" si="6"/>
        <v>150878.70000000001</v>
      </c>
      <c r="M48" s="79">
        <f t="shared" si="6"/>
        <v>159484.42000000001</v>
      </c>
      <c r="N48" s="79">
        <f t="shared" si="6"/>
        <v>164548.43</v>
      </c>
      <c r="O48" s="79">
        <f t="shared" si="6"/>
        <v>166188.66</v>
      </c>
      <c r="P48" s="79">
        <f t="shared" si="6"/>
        <v>162847.62667000003</v>
      </c>
      <c r="Q48" s="81">
        <f>SUM(Q46:Q47)</f>
        <v>161429.71363969997</v>
      </c>
      <c r="R48" s="81">
        <f>SUM(R46:R47)</f>
        <v>163794.8306667</v>
      </c>
      <c r="S48" s="81">
        <f>SUM(S46:S47)</f>
        <v>169326</v>
      </c>
      <c r="T48" s="82">
        <f>SUM(T46:T47)</f>
        <v>187130.72397542425</v>
      </c>
      <c r="U48" s="98"/>
    </row>
    <row r="50" spans="13:15">
      <c r="M50" s="98"/>
      <c r="O50" s="2" t="s">
        <v>25</v>
      </c>
    </row>
  </sheetData>
  <mergeCells count="4">
    <mergeCell ref="A1:T1"/>
    <mergeCell ref="A2:T2"/>
    <mergeCell ref="A4:A5"/>
    <mergeCell ref="B4:T4"/>
  </mergeCells>
  <printOptions horizontalCentered="1"/>
  <pageMargins left="0.25" right="0.25" top="0.5" bottom="0.5" header="0" footer="0"/>
  <pageSetup scale="87" orientation="landscape" r:id="rId1"/>
  <headerFooter alignWithMargins="0">
    <oddFooter>&amp;L&amp;"Arial,Regular"Colorado Department of Higher Education
Final Student FTE Enrollment Report&amp;R&amp;"Arial,Regular"Updated February 2010 with FY09-10 Projections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48"/>
  <sheetViews>
    <sheetView zoomScaleNormal="100" zoomScaleSheetLayoutView="90" workbookViewId="0">
      <selection activeCell="A24" sqref="A24"/>
    </sheetView>
  </sheetViews>
  <sheetFormatPr defaultRowHeight="12"/>
  <cols>
    <col min="1" max="1" width="48.140625" style="2" customWidth="1"/>
    <col min="2" max="2" width="12" style="2" hidden="1" customWidth="1"/>
    <col min="3" max="7" width="12.85546875" style="2" hidden="1" customWidth="1"/>
    <col min="8" max="8" width="11.85546875" style="2" hidden="1" customWidth="1"/>
    <col min="9" max="9" width="16.28515625" style="2" hidden="1" customWidth="1"/>
    <col min="10" max="10" width="16" style="2" customWidth="1"/>
    <col min="11" max="11" width="14.5703125" style="2" customWidth="1"/>
    <col min="12" max="12" width="15.85546875" style="4" customWidth="1"/>
    <col min="13" max="13" width="14.85546875" style="4" customWidth="1"/>
    <col min="14" max="14" width="13.28515625" style="2" customWidth="1"/>
    <col min="15" max="16" width="12.42578125" style="2" customWidth="1"/>
    <col min="17" max="17" width="12" style="2" bestFit="1" customWidth="1"/>
    <col min="18" max="19" width="12" style="2" customWidth="1"/>
    <col min="20" max="16384" width="9.140625" style="2"/>
  </cols>
  <sheetData>
    <row r="1" spans="1:36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36" ht="18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36" ht="12.75" thickBot="1">
      <c r="H3" s="3"/>
      <c r="I3" s="3"/>
    </row>
    <row r="4" spans="1:36" s="14" customFormat="1" ht="18.75" thickBot="1">
      <c r="A4" s="7" t="s">
        <v>2</v>
      </c>
      <c r="B4" s="83" t="s">
        <v>92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51"/>
    </row>
    <row r="5" spans="1:36" s="24" customFormat="1" ht="12.75" thickBot="1">
      <c r="A5" s="15"/>
      <c r="B5" s="87" t="s">
        <v>69</v>
      </c>
      <c r="C5" s="87" t="s">
        <v>70</v>
      </c>
      <c r="D5" s="17" t="s">
        <v>71</v>
      </c>
      <c r="E5" s="17" t="s">
        <v>72</v>
      </c>
      <c r="F5" s="17" t="s">
        <v>73</v>
      </c>
      <c r="G5" s="17" t="s">
        <v>74</v>
      </c>
      <c r="H5" s="17" t="s">
        <v>75</v>
      </c>
      <c r="I5" s="17" t="s">
        <v>76</v>
      </c>
      <c r="J5" s="19" t="s">
        <v>77</v>
      </c>
      <c r="K5" s="19" t="s">
        <v>78</v>
      </c>
      <c r="L5" s="20" t="s">
        <v>79</v>
      </c>
      <c r="M5" s="20" t="s">
        <v>80</v>
      </c>
      <c r="N5" s="21" t="s">
        <v>81</v>
      </c>
      <c r="O5" s="21" t="s">
        <v>82</v>
      </c>
      <c r="P5" s="88" t="s">
        <v>83</v>
      </c>
      <c r="Q5" s="88" t="s">
        <v>84</v>
      </c>
      <c r="R5" s="88" t="s">
        <v>85</v>
      </c>
      <c r="S5" s="88" t="s">
        <v>86</v>
      </c>
    </row>
    <row r="6" spans="1:36" s="33" customFormat="1" ht="12.75" thickTop="1">
      <c r="A6" s="89" t="s">
        <v>23</v>
      </c>
      <c r="B6" s="90">
        <f>('Total FTE'!C6-'Total FTE'!B6)/'Total FTE'!B6</f>
        <v>-6.6315054680834958E-3</v>
      </c>
      <c r="C6" s="90">
        <f>('Total FTE'!D6-'Total FTE'!C6)/'Total FTE'!C6</f>
        <v>-4.2385878809849137E-3</v>
      </c>
      <c r="D6" s="90">
        <f>('Total FTE'!E6-'Total FTE'!D6)/'Total FTE'!D6</f>
        <v>-1.7978660841804588E-2</v>
      </c>
      <c r="E6" s="90">
        <f>('Total FTE'!F6-'Total FTE'!E6)/'Total FTE'!E6</f>
        <v>1.2812615849659306E-3</v>
      </c>
      <c r="F6" s="90">
        <f>('Total FTE'!G6-'Total FTE'!F6)/'Total FTE'!F6</f>
        <v>3.2202729955317097E-3</v>
      </c>
      <c r="G6" s="90">
        <f>('Total FTE'!H6-'Total FTE'!G6)/'Total FTE'!G6</f>
        <v>2.7676366217175345E-2</v>
      </c>
      <c r="H6" s="90">
        <f>('Total FTE'!I6-'Total FTE'!H6)/'Total FTE'!H6</f>
        <v>1.8740383260727279E-2</v>
      </c>
      <c r="I6" s="90">
        <f>('Total FTE'!J6-'Total FTE'!I6)/'Total FTE'!I6</f>
        <v>1.584373466238936E-2</v>
      </c>
      <c r="J6" s="90">
        <f>('Total FTE'!K6-'Total FTE'!J6)/'Total FTE'!J6</f>
        <v>1.9310997984923157E-2</v>
      </c>
      <c r="K6" s="90">
        <f>('Total FTE'!L6-'Total FTE'!K6)/'Total FTE'!K6</f>
        <v>3.5658328451530615E-2</v>
      </c>
      <c r="L6" s="90">
        <f>('Total FTE'!M6-'Total FTE'!L6)/'Total FTE'!L6</f>
        <v>6.4193651814720656E-2</v>
      </c>
      <c r="M6" s="90">
        <f>('Total FTE'!N6-'Total FTE'!M6)/'Total FTE'!M6</f>
        <v>3.985991670941616E-2</v>
      </c>
      <c r="N6" s="91">
        <f>('Total FTE'!O6-'Total FTE'!N6)/'Total FTE'!N6</f>
        <v>1.1770646845177474E-2</v>
      </c>
      <c r="O6" s="91">
        <f>('Total FTE'!P6-'Total FTE'!O6)/'Total FTE'!O6</f>
        <v>-3.9562700941392706E-3</v>
      </c>
      <c r="P6" s="92">
        <f>('Total FTE'!Q6-'Total FTE'!P6)/'Total FTE'!P6</f>
        <v>3.9588335725411709E-3</v>
      </c>
      <c r="Q6" s="92">
        <f>('Total FTE'!R6-'Total FTE'!Q6)/'Total FTE'!Q6</f>
        <v>1.9571575369536135E-2</v>
      </c>
      <c r="R6" s="92">
        <f>('Total FTE'!S6-'Total FTE'!R6)/'Total FTE'!R6</f>
        <v>3.4996046082520452E-2</v>
      </c>
      <c r="S6" s="93">
        <f>('Total FTE'!T6-'Total FTE'!S6)/'Total FTE'!S6</f>
        <v>8.5790100208173417E-2</v>
      </c>
    </row>
    <row r="7" spans="1:36">
      <c r="A7" s="34" t="s">
        <v>24</v>
      </c>
      <c r="B7" s="94">
        <f>('Total FTE'!C7-'Total FTE'!B7)/'Total FTE'!B7</f>
        <v>-2.076215505913272E-2</v>
      </c>
      <c r="C7" s="95">
        <f>('Total FTE'!D7-'Total FTE'!C7)/'Total FTE'!C7</f>
        <v>-3.7573805689747721E-3</v>
      </c>
      <c r="D7" s="95">
        <f>('Total FTE'!E7-'Total FTE'!D7)/'Total FTE'!D7</f>
        <v>-2.8690732758620691E-2</v>
      </c>
      <c r="E7" s="95">
        <f>('Total FTE'!F7-'Total FTE'!E7)/'Total FTE'!E7</f>
        <v>-4.9031572135163739E-3</v>
      </c>
      <c r="F7" s="95">
        <f>('Total FTE'!G7-'Total FTE'!F7)/'Total FTE'!F7</f>
        <v>7.2499887350402359E-3</v>
      </c>
      <c r="G7" s="95">
        <f>('Total FTE'!H7-'Total FTE'!G7)/'Total FTE'!G7</f>
        <v>2.3659087764608219E-2</v>
      </c>
      <c r="H7" s="95">
        <f>('Total FTE'!I7-'Total FTE'!H7)/'Total FTE'!H7</f>
        <v>1.1263290683005947E-2</v>
      </c>
      <c r="I7" s="95">
        <f>('Total FTE'!J7-'Total FTE'!I7)/'Total FTE'!I7</f>
        <v>1.9424396328967298E-2</v>
      </c>
      <c r="J7" s="95">
        <f>('Total FTE'!K7-'Total FTE'!J7)/'Total FTE'!J7</f>
        <v>1.446114850100522E-2</v>
      </c>
      <c r="K7" s="95">
        <f>('Total FTE'!L7-'Total FTE'!K7)/'Total FTE'!K7</f>
        <v>3.0504590120148646E-2</v>
      </c>
      <c r="L7" s="95">
        <f>('Total FTE'!M7-'Total FTE'!L7)/'Total FTE'!L7</f>
        <v>5.5741816813678263E-2</v>
      </c>
      <c r="M7" s="95">
        <f>('Total FTE'!N7-'Total FTE'!M7)/'Total FTE'!M7</f>
        <v>4.4332868727825735E-2</v>
      </c>
      <c r="N7" s="95">
        <f>('Total FTE'!O7-'Total FTE'!N7)/'Total FTE'!N7</f>
        <v>5.0807613558807915E-3</v>
      </c>
      <c r="O7" s="95">
        <f>('Total FTE'!P7-'Total FTE'!O7)/'Total FTE'!O7</f>
        <v>-1.9993964086313567E-2</v>
      </c>
      <c r="P7" s="94">
        <f>('Total FTE'!Q7-'Total FTE'!P7)/'Total FTE'!P7</f>
        <v>-6.928939872199554E-4</v>
      </c>
      <c r="Q7" s="96">
        <f>('Total FTE'!R7-'Total FTE'!Q7)/'Total FTE'!Q7</f>
        <v>5.4699537750385208E-3</v>
      </c>
      <c r="R7" s="96">
        <f>('Total FTE'!S7-'Total FTE'!R7)/'Total FTE'!R7</f>
        <v>2.7315914489311165E-2</v>
      </c>
      <c r="S7" s="97">
        <f>('Total FTE'!T7-'Total FTE'!S7)/'Total FTE'!S7</f>
        <v>1.9280037840593765E-2</v>
      </c>
      <c r="T7" s="98"/>
      <c r="U7" s="41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</row>
    <row r="8" spans="1:36">
      <c r="A8" s="34" t="s">
        <v>26</v>
      </c>
      <c r="B8" s="94">
        <f>('Total FTE'!C8-'Total FTE'!B8)/'Total FTE'!B8</f>
        <v>-2.5923208608461725E-2</v>
      </c>
      <c r="C8" s="95">
        <f>('Total FTE'!D8-'Total FTE'!C8)/'Total FTE'!C8</f>
        <v>-1.6821491338187295E-2</v>
      </c>
      <c r="D8" s="95">
        <f>('Total FTE'!E8-'Total FTE'!D8)/'Total FTE'!D8</f>
        <v>1.4811031664964249E-2</v>
      </c>
      <c r="E8" s="95">
        <f>('Total FTE'!F8-'Total FTE'!E8)/'Total FTE'!E8</f>
        <v>8.8072471061902361E-3</v>
      </c>
      <c r="F8" s="95">
        <f>('Total FTE'!G8-'Total FTE'!F8)/'Total FTE'!F8</f>
        <v>1.8707907208780246E-2</v>
      </c>
      <c r="G8" s="95">
        <f>('Total FTE'!H8-'Total FTE'!G8)/'Total FTE'!G8</f>
        <v>0.11628305582761989</v>
      </c>
      <c r="H8" s="95">
        <f>('Total FTE'!I8-'Total FTE'!H8)/'Total FTE'!H8</f>
        <v>4.5866327403540408E-2</v>
      </c>
      <c r="I8" s="95">
        <f>('Total FTE'!J8-'Total FTE'!I8)/'Total FTE'!I8</f>
        <v>4.1967281879194518E-2</v>
      </c>
      <c r="J8" s="95">
        <f>('Total FTE'!K8-'Total FTE'!J8)/'Total FTE'!J8</f>
        <v>2.0993941345786155E-2</v>
      </c>
      <c r="K8" s="95">
        <f>('Total FTE'!L8-'Total FTE'!K8)/'Total FTE'!K8</f>
        <v>4.9542622821544258E-2</v>
      </c>
      <c r="L8" s="95">
        <f>('Total FTE'!M8-'Total FTE'!L8)/'Total FTE'!L8</f>
        <v>0.10930367977158717</v>
      </c>
      <c r="M8" s="95">
        <f>('Total FTE'!N8-'Total FTE'!M8)/'Total FTE'!M8</f>
        <v>4.0690192359794125E-2</v>
      </c>
      <c r="N8" s="95">
        <f>('Total FTE'!O8-'Total FTE'!N8)/'Total FTE'!N8</f>
        <v>1.0445988382498873E-2</v>
      </c>
      <c r="O8" s="95">
        <f>('Total FTE'!P8-'Total FTE'!O8)/'Total FTE'!O8</f>
        <v>-1.3043268224343335E-3</v>
      </c>
      <c r="P8" s="94">
        <f>('Total FTE'!Q8-'Total FTE'!P8)/'Total FTE'!P8</f>
        <v>-9.99677523379555E-3</v>
      </c>
      <c r="Q8" s="96">
        <f>('Total FTE'!R8-'Total FTE'!Q8)/'Total FTE'!Q8</f>
        <v>2.2801302931596091E-2</v>
      </c>
      <c r="R8" s="96">
        <f>('Total FTE'!S8-'Total FTE'!R8)/'Total FTE'!R8</f>
        <v>5.1910828025477709E-2</v>
      </c>
      <c r="S8" s="97">
        <f>('Total FTE'!T8-'Total FTE'!S8)/'Total FTE'!S8</f>
        <v>6.6539384476836161E-2</v>
      </c>
      <c r="T8" s="98"/>
    </row>
    <row r="9" spans="1:36">
      <c r="A9" s="34" t="s">
        <v>87</v>
      </c>
      <c r="B9" s="94">
        <f>('Total FTE'!C9-'Total FTE'!B9)/'Total FTE'!B9</f>
        <v>3.5191369124068894E-2</v>
      </c>
      <c r="C9" s="95">
        <f>('Total FTE'!D9-'Total FTE'!C9)/'Total FTE'!C9</f>
        <v>-2.3986765922249794E-2</v>
      </c>
      <c r="D9" s="95">
        <f>('Total FTE'!E9-'Total FTE'!D9)/'Total FTE'!D9</f>
        <v>-1.7655367231638418E-2</v>
      </c>
      <c r="E9" s="95">
        <f>('Total FTE'!F9-'Total FTE'!E9)/'Total FTE'!E9</f>
        <v>1.1790079079798706E-2</v>
      </c>
      <c r="F9" s="95">
        <f>('Total FTE'!G9-'Total FTE'!F9)/'Total FTE'!F9</f>
        <v>-9.6632087537302826E-3</v>
      </c>
      <c r="G9" s="95">
        <f>('Total FTE'!H9-'Total FTE'!G9)/'Total FTE'!G9</f>
        <v>1.2627349691490888E-2</v>
      </c>
      <c r="H9" s="95">
        <f>('Total FTE'!I9-'Total FTE'!H9)/'Total FTE'!H9</f>
        <v>2.4415473997449366E-2</v>
      </c>
      <c r="I9" s="95">
        <f>('Total FTE'!J9-'Total FTE'!I9)/'Total FTE'!I9</f>
        <v>3.2091627128490751E-3</v>
      </c>
      <c r="J9" s="95">
        <f>('Total FTE'!K9-'Total FTE'!J9)/'Total FTE'!J9</f>
        <v>4.3943467769734547E-2</v>
      </c>
      <c r="K9" s="95">
        <f>('Total FTE'!L9-'Total FTE'!K9)/'Total FTE'!K9</f>
        <v>4.2450338123414998E-2</v>
      </c>
      <c r="L9" s="95">
        <f>('Total FTE'!M9-'Total FTE'!L9)/'Total FTE'!L9</f>
        <v>6.5162303930263815E-2</v>
      </c>
      <c r="M9" s="95">
        <f>('Total FTE'!N9-'Total FTE'!M9)/'Total FTE'!M9</f>
        <v>2.0566439472338157E-2</v>
      </c>
      <c r="N9" s="95">
        <f>('Total FTE'!O9-'Total FTE'!N9)/'Total FTE'!N9</f>
        <v>2.4089139606983882E-2</v>
      </c>
      <c r="O9" s="95">
        <f>('Total FTE'!P9-'Total FTE'!O9)/'Total FTE'!O9</f>
        <v>-1.4098933816499805E-2</v>
      </c>
      <c r="P9" s="94">
        <f>('Total FTE'!Q9-'Total FTE'!P9)/'Total FTE'!P9</f>
        <v>2.0963682958926921E-2</v>
      </c>
      <c r="Q9" s="96">
        <f>('Total FTE'!R9-'Total FTE'!Q9)/'Total FTE'!Q9</f>
        <v>4.8461138373170946E-2</v>
      </c>
      <c r="R9" s="96">
        <f>('Total FTE'!S9-'Total FTE'!R9)/'Total FTE'!R9</f>
        <v>4.4883961694418162E-2</v>
      </c>
      <c r="S9" s="97">
        <f>('Total FTE'!T9-'Total FTE'!S9)/'Total FTE'!S9</f>
        <v>0.20018004802604891</v>
      </c>
      <c r="T9" s="98"/>
    </row>
    <row r="10" spans="1:36" ht="12.75" thickBot="1">
      <c r="A10" s="45" t="s">
        <v>88</v>
      </c>
      <c r="B10" s="99">
        <f>('Total FTE'!C10-'Total FTE'!B10)/'Total FTE'!B10</f>
        <v>4.3238270469181231E-2</v>
      </c>
      <c r="C10" s="100">
        <f>('Total FTE'!D10-'Total FTE'!C10)/'Total FTE'!C10</f>
        <v>7.6278659611992941E-2</v>
      </c>
      <c r="D10" s="100">
        <f>('Total FTE'!E10-'Total FTE'!D10)/'Total FTE'!D10</f>
        <v>2.6218762802130275E-2</v>
      </c>
      <c r="E10" s="100">
        <f>('Total FTE'!F10-'Total FTE'!E10)/'Total FTE'!E10</f>
        <v>1.3572854291417165E-2</v>
      </c>
      <c r="F10" s="100">
        <f>('Total FTE'!G10-'Total FTE'!F10)/'Total FTE'!F10</f>
        <v>-1.9692792437967704E-2</v>
      </c>
      <c r="G10" s="100">
        <f>('Total FTE'!H10-'Total FTE'!G10)/'Total FTE'!G10</f>
        <v>-4.0578545600642828E-2</v>
      </c>
      <c r="H10" s="100">
        <f>('Total FTE'!I10-'Total FTE'!H10)/'Total FTE'!H10</f>
        <v>1.9681742043551088E-2</v>
      </c>
      <c r="I10" s="100">
        <f>('Total FTE'!J10-'Total FTE'!I10)/'Total FTE'!I10</f>
        <v>-3.0804928131416741E-2</v>
      </c>
      <c r="J10" s="100">
        <f>('Total FTE'!K10-'Total FTE'!J10)/'Total FTE'!J10</f>
        <v>-1.290683435099322E-2</v>
      </c>
      <c r="K10" s="100">
        <f>('Total FTE'!L10-'Total FTE'!K10)/'Total FTE'!K10</f>
        <v>3.4706571711890344E-2</v>
      </c>
      <c r="L10" s="100">
        <f>('Total FTE'!M10-'Total FTE'!L10)/'Total FTE'!L10</f>
        <v>4.5266721429816102E-2</v>
      </c>
      <c r="M10" s="100">
        <f>('Total FTE'!N10-'Total FTE'!M10)/'Total FTE'!M10</f>
        <v>5.745607245910888E-2</v>
      </c>
      <c r="N10" s="100">
        <f>('Total FTE'!O10-'Total FTE'!N10)/'Total FTE'!N10</f>
        <v>4.1381251759406962E-2</v>
      </c>
      <c r="O10" s="100">
        <f>('Total FTE'!P10-'Total FTE'!O10)/'Total FTE'!O10</f>
        <v>0.17545503694359352</v>
      </c>
      <c r="P10" s="99">
        <f>('Total FTE'!Q10-'Total FTE'!P10)/'Total FTE'!P10</f>
        <v>2.2383712016680324E-2</v>
      </c>
      <c r="Q10" s="103">
        <f>('Total FTE'!R10-'Total FTE'!Q10)/'Total FTE'!Q10</f>
        <v>4.6786431934739067E-2</v>
      </c>
      <c r="R10" s="103">
        <f>('Total FTE'!S10-'Total FTE'!R10)/'Total FTE'!R10</f>
        <v>3.5727587886428047E-2</v>
      </c>
      <c r="S10" s="104">
        <f>('Total FTE'!T10-'Total FTE'!S10)/'Total FTE'!S10</f>
        <v>0.30773016828575595</v>
      </c>
      <c r="T10" s="98"/>
    </row>
    <row r="11" spans="1:36" s="24" customFormat="1" ht="12.75" thickTop="1">
      <c r="A11" s="50" t="s">
        <v>29</v>
      </c>
      <c r="B11" s="101">
        <f>('Total FTE'!C11-'Total FTE'!B11)/'Total FTE'!B11</f>
        <v>1.1795477342272025E-2</v>
      </c>
      <c r="C11" s="90">
        <f>('Total FTE'!D11-'Total FTE'!C11)/'Total FTE'!C11</f>
        <v>1.6773750962084857E-3</v>
      </c>
      <c r="D11" s="90">
        <f>('Total FTE'!E11-'Total FTE'!D11)/'Total FTE'!D11</f>
        <v>2.3928340258492589E-3</v>
      </c>
      <c r="E11" s="90">
        <f>('Total FTE'!F11-'Total FTE'!E11)/'Total FTE'!E11</f>
        <v>6.6906073205076771E-3</v>
      </c>
      <c r="F11" s="90">
        <f>('Total FTE'!G11-'Total FTE'!F11)/'Total FTE'!F11</f>
        <v>-3.6251676019268915E-3</v>
      </c>
      <c r="G11" s="90">
        <f>('Total FTE'!H11-'Total FTE'!G11)/'Total FTE'!G11</f>
        <v>-6.1511496544390679E-3</v>
      </c>
      <c r="H11" s="90">
        <f>('Total FTE'!I11-'Total FTE'!H11)/'Total FTE'!H11</f>
        <v>1.1358744938086869E-2</v>
      </c>
      <c r="I11" s="90">
        <f>('Total FTE'!J11-'Total FTE'!I11)/'Total FTE'!I11</f>
        <v>1.0298547550670573E-2</v>
      </c>
      <c r="J11" s="90">
        <f>('Total FTE'!K11-'Total FTE'!J11)/'Total FTE'!J11</f>
        <v>-5.4777701021648875E-3</v>
      </c>
      <c r="K11" s="90">
        <f>('Total FTE'!L11-'Total FTE'!K11)/'Total FTE'!K11</f>
        <v>2.7430724055963761E-2</v>
      </c>
      <c r="L11" s="90">
        <f>('Total FTE'!M11-'Total FTE'!L11)/'Total FTE'!L11</f>
        <v>3.0080695518516446E-2</v>
      </c>
      <c r="M11" s="90">
        <f>('Total FTE'!N11-'Total FTE'!M11)/'Total FTE'!M11</f>
        <v>1.6514923662194182E-2</v>
      </c>
      <c r="N11" s="90">
        <f>('Total FTE'!O11-'Total FTE'!N11)/'Total FTE'!N11</f>
        <v>1.333369012167754E-2</v>
      </c>
      <c r="O11" s="90">
        <f>('Total FTE'!P11-'Total FTE'!O11)/'Total FTE'!O11</f>
        <v>-2.0825081012973198E-2</v>
      </c>
      <c r="P11" s="101">
        <f>('Total FTE'!Q11-'Total FTE'!P11)/'Total FTE'!P11</f>
        <v>-1.7060868105714614E-2</v>
      </c>
      <c r="Q11" s="109">
        <f>('Total FTE'!R11-'Total FTE'!Q11)/'Total FTE'!Q11</f>
        <v>2.8638612036008745E-3</v>
      </c>
      <c r="R11" s="109">
        <f>('Total FTE'!S11-'Total FTE'!R11)/'Total FTE'!R11</f>
        <v>2.0780652145874969E-2</v>
      </c>
      <c r="S11" s="110">
        <f>('Total FTE'!T11-'Total FTE'!S11)/'Total FTE'!S11</f>
        <v>3.4653785759548007E-2</v>
      </c>
      <c r="T11" s="102"/>
    </row>
    <row r="12" spans="1:36">
      <c r="A12" s="34" t="s">
        <v>30</v>
      </c>
      <c r="B12" s="94">
        <f>('Total FTE'!C12-'Total FTE'!B12)/'Total FTE'!B12</f>
        <v>1.1007169177814614E-2</v>
      </c>
      <c r="C12" s="95">
        <f>('Total FTE'!D12-'Total FTE'!C12)/'Total FTE'!C12</f>
        <v>1.143561331961642E-3</v>
      </c>
      <c r="D12" s="95">
        <f>('Total FTE'!E12-'Total FTE'!D12)/'Total FTE'!D12</f>
        <v>5.4191919718766081E-3</v>
      </c>
      <c r="E12" s="95">
        <f>('Total FTE'!F12-'Total FTE'!E12)/'Total FTE'!E12</f>
        <v>1.3306357481908023E-2</v>
      </c>
      <c r="F12" s="95">
        <f>('Total FTE'!G12-'Total FTE'!F12)/'Total FTE'!F12</f>
        <v>6.8601853273946656E-3</v>
      </c>
      <c r="G12" s="95">
        <f>('Total FTE'!H12-'Total FTE'!G12)/'Total FTE'!G12</f>
        <v>-6.1015914984491786E-3</v>
      </c>
      <c r="H12" s="95">
        <f>('Total FTE'!I12-'Total FTE'!H12)/'Total FTE'!H12</f>
        <v>1.6191742978462167E-2</v>
      </c>
      <c r="I12" s="95">
        <f>('Total FTE'!J12-'Total FTE'!I12)/'Total FTE'!I12</f>
        <v>1.1317240164120267E-2</v>
      </c>
      <c r="J12" s="95">
        <f>('Total FTE'!K12-'Total FTE'!J12)/'Total FTE'!J12</f>
        <v>-6.1926594087106145E-3</v>
      </c>
      <c r="K12" s="95">
        <f>('Total FTE'!L12-'Total FTE'!K12)/'Total FTE'!K12</f>
        <v>3.8043668822224111E-2</v>
      </c>
      <c r="L12" s="95">
        <f>('Total FTE'!M12-'Total FTE'!L12)/'Total FTE'!L12</f>
        <v>3.8661609581439195E-2</v>
      </c>
      <c r="M12" s="95">
        <f>('Total FTE'!N12-'Total FTE'!M12)/'Total FTE'!M12</f>
        <v>1.6116443511145457E-2</v>
      </c>
      <c r="N12" s="95">
        <f>('Total FTE'!O12-'Total FTE'!N12)/'Total FTE'!N12</f>
        <v>1.1755023660928539E-2</v>
      </c>
      <c r="O12" s="95">
        <f>('Total FTE'!P12-'Total FTE'!O12)/'Total FTE'!O12</f>
        <v>-2.0492334038303174E-2</v>
      </c>
      <c r="P12" s="94">
        <f>('Total FTE'!Q12-'Total FTE'!P12)/'Total FTE'!P12</f>
        <v>-1.4580442578432875E-2</v>
      </c>
      <c r="Q12" s="96">
        <f>('Total FTE'!R12-'Total FTE'!Q12)/'Total FTE'!Q12</f>
        <v>2.5094549511527173E-3</v>
      </c>
      <c r="R12" s="96">
        <f>('Total FTE'!S12-'Total FTE'!R12)/'Total FTE'!R12</f>
        <v>7.5796139674118284E-3</v>
      </c>
      <c r="S12" s="97">
        <f>('Total FTE'!T12-'Total FTE'!S12)/'Total FTE'!S12</f>
        <v>2.0895599526964462E-2</v>
      </c>
      <c r="T12" s="98"/>
    </row>
    <row r="13" spans="1:36">
      <c r="A13" s="34" t="s">
        <v>31</v>
      </c>
      <c r="B13" s="94">
        <f>('Total FTE'!C13-'Total FTE'!B13)/'Total FTE'!B13</f>
        <v>-1.3257305773342772E-2</v>
      </c>
      <c r="C13" s="95">
        <f>('Total FTE'!D13-'Total FTE'!C13)/'Total FTE'!C13</f>
        <v>6.0242704420687722E-2</v>
      </c>
      <c r="D13" s="95">
        <f>('Total FTE'!E13-'Total FTE'!D13)/'Total FTE'!D13</f>
        <v>-2.3300177135849753E-2</v>
      </c>
      <c r="E13" s="95">
        <f>('Total FTE'!F13-'Total FTE'!E13)/'Total FTE'!E13</f>
        <v>8.2310267857144126E-3</v>
      </c>
      <c r="F13" s="95">
        <f>('Total FTE'!G13-'Total FTE'!F13)/'Total FTE'!F13</f>
        <v>5.6731700567315742E-3</v>
      </c>
      <c r="G13" s="95">
        <f>('Total FTE'!H13-'Total FTE'!G13)/'Total FTE'!G13</f>
        <v>2.0638414969730325E-3</v>
      </c>
      <c r="H13" s="95">
        <f>('Total FTE'!I13-'Total FTE'!H13)/'Total FTE'!H13</f>
        <v>1.1945626802142038E-2</v>
      </c>
      <c r="I13" s="95">
        <f>('Total FTE'!J13-'Total FTE'!I13)/'Total FTE'!I13</f>
        <v>-5.9701492537314665E-3</v>
      </c>
      <c r="J13" s="95">
        <f>('Total FTE'!K13-'Total FTE'!J13)/'Total FTE'!J13</f>
        <v>1.6380016380016536E-2</v>
      </c>
      <c r="K13" s="95">
        <f>('Total FTE'!L13-'Total FTE'!K13)/'Total FTE'!K13</f>
        <v>-1.3430029546068054E-4</v>
      </c>
      <c r="L13" s="95">
        <f>('Total FTE'!M13-'Total FTE'!L13)/'Total FTE'!L13</f>
        <v>2.3640026863666921E-2</v>
      </c>
      <c r="M13" s="95">
        <f>('Total FTE'!N13-'Total FTE'!M13)/'Total FTE'!M13</f>
        <v>-1.1022175567510796E-2</v>
      </c>
      <c r="N13" s="95">
        <f>('Total FTE'!O13-'Total FTE'!N13)/'Total FTE'!N13</f>
        <v>1.5523417805492962E-2</v>
      </c>
      <c r="O13" s="95">
        <f>('Total FTE'!P13-'Total FTE'!O13)/'Total FTE'!O13</f>
        <v>-3.2227162268096982E-3</v>
      </c>
      <c r="P13" s="94">
        <f>('Total FTE'!Q13-'Total FTE'!P13)/'Total FTE'!P13</f>
        <v>6.1604425926952413E-3</v>
      </c>
      <c r="Q13" s="96">
        <f>('Total FTE'!R13-'Total FTE'!Q13)/'Total FTE'!Q13</f>
        <v>-2.3883016858024099E-3</v>
      </c>
      <c r="R13" s="96">
        <f>('Total FTE'!S13-'Total FTE'!R13)/'Total FTE'!R13</f>
        <v>-3.760773047793152E-2</v>
      </c>
      <c r="S13" s="97">
        <f>('Total FTE'!T13-'Total FTE'!S13)/'Total FTE'!S13</f>
        <v>6.6980809563828653E-2</v>
      </c>
      <c r="T13" s="98"/>
    </row>
    <row r="14" spans="1:36" ht="12.75" thickBot="1">
      <c r="A14" s="45" t="s">
        <v>32</v>
      </c>
      <c r="B14" s="99">
        <f>('Total FTE'!C14-'Total FTE'!B14)/'Total FTE'!B14</f>
        <v>1.9954819277108432E-2</v>
      </c>
      <c r="C14" s="100">
        <f>('Total FTE'!D14-'Total FTE'!C14)/'Total FTE'!C14</f>
        <v>-5.7831918297034579E-3</v>
      </c>
      <c r="D14" s="100">
        <f>('Total FTE'!E14-'Total FTE'!D14)/'Total FTE'!D14</f>
        <v>-7.3019801980198024E-3</v>
      </c>
      <c r="E14" s="100">
        <f>('Total FTE'!F14-'Total FTE'!E14)/'Total FTE'!E14</f>
        <v>-2.53833686572747E-2</v>
      </c>
      <c r="F14" s="100">
        <f>('Total FTE'!G14-'Total FTE'!F14)/'Total FTE'!F14</f>
        <v>-5.7742983600685603E-2</v>
      </c>
      <c r="G14" s="100">
        <f>('Total FTE'!H14-'Total FTE'!G14)/'Total FTE'!G14</f>
        <v>-8.0369264186803992E-3</v>
      </c>
      <c r="H14" s="100">
        <f>('Total FTE'!I14-'Total FTE'!H14)/'Total FTE'!H14</f>
        <v>-1.461652159632126E-2</v>
      </c>
      <c r="I14" s="100">
        <f>('Total FTE'!J14-'Total FTE'!I14)/'Total FTE'!I14</f>
        <v>8.0083333333333135E-3</v>
      </c>
      <c r="J14" s="100">
        <f>('Total FTE'!K14-'Total FTE'!J14)/'Total FTE'!J14</f>
        <v>-5.9330417793062081E-3</v>
      </c>
      <c r="K14" s="100">
        <f>('Total FTE'!L14-'Total FTE'!K14)/'Total FTE'!K14</f>
        <v>-2.5614725695118256E-2</v>
      </c>
      <c r="L14" s="100">
        <f>('Total FTE'!M14-'Total FTE'!L14)/'Total FTE'!L14</f>
        <v>-1.914705966030333E-2</v>
      </c>
      <c r="M14" s="100">
        <f>('Total FTE'!N14-'Total FTE'!M14)/'Total FTE'!M14</f>
        <v>2.5089917623854277E-2</v>
      </c>
      <c r="N14" s="100">
        <f>('Total FTE'!O14-'Total FTE'!N14)/'Total FTE'!N14</f>
        <v>2.2636597719362779E-2</v>
      </c>
      <c r="O14" s="100">
        <f>('Total FTE'!P14-'Total FTE'!O14)/'Total FTE'!O14</f>
        <v>-2.6590299106278165E-2</v>
      </c>
      <c r="P14" s="99">
        <f>('Total FTE'!Q14-'Total FTE'!P14)/'Total FTE'!P14</f>
        <v>-3.7379192723138145E-2</v>
      </c>
      <c r="Q14" s="103">
        <f>('Total FTE'!R14-'Total FTE'!Q14)/'Total FTE'!Q14</f>
        <v>6.2896796102170915E-3</v>
      </c>
      <c r="R14" s="103">
        <f>('Total FTE'!S14-'Total FTE'!R14)/'Total FTE'!R14</f>
        <v>0.11684958037443506</v>
      </c>
      <c r="S14" s="104">
        <f>('Total FTE'!T14-'Total FTE'!S14)/'Total FTE'!S14</f>
        <v>0.10638469785209535</v>
      </c>
      <c r="T14" s="98"/>
    </row>
    <row r="15" spans="1:36" ht="12.75" thickTop="1">
      <c r="A15" s="50" t="s">
        <v>33</v>
      </c>
      <c r="B15" s="94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4"/>
      <c r="O15" s="94"/>
      <c r="P15" s="94"/>
      <c r="Q15" s="109"/>
      <c r="R15" s="109"/>
      <c r="S15" s="110"/>
      <c r="T15" s="98"/>
    </row>
    <row r="16" spans="1:36" ht="12.75" thickBot="1">
      <c r="A16" s="45" t="s">
        <v>34</v>
      </c>
      <c r="B16" s="105">
        <f>('Total FTE'!C16-'Total FTE'!B16)/'Total FTE'!B16</f>
        <v>1.9509622989717902E-2</v>
      </c>
      <c r="C16" s="106">
        <f>('Total FTE'!D16-'Total FTE'!C16)/'Total FTE'!C16</f>
        <v>4.2410137057150243E-2</v>
      </c>
      <c r="D16" s="106">
        <f>('Total FTE'!E16-'Total FTE'!D16)/'Total FTE'!D16</f>
        <v>-2.1086579012651947E-2</v>
      </c>
      <c r="E16" s="106">
        <f>('Total FTE'!F16-'Total FTE'!E16)/'Total FTE'!E16</f>
        <v>4.6122655854029394E-2</v>
      </c>
      <c r="F16" s="106">
        <f>('Total FTE'!G16-'Total FTE'!F16)/'Total FTE'!F16</f>
        <v>1.5019379844961241E-2</v>
      </c>
      <c r="G16" s="106">
        <f>('Total FTE'!H16-'Total FTE'!G16)/'Total FTE'!G16</f>
        <v>-5.4892601431980907E-3</v>
      </c>
      <c r="H16" s="106">
        <f>('Total FTE'!I16-'Total FTE'!H16)/'Total FTE'!H16</f>
        <v>-3.3357331413486922E-2</v>
      </c>
      <c r="I16" s="106">
        <f>('Total FTE'!J16-'Total FTE'!I16)/'Total FTE'!I16</f>
        <v>2.730883813306852E-2</v>
      </c>
      <c r="J16" s="106">
        <f>('Total FTE'!K16-'Total FTE'!J16)/'Total FTE'!J16</f>
        <v>-2.875785403576607E-2</v>
      </c>
      <c r="K16" s="106">
        <f>('Total FTE'!L16-'Total FTE'!K16)/'Total FTE'!K16</f>
        <v>3.7322717093804428E-2</v>
      </c>
      <c r="L16" s="106">
        <f>('Total FTE'!M16-'Total FTE'!L16)/'Total FTE'!L16</f>
        <v>-2.1348045094746942E-2</v>
      </c>
      <c r="M16" s="106">
        <f>('Total FTE'!N16-'Total FTE'!M16)/'Total FTE'!M16</f>
        <v>-3.4068627450980389E-2</v>
      </c>
      <c r="N16" s="106">
        <f>('Total FTE'!O16-'Total FTE'!N16)/'Total FTE'!N16</f>
        <v>-2.0553159096675971E-2</v>
      </c>
      <c r="O16" s="106">
        <f>('Total FTE'!P16-'Total FTE'!O16)/'Total FTE'!O16</f>
        <v>-3.8341968911917101E-2</v>
      </c>
      <c r="P16" s="105">
        <f>('Total FTE'!Q16-'Total FTE'!P16)/'Total FTE'!P16</f>
        <v>1.8857758620689656E-3</v>
      </c>
      <c r="Q16" s="107">
        <f>('Total FTE'!R16-'Total FTE'!Q16)/'Total FTE'!Q16</f>
        <v>-4.5711212691583762E-3</v>
      </c>
      <c r="R16" s="107">
        <f>('Total FTE'!S16-'Total FTE'!R16)/'Total FTE'!R16</f>
        <v>-4.6461372231226365E-2</v>
      </c>
      <c r="S16" s="108">
        <f>('Total FTE'!T16-'Total FTE'!S16)/'Total FTE'!S16</f>
        <v>-1.21234778760565E-2</v>
      </c>
      <c r="T16" s="98"/>
    </row>
    <row r="17" spans="1:20" ht="12.75" thickTop="1">
      <c r="A17" s="50" t="s">
        <v>35</v>
      </c>
      <c r="B17" s="94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4"/>
      <c r="O17" s="94"/>
      <c r="P17" s="101"/>
      <c r="Q17" s="109"/>
      <c r="R17" s="109"/>
      <c r="S17" s="110"/>
      <c r="T17" s="98"/>
    </row>
    <row r="18" spans="1:20" ht="12.75" thickBot="1">
      <c r="A18" s="45" t="s">
        <v>36</v>
      </c>
      <c r="B18" s="105">
        <f>('Total FTE'!C18-'Total FTE'!B18)/'Total FTE'!B18</f>
        <v>0.11076564321803342</v>
      </c>
      <c r="C18" s="106">
        <f>('Total FTE'!D18-'Total FTE'!C18)/'Total FTE'!C18</f>
        <v>5.1784464660601819E-2</v>
      </c>
      <c r="D18" s="106">
        <f>('Total FTE'!E18-'Total FTE'!D18)/'Total FTE'!D18</f>
        <v>2.927478376580173E-2</v>
      </c>
      <c r="E18" s="106">
        <f>('Total FTE'!F18-'Total FTE'!E18)/'Total FTE'!E18</f>
        <v>3.0704589528118938E-2</v>
      </c>
      <c r="F18" s="106">
        <f>('Total FTE'!G18-'Total FTE'!F18)/'Total FTE'!F18</f>
        <v>1.6619629978049544E-2</v>
      </c>
      <c r="G18" s="106">
        <f>('Total FTE'!H18-'Total FTE'!G18)/'Total FTE'!G18</f>
        <v>-9.5619987661937078E-3</v>
      </c>
      <c r="H18" s="106">
        <f>('Total FTE'!I18-'Total FTE'!H18)/'Total FTE'!H18</f>
        <v>1.22080348800996E-2</v>
      </c>
      <c r="I18" s="106">
        <f>('Total FTE'!J18-'Total FTE'!I18)/'Total FTE'!I18</f>
        <v>8.0610423973908746E-3</v>
      </c>
      <c r="J18" s="106">
        <f>('Total FTE'!K18-'Total FTE'!J18)/'Total FTE'!J18</f>
        <v>-4.944451226956402E-2</v>
      </c>
      <c r="K18" s="106">
        <f>('Total FTE'!L18-'Total FTE'!K18)/'Total FTE'!K18</f>
        <v>3.2076804520935039E-2</v>
      </c>
      <c r="L18" s="106">
        <f>('Total FTE'!M18-'Total FTE'!L18)/'Total FTE'!L18</f>
        <v>1.9288803160874699E-2</v>
      </c>
      <c r="M18" s="106">
        <f>('Total FTE'!N18-'Total FTE'!M18)/'Total FTE'!M18</f>
        <v>3.601623782925862E-2</v>
      </c>
      <c r="N18" s="106">
        <f>('Total FTE'!O18-'Total FTE'!N18)/'Total FTE'!N18</f>
        <v>7.9780809003329164E-2</v>
      </c>
      <c r="O18" s="106">
        <f>('Total FTE'!P18-'Total FTE'!O18)/'Total FTE'!O18</f>
        <v>3.8198139204933021E-2</v>
      </c>
      <c r="P18" s="105">
        <f>('Total FTE'!Q18-'Total FTE'!P18)/'Total FTE'!P18</f>
        <v>2.9986071325326512E-2</v>
      </c>
      <c r="Q18" s="107">
        <f>('Total FTE'!R18-'Total FTE'!Q18)/'Total FTE'!Q18</f>
        <v>3.9778526229842966E-2</v>
      </c>
      <c r="R18" s="107">
        <f>('Total FTE'!S18-'Total FTE'!R18)/'Total FTE'!R18</f>
        <v>6.1323648499423233E-2</v>
      </c>
      <c r="S18" s="108">
        <f>('Total FTE'!T18-'Total FTE'!S18)/'Total FTE'!S18</f>
        <v>6.2257822965083101E-2</v>
      </c>
      <c r="T18" s="98"/>
    </row>
    <row r="19" spans="1:20" ht="12.75" thickTop="1">
      <c r="A19" s="50" t="s">
        <v>37</v>
      </c>
      <c r="B19" s="94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4"/>
      <c r="O19" s="94"/>
      <c r="P19" s="101"/>
      <c r="Q19" s="109"/>
      <c r="R19" s="109"/>
      <c r="S19" s="110"/>
      <c r="T19" s="98"/>
    </row>
    <row r="20" spans="1:20" ht="12.75" thickBot="1">
      <c r="A20" s="45" t="s">
        <v>38</v>
      </c>
      <c r="B20" s="105">
        <f>('Total FTE'!C20-'Total FTE'!B20)/'Total FTE'!B20</f>
        <v>-6.7539909946786741E-3</v>
      </c>
      <c r="C20" s="106">
        <f>('Total FTE'!D20-'Total FTE'!C20)/'Total FTE'!C20</f>
        <v>1.3805893261899856E-2</v>
      </c>
      <c r="D20" s="106">
        <f>('Total FTE'!E20-'Total FTE'!D20)/'Total FTE'!D20</f>
        <v>-1.2093495934959349E-2</v>
      </c>
      <c r="E20" s="106">
        <f>('Total FTE'!F20-'Total FTE'!E20)/'Total FTE'!E20</f>
        <v>-1.7179302540890853E-2</v>
      </c>
      <c r="F20" s="106">
        <f>('Total FTE'!G20-'Total FTE'!F20)/'Total FTE'!F20</f>
        <v>-1.1618170399832531E-2</v>
      </c>
      <c r="G20" s="106">
        <f>('Total FTE'!H20-'Total FTE'!G20)/'Total FTE'!G20</f>
        <v>1.8638144657418192E-2</v>
      </c>
      <c r="H20" s="106">
        <f>('Total FTE'!I20-'Total FTE'!H20)/'Total FTE'!H20</f>
        <v>3.0913816405031769E-2</v>
      </c>
      <c r="I20" s="106">
        <f>('Total FTE'!J20-'Total FTE'!I20)/'Total FTE'!I20</f>
        <v>3.8153112634071389E-2</v>
      </c>
      <c r="J20" s="106">
        <f>('Total FTE'!K20-'Total FTE'!J20)/'Total FTE'!J20</f>
        <v>1.4114058690392955E-3</v>
      </c>
      <c r="K20" s="106">
        <f>('Total FTE'!L20-'Total FTE'!K20)/'Total FTE'!K20</f>
        <v>1.8721087801902851E-3</v>
      </c>
      <c r="L20" s="106">
        <f>('Total FTE'!M20-'Total FTE'!L20)/'Total FTE'!L20</f>
        <v>2.6843122883895208E-2</v>
      </c>
      <c r="M20" s="106">
        <f>('Total FTE'!N20-'Total FTE'!M20)/'Total FTE'!M20</f>
        <v>9.7041424581690433E-3</v>
      </c>
      <c r="N20" s="106">
        <f>('Total FTE'!O20-'Total FTE'!N20)/'Total FTE'!N20</f>
        <v>2.8388133013344464E-2</v>
      </c>
      <c r="O20" s="106">
        <f>('Total FTE'!P20-'Total FTE'!O20)/'Total FTE'!O20</f>
        <v>-2.5434271341269821E-3</v>
      </c>
      <c r="P20" s="105">
        <f>('Total FTE'!Q20-'Total FTE'!P20)/'Total FTE'!P20</f>
        <v>-1.7311367002619087E-2</v>
      </c>
      <c r="Q20" s="107">
        <f>('Total FTE'!R20-'Total FTE'!Q20)/'Total FTE'!Q20</f>
        <v>-3.4695350330213579E-2</v>
      </c>
      <c r="R20" s="107">
        <f>('Total FTE'!S20-'Total FTE'!R20)/'Total FTE'!R20</f>
        <v>-6.9962504834448352E-2</v>
      </c>
      <c r="S20" s="108">
        <f>('Total FTE'!T20-'Total FTE'!S20)/'Total FTE'!S20</f>
        <v>2.7570196211595704E-2</v>
      </c>
      <c r="T20" s="98"/>
    </row>
    <row r="21" spans="1:20" ht="12.75" thickTop="1">
      <c r="A21" s="50" t="s">
        <v>39</v>
      </c>
      <c r="B21" s="94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4"/>
      <c r="O21" s="94"/>
      <c r="P21" s="101"/>
      <c r="Q21" s="109"/>
      <c r="R21" s="109"/>
      <c r="S21" s="110"/>
      <c r="T21" s="98"/>
    </row>
    <row r="22" spans="1:20" ht="12.75" thickBot="1">
      <c r="A22" s="45" t="s">
        <v>40</v>
      </c>
      <c r="B22" s="105">
        <f>('Total FTE'!C22-'Total FTE'!B22)/'Total FTE'!B22</f>
        <v>-1.1774600504625737E-2</v>
      </c>
      <c r="C22" s="106">
        <f>('Total FTE'!D22-'Total FTE'!C22)/'Total FTE'!C22</f>
        <v>-7.9148936170212764E-2</v>
      </c>
      <c r="D22" s="106">
        <f>('Total FTE'!E22-'Total FTE'!D22)/'Total FTE'!D22</f>
        <v>4.2051756007393713E-2</v>
      </c>
      <c r="E22" s="106">
        <f>('Total FTE'!F22-'Total FTE'!E22)/'Total FTE'!E22</f>
        <v>8.4257206208425729E-3</v>
      </c>
      <c r="F22" s="106">
        <f>('Total FTE'!G22-'Total FTE'!F22)/'Total FTE'!F22</f>
        <v>9.2348284960422165E-3</v>
      </c>
      <c r="G22" s="106">
        <f>('Total FTE'!H22-'Total FTE'!G22)/'Total FTE'!G22</f>
        <v>-5.1416122004357301E-2</v>
      </c>
      <c r="H22" s="106">
        <f>('Total FTE'!I22-'Total FTE'!H22)/'Total FTE'!H22</f>
        <v>4.0950849793293567E-2</v>
      </c>
      <c r="I22" s="106">
        <f>('Total FTE'!J22-'Total FTE'!I22)/'Total FTE'!I22</f>
        <v>-1.9636828983078227E-3</v>
      </c>
      <c r="J22" s="106">
        <f>('Total FTE'!K22-'Total FTE'!J22)/'Total FTE'!J22</f>
        <v>-5.3985939779811608E-2</v>
      </c>
      <c r="K22" s="106">
        <f>('Total FTE'!L22-'Total FTE'!K22)/'Total FTE'!K22</f>
        <v>7.1882594877547293E-2</v>
      </c>
      <c r="L22" s="106">
        <f>('Total FTE'!M22-'Total FTE'!L22)/'Total FTE'!L22</f>
        <v>1.2296154181564409E-2</v>
      </c>
      <c r="M22" s="106">
        <f>('Total FTE'!N22-'Total FTE'!M22)/'Total FTE'!M22</f>
        <v>-3.6181943487250566E-3</v>
      </c>
      <c r="N22" s="106">
        <f>('Total FTE'!O22-'Total FTE'!N22)/'Total FTE'!N22</f>
        <v>-6.0068303648625206E-2</v>
      </c>
      <c r="O22" s="106">
        <f>('Total FTE'!P22-'Total FTE'!O22)/'Total FTE'!O22</f>
        <v>2.1064734966079923E-3</v>
      </c>
      <c r="P22" s="105">
        <f>('Total FTE'!Q22-'Total FTE'!P22)/'Total FTE'!P22</f>
        <v>-5.8939889757346868E-2</v>
      </c>
      <c r="Q22" s="107">
        <f>('Total FTE'!R22-'Total FTE'!Q22)/'Total FTE'!Q22</f>
        <v>-3.5505094103130463E-2</v>
      </c>
      <c r="R22" s="107">
        <f>('Total FTE'!S22-'Total FTE'!R22)/'Total FTE'!R22</f>
        <v>-2.9636783794580391E-2</v>
      </c>
      <c r="S22" s="108">
        <f>('Total FTE'!T22-'Total FTE'!S22)/'Total FTE'!S22</f>
        <v>0.13047577721130943</v>
      </c>
      <c r="T22" s="98"/>
    </row>
    <row r="23" spans="1:20" ht="12.75" thickTop="1">
      <c r="A23" s="50" t="s">
        <v>41</v>
      </c>
      <c r="B23" s="94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4"/>
      <c r="O23" s="94"/>
      <c r="P23" s="101"/>
      <c r="Q23" s="109"/>
      <c r="R23" s="109"/>
      <c r="S23" s="110"/>
      <c r="T23" s="98"/>
    </row>
    <row r="24" spans="1:20" ht="12.75" thickBot="1">
      <c r="A24" s="45" t="s">
        <v>42</v>
      </c>
      <c r="B24" s="105">
        <f>('Total FTE'!C24-'Total FTE'!B24)/'Total FTE'!B24</f>
        <v>2.8887000849617671E-2</v>
      </c>
      <c r="C24" s="106">
        <f>('Total FTE'!D24-'Total FTE'!C24)/'Total FTE'!C24</f>
        <v>2.7800715661987337E-2</v>
      </c>
      <c r="D24" s="106">
        <f>('Total FTE'!E24-'Total FTE'!D24)/'Total FTE'!D24</f>
        <v>4.258168184252812E-2</v>
      </c>
      <c r="E24" s="106">
        <f>('Total FTE'!F24-'Total FTE'!E24)/'Total FTE'!E24</f>
        <v>2.7742101207295145E-2</v>
      </c>
      <c r="F24" s="106">
        <f>('Total FTE'!G24-'Total FTE'!F24)/'Total FTE'!F24</f>
        <v>1.7995501124718819E-2</v>
      </c>
      <c r="G24" s="106">
        <f>('Total FTE'!H24-'Total FTE'!G24)/'Total FTE'!G24</f>
        <v>2.9462312791554137E-3</v>
      </c>
      <c r="H24" s="106">
        <f>('Total FTE'!I24-'Total FTE'!H24)/'Total FTE'!H24</f>
        <v>2.5458996328029376E-2</v>
      </c>
      <c r="I24" s="106">
        <f>('Total FTE'!J24-'Total FTE'!I24)/'Total FTE'!I24</f>
        <v>-1.1363093817140216E-2</v>
      </c>
      <c r="J24" s="106">
        <f>('Total FTE'!K24-'Total FTE'!J24)/'Total FTE'!J24</f>
        <v>4.0879895687448736E-2</v>
      </c>
      <c r="K24" s="106">
        <f>('Total FTE'!L24-'Total FTE'!K24)/'Total FTE'!K24</f>
        <v>3.4820330804741777E-2</v>
      </c>
      <c r="L24" s="106">
        <f>('Total FTE'!M24-'Total FTE'!L24)/'Total FTE'!L24</f>
        <v>4.2615674318507969E-2</v>
      </c>
      <c r="M24" s="106">
        <f>('Total FTE'!N24-'Total FTE'!M24)/'Total FTE'!M24</f>
        <v>3.1499279709303378E-2</v>
      </c>
      <c r="N24" s="99">
        <f>('Total FTE'!O24-'Total FTE'!N24)/'Total FTE'!N24</f>
        <v>3.4747988493767611E-2</v>
      </c>
      <c r="O24" s="99">
        <f>('Total FTE'!P24-'Total FTE'!O24)/'Total FTE'!O24</f>
        <v>-5.5996051650853175E-2</v>
      </c>
      <c r="P24" s="105">
        <f>('Total FTE'!Q24-'Total FTE'!P24)/'Total FTE'!P24</f>
        <v>3.479843702586146E-2</v>
      </c>
      <c r="Q24" s="107">
        <f>('Total FTE'!R24-'Total FTE'!Q24)/'Total FTE'!Q24</f>
        <v>2.4292666895011038E-2</v>
      </c>
      <c r="R24" s="107">
        <f>('Total FTE'!S24-'Total FTE'!R24)/'Total FTE'!R24</f>
        <v>1.8320918059190658E-2</v>
      </c>
      <c r="S24" s="108">
        <f>('Total FTE'!T24-'Total FTE'!S24)/'Total FTE'!S24</f>
        <v>0.17207222735341207</v>
      </c>
      <c r="T24" s="98"/>
    </row>
    <row r="25" spans="1:20" ht="12.75" thickTop="1">
      <c r="A25" s="50" t="s">
        <v>43</v>
      </c>
      <c r="B25" s="94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4"/>
      <c r="O25" s="94"/>
      <c r="P25" s="101"/>
      <c r="Q25" s="109"/>
      <c r="R25" s="109"/>
      <c r="S25" s="110"/>
      <c r="T25" s="98"/>
    </row>
    <row r="26" spans="1:20" ht="12.75" thickBot="1">
      <c r="A26" s="45" t="s">
        <v>44</v>
      </c>
      <c r="B26" s="105">
        <f>('Total FTE'!C26-'Total FTE'!B26)/'Total FTE'!B26</f>
        <v>-1.4740658994166798E-2</v>
      </c>
      <c r="C26" s="106">
        <f>('Total FTE'!D26-'Total FTE'!C26)/'Total FTE'!C26</f>
        <v>-1.5361228898311865E-2</v>
      </c>
      <c r="D26" s="106">
        <f>('Total FTE'!E26-'Total FTE'!D26)/'Total FTE'!D26</f>
        <v>-4.9565288047452669E-3</v>
      </c>
      <c r="E26" s="106">
        <f>('Total FTE'!F26-'Total FTE'!E26)/'Total FTE'!E26</f>
        <v>-1.2983831455169036E-2</v>
      </c>
      <c r="F26" s="106">
        <f>('Total FTE'!G26-'Total FTE'!F26)/'Total FTE'!F26</f>
        <v>2.1510713990237445E-2</v>
      </c>
      <c r="G26" s="106">
        <f>('Total FTE'!H26-'Total FTE'!G26)/'Total FTE'!G26</f>
        <v>1.6927188790799384E-2</v>
      </c>
      <c r="H26" s="106">
        <f>('Total FTE'!I26-'Total FTE'!H26)/'Total FTE'!H26</f>
        <v>-1.9034724434533291E-2</v>
      </c>
      <c r="I26" s="106">
        <f>('Total FTE'!J26-'Total FTE'!I26)/'Total FTE'!I26</f>
        <v>4.240480636518597E-3</v>
      </c>
      <c r="J26" s="106">
        <f>('Total FTE'!K26-'Total FTE'!J26)/'Total FTE'!J26</f>
        <v>-7.2300377630619269E-3</v>
      </c>
      <c r="K26" s="106">
        <f>('Total FTE'!L26-'Total FTE'!K26)/'Total FTE'!K26</f>
        <v>7.7124220264173649E-2</v>
      </c>
      <c r="L26" s="106">
        <f>('Total FTE'!M26-'Total FTE'!L26)/'Total FTE'!L26</f>
        <v>7.263925630175537E-2</v>
      </c>
      <c r="M26" s="106">
        <f>('Total FTE'!N26-'Total FTE'!M26)/'Total FTE'!M26</f>
        <v>3.1042469300786746E-2</v>
      </c>
      <c r="N26" s="106">
        <f>('Total FTE'!O26-'Total FTE'!N26)/'Total FTE'!N26</f>
        <v>2.9012009778453456E-2</v>
      </c>
      <c r="O26" s="106">
        <f>('Total FTE'!P26-'Total FTE'!O26)/'Total FTE'!O26</f>
        <v>2.2979617298690492E-3</v>
      </c>
      <c r="P26" s="105">
        <f>('Total FTE'!Q26-'Total FTE'!P26)/'Total FTE'!P26</f>
        <v>5.8540232490624216E-3</v>
      </c>
      <c r="Q26" s="107">
        <f>('Total FTE'!R26-'Total FTE'!Q26)/'Total FTE'!Q26</f>
        <v>3.043218687110304E-2</v>
      </c>
      <c r="R26" s="107">
        <f>('Total FTE'!S26-'Total FTE'!R26)/'Total FTE'!R26</f>
        <v>3.3752845778016474E-2</v>
      </c>
      <c r="S26" s="108">
        <f>('Total FTE'!T26-'Total FTE'!S26)/'Total FTE'!S26</f>
        <v>7.2264903724491847E-2</v>
      </c>
      <c r="T26" s="98"/>
    </row>
    <row r="27" spans="1:20" ht="12.75" thickTop="1">
      <c r="A27" s="50" t="s">
        <v>45</v>
      </c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4"/>
      <c r="O27" s="94"/>
      <c r="P27" s="101"/>
      <c r="Q27" s="109"/>
      <c r="R27" s="109"/>
      <c r="S27" s="110"/>
      <c r="T27" s="98"/>
    </row>
    <row r="28" spans="1:20" ht="12.75" thickBot="1">
      <c r="A28" s="45" t="s">
        <v>46</v>
      </c>
      <c r="B28" s="105">
        <f>('Total FTE'!C28-'Total FTE'!B28)/'Total FTE'!B28</f>
        <v>3.8706933219906425E-2</v>
      </c>
      <c r="C28" s="106">
        <f>('Total FTE'!D28-'Total FTE'!C28)/'Total FTE'!C28</f>
        <v>-0.1167076167076167</v>
      </c>
      <c r="D28" s="106">
        <f>('Total FTE'!E28-'Total FTE'!D28)/'Total FTE'!D28</f>
        <v>1.8544274455261937E-3</v>
      </c>
      <c r="E28" s="106">
        <f>('Total FTE'!F28-'Total FTE'!E28)/'Total FTE'!E28</f>
        <v>3.007866728366497E-2</v>
      </c>
      <c r="F28" s="106">
        <f>('Total FTE'!G28-'Total FTE'!F28)/'Total FTE'!F28</f>
        <v>2.4258760107816711E-2</v>
      </c>
      <c r="G28" s="106">
        <f>('Total FTE'!H28-'Total FTE'!G28)/'Total FTE'!G28</f>
        <v>-2.456140350877193E-2</v>
      </c>
      <c r="H28" s="106">
        <f>('Total FTE'!I28-'Total FTE'!H28)/'Total FTE'!H28</f>
        <v>-1.1690647482014389E-2</v>
      </c>
      <c r="I28" s="106">
        <f>('Total FTE'!J28-'Total FTE'!I28)/'Total FTE'!I28</f>
        <v>-8.6442220200181989E-3</v>
      </c>
      <c r="J28" s="106">
        <f>('Total FTE'!K28-'Total FTE'!J28)/'Total FTE'!J28</f>
        <v>-4.9082147774208267E-2</v>
      </c>
      <c r="K28" s="106">
        <f>('Total FTE'!L28-'Total FTE'!K28)/'Total FTE'!K28</f>
        <v>1.0467894114524069E-2</v>
      </c>
      <c r="L28" s="106">
        <f>('Total FTE'!M28-'Total FTE'!L28)/'Total FTE'!L28</f>
        <v>2.2691451660664753E-2</v>
      </c>
      <c r="M28" s="106">
        <f>('Total FTE'!N28-'Total FTE'!M28)/'Total FTE'!M28</f>
        <v>1.0951546993578433E-2</v>
      </c>
      <c r="N28" s="106">
        <f>('Total FTE'!O28-'Total FTE'!N28)/'Total FTE'!N28</f>
        <v>-4.9129209590243417E-2</v>
      </c>
      <c r="O28" s="106">
        <f>('Total FTE'!P28-'Total FTE'!O28)/'Total FTE'!O28</f>
        <v>-1.9185269754900664E-2</v>
      </c>
      <c r="P28" s="105">
        <f>('Total FTE'!Q28-'Total FTE'!P28)/'Total FTE'!P28</f>
        <v>-5.0003467303329621E-2</v>
      </c>
      <c r="Q28" s="107">
        <f>('Total FTE'!R28-'Total FTE'!Q28)/'Total FTE'!Q28</f>
        <v>-2.1669421401421311E-2</v>
      </c>
      <c r="R28" s="107">
        <f>('Total FTE'!S28-'Total FTE'!R28)/'Total FTE'!R28</f>
        <v>-7.1948197297952746E-4</v>
      </c>
      <c r="S28" s="108">
        <f>('Total FTE'!T28-'Total FTE'!S28)/'Total FTE'!S28</f>
        <v>-9.282600644916237E-3</v>
      </c>
      <c r="T28" s="98"/>
    </row>
    <row r="29" spans="1:20" s="24" customFormat="1" ht="12.75" thickTop="1">
      <c r="A29" s="50" t="s">
        <v>47</v>
      </c>
      <c r="B29" s="101">
        <f>('Total FTE'!C29-'Total FTE'!B29)/'Total FTE'!B29</f>
        <v>6.3967366671702677E-2</v>
      </c>
      <c r="C29" s="90">
        <f>('Total FTE'!D29-'Total FTE'!C29)/'Total FTE'!C29</f>
        <v>-1.3347722367374759E-3</v>
      </c>
      <c r="D29" s="90">
        <f>('Total FTE'!E29-'Total FTE'!D29)/'Total FTE'!D29</f>
        <v>-1.4787430683918669E-3</v>
      </c>
      <c r="E29" s="90">
        <f>('Total FTE'!F29-'Total FTE'!E29)/'Total FTE'!E29</f>
        <v>-7.6894597442542646E-4</v>
      </c>
      <c r="F29" s="90">
        <f>('Total FTE'!G29-'Total FTE'!F29)/'Total FTE'!F29</f>
        <v>3.9331927264435957E-3</v>
      </c>
      <c r="G29" s="90">
        <f>('Total FTE'!H29-'Total FTE'!G29)/'Total FTE'!G29</f>
        <v>1.3967749261866908E-2</v>
      </c>
      <c r="H29" s="90">
        <f>('Total FTE'!I29-'Total FTE'!H29)/'Total FTE'!H29</f>
        <v>3.6322656512487485E-2</v>
      </c>
      <c r="I29" s="90">
        <f>('Total FTE'!J29-'Total FTE'!I29)/'Total FTE'!I29</f>
        <v>1.2388249629187314E-2</v>
      </c>
      <c r="J29" s="90">
        <f>('Total FTE'!K29-'Total FTE'!J29)/'Total FTE'!J29</f>
        <v>6.5769939712044352E-3</v>
      </c>
      <c r="K29" s="90">
        <f>('Total FTE'!L29-'Total FTE'!K29)/'Total FTE'!K29</f>
        <v>5.1350376986947749E-2</v>
      </c>
      <c r="L29" s="90">
        <f>('Total FTE'!M29-'Total FTE'!L29)/'Total FTE'!L29</f>
        <v>0.10652114871392446</v>
      </c>
      <c r="M29" s="90">
        <f>('Total FTE'!N29-'Total FTE'!M29)/'Total FTE'!M29</f>
        <v>6.1416514962428601E-2</v>
      </c>
      <c r="N29" s="90">
        <f>('Total FTE'!O29-'Total FTE'!N29)/'Total FTE'!N29</f>
        <v>2.4036938945743462E-3</v>
      </c>
      <c r="O29" s="90">
        <f>('Total FTE'!P29-'Total FTE'!O29)/'Total FTE'!O29</f>
        <v>-4.4276776171065763E-2</v>
      </c>
      <c r="P29" s="101">
        <f>('Total FTE'!Q29-'Total FTE'!P29)/'Total FTE'!P29</f>
        <v>-2.6282979511638615E-2</v>
      </c>
      <c r="Q29" s="109">
        <f>('Total FTE'!R29-'Total FTE'!Q29)/'Total FTE'!Q29</f>
        <v>3.0482885336301682E-2</v>
      </c>
      <c r="R29" s="109">
        <f>('Total FTE'!S29-'Total FTE'!R29)/'Total FTE'!R29</f>
        <v>7.2220600416083539E-2</v>
      </c>
      <c r="S29" s="110">
        <f>('Total FTE'!T29-'Total FTE'!S29)/'Total FTE'!S29</f>
        <v>0.19641232646234297</v>
      </c>
      <c r="T29" s="102"/>
    </row>
    <row r="30" spans="1:20">
      <c r="A30" s="34" t="s">
        <v>48</v>
      </c>
      <c r="B30" s="94">
        <f>('Total FTE'!C30-'Total FTE'!B30)/'Total FTE'!B30</f>
        <v>4.1182170542635663E-3</v>
      </c>
      <c r="C30" s="95">
        <f>('Total FTE'!D30-'Total FTE'!C30)/'Total FTE'!C30</f>
        <v>-8.4439083232810616E-3</v>
      </c>
      <c r="D30" s="95">
        <f>('Total FTE'!E30-'Total FTE'!D30)/'Total FTE'!D30</f>
        <v>-1.8004866180048661E-2</v>
      </c>
      <c r="E30" s="95">
        <f>('Total FTE'!F30-'Total FTE'!E30)/'Total FTE'!E30</f>
        <v>8.9197224975222991E-3</v>
      </c>
      <c r="F30" s="95">
        <f>('Total FTE'!G30-'Total FTE'!F30)/'Total FTE'!F30</f>
        <v>4.4204322200392925E-3</v>
      </c>
      <c r="G30" s="95">
        <f>('Total FTE'!H30-'Total FTE'!G30)/'Total FTE'!G30</f>
        <v>-9.7799511002444979E-4</v>
      </c>
      <c r="H30" s="95">
        <f>('Total FTE'!I30-'Total FTE'!H30)/'Total FTE'!H30</f>
        <v>2.9858051884483601E-2</v>
      </c>
      <c r="I30" s="95">
        <f>('Total FTE'!J30-'Total FTE'!I30)/'Total FTE'!I30</f>
        <v>-1.6230988593155936E-2</v>
      </c>
      <c r="J30" s="95">
        <f>('Total FTE'!K30-'Total FTE'!J30)/'Total FTE'!J30</f>
        <v>-1.1739981158054909E-2</v>
      </c>
      <c r="K30" s="95">
        <f>('Total FTE'!L30-'Total FTE'!K30)/'Total FTE'!K30</f>
        <v>5.5466744885238818E-2</v>
      </c>
      <c r="L30" s="95">
        <f>('Total FTE'!M30-'Total FTE'!L30)/'Total FTE'!L30</f>
        <v>8.5641104024529582E-2</v>
      </c>
      <c r="M30" s="95">
        <f>('Total FTE'!N30-'Total FTE'!M30)/'Total FTE'!M30</f>
        <v>3.5398116821891541E-2</v>
      </c>
      <c r="N30" s="95">
        <f>('Total FTE'!O30-'Total FTE'!N30)/'Total FTE'!N30</f>
        <v>-1.872362869198296E-2</v>
      </c>
      <c r="O30" s="95">
        <f>('Total FTE'!P30-'Total FTE'!O30)/'Total FTE'!O30</f>
        <v>-7.6594413464122629E-2</v>
      </c>
      <c r="P30" s="94">
        <f>('Total FTE'!Q30-'Total FTE'!P30)/'Total FTE'!P30</f>
        <v>-9.5723806124048631E-3</v>
      </c>
      <c r="Q30" s="96">
        <f>('Total FTE'!R30-'Total FTE'!Q30)/'Total FTE'!Q30</f>
        <v>-2.5789892951512555E-2</v>
      </c>
      <c r="R30" s="96">
        <f>('Total FTE'!S30-'Total FTE'!R30)/'Total FTE'!R30</f>
        <v>7.3609150656395561E-2</v>
      </c>
      <c r="S30" s="97">
        <f>('Total FTE'!T30-'Total FTE'!S30)/'Total FTE'!S30</f>
        <v>0.17047626511543587</v>
      </c>
      <c r="T30" s="98"/>
    </row>
    <row r="31" spans="1:20">
      <c r="A31" s="34" t="s">
        <v>49</v>
      </c>
      <c r="B31" s="94">
        <f>('Total FTE'!C31-'Total FTE'!B31)/'Total FTE'!B31</f>
        <v>7.4332171893147503E-2</v>
      </c>
      <c r="C31" s="95">
        <f>('Total FTE'!D31-'Total FTE'!C31)/'Total FTE'!C31</f>
        <v>-5.2972972972972973E-2</v>
      </c>
      <c r="D31" s="95">
        <f>('Total FTE'!E31-'Total FTE'!D31)/'Total FTE'!D31</f>
        <v>-6.9634703196347028E-2</v>
      </c>
      <c r="E31" s="95">
        <f>('Total FTE'!F31-'Total FTE'!E31)/'Total FTE'!E31</f>
        <v>6.1349693251533744E-3</v>
      </c>
      <c r="F31" s="95">
        <f>('Total FTE'!G31-'Total FTE'!F31)/'Total FTE'!F31</f>
        <v>1.5853658536585366E-2</v>
      </c>
      <c r="G31" s="95">
        <f>('Total FTE'!H31-'Total FTE'!G31)/'Total FTE'!G31</f>
        <v>3.9615846338535411E-2</v>
      </c>
      <c r="H31" s="95">
        <f>('Total FTE'!I31-'Total FTE'!H31)/'Total FTE'!H31</f>
        <v>-8.198614318706697E-2</v>
      </c>
      <c r="I31" s="95">
        <f>('Total FTE'!J31-'Total FTE'!I31)/'Total FTE'!I31</f>
        <v>-8.1396226415094239E-2</v>
      </c>
      <c r="J31" s="95">
        <f>('Total FTE'!K31-'Total FTE'!J31)/'Total FTE'!J31</f>
        <v>3.3082747949444692E-2</v>
      </c>
      <c r="K31" s="95">
        <f>('Total FTE'!L31-'Total FTE'!K31)/'Total FTE'!K31</f>
        <v>0.15620650805222333</v>
      </c>
      <c r="L31" s="95">
        <f>('Total FTE'!M31-'Total FTE'!L31)/'Total FTE'!L31</f>
        <v>5.7273873667316337E-2</v>
      </c>
      <c r="M31" s="95">
        <f>('Total FTE'!N31-'Total FTE'!M31)/'Total FTE'!M31</f>
        <v>9.3455207858955239E-2</v>
      </c>
      <c r="N31" s="95">
        <f>('Total FTE'!O31-'Total FTE'!N31)/'Total FTE'!N31</f>
        <v>-1.4408250285091066E-2</v>
      </c>
      <c r="O31" s="95">
        <f>('Total FTE'!P31-'Total FTE'!O31)/'Total FTE'!O31</f>
        <v>-0.21231084996780425</v>
      </c>
      <c r="P31" s="94">
        <f>('Total FTE'!Q31-'Total FTE'!P31)/'Total FTE'!P31</f>
        <v>-8.2194405415761937E-2</v>
      </c>
      <c r="Q31" s="96">
        <f>('Total FTE'!R31-'Total FTE'!Q31)/'Total FTE'!Q31</f>
        <v>7.2312295595296144E-2</v>
      </c>
      <c r="R31" s="96">
        <f>('Total FTE'!S31-'Total FTE'!R31)/'Total FTE'!R31</f>
        <v>5.2549609998572389E-2</v>
      </c>
      <c r="S31" s="97">
        <f>('Total FTE'!T31-'Total FTE'!S31)/'Total FTE'!S31</f>
        <v>4.2263964626398517E-2</v>
      </c>
      <c r="T31" s="98"/>
    </row>
    <row r="32" spans="1:20">
      <c r="A32" s="34" t="s">
        <v>50</v>
      </c>
      <c r="B32" s="94">
        <f>('Total FTE'!C32-'Total FTE'!B32)/'Total FTE'!B32</f>
        <v>6.1046511627906974E-2</v>
      </c>
      <c r="C32" s="95">
        <f>('Total FTE'!D32-'Total FTE'!C32)/'Total FTE'!C32</f>
        <v>5.7534246575342465E-2</v>
      </c>
      <c r="D32" s="95">
        <f>('Total FTE'!E32-'Total FTE'!D32)/'Total FTE'!D32</f>
        <v>-1.1472982975573649E-2</v>
      </c>
      <c r="E32" s="95">
        <f>('Total FTE'!F32-'Total FTE'!E32)/'Total FTE'!E32</f>
        <v>-1.9468363908648447E-2</v>
      </c>
      <c r="F32" s="95">
        <f>('Total FTE'!G32-'Total FTE'!F32)/'Total FTE'!F32</f>
        <v>-7.6746849942726236E-2</v>
      </c>
      <c r="G32" s="95">
        <f>('Total FTE'!H32-'Total FTE'!G32)/'Total FTE'!G32</f>
        <v>-5.7899090157154673E-3</v>
      </c>
      <c r="H32" s="95">
        <f>('Total FTE'!I32-'Total FTE'!H32)/'Total FTE'!H32</f>
        <v>7.1963394342762069E-2</v>
      </c>
      <c r="I32" s="95">
        <f>('Total FTE'!J32-'Total FTE'!I32)/'Total FTE'!I32</f>
        <v>4.4854481955762568E-2</v>
      </c>
      <c r="J32" s="95">
        <f>('Total FTE'!K32-'Total FTE'!J32)/'Total FTE'!J32</f>
        <v>-8.6273810717561964E-3</v>
      </c>
      <c r="K32" s="95">
        <f>('Total FTE'!L32-'Total FTE'!K32)/'Total FTE'!K32</f>
        <v>5.4170288009110765E-2</v>
      </c>
      <c r="L32" s="95">
        <f>('Total FTE'!M32-'Total FTE'!L32)/'Total FTE'!L32</f>
        <v>0.12936217998834382</v>
      </c>
      <c r="M32" s="95">
        <f>('Total FTE'!N32-'Total FTE'!M32)/'Total FTE'!M32</f>
        <v>9.6234085802931399E-2</v>
      </c>
      <c r="N32" s="95">
        <f>('Total FTE'!O32-'Total FTE'!N32)/'Total FTE'!N32</f>
        <v>1.1912245501333571E-3</v>
      </c>
      <c r="O32" s="95">
        <f>('Total FTE'!P32-'Total FTE'!O32)/'Total FTE'!O32</f>
        <v>-2.490280851844635E-2</v>
      </c>
      <c r="P32" s="94">
        <f>('Total FTE'!Q32-'Total FTE'!P32)/'Total FTE'!P32</f>
        <v>-5.0895298579871191E-2</v>
      </c>
      <c r="Q32" s="96">
        <f>('Total FTE'!R32-'Total FTE'!Q32)/'Total FTE'!Q32</f>
        <v>1.1307311028500619E-2</v>
      </c>
      <c r="R32" s="96">
        <f>('Total FTE'!S32-'Total FTE'!R32)/'Total FTE'!R32</f>
        <v>8.7149640067391634E-2</v>
      </c>
      <c r="S32" s="97">
        <f>('Total FTE'!T32-'Total FTE'!S32)/'Total FTE'!S32</f>
        <v>0.17547782084912897</v>
      </c>
      <c r="T32" s="98"/>
    </row>
    <row r="33" spans="1:20">
      <c r="A33" s="34" t="s">
        <v>51</v>
      </c>
      <c r="B33" s="94">
        <f>('Total FTE'!C33-'Total FTE'!B33)/'Total FTE'!B33</f>
        <v>0.11259920634920635</v>
      </c>
      <c r="C33" s="95">
        <f>('Total FTE'!D33-'Total FTE'!C33)/'Total FTE'!C33</f>
        <v>2.6081141328577799E-2</v>
      </c>
      <c r="D33" s="95">
        <f>('Total FTE'!E33-'Total FTE'!D33)/'Total FTE'!D33</f>
        <v>-3.5411688029545946E-2</v>
      </c>
      <c r="E33" s="95">
        <f>('Total FTE'!F33-'Total FTE'!E33)/'Total FTE'!E33</f>
        <v>-4.5945945945945948E-2</v>
      </c>
      <c r="F33" s="95">
        <f>('Total FTE'!G33-'Total FTE'!F33)/'Total FTE'!F33</f>
        <v>-2.124645892351275E-3</v>
      </c>
      <c r="G33" s="95">
        <f>('Total FTE'!H33-'Total FTE'!G33)/'Total FTE'!G33</f>
        <v>-4.4712562100780694E-2</v>
      </c>
      <c r="H33" s="95">
        <f>('Total FTE'!I33-'Total FTE'!H33)/'Total FTE'!H33</f>
        <v>8.1723625557206542E-3</v>
      </c>
      <c r="I33" s="95">
        <f>('Total FTE'!J33-'Total FTE'!I33)/'Total FTE'!I33</f>
        <v>-1.1026774748219191E-2</v>
      </c>
      <c r="J33" s="95">
        <f>('Total FTE'!K33-'Total FTE'!J33)/'Total FTE'!J33</f>
        <v>1.4405965063049128E-4</v>
      </c>
      <c r="K33" s="95">
        <f>('Total FTE'!L33-'Total FTE'!K33)/'Total FTE'!K33</f>
        <v>4.0099933195751419E-2</v>
      </c>
      <c r="L33" s="95">
        <f>('Total FTE'!M33-'Total FTE'!L33)/'Total FTE'!L33</f>
        <v>0.20380787744498777</v>
      </c>
      <c r="M33" s="95">
        <f>('Total FTE'!N33-'Total FTE'!M33)/'Total FTE'!M33</f>
        <v>9.8598896412746509E-2</v>
      </c>
      <c r="N33" s="95">
        <f>('Total FTE'!O33-'Total FTE'!N33)/'Total FTE'!N33</f>
        <v>-3.5557922673479118E-2</v>
      </c>
      <c r="O33" s="95">
        <f>('Total FTE'!P33-'Total FTE'!O33)/'Total FTE'!O33</f>
        <v>-5.9847619760759412E-2</v>
      </c>
      <c r="P33" s="94">
        <f>('Total FTE'!Q33-'Total FTE'!P33)/'Total FTE'!P33</f>
        <v>5.6166620206284268E-2</v>
      </c>
      <c r="Q33" s="96">
        <f>('Total FTE'!R33-'Total FTE'!Q33)/'Total FTE'!Q33</f>
        <v>-3.1555649400107272E-2</v>
      </c>
      <c r="R33" s="96">
        <f>('Total FTE'!S33-'Total FTE'!R33)/'Total FTE'!R33</f>
        <v>5.9588467752924992E-2</v>
      </c>
      <c r="S33" s="97">
        <f>('Total FTE'!T33-'Total FTE'!S33)/'Total FTE'!S33</f>
        <v>0.39980489820948728</v>
      </c>
      <c r="T33" s="98"/>
    </row>
    <row r="34" spans="1:20">
      <c r="A34" s="34" t="s">
        <v>52</v>
      </c>
      <c r="B34" s="94">
        <f>('Total FTE'!C34-'Total FTE'!B34)/'Total FTE'!B34</f>
        <v>5.7427013153673406E-2</v>
      </c>
      <c r="C34" s="95">
        <f>('Total FTE'!D34-'Total FTE'!C34)/'Total FTE'!C34</f>
        <v>-1.6535194174757281E-2</v>
      </c>
      <c r="D34" s="95">
        <f>('Total FTE'!E34-'Total FTE'!D34)/'Total FTE'!D34</f>
        <v>-2.0515193583217645E-2</v>
      </c>
      <c r="E34" s="95">
        <f>('Total FTE'!F34-'Total FTE'!E34)/'Total FTE'!E34</f>
        <v>6.0944881889763783E-2</v>
      </c>
      <c r="F34" s="95">
        <f>('Total FTE'!G34-'Total FTE'!F34)/'Total FTE'!F34</f>
        <v>-4.3194300133590616E-2</v>
      </c>
      <c r="G34" s="95">
        <f>('Total FTE'!H34-'Total FTE'!G34)/'Total FTE'!G34</f>
        <v>8.3772882407694687E-3</v>
      </c>
      <c r="H34" s="95">
        <f>('Total FTE'!I34-'Total FTE'!H34)/'Total FTE'!H34</f>
        <v>7.8153846153846157E-2</v>
      </c>
      <c r="I34" s="95">
        <f>('Total FTE'!J34-'Total FTE'!I34)/'Total FTE'!I34</f>
        <v>6.5430936073059359E-2</v>
      </c>
      <c r="J34" s="95">
        <f>('Total FTE'!K34-'Total FTE'!J34)/'Total FTE'!J34</f>
        <v>2.8599592314512475E-2</v>
      </c>
      <c r="K34" s="95">
        <f>('Total FTE'!L34-'Total FTE'!K34)/'Total FTE'!K34</f>
        <v>5.7957729606983366E-2</v>
      </c>
      <c r="L34" s="95">
        <f>('Total FTE'!M34-'Total FTE'!L34)/'Total FTE'!L34</f>
        <v>0.13523728646679464</v>
      </c>
      <c r="M34" s="95">
        <f>('Total FTE'!N34-'Total FTE'!M34)/'Total FTE'!M34</f>
        <v>7.8563274403921066E-2</v>
      </c>
      <c r="N34" s="95">
        <f>('Total FTE'!O34-'Total FTE'!N34)/'Total FTE'!N34</f>
        <v>2.7305075034929148E-2</v>
      </c>
      <c r="O34" s="95">
        <f>('Total FTE'!P34-'Total FTE'!O34)/'Total FTE'!O34</f>
        <v>-3.2909831855073492E-2</v>
      </c>
      <c r="P34" s="94">
        <f>('Total FTE'!Q34-'Total FTE'!P34)/'Total FTE'!P34</f>
        <v>-1.5904492108458186E-2</v>
      </c>
      <c r="Q34" s="96">
        <f>('Total FTE'!R34-'Total FTE'!Q34)/'Total FTE'!Q34</f>
        <v>3.2281942673849574E-2</v>
      </c>
      <c r="R34" s="96">
        <f>('Total FTE'!S34-'Total FTE'!R34)/'Total FTE'!R34</f>
        <v>6.5054577324516055E-2</v>
      </c>
      <c r="S34" s="97">
        <f>('Total FTE'!T34-'Total FTE'!S34)/'Total FTE'!S34</f>
        <v>0.19490345423463598</v>
      </c>
      <c r="T34" s="98"/>
    </row>
    <row r="35" spans="1:20">
      <c r="A35" s="34" t="s">
        <v>53</v>
      </c>
      <c r="B35" s="94">
        <f>('Total FTE'!C35-'Total FTE'!B35)/'Total FTE'!B35</f>
        <v>5.9654631083202514E-2</v>
      </c>
      <c r="C35" s="95">
        <f>('Total FTE'!D35-'Total FTE'!C35)/'Total FTE'!C35</f>
        <v>-3.111111111111111E-2</v>
      </c>
      <c r="D35" s="95">
        <f>('Total FTE'!E35-'Total FTE'!D35)/'Total FTE'!D35</f>
        <v>-3.669724770642202E-2</v>
      </c>
      <c r="E35" s="95">
        <f>('Total FTE'!F35-'Total FTE'!E35)/'Total FTE'!E35</f>
        <v>5.3968253968253971E-2</v>
      </c>
      <c r="F35" s="95">
        <f>('Total FTE'!G35-'Total FTE'!F35)/'Total FTE'!F35</f>
        <v>5.1204819277108432E-2</v>
      </c>
      <c r="G35" s="95">
        <f>('Total FTE'!H35-'Total FTE'!G35)/'Total FTE'!G35</f>
        <v>5.5873925501432664E-2</v>
      </c>
      <c r="H35" s="95">
        <f>('Total FTE'!I35-'Total FTE'!H35)/'Total FTE'!H35</f>
        <v>1.0854816824966078E-2</v>
      </c>
      <c r="I35" s="95">
        <f>('Total FTE'!J35-'Total FTE'!I35)/'Total FTE'!I35</f>
        <v>-9.6174496644295268E-2</v>
      </c>
      <c r="J35" s="95">
        <f>('Total FTE'!K35-'Total FTE'!J35)/'Total FTE'!J35</f>
        <v>1.3989752728891269E-3</v>
      </c>
      <c r="K35" s="95">
        <f>('Total FTE'!L35-'Total FTE'!K35)/'Total FTE'!K35</f>
        <v>1.1965142697822454E-2</v>
      </c>
      <c r="L35" s="95">
        <f>('Total FTE'!M35-'Total FTE'!L35)/'Total FTE'!L35</f>
        <v>0.1169324110440238</v>
      </c>
      <c r="M35" s="95">
        <f>('Total FTE'!N35-'Total FTE'!M35)/'Total FTE'!M35</f>
        <v>-2.8144066128715027E-2</v>
      </c>
      <c r="N35" s="95">
        <f>('Total FTE'!O35-'Total FTE'!N35)/'Total FTE'!N35</f>
        <v>-5.901174564601043E-2</v>
      </c>
      <c r="O35" s="95">
        <f>('Total FTE'!P35-'Total FTE'!O35)/'Total FTE'!O35</f>
        <v>1.1520968736997622E-2</v>
      </c>
      <c r="P35" s="94">
        <f>('Total FTE'!Q35-'Total FTE'!P35)/'Total FTE'!P35</f>
        <v>-2.7999205696292155E-2</v>
      </c>
      <c r="Q35" s="96">
        <f>('Total FTE'!R35-'Total FTE'!Q35)/'Total FTE'!Q35</f>
        <v>0.10960142817534418</v>
      </c>
      <c r="R35" s="96">
        <f>('Total FTE'!S35-'Total FTE'!R35)/'Total FTE'!R35</f>
        <v>-5.0982770628354057E-4</v>
      </c>
      <c r="S35" s="97">
        <f>('Total FTE'!T35-'Total FTE'!S35)/'Total FTE'!S35</f>
        <v>-3.4373142491526655E-2</v>
      </c>
      <c r="T35" s="98"/>
    </row>
    <row r="36" spans="1:20">
      <c r="A36" s="34" t="s">
        <v>54</v>
      </c>
      <c r="B36" s="94">
        <f>('Total FTE'!C36-'Total FTE'!B36)/'Total FTE'!B36</f>
        <v>0.29623287671232879</v>
      </c>
      <c r="C36" s="95">
        <f>('Total FTE'!D36-'Total FTE'!C36)/'Total FTE'!C36</f>
        <v>0.11756935270805813</v>
      </c>
      <c r="D36" s="95">
        <f>('Total FTE'!E36-'Total FTE'!D36)/'Total FTE'!D36</f>
        <v>-0.15366430260047281</v>
      </c>
      <c r="E36" s="95">
        <f>('Total FTE'!F36-'Total FTE'!E36)/'Total FTE'!E36</f>
        <v>7.4022346368715089E-2</v>
      </c>
      <c r="F36" s="95">
        <f>('Total FTE'!G36-'Total FTE'!F36)/'Total FTE'!F36</f>
        <v>5.9817945383615082E-2</v>
      </c>
      <c r="G36" s="95">
        <f>('Total FTE'!H36-'Total FTE'!G36)/'Total FTE'!G36</f>
        <v>7.8527607361963195E-2</v>
      </c>
      <c r="H36" s="95">
        <f>('Total FTE'!I36-'Total FTE'!H36)/'Total FTE'!H36</f>
        <v>5.4607508532423209E-2</v>
      </c>
      <c r="I36" s="95">
        <f>('Total FTE'!J36-'Total FTE'!I36)/'Total FTE'!I36</f>
        <v>3.4983818770226487E-2</v>
      </c>
      <c r="J36" s="95">
        <f>('Total FTE'!K36-'Total FTE'!J36)/'Total FTE'!J36</f>
        <v>-6.1494845898088643E-4</v>
      </c>
      <c r="K36" s="95">
        <f>('Total FTE'!L36-'Total FTE'!K36)/'Total FTE'!K36</f>
        <v>3.0171874348170775E-2</v>
      </c>
      <c r="L36" s="95">
        <f>('Total FTE'!M36-'Total FTE'!L36)/'Total FTE'!L36</f>
        <v>-6.0692266418295802E-2</v>
      </c>
      <c r="M36" s="95">
        <f>('Total FTE'!N36-'Total FTE'!M36)/'Total FTE'!M36</f>
        <v>1.4323899032139939E-2</v>
      </c>
      <c r="N36" s="95">
        <f>('Total FTE'!O36-'Total FTE'!N36)/'Total FTE'!N36</f>
        <v>4.1397923728363352E-2</v>
      </c>
      <c r="O36" s="95">
        <f>('Total FTE'!P36-'Total FTE'!O36)/'Total FTE'!O36</f>
        <v>4.0976664932096653E-2</v>
      </c>
      <c r="P36" s="94">
        <f>('Total FTE'!Q36-'Total FTE'!P36)/'Total FTE'!P36</f>
        <v>2.3524107309135954E-3</v>
      </c>
      <c r="Q36" s="96">
        <f>('Total FTE'!R36-'Total FTE'!Q36)/'Total FTE'!Q36</f>
        <v>-1.8667553269510886E-2</v>
      </c>
      <c r="R36" s="96">
        <f>('Total FTE'!S36-'Total FTE'!R36)/'Total FTE'!R36</f>
        <v>2.8359606991250893E-2</v>
      </c>
      <c r="S36" s="97">
        <f>('Total FTE'!T36-'Total FTE'!S36)/'Total FTE'!S36</f>
        <v>5.3614841692786887E-2</v>
      </c>
      <c r="T36" s="98"/>
    </row>
    <row r="37" spans="1:20">
      <c r="A37" s="34" t="s">
        <v>55</v>
      </c>
      <c r="B37" s="94">
        <f>('Total FTE'!C37-'Total FTE'!B37)/'Total FTE'!B37</f>
        <v>2.5280898876404494E-2</v>
      </c>
      <c r="C37" s="95">
        <f>('Total FTE'!D37-'Total FTE'!C37)/'Total FTE'!C37</f>
        <v>-9.6986301369863012E-2</v>
      </c>
      <c r="D37" s="95">
        <f>('Total FTE'!E37-'Total FTE'!D37)/'Total FTE'!D37</f>
        <v>-9.101941747572815E-3</v>
      </c>
      <c r="E37" s="95">
        <f>('Total FTE'!F37-'Total FTE'!E37)/'Total FTE'!E37</f>
        <v>-2.4494794856093079E-2</v>
      </c>
      <c r="F37" s="95">
        <f>('Total FTE'!G37-'Total FTE'!F37)/'Total FTE'!F37</f>
        <v>7.5329566854990579E-2</v>
      </c>
      <c r="G37" s="95">
        <f>('Total FTE'!H37-'Total FTE'!G37)/'Total FTE'!G37</f>
        <v>-0.10566258026853473</v>
      </c>
      <c r="H37" s="95">
        <f>('Total FTE'!I37-'Total FTE'!H37)/'Total FTE'!H37</f>
        <v>3.0678851174934726E-2</v>
      </c>
      <c r="I37" s="95">
        <f>('Total FTE'!J37-'Total FTE'!I37)/'Total FTE'!I37</f>
        <v>-2.6282457251424952E-2</v>
      </c>
      <c r="J37" s="95">
        <f>('Total FTE'!K37-'Total FTE'!J37)/'Total FTE'!J37</f>
        <v>4.3499186991869838E-2</v>
      </c>
      <c r="K37" s="95">
        <f>('Total FTE'!L37-'Total FTE'!K37)/'Total FTE'!K37</f>
        <v>-6.7565040701080287E-3</v>
      </c>
      <c r="L37" s="95">
        <f>('Total FTE'!M37-'Total FTE'!L37)/'Total FTE'!L37</f>
        <v>2.9581937070923776E-2</v>
      </c>
      <c r="M37" s="95">
        <f>('Total FTE'!N37-'Total FTE'!M37)/'Total FTE'!M37</f>
        <v>-6.6301777311846152E-2</v>
      </c>
      <c r="N37" s="95">
        <f>('Total FTE'!O37-'Total FTE'!N37)/'Total FTE'!N37</f>
        <v>-3.521117566420788E-2</v>
      </c>
      <c r="O37" s="95">
        <f>('Total FTE'!P37-'Total FTE'!O37)/'Total FTE'!O37</f>
        <v>-0.1375612330509621</v>
      </c>
      <c r="P37" s="94">
        <f>('Total FTE'!Q37-'Total FTE'!P37)/'Total FTE'!P37</f>
        <v>-2.559133879888606E-2</v>
      </c>
      <c r="Q37" s="96">
        <f>('Total FTE'!R37-'Total FTE'!Q37)/'Total FTE'!Q37</f>
        <v>4.4628551645290421E-2</v>
      </c>
      <c r="R37" s="96">
        <f>('Total FTE'!S37-'Total FTE'!R37)/'Total FTE'!R37</f>
        <v>0.10215343825628533</v>
      </c>
      <c r="S37" s="97">
        <f>('Total FTE'!T37-'Total FTE'!S37)/'Total FTE'!S37</f>
        <v>1.8989716318415239E-2</v>
      </c>
      <c r="T37" s="98"/>
    </row>
    <row r="38" spans="1:20">
      <c r="A38" s="34" t="s">
        <v>56</v>
      </c>
      <c r="B38" s="94">
        <f>('Total FTE'!C38-'Total FTE'!B38)/'Total FTE'!B38</f>
        <v>1.6528925619834711E-2</v>
      </c>
      <c r="C38" s="95">
        <f>('Total FTE'!D38-'Total FTE'!C38)/'Total FTE'!C38</f>
        <v>8.2655826558265588E-2</v>
      </c>
      <c r="D38" s="95">
        <f>('Total FTE'!E38-'Total FTE'!D38)/'Total FTE'!D38</f>
        <v>1.7521902377972465E-2</v>
      </c>
      <c r="E38" s="95">
        <f>('Total FTE'!F38-'Total FTE'!E38)/'Total FTE'!E38</f>
        <v>-4.6740467404674045E-2</v>
      </c>
      <c r="F38" s="95">
        <f>('Total FTE'!G38-'Total FTE'!F38)/'Total FTE'!F38</f>
        <v>3.870967741935484E-2</v>
      </c>
      <c r="G38" s="95">
        <f>('Total FTE'!H38-'Total FTE'!G38)/'Total FTE'!G38</f>
        <v>6.0869565217391307E-2</v>
      </c>
      <c r="H38" s="95">
        <f>('Total FTE'!I38-'Total FTE'!H38)/'Total FTE'!H38</f>
        <v>6.0889929742388757E-2</v>
      </c>
      <c r="I38" s="95">
        <f>('Total FTE'!J38-'Total FTE'!I38)/'Total FTE'!I38</f>
        <v>5.7969094922737288E-2</v>
      </c>
      <c r="J38" s="95">
        <f>('Total FTE'!K38-'Total FTE'!J38)/'Total FTE'!J38</f>
        <v>1.6129032258064554E-2</v>
      </c>
      <c r="K38" s="95">
        <f>('Total FTE'!L38-'Total FTE'!K38)/'Total FTE'!K38</f>
        <v>0.12126532372327964</v>
      </c>
      <c r="L38" s="95">
        <f>('Total FTE'!M38-'Total FTE'!L38)/'Total FTE'!L38</f>
        <v>4.4446886245639271E-2</v>
      </c>
      <c r="M38" s="95">
        <f>('Total FTE'!N38-'Total FTE'!M38)/'Total FTE'!M38</f>
        <v>9.3080139922674165E-2</v>
      </c>
      <c r="N38" s="95">
        <f>('Total FTE'!O38-'Total FTE'!N38)/'Total FTE'!N38</f>
        <v>2.1759704844401758E-2</v>
      </c>
      <c r="O38" s="95">
        <f>('Total FTE'!P38-'Total FTE'!O38)/'Total FTE'!O38</f>
        <v>-9.4196698405722666E-3</v>
      </c>
      <c r="P38" s="94">
        <f>('Total FTE'!Q38-'Total FTE'!P38)/'Total FTE'!P38</f>
        <v>3.1475596903156482E-2</v>
      </c>
      <c r="Q38" s="96">
        <f>('Total FTE'!R38-'Total FTE'!Q38)/'Total FTE'!Q38</f>
        <v>-5.0412937425575316E-2</v>
      </c>
      <c r="R38" s="96">
        <f>('Total FTE'!S38-'Total FTE'!R38)/'Total FTE'!R38</f>
        <v>-1.6423549590220082E-3</v>
      </c>
      <c r="S38" s="97">
        <f>('Total FTE'!T38-'Total FTE'!S38)/'Total FTE'!S38</f>
        <v>5.1224507411612025E-2</v>
      </c>
      <c r="T38" s="98"/>
    </row>
    <row r="39" spans="1:20">
      <c r="A39" s="34" t="s">
        <v>57</v>
      </c>
      <c r="B39" s="94">
        <f>('Total FTE'!C39-'Total FTE'!B39)/'Total FTE'!B39</f>
        <v>3.9132284134410888E-2</v>
      </c>
      <c r="C39" s="95">
        <f>('Total FTE'!D39-'Total FTE'!C39)/'Total FTE'!C39</f>
        <v>-6.1399918133442491E-2</v>
      </c>
      <c r="D39" s="95">
        <f>('Total FTE'!E39-'Total FTE'!D39)/'Total FTE'!D39</f>
        <v>2.3549934583515047E-2</v>
      </c>
      <c r="E39" s="95">
        <f>('Total FTE'!F39-'Total FTE'!E39)/'Total FTE'!E39</f>
        <v>-2.8547081380485728E-2</v>
      </c>
      <c r="F39" s="95">
        <f>('Total FTE'!G39-'Total FTE'!F39)/'Total FTE'!F39</f>
        <v>5.3508771929824561E-2</v>
      </c>
      <c r="G39" s="95">
        <f>('Total FTE'!H39-'Total FTE'!G39)/'Total FTE'!G39</f>
        <v>2.3938384679433804E-2</v>
      </c>
      <c r="H39" s="95">
        <f>('Total FTE'!I39-'Total FTE'!H39)/'Total FTE'!H39</f>
        <v>3.8422443586094736E-2</v>
      </c>
      <c r="I39" s="95">
        <f>('Total FTE'!J39-'Total FTE'!I39)/'Total FTE'!I39</f>
        <v>3.5591229444009255E-2</v>
      </c>
      <c r="J39" s="95">
        <f>('Total FTE'!K39-'Total FTE'!J39)/'Total FTE'!J39</f>
        <v>8.4124163484443487E-3</v>
      </c>
      <c r="K39" s="95">
        <f>('Total FTE'!L39-'Total FTE'!K39)/'Total FTE'!K39</f>
        <v>6.4732017321860277E-2</v>
      </c>
      <c r="L39" s="95">
        <f>('Total FTE'!M39-'Total FTE'!L39)/'Total FTE'!L39</f>
        <v>0.12615325022888937</v>
      </c>
      <c r="M39" s="95">
        <f>('Total FTE'!N39-'Total FTE'!M39)/'Total FTE'!M39</f>
        <v>4.8545207235659374E-2</v>
      </c>
      <c r="N39" s="95">
        <f>('Total FTE'!O39-'Total FTE'!N39)/'Total FTE'!N39</f>
        <v>4.1764828676229306E-2</v>
      </c>
      <c r="O39" s="95">
        <f>('Total FTE'!P39-'Total FTE'!O39)/'Total FTE'!O39</f>
        <v>2.0338643422502807E-2</v>
      </c>
      <c r="P39" s="94">
        <f>('Total FTE'!Q39-'Total FTE'!P39)/'Total FTE'!P39</f>
        <v>-5.1770283918752158E-2</v>
      </c>
      <c r="Q39" s="96">
        <f>('Total FTE'!R39-'Total FTE'!Q39)/'Total FTE'!Q39</f>
        <v>0.10673931245876331</v>
      </c>
      <c r="R39" s="96">
        <f>('Total FTE'!S39-'Total FTE'!R39)/'Total FTE'!R39</f>
        <v>8.9119895418825881E-2</v>
      </c>
      <c r="S39" s="97">
        <f>('Total FTE'!T39-'Total FTE'!S39)/'Total FTE'!S39</f>
        <v>0.18387747243707994</v>
      </c>
      <c r="T39" s="98"/>
    </row>
    <row r="40" spans="1:20">
      <c r="A40" s="34" t="s">
        <v>58</v>
      </c>
      <c r="B40" s="94">
        <f>('Total FTE'!C40-'Total FTE'!B40)/'Total FTE'!B40</f>
        <v>9.0186730234406043E-2</v>
      </c>
      <c r="C40" s="95">
        <f>('Total FTE'!D40-'Total FTE'!C40)/'Total FTE'!C40</f>
        <v>-2.5145772594752185E-2</v>
      </c>
      <c r="D40" s="95">
        <f>('Total FTE'!E40-'Total FTE'!D40)/'Total FTE'!D40</f>
        <v>2.7663551401869158E-2</v>
      </c>
      <c r="E40" s="95">
        <f>('Total FTE'!F40-'Total FTE'!E40)/'Total FTE'!E40</f>
        <v>2.6191342306293199E-2</v>
      </c>
      <c r="F40" s="95">
        <f>('Total FTE'!G40-'Total FTE'!F40)/'Total FTE'!F40</f>
        <v>3.1903580290677067E-2</v>
      </c>
      <c r="G40" s="95">
        <f>('Total FTE'!H40-'Total FTE'!G40)/'Total FTE'!G40</f>
        <v>8.0728272071453111E-2</v>
      </c>
      <c r="H40" s="95">
        <f>('Total FTE'!I40-'Total FTE'!H40)/'Total FTE'!H40</f>
        <v>2.3839796567069294E-2</v>
      </c>
      <c r="I40" s="95">
        <f>('Total FTE'!J40-'Total FTE'!I40)/'Total FTE'!I40</f>
        <v>3.4545172306737031E-2</v>
      </c>
      <c r="J40" s="95">
        <f>('Total FTE'!K40-'Total FTE'!J40)/'Total FTE'!J40</f>
        <v>-1.2219898147508996E-2</v>
      </c>
      <c r="K40" s="95">
        <f>('Total FTE'!L40-'Total FTE'!K40)/'Total FTE'!K40</f>
        <v>9.6838875301909294E-2</v>
      </c>
      <c r="L40" s="95">
        <f>('Total FTE'!M40-'Total FTE'!L40)/'Total FTE'!L40</f>
        <v>8.0935102346065504E-2</v>
      </c>
      <c r="M40" s="95">
        <f>('Total FTE'!N40-'Total FTE'!M40)/'Total FTE'!M40</f>
        <v>9.8237027546444561E-2</v>
      </c>
      <c r="N40" s="95">
        <f>('Total FTE'!O40-'Total FTE'!N40)/'Total FTE'!N40</f>
        <v>-1.8978643775942841E-2</v>
      </c>
      <c r="O40" s="95">
        <f>('Total FTE'!P40-'Total FTE'!O40)/'Total FTE'!O40</f>
        <v>-7.1254099744798988E-2</v>
      </c>
      <c r="P40" s="94">
        <f>('Total FTE'!Q40-'Total FTE'!P40)/'Total FTE'!P40</f>
        <v>-9.8065527255220317E-2</v>
      </c>
      <c r="Q40" s="96">
        <f>('Total FTE'!R40-'Total FTE'!Q40)/'Total FTE'!Q40</f>
        <v>-9.8239636570130358E-3</v>
      </c>
      <c r="R40" s="96">
        <f>('Total FTE'!S40-'Total FTE'!R40)/'Total FTE'!R40</f>
        <v>0.10569478694729595</v>
      </c>
      <c r="S40" s="97">
        <f>('Total FTE'!T40-'Total FTE'!S40)/'Total FTE'!S40</f>
        <v>0.231963394826638</v>
      </c>
      <c r="T40" s="98"/>
    </row>
    <row r="41" spans="1:20">
      <c r="A41" s="34" t="s">
        <v>59</v>
      </c>
      <c r="B41" s="94">
        <f>('Total FTE'!C41-'Total FTE'!B41)/'Total FTE'!B41</f>
        <v>0.1226502311248074</v>
      </c>
      <c r="C41" s="95">
        <f>('Total FTE'!D41-'Total FTE'!C41)/'Total FTE'!C41</f>
        <v>8.1526214658248691E-2</v>
      </c>
      <c r="D41" s="95">
        <f>('Total FTE'!E41-'Total FTE'!D41)/'Total FTE'!D41</f>
        <v>2.3604060913705583E-2</v>
      </c>
      <c r="E41" s="95">
        <f>('Total FTE'!F41-'Total FTE'!E41)/'Total FTE'!E41</f>
        <v>-1.983635011157947E-2</v>
      </c>
      <c r="F41" s="95">
        <f>('Total FTE'!G41-'Total FTE'!F41)/'Total FTE'!F41</f>
        <v>-1.4166455856311662E-2</v>
      </c>
      <c r="G41" s="95">
        <f>('Total FTE'!H41-'Total FTE'!G41)/'Total FTE'!G41</f>
        <v>7.3903002309468821E-2</v>
      </c>
      <c r="H41" s="95">
        <f>('Total FTE'!I41-'Total FTE'!H41)/'Total FTE'!H41</f>
        <v>5.0967741935483916E-2</v>
      </c>
      <c r="I41" s="95">
        <f>('Total FTE'!J41-'Total FTE'!I41)/'Total FTE'!I41</f>
        <v>-4.4676352226996792E-2</v>
      </c>
      <c r="J41" s="95">
        <f>('Total FTE'!K41-'Total FTE'!J41)/'Total FTE'!J41</f>
        <v>7.5110666857060044E-3</v>
      </c>
      <c r="K41" s="95">
        <f>('Total FTE'!L41-'Total FTE'!K41)/'Total FTE'!K41</f>
        <v>-6.9755466107299519E-3</v>
      </c>
      <c r="L41" s="95">
        <f>('Total FTE'!M41-'Total FTE'!L41)/'Total FTE'!L41</f>
        <v>6.3625313107333131E-2</v>
      </c>
      <c r="M41" s="95">
        <f>('Total FTE'!N41-'Total FTE'!M41)/'Total FTE'!M41</f>
        <v>5.357949589604806E-2</v>
      </c>
      <c r="N41" s="95">
        <f>('Total FTE'!O41-'Total FTE'!N41)/'Total FTE'!N41</f>
        <v>-1.1505305814000348E-2</v>
      </c>
      <c r="O41" s="95">
        <f>('Total FTE'!P41-'Total FTE'!O41)/'Total FTE'!O41</f>
        <v>-5.7846057375764204E-2</v>
      </c>
      <c r="P41" s="94">
        <f>('Total FTE'!Q41-'Total FTE'!P41)/'Total FTE'!P41</f>
        <v>-2.4778337474073108E-2</v>
      </c>
      <c r="Q41" s="96">
        <f>('Total FTE'!R41-'Total FTE'!Q41)/'Total FTE'!Q41</f>
        <v>9.3893081599312048E-2</v>
      </c>
      <c r="R41" s="96">
        <f>('Total FTE'!S41-'Total FTE'!R41)/'Total FTE'!R41</f>
        <v>8.347292492821011E-2</v>
      </c>
      <c r="S41" s="97">
        <f>('Total FTE'!T41-'Total FTE'!S41)/'Total FTE'!S41</f>
        <v>0.2088531121731563</v>
      </c>
      <c r="T41" s="98"/>
    </row>
    <row r="42" spans="1:20" ht="12.75" thickBot="1">
      <c r="A42" s="45" t="s">
        <v>60</v>
      </c>
      <c r="B42" s="99">
        <f>('Total FTE'!C42-'Total FTE'!B42)/'Total FTE'!B42</f>
        <v>0</v>
      </c>
      <c r="C42" s="100">
        <f>('Total FTE'!D42-'Total FTE'!C42)/'Total FTE'!C42</f>
        <v>1.6116035455278001E-3</v>
      </c>
      <c r="D42" s="100">
        <f>('Total FTE'!E42-'Total FTE'!D42)/'Total FTE'!D42</f>
        <v>0.2333065164923572</v>
      </c>
      <c r="E42" s="100">
        <f>('Total FTE'!F42-'Total FTE'!E42)/'Total FTE'!E42</f>
        <v>-4.3052837573385516E-2</v>
      </c>
      <c r="F42" s="100">
        <f>('Total FTE'!G42-'Total FTE'!F42)/'Total FTE'!F42</f>
        <v>6.8166325835037497E-2</v>
      </c>
      <c r="G42" s="100">
        <f>('Total FTE'!H42-'Total FTE'!G42)/'Total FTE'!G42</f>
        <v>1.9144862795149968E-3</v>
      </c>
      <c r="H42" s="100">
        <f>('Total FTE'!I42-'Total FTE'!H42)/'Total FTE'!H42</f>
        <v>-6.3694267515923567E-2</v>
      </c>
      <c r="I42" s="100">
        <f>('Total FTE'!J42-'Total FTE'!I42)/'Total FTE'!I42</f>
        <v>-4.1292517006802287E-3</v>
      </c>
      <c r="J42" s="100">
        <f>('Total FTE'!K42-'Total FTE'!J42)/'Total FTE'!J42</f>
        <v>-2.5978018074634696E-2</v>
      </c>
      <c r="K42" s="100">
        <f>('Total FTE'!L42-'Total FTE'!K42)/'Total FTE'!K42</f>
        <v>4.3551441195034651E-2</v>
      </c>
      <c r="L42" s="100">
        <f>('Total FTE'!M42-'Total FTE'!L42)/'Total FTE'!L42</f>
        <v>6.4670698924731193E-2</v>
      </c>
      <c r="M42" s="100">
        <f>('Total FTE'!N42-'Total FTE'!M42)/'Total FTE'!M42</f>
        <v>-4.7341610750964193E-3</v>
      </c>
      <c r="N42" s="100">
        <f>('Total FTE'!O42-'Total FTE'!N42)/'Total FTE'!N42</f>
        <v>1.6179054118333508E-2</v>
      </c>
      <c r="O42" s="100">
        <f>('Total FTE'!P42-'Total FTE'!O42)/'Total FTE'!O42</f>
        <v>-9.6358847613341389E-2</v>
      </c>
      <c r="P42" s="99">
        <f>('Total FTE'!Q42-'Total FTE'!P42)/'Total FTE'!P42</f>
        <v>-0.10159892254031834</v>
      </c>
      <c r="Q42" s="103">
        <f>('Total FTE'!R42-'Total FTE'!Q42)/'Total FTE'!Q42</f>
        <v>5.1616375168172288E-2</v>
      </c>
      <c r="R42" s="103">
        <f>('Total FTE'!S42-'Total FTE'!R42)/'Total FTE'!R42</f>
        <v>3.8095168471148917E-2</v>
      </c>
      <c r="S42" s="104">
        <f>('Total FTE'!T42-'Total FTE'!S42)/'Total FTE'!S42</f>
        <v>0.11482612751676169</v>
      </c>
      <c r="T42" s="98"/>
    </row>
    <row r="43" spans="1:20" ht="12.75" thickTop="1">
      <c r="A43" s="50" t="s">
        <v>61</v>
      </c>
      <c r="B43" s="101">
        <f>('Total FTE'!C43-'Total FTE'!B43)/'Total FTE'!B43</f>
        <v>1.5214384508990318E-2</v>
      </c>
      <c r="C43" s="90">
        <f>('Total FTE'!D43-'Total FTE'!C43)/'Total FTE'!C43</f>
        <v>-3.7874659400544956E-2</v>
      </c>
      <c r="D43" s="90">
        <f>('Total FTE'!E43-'Total FTE'!D43)/'Total FTE'!D43</f>
        <v>-8.779382611158312E-3</v>
      </c>
      <c r="E43" s="90">
        <f>('Total FTE'!F43-'Total FTE'!E43)/'Total FTE'!E43</f>
        <v>-3.2000000000000001E-2</v>
      </c>
      <c r="F43" s="90">
        <f>('Total FTE'!G43-'Total FTE'!F43)/'Total FTE'!F43</f>
        <v>1.9185360094451005E-2</v>
      </c>
      <c r="G43" s="90">
        <f>('Total FTE'!H43-'Total FTE'!G43)/'Total FTE'!G43</f>
        <v>1.3032145960034753E-3</v>
      </c>
      <c r="H43" s="90">
        <f>('Total FTE'!I43-'Total FTE'!H43)/'Total FTE'!H43</f>
        <v>-1.0122921185827911E-3</v>
      </c>
      <c r="I43" s="90">
        <f>('Total FTE'!J43-'Total FTE'!I43)/'Total FTE'!I43</f>
        <v>-1.9258830341632883E-2</v>
      </c>
      <c r="J43" s="90">
        <f>('Total FTE'!K43-'Total FTE'!J43)/'Total FTE'!J43</f>
        <v>1.1300435722129784E-2</v>
      </c>
      <c r="K43" s="90">
        <f>('Total FTE'!L43-'Total FTE'!K43)/'Total FTE'!K43</f>
        <v>8.0171991032647189E-3</v>
      </c>
      <c r="L43" s="90">
        <f>('Total FTE'!M43-'Total FTE'!L43)/'Total FTE'!L43</f>
        <v>-5.5810148484387881E-2</v>
      </c>
      <c r="M43" s="90">
        <f>('Total FTE'!N43-'Total FTE'!M43)/'Total FTE'!M43</f>
        <v>-6.4000920104278547E-2</v>
      </c>
      <c r="N43" s="90">
        <f>('Total FTE'!O43-'Total FTE'!N43)/'Total FTE'!N43</f>
        <v>-2.8710689505459814E-2</v>
      </c>
      <c r="O43" s="90">
        <f>('Total FTE'!P43-'Total FTE'!O43)/'Total FTE'!O43</f>
        <v>-3.9202754195475663E-2</v>
      </c>
      <c r="P43" s="94">
        <f>('Total FTE'!Q43-'Total FTE'!P43)/'Total FTE'!P43</f>
        <v>1.230337078651684E-2</v>
      </c>
      <c r="Q43" s="109">
        <f>('Total FTE'!R43-'Total FTE'!Q43)/'Total FTE'!Q43</f>
        <v>-2.2295389588767377E-2</v>
      </c>
      <c r="R43" s="109">
        <f>('Total FTE'!S43-'Total FTE'!R43)/'Total FTE'!R43</f>
        <v>4.9397049023125909E-2</v>
      </c>
      <c r="S43" s="110">
        <f>('Total FTE'!T43-'Total FTE'!S43)/'Total FTE'!S43</f>
        <v>0.11788083728935418</v>
      </c>
      <c r="T43" s="98"/>
    </row>
    <row r="44" spans="1:20">
      <c r="A44" s="34" t="s">
        <v>62</v>
      </c>
      <c r="B44" s="94">
        <f>('Total FTE'!C44-'Total FTE'!B44)/'Total FTE'!B44</f>
        <v>2.1068973164781547E-2</v>
      </c>
      <c r="C44" s="95">
        <f>('Total FTE'!D44-'Total FTE'!C44)/'Total FTE'!C44</f>
        <v>-0.11989574283231973</v>
      </c>
      <c r="D44" s="95">
        <f>('Total FTE'!E44-'Total FTE'!D44)/'Total FTE'!D44</f>
        <v>-5.725567620927937E-2</v>
      </c>
      <c r="E44" s="95">
        <f>('Total FTE'!F44-'Total FTE'!E44)/'Total FTE'!E44</f>
        <v>-3.1937172774869113E-2</v>
      </c>
      <c r="F44" s="95">
        <f>('Total FTE'!G44-'Total FTE'!F44)/'Total FTE'!F44</f>
        <v>2.9475392103839912E-2</v>
      </c>
      <c r="G44" s="95">
        <f>('Total FTE'!H44-'Total FTE'!G44)/'Total FTE'!G44</f>
        <v>-7.3548726030995531E-3</v>
      </c>
      <c r="H44" s="95">
        <f>('Total FTE'!I44-'Total FTE'!H44)/'Total FTE'!H44</f>
        <v>1.349563376554644E-2</v>
      </c>
      <c r="I44" s="95">
        <f>('Total FTE'!J44-'Total FTE'!I44)/'Total FTE'!I44</f>
        <v>4.6892950391645002E-3</v>
      </c>
      <c r="J44" s="95">
        <f>('Total FTE'!K44-'Total FTE'!J44)/'Total FTE'!J44</f>
        <v>-9.2100749488040565E-3</v>
      </c>
      <c r="K44" s="95">
        <f>('Total FTE'!L44-'Total FTE'!K44)/'Total FTE'!K44</f>
        <v>3.6702758280612376E-2</v>
      </c>
      <c r="L44" s="95">
        <f>('Total FTE'!M44-'Total FTE'!L44)/'Total FTE'!L44</f>
        <v>-7.2980050348518066E-2</v>
      </c>
      <c r="M44" s="95">
        <f>('Total FTE'!N44-'Total FTE'!M44)/'Total FTE'!M44</f>
        <v>-0.10271561135371177</v>
      </c>
      <c r="N44" s="95">
        <f>('Total FTE'!O44-'Total FTE'!N44)/'Total FTE'!N44</f>
        <v>-5.9994220796009377E-2</v>
      </c>
      <c r="O44" s="95">
        <f>('Total FTE'!P44-'Total FTE'!O44)/'Total FTE'!O44</f>
        <v>-4.1874702709349197E-2</v>
      </c>
      <c r="P44" s="94">
        <f>('Total FTE'!Q44-'Total FTE'!P44)/'Total FTE'!P44</f>
        <v>3.0084430935494896E-2</v>
      </c>
      <c r="Q44" s="96">
        <f>('Total FTE'!R44-'Total FTE'!Q44)/'Total FTE'!Q44</f>
        <v>-2.9034320411267977E-2</v>
      </c>
      <c r="R44" s="96">
        <f>('Total FTE'!S44-'Total FTE'!R44)/'Total FTE'!R44</f>
        <v>6.3641916675980514E-2</v>
      </c>
      <c r="S44" s="97">
        <f>('Total FTE'!T44-'Total FTE'!S44)/'Total FTE'!S44</f>
        <v>0.10228790408656645</v>
      </c>
      <c r="T44" s="98"/>
    </row>
    <row r="45" spans="1:20" ht="12.75" thickBot="1">
      <c r="A45" s="45" t="s">
        <v>63</v>
      </c>
      <c r="B45" s="99">
        <f>('Total FTE'!C45-'Total FTE'!B45)/'Total FTE'!B45</f>
        <v>5.512679162072767E-3</v>
      </c>
      <c r="C45" s="100">
        <f>('Total FTE'!D45-'Total FTE'!C45)/'Total FTE'!C45</f>
        <v>0.10014619883040936</v>
      </c>
      <c r="D45" s="100">
        <f>('Total FTE'!E45-'Total FTE'!D45)/'Total FTE'!D45</f>
        <v>5.647840531561462E-2</v>
      </c>
      <c r="E45" s="100">
        <f>('Total FTE'!F45-'Total FTE'!E45)/'Total FTE'!E45</f>
        <v>-3.2075471698113207E-2</v>
      </c>
      <c r="F45" s="100">
        <f>('Total FTE'!G45-'Total FTE'!F45)/'Total FTE'!F45</f>
        <v>6.8226120857699801E-3</v>
      </c>
      <c r="G45" s="100">
        <f>('Total FTE'!H45-'Total FTE'!G45)/'Total FTE'!G45</f>
        <v>1.1939335269441756E-2</v>
      </c>
      <c r="H45" s="100">
        <f>('Total FTE'!I45-'Total FTE'!H45)/'Total FTE'!H45</f>
        <v>-1.8494897959183673E-2</v>
      </c>
      <c r="I45" s="100">
        <f>('Total FTE'!J45-'Total FTE'!I45)/'Total FTE'!I45</f>
        <v>-4.9057829759584143E-2</v>
      </c>
      <c r="J45" s="100">
        <f>('Total FTE'!K45-'Total FTE'!J45)/'Total FTE'!J45</f>
        <v>3.8264434574649814E-2</v>
      </c>
      <c r="K45" s="100">
        <f>('Total FTE'!L45-'Total FTE'!K45)/'Total FTE'!K45</f>
        <v>-2.796972688384337E-2</v>
      </c>
      <c r="L45" s="100">
        <f>('Total FTE'!M45-'Total FTE'!L45)/'Total FTE'!L45</f>
        <v>-3.2836831415030465E-2</v>
      </c>
      <c r="M45" s="100">
        <f>('Total FTE'!N45-'Total FTE'!M45)/'Total FTE'!M45</f>
        <v>-1.4350717535876793E-2</v>
      </c>
      <c r="N45" s="100">
        <f>('Total FTE'!O45-'Total FTE'!N45)/'Total FTE'!N45</f>
        <v>7.8125E-3</v>
      </c>
      <c r="O45" s="100">
        <f>('Total FTE'!P45-'Total FTE'!O45)/'Total FTE'!O45</f>
        <v>-3.6293164200140941E-2</v>
      </c>
      <c r="P45" s="99">
        <f>('Total FTE'!Q45-'Total FTE'!P45)/'Total FTE'!P45</f>
        <v>-6.9469835466179162E-3</v>
      </c>
      <c r="Q45" s="103">
        <f>('Total FTE'!R45-'Total FTE'!Q45)/'Total FTE'!Q45</f>
        <v>-1.4727540500736377E-2</v>
      </c>
      <c r="R45" s="103">
        <f>('Total FTE'!S45-'Total FTE'!R45)/'Total FTE'!R45</f>
        <v>3.3632286995515695E-2</v>
      </c>
      <c r="S45" s="104">
        <f>('Total FTE'!T45-'Total FTE'!S45)/'Total FTE'!S45</f>
        <v>0.13563851609947036</v>
      </c>
      <c r="T45" s="98"/>
    </row>
    <row r="46" spans="1:20" ht="12.75" thickTop="1">
      <c r="A46" s="50" t="s">
        <v>64</v>
      </c>
      <c r="B46" s="101">
        <f>('Total FTE'!C46-'Total FTE'!B46)/'Total FTE'!B46</f>
        <v>1.8684890972086886E-2</v>
      </c>
      <c r="C46" s="90">
        <f>('Total FTE'!D46-'Total FTE'!C46)/'Total FTE'!C46</f>
        <v>-2.0773132307245448E-3</v>
      </c>
      <c r="D46" s="90">
        <f>('Total FTE'!E46-'Total FTE'!D46)/'Total FTE'!D46</f>
        <v>-4.2382410958697533E-3</v>
      </c>
      <c r="E46" s="90">
        <f>('Total FTE'!F46-'Total FTE'!E46)/'Total FTE'!E46</f>
        <v>2.4450987758158414E-3</v>
      </c>
      <c r="F46" s="90">
        <f>('Total FTE'!G46-'Total FTE'!F46)/'Total FTE'!F46</f>
        <v>4.357944196132538E-3</v>
      </c>
      <c r="G46" s="90">
        <f>('Total FTE'!H46-'Total FTE'!G46)/'Total FTE'!G46</f>
        <v>1.1237516597958679E-2</v>
      </c>
      <c r="H46" s="90">
        <f>('Total FTE'!I46-'Total FTE'!H46)/'Total FTE'!H46</f>
        <v>1.7725920127633195E-2</v>
      </c>
      <c r="I46" s="90">
        <f>('Total FTE'!J46-'Total FTE'!I46)/'Total FTE'!I46</f>
        <v>1.3120591917570869E-2</v>
      </c>
      <c r="J46" s="90">
        <f>('Total FTE'!K46-'Total FTE'!J46)/'Total FTE'!J46</f>
        <v>3.0447555420140752E-3</v>
      </c>
      <c r="K46" s="90">
        <f>('Total FTE'!L46-'Total FTE'!K46)/'Total FTE'!K46</f>
        <v>3.9774399997365456E-2</v>
      </c>
      <c r="L46" s="90">
        <f>('Total FTE'!M46-'Total FTE'!L46)/'Total FTE'!L46</f>
        <v>6.2450715328822133E-2</v>
      </c>
      <c r="M46" s="90">
        <f>('Total FTE'!N46-'Total FTE'!M46)/'Total FTE'!M46</f>
        <v>3.5834449831207919E-2</v>
      </c>
      <c r="N46" s="90">
        <f>('Total FTE'!O46-'Total FTE'!N46)/'Total FTE'!N46</f>
        <v>1.1458061287976802E-2</v>
      </c>
      <c r="O46" s="90">
        <f>('Total FTE'!P46-'Total FTE'!O46)/'Total FTE'!O46</f>
        <v>-1.9397344818817972E-2</v>
      </c>
      <c r="P46" s="94">
        <f>('Total FTE'!Q46-'Total FTE'!P46)/'Total FTE'!P46</f>
        <v>-9.4685181555559366E-3</v>
      </c>
      <c r="Q46" s="109">
        <f>('Total FTE'!R46-'Total FTE'!Q46)/'Total FTE'!Q46</f>
        <v>1.6019631359575633E-2</v>
      </c>
      <c r="R46" s="109">
        <f>('Total FTE'!S46-'Total FTE'!R46)/'Total FTE'!R46</f>
        <v>3.3211821892981934E-2</v>
      </c>
      <c r="S46" s="110">
        <f>('Total FTE'!T46-'Total FTE'!S46)/'Total FTE'!S46</f>
        <v>0.10468968203916798</v>
      </c>
      <c r="T46" s="98"/>
    </row>
    <row r="47" spans="1:20" ht="12.75" thickBot="1">
      <c r="A47" s="159" t="s">
        <v>65</v>
      </c>
      <c r="B47" s="105">
        <f>('Total FTE'!C47-'Total FTE'!B47)/'Total FTE'!B47</f>
        <v>1.5214384508990318E-2</v>
      </c>
      <c r="C47" s="106">
        <f>('Total FTE'!D47-'Total FTE'!C47)/'Total FTE'!C47</f>
        <v>-3.7874659400544956E-2</v>
      </c>
      <c r="D47" s="106">
        <f>('Total FTE'!E47-'Total FTE'!D47)/'Total FTE'!D47</f>
        <v>-8.779382611158312E-3</v>
      </c>
      <c r="E47" s="106">
        <f>('Total FTE'!F47-'Total FTE'!E47)/'Total FTE'!E47</f>
        <v>-3.2000000000000001E-2</v>
      </c>
      <c r="F47" s="106">
        <f>('Total FTE'!G47-'Total FTE'!F47)/'Total FTE'!F47</f>
        <v>1.9185360094451005E-2</v>
      </c>
      <c r="G47" s="106">
        <f>('Total FTE'!H47-'Total FTE'!G47)/'Total FTE'!G47</f>
        <v>1.3032145960034753E-3</v>
      </c>
      <c r="H47" s="106">
        <f>('Total FTE'!I47-'Total FTE'!H47)/'Total FTE'!H47</f>
        <v>-1.0122921185827911E-3</v>
      </c>
      <c r="I47" s="106">
        <f>('Total FTE'!J47-'Total FTE'!I47)/'Total FTE'!I47</f>
        <v>-1.9258830341632883E-2</v>
      </c>
      <c r="J47" s="106">
        <f>('Total FTE'!K47-'Total FTE'!J47)/'Total FTE'!J47</f>
        <v>1.1300435722129784E-2</v>
      </c>
      <c r="K47" s="106">
        <f>('Total FTE'!L47-'Total FTE'!K47)/'Total FTE'!K47</f>
        <v>8.0171991032647189E-3</v>
      </c>
      <c r="L47" s="106">
        <f>('Total FTE'!M47-'Total FTE'!L47)/'Total FTE'!L47</f>
        <v>-5.5810148484387881E-2</v>
      </c>
      <c r="M47" s="106">
        <f>('Total FTE'!N47-'Total FTE'!M47)/'Total FTE'!M47</f>
        <v>-6.4000920104278547E-2</v>
      </c>
      <c r="N47" s="106">
        <f>('Total FTE'!O47-'Total FTE'!N47)/'Total FTE'!N47</f>
        <v>-2.8710689505459814E-2</v>
      </c>
      <c r="O47" s="106">
        <f>('Total FTE'!P47-'Total FTE'!O47)/'Total FTE'!O47</f>
        <v>-3.9202754195475663E-2</v>
      </c>
      <c r="P47" s="99">
        <f>('Total FTE'!Q47-'Total FTE'!P47)/'Total FTE'!P47</f>
        <v>1.230337078651684E-2</v>
      </c>
      <c r="Q47" s="107">
        <f>('Total FTE'!R47-'Total FTE'!Q47)/'Total FTE'!Q47</f>
        <v>-2.2295389588767377E-2</v>
      </c>
      <c r="R47" s="107">
        <f>('Total FTE'!S47-'Total FTE'!R47)/'Total FTE'!R47</f>
        <v>4.9397049023125909E-2</v>
      </c>
      <c r="S47" s="108">
        <f>('Total FTE'!T47-'Total FTE'!S47)/'Total FTE'!S47</f>
        <v>0.11788083728935418</v>
      </c>
      <c r="T47" s="98" t="s">
        <v>25</v>
      </c>
    </row>
    <row r="48" spans="1:20" ht="13.5" thickTop="1" thickBot="1">
      <c r="A48" s="77" t="s">
        <v>66</v>
      </c>
      <c r="B48" s="115">
        <f>('Total FTE'!C48-'Total FTE'!B48)/'Total FTE'!B48</f>
        <v>1.8501922528622729E-2</v>
      </c>
      <c r="C48" s="116">
        <f>('Total FTE'!D48-'Total FTE'!C48)/'Total FTE'!C48</f>
        <v>-3.958492035763133E-3</v>
      </c>
      <c r="D48" s="116">
        <f>('Total FTE'!E48-'Total FTE'!D48)/'Total FTE'!D48</f>
        <v>-4.4687557279069852E-3</v>
      </c>
      <c r="E48" s="116">
        <f>('Total FTE'!F48-'Total FTE'!E48)/'Total FTE'!E48</f>
        <v>7.0418874251102132E-4</v>
      </c>
      <c r="F48" s="116">
        <f>('Total FTE'!G48-'Total FTE'!F48)/'Total FTE'!F48</f>
        <v>5.0828540492083938E-3</v>
      </c>
      <c r="G48" s="116">
        <f>('Total FTE'!H48-'Total FTE'!G48)/'Total FTE'!G48</f>
        <v>1.0745015498723042E-2</v>
      </c>
      <c r="H48" s="116">
        <f>('Total FTE'!I48-'Total FTE'!H48)/'Total FTE'!H48</f>
        <v>1.6805635851492782E-2</v>
      </c>
      <c r="I48" s="116">
        <f>('Total FTE'!J48-'Total FTE'!I48)/'Total FTE'!I48</f>
        <v>1.1558217413902071E-2</v>
      </c>
      <c r="J48" s="116">
        <f>('Total FTE'!K48-'Total FTE'!J48)/'Total FTE'!J48</f>
        <v>3.4309734722262142E-3</v>
      </c>
      <c r="K48" s="116">
        <f>('Total FTE'!L48-'Total FTE'!K48)/'Total FTE'!K48</f>
        <v>3.827708049934532E-2</v>
      </c>
      <c r="L48" s="116">
        <f>('Total FTE'!M48-'Total FTE'!L48)/'Total FTE'!L48</f>
        <v>5.703734191771271E-2</v>
      </c>
      <c r="M48" s="116">
        <f>('Total FTE'!N48-'Total FTE'!M48)/'Total FTE'!M48</f>
        <v>3.1752380577362856E-2</v>
      </c>
      <c r="N48" s="116">
        <f>('Total FTE'!O48-'Total FTE'!N48)/'Total FTE'!N48</f>
        <v>9.9680683674709669E-3</v>
      </c>
      <c r="O48" s="116">
        <f>('Total FTE'!P48-'Total FTE'!O48)/'Total FTE'!O48</f>
        <v>-2.0103858650764597E-2</v>
      </c>
      <c r="P48" s="117">
        <f>('Total FTE'!Q48-'Total FTE'!P48)/'Total FTE'!P48</f>
        <v>-8.7069922926992591E-3</v>
      </c>
      <c r="Q48" s="160">
        <f>('Total FTE'!R48-'Total FTE'!Q48)/'Total FTE'!Q48</f>
        <v>1.4651063758180281E-2</v>
      </c>
      <c r="R48" s="160">
        <f>('Total FTE'!S48-'Total FTE'!R48)/'Total FTE'!R48</f>
        <v>3.3768888253593123E-2</v>
      </c>
      <c r="S48" s="161">
        <f>('Total FTE'!T48-'Total FTE'!S48)/'Total FTE'!S48</f>
        <v>0.10515056149335747</v>
      </c>
      <c r="T48" s="98"/>
    </row>
  </sheetData>
  <mergeCells count="5">
    <mergeCell ref="A1:R1"/>
    <mergeCell ref="A2:R2"/>
    <mergeCell ref="A4:A5"/>
    <mergeCell ref="B4:Q4"/>
    <mergeCell ref="R4:S4"/>
  </mergeCells>
  <printOptions horizontalCentered="1"/>
  <pageMargins left="0.25" right="0.25" top="0.5" bottom="0.5" header="0" footer="0"/>
  <pageSetup scale="74" orientation="landscape" r:id="rId1"/>
  <headerFooter alignWithMargins="0">
    <oddFooter>&amp;L&amp;"Arial,Regular"Colorado Department of Higher Education
Final Student FTE Enrollment Report&amp;R&amp;"Arial,Regular"Updated February 2010 with FY09-10 Projections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Resident FTE</vt:lpstr>
      <vt:lpstr>% Change Resident FTE</vt:lpstr>
      <vt:lpstr>Non-Resident FTE</vt:lpstr>
      <vt:lpstr>% Change Non-Resident FTE</vt:lpstr>
      <vt:lpstr>Total FTE</vt:lpstr>
      <vt:lpstr>% Change Total FTE</vt:lpstr>
      <vt:lpstr>'% Change Non-Resident FTE'!Print_Area</vt:lpstr>
      <vt:lpstr>'% Change Resident FTE'!Print_Area</vt:lpstr>
      <vt:lpstr>'% Change Total FTE'!Print_Area</vt:lpstr>
      <vt:lpstr>'Non-Resident FTE'!Print_Area</vt:lpstr>
      <vt:lpstr>'Resident FTE'!Print_Area</vt:lpstr>
      <vt:lpstr>'Total FTE'!Print_Area</vt:lpstr>
    </vt:vector>
  </TitlesOfParts>
  <Company>DHE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acarlson</dc:creator>
  <cp:lastModifiedBy>acarlson</cp:lastModifiedBy>
  <cp:lastPrinted>2010-02-20T00:20:34Z</cp:lastPrinted>
  <dcterms:created xsi:type="dcterms:W3CDTF">2010-02-20T00:18:14Z</dcterms:created>
  <dcterms:modified xsi:type="dcterms:W3CDTF">2010-02-20T00:20:43Z</dcterms:modified>
</cp:coreProperties>
</file>