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" yWindow="-60" windowWidth="17640" windowHeight="4620"/>
  </bookViews>
  <sheets>
    <sheet name="Oct 16, 2013" sheetId="1" r:id="rId1"/>
    <sheet name="Sheet3" sheetId="3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G12" i="1" l="1"/>
  <c r="F12" i="1"/>
  <c r="E12" i="1"/>
  <c r="D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Y12" i="1"/>
  <c r="M348" i="1"/>
  <c r="H348" i="1"/>
  <c r="Q348" i="1"/>
  <c r="S348" i="1" s="1"/>
  <c r="M347" i="1"/>
  <c r="H347" i="1"/>
  <c r="I347" i="1" s="1"/>
  <c r="K347" i="1" s="1"/>
  <c r="N347" i="1" s="1"/>
  <c r="D347" i="1"/>
  <c r="J347" i="1" s="1"/>
  <c r="M346" i="1"/>
  <c r="H346" i="1"/>
  <c r="I346" i="1" s="1"/>
  <c r="D346" i="1"/>
  <c r="M345" i="1"/>
  <c r="H345" i="1"/>
  <c r="I345" i="1" s="1"/>
  <c r="D345" i="1"/>
  <c r="M344" i="1"/>
  <c r="H344" i="1"/>
  <c r="I344" i="1" s="1"/>
  <c r="D344" i="1"/>
  <c r="M343" i="1"/>
  <c r="H343" i="1"/>
  <c r="I343" i="1" s="1"/>
  <c r="D343" i="1"/>
  <c r="M342" i="1"/>
  <c r="H342" i="1"/>
  <c r="I342" i="1" s="1"/>
  <c r="D342" i="1"/>
  <c r="M341" i="1"/>
  <c r="H341" i="1"/>
  <c r="I341" i="1" s="1"/>
  <c r="D341" i="1"/>
  <c r="M340" i="1"/>
  <c r="H340" i="1"/>
  <c r="I340" i="1" s="1"/>
  <c r="D340" i="1"/>
  <c r="M339" i="1"/>
  <c r="H339" i="1"/>
  <c r="I339" i="1" s="1"/>
  <c r="D339" i="1"/>
  <c r="M338" i="1"/>
  <c r="H338" i="1"/>
  <c r="I338" i="1" s="1"/>
  <c r="D338" i="1"/>
  <c r="M337" i="1"/>
  <c r="H337" i="1"/>
  <c r="I337" i="1" s="1"/>
  <c r="D337" i="1"/>
  <c r="M336" i="1"/>
  <c r="H336" i="1"/>
  <c r="I336" i="1" s="1"/>
  <c r="D336" i="1"/>
  <c r="M335" i="1"/>
  <c r="H335" i="1"/>
  <c r="I335" i="1" s="1"/>
  <c r="D335" i="1"/>
  <c r="M334" i="1"/>
  <c r="H334" i="1"/>
  <c r="I334" i="1" s="1"/>
  <c r="D334" i="1"/>
  <c r="M333" i="1"/>
  <c r="H333" i="1"/>
  <c r="I333" i="1" s="1"/>
  <c r="D333" i="1"/>
  <c r="M332" i="1"/>
  <c r="H332" i="1"/>
  <c r="I332" i="1" s="1"/>
  <c r="D332" i="1"/>
  <c r="M331" i="1"/>
  <c r="H331" i="1"/>
  <c r="I331" i="1" s="1"/>
  <c r="D331" i="1"/>
  <c r="M330" i="1"/>
  <c r="H330" i="1"/>
  <c r="I330" i="1" s="1"/>
  <c r="D330" i="1"/>
  <c r="M329" i="1"/>
  <c r="H329" i="1"/>
  <c r="I329" i="1" s="1"/>
  <c r="D329" i="1"/>
  <c r="M328" i="1"/>
  <c r="H328" i="1"/>
  <c r="I328" i="1" s="1"/>
  <c r="D328" i="1"/>
  <c r="M327" i="1"/>
  <c r="H327" i="1"/>
  <c r="I327" i="1" s="1"/>
  <c r="D327" i="1"/>
  <c r="M326" i="1"/>
  <c r="H326" i="1"/>
  <c r="I326" i="1" s="1"/>
  <c r="D326" i="1"/>
  <c r="Q326" i="1" s="1"/>
  <c r="S326" i="1" s="1"/>
  <c r="M325" i="1"/>
  <c r="H325" i="1"/>
  <c r="I325" i="1" s="1"/>
  <c r="D325" i="1"/>
  <c r="J325" i="1" s="1"/>
  <c r="M324" i="1"/>
  <c r="H324" i="1"/>
  <c r="I324" i="1" s="1"/>
  <c r="D324" i="1"/>
  <c r="J324" i="1" s="1"/>
  <c r="M323" i="1"/>
  <c r="H323" i="1"/>
  <c r="I323" i="1" s="1"/>
  <c r="D323" i="1"/>
  <c r="Q323" i="1" s="1"/>
  <c r="S323" i="1" s="1"/>
  <c r="M322" i="1"/>
  <c r="H322" i="1"/>
  <c r="I322" i="1" s="1"/>
  <c r="D322" i="1"/>
  <c r="Q322" i="1" s="1"/>
  <c r="S322" i="1" s="1"/>
  <c r="M321" i="1"/>
  <c r="H321" i="1"/>
  <c r="I321" i="1" s="1"/>
  <c r="D321" i="1"/>
  <c r="M320" i="1"/>
  <c r="H320" i="1"/>
  <c r="I320" i="1" s="1"/>
  <c r="K320" i="1" s="1"/>
  <c r="D320" i="1"/>
  <c r="J320" i="1" s="1"/>
  <c r="Q319" i="1"/>
  <c r="S319" i="1" s="1"/>
  <c r="M319" i="1"/>
  <c r="H319" i="1"/>
  <c r="I319" i="1" s="1"/>
  <c r="K319" i="1" s="1"/>
  <c r="D319" i="1"/>
  <c r="J319" i="1" s="1"/>
  <c r="Q318" i="1"/>
  <c r="S318" i="1" s="1"/>
  <c r="M318" i="1"/>
  <c r="H318" i="1"/>
  <c r="I318" i="1" s="1"/>
  <c r="D318" i="1"/>
  <c r="M317" i="1"/>
  <c r="H317" i="1"/>
  <c r="I317" i="1" s="1"/>
  <c r="D317" i="1"/>
  <c r="J317" i="1" s="1"/>
  <c r="M316" i="1"/>
  <c r="H316" i="1"/>
  <c r="I316" i="1" s="1"/>
  <c r="D316" i="1"/>
  <c r="Q316" i="1" s="1"/>
  <c r="S316" i="1" s="1"/>
  <c r="M315" i="1"/>
  <c r="J315" i="1"/>
  <c r="H315" i="1"/>
  <c r="I315" i="1" s="1"/>
  <c r="K315" i="1" s="1"/>
  <c r="D315" i="1"/>
  <c r="Q315" i="1" s="1"/>
  <c r="S315" i="1" s="1"/>
  <c r="M314" i="1"/>
  <c r="H314" i="1"/>
  <c r="I314" i="1" s="1"/>
  <c r="D314" i="1"/>
  <c r="M313" i="1"/>
  <c r="H313" i="1"/>
  <c r="I313" i="1" s="1"/>
  <c r="D313" i="1"/>
  <c r="J313" i="1" s="1"/>
  <c r="M312" i="1"/>
  <c r="H312" i="1"/>
  <c r="I312" i="1" s="1"/>
  <c r="D312" i="1"/>
  <c r="Q312" i="1" s="1"/>
  <c r="S312" i="1" s="1"/>
  <c r="M311" i="1"/>
  <c r="H311" i="1"/>
  <c r="I311" i="1" s="1"/>
  <c r="J311" i="1" s="1"/>
  <c r="D311" i="1"/>
  <c r="Q311" i="1" s="1"/>
  <c r="S311" i="1" s="1"/>
  <c r="M310" i="1"/>
  <c r="H310" i="1"/>
  <c r="I310" i="1" s="1"/>
  <c r="D310" i="1"/>
  <c r="J310" i="1" s="1"/>
  <c r="K310" i="1" s="1"/>
  <c r="M309" i="1"/>
  <c r="H309" i="1"/>
  <c r="I309" i="1" s="1"/>
  <c r="K309" i="1" s="1"/>
  <c r="D309" i="1"/>
  <c r="J309" i="1" s="1"/>
  <c r="M308" i="1"/>
  <c r="J308" i="1"/>
  <c r="H308" i="1"/>
  <c r="I308" i="1" s="1"/>
  <c r="D308" i="1"/>
  <c r="Q308" i="1" s="1"/>
  <c r="S308" i="1" s="1"/>
  <c r="M307" i="1"/>
  <c r="H307" i="1"/>
  <c r="I307" i="1" s="1"/>
  <c r="D307" i="1"/>
  <c r="M306" i="1"/>
  <c r="H306" i="1"/>
  <c r="I306" i="1" s="1"/>
  <c r="D306" i="1"/>
  <c r="M305" i="1"/>
  <c r="H305" i="1"/>
  <c r="I305" i="1" s="1"/>
  <c r="D305" i="1"/>
  <c r="Q305" i="1" s="1"/>
  <c r="S305" i="1" s="1"/>
  <c r="M304" i="1"/>
  <c r="H304" i="1"/>
  <c r="I304" i="1" s="1"/>
  <c r="D304" i="1"/>
  <c r="Q304" i="1" s="1"/>
  <c r="S304" i="1" s="1"/>
  <c r="Q303" i="1"/>
  <c r="S303" i="1" s="1"/>
  <c r="M303" i="1"/>
  <c r="H303" i="1"/>
  <c r="I303" i="1" s="1"/>
  <c r="D303" i="1"/>
  <c r="Q302" i="1"/>
  <c r="S302" i="1" s="1"/>
  <c r="M302" i="1"/>
  <c r="K302" i="1"/>
  <c r="J302" i="1"/>
  <c r="H302" i="1"/>
  <c r="I302" i="1" s="1"/>
  <c r="D302" i="1"/>
  <c r="Q301" i="1"/>
  <c r="S301" i="1" s="1"/>
  <c r="M301" i="1"/>
  <c r="H301" i="1"/>
  <c r="I301" i="1" s="1"/>
  <c r="D301" i="1"/>
  <c r="M300" i="1"/>
  <c r="H300" i="1"/>
  <c r="I300" i="1" s="1"/>
  <c r="D300" i="1"/>
  <c r="Q300" i="1" s="1"/>
  <c r="S300" i="1" s="1"/>
  <c r="M299" i="1"/>
  <c r="H299" i="1"/>
  <c r="I299" i="1" s="1"/>
  <c r="D299" i="1"/>
  <c r="Q299" i="1" s="1"/>
  <c r="S299" i="1" s="1"/>
  <c r="M298" i="1"/>
  <c r="H298" i="1"/>
  <c r="I298" i="1" s="1"/>
  <c r="D298" i="1"/>
  <c r="M297" i="1"/>
  <c r="H297" i="1"/>
  <c r="I297" i="1" s="1"/>
  <c r="D297" i="1"/>
  <c r="Q297" i="1" s="1"/>
  <c r="S297" i="1" s="1"/>
  <c r="M296" i="1"/>
  <c r="H296" i="1"/>
  <c r="I296" i="1" s="1"/>
  <c r="D296" i="1"/>
  <c r="M295" i="1"/>
  <c r="H295" i="1"/>
  <c r="I295" i="1" s="1"/>
  <c r="D295" i="1"/>
  <c r="Q295" i="1" s="1"/>
  <c r="S295" i="1" s="1"/>
  <c r="M294" i="1"/>
  <c r="H294" i="1"/>
  <c r="I294" i="1" s="1"/>
  <c r="D294" i="1"/>
  <c r="M293" i="1"/>
  <c r="H293" i="1"/>
  <c r="I293" i="1" s="1"/>
  <c r="D293" i="1"/>
  <c r="Q293" i="1" s="1"/>
  <c r="S293" i="1" s="1"/>
  <c r="M292" i="1"/>
  <c r="H292" i="1"/>
  <c r="I292" i="1" s="1"/>
  <c r="D292" i="1"/>
  <c r="Q292" i="1" s="1"/>
  <c r="S292" i="1" s="1"/>
  <c r="M291" i="1"/>
  <c r="H291" i="1"/>
  <c r="I291" i="1" s="1"/>
  <c r="D291" i="1"/>
  <c r="J291" i="1" s="1"/>
  <c r="M290" i="1"/>
  <c r="H290" i="1"/>
  <c r="I290" i="1" s="1"/>
  <c r="K290" i="1" s="1"/>
  <c r="D290" i="1"/>
  <c r="J290" i="1" s="1"/>
  <c r="M289" i="1"/>
  <c r="H289" i="1"/>
  <c r="I289" i="1" s="1"/>
  <c r="D289" i="1"/>
  <c r="J289" i="1" s="1"/>
  <c r="M288" i="1"/>
  <c r="H288" i="1"/>
  <c r="I288" i="1" s="1"/>
  <c r="K288" i="1" s="1"/>
  <c r="D288" i="1"/>
  <c r="J288" i="1" s="1"/>
  <c r="M287" i="1"/>
  <c r="H287" i="1"/>
  <c r="I287" i="1" s="1"/>
  <c r="D287" i="1"/>
  <c r="J287" i="1" s="1"/>
  <c r="M286" i="1"/>
  <c r="H286" i="1"/>
  <c r="I286" i="1" s="1"/>
  <c r="K286" i="1" s="1"/>
  <c r="D286" i="1"/>
  <c r="J286" i="1" s="1"/>
  <c r="M285" i="1"/>
  <c r="H285" i="1"/>
  <c r="I285" i="1" s="1"/>
  <c r="D285" i="1"/>
  <c r="Q285" i="1" s="1"/>
  <c r="S285" i="1" s="1"/>
  <c r="M284" i="1"/>
  <c r="H284" i="1"/>
  <c r="I284" i="1" s="1"/>
  <c r="K284" i="1" s="1"/>
  <c r="D284" i="1"/>
  <c r="J284" i="1" s="1"/>
  <c r="M283" i="1"/>
  <c r="H283" i="1"/>
  <c r="I283" i="1" s="1"/>
  <c r="D283" i="1"/>
  <c r="J283" i="1" s="1"/>
  <c r="M282" i="1"/>
  <c r="H282" i="1"/>
  <c r="I282" i="1" s="1"/>
  <c r="D282" i="1"/>
  <c r="Q282" i="1" s="1"/>
  <c r="S282" i="1" s="1"/>
  <c r="M281" i="1"/>
  <c r="H281" i="1"/>
  <c r="I281" i="1" s="1"/>
  <c r="D281" i="1"/>
  <c r="J281" i="1" s="1"/>
  <c r="M280" i="1"/>
  <c r="H280" i="1"/>
  <c r="I280" i="1" s="1"/>
  <c r="K280" i="1" s="1"/>
  <c r="D280" i="1"/>
  <c r="J280" i="1" s="1"/>
  <c r="M279" i="1"/>
  <c r="H279" i="1"/>
  <c r="I279" i="1" s="1"/>
  <c r="D279" i="1"/>
  <c r="M278" i="1"/>
  <c r="H278" i="1"/>
  <c r="I278" i="1" s="1"/>
  <c r="D278" i="1"/>
  <c r="M277" i="1"/>
  <c r="H277" i="1"/>
  <c r="I277" i="1" s="1"/>
  <c r="D277" i="1"/>
  <c r="M276" i="1"/>
  <c r="H276" i="1"/>
  <c r="I276" i="1" s="1"/>
  <c r="D276" i="1"/>
  <c r="M275" i="1"/>
  <c r="H275" i="1"/>
  <c r="I275" i="1" s="1"/>
  <c r="D275" i="1"/>
  <c r="M274" i="1"/>
  <c r="H274" i="1"/>
  <c r="I274" i="1" s="1"/>
  <c r="D274" i="1"/>
  <c r="M273" i="1"/>
  <c r="H273" i="1"/>
  <c r="I273" i="1" s="1"/>
  <c r="D273" i="1"/>
  <c r="M272" i="1"/>
  <c r="H272" i="1"/>
  <c r="I272" i="1" s="1"/>
  <c r="D272" i="1"/>
  <c r="M271" i="1"/>
  <c r="H271" i="1"/>
  <c r="I271" i="1" s="1"/>
  <c r="D271" i="1"/>
  <c r="M270" i="1"/>
  <c r="H270" i="1"/>
  <c r="I270" i="1" s="1"/>
  <c r="D270" i="1"/>
  <c r="M269" i="1"/>
  <c r="H269" i="1"/>
  <c r="I269" i="1" s="1"/>
  <c r="D269" i="1"/>
  <c r="M268" i="1"/>
  <c r="H268" i="1"/>
  <c r="I268" i="1" s="1"/>
  <c r="D268" i="1"/>
  <c r="M267" i="1"/>
  <c r="H267" i="1"/>
  <c r="I267" i="1" s="1"/>
  <c r="D267" i="1"/>
  <c r="M266" i="1"/>
  <c r="H266" i="1"/>
  <c r="I266" i="1" s="1"/>
  <c r="D266" i="1"/>
  <c r="M265" i="1"/>
  <c r="H265" i="1"/>
  <c r="I265" i="1" s="1"/>
  <c r="D265" i="1"/>
  <c r="M264" i="1"/>
  <c r="H264" i="1"/>
  <c r="I264" i="1" s="1"/>
  <c r="D264" i="1"/>
  <c r="M263" i="1"/>
  <c r="H263" i="1"/>
  <c r="I263" i="1" s="1"/>
  <c r="D263" i="1"/>
  <c r="Q263" i="1" s="1"/>
  <c r="S263" i="1" s="1"/>
  <c r="M262" i="1"/>
  <c r="H262" i="1"/>
  <c r="I262" i="1" s="1"/>
  <c r="D262" i="1"/>
  <c r="Q262" i="1" s="1"/>
  <c r="S262" i="1" s="1"/>
  <c r="M261" i="1"/>
  <c r="H261" i="1"/>
  <c r="I261" i="1" s="1"/>
  <c r="D261" i="1"/>
  <c r="Q261" i="1" s="1"/>
  <c r="S261" i="1" s="1"/>
  <c r="M260" i="1"/>
  <c r="H260" i="1"/>
  <c r="I260" i="1" s="1"/>
  <c r="D260" i="1"/>
  <c r="Q260" i="1" s="1"/>
  <c r="S260" i="1" s="1"/>
  <c r="M259" i="1"/>
  <c r="H259" i="1"/>
  <c r="I259" i="1" s="1"/>
  <c r="D259" i="1"/>
  <c r="Q259" i="1" s="1"/>
  <c r="S259" i="1" s="1"/>
  <c r="M258" i="1"/>
  <c r="H258" i="1"/>
  <c r="I258" i="1" s="1"/>
  <c r="D258" i="1"/>
  <c r="Q258" i="1" s="1"/>
  <c r="S258" i="1" s="1"/>
  <c r="M257" i="1"/>
  <c r="H257" i="1"/>
  <c r="I257" i="1" s="1"/>
  <c r="D257" i="1"/>
  <c r="Q257" i="1" s="1"/>
  <c r="S257" i="1" s="1"/>
  <c r="M256" i="1"/>
  <c r="H256" i="1"/>
  <c r="I256" i="1" s="1"/>
  <c r="D256" i="1"/>
  <c r="Q256" i="1" s="1"/>
  <c r="S256" i="1" s="1"/>
  <c r="M255" i="1"/>
  <c r="H255" i="1"/>
  <c r="I255" i="1" s="1"/>
  <c r="D255" i="1"/>
  <c r="Q255" i="1" s="1"/>
  <c r="S255" i="1" s="1"/>
  <c r="M254" i="1"/>
  <c r="H254" i="1"/>
  <c r="I254" i="1" s="1"/>
  <c r="D254" i="1"/>
  <c r="Q254" i="1" s="1"/>
  <c r="S254" i="1" s="1"/>
  <c r="M253" i="1"/>
  <c r="H253" i="1"/>
  <c r="I253" i="1" s="1"/>
  <c r="D253" i="1"/>
  <c r="Q253" i="1" s="1"/>
  <c r="S253" i="1" s="1"/>
  <c r="M252" i="1"/>
  <c r="H252" i="1"/>
  <c r="I252" i="1" s="1"/>
  <c r="D252" i="1"/>
  <c r="Q252" i="1" s="1"/>
  <c r="S252" i="1" s="1"/>
  <c r="M251" i="1"/>
  <c r="H251" i="1"/>
  <c r="I251" i="1" s="1"/>
  <c r="D251" i="1"/>
  <c r="Q251" i="1" s="1"/>
  <c r="S251" i="1" s="1"/>
  <c r="V250" i="1"/>
  <c r="M250" i="1"/>
  <c r="H250" i="1"/>
  <c r="I250" i="1" s="1"/>
  <c r="D250" i="1"/>
  <c r="M249" i="1"/>
  <c r="I249" i="1"/>
  <c r="H249" i="1"/>
  <c r="D249" i="1"/>
  <c r="Q249" i="1" s="1"/>
  <c r="S249" i="1" s="1"/>
  <c r="M248" i="1"/>
  <c r="I248" i="1"/>
  <c r="H248" i="1"/>
  <c r="D248" i="1"/>
  <c r="M247" i="1"/>
  <c r="H247" i="1"/>
  <c r="I247" i="1" s="1"/>
  <c r="D247" i="1"/>
  <c r="Q247" i="1" s="1"/>
  <c r="S247" i="1" s="1"/>
  <c r="M246" i="1"/>
  <c r="H246" i="1"/>
  <c r="I246" i="1" s="1"/>
  <c r="D246" i="1"/>
  <c r="M245" i="1"/>
  <c r="I245" i="1"/>
  <c r="H245" i="1"/>
  <c r="D245" i="1"/>
  <c r="Q245" i="1" s="1"/>
  <c r="S245" i="1" s="1"/>
  <c r="M244" i="1"/>
  <c r="I244" i="1"/>
  <c r="H244" i="1"/>
  <c r="D244" i="1"/>
  <c r="M243" i="1"/>
  <c r="H243" i="1"/>
  <c r="I243" i="1" s="1"/>
  <c r="D243" i="1"/>
  <c r="Q243" i="1" s="1"/>
  <c r="S243" i="1" s="1"/>
  <c r="M242" i="1"/>
  <c r="H242" i="1"/>
  <c r="I242" i="1" s="1"/>
  <c r="D242" i="1"/>
  <c r="M241" i="1"/>
  <c r="I241" i="1"/>
  <c r="H241" i="1"/>
  <c r="D241" i="1"/>
  <c r="Q241" i="1" s="1"/>
  <c r="S241" i="1" s="1"/>
  <c r="M240" i="1"/>
  <c r="I240" i="1"/>
  <c r="H240" i="1"/>
  <c r="D240" i="1"/>
  <c r="M239" i="1"/>
  <c r="H239" i="1"/>
  <c r="I239" i="1" s="1"/>
  <c r="D239" i="1"/>
  <c r="Q239" i="1" s="1"/>
  <c r="S239" i="1" s="1"/>
  <c r="M238" i="1"/>
  <c r="H238" i="1"/>
  <c r="I238" i="1" s="1"/>
  <c r="D238" i="1"/>
  <c r="Q238" i="1" s="1"/>
  <c r="S238" i="1" s="1"/>
  <c r="M237" i="1"/>
  <c r="H237" i="1"/>
  <c r="I237" i="1" s="1"/>
  <c r="D237" i="1"/>
  <c r="Q237" i="1" s="1"/>
  <c r="S237" i="1" s="1"/>
  <c r="M236" i="1"/>
  <c r="H236" i="1"/>
  <c r="I236" i="1" s="1"/>
  <c r="D236" i="1"/>
  <c r="Q236" i="1" s="1"/>
  <c r="S236" i="1" s="1"/>
  <c r="M235" i="1"/>
  <c r="H235" i="1"/>
  <c r="I235" i="1" s="1"/>
  <c r="D235" i="1"/>
  <c r="M234" i="1"/>
  <c r="H234" i="1"/>
  <c r="I234" i="1" s="1"/>
  <c r="D234" i="1"/>
  <c r="M233" i="1"/>
  <c r="H233" i="1"/>
  <c r="I233" i="1" s="1"/>
  <c r="D233" i="1"/>
  <c r="M232" i="1"/>
  <c r="H232" i="1"/>
  <c r="I232" i="1" s="1"/>
  <c r="D232" i="1"/>
  <c r="M231" i="1"/>
  <c r="H231" i="1"/>
  <c r="I231" i="1" s="1"/>
  <c r="D231" i="1"/>
  <c r="M230" i="1"/>
  <c r="H230" i="1"/>
  <c r="I230" i="1" s="1"/>
  <c r="D230" i="1"/>
  <c r="M229" i="1"/>
  <c r="H229" i="1"/>
  <c r="I229" i="1" s="1"/>
  <c r="D229" i="1"/>
  <c r="M228" i="1"/>
  <c r="H228" i="1"/>
  <c r="I228" i="1" s="1"/>
  <c r="D228" i="1"/>
  <c r="M227" i="1"/>
  <c r="H227" i="1"/>
  <c r="I227" i="1" s="1"/>
  <c r="D227" i="1"/>
  <c r="M226" i="1"/>
  <c r="H226" i="1"/>
  <c r="I226" i="1" s="1"/>
  <c r="D226" i="1"/>
  <c r="M225" i="1"/>
  <c r="H225" i="1"/>
  <c r="I225" i="1" s="1"/>
  <c r="K225" i="1" s="1"/>
  <c r="D225" i="1"/>
  <c r="J225" i="1" s="1"/>
  <c r="M224" i="1"/>
  <c r="H224" i="1"/>
  <c r="I224" i="1" s="1"/>
  <c r="D224" i="1"/>
  <c r="M223" i="1"/>
  <c r="H223" i="1"/>
  <c r="I223" i="1" s="1"/>
  <c r="K223" i="1" s="1"/>
  <c r="D223" i="1"/>
  <c r="J223" i="1" s="1"/>
  <c r="M222" i="1"/>
  <c r="H222" i="1"/>
  <c r="I222" i="1" s="1"/>
  <c r="D222" i="1"/>
  <c r="M221" i="1"/>
  <c r="H221" i="1"/>
  <c r="I221" i="1" s="1"/>
  <c r="D221" i="1"/>
  <c r="M220" i="1"/>
  <c r="H220" i="1"/>
  <c r="I220" i="1" s="1"/>
  <c r="D220" i="1"/>
  <c r="M219" i="1"/>
  <c r="H219" i="1"/>
  <c r="I219" i="1" s="1"/>
  <c r="D219" i="1"/>
  <c r="M218" i="1"/>
  <c r="H218" i="1"/>
  <c r="I218" i="1" s="1"/>
  <c r="D218" i="1"/>
  <c r="J218" i="1" s="1"/>
  <c r="M217" i="1"/>
  <c r="H217" i="1"/>
  <c r="I217" i="1" s="1"/>
  <c r="D217" i="1"/>
  <c r="M216" i="1"/>
  <c r="H216" i="1"/>
  <c r="I216" i="1" s="1"/>
  <c r="D216" i="1"/>
  <c r="J216" i="1" s="1"/>
  <c r="M215" i="1"/>
  <c r="H215" i="1"/>
  <c r="I215" i="1" s="1"/>
  <c r="K215" i="1" s="1"/>
  <c r="D215" i="1"/>
  <c r="J215" i="1" s="1"/>
  <c r="M214" i="1"/>
  <c r="H214" i="1"/>
  <c r="I214" i="1" s="1"/>
  <c r="D214" i="1"/>
  <c r="M213" i="1"/>
  <c r="H213" i="1"/>
  <c r="I213" i="1" s="1"/>
  <c r="D213" i="1"/>
  <c r="M212" i="1"/>
  <c r="H212" i="1"/>
  <c r="I212" i="1" s="1"/>
  <c r="D212" i="1"/>
  <c r="M211" i="1"/>
  <c r="H211" i="1"/>
  <c r="I211" i="1" s="1"/>
  <c r="D211" i="1"/>
  <c r="M210" i="1"/>
  <c r="H210" i="1"/>
  <c r="I210" i="1" s="1"/>
  <c r="D210" i="1"/>
  <c r="M209" i="1"/>
  <c r="H209" i="1"/>
  <c r="I209" i="1" s="1"/>
  <c r="D209" i="1"/>
  <c r="M208" i="1"/>
  <c r="H208" i="1"/>
  <c r="I208" i="1" s="1"/>
  <c r="D208" i="1"/>
  <c r="M207" i="1"/>
  <c r="H207" i="1"/>
  <c r="I207" i="1" s="1"/>
  <c r="D207" i="1"/>
  <c r="M206" i="1"/>
  <c r="H206" i="1"/>
  <c r="I206" i="1" s="1"/>
  <c r="D206" i="1"/>
  <c r="M205" i="1"/>
  <c r="H205" i="1"/>
  <c r="I205" i="1" s="1"/>
  <c r="D205" i="1"/>
  <c r="M204" i="1"/>
  <c r="H204" i="1"/>
  <c r="I204" i="1" s="1"/>
  <c r="D204" i="1"/>
  <c r="M203" i="1"/>
  <c r="H203" i="1"/>
  <c r="I203" i="1" s="1"/>
  <c r="D203" i="1"/>
  <c r="M202" i="1"/>
  <c r="H202" i="1"/>
  <c r="I202" i="1" s="1"/>
  <c r="D202" i="1"/>
  <c r="M201" i="1"/>
  <c r="H201" i="1"/>
  <c r="I201" i="1" s="1"/>
  <c r="D201" i="1"/>
  <c r="M200" i="1"/>
  <c r="H200" i="1"/>
  <c r="I200" i="1" s="1"/>
  <c r="D200" i="1"/>
  <c r="M199" i="1"/>
  <c r="H199" i="1"/>
  <c r="I199" i="1" s="1"/>
  <c r="D199" i="1"/>
  <c r="M198" i="1"/>
  <c r="H198" i="1"/>
  <c r="I198" i="1" s="1"/>
  <c r="D198" i="1"/>
  <c r="M197" i="1"/>
  <c r="H197" i="1"/>
  <c r="I197" i="1" s="1"/>
  <c r="D197" i="1"/>
  <c r="M196" i="1"/>
  <c r="H196" i="1"/>
  <c r="I196" i="1" s="1"/>
  <c r="D196" i="1"/>
  <c r="M195" i="1"/>
  <c r="H195" i="1"/>
  <c r="I195" i="1" s="1"/>
  <c r="D195" i="1"/>
  <c r="M194" i="1"/>
  <c r="H194" i="1"/>
  <c r="I194" i="1" s="1"/>
  <c r="D194" i="1"/>
  <c r="M193" i="1"/>
  <c r="H193" i="1"/>
  <c r="I193" i="1" s="1"/>
  <c r="D193" i="1"/>
  <c r="M192" i="1"/>
  <c r="H192" i="1"/>
  <c r="I192" i="1" s="1"/>
  <c r="D192" i="1"/>
  <c r="M191" i="1"/>
  <c r="H191" i="1"/>
  <c r="I191" i="1" s="1"/>
  <c r="D191" i="1"/>
  <c r="M190" i="1"/>
  <c r="H190" i="1"/>
  <c r="I190" i="1" s="1"/>
  <c r="D190" i="1"/>
  <c r="M189" i="1"/>
  <c r="H189" i="1"/>
  <c r="I189" i="1" s="1"/>
  <c r="D189" i="1"/>
  <c r="M188" i="1"/>
  <c r="H188" i="1"/>
  <c r="I188" i="1" s="1"/>
  <c r="D188" i="1"/>
  <c r="M187" i="1"/>
  <c r="H187" i="1"/>
  <c r="I187" i="1" s="1"/>
  <c r="D187" i="1"/>
  <c r="M186" i="1"/>
  <c r="H186" i="1"/>
  <c r="I186" i="1" s="1"/>
  <c r="D186" i="1"/>
  <c r="M185" i="1"/>
  <c r="H185" i="1"/>
  <c r="I185" i="1" s="1"/>
  <c r="D185" i="1"/>
  <c r="M184" i="1"/>
  <c r="H184" i="1"/>
  <c r="I184" i="1" s="1"/>
  <c r="D184" i="1"/>
  <c r="M183" i="1"/>
  <c r="H183" i="1"/>
  <c r="I183" i="1" s="1"/>
  <c r="D183" i="1"/>
  <c r="M182" i="1"/>
  <c r="H182" i="1"/>
  <c r="I182" i="1" s="1"/>
  <c r="D182" i="1"/>
  <c r="M181" i="1"/>
  <c r="H181" i="1"/>
  <c r="I181" i="1" s="1"/>
  <c r="K181" i="1" s="1"/>
  <c r="D181" i="1"/>
  <c r="J181" i="1" s="1"/>
  <c r="M180" i="1"/>
  <c r="H180" i="1"/>
  <c r="I180" i="1" s="1"/>
  <c r="D180" i="1"/>
  <c r="J180" i="1" s="1"/>
  <c r="M179" i="1"/>
  <c r="H179" i="1"/>
  <c r="I179" i="1" s="1"/>
  <c r="D179" i="1"/>
  <c r="M178" i="1"/>
  <c r="H178" i="1"/>
  <c r="I178" i="1" s="1"/>
  <c r="D178" i="1"/>
  <c r="M177" i="1"/>
  <c r="H177" i="1"/>
  <c r="I177" i="1" s="1"/>
  <c r="D177" i="1"/>
  <c r="M176" i="1"/>
  <c r="H176" i="1"/>
  <c r="I176" i="1" s="1"/>
  <c r="D176" i="1"/>
  <c r="J176" i="1" s="1"/>
  <c r="M175" i="1"/>
  <c r="H175" i="1"/>
  <c r="I175" i="1" s="1"/>
  <c r="K175" i="1" s="1"/>
  <c r="D175" i="1"/>
  <c r="J175" i="1" s="1"/>
  <c r="M174" i="1"/>
  <c r="H174" i="1"/>
  <c r="I174" i="1" s="1"/>
  <c r="D174" i="1"/>
  <c r="M173" i="1"/>
  <c r="H173" i="1"/>
  <c r="I173" i="1" s="1"/>
  <c r="D173" i="1"/>
  <c r="M172" i="1"/>
  <c r="H172" i="1"/>
  <c r="I172" i="1" s="1"/>
  <c r="D172" i="1"/>
  <c r="M171" i="1"/>
  <c r="H171" i="1"/>
  <c r="I171" i="1" s="1"/>
  <c r="D171" i="1"/>
  <c r="M170" i="1"/>
  <c r="H170" i="1"/>
  <c r="I170" i="1" s="1"/>
  <c r="D170" i="1"/>
  <c r="M169" i="1"/>
  <c r="H169" i="1"/>
  <c r="I169" i="1" s="1"/>
  <c r="D169" i="1"/>
  <c r="M168" i="1"/>
  <c r="H168" i="1"/>
  <c r="I168" i="1" s="1"/>
  <c r="D168" i="1"/>
  <c r="M167" i="1"/>
  <c r="H167" i="1"/>
  <c r="I167" i="1" s="1"/>
  <c r="D167" i="1"/>
  <c r="M166" i="1"/>
  <c r="H166" i="1"/>
  <c r="I166" i="1" s="1"/>
  <c r="D166" i="1"/>
  <c r="M165" i="1"/>
  <c r="H165" i="1"/>
  <c r="I165" i="1" s="1"/>
  <c r="D165" i="1"/>
  <c r="M164" i="1"/>
  <c r="H164" i="1"/>
  <c r="I164" i="1" s="1"/>
  <c r="D164" i="1"/>
  <c r="M163" i="1"/>
  <c r="H163" i="1"/>
  <c r="I163" i="1" s="1"/>
  <c r="D163" i="1"/>
  <c r="M162" i="1"/>
  <c r="H162" i="1"/>
  <c r="I162" i="1" s="1"/>
  <c r="D162" i="1"/>
  <c r="M161" i="1"/>
  <c r="H161" i="1"/>
  <c r="I161" i="1" s="1"/>
  <c r="D161" i="1"/>
  <c r="M160" i="1"/>
  <c r="H160" i="1"/>
  <c r="I160" i="1" s="1"/>
  <c r="D160" i="1"/>
  <c r="M159" i="1"/>
  <c r="H159" i="1"/>
  <c r="I159" i="1" s="1"/>
  <c r="D159" i="1"/>
  <c r="M158" i="1"/>
  <c r="H158" i="1"/>
  <c r="I158" i="1" s="1"/>
  <c r="D158" i="1"/>
  <c r="M157" i="1"/>
  <c r="H157" i="1"/>
  <c r="I157" i="1" s="1"/>
  <c r="D157" i="1"/>
  <c r="M156" i="1"/>
  <c r="H156" i="1"/>
  <c r="I156" i="1" s="1"/>
  <c r="D156" i="1"/>
  <c r="M155" i="1"/>
  <c r="H155" i="1"/>
  <c r="I155" i="1" s="1"/>
  <c r="D155" i="1"/>
  <c r="M154" i="1"/>
  <c r="H154" i="1"/>
  <c r="I154" i="1" s="1"/>
  <c r="D154" i="1"/>
  <c r="M153" i="1"/>
  <c r="H153" i="1"/>
  <c r="I153" i="1" s="1"/>
  <c r="D153" i="1"/>
  <c r="M152" i="1"/>
  <c r="H152" i="1"/>
  <c r="I152" i="1" s="1"/>
  <c r="D152" i="1"/>
  <c r="M151" i="1"/>
  <c r="H151" i="1"/>
  <c r="I151" i="1" s="1"/>
  <c r="D151" i="1"/>
  <c r="M150" i="1"/>
  <c r="H150" i="1"/>
  <c r="I150" i="1" s="1"/>
  <c r="D150" i="1"/>
  <c r="M149" i="1"/>
  <c r="H149" i="1"/>
  <c r="I149" i="1" s="1"/>
  <c r="D149" i="1"/>
  <c r="M148" i="1"/>
  <c r="H148" i="1"/>
  <c r="I148" i="1" s="1"/>
  <c r="D148" i="1"/>
  <c r="M147" i="1"/>
  <c r="H147" i="1"/>
  <c r="I147" i="1" s="1"/>
  <c r="D147" i="1"/>
  <c r="M146" i="1"/>
  <c r="H146" i="1"/>
  <c r="I146" i="1" s="1"/>
  <c r="D146" i="1"/>
  <c r="M145" i="1"/>
  <c r="H145" i="1"/>
  <c r="I145" i="1" s="1"/>
  <c r="D145" i="1"/>
  <c r="M144" i="1"/>
  <c r="H144" i="1"/>
  <c r="I144" i="1" s="1"/>
  <c r="D144" i="1"/>
  <c r="M143" i="1"/>
  <c r="H143" i="1"/>
  <c r="I143" i="1" s="1"/>
  <c r="D143" i="1"/>
  <c r="M142" i="1"/>
  <c r="H142" i="1"/>
  <c r="I142" i="1" s="1"/>
  <c r="D142" i="1"/>
  <c r="M141" i="1"/>
  <c r="H141" i="1"/>
  <c r="I141" i="1" s="1"/>
  <c r="D141" i="1"/>
  <c r="M140" i="1"/>
  <c r="H140" i="1"/>
  <c r="I140" i="1" s="1"/>
  <c r="D140" i="1"/>
  <c r="M139" i="1"/>
  <c r="H139" i="1"/>
  <c r="I139" i="1" s="1"/>
  <c r="D139" i="1"/>
  <c r="M138" i="1"/>
  <c r="H138" i="1"/>
  <c r="I138" i="1" s="1"/>
  <c r="D138" i="1"/>
  <c r="M137" i="1"/>
  <c r="H137" i="1"/>
  <c r="I137" i="1" s="1"/>
  <c r="D137" i="1"/>
  <c r="M136" i="1"/>
  <c r="H136" i="1"/>
  <c r="I136" i="1" s="1"/>
  <c r="D136" i="1"/>
  <c r="M135" i="1"/>
  <c r="H135" i="1"/>
  <c r="I135" i="1" s="1"/>
  <c r="D135" i="1"/>
  <c r="M134" i="1"/>
  <c r="H134" i="1"/>
  <c r="I134" i="1" s="1"/>
  <c r="D134" i="1"/>
  <c r="M133" i="1"/>
  <c r="H133" i="1"/>
  <c r="I133" i="1" s="1"/>
  <c r="D133" i="1"/>
  <c r="Q133" i="1" s="1"/>
  <c r="S133" i="1" s="1"/>
  <c r="M132" i="1"/>
  <c r="J132" i="1"/>
  <c r="H132" i="1"/>
  <c r="I132" i="1" s="1"/>
  <c r="D132" i="1"/>
  <c r="Q132" i="1" s="1"/>
  <c r="S132" i="1" s="1"/>
  <c r="M131" i="1"/>
  <c r="J131" i="1"/>
  <c r="H131" i="1"/>
  <c r="I131" i="1" s="1"/>
  <c r="D131" i="1"/>
  <c r="Q131" i="1" s="1"/>
  <c r="S131" i="1" s="1"/>
  <c r="M130" i="1"/>
  <c r="I130" i="1"/>
  <c r="H130" i="1"/>
  <c r="D130" i="1"/>
  <c r="Q130" i="1" s="1"/>
  <c r="S130" i="1" s="1"/>
  <c r="M129" i="1"/>
  <c r="J129" i="1"/>
  <c r="H129" i="1"/>
  <c r="I129" i="1" s="1"/>
  <c r="D129" i="1"/>
  <c r="Q129" i="1" s="1"/>
  <c r="S129" i="1" s="1"/>
  <c r="M128" i="1"/>
  <c r="I128" i="1"/>
  <c r="H128" i="1"/>
  <c r="D128" i="1"/>
  <c r="Q128" i="1" s="1"/>
  <c r="S128" i="1" s="1"/>
  <c r="M127" i="1"/>
  <c r="J127" i="1"/>
  <c r="H127" i="1"/>
  <c r="I127" i="1" s="1"/>
  <c r="D127" i="1"/>
  <c r="Q127" i="1" s="1"/>
  <c r="S127" i="1" s="1"/>
  <c r="M126" i="1"/>
  <c r="I126" i="1"/>
  <c r="H126" i="1"/>
  <c r="D126" i="1"/>
  <c r="Q126" i="1" s="1"/>
  <c r="S126" i="1" s="1"/>
  <c r="M125" i="1"/>
  <c r="H125" i="1"/>
  <c r="I125" i="1" s="1"/>
  <c r="D125" i="1"/>
  <c r="Q125" i="1" s="1"/>
  <c r="S125" i="1" s="1"/>
  <c r="M124" i="1"/>
  <c r="H124" i="1"/>
  <c r="I124" i="1" s="1"/>
  <c r="D124" i="1"/>
  <c r="Q124" i="1" s="1"/>
  <c r="S124" i="1" s="1"/>
  <c r="M123" i="1"/>
  <c r="H123" i="1"/>
  <c r="I123" i="1" s="1"/>
  <c r="D123" i="1"/>
  <c r="Q123" i="1" s="1"/>
  <c r="S123" i="1" s="1"/>
  <c r="M122" i="1"/>
  <c r="I122" i="1"/>
  <c r="H122" i="1"/>
  <c r="D122" i="1"/>
  <c r="J122" i="1" s="1"/>
  <c r="M121" i="1"/>
  <c r="H121" i="1"/>
  <c r="I121" i="1" s="1"/>
  <c r="D121" i="1"/>
  <c r="Q121" i="1" s="1"/>
  <c r="S121" i="1" s="1"/>
  <c r="M120" i="1"/>
  <c r="H120" i="1"/>
  <c r="I120" i="1" s="1"/>
  <c r="D120" i="1"/>
  <c r="J120" i="1" s="1"/>
  <c r="M119" i="1"/>
  <c r="H119" i="1"/>
  <c r="I119" i="1" s="1"/>
  <c r="D119" i="1"/>
  <c r="Q119" i="1" s="1"/>
  <c r="S119" i="1" s="1"/>
  <c r="M118" i="1"/>
  <c r="J118" i="1"/>
  <c r="H118" i="1"/>
  <c r="I118" i="1" s="1"/>
  <c r="K118" i="1" s="1"/>
  <c r="D118" i="1"/>
  <c r="Q118" i="1" s="1"/>
  <c r="S118" i="1" s="1"/>
  <c r="M117" i="1"/>
  <c r="J117" i="1"/>
  <c r="H117" i="1"/>
  <c r="I117" i="1" s="1"/>
  <c r="D117" i="1"/>
  <c r="Q117" i="1" s="1"/>
  <c r="S117" i="1" s="1"/>
  <c r="M116" i="1"/>
  <c r="J116" i="1"/>
  <c r="H116" i="1"/>
  <c r="I116" i="1" s="1"/>
  <c r="D116" i="1"/>
  <c r="Q116" i="1" s="1"/>
  <c r="S116" i="1" s="1"/>
  <c r="M115" i="1"/>
  <c r="J115" i="1"/>
  <c r="H115" i="1"/>
  <c r="I115" i="1" s="1"/>
  <c r="D115" i="1"/>
  <c r="Q115" i="1" s="1"/>
  <c r="S115" i="1" s="1"/>
  <c r="M114" i="1"/>
  <c r="H114" i="1"/>
  <c r="I114" i="1" s="1"/>
  <c r="D114" i="1"/>
  <c r="Q114" i="1" s="1"/>
  <c r="S114" i="1" s="1"/>
  <c r="M113" i="1"/>
  <c r="H113" i="1"/>
  <c r="I113" i="1" s="1"/>
  <c r="D113" i="1"/>
  <c r="Q113" i="1" s="1"/>
  <c r="S113" i="1" s="1"/>
  <c r="M112" i="1"/>
  <c r="H112" i="1"/>
  <c r="I112" i="1" s="1"/>
  <c r="D112" i="1"/>
  <c r="J112" i="1" s="1"/>
  <c r="M111" i="1"/>
  <c r="H111" i="1"/>
  <c r="I111" i="1" s="1"/>
  <c r="D111" i="1"/>
  <c r="Q111" i="1" s="1"/>
  <c r="S111" i="1" s="1"/>
  <c r="M110" i="1"/>
  <c r="J110" i="1"/>
  <c r="H110" i="1"/>
  <c r="I110" i="1" s="1"/>
  <c r="K110" i="1" s="1"/>
  <c r="D110" i="1"/>
  <c r="Q110" i="1" s="1"/>
  <c r="S110" i="1" s="1"/>
  <c r="M109" i="1"/>
  <c r="J109" i="1"/>
  <c r="H109" i="1"/>
  <c r="I109" i="1" s="1"/>
  <c r="D109" i="1"/>
  <c r="Q109" i="1" s="1"/>
  <c r="S109" i="1" s="1"/>
  <c r="M108" i="1"/>
  <c r="J108" i="1"/>
  <c r="H108" i="1"/>
  <c r="I108" i="1" s="1"/>
  <c r="D108" i="1"/>
  <c r="Q108" i="1" s="1"/>
  <c r="S108" i="1" s="1"/>
  <c r="M107" i="1"/>
  <c r="H107" i="1"/>
  <c r="I107" i="1" s="1"/>
  <c r="D107" i="1"/>
  <c r="Q107" i="1" s="1"/>
  <c r="S107" i="1" s="1"/>
  <c r="M106" i="1"/>
  <c r="H106" i="1"/>
  <c r="I106" i="1" s="1"/>
  <c r="D106" i="1"/>
  <c r="Q106" i="1" s="1"/>
  <c r="S106" i="1" s="1"/>
  <c r="M105" i="1"/>
  <c r="H105" i="1"/>
  <c r="I105" i="1" s="1"/>
  <c r="D105" i="1"/>
  <c r="Q105" i="1" s="1"/>
  <c r="S105" i="1" s="1"/>
  <c r="M104" i="1"/>
  <c r="H104" i="1"/>
  <c r="I104" i="1" s="1"/>
  <c r="D104" i="1"/>
  <c r="Q104" i="1" s="1"/>
  <c r="S104" i="1" s="1"/>
  <c r="M103" i="1"/>
  <c r="H103" i="1"/>
  <c r="I103" i="1" s="1"/>
  <c r="D103" i="1"/>
  <c r="Q103" i="1" s="1"/>
  <c r="S103" i="1" s="1"/>
  <c r="M102" i="1"/>
  <c r="H102" i="1"/>
  <c r="I102" i="1" s="1"/>
  <c r="D102" i="1"/>
  <c r="Q102" i="1" s="1"/>
  <c r="S102" i="1" s="1"/>
  <c r="M101" i="1"/>
  <c r="H101" i="1"/>
  <c r="I101" i="1" s="1"/>
  <c r="D101" i="1"/>
  <c r="Q101" i="1" s="1"/>
  <c r="S101" i="1" s="1"/>
  <c r="M100" i="1"/>
  <c r="H100" i="1"/>
  <c r="I100" i="1" s="1"/>
  <c r="D100" i="1"/>
  <c r="Q100" i="1" s="1"/>
  <c r="S100" i="1" s="1"/>
  <c r="M99" i="1"/>
  <c r="H99" i="1"/>
  <c r="I99" i="1" s="1"/>
  <c r="D99" i="1"/>
  <c r="Q99" i="1" s="1"/>
  <c r="S99" i="1" s="1"/>
  <c r="M98" i="1"/>
  <c r="H98" i="1"/>
  <c r="I98" i="1" s="1"/>
  <c r="D98" i="1"/>
  <c r="Q98" i="1" s="1"/>
  <c r="S98" i="1" s="1"/>
  <c r="M97" i="1"/>
  <c r="H97" i="1"/>
  <c r="I97" i="1" s="1"/>
  <c r="D97" i="1"/>
  <c r="Q97" i="1" s="1"/>
  <c r="S97" i="1" s="1"/>
  <c r="M96" i="1"/>
  <c r="H96" i="1"/>
  <c r="I96" i="1" s="1"/>
  <c r="D96" i="1"/>
  <c r="Q96" i="1" s="1"/>
  <c r="S96" i="1" s="1"/>
  <c r="M95" i="1"/>
  <c r="H95" i="1"/>
  <c r="I95" i="1" s="1"/>
  <c r="D95" i="1"/>
  <c r="Q95" i="1" s="1"/>
  <c r="S95" i="1" s="1"/>
  <c r="M94" i="1"/>
  <c r="H94" i="1"/>
  <c r="I94" i="1" s="1"/>
  <c r="D94" i="1"/>
  <c r="Q94" i="1" s="1"/>
  <c r="S94" i="1" s="1"/>
  <c r="M93" i="1"/>
  <c r="H93" i="1"/>
  <c r="I93" i="1" s="1"/>
  <c r="D93" i="1"/>
  <c r="Q93" i="1" s="1"/>
  <c r="S93" i="1" s="1"/>
  <c r="M92" i="1"/>
  <c r="H92" i="1"/>
  <c r="I92" i="1" s="1"/>
  <c r="D92" i="1"/>
  <c r="Q92" i="1" s="1"/>
  <c r="S92" i="1" s="1"/>
  <c r="M91" i="1"/>
  <c r="H91" i="1"/>
  <c r="I91" i="1" s="1"/>
  <c r="D91" i="1"/>
  <c r="Q91" i="1" s="1"/>
  <c r="S91" i="1" s="1"/>
  <c r="M90" i="1"/>
  <c r="H90" i="1"/>
  <c r="I90" i="1" s="1"/>
  <c r="D90" i="1"/>
  <c r="Q90" i="1" s="1"/>
  <c r="S90" i="1" s="1"/>
  <c r="M89" i="1"/>
  <c r="H89" i="1"/>
  <c r="I89" i="1" s="1"/>
  <c r="D89" i="1"/>
  <c r="Q89" i="1" s="1"/>
  <c r="S89" i="1" s="1"/>
  <c r="M88" i="1"/>
  <c r="H88" i="1"/>
  <c r="I88" i="1" s="1"/>
  <c r="D88" i="1"/>
  <c r="Q88" i="1" s="1"/>
  <c r="S88" i="1" s="1"/>
  <c r="M87" i="1"/>
  <c r="H87" i="1"/>
  <c r="I87" i="1" s="1"/>
  <c r="D87" i="1"/>
  <c r="Q87" i="1" s="1"/>
  <c r="S87" i="1" s="1"/>
  <c r="M86" i="1"/>
  <c r="H86" i="1"/>
  <c r="I86" i="1" s="1"/>
  <c r="D86" i="1"/>
  <c r="Q86" i="1" s="1"/>
  <c r="S86" i="1" s="1"/>
  <c r="M85" i="1"/>
  <c r="H85" i="1"/>
  <c r="I85" i="1" s="1"/>
  <c r="D85" i="1"/>
  <c r="Q85" i="1" s="1"/>
  <c r="S85" i="1" s="1"/>
  <c r="M84" i="1"/>
  <c r="H84" i="1"/>
  <c r="I84" i="1" s="1"/>
  <c r="D84" i="1"/>
  <c r="M83" i="1"/>
  <c r="H83" i="1"/>
  <c r="I83" i="1" s="1"/>
  <c r="D83" i="1"/>
  <c r="J83" i="1" s="1"/>
  <c r="M82" i="1"/>
  <c r="H82" i="1"/>
  <c r="I82" i="1" s="1"/>
  <c r="D82" i="1"/>
  <c r="M81" i="1"/>
  <c r="H81" i="1"/>
  <c r="I81" i="1" s="1"/>
  <c r="D81" i="1"/>
  <c r="M80" i="1"/>
  <c r="H80" i="1"/>
  <c r="I80" i="1" s="1"/>
  <c r="D80" i="1"/>
  <c r="J80" i="1" s="1"/>
  <c r="M79" i="1"/>
  <c r="H79" i="1"/>
  <c r="I79" i="1" s="1"/>
  <c r="D79" i="1"/>
  <c r="J79" i="1" s="1"/>
  <c r="M78" i="1"/>
  <c r="H78" i="1"/>
  <c r="I78" i="1" s="1"/>
  <c r="D78" i="1"/>
  <c r="J78" i="1" s="1"/>
  <c r="M77" i="1"/>
  <c r="H77" i="1"/>
  <c r="I77" i="1" s="1"/>
  <c r="K77" i="1" s="1"/>
  <c r="D77" i="1"/>
  <c r="J77" i="1" s="1"/>
  <c r="M76" i="1"/>
  <c r="H76" i="1"/>
  <c r="I76" i="1" s="1"/>
  <c r="D76" i="1"/>
  <c r="M75" i="1"/>
  <c r="H75" i="1"/>
  <c r="I75" i="1" s="1"/>
  <c r="D75" i="1"/>
  <c r="J75" i="1" s="1"/>
  <c r="M74" i="1"/>
  <c r="H74" i="1"/>
  <c r="I74" i="1" s="1"/>
  <c r="D74" i="1"/>
  <c r="M73" i="1"/>
  <c r="H73" i="1"/>
  <c r="I73" i="1" s="1"/>
  <c r="D73" i="1"/>
  <c r="M72" i="1"/>
  <c r="H72" i="1"/>
  <c r="I72" i="1" s="1"/>
  <c r="D72" i="1"/>
  <c r="M71" i="1"/>
  <c r="H71" i="1"/>
  <c r="I71" i="1" s="1"/>
  <c r="D71" i="1"/>
  <c r="J71" i="1" s="1"/>
  <c r="M70" i="1"/>
  <c r="H70" i="1"/>
  <c r="I70" i="1" s="1"/>
  <c r="D70" i="1"/>
  <c r="M69" i="1"/>
  <c r="H69" i="1"/>
  <c r="I69" i="1" s="1"/>
  <c r="K69" i="1" s="1"/>
  <c r="D69" i="1"/>
  <c r="J69" i="1" s="1"/>
  <c r="M68" i="1"/>
  <c r="H68" i="1"/>
  <c r="I68" i="1" s="1"/>
  <c r="D68" i="1"/>
  <c r="M67" i="1"/>
  <c r="H67" i="1"/>
  <c r="I67" i="1" s="1"/>
  <c r="D67" i="1"/>
  <c r="J67" i="1" s="1"/>
  <c r="M66" i="1"/>
  <c r="H66" i="1"/>
  <c r="I66" i="1" s="1"/>
  <c r="D66" i="1"/>
  <c r="J66" i="1" s="1"/>
  <c r="M65" i="1"/>
  <c r="H65" i="1"/>
  <c r="I65" i="1" s="1"/>
  <c r="K65" i="1" s="1"/>
  <c r="D65" i="1"/>
  <c r="J65" i="1" s="1"/>
  <c r="M64" i="1"/>
  <c r="H64" i="1"/>
  <c r="I64" i="1" s="1"/>
  <c r="D64" i="1"/>
  <c r="M63" i="1"/>
  <c r="H63" i="1"/>
  <c r="I63" i="1" s="1"/>
  <c r="D63" i="1"/>
  <c r="M62" i="1"/>
  <c r="H62" i="1"/>
  <c r="I62" i="1" s="1"/>
  <c r="D62" i="1"/>
  <c r="J62" i="1" s="1"/>
  <c r="M61" i="1"/>
  <c r="H61" i="1"/>
  <c r="I61" i="1" s="1"/>
  <c r="K61" i="1" s="1"/>
  <c r="D61" i="1"/>
  <c r="J61" i="1" s="1"/>
  <c r="M60" i="1"/>
  <c r="H60" i="1"/>
  <c r="I60" i="1" s="1"/>
  <c r="D60" i="1"/>
  <c r="J60" i="1" s="1"/>
  <c r="M59" i="1"/>
  <c r="H59" i="1"/>
  <c r="I59" i="1" s="1"/>
  <c r="D59" i="1"/>
  <c r="M58" i="1"/>
  <c r="H58" i="1"/>
  <c r="I58" i="1" s="1"/>
  <c r="D58" i="1"/>
  <c r="M57" i="1"/>
  <c r="H57" i="1"/>
  <c r="I57" i="1" s="1"/>
  <c r="K57" i="1" s="1"/>
  <c r="D57" i="1"/>
  <c r="J57" i="1" s="1"/>
  <c r="M56" i="1"/>
  <c r="H56" i="1"/>
  <c r="I56" i="1" s="1"/>
  <c r="D56" i="1"/>
  <c r="J56" i="1" s="1"/>
  <c r="M55" i="1"/>
  <c r="H55" i="1"/>
  <c r="I55" i="1" s="1"/>
  <c r="D55" i="1"/>
  <c r="M54" i="1"/>
  <c r="H54" i="1"/>
  <c r="I54" i="1" s="1"/>
  <c r="D54" i="1"/>
  <c r="J54" i="1" s="1"/>
  <c r="M53" i="1"/>
  <c r="H53" i="1"/>
  <c r="I53" i="1" s="1"/>
  <c r="K53" i="1" s="1"/>
  <c r="D53" i="1"/>
  <c r="J53" i="1" s="1"/>
  <c r="M52" i="1"/>
  <c r="H52" i="1"/>
  <c r="I52" i="1" s="1"/>
  <c r="D52" i="1"/>
  <c r="J52" i="1" s="1"/>
  <c r="M51" i="1"/>
  <c r="H51" i="1"/>
  <c r="I51" i="1" s="1"/>
  <c r="D51" i="1"/>
  <c r="J51" i="1" s="1"/>
  <c r="M50" i="1"/>
  <c r="H50" i="1"/>
  <c r="I50" i="1" s="1"/>
  <c r="D50" i="1"/>
  <c r="J50" i="1" s="1"/>
  <c r="M49" i="1"/>
  <c r="H49" i="1"/>
  <c r="I49" i="1" s="1"/>
  <c r="K49" i="1" s="1"/>
  <c r="D49" i="1"/>
  <c r="J49" i="1" s="1"/>
  <c r="M48" i="1"/>
  <c r="H48" i="1"/>
  <c r="I48" i="1" s="1"/>
  <c r="D48" i="1"/>
  <c r="J48" i="1" s="1"/>
  <c r="M47" i="1"/>
  <c r="H47" i="1"/>
  <c r="I47" i="1" s="1"/>
  <c r="D47" i="1"/>
  <c r="J47" i="1" s="1"/>
  <c r="M46" i="1"/>
  <c r="H46" i="1"/>
  <c r="I46" i="1" s="1"/>
  <c r="D46" i="1"/>
  <c r="J46" i="1" s="1"/>
  <c r="M45" i="1"/>
  <c r="H45" i="1"/>
  <c r="I45" i="1" s="1"/>
  <c r="K45" i="1" s="1"/>
  <c r="D45" i="1"/>
  <c r="J45" i="1" s="1"/>
  <c r="M44" i="1"/>
  <c r="H44" i="1"/>
  <c r="I44" i="1" s="1"/>
  <c r="D44" i="1"/>
  <c r="J44" i="1" s="1"/>
  <c r="M43" i="1"/>
  <c r="H43" i="1"/>
  <c r="I43" i="1" s="1"/>
  <c r="D43" i="1"/>
  <c r="J43" i="1" s="1"/>
  <c r="M42" i="1"/>
  <c r="H42" i="1"/>
  <c r="I42" i="1" s="1"/>
  <c r="D42" i="1"/>
  <c r="J42" i="1" s="1"/>
  <c r="M41" i="1"/>
  <c r="H41" i="1"/>
  <c r="I41" i="1" s="1"/>
  <c r="K41" i="1" s="1"/>
  <c r="D41" i="1"/>
  <c r="J41" i="1" s="1"/>
  <c r="M40" i="1"/>
  <c r="H40" i="1"/>
  <c r="I40" i="1" s="1"/>
  <c r="D40" i="1"/>
  <c r="J40" i="1" s="1"/>
  <c r="M39" i="1"/>
  <c r="H39" i="1"/>
  <c r="I39" i="1" s="1"/>
  <c r="D39" i="1"/>
  <c r="M38" i="1"/>
  <c r="H38" i="1"/>
  <c r="I38" i="1" s="1"/>
  <c r="D38" i="1"/>
  <c r="M37" i="1"/>
  <c r="H37" i="1"/>
  <c r="I37" i="1" s="1"/>
  <c r="D37" i="1"/>
  <c r="M36" i="1"/>
  <c r="H36" i="1"/>
  <c r="I36" i="1" s="1"/>
  <c r="D36" i="1"/>
  <c r="M35" i="1"/>
  <c r="H35" i="1"/>
  <c r="I35" i="1" s="1"/>
  <c r="D35" i="1"/>
  <c r="J35" i="1" s="1"/>
  <c r="M34" i="1"/>
  <c r="H34" i="1"/>
  <c r="I34" i="1" s="1"/>
  <c r="D34" i="1"/>
  <c r="J34" i="1" s="1"/>
  <c r="M33" i="1"/>
  <c r="H33" i="1"/>
  <c r="I33" i="1" s="1"/>
  <c r="D33" i="1"/>
  <c r="M32" i="1"/>
  <c r="H32" i="1"/>
  <c r="I32" i="1" s="1"/>
  <c r="D32" i="1"/>
  <c r="M31" i="1"/>
  <c r="H31" i="1"/>
  <c r="I31" i="1" s="1"/>
  <c r="D31" i="1"/>
  <c r="J31" i="1" s="1"/>
  <c r="M30" i="1"/>
  <c r="H30" i="1"/>
  <c r="I30" i="1" s="1"/>
  <c r="D30" i="1"/>
  <c r="J30" i="1" s="1"/>
  <c r="M29" i="1"/>
  <c r="H29" i="1"/>
  <c r="I29" i="1" s="1"/>
  <c r="K29" i="1" s="1"/>
  <c r="D29" i="1"/>
  <c r="J29" i="1" s="1"/>
  <c r="M28" i="1"/>
  <c r="H28" i="1"/>
  <c r="I28" i="1" s="1"/>
  <c r="D28" i="1"/>
  <c r="J28" i="1" s="1"/>
  <c r="M27" i="1"/>
  <c r="H27" i="1"/>
  <c r="I27" i="1" s="1"/>
  <c r="D27" i="1"/>
  <c r="J27" i="1" s="1"/>
  <c r="M26" i="1"/>
  <c r="H26" i="1"/>
  <c r="I26" i="1" s="1"/>
  <c r="D26" i="1"/>
  <c r="M25" i="1"/>
  <c r="H25" i="1"/>
  <c r="I25" i="1" s="1"/>
  <c r="D25" i="1"/>
  <c r="M24" i="1"/>
  <c r="H24" i="1"/>
  <c r="I24" i="1" s="1"/>
  <c r="D24" i="1"/>
  <c r="M23" i="1"/>
  <c r="H23" i="1"/>
  <c r="I23" i="1" s="1"/>
  <c r="D23" i="1"/>
  <c r="J23" i="1" s="1"/>
  <c r="M22" i="1"/>
  <c r="H22" i="1"/>
  <c r="I22" i="1" s="1"/>
  <c r="D22" i="1"/>
  <c r="M21" i="1"/>
  <c r="H21" i="1"/>
  <c r="I21" i="1" s="1"/>
  <c r="D21" i="1"/>
  <c r="M20" i="1"/>
  <c r="H20" i="1"/>
  <c r="I20" i="1" s="1"/>
  <c r="D20" i="1"/>
  <c r="J20" i="1" s="1"/>
  <c r="M19" i="1"/>
  <c r="H19" i="1"/>
  <c r="I19" i="1" s="1"/>
  <c r="D19" i="1"/>
  <c r="M18" i="1"/>
  <c r="H18" i="1"/>
  <c r="I18" i="1" s="1"/>
  <c r="D18" i="1"/>
  <c r="M17" i="1"/>
  <c r="H17" i="1"/>
  <c r="I17" i="1" s="1"/>
  <c r="K17" i="1" s="1"/>
  <c r="D17" i="1"/>
  <c r="J17" i="1" s="1"/>
  <c r="M16" i="1"/>
  <c r="H16" i="1"/>
  <c r="I16" i="1" s="1"/>
  <c r="D16" i="1"/>
  <c r="J16" i="1" s="1"/>
  <c r="M15" i="1"/>
  <c r="H15" i="1"/>
  <c r="I15" i="1" s="1"/>
  <c r="D15" i="1"/>
  <c r="M14" i="1"/>
  <c r="H14" i="1"/>
  <c r="I14" i="1" s="1"/>
  <c r="D14" i="1"/>
  <c r="J14" i="1" s="1"/>
  <c r="H12" i="1"/>
  <c r="V10" i="1"/>
  <c r="U10" i="1"/>
  <c r="P10" i="1"/>
  <c r="O10" i="1"/>
  <c r="M10" i="1"/>
  <c r="H10" i="1"/>
  <c r="T9" i="1"/>
  <c r="Q9" i="1"/>
  <c r="I9" i="1"/>
  <c r="K8" i="1"/>
  <c r="J8" i="1"/>
  <c r="I348" i="1" l="1"/>
  <c r="K30" i="1"/>
  <c r="K34" i="1"/>
  <c r="K42" i="1"/>
  <c r="K46" i="1"/>
  <c r="K50" i="1"/>
  <c r="K54" i="1"/>
  <c r="K62" i="1"/>
  <c r="K66" i="1"/>
  <c r="K78" i="1"/>
  <c r="K108" i="1"/>
  <c r="J113" i="1"/>
  <c r="J114" i="1"/>
  <c r="K116" i="1"/>
  <c r="K127" i="1"/>
  <c r="N127" i="1" s="1"/>
  <c r="K129" i="1"/>
  <c r="N129" i="1" s="1"/>
  <c r="K132" i="1"/>
  <c r="K218" i="1"/>
  <c r="K281" i="1"/>
  <c r="K289" i="1"/>
  <c r="J301" i="1"/>
  <c r="J304" i="1"/>
  <c r="K304" i="1" s="1"/>
  <c r="N304" i="1" s="1"/>
  <c r="J305" i="1"/>
  <c r="K311" i="1"/>
  <c r="K313" i="1"/>
  <c r="J322" i="1"/>
  <c r="J323" i="1"/>
  <c r="Q325" i="1"/>
  <c r="S325" i="1" s="1"/>
  <c r="Q112" i="1"/>
  <c r="S112" i="1" s="1"/>
  <c r="Q120" i="1"/>
  <c r="S120" i="1" s="1"/>
  <c r="K16" i="1"/>
  <c r="K20" i="1"/>
  <c r="K28" i="1"/>
  <c r="K40" i="1"/>
  <c r="K44" i="1"/>
  <c r="K48" i="1"/>
  <c r="K52" i="1"/>
  <c r="K56" i="1"/>
  <c r="K60" i="1"/>
  <c r="K80" i="1"/>
  <c r="K112" i="1"/>
  <c r="K120" i="1"/>
  <c r="K176" i="1"/>
  <c r="K180" i="1"/>
  <c r="K216" i="1"/>
  <c r="K283" i="1"/>
  <c r="K287" i="1"/>
  <c r="K291" i="1"/>
  <c r="J314" i="1"/>
  <c r="K314" i="1" s="1"/>
  <c r="J318" i="1"/>
  <c r="K318" i="1" s="1"/>
  <c r="J326" i="1"/>
  <c r="K23" i="1"/>
  <c r="K27" i="1"/>
  <c r="K31" i="1"/>
  <c r="K35" i="1"/>
  <c r="K43" i="1"/>
  <c r="K47" i="1"/>
  <c r="K51" i="1"/>
  <c r="K67" i="1"/>
  <c r="K71" i="1"/>
  <c r="K75" i="1"/>
  <c r="K79" i="1"/>
  <c r="K83" i="1"/>
  <c r="J111" i="1"/>
  <c r="K114" i="1"/>
  <c r="J119" i="1"/>
  <c r="K322" i="1"/>
  <c r="K122" i="1"/>
  <c r="N122" i="1" s="1"/>
  <c r="O122" i="1" s="1"/>
  <c r="P122" i="1" s="1"/>
  <c r="T122" i="1" s="1"/>
  <c r="J130" i="1"/>
  <c r="J21" i="1"/>
  <c r="K21" i="1" s="1"/>
  <c r="N21" i="1" s="1"/>
  <c r="N108" i="1"/>
  <c r="K109" i="1"/>
  <c r="N109" i="1" s="1"/>
  <c r="N110" i="1"/>
  <c r="O110" i="1" s="1"/>
  <c r="P110" i="1" s="1"/>
  <c r="T110" i="1" s="1"/>
  <c r="K111" i="1"/>
  <c r="N111" i="1" s="1"/>
  <c r="N112" i="1"/>
  <c r="K113" i="1"/>
  <c r="N113" i="1" s="1"/>
  <c r="N114" i="1"/>
  <c r="O114" i="1" s="1"/>
  <c r="K115" i="1"/>
  <c r="N115" i="1" s="1"/>
  <c r="N116" i="1"/>
  <c r="K117" i="1"/>
  <c r="N117" i="1" s="1"/>
  <c r="N118" i="1"/>
  <c r="O118" i="1" s="1"/>
  <c r="P118" i="1" s="1"/>
  <c r="T118" i="1" s="1"/>
  <c r="K119" i="1"/>
  <c r="N119" i="1" s="1"/>
  <c r="N120" i="1"/>
  <c r="Q122" i="1"/>
  <c r="S122" i="1" s="1"/>
  <c r="J123" i="1"/>
  <c r="K123" i="1" s="1"/>
  <c r="N123" i="1" s="1"/>
  <c r="J126" i="1"/>
  <c r="K126" i="1" s="1"/>
  <c r="N126" i="1" s="1"/>
  <c r="J128" i="1"/>
  <c r="K128" i="1" s="1"/>
  <c r="N128" i="1" s="1"/>
  <c r="K131" i="1"/>
  <c r="N131" i="1" s="1"/>
  <c r="N132" i="1"/>
  <c r="O132" i="1" s="1"/>
  <c r="J133" i="1"/>
  <c r="Q244" i="1"/>
  <c r="S244" i="1" s="1"/>
  <c r="J244" i="1"/>
  <c r="K244" i="1" s="1"/>
  <c r="N244" i="1" s="1"/>
  <c r="Q307" i="1"/>
  <c r="S307" i="1" s="1"/>
  <c r="J307" i="1"/>
  <c r="K307" i="1" s="1"/>
  <c r="J15" i="1"/>
  <c r="K15" i="1" s="1"/>
  <c r="N15" i="1" s="1"/>
  <c r="J18" i="1"/>
  <c r="K18" i="1" s="1"/>
  <c r="N18" i="1" s="1"/>
  <c r="J19" i="1"/>
  <c r="K19" i="1" s="1"/>
  <c r="N19" i="1" s="1"/>
  <c r="J22" i="1"/>
  <c r="K22" i="1" s="1"/>
  <c r="N22" i="1" s="1"/>
  <c r="J24" i="1"/>
  <c r="K24" i="1" s="1"/>
  <c r="N24" i="1" s="1"/>
  <c r="J25" i="1"/>
  <c r="K25" i="1" s="1"/>
  <c r="N25" i="1" s="1"/>
  <c r="J26" i="1"/>
  <c r="K26" i="1" s="1"/>
  <c r="N26" i="1" s="1"/>
  <c r="J32" i="1"/>
  <c r="K32" i="1" s="1"/>
  <c r="N32" i="1" s="1"/>
  <c r="J33" i="1"/>
  <c r="K33" i="1" s="1"/>
  <c r="N33" i="1" s="1"/>
  <c r="J36" i="1"/>
  <c r="K36" i="1" s="1"/>
  <c r="N36" i="1" s="1"/>
  <c r="J37" i="1"/>
  <c r="K37" i="1" s="1"/>
  <c r="N37" i="1" s="1"/>
  <c r="J38" i="1"/>
  <c r="K38" i="1" s="1"/>
  <c r="N38" i="1" s="1"/>
  <c r="J39" i="1"/>
  <c r="K39" i="1" s="1"/>
  <c r="N39" i="1" s="1"/>
  <c r="J55" i="1"/>
  <c r="K55" i="1" s="1"/>
  <c r="N55" i="1" s="1"/>
  <c r="J58" i="1"/>
  <c r="K58" i="1" s="1"/>
  <c r="N58" i="1" s="1"/>
  <c r="J59" i="1"/>
  <c r="K59" i="1" s="1"/>
  <c r="N59" i="1" s="1"/>
  <c r="J63" i="1"/>
  <c r="K63" i="1" s="1"/>
  <c r="N63" i="1" s="1"/>
  <c r="J64" i="1"/>
  <c r="K64" i="1" s="1"/>
  <c r="N64" i="1" s="1"/>
  <c r="J68" i="1"/>
  <c r="K68" i="1" s="1"/>
  <c r="N68" i="1" s="1"/>
  <c r="J70" i="1"/>
  <c r="K70" i="1" s="1"/>
  <c r="N70" i="1" s="1"/>
  <c r="J72" i="1"/>
  <c r="K72" i="1" s="1"/>
  <c r="N72" i="1" s="1"/>
  <c r="J73" i="1"/>
  <c r="K73" i="1" s="1"/>
  <c r="N73" i="1" s="1"/>
  <c r="J74" i="1"/>
  <c r="K74" i="1" s="1"/>
  <c r="N74" i="1" s="1"/>
  <c r="J76" i="1"/>
  <c r="K76" i="1" s="1"/>
  <c r="N76" i="1" s="1"/>
  <c r="J81" i="1"/>
  <c r="K81" i="1" s="1"/>
  <c r="N81" i="1" s="1"/>
  <c r="J82" i="1"/>
  <c r="K82" i="1" s="1"/>
  <c r="N82" i="1" s="1"/>
  <c r="Q240" i="1"/>
  <c r="S240" i="1" s="1"/>
  <c r="J240" i="1"/>
  <c r="K240" i="1" s="1"/>
  <c r="N240" i="1" s="1"/>
  <c r="O240" i="1" s="1"/>
  <c r="P240" i="1" s="1"/>
  <c r="T240" i="1" s="1"/>
  <c r="Q248" i="1"/>
  <c r="S248" i="1" s="1"/>
  <c r="J248" i="1"/>
  <c r="K248" i="1" s="1"/>
  <c r="N248" i="1" s="1"/>
  <c r="J321" i="1"/>
  <c r="Q321" i="1"/>
  <c r="S321" i="1" s="1"/>
  <c r="Q242" i="1"/>
  <c r="S242" i="1" s="1"/>
  <c r="J242" i="1"/>
  <c r="K242" i="1" s="1"/>
  <c r="N242" i="1" s="1"/>
  <c r="Q250" i="1"/>
  <c r="S250" i="1" s="1"/>
  <c r="J250" i="1"/>
  <c r="K250" i="1" s="1"/>
  <c r="N250" i="1" s="1"/>
  <c r="Q246" i="1"/>
  <c r="S246" i="1" s="1"/>
  <c r="J246" i="1"/>
  <c r="K246" i="1" s="1"/>
  <c r="N246" i="1" s="1"/>
  <c r="J295" i="1"/>
  <c r="K295" i="1" s="1"/>
  <c r="N295" i="1" s="1"/>
  <c r="J303" i="1"/>
  <c r="K303" i="1" s="1"/>
  <c r="N303" i="1" s="1"/>
  <c r="J306" i="1"/>
  <c r="K306" i="1" s="1"/>
  <c r="Q310" i="1"/>
  <c r="S310" i="1" s="1"/>
  <c r="Q314" i="1"/>
  <c r="S314" i="1" s="1"/>
  <c r="K317" i="1"/>
  <c r="K324" i="1"/>
  <c r="N324" i="1" s="1"/>
  <c r="K305" i="1"/>
  <c r="Q306" i="1"/>
  <c r="S306" i="1" s="1"/>
  <c r="K308" i="1"/>
  <c r="Q309" i="1"/>
  <c r="S309" i="1" s="1"/>
  <c r="Q313" i="1"/>
  <c r="S313" i="1" s="1"/>
  <c r="Q317" i="1"/>
  <c r="S317" i="1" s="1"/>
  <c r="Q320" i="1"/>
  <c r="S320" i="1" s="1"/>
  <c r="Q324" i="1"/>
  <c r="S324" i="1" s="1"/>
  <c r="J171" i="1"/>
  <c r="J172" i="1"/>
  <c r="K172" i="1" s="1"/>
  <c r="N172" i="1" s="1"/>
  <c r="J173" i="1"/>
  <c r="K173" i="1" s="1"/>
  <c r="N173" i="1" s="1"/>
  <c r="J174" i="1"/>
  <c r="K174" i="1" s="1"/>
  <c r="N174" i="1" s="1"/>
  <c r="J177" i="1"/>
  <c r="K177" i="1" s="1"/>
  <c r="N177" i="1" s="1"/>
  <c r="J178" i="1"/>
  <c r="K178" i="1" s="1"/>
  <c r="N178" i="1" s="1"/>
  <c r="J179" i="1"/>
  <c r="K179" i="1" s="1"/>
  <c r="N179" i="1" s="1"/>
  <c r="J217" i="1"/>
  <c r="K217" i="1" s="1"/>
  <c r="N217" i="1" s="1"/>
  <c r="J219" i="1"/>
  <c r="K219" i="1" s="1"/>
  <c r="N219" i="1" s="1"/>
  <c r="J220" i="1"/>
  <c r="K220" i="1" s="1"/>
  <c r="N220" i="1" s="1"/>
  <c r="J221" i="1"/>
  <c r="K221" i="1" s="1"/>
  <c r="N221" i="1" s="1"/>
  <c r="J222" i="1"/>
  <c r="K222" i="1" s="1"/>
  <c r="N222" i="1" s="1"/>
  <c r="J224" i="1"/>
  <c r="K224" i="1" s="1"/>
  <c r="N224" i="1" s="1"/>
  <c r="J226" i="1"/>
  <c r="K226" i="1" s="1"/>
  <c r="N226" i="1" s="1"/>
  <c r="J227" i="1"/>
  <c r="K227" i="1" s="1"/>
  <c r="N227" i="1" s="1"/>
  <c r="J228" i="1"/>
  <c r="K228" i="1" s="1"/>
  <c r="N228" i="1" s="1"/>
  <c r="J239" i="1"/>
  <c r="K239" i="1" s="1"/>
  <c r="N239" i="1" s="1"/>
  <c r="O239" i="1" s="1"/>
  <c r="P239" i="1" s="1"/>
  <c r="T239" i="1" s="1"/>
  <c r="J241" i="1"/>
  <c r="K241" i="1" s="1"/>
  <c r="N241" i="1" s="1"/>
  <c r="O241" i="1" s="1"/>
  <c r="P241" i="1" s="1"/>
  <c r="T241" i="1" s="1"/>
  <c r="J243" i="1"/>
  <c r="K243" i="1" s="1"/>
  <c r="N243" i="1" s="1"/>
  <c r="O243" i="1" s="1"/>
  <c r="P243" i="1" s="1"/>
  <c r="T243" i="1" s="1"/>
  <c r="J245" i="1"/>
  <c r="K245" i="1" s="1"/>
  <c r="N245" i="1" s="1"/>
  <c r="O245" i="1" s="1"/>
  <c r="P245" i="1" s="1"/>
  <c r="T245" i="1" s="1"/>
  <c r="J247" i="1"/>
  <c r="K247" i="1" s="1"/>
  <c r="N247" i="1" s="1"/>
  <c r="O247" i="1" s="1"/>
  <c r="P247" i="1" s="1"/>
  <c r="T247" i="1" s="1"/>
  <c r="J249" i="1"/>
  <c r="K249" i="1" s="1"/>
  <c r="N249" i="1" s="1"/>
  <c r="O249" i="1" s="1"/>
  <c r="P249" i="1" s="1"/>
  <c r="T249" i="1" s="1"/>
  <c r="N16" i="1"/>
  <c r="N23" i="1"/>
  <c r="N28" i="1"/>
  <c r="N31" i="1"/>
  <c r="N35" i="1"/>
  <c r="N40" i="1"/>
  <c r="N42" i="1"/>
  <c r="N44" i="1"/>
  <c r="N45" i="1"/>
  <c r="N47" i="1"/>
  <c r="N49" i="1"/>
  <c r="N50" i="1"/>
  <c r="N51" i="1"/>
  <c r="N53" i="1"/>
  <c r="N54" i="1"/>
  <c r="N56" i="1"/>
  <c r="N60" i="1"/>
  <c r="N61" i="1"/>
  <c r="N65" i="1"/>
  <c r="N66" i="1"/>
  <c r="N69" i="1"/>
  <c r="N71" i="1"/>
  <c r="N78" i="1"/>
  <c r="N79" i="1"/>
  <c r="N17" i="1"/>
  <c r="N20" i="1"/>
  <c r="N27" i="1"/>
  <c r="N30" i="1"/>
  <c r="N34" i="1"/>
  <c r="N41" i="1"/>
  <c r="N43" i="1"/>
  <c r="N46" i="1"/>
  <c r="N48" i="1"/>
  <c r="N52" i="1"/>
  <c r="N57" i="1"/>
  <c r="N62" i="1"/>
  <c r="N67" i="1"/>
  <c r="N75" i="1"/>
  <c r="N77" i="1"/>
  <c r="N80" i="1"/>
  <c r="N83" i="1"/>
  <c r="N29" i="1"/>
  <c r="K14" i="1"/>
  <c r="Q14" i="1"/>
  <c r="Q15" i="1"/>
  <c r="S15" i="1" s="1"/>
  <c r="Q16" i="1"/>
  <c r="S16" i="1" s="1"/>
  <c r="Q17" i="1"/>
  <c r="S17" i="1" s="1"/>
  <c r="Q18" i="1"/>
  <c r="S18" i="1" s="1"/>
  <c r="Q19" i="1"/>
  <c r="S19" i="1" s="1"/>
  <c r="Q20" i="1"/>
  <c r="S20" i="1" s="1"/>
  <c r="Q21" i="1"/>
  <c r="S21" i="1" s="1"/>
  <c r="Q22" i="1"/>
  <c r="S22" i="1" s="1"/>
  <c r="Q23" i="1"/>
  <c r="S23" i="1" s="1"/>
  <c r="Q24" i="1"/>
  <c r="S24" i="1" s="1"/>
  <c r="Q25" i="1"/>
  <c r="S25" i="1" s="1"/>
  <c r="Q26" i="1"/>
  <c r="S26" i="1" s="1"/>
  <c r="Q27" i="1"/>
  <c r="S27" i="1" s="1"/>
  <c r="Q28" i="1"/>
  <c r="S28" i="1" s="1"/>
  <c r="Q29" i="1"/>
  <c r="S29" i="1" s="1"/>
  <c r="Q30" i="1"/>
  <c r="S30" i="1" s="1"/>
  <c r="Q31" i="1"/>
  <c r="S31" i="1" s="1"/>
  <c r="Q32" i="1"/>
  <c r="S32" i="1" s="1"/>
  <c r="Q33" i="1"/>
  <c r="S33" i="1" s="1"/>
  <c r="Q34" i="1"/>
  <c r="S34" i="1" s="1"/>
  <c r="Q35" i="1"/>
  <c r="S35" i="1" s="1"/>
  <c r="Q36" i="1"/>
  <c r="S36" i="1" s="1"/>
  <c r="Q37" i="1"/>
  <c r="S37" i="1" s="1"/>
  <c r="Q38" i="1"/>
  <c r="S38" i="1" s="1"/>
  <c r="Q39" i="1"/>
  <c r="S39" i="1" s="1"/>
  <c r="Q40" i="1"/>
  <c r="S40" i="1" s="1"/>
  <c r="Q41" i="1"/>
  <c r="S41" i="1" s="1"/>
  <c r="Q42" i="1"/>
  <c r="S42" i="1" s="1"/>
  <c r="Q43" i="1"/>
  <c r="S43" i="1" s="1"/>
  <c r="Q44" i="1"/>
  <c r="S44" i="1" s="1"/>
  <c r="Q45" i="1"/>
  <c r="S45" i="1" s="1"/>
  <c r="Q46" i="1"/>
  <c r="S46" i="1" s="1"/>
  <c r="Q47" i="1"/>
  <c r="S47" i="1" s="1"/>
  <c r="Q48" i="1"/>
  <c r="S48" i="1" s="1"/>
  <c r="Q49" i="1"/>
  <c r="S49" i="1" s="1"/>
  <c r="Q50" i="1"/>
  <c r="S50" i="1" s="1"/>
  <c r="Q51" i="1"/>
  <c r="S51" i="1" s="1"/>
  <c r="Q52" i="1"/>
  <c r="S52" i="1" s="1"/>
  <c r="Q53" i="1"/>
  <c r="S53" i="1" s="1"/>
  <c r="Q54" i="1"/>
  <c r="S54" i="1" s="1"/>
  <c r="Q55" i="1"/>
  <c r="S55" i="1" s="1"/>
  <c r="Q56" i="1"/>
  <c r="S56" i="1" s="1"/>
  <c r="Q57" i="1"/>
  <c r="S57" i="1" s="1"/>
  <c r="Q58" i="1"/>
  <c r="S58" i="1" s="1"/>
  <c r="Q59" i="1"/>
  <c r="S59" i="1" s="1"/>
  <c r="Q60" i="1"/>
  <c r="S60" i="1" s="1"/>
  <c r="Q61" i="1"/>
  <c r="S61" i="1" s="1"/>
  <c r="Q62" i="1"/>
  <c r="S62" i="1" s="1"/>
  <c r="Q63" i="1"/>
  <c r="S63" i="1" s="1"/>
  <c r="Q64" i="1"/>
  <c r="S64" i="1" s="1"/>
  <c r="Q65" i="1"/>
  <c r="S65" i="1" s="1"/>
  <c r="Q66" i="1"/>
  <c r="S66" i="1" s="1"/>
  <c r="Q67" i="1"/>
  <c r="S67" i="1" s="1"/>
  <c r="Q68" i="1"/>
  <c r="S68" i="1" s="1"/>
  <c r="Q69" i="1"/>
  <c r="S69" i="1" s="1"/>
  <c r="Q70" i="1"/>
  <c r="S70" i="1" s="1"/>
  <c r="Q71" i="1"/>
  <c r="S71" i="1" s="1"/>
  <c r="Q72" i="1"/>
  <c r="S72" i="1" s="1"/>
  <c r="Q73" i="1"/>
  <c r="S73" i="1" s="1"/>
  <c r="Q74" i="1"/>
  <c r="S74" i="1" s="1"/>
  <c r="Q75" i="1"/>
  <c r="S75" i="1" s="1"/>
  <c r="Q76" i="1"/>
  <c r="S76" i="1" s="1"/>
  <c r="Q77" i="1"/>
  <c r="S77" i="1" s="1"/>
  <c r="Q78" i="1"/>
  <c r="S78" i="1" s="1"/>
  <c r="Q79" i="1"/>
  <c r="S79" i="1" s="1"/>
  <c r="Q80" i="1"/>
  <c r="S80" i="1" s="1"/>
  <c r="Q81" i="1"/>
  <c r="S81" i="1" s="1"/>
  <c r="Q82" i="1"/>
  <c r="S82" i="1" s="1"/>
  <c r="Q83" i="1"/>
  <c r="S83" i="1" s="1"/>
  <c r="Q84" i="1"/>
  <c r="S84" i="1" s="1"/>
  <c r="J84" i="1"/>
  <c r="O108" i="1"/>
  <c r="P108" i="1" s="1"/>
  <c r="T108" i="1" s="1"/>
  <c r="O109" i="1"/>
  <c r="P109" i="1" s="1"/>
  <c r="T109" i="1" s="1"/>
  <c r="O111" i="1"/>
  <c r="P111" i="1" s="1"/>
  <c r="T111" i="1" s="1"/>
  <c r="O112" i="1"/>
  <c r="P112" i="1" s="1"/>
  <c r="T112" i="1" s="1"/>
  <c r="O113" i="1"/>
  <c r="P113" i="1" s="1"/>
  <c r="T113" i="1" s="1"/>
  <c r="O115" i="1"/>
  <c r="P115" i="1" s="1"/>
  <c r="T115" i="1" s="1"/>
  <c r="O116" i="1"/>
  <c r="P116" i="1" s="1"/>
  <c r="T116" i="1" s="1"/>
  <c r="O117" i="1"/>
  <c r="P117" i="1" s="1"/>
  <c r="T117" i="1" s="1"/>
  <c r="O119" i="1"/>
  <c r="P119" i="1" s="1"/>
  <c r="T119" i="1" s="1"/>
  <c r="O120" i="1"/>
  <c r="P120" i="1" s="1"/>
  <c r="T120" i="1" s="1"/>
  <c r="J121" i="1"/>
  <c r="K121" i="1" s="1"/>
  <c r="N121" i="1" s="1"/>
  <c r="O131" i="1"/>
  <c r="P131" i="1" s="1"/>
  <c r="T131" i="1" s="1"/>
  <c r="N14" i="1"/>
  <c r="P127" i="1"/>
  <c r="T127" i="1" s="1"/>
  <c r="O127" i="1"/>
  <c r="O129" i="1"/>
  <c r="P129" i="1" s="1"/>
  <c r="T129" i="1" s="1"/>
  <c r="K90" i="1"/>
  <c r="N90" i="1" s="1"/>
  <c r="K98" i="1"/>
  <c r="N98" i="1" s="1"/>
  <c r="J125" i="1"/>
  <c r="K125" i="1" s="1"/>
  <c r="N125" i="1" s="1"/>
  <c r="J85" i="1"/>
  <c r="K85" i="1" s="1"/>
  <c r="N85" i="1" s="1"/>
  <c r="J86" i="1"/>
  <c r="K86" i="1" s="1"/>
  <c r="N86" i="1" s="1"/>
  <c r="J87" i="1"/>
  <c r="K87" i="1" s="1"/>
  <c r="N87" i="1" s="1"/>
  <c r="J88" i="1"/>
  <c r="K88" i="1" s="1"/>
  <c r="N88" i="1" s="1"/>
  <c r="J89" i="1"/>
  <c r="K89" i="1" s="1"/>
  <c r="N89" i="1" s="1"/>
  <c r="J90" i="1"/>
  <c r="J91" i="1"/>
  <c r="K91" i="1" s="1"/>
  <c r="N91" i="1" s="1"/>
  <c r="J92" i="1"/>
  <c r="K92" i="1" s="1"/>
  <c r="N92" i="1" s="1"/>
  <c r="J93" i="1"/>
  <c r="K93" i="1" s="1"/>
  <c r="N93" i="1" s="1"/>
  <c r="J94" i="1"/>
  <c r="K94" i="1" s="1"/>
  <c r="N94" i="1" s="1"/>
  <c r="J95" i="1"/>
  <c r="K95" i="1" s="1"/>
  <c r="N95" i="1" s="1"/>
  <c r="J96" i="1"/>
  <c r="K96" i="1" s="1"/>
  <c r="N96" i="1" s="1"/>
  <c r="J97" i="1"/>
  <c r="K97" i="1" s="1"/>
  <c r="N97" i="1" s="1"/>
  <c r="J98" i="1"/>
  <c r="J99" i="1"/>
  <c r="K99" i="1" s="1"/>
  <c r="N99" i="1" s="1"/>
  <c r="J100" i="1"/>
  <c r="K100" i="1" s="1"/>
  <c r="N100" i="1" s="1"/>
  <c r="J101" i="1"/>
  <c r="K101" i="1" s="1"/>
  <c r="N101" i="1" s="1"/>
  <c r="J102" i="1"/>
  <c r="K102" i="1" s="1"/>
  <c r="N102" i="1" s="1"/>
  <c r="J103" i="1"/>
  <c r="K103" i="1" s="1"/>
  <c r="N103" i="1" s="1"/>
  <c r="J104" i="1"/>
  <c r="K104" i="1" s="1"/>
  <c r="N104" i="1" s="1"/>
  <c r="J105" i="1"/>
  <c r="K105" i="1" s="1"/>
  <c r="N105" i="1" s="1"/>
  <c r="J106" i="1"/>
  <c r="K106" i="1" s="1"/>
  <c r="N106" i="1" s="1"/>
  <c r="J107" i="1"/>
  <c r="K107" i="1" s="1"/>
  <c r="N107" i="1" s="1"/>
  <c r="J134" i="1"/>
  <c r="K134" i="1" s="1"/>
  <c r="N134" i="1" s="1"/>
  <c r="Q134" i="1"/>
  <c r="S134" i="1" s="1"/>
  <c r="J138" i="1"/>
  <c r="Q138" i="1"/>
  <c r="S138" i="1" s="1"/>
  <c r="J142" i="1"/>
  <c r="K142" i="1" s="1"/>
  <c r="N142" i="1" s="1"/>
  <c r="Q142" i="1"/>
  <c r="S142" i="1" s="1"/>
  <c r="J146" i="1"/>
  <c r="Q146" i="1"/>
  <c r="S146" i="1" s="1"/>
  <c r="J150" i="1"/>
  <c r="K150" i="1" s="1"/>
  <c r="N150" i="1" s="1"/>
  <c r="Q150" i="1"/>
  <c r="S150" i="1" s="1"/>
  <c r="J154" i="1"/>
  <c r="Q154" i="1"/>
  <c r="S154" i="1" s="1"/>
  <c r="J158" i="1"/>
  <c r="K158" i="1" s="1"/>
  <c r="N158" i="1" s="1"/>
  <c r="Q158" i="1"/>
  <c r="S158" i="1" s="1"/>
  <c r="J162" i="1"/>
  <c r="Q162" i="1"/>
  <c r="S162" i="1" s="1"/>
  <c r="J166" i="1"/>
  <c r="K166" i="1" s="1"/>
  <c r="N166" i="1" s="1"/>
  <c r="Q166" i="1"/>
  <c r="S166" i="1" s="1"/>
  <c r="J168" i="1"/>
  <c r="Q168" i="1"/>
  <c r="S168" i="1" s="1"/>
  <c r="J137" i="1"/>
  <c r="K137" i="1" s="1"/>
  <c r="N137" i="1" s="1"/>
  <c r="Q137" i="1"/>
  <c r="S137" i="1" s="1"/>
  <c r="J141" i="1"/>
  <c r="K141" i="1" s="1"/>
  <c r="N141" i="1" s="1"/>
  <c r="Q141" i="1"/>
  <c r="S141" i="1" s="1"/>
  <c r="J145" i="1"/>
  <c r="K145" i="1" s="1"/>
  <c r="N145" i="1" s="1"/>
  <c r="Q145" i="1"/>
  <c r="S145" i="1" s="1"/>
  <c r="J149" i="1"/>
  <c r="K149" i="1" s="1"/>
  <c r="N149" i="1" s="1"/>
  <c r="Q149" i="1"/>
  <c r="S149" i="1" s="1"/>
  <c r="J153" i="1"/>
  <c r="K153" i="1" s="1"/>
  <c r="N153" i="1" s="1"/>
  <c r="Q153" i="1"/>
  <c r="S153" i="1" s="1"/>
  <c r="J157" i="1"/>
  <c r="K157" i="1" s="1"/>
  <c r="N157" i="1" s="1"/>
  <c r="Q157" i="1"/>
  <c r="S157" i="1" s="1"/>
  <c r="J161" i="1"/>
  <c r="K161" i="1" s="1"/>
  <c r="N161" i="1" s="1"/>
  <c r="Q161" i="1"/>
  <c r="S161" i="1" s="1"/>
  <c r="J163" i="1"/>
  <c r="K163" i="1" s="1"/>
  <c r="N163" i="1" s="1"/>
  <c r="Q163" i="1"/>
  <c r="S163" i="1" s="1"/>
  <c r="J169" i="1"/>
  <c r="K169" i="1" s="1"/>
  <c r="N169" i="1" s="1"/>
  <c r="Q169" i="1"/>
  <c r="S169" i="1" s="1"/>
  <c r="K171" i="1"/>
  <c r="N171" i="1" s="1"/>
  <c r="J124" i="1"/>
  <c r="K124" i="1" s="1"/>
  <c r="N124" i="1" s="1"/>
  <c r="K133" i="1"/>
  <c r="N133" i="1" s="1"/>
  <c r="J136" i="1"/>
  <c r="K136" i="1" s="1"/>
  <c r="N136" i="1" s="1"/>
  <c r="Q136" i="1"/>
  <c r="S136" i="1" s="1"/>
  <c r="K138" i="1"/>
  <c r="N138" i="1" s="1"/>
  <c r="J140" i="1"/>
  <c r="K140" i="1" s="1"/>
  <c r="N140" i="1" s="1"/>
  <c r="Q140" i="1"/>
  <c r="S140" i="1" s="1"/>
  <c r="J144" i="1"/>
  <c r="K144" i="1" s="1"/>
  <c r="N144" i="1" s="1"/>
  <c r="Q144" i="1"/>
  <c r="S144" i="1" s="1"/>
  <c r="K146" i="1"/>
  <c r="N146" i="1" s="1"/>
  <c r="J148" i="1"/>
  <c r="K148" i="1" s="1"/>
  <c r="N148" i="1" s="1"/>
  <c r="Q148" i="1"/>
  <c r="S148" i="1" s="1"/>
  <c r="J152" i="1"/>
  <c r="K152" i="1" s="1"/>
  <c r="N152" i="1" s="1"/>
  <c r="Q152" i="1"/>
  <c r="S152" i="1" s="1"/>
  <c r="K154" i="1"/>
  <c r="N154" i="1" s="1"/>
  <c r="J156" i="1"/>
  <c r="K156" i="1" s="1"/>
  <c r="N156" i="1" s="1"/>
  <c r="Q156" i="1"/>
  <c r="S156" i="1" s="1"/>
  <c r="J160" i="1"/>
  <c r="K160" i="1" s="1"/>
  <c r="N160" i="1" s="1"/>
  <c r="Q160" i="1"/>
  <c r="S160" i="1" s="1"/>
  <c r="K162" i="1"/>
  <c r="J164" i="1"/>
  <c r="K164" i="1" s="1"/>
  <c r="N164" i="1" s="1"/>
  <c r="Q164" i="1"/>
  <c r="S164" i="1" s="1"/>
  <c r="J167" i="1"/>
  <c r="K167" i="1" s="1"/>
  <c r="N167" i="1" s="1"/>
  <c r="Q167" i="1"/>
  <c r="S167" i="1" s="1"/>
  <c r="K168" i="1"/>
  <c r="N168" i="1" s="1"/>
  <c r="J170" i="1"/>
  <c r="K170" i="1" s="1"/>
  <c r="N170" i="1" s="1"/>
  <c r="Q170" i="1"/>
  <c r="S170" i="1" s="1"/>
  <c r="N175" i="1"/>
  <c r="N176" i="1"/>
  <c r="N180" i="1"/>
  <c r="N181" i="1"/>
  <c r="K130" i="1"/>
  <c r="N130" i="1" s="1"/>
  <c r="J135" i="1"/>
  <c r="K135" i="1" s="1"/>
  <c r="N135" i="1" s="1"/>
  <c r="Q135" i="1"/>
  <c r="S135" i="1" s="1"/>
  <c r="J139" i="1"/>
  <c r="K139" i="1" s="1"/>
  <c r="N139" i="1" s="1"/>
  <c r="Q139" i="1"/>
  <c r="S139" i="1" s="1"/>
  <c r="J143" i="1"/>
  <c r="K143" i="1" s="1"/>
  <c r="N143" i="1" s="1"/>
  <c r="Q143" i="1"/>
  <c r="S143" i="1" s="1"/>
  <c r="J147" i="1"/>
  <c r="K147" i="1" s="1"/>
  <c r="N147" i="1" s="1"/>
  <c r="Q147" i="1"/>
  <c r="S147" i="1" s="1"/>
  <c r="J151" i="1"/>
  <c r="K151" i="1" s="1"/>
  <c r="N151" i="1" s="1"/>
  <c r="Q151" i="1"/>
  <c r="S151" i="1" s="1"/>
  <c r="J155" i="1"/>
  <c r="K155" i="1" s="1"/>
  <c r="N155" i="1" s="1"/>
  <c r="Q155" i="1"/>
  <c r="S155" i="1" s="1"/>
  <c r="J159" i="1"/>
  <c r="K159" i="1" s="1"/>
  <c r="N159" i="1" s="1"/>
  <c r="Q159" i="1"/>
  <c r="S159" i="1" s="1"/>
  <c r="N162" i="1"/>
  <c r="J165" i="1"/>
  <c r="K165" i="1" s="1"/>
  <c r="N165" i="1" s="1"/>
  <c r="Q165" i="1"/>
  <c r="S165" i="1" s="1"/>
  <c r="Q171" i="1"/>
  <c r="S171" i="1" s="1"/>
  <c r="Q172" i="1"/>
  <c r="S172" i="1" s="1"/>
  <c r="Q173" i="1"/>
  <c r="S173" i="1" s="1"/>
  <c r="Q174" i="1"/>
  <c r="S174" i="1" s="1"/>
  <c r="Q175" i="1"/>
  <c r="S175" i="1" s="1"/>
  <c r="Q176" i="1"/>
  <c r="S176" i="1" s="1"/>
  <c r="Q177" i="1"/>
  <c r="S177" i="1" s="1"/>
  <c r="Q178" i="1"/>
  <c r="S178" i="1" s="1"/>
  <c r="Q179" i="1"/>
  <c r="S179" i="1" s="1"/>
  <c r="Q180" i="1"/>
  <c r="S180" i="1" s="1"/>
  <c r="Q181" i="1"/>
  <c r="S181" i="1" s="1"/>
  <c r="J199" i="1"/>
  <c r="K199" i="1" s="1"/>
  <c r="N199" i="1" s="1"/>
  <c r="Q199" i="1"/>
  <c r="S199" i="1" s="1"/>
  <c r="J203" i="1"/>
  <c r="K203" i="1" s="1"/>
  <c r="N203" i="1" s="1"/>
  <c r="Q203" i="1"/>
  <c r="S203" i="1" s="1"/>
  <c r="J207" i="1"/>
  <c r="K207" i="1" s="1"/>
  <c r="N207" i="1" s="1"/>
  <c r="Q207" i="1"/>
  <c r="S207" i="1" s="1"/>
  <c r="J211" i="1"/>
  <c r="K211" i="1" s="1"/>
  <c r="N211" i="1" s="1"/>
  <c r="Q211" i="1"/>
  <c r="S211" i="1" s="1"/>
  <c r="Q182" i="1"/>
  <c r="S182" i="1" s="1"/>
  <c r="J182" i="1"/>
  <c r="K182" i="1" s="1"/>
  <c r="N182" i="1" s="1"/>
  <c r="Q184" i="1"/>
  <c r="S184" i="1" s="1"/>
  <c r="J184" i="1"/>
  <c r="K184" i="1" s="1"/>
  <c r="N184" i="1" s="1"/>
  <c r="Q186" i="1"/>
  <c r="S186" i="1" s="1"/>
  <c r="J186" i="1"/>
  <c r="K186" i="1" s="1"/>
  <c r="N186" i="1" s="1"/>
  <c r="Q188" i="1"/>
  <c r="S188" i="1" s="1"/>
  <c r="J188" i="1"/>
  <c r="K188" i="1" s="1"/>
  <c r="N188" i="1" s="1"/>
  <c r="Q190" i="1"/>
  <c r="S190" i="1" s="1"/>
  <c r="J190" i="1"/>
  <c r="K190" i="1" s="1"/>
  <c r="N190" i="1" s="1"/>
  <c r="Q192" i="1"/>
  <c r="S192" i="1" s="1"/>
  <c r="J192" i="1"/>
  <c r="K192" i="1" s="1"/>
  <c r="N192" i="1" s="1"/>
  <c r="Q194" i="1"/>
  <c r="S194" i="1" s="1"/>
  <c r="J194" i="1"/>
  <c r="K194" i="1" s="1"/>
  <c r="N194" i="1" s="1"/>
  <c r="Q196" i="1"/>
  <c r="S196" i="1" s="1"/>
  <c r="J196" i="1"/>
  <c r="K196" i="1" s="1"/>
  <c r="N196" i="1" s="1"/>
  <c r="J198" i="1"/>
  <c r="K198" i="1" s="1"/>
  <c r="N198" i="1" s="1"/>
  <c r="Q198" i="1"/>
  <c r="S198" i="1" s="1"/>
  <c r="J202" i="1"/>
  <c r="K202" i="1" s="1"/>
  <c r="N202" i="1" s="1"/>
  <c r="Q202" i="1"/>
  <c r="S202" i="1" s="1"/>
  <c r="J206" i="1"/>
  <c r="K206" i="1" s="1"/>
  <c r="N206" i="1" s="1"/>
  <c r="Q206" i="1"/>
  <c r="S206" i="1" s="1"/>
  <c r="J212" i="1"/>
  <c r="Q212" i="1"/>
  <c r="S212" i="1" s="1"/>
  <c r="J197" i="1"/>
  <c r="K197" i="1" s="1"/>
  <c r="N197" i="1" s="1"/>
  <c r="Q197" i="1"/>
  <c r="S197" i="1" s="1"/>
  <c r="J201" i="1"/>
  <c r="K201" i="1" s="1"/>
  <c r="N201" i="1" s="1"/>
  <c r="Q201" i="1"/>
  <c r="S201" i="1" s="1"/>
  <c r="J205" i="1"/>
  <c r="K205" i="1" s="1"/>
  <c r="N205" i="1" s="1"/>
  <c r="Q205" i="1"/>
  <c r="S205" i="1" s="1"/>
  <c r="J209" i="1"/>
  <c r="K209" i="1" s="1"/>
  <c r="N209" i="1" s="1"/>
  <c r="Q209" i="1"/>
  <c r="S209" i="1" s="1"/>
  <c r="J213" i="1"/>
  <c r="K213" i="1" s="1"/>
  <c r="N213" i="1" s="1"/>
  <c r="Q213" i="1"/>
  <c r="S213" i="1" s="1"/>
  <c r="N215" i="1"/>
  <c r="N216" i="1"/>
  <c r="N218" i="1"/>
  <c r="N223" i="1"/>
  <c r="N225" i="1"/>
  <c r="Q183" i="1"/>
  <c r="S183" i="1" s="1"/>
  <c r="J183" i="1"/>
  <c r="K183" i="1" s="1"/>
  <c r="N183" i="1" s="1"/>
  <c r="Q185" i="1"/>
  <c r="S185" i="1" s="1"/>
  <c r="J185" i="1"/>
  <c r="K185" i="1" s="1"/>
  <c r="N185" i="1" s="1"/>
  <c r="Q187" i="1"/>
  <c r="S187" i="1" s="1"/>
  <c r="J187" i="1"/>
  <c r="K187" i="1" s="1"/>
  <c r="N187" i="1" s="1"/>
  <c r="Q189" i="1"/>
  <c r="S189" i="1" s="1"/>
  <c r="J189" i="1"/>
  <c r="K189" i="1" s="1"/>
  <c r="N189" i="1" s="1"/>
  <c r="Q191" i="1"/>
  <c r="S191" i="1" s="1"/>
  <c r="J191" i="1"/>
  <c r="K191" i="1" s="1"/>
  <c r="N191" i="1" s="1"/>
  <c r="Q193" i="1"/>
  <c r="S193" i="1" s="1"/>
  <c r="J193" i="1"/>
  <c r="K193" i="1" s="1"/>
  <c r="N193" i="1" s="1"/>
  <c r="Q195" i="1"/>
  <c r="S195" i="1" s="1"/>
  <c r="J195" i="1"/>
  <c r="K195" i="1" s="1"/>
  <c r="N195" i="1" s="1"/>
  <c r="J200" i="1"/>
  <c r="K200" i="1" s="1"/>
  <c r="N200" i="1" s="1"/>
  <c r="Q200" i="1"/>
  <c r="S200" i="1" s="1"/>
  <c r="J204" i="1"/>
  <c r="K204" i="1" s="1"/>
  <c r="N204" i="1" s="1"/>
  <c r="Q204" i="1"/>
  <c r="S204" i="1" s="1"/>
  <c r="J208" i="1"/>
  <c r="K208" i="1" s="1"/>
  <c r="N208" i="1" s="1"/>
  <c r="Q208" i="1"/>
  <c r="S208" i="1" s="1"/>
  <c r="J210" i="1"/>
  <c r="K210" i="1" s="1"/>
  <c r="N210" i="1" s="1"/>
  <c r="Q210" i="1"/>
  <c r="S210" i="1" s="1"/>
  <c r="K212" i="1"/>
  <c r="N212" i="1" s="1"/>
  <c r="J214" i="1"/>
  <c r="K214" i="1" s="1"/>
  <c r="N214" i="1" s="1"/>
  <c r="Q214" i="1"/>
  <c r="S214" i="1" s="1"/>
  <c r="Q230" i="1"/>
  <c r="S230" i="1" s="1"/>
  <c r="J230" i="1"/>
  <c r="K230" i="1" s="1"/>
  <c r="N230" i="1" s="1"/>
  <c r="Q232" i="1"/>
  <c r="S232" i="1" s="1"/>
  <c r="J232" i="1"/>
  <c r="K232" i="1" s="1"/>
  <c r="N232" i="1" s="1"/>
  <c r="Q234" i="1"/>
  <c r="S234" i="1" s="1"/>
  <c r="J234" i="1"/>
  <c r="K234" i="1" s="1"/>
  <c r="N234" i="1" s="1"/>
  <c r="K235" i="1"/>
  <c r="N235" i="1" s="1"/>
  <c r="O242" i="1"/>
  <c r="P242" i="1" s="1"/>
  <c r="T242" i="1" s="1"/>
  <c r="O244" i="1"/>
  <c r="P244" i="1" s="1"/>
  <c r="T244" i="1" s="1"/>
  <c r="O246" i="1"/>
  <c r="P246" i="1" s="1"/>
  <c r="T246" i="1" s="1"/>
  <c r="O248" i="1"/>
  <c r="P248" i="1" s="1"/>
  <c r="T248" i="1" s="1"/>
  <c r="O250" i="1"/>
  <c r="P250" i="1" s="1"/>
  <c r="T250" i="1" s="1"/>
  <c r="Q215" i="1"/>
  <c r="S215" i="1" s="1"/>
  <c r="Q216" i="1"/>
  <c r="S216" i="1" s="1"/>
  <c r="Q217" i="1"/>
  <c r="S217" i="1" s="1"/>
  <c r="Q218" i="1"/>
  <c r="S218" i="1" s="1"/>
  <c r="Q219" i="1"/>
  <c r="S219" i="1" s="1"/>
  <c r="Q220" i="1"/>
  <c r="S220" i="1" s="1"/>
  <c r="Q221" i="1"/>
  <c r="S221" i="1" s="1"/>
  <c r="Q222" i="1"/>
  <c r="S222" i="1" s="1"/>
  <c r="Q223" i="1"/>
  <c r="S223" i="1" s="1"/>
  <c r="Q224" i="1"/>
  <c r="S224" i="1" s="1"/>
  <c r="Q225" i="1"/>
  <c r="S225" i="1" s="1"/>
  <c r="Q226" i="1"/>
  <c r="S226" i="1" s="1"/>
  <c r="Q227" i="1"/>
  <c r="S227" i="1" s="1"/>
  <c r="Q228" i="1"/>
  <c r="S228" i="1" s="1"/>
  <c r="Q229" i="1"/>
  <c r="S229" i="1" s="1"/>
  <c r="J229" i="1"/>
  <c r="K229" i="1" s="1"/>
  <c r="N229" i="1" s="1"/>
  <c r="Q231" i="1"/>
  <c r="S231" i="1" s="1"/>
  <c r="J231" i="1"/>
  <c r="K231" i="1" s="1"/>
  <c r="N231" i="1" s="1"/>
  <c r="Q233" i="1"/>
  <c r="S233" i="1" s="1"/>
  <c r="J233" i="1"/>
  <c r="K233" i="1" s="1"/>
  <c r="N233" i="1" s="1"/>
  <c r="Q235" i="1"/>
  <c r="S235" i="1" s="1"/>
  <c r="J235" i="1"/>
  <c r="J236" i="1"/>
  <c r="K236" i="1" s="1"/>
  <c r="N236" i="1" s="1"/>
  <c r="J237" i="1"/>
  <c r="K237" i="1" s="1"/>
  <c r="N237" i="1" s="1"/>
  <c r="J238" i="1"/>
  <c r="K238" i="1" s="1"/>
  <c r="N238" i="1" s="1"/>
  <c r="J251" i="1"/>
  <c r="K251" i="1" s="1"/>
  <c r="N251" i="1" s="1"/>
  <c r="J253" i="1"/>
  <c r="K253" i="1" s="1"/>
  <c r="N253" i="1" s="1"/>
  <c r="J255" i="1"/>
  <c r="K255" i="1" s="1"/>
  <c r="N255" i="1" s="1"/>
  <c r="J257" i="1"/>
  <c r="K257" i="1" s="1"/>
  <c r="N257" i="1" s="1"/>
  <c r="J259" i="1"/>
  <c r="K259" i="1" s="1"/>
  <c r="N259" i="1" s="1"/>
  <c r="J261" i="1"/>
  <c r="K261" i="1" s="1"/>
  <c r="N261" i="1" s="1"/>
  <c r="J263" i="1"/>
  <c r="K263" i="1" s="1"/>
  <c r="N263" i="1" s="1"/>
  <c r="J264" i="1"/>
  <c r="K264" i="1" s="1"/>
  <c r="N264" i="1" s="1"/>
  <c r="Q264" i="1"/>
  <c r="S264" i="1" s="1"/>
  <c r="J269" i="1"/>
  <c r="K269" i="1" s="1"/>
  <c r="N269" i="1" s="1"/>
  <c r="Q269" i="1"/>
  <c r="S269" i="1" s="1"/>
  <c r="J273" i="1"/>
  <c r="Q273" i="1"/>
  <c r="S273" i="1" s="1"/>
  <c r="J277" i="1"/>
  <c r="K277" i="1" s="1"/>
  <c r="N277" i="1" s="1"/>
  <c r="Q277" i="1"/>
  <c r="S277" i="1" s="1"/>
  <c r="N280" i="1"/>
  <c r="N281" i="1"/>
  <c r="N283" i="1"/>
  <c r="N284" i="1"/>
  <c r="N286" i="1"/>
  <c r="N287" i="1"/>
  <c r="N288" i="1"/>
  <c r="N289" i="1"/>
  <c r="N290" i="1"/>
  <c r="N291" i="1"/>
  <c r="J268" i="1"/>
  <c r="K268" i="1" s="1"/>
  <c r="N268" i="1" s="1"/>
  <c r="Q268" i="1"/>
  <c r="S268" i="1" s="1"/>
  <c r="J272" i="1"/>
  <c r="K272" i="1" s="1"/>
  <c r="N272" i="1" s="1"/>
  <c r="Q272" i="1"/>
  <c r="S272" i="1" s="1"/>
  <c r="J276" i="1"/>
  <c r="K276" i="1" s="1"/>
  <c r="N276" i="1" s="1"/>
  <c r="Q276" i="1"/>
  <c r="S276" i="1" s="1"/>
  <c r="J252" i="1"/>
  <c r="K252" i="1" s="1"/>
  <c r="N252" i="1" s="1"/>
  <c r="J254" i="1"/>
  <c r="K254" i="1" s="1"/>
  <c r="N254" i="1" s="1"/>
  <c r="J256" i="1"/>
  <c r="K256" i="1" s="1"/>
  <c r="N256" i="1" s="1"/>
  <c r="J258" i="1"/>
  <c r="K258" i="1" s="1"/>
  <c r="N258" i="1" s="1"/>
  <c r="J260" i="1"/>
  <c r="K260" i="1" s="1"/>
  <c r="N260" i="1" s="1"/>
  <c r="J262" i="1"/>
  <c r="K262" i="1" s="1"/>
  <c r="N262" i="1" s="1"/>
  <c r="J265" i="1"/>
  <c r="K265" i="1" s="1"/>
  <c r="N265" i="1" s="1"/>
  <c r="Q265" i="1"/>
  <c r="S265" i="1" s="1"/>
  <c r="J267" i="1"/>
  <c r="K267" i="1" s="1"/>
  <c r="N267" i="1" s="1"/>
  <c r="Q267" i="1"/>
  <c r="S267" i="1" s="1"/>
  <c r="J271" i="1"/>
  <c r="K271" i="1" s="1"/>
  <c r="N271" i="1" s="1"/>
  <c r="Q271" i="1"/>
  <c r="S271" i="1" s="1"/>
  <c r="K273" i="1"/>
  <c r="N273" i="1" s="1"/>
  <c r="J275" i="1"/>
  <c r="K275" i="1" s="1"/>
  <c r="N275" i="1" s="1"/>
  <c r="Q275" i="1"/>
  <c r="S275" i="1" s="1"/>
  <c r="J279" i="1"/>
  <c r="K279" i="1" s="1"/>
  <c r="N279" i="1" s="1"/>
  <c r="Q279" i="1"/>
  <c r="S279" i="1" s="1"/>
  <c r="J266" i="1"/>
  <c r="K266" i="1" s="1"/>
  <c r="N266" i="1" s="1"/>
  <c r="Q266" i="1"/>
  <c r="S266" i="1" s="1"/>
  <c r="J270" i="1"/>
  <c r="K270" i="1" s="1"/>
  <c r="N270" i="1" s="1"/>
  <c r="Q270" i="1"/>
  <c r="S270" i="1" s="1"/>
  <c r="J274" i="1"/>
  <c r="K274" i="1" s="1"/>
  <c r="N274" i="1" s="1"/>
  <c r="Q274" i="1"/>
  <c r="S274" i="1" s="1"/>
  <c r="J278" i="1"/>
  <c r="K278" i="1" s="1"/>
  <c r="N278" i="1" s="1"/>
  <c r="Q278" i="1"/>
  <c r="S278" i="1" s="1"/>
  <c r="Q280" i="1"/>
  <c r="S280" i="1" s="1"/>
  <c r="Q281" i="1"/>
  <c r="S281" i="1" s="1"/>
  <c r="Q283" i="1"/>
  <c r="S283" i="1" s="1"/>
  <c r="Q284" i="1"/>
  <c r="S284" i="1" s="1"/>
  <c r="Q286" i="1"/>
  <c r="S286" i="1" s="1"/>
  <c r="Q287" i="1"/>
  <c r="S287" i="1" s="1"/>
  <c r="Q288" i="1"/>
  <c r="S288" i="1" s="1"/>
  <c r="Q289" i="1"/>
  <c r="S289" i="1" s="1"/>
  <c r="Q290" i="1"/>
  <c r="S290" i="1" s="1"/>
  <c r="Q291" i="1"/>
  <c r="S291" i="1" s="1"/>
  <c r="Q296" i="1"/>
  <c r="S296" i="1" s="1"/>
  <c r="J296" i="1"/>
  <c r="K296" i="1" s="1"/>
  <c r="N296" i="1" s="1"/>
  <c r="K301" i="1"/>
  <c r="N301" i="1" s="1"/>
  <c r="J282" i="1"/>
  <c r="K282" i="1" s="1"/>
  <c r="N282" i="1" s="1"/>
  <c r="J285" i="1"/>
  <c r="K285" i="1" s="1"/>
  <c r="N285" i="1" s="1"/>
  <c r="J292" i="1"/>
  <c r="K292" i="1" s="1"/>
  <c r="N292" i="1" s="1"/>
  <c r="J293" i="1"/>
  <c r="K293" i="1" s="1"/>
  <c r="N293" i="1" s="1"/>
  <c r="Q294" i="1"/>
  <c r="S294" i="1" s="1"/>
  <c r="J294" i="1"/>
  <c r="K294" i="1" s="1"/>
  <c r="N294" i="1" s="1"/>
  <c r="J299" i="1"/>
  <c r="K299" i="1" s="1"/>
  <c r="N299" i="1" s="1"/>
  <c r="J297" i="1"/>
  <c r="K297" i="1" s="1"/>
  <c r="N297" i="1" s="1"/>
  <c r="Q298" i="1"/>
  <c r="S298" i="1" s="1"/>
  <c r="J298" i="1"/>
  <c r="K298" i="1" s="1"/>
  <c r="N298" i="1" s="1"/>
  <c r="J300" i="1"/>
  <c r="K300" i="1" s="1"/>
  <c r="N300" i="1" s="1"/>
  <c r="J312" i="1"/>
  <c r="K312" i="1" s="1"/>
  <c r="N312" i="1" s="1"/>
  <c r="J316" i="1"/>
  <c r="K316" i="1" s="1"/>
  <c r="N316" i="1" s="1"/>
  <c r="N322" i="1"/>
  <c r="J328" i="1"/>
  <c r="K328" i="1" s="1"/>
  <c r="N328" i="1" s="1"/>
  <c r="Q328" i="1"/>
  <c r="S328" i="1" s="1"/>
  <c r="K323" i="1"/>
  <c r="N323" i="1" s="1"/>
  <c r="J329" i="1"/>
  <c r="K329" i="1" s="1"/>
  <c r="N329" i="1" s="1"/>
  <c r="Q329" i="1"/>
  <c r="S329" i="1" s="1"/>
  <c r="N321" i="1"/>
  <c r="N302" i="1"/>
  <c r="N305" i="1"/>
  <c r="N306" i="1"/>
  <c r="N307" i="1"/>
  <c r="N308" i="1"/>
  <c r="N309" i="1"/>
  <c r="N310" i="1"/>
  <c r="N311" i="1"/>
  <c r="N313" i="1"/>
  <c r="N314" i="1"/>
  <c r="N315" i="1"/>
  <c r="N317" i="1"/>
  <c r="N318" i="1"/>
  <c r="N319" i="1"/>
  <c r="N320" i="1"/>
  <c r="K321" i="1"/>
  <c r="K325" i="1"/>
  <c r="N325" i="1" s="1"/>
  <c r="J327" i="1"/>
  <c r="K327" i="1" s="1"/>
  <c r="N327" i="1" s="1"/>
  <c r="Q327" i="1"/>
  <c r="S327" i="1" s="1"/>
  <c r="J331" i="1"/>
  <c r="K331" i="1" s="1"/>
  <c r="N331" i="1" s="1"/>
  <c r="Q331" i="1"/>
  <c r="S331" i="1" s="1"/>
  <c r="J335" i="1"/>
  <c r="K335" i="1" s="1"/>
  <c r="N335" i="1" s="1"/>
  <c r="Q335" i="1"/>
  <c r="S335" i="1" s="1"/>
  <c r="J339" i="1"/>
  <c r="Q339" i="1"/>
  <c r="S339" i="1" s="1"/>
  <c r="J343" i="1"/>
  <c r="K343" i="1" s="1"/>
  <c r="N343" i="1" s="1"/>
  <c r="Q343" i="1"/>
  <c r="S343" i="1" s="1"/>
  <c r="K326" i="1"/>
  <c r="N326" i="1" s="1"/>
  <c r="J330" i="1"/>
  <c r="K330" i="1" s="1"/>
  <c r="N330" i="1" s="1"/>
  <c r="Q330" i="1"/>
  <c r="S330" i="1" s="1"/>
  <c r="J334" i="1"/>
  <c r="K334" i="1" s="1"/>
  <c r="N334" i="1" s="1"/>
  <c r="Q334" i="1"/>
  <c r="S334" i="1" s="1"/>
  <c r="J338" i="1"/>
  <c r="K338" i="1" s="1"/>
  <c r="N338" i="1" s="1"/>
  <c r="Q338" i="1"/>
  <c r="S338" i="1" s="1"/>
  <c r="J340" i="1"/>
  <c r="Q340" i="1"/>
  <c r="S340" i="1" s="1"/>
  <c r="J344" i="1"/>
  <c r="K344" i="1" s="1"/>
  <c r="N344" i="1" s="1"/>
  <c r="Q344" i="1"/>
  <c r="S344" i="1" s="1"/>
  <c r="J333" i="1"/>
  <c r="K333" i="1" s="1"/>
  <c r="N333" i="1" s="1"/>
  <c r="Q333" i="1"/>
  <c r="S333" i="1" s="1"/>
  <c r="J337" i="1"/>
  <c r="K337" i="1" s="1"/>
  <c r="N337" i="1" s="1"/>
  <c r="Q337" i="1"/>
  <c r="S337" i="1" s="1"/>
  <c r="K339" i="1"/>
  <c r="N339" i="1" s="1"/>
  <c r="J341" i="1"/>
  <c r="K341" i="1" s="1"/>
  <c r="N341" i="1" s="1"/>
  <c r="Q341" i="1"/>
  <c r="S341" i="1" s="1"/>
  <c r="J345" i="1"/>
  <c r="K345" i="1" s="1"/>
  <c r="N345" i="1" s="1"/>
  <c r="Q345" i="1"/>
  <c r="S345" i="1" s="1"/>
  <c r="O347" i="1"/>
  <c r="P347" i="1" s="1"/>
  <c r="T347" i="1" s="1"/>
  <c r="J332" i="1"/>
  <c r="K332" i="1" s="1"/>
  <c r="N332" i="1" s="1"/>
  <c r="Q332" i="1"/>
  <c r="S332" i="1" s="1"/>
  <c r="J336" i="1"/>
  <c r="K336" i="1" s="1"/>
  <c r="N336" i="1" s="1"/>
  <c r="Q336" i="1"/>
  <c r="S336" i="1" s="1"/>
  <c r="K340" i="1"/>
  <c r="N340" i="1" s="1"/>
  <c r="J342" i="1"/>
  <c r="K342" i="1" s="1"/>
  <c r="N342" i="1" s="1"/>
  <c r="Q342" i="1"/>
  <c r="S342" i="1" s="1"/>
  <c r="J346" i="1"/>
  <c r="K346" i="1" s="1"/>
  <c r="N346" i="1" s="1"/>
  <c r="Q346" i="1"/>
  <c r="S346" i="1" s="1"/>
  <c r="Q347" i="1"/>
  <c r="S347" i="1" s="1"/>
  <c r="J348" i="1" l="1"/>
  <c r="K348" i="1" s="1"/>
  <c r="N348" i="1" s="1"/>
  <c r="P295" i="1"/>
  <c r="T295" i="1" s="1"/>
  <c r="O295" i="1"/>
  <c r="O324" i="1"/>
  <c r="P324" i="1" s="1"/>
  <c r="T324" i="1" s="1"/>
  <c r="O123" i="1"/>
  <c r="P123" i="1" s="1"/>
  <c r="T123" i="1" s="1"/>
  <c r="O128" i="1"/>
  <c r="P128" i="1" s="1"/>
  <c r="T128" i="1" s="1"/>
  <c r="O126" i="1"/>
  <c r="P126" i="1" s="1"/>
  <c r="T126" i="1" s="1"/>
  <c r="P132" i="1"/>
  <c r="T132" i="1" s="1"/>
  <c r="W132" i="1" s="1"/>
  <c r="Y132" i="1" s="1"/>
  <c r="P114" i="1"/>
  <c r="T114" i="1" s="1"/>
  <c r="O336" i="1"/>
  <c r="P336" i="1" s="1"/>
  <c r="T336" i="1" s="1"/>
  <c r="O334" i="1"/>
  <c r="P334" i="1" s="1"/>
  <c r="T334" i="1" s="1"/>
  <c r="O292" i="1"/>
  <c r="P292" i="1" s="1"/>
  <c r="T292" i="1" s="1"/>
  <c r="O272" i="1"/>
  <c r="P272" i="1" s="1"/>
  <c r="T272" i="1" s="1"/>
  <c r="O275" i="1"/>
  <c r="P275" i="1" s="1"/>
  <c r="T275" i="1" s="1"/>
  <c r="U239" i="1"/>
  <c r="V239" i="1" s="1"/>
  <c r="W239" i="1"/>
  <c r="Y239" i="1" s="1"/>
  <c r="W240" i="1"/>
  <c r="Y240" i="1" s="1"/>
  <c r="U240" i="1"/>
  <c r="V240" i="1" s="1"/>
  <c r="O342" i="1"/>
  <c r="P342" i="1" s="1"/>
  <c r="T342" i="1" s="1"/>
  <c r="O339" i="1"/>
  <c r="P339" i="1" s="1"/>
  <c r="T339" i="1" s="1"/>
  <c r="O327" i="1"/>
  <c r="P327" i="1" s="1"/>
  <c r="T327" i="1" s="1"/>
  <c r="O294" i="1"/>
  <c r="P294" i="1" s="1"/>
  <c r="T294" i="1" s="1"/>
  <c r="O285" i="1"/>
  <c r="P285" i="1" s="1"/>
  <c r="T285" i="1" s="1"/>
  <c r="O266" i="1"/>
  <c r="P266" i="1" s="1"/>
  <c r="T266" i="1" s="1"/>
  <c r="O279" i="1"/>
  <c r="P279" i="1" s="1"/>
  <c r="T279" i="1" s="1"/>
  <c r="U245" i="1"/>
  <c r="V245" i="1" s="1"/>
  <c r="W245" i="1"/>
  <c r="Y245" i="1" s="1"/>
  <c r="W246" i="1"/>
  <c r="Y246" i="1" s="1"/>
  <c r="U246" i="1"/>
  <c r="V246" i="1" s="1"/>
  <c r="O195" i="1"/>
  <c r="P195" i="1" s="1"/>
  <c r="T195" i="1" s="1"/>
  <c r="O191" i="1"/>
  <c r="P191" i="1" s="1"/>
  <c r="T191" i="1" s="1"/>
  <c r="O183" i="1"/>
  <c r="P183" i="1" s="1"/>
  <c r="T183" i="1" s="1"/>
  <c r="O169" i="1"/>
  <c r="P169" i="1" s="1"/>
  <c r="T169" i="1" s="1"/>
  <c r="O163" i="1"/>
  <c r="P163" i="1" s="1"/>
  <c r="T163" i="1" s="1"/>
  <c r="O147" i="1"/>
  <c r="P147" i="1" s="1"/>
  <c r="T147" i="1" s="1"/>
  <c r="O170" i="1"/>
  <c r="P170" i="1" s="1"/>
  <c r="T170" i="1" s="1"/>
  <c r="O156" i="1"/>
  <c r="P156" i="1" s="1"/>
  <c r="T156" i="1" s="1"/>
  <c r="O140" i="1"/>
  <c r="P140" i="1" s="1"/>
  <c r="T140" i="1" s="1"/>
  <c r="O104" i="1"/>
  <c r="P104" i="1" s="1"/>
  <c r="T104" i="1" s="1"/>
  <c r="O96" i="1"/>
  <c r="P96" i="1" s="1"/>
  <c r="T96" i="1" s="1"/>
  <c r="O92" i="1"/>
  <c r="P92" i="1" s="1"/>
  <c r="T92" i="1" s="1"/>
  <c r="O88" i="1"/>
  <c r="P88" i="1" s="1"/>
  <c r="T88" i="1" s="1"/>
  <c r="U109" i="1"/>
  <c r="V109" i="1" s="1"/>
  <c r="W109" i="1"/>
  <c r="Y109" i="1" s="1"/>
  <c r="O346" i="1"/>
  <c r="P346" i="1" s="1"/>
  <c r="T346" i="1" s="1"/>
  <c r="O340" i="1"/>
  <c r="P340" i="1" s="1"/>
  <c r="T340" i="1" s="1"/>
  <c r="O332" i="1"/>
  <c r="P332" i="1" s="1"/>
  <c r="T332" i="1" s="1"/>
  <c r="O343" i="1"/>
  <c r="P343" i="1" s="1"/>
  <c r="T343" i="1" s="1"/>
  <c r="O333" i="1"/>
  <c r="P333" i="1" s="1"/>
  <c r="T333" i="1" s="1"/>
  <c r="O338" i="1"/>
  <c r="P338" i="1" s="1"/>
  <c r="T338" i="1" s="1"/>
  <c r="O331" i="1"/>
  <c r="P331" i="1" s="1"/>
  <c r="T331" i="1" s="1"/>
  <c r="P325" i="1"/>
  <c r="T325" i="1" s="1"/>
  <c r="O325" i="1"/>
  <c r="P323" i="1"/>
  <c r="T323" i="1" s="1"/>
  <c r="O323" i="1"/>
  <c r="O316" i="1"/>
  <c r="P316" i="1" s="1"/>
  <c r="T316" i="1" s="1"/>
  <c r="O282" i="1"/>
  <c r="P282" i="1" s="1"/>
  <c r="T282" i="1" s="1"/>
  <c r="O269" i="1"/>
  <c r="P269" i="1" s="1"/>
  <c r="T269" i="1" s="1"/>
  <c r="O276" i="1"/>
  <c r="P276" i="1" s="1"/>
  <c r="T276" i="1" s="1"/>
  <c r="O268" i="1"/>
  <c r="P268" i="1" s="1"/>
  <c r="T268" i="1" s="1"/>
  <c r="O267" i="1"/>
  <c r="P267" i="1" s="1"/>
  <c r="T267" i="1" s="1"/>
  <c r="P261" i="1"/>
  <c r="T261" i="1" s="1"/>
  <c r="O261" i="1"/>
  <c r="P253" i="1"/>
  <c r="T253" i="1" s="1"/>
  <c r="O253" i="1"/>
  <c r="P236" i="1"/>
  <c r="T236" i="1" s="1"/>
  <c r="O236" i="1"/>
  <c r="U243" i="1"/>
  <c r="V243" i="1" s="1"/>
  <c r="W243" i="1"/>
  <c r="Y243" i="1" s="1"/>
  <c r="W244" i="1"/>
  <c r="Y244" i="1" s="1"/>
  <c r="U244" i="1"/>
  <c r="V244" i="1" s="1"/>
  <c r="O234" i="1"/>
  <c r="P234" i="1" s="1"/>
  <c r="T234" i="1" s="1"/>
  <c r="O230" i="1"/>
  <c r="P230" i="1" s="1"/>
  <c r="T230" i="1" s="1"/>
  <c r="O212" i="1"/>
  <c r="P212" i="1" s="1"/>
  <c r="T212" i="1" s="1"/>
  <c r="O213" i="1"/>
  <c r="P213" i="1" s="1"/>
  <c r="T213" i="1" s="1"/>
  <c r="O196" i="1"/>
  <c r="P196" i="1" s="1"/>
  <c r="T196" i="1" s="1"/>
  <c r="O192" i="1"/>
  <c r="P192" i="1" s="1"/>
  <c r="T192" i="1" s="1"/>
  <c r="O188" i="1"/>
  <c r="P188" i="1" s="1"/>
  <c r="T188" i="1" s="1"/>
  <c r="O184" i="1"/>
  <c r="P184" i="1" s="1"/>
  <c r="T184" i="1" s="1"/>
  <c r="O151" i="1"/>
  <c r="P151" i="1" s="1"/>
  <c r="T151" i="1" s="1"/>
  <c r="O135" i="1"/>
  <c r="P135" i="1" s="1"/>
  <c r="T135" i="1" s="1"/>
  <c r="O160" i="1"/>
  <c r="P160" i="1" s="1"/>
  <c r="T160" i="1" s="1"/>
  <c r="O144" i="1"/>
  <c r="P144" i="1" s="1"/>
  <c r="T144" i="1" s="1"/>
  <c r="O157" i="1"/>
  <c r="P157" i="1" s="1"/>
  <c r="T157" i="1" s="1"/>
  <c r="O149" i="1"/>
  <c r="P149" i="1" s="1"/>
  <c r="T149" i="1" s="1"/>
  <c r="O141" i="1"/>
  <c r="P141" i="1" s="1"/>
  <c r="T141" i="1" s="1"/>
  <c r="O103" i="1"/>
  <c r="P103" i="1" s="1"/>
  <c r="T103" i="1" s="1"/>
  <c r="O99" i="1"/>
  <c r="P99" i="1" s="1"/>
  <c r="T99" i="1" s="1"/>
  <c r="O95" i="1"/>
  <c r="P95" i="1" s="1"/>
  <c r="T95" i="1" s="1"/>
  <c r="O91" i="1"/>
  <c r="P91" i="1" s="1"/>
  <c r="T91" i="1" s="1"/>
  <c r="O87" i="1"/>
  <c r="P87" i="1" s="1"/>
  <c r="T87" i="1" s="1"/>
  <c r="U119" i="1"/>
  <c r="V119" i="1" s="1"/>
  <c r="W119" i="1"/>
  <c r="Y119" i="1" s="1"/>
  <c r="U111" i="1"/>
  <c r="V111" i="1" s="1"/>
  <c r="W111" i="1"/>
  <c r="Y111" i="1" s="1"/>
  <c r="U122" i="1"/>
  <c r="V122" i="1" s="1"/>
  <c r="W122" i="1"/>
  <c r="Y122" i="1" s="1"/>
  <c r="O344" i="1"/>
  <c r="P344" i="1" s="1"/>
  <c r="T344" i="1" s="1"/>
  <c r="W347" i="1"/>
  <c r="Y347" i="1" s="1"/>
  <c r="U347" i="1"/>
  <c r="V347" i="1" s="1"/>
  <c r="O337" i="1"/>
  <c r="P337" i="1" s="1"/>
  <c r="T337" i="1" s="1"/>
  <c r="O330" i="1"/>
  <c r="P330" i="1" s="1"/>
  <c r="T330" i="1" s="1"/>
  <c r="O312" i="1"/>
  <c r="P312" i="1" s="1"/>
  <c r="T312" i="1" s="1"/>
  <c r="O293" i="1"/>
  <c r="P293" i="1" s="1"/>
  <c r="T293" i="1" s="1"/>
  <c r="O301" i="1"/>
  <c r="P301" i="1" s="1"/>
  <c r="T301" i="1" s="1"/>
  <c r="O278" i="1"/>
  <c r="P278" i="1" s="1"/>
  <c r="T278" i="1" s="1"/>
  <c r="O270" i="1"/>
  <c r="P270" i="1" s="1"/>
  <c r="T270" i="1" s="1"/>
  <c r="O273" i="1"/>
  <c r="P273" i="1" s="1"/>
  <c r="T273" i="1" s="1"/>
  <c r="O271" i="1"/>
  <c r="P271" i="1" s="1"/>
  <c r="T271" i="1" s="1"/>
  <c r="O259" i="1"/>
  <c r="P259" i="1" s="1"/>
  <c r="T259" i="1" s="1"/>
  <c r="O251" i="1"/>
  <c r="P251" i="1" s="1"/>
  <c r="T251" i="1" s="1"/>
  <c r="O231" i="1"/>
  <c r="P231" i="1" s="1"/>
  <c r="T231" i="1" s="1"/>
  <c r="U249" i="1"/>
  <c r="V249" i="1" s="1"/>
  <c r="W249" i="1"/>
  <c r="Y249" i="1" s="1"/>
  <c r="U241" i="1"/>
  <c r="V241" i="1" s="1"/>
  <c r="W241" i="1"/>
  <c r="Y241" i="1" s="1"/>
  <c r="W250" i="1"/>
  <c r="Y250" i="1" s="1"/>
  <c r="U250" i="1"/>
  <c r="W242" i="1"/>
  <c r="Y242" i="1" s="1"/>
  <c r="U242" i="1"/>
  <c r="V242" i="1" s="1"/>
  <c r="O193" i="1"/>
  <c r="P193" i="1" s="1"/>
  <c r="T193" i="1" s="1"/>
  <c r="O189" i="1"/>
  <c r="P189" i="1" s="1"/>
  <c r="T189" i="1" s="1"/>
  <c r="O185" i="1"/>
  <c r="P185" i="1" s="1"/>
  <c r="T185" i="1" s="1"/>
  <c r="O211" i="1"/>
  <c r="P211" i="1" s="1"/>
  <c r="T211" i="1" s="1"/>
  <c r="O155" i="1"/>
  <c r="P155" i="1" s="1"/>
  <c r="T155" i="1" s="1"/>
  <c r="O139" i="1"/>
  <c r="P139" i="1" s="1"/>
  <c r="T139" i="1" s="1"/>
  <c r="O164" i="1"/>
  <c r="P164" i="1" s="1"/>
  <c r="T164" i="1" s="1"/>
  <c r="O148" i="1"/>
  <c r="P148" i="1" s="1"/>
  <c r="T148" i="1" s="1"/>
  <c r="O124" i="1"/>
  <c r="P124" i="1" s="1"/>
  <c r="T124" i="1" s="1"/>
  <c r="O121" i="1"/>
  <c r="P121" i="1" s="1"/>
  <c r="T121" i="1" s="1"/>
  <c r="U113" i="1"/>
  <c r="V113" i="1" s="1"/>
  <c r="W113" i="1"/>
  <c r="Y113" i="1" s="1"/>
  <c r="O300" i="1"/>
  <c r="P300" i="1" s="1"/>
  <c r="T300" i="1" s="1"/>
  <c r="U247" i="1"/>
  <c r="V247" i="1" s="1"/>
  <c r="W247" i="1"/>
  <c r="Y247" i="1" s="1"/>
  <c r="O232" i="1"/>
  <c r="P232" i="1" s="1"/>
  <c r="T232" i="1" s="1"/>
  <c r="O210" i="1"/>
  <c r="P210" i="1" s="1"/>
  <c r="T210" i="1" s="1"/>
  <c r="O206" i="1"/>
  <c r="P206" i="1" s="1"/>
  <c r="T206" i="1" s="1"/>
  <c r="O202" i="1"/>
  <c r="P202" i="1" s="1"/>
  <c r="T202" i="1" s="1"/>
  <c r="O198" i="1"/>
  <c r="P198" i="1" s="1"/>
  <c r="T198" i="1" s="1"/>
  <c r="O209" i="1"/>
  <c r="P209" i="1" s="1"/>
  <c r="T209" i="1" s="1"/>
  <c r="O205" i="1"/>
  <c r="P205" i="1" s="1"/>
  <c r="T205" i="1" s="1"/>
  <c r="O201" i="1"/>
  <c r="P201" i="1" s="1"/>
  <c r="T201" i="1" s="1"/>
  <c r="O197" i="1"/>
  <c r="P197" i="1" s="1"/>
  <c r="T197" i="1" s="1"/>
  <c r="O194" i="1"/>
  <c r="P194" i="1" s="1"/>
  <c r="T194" i="1" s="1"/>
  <c r="O190" i="1"/>
  <c r="P190" i="1" s="1"/>
  <c r="T190" i="1" s="1"/>
  <c r="O186" i="1"/>
  <c r="P186" i="1" s="1"/>
  <c r="T186" i="1" s="1"/>
  <c r="O182" i="1"/>
  <c r="P182" i="1" s="1"/>
  <c r="T182" i="1" s="1"/>
  <c r="O165" i="1"/>
  <c r="P165" i="1" s="1"/>
  <c r="T165" i="1" s="1"/>
  <c r="O159" i="1"/>
  <c r="P159" i="1" s="1"/>
  <c r="T159" i="1" s="1"/>
  <c r="O143" i="1"/>
  <c r="P143" i="1" s="1"/>
  <c r="T143" i="1" s="1"/>
  <c r="O167" i="1"/>
  <c r="P167" i="1" s="1"/>
  <c r="T167" i="1" s="1"/>
  <c r="O152" i="1"/>
  <c r="P152" i="1" s="1"/>
  <c r="T152" i="1" s="1"/>
  <c r="O136" i="1"/>
  <c r="P136" i="1" s="1"/>
  <c r="T136" i="1" s="1"/>
  <c r="O171" i="1"/>
  <c r="P171" i="1" s="1"/>
  <c r="T171" i="1" s="1"/>
  <c r="O161" i="1"/>
  <c r="P161" i="1" s="1"/>
  <c r="T161" i="1" s="1"/>
  <c r="O153" i="1"/>
  <c r="P153" i="1" s="1"/>
  <c r="T153" i="1" s="1"/>
  <c r="O145" i="1"/>
  <c r="P145" i="1" s="1"/>
  <c r="T145" i="1" s="1"/>
  <c r="O137" i="1"/>
  <c r="P137" i="1" s="1"/>
  <c r="T137" i="1" s="1"/>
  <c r="O101" i="1"/>
  <c r="P101" i="1" s="1"/>
  <c r="T101" i="1" s="1"/>
  <c r="O97" i="1"/>
  <c r="P97" i="1" s="1"/>
  <c r="T97" i="1" s="1"/>
  <c r="O93" i="1"/>
  <c r="P93" i="1" s="1"/>
  <c r="T93" i="1" s="1"/>
  <c r="O89" i="1"/>
  <c r="P89" i="1" s="1"/>
  <c r="T89" i="1" s="1"/>
  <c r="O85" i="1"/>
  <c r="P85" i="1" s="1"/>
  <c r="T85" i="1" s="1"/>
  <c r="U115" i="1"/>
  <c r="V115" i="1" s="1"/>
  <c r="W115" i="1"/>
  <c r="Y115" i="1" s="1"/>
  <c r="O335" i="1"/>
  <c r="P335" i="1" s="1"/>
  <c r="T335" i="1" s="1"/>
  <c r="O326" i="1"/>
  <c r="P326" i="1" s="1"/>
  <c r="T326" i="1" s="1"/>
  <c r="O328" i="1"/>
  <c r="P328" i="1" s="1"/>
  <c r="T328" i="1" s="1"/>
  <c r="O277" i="1"/>
  <c r="P277" i="1" s="1"/>
  <c r="T277" i="1" s="1"/>
  <c r="O238" i="1"/>
  <c r="P238" i="1" s="1"/>
  <c r="T238" i="1" s="1"/>
  <c r="W248" i="1"/>
  <c r="Y248" i="1" s="1"/>
  <c r="U248" i="1"/>
  <c r="V248" i="1" s="1"/>
  <c r="O274" i="1"/>
  <c r="P274" i="1" s="1"/>
  <c r="T274" i="1" s="1"/>
  <c r="O214" i="1"/>
  <c r="P214" i="1" s="1"/>
  <c r="T214" i="1" s="1"/>
  <c r="O187" i="1"/>
  <c r="P187" i="1" s="1"/>
  <c r="T187" i="1" s="1"/>
  <c r="O130" i="1"/>
  <c r="P130" i="1" s="1"/>
  <c r="T130" i="1" s="1"/>
  <c r="O100" i="1"/>
  <c r="P100" i="1" s="1"/>
  <c r="T100" i="1" s="1"/>
  <c r="U117" i="1"/>
  <c r="V117" i="1" s="1"/>
  <c r="W117" i="1"/>
  <c r="Y117" i="1" s="1"/>
  <c r="O297" i="1"/>
  <c r="P297" i="1" s="1"/>
  <c r="T297" i="1" s="1"/>
  <c r="O341" i="1"/>
  <c r="P341" i="1" s="1"/>
  <c r="T341" i="1" s="1"/>
  <c r="P319" i="1"/>
  <c r="T319" i="1" s="1"/>
  <c r="O319" i="1"/>
  <c r="O303" i="1"/>
  <c r="P303" i="1" s="1"/>
  <c r="T303" i="1" s="1"/>
  <c r="O329" i="1"/>
  <c r="P329" i="1" s="1"/>
  <c r="T329" i="1" s="1"/>
  <c r="O318" i="1"/>
  <c r="P318" i="1" s="1"/>
  <c r="T318" i="1" s="1"/>
  <c r="O310" i="1"/>
  <c r="P310" i="1" s="1"/>
  <c r="T310" i="1" s="1"/>
  <c r="O306" i="1"/>
  <c r="P306" i="1" s="1"/>
  <c r="T306" i="1" s="1"/>
  <c r="O265" i="1"/>
  <c r="P265" i="1" s="1"/>
  <c r="T265" i="1" s="1"/>
  <c r="O289" i="1"/>
  <c r="P289" i="1" s="1"/>
  <c r="T289" i="1" s="1"/>
  <c r="O281" i="1"/>
  <c r="P281" i="1" s="1"/>
  <c r="T281" i="1" s="1"/>
  <c r="O317" i="1"/>
  <c r="P317" i="1" s="1"/>
  <c r="T317" i="1" s="1"/>
  <c r="O313" i="1"/>
  <c r="P313" i="1" s="1"/>
  <c r="T313" i="1" s="1"/>
  <c r="O309" i="1"/>
  <c r="P309" i="1" s="1"/>
  <c r="T309" i="1" s="1"/>
  <c r="O305" i="1"/>
  <c r="P305" i="1" s="1"/>
  <c r="T305" i="1" s="1"/>
  <c r="O322" i="1"/>
  <c r="P322" i="1" s="1"/>
  <c r="T322" i="1" s="1"/>
  <c r="O298" i="1"/>
  <c r="P298" i="1" s="1"/>
  <c r="T298" i="1" s="1"/>
  <c r="P262" i="1"/>
  <c r="T262" i="1" s="1"/>
  <c r="O262" i="1"/>
  <c r="O254" i="1"/>
  <c r="P254" i="1" s="1"/>
  <c r="T254" i="1" s="1"/>
  <c r="O288" i="1"/>
  <c r="P288" i="1" s="1"/>
  <c r="T288" i="1" s="1"/>
  <c r="O284" i="1"/>
  <c r="P284" i="1" s="1"/>
  <c r="T284" i="1" s="1"/>
  <c r="O280" i="1"/>
  <c r="P280" i="1" s="1"/>
  <c r="T280" i="1" s="1"/>
  <c r="O225" i="1"/>
  <c r="P225" i="1" s="1"/>
  <c r="T225" i="1" s="1"/>
  <c r="O221" i="1"/>
  <c r="P221" i="1" s="1"/>
  <c r="T221" i="1" s="1"/>
  <c r="O217" i="1"/>
  <c r="P217" i="1" s="1"/>
  <c r="T217" i="1" s="1"/>
  <c r="U132" i="1"/>
  <c r="V132" i="1" s="1"/>
  <c r="O179" i="1"/>
  <c r="P179" i="1" s="1"/>
  <c r="T179" i="1" s="1"/>
  <c r="O175" i="1"/>
  <c r="P175" i="1" s="1"/>
  <c r="T175" i="1" s="1"/>
  <c r="O106" i="1"/>
  <c r="P106" i="1" s="1"/>
  <c r="T106" i="1" s="1"/>
  <c r="S14" i="1"/>
  <c r="O83" i="1"/>
  <c r="P83" i="1" s="1"/>
  <c r="T83" i="1" s="1"/>
  <c r="O73" i="1"/>
  <c r="P73" i="1" s="1"/>
  <c r="T73" i="1" s="1"/>
  <c r="O62" i="1"/>
  <c r="P62" i="1" s="1"/>
  <c r="T62" i="1" s="1"/>
  <c r="O52" i="1"/>
  <c r="P52" i="1" s="1"/>
  <c r="T52" i="1" s="1"/>
  <c r="O41" i="1"/>
  <c r="P41" i="1" s="1"/>
  <c r="T41" i="1" s="1"/>
  <c r="O32" i="1"/>
  <c r="P32" i="1" s="1"/>
  <c r="T32" i="1" s="1"/>
  <c r="O22" i="1"/>
  <c r="P22" i="1" s="1"/>
  <c r="T22" i="1" s="1"/>
  <c r="O82" i="1"/>
  <c r="P82" i="1" s="1"/>
  <c r="T82" i="1" s="1"/>
  <c r="O76" i="1"/>
  <c r="P76" i="1" s="1"/>
  <c r="T76" i="1" s="1"/>
  <c r="O69" i="1"/>
  <c r="P69" i="1" s="1"/>
  <c r="T69" i="1" s="1"/>
  <c r="O63" i="1"/>
  <c r="P63" i="1" s="1"/>
  <c r="T63" i="1" s="1"/>
  <c r="O56" i="1"/>
  <c r="P56" i="1" s="1"/>
  <c r="T56" i="1" s="1"/>
  <c r="O50" i="1"/>
  <c r="P50" i="1" s="1"/>
  <c r="T50" i="1" s="1"/>
  <c r="O44" i="1"/>
  <c r="P44" i="1" s="1"/>
  <c r="T44" i="1" s="1"/>
  <c r="O37" i="1"/>
  <c r="P37" i="1" s="1"/>
  <c r="T37" i="1" s="1"/>
  <c r="O28" i="1"/>
  <c r="P28" i="1" s="1"/>
  <c r="T28" i="1" s="1"/>
  <c r="O21" i="1"/>
  <c r="P21" i="1" s="1"/>
  <c r="T21" i="1" s="1"/>
  <c r="O308" i="1"/>
  <c r="P308" i="1" s="1"/>
  <c r="T308" i="1" s="1"/>
  <c r="P260" i="1"/>
  <c r="T260" i="1" s="1"/>
  <c r="O260" i="1"/>
  <c r="O252" i="1"/>
  <c r="P252" i="1" s="1"/>
  <c r="T252" i="1" s="1"/>
  <c r="O291" i="1"/>
  <c r="P291" i="1" s="1"/>
  <c r="T291" i="1" s="1"/>
  <c r="O287" i="1"/>
  <c r="P287" i="1" s="1"/>
  <c r="T287" i="1" s="1"/>
  <c r="O283" i="1"/>
  <c r="P283" i="1" s="1"/>
  <c r="T283" i="1" s="1"/>
  <c r="O257" i="1"/>
  <c r="P257" i="1" s="1"/>
  <c r="T257" i="1" s="1"/>
  <c r="O237" i="1"/>
  <c r="P237" i="1" s="1"/>
  <c r="T237" i="1" s="1"/>
  <c r="O235" i="1"/>
  <c r="P235" i="1" s="1"/>
  <c r="T235" i="1" s="1"/>
  <c r="O207" i="1"/>
  <c r="P207" i="1" s="1"/>
  <c r="T207" i="1" s="1"/>
  <c r="O203" i="1"/>
  <c r="P203" i="1" s="1"/>
  <c r="T203" i="1" s="1"/>
  <c r="O199" i="1"/>
  <c r="P199" i="1" s="1"/>
  <c r="T199" i="1" s="1"/>
  <c r="O228" i="1"/>
  <c r="P228" i="1" s="1"/>
  <c r="T228" i="1" s="1"/>
  <c r="O224" i="1"/>
  <c r="P224" i="1" s="1"/>
  <c r="T224" i="1" s="1"/>
  <c r="O220" i="1"/>
  <c r="P220" i="1" s="1"/>
  <c r="T220" i="1" s="1"/>
  <c r="O216" i="1"/>
  <c r="P216" i="1" s="1"/>
  <c r="T216" i="1" s="1"/>
  <c r="O178" i="1"/>
  <c r="P178" i="1" s="1"/>
  <c r="T178" i="1" s="1"/>
  <c r="O174" i="1"/>
  <c r="P174" i="1" s="1"/>
  <c r="T174" i="1" s="1"/>
  <c r="O105" i="1"/>
  <c r="P105" i="1" s="1"/>
  <c r="T105" i="1" s="1"/>
  <c r="U131" i="1"/>
  <c r="V131" i="1" s="1"/>
  <c r="W131" i="1"/>
  <c r="Y131" i="1" s="1"/>
  <c r="K84" i="1"/>
  <c r="N84" i="1" s="1"/>
  <c r="O80" i="1"/>
  <c r="P80" i="1" s="1"/>
  <c r="T80" i="1" s="1"/>
  <c r="O70" i="1"/>
  <c r="P70" i="1"/>
  <c r="T70" i="1" s="1"/>
  <c r="O59" i="1"/>
  <c r="P59" i="1" s="1"/>
  <c r="T59" i="1" s="1"/>
  <c r="O48" i="1"/>
  <c r="P48" i="1"/>
  <c r="T48" i="1" s="1"/>
  <c r="O38" i="1"/>
  <c r="P38" i="1" s="1"/>
  <c r="T38" i="1" s="1"/>
  <c r="O30" i="1"/>
  <c r="P30" i="1"/>
  <c r="T30" i="1" s="1"/>
  <c r="O20" i="1"/>
  <c r="P20" i="1" s="1"/>
  <c r="T20" i="1" s="1"/>
  <c r="O81" i="1"/>
  <c r="P81" i="1"/>
  <c r="T81" i="1" s="1"/>
  <c r="O74" i="1"/>
  <c r="P74" i="1" s="1"/>
  <c r="T74" i="1" s="1"/>
  <c r="O68" i="1"/>
  <c r="P68" i="1"/>
  <c r="T68" i="1" s="1"/>
  <c r="O61" i="1"/>
  <c r="P61" i="1" s="1"/>
  <c r="T61" i="1" s="1"/>
  <c r="O54" i="1"/>
  <c r="P54" i="1"/>
  <c r="T54" i="1" s="1"/>
  <c r="O49" i="1"/>
  <c r="P49" i="1" s="1"/>
  <c r="T49" i="1" s="1"/>
  <c r="O42" i="1"/>
  <c r="P42" i="1"/>
  <c r="T42" i="1" s="1"/>
  <c r="O35" i="1"/>
  <c r="P35" i="1" s="1"/>
  <c r="T35" i="1" s="1"/>
  <c r="O26" i="1"/>
  <c r="P26" i="1"/>
  <c r="T26" i="1" s="1"/>
  <c r="O19" i="1"/>
  <c r="P19" i="1" s="1"/>
  <c r="T19" i="1" s="1"/>
  <c r="O311" i="1"/>
  <c r="P311" i="1" s="1"/>
  <c r="T311" i="1" s="1"/>
  <c r="O307" i="1"/>
  <c r="P307" i="1" s="1"/>
  <c r="T307" i="1" s="1"/>
  <c r="O321" i="1"/>
  <c r="P321" i="1" s="1"/>
  <c r="T321" i="1" s="1"/>
  <c r="O299" i="1"/>
  <c r="P299" i="1" s="1"/>
  <c r="T299" i="1" s="1"/>
  <c r="O296" i="1"/>
  <c r="P296" i="1" s="1"/>
  <c r="T296" i="1" s="1"/>
  <c r="W295" i="1"/>
  <c r="Y295" i="1" s="1"/>
  <c r="U295" i="1"/>
  <c r="V295" i="1" s="1"/>
  <c r="O258" i="1"/>
  <c r="P258" i="1" s="1"/>
  <c r="T258" i="1" s="1"/>
  <c r="O290" i="1"/>
  <c r="P290" i="1" s="1"/>
  <c r="T290" i="1" s="1"/>
  <c r="O286" i="1"/>
  <c r="P286" i="1"/>
  <c r="T286" i="1" s="1"/>
  <c r="O263" i="1"/>
  <c r="P263" i="1" s="1"/>
  <c r="T263" i="1" s="1"/>
  <c r="O255" i="1"/>
  <c r="P255" i="1" s="1"/>
  <c r="T255" i="1" s="1"/>
  <c r="O227" i="1"/>
  <c r="P227" i="1"/>
  <c r="T227" i="1" s="1"/>
  <c r="O223" i="1"/>
  <c r="P223" i="1" s="1"/>
  <c r="T223" i="1" s="1"/>
  <c r="O219" i="1"/>
  <c r="P219" i="1"/>
  <c r="T219" i="1" s="1"/>
  <c r="O215" i="1"/>
  <c r="P215" i="1" s="1"/>
  <c r="T215" i="1" s="1"/>
  <c r="O208" i="1"/>
  <c r="P208" i="1"/>
  <c r="T208" i="1" s="1"/>
  <c r="O204" i="1"/>
  <c r="P204" i="1" s="1"/>
  <c r="T204" i="1" s="1"/>
  <c r="O200" i="1"/>
  <c r="P200" i="1"/>
  <c r="T200" i="1" s="1"/>
  <c r="O181" i="1"/>
  <c r="P181" i="1" s="1"/>
  <c r="T181" i="1" s="1"/>
  <c r="O177" i="1"/>
  <c r="P177" i="1"/>
  <c r="T177" i="1" s="1"/>
  <c r="O173" i="1"/>
  <c r="P173" i="1" s="1"/>
  <c r="T173" i="1" s="1"/>
  <c r="O133" i="1"/>
  <c r="P133" i="1"/>
  <c r="T133" i="1" s="1"/>
  <c r="O86" i="1"/>
  <c r="P86" i="1" s="1"/>
  <c r="T86" i="1" s="1"/>
  <c r="U120" i="1"/>
  <c r="V120" i="1" s="1"/>
  <c r="W120" i="1"/>
  <c r="Y120" i="1" s="1"/>
  <c r="U118" i="1"/>
  <c r="V118" i="1" s="1"/>
  <c r="W118" i="1"/>
  <c r="Y118" i="1" s="1"/>
  <c r="U116" i="1"/>
  <c r="V116" i="1" s="1"/>
  <c r="W116" i="1"/>
  <c r="Y116" i="1" s="1"/>
  <c r="U114" i="1"/>
  <c r="V114" i="1" s="1"/>
  <c r="W114" i="1"/>
  <c r="Y114" i="1" s="1"/>
  <c r="U112" i="1"/>
  <c r="V112" i="1" s="1"/>
  <c r="W112" i="1"/>
  <c r="Y112" i="1" s="1"/>
  <c r="U110" i="1"/>
  <c r="V110" i="1" s="1"/>
  <c r="W110" i="1"/>
  <c r="Y110" i="1" s="1"/>
  <c r="U108" i="1"/>
  <c r="V108" i="1" s="1"/>
  <c r="W108" i="1"/>
  <c r="Y108" i="1" s="1"/>
  <c r="O77" i="1"/>
  <c r="P77" i="1" s="1"/>
  <c r="T77" i="1" s="1"/>
  <c r="O67" i="1"/>
  <c r="P67" i="1" s="1"/>
  <c r="T67" i="1" s="1"/>
  <c r="O57" i="1"/>
  <c r="P57" i="1" s="1"/>
  <c r="T57" i="1" s="1"/>
  <c r="O46" i="1"/>
  <c r="P46" i="1" s="1"/>
  <c r="T46" i="1" s="1"/>
  <c r="O36" i="1"/>
  <c r="P36" i="1" s="1"/>
  <c r="T36" i="1" s="1"/>
  <c r="O27" i="1"/>
  <c r="P27" i="1"/>
  <c r="T27" i="1" s="1"/>
  <c r="O17" i="1"/>
  <c r="P17" i="1" s="1"/>
  <c r="T17" i="1" s="1"/>
  <c r="O79" i="1"/>
  <c r="P79" i="1" s="1"/>
  <c r="T79" i="1" s="1"/>
  <c r="O72" i="1"/>
  <c r="P72" i="1" s="1"/>
  <c r="T72" i="1" s="1"/>
  <c r="O66" i="1"/>
  <c r="P66" i="1" s="1"/>
  <c r="T66" i="1" s="1"/>
  <c r="O60" i="1"/>
  <c r="P60" i="1" s="1"/>
  <c r="T60" i="1" s="1"/>
  <c r="O53" i="1"/>
  <c r="P53" i="1" s="1"/>
  <c r="T53" i="1" s="1"/>
  <c r="O47" i="1"/>
  <c r="P47" i="1" s="1"/>
  <c r="T47" i="1" s="1"/>
  <c r="O40" i="1"/>
  <c r="P40" i="1"/>
  <c r="T40" i="1" s="1"/>
  <c r="O33" i="1"/>
  <c r="P33" i="1" s="1"/>
  <c r="T33" i="1" s="1"/>
  <c r="O25" i="1"/>
  <c r="P25" i="1" s="1"/>
  <c r="T25" i="1" s="1"/>
  <c r="O18" i="1"/>
  <c r="P18" i="1" s="1"/>
  <c r="T18" i="1" s="1"/>
  <c r="O320" i="1"/>
  <c r="P320" i="1" s="1"/>
  <c r="T320" i="1" s="1"/>
  <c r="O304" i="1"/>
  <c r="P304" i="1" s="1"/>
  <c r="T304" i="1" s="1"/>
  <c r="O345" i="1"/>
  <c r="P345" i="1" s="1"/>
  <c r="T345" i="1" s="1"/>
  <c r="O315" i="1"/>
  <c r="P315" i="1" s="1"/>
  <c r="T315" i="1" s="1"/>
  <c r="O314" i="1"/>
  <c r="P314" i="1" s="1"/>
  <c r="T314" i="1" s="1"/>
  <c r="O302" i="1"/>
  <c r="P302" i="1" s="1"/>
  <c r="T302" i="1" s="1"/>
  <c r="O256" i="1"/>
  <c r="P256" i="1" s="1"/>
  <c r="T256" i="1" s="1"/>
  <c r="O264" i="1"/>
  <c r="P264" i="1"/>
  <c r="T264" i="1" s="1"/>
  <c r="O226" i="1"/>
  <c r="P226" i="1" s="1"/>
  <c r="T226" i="1" s="1"/>
  <c r="O222" i="1"/>
  <c r="P222" i="1"/>
  <c r="T222" i="1" s="1"/>
  <c r="O218" i="1"/>
  <c r="P218" i="1" s="1"/>
  <c r="T218" i="1" s="1"/>
  <c r="O233" i="1"/>
  <c r="P233" i="1"/>
  <c r="T233" i="1" s="1"/>
  <c r="O229" i="1"/>
  <c r="P229" i="1" s="1"/>
  <c r="T229" i="1" s="1"/>
  <c r="O168" i="1"/>
  <c r="P168" i="1"/>
  <c r="T168" i="1" s="1"/>
  <c r="O166" i="1"/>
  <c r="P166" i="1" s="1"/>
  <c r="T166" i="1" s="1"/>
  <c r="O162" i="1"/>
  <c r="P162" i="1"/>
  <c r="T162" i="1" s="1"/>
  <c r="O158" i="1"/>
  <c r="P158" i="1" s="1"/>
  <c r="T158" i="1" s="1"/>
  <c r="O154" i="1"/>
  <c r="P154" i="1"/>
  <c r="T154" i="1" s="1"/>
  <c r="O150" i="1"/>
  <c r="P150" i="1" s="1"/>
  <c r="T150" i="1" s="1"/>
  <c r="O146" i="1"/>
  <c r="P146" i="1"/>
  <c r="T146" i="1" s="1"/>
  <c r="O142" i="1"/>
  <c r="P142" i="1" s="1"/>
  <c r="T142" i="1" s="1"/>
  <c r="O138" i="1"/>
  <c r="P138" i="1"/>
  <c r="T138" i="1" s="1"/>
  <c r="O134" i="1"/>
  <c r="P134" i="1" s="1"/>
  <c r="T134" i="1" s="1"/>
  <c r="O180" i="1"/>
  <c r="P180" i="1"/>
  <c r="T180" i="1" s="1"/>
  <c r="O176" i="1"/>
  <c r="P176" i="1" s="1"/>
  <c r="T176" i="1" s="1"/>
  <c r="O172" i="1"/>
  <c r="P172" i="1"/>
  <c r="T172" i="1" s="1"/>
  <c r="O107" i="1"/>
  <c r="P107" i="1" s="1"/>
  <c r="T107" i="1" s="1"/>
  <c r="O125" i="1"/>
  <c r="P125" i="1" s="1"/>
  <c r="T125" i="1" s="1"/>
  <c r="O102" i="1"/>
  <c r="P102" i="1" s="1"/>
  <c r="T102" i="1" s="1"/>
  <c r="O98" i="1"/>
  <c r="P98" i="1" s="1"/>
  <c r="T98" i="1" s="1"/>
  <c r="O94" i="1"/>
  <c r="P94" i="1" s="1"/>
  <c r="T94" i="1" s="1"/>
  <c r="O90" i="1"/>
  <c r="P90" i="1" s="1"/>
  <c r="T90" i="1" s="1"/>
  <c r="U129" i="1"/>
  <c r="V129" i="1" s="1"/>
  <c r="W129" i="1"/>
  <c r="Y129" i="1" s="1"/>
  <c r="U127" i="1"/>
  <c r="V127" i="1" s="1"/>
  <c r="W127" i="1"/>
  <c r="Y127" i="1" s="1"/>
  <c r="O14" i="1"/>
  <c r="P14" i="1" s="1"/>
  <c r="O29" i="1"/>
  <c r="P29" i="1" s="1"/>
  <c r="T29" i="1" s="1"/>
  <c r="O75" i="1"/>
  <c r="P75" i="1" s="1"/>
  <c r="T75" i="1" s="1"/>
  <c r="O64" i="1"/>
  <c r="P64" i="1" s="1"/>
  <c r="T64" i="1" s="1"/>
  <c r="O55" i="1"/>
  <c r="P55" i="1" s="1"/>
  <c r="T55" i="1" s="1"/>
  <c r="O43" i="1"/>
  <c r="P43" i="1" s="1"/>
  <c r="T43" i="1" s="1"/>
  <c r="O34" i="1"/>
  <c r="P34" i="1" s="1"/>
  <c r="T34" i="1" s="1"/>
  <c r="O24" i="1"/>
  <c r="P24" i="1" s="1"/>
  <c r="T24" i="1" s="1"/>
  <c r="O15" i="1"/>
  <c r="P15" i="1" s="1"/>
  <c r="T15" i="1" s="1"/>
  <c r="O78" i="1"/>
  <c r="P78" i="1" s="1"/>
  <c r="T78" i="1" s="1"/>
  <c r="O71" i="1"/>
  <c r="P71" i="1" s="1"/>
  <c r="T71" i="1" s="1"/>
  <c r="O65" i="1"/>
  <c r="P65" i="1" s="1"/>
  <c r="T65" i="1" s="1"/>
  <c r="O58" i="1"/>
  <c r="P58" i="1" s="1"/>
  <c r="T58" i="1" s="1"/>
  <c r="O51" i="1"/>
  <c r="P51" i="1" s="1"/>
  <c r="T51" i="1" s="1"/>
  <c r="O45" i="1"/>
  <c r="P45" i="1" s="1"/>
  <c r="T45" i="1" s="1"/>
  <c r="O39" i="1"/>
  <c r="P39" i="1" s="1"/>
  <c r="T39" i="1" s="1"/>
  <c r="O31" i="1"/>
  <c r="P31" i="1" s="1"/>
  <c r="T31" i="1" s="1"/>
  <c r="O23" i="1"/>
  <c r="P23" i="1" s="1"/>
  <c r="T23" i="1" s="1"/>
  <c r="O16" i="1"/>
  <c r="P16" i="1" s="1"/>
  <c r="T16" i="1" s="1"/>
  <c r="O348" i="1" l="1"/>
  <c r="P348" i="1" s="1"/>
  <c r="T348" i="1" s="1"/>
  <c r="U324" i="1"/>
  <c r="V324" i="1" s="1"/>
  <c r="W324" i="1"/>
  <c r="Y324" i="1" s="1"/>
  <c r="W126" i="1"/>
  <c r="Y126" i="1" s="1"/>
  <c r="U126" i="1"/>
  <c r="V126" i="1" s="1"/>
  <c r="U128" i="1"/>
  <c r="V128" i="1" s="1"/>
  <c r="W128" i="1"/>
  <c r="Y128" i="1" s="1"/>
  <c r="U123" i="1"/>
  <c r="V123" i="1" s="1"/>
  <c r="W123" i="1"/>
  <c r="Y123" i="1" s="1"/>
  <c r="U39" i="1"/>
  <c r="V39" i="1" s="1"/>
  <c r="W39" i="1"/>
  <c r="Y39" i="1" s="1"/>
  <c r="U65" i="1"/>
  <c r="V65" i="1" s="1"/>
  <c r="W65" i="1"/>
  <c r="Y65" i="1" s="1"/>
  <c r="U64" i="1"/>
  <c r="V64" i="1" s="1"/>
  <c r="W64" i="1"/>
  <c r="Y64" i="1" s="1"/>
  <c r="W102" i="1"/>
  <c r="Y102" i="1" s="1"/>
  <c r="U102" i="1"/>
  <c r="V102" i="1" s="1"/>
  <c r="W314" i="1"/>
  <c r="Y314" i="1" s="1"/>
  <c r="U314" i="1"/>
  <c r="V314" i="1" s="1"/>
  <c r="U86" i="1"/>
  <c r="V86" i="1" s="1"/>
  <c r="W86" i="1"/>
  <c r="Y86" i="1" s="1"/>
  <c r="W321" i="1"/>
  <c r="Y321" i="1" s="1"/>
  <c r="U321" i="1"/>
  <c r="V321" i="1" s="1"/>
  <c r="U174" i="1"/>
  <c r="V174" i="1" s="1"/>
  <c r="W174" i="1"/>
  <c r="Y174" i="1" s="1"/>
  <c r="W207" i="1"/>
  <c r="Y207" i="1" s="1"/>
  <c r="U207" i="1"/>
  <c r="V207" i="1" s="1"/>
  <c r="U28" i="1"/>
  <c r="V28" i="1" s="1"/>
  <c r="W28" i="1"/>
  <c r="Y28" i="1" s="1"/>
  <c r="U56" i="1"/>
  <c r="V56" i="1" s="1"/>
  <c r="W56" i="1"/>
  <c r="Y56" i="1" s="1"/>
  <c r="U52" i="1"/>
  <c r="V52" i="1" s="1"/>
  <c r="W52" i="1"/>
  <c r="Y52" i="1" s="1"/>
  <c r="W217" i="1"/>
  <c r="Y217" i="1" s="1"/>
  <c r="U217" i="1"/>
  <c r="V217" i="1" s="1"/>
  <c r="W188" i="1"/>
  <c r="Y188" i="1" s="1"/>
  <c r="U188" i="1"/>
  <c r="V188" i="1" s="1"/>
  <c r="U16" i="1"/>
  <c r="V16" i="1" s="1"/>
  <c r="W16" i="1"/>
  <c r="Y16" i="1" s="1"/>
  <c r="U45" i="1"/>
  <c r="V45" i="1" s="1"/>
  <c r="W45" i="1"/>
  <c r="Y45" i="1" s="1"/>
  <c r="U71" i="1"/>
  <c r="V71" i="1" s="1"/>
  <c r="W71" i="1"/>
  <c r="Y71" i="1" s="1"/>
  <c r="U34" i="1"/>
  <c r="V34" i="1" s="1"/>
  <c r="W34" i="1"/>
  <c r="Y34" i="1" s="1"/>
  <c r="U75" i="1"/>
  <c r="V75" i="1" s="1"/>
  <c r="W75" i="1"/>
  <c r="Y75" i="1" s="1"/>
  <c r="W90" i="1"/>
  <c r="Y90" i="1" s="1"/>
  <c r="U90" i="1"/>
  <c r="V90" i="1" s="1"/>
  <c r="U125" i="1"/>
  <c r="V125" i="1" s="1"/>
  <c r="W125" i="1"/>
  <c r="Y125" i="1" s="1"/>
  <c r="W256" i="1"/>
  <c r="Y256" i="1" s="1"/>
  <c r="U256" i="1"/>
  <c r="V256" i="1" s="1"/>
  <c r="W315" i="1"/>
  <c r="Y315" i="1" s="1"/>
  <c r="U315" i="1"/>
  <c r="V315" i="1" s="1"/>
  <c r="W307" i="1"/>
  <c r="Y307" i="1" s="1"/>
  <c r="U307" i="1"/>
  <c r="V307" i="1" s="1"/>
  <c r="U178" i="1"/>
  <c r="V178" i="1" s="1"/>
  <c r="W178" i="1"/>
  <c r="Y178" i="1" s="1"/>
  <c r="W228" i="1"/>
  <c r="Y228" i="1" s="1"/>
  <c r="U228" i="1"/>
  <c r="V228" i="1" s="1"/>
  <c r="U291" i="1"/>
  <c r="V291" i="1" s="1"/>
  <c r="W291" i="1"/>
  <c r="Y291" i="1" s="1"/>
  <c r="U37" i="1"/>
  <c r="V37" i="1" s="1"/>
  <c r="W37" i="1"/>
  <c r="Y37" i="1" s="1"/>
  <c r="U63" i="1"/>
  <c r="V63" i="1" s="1"/>
  <c r="W63" i="1"/>
  <c r="Y63" i="1" s="1"/>
  <c r="U22" i="1"/>
  <c r="V22" i="1" s="1"/>
  <c r="W22" i="1"/>
  <c r="Y22" i="1" s="1"/>
  <c r="U62" i="1"/>
  <c r="V62" i="1" s="1"/>
  <c r="W62" i="1"/>
  <c r="Y62" i="1" s="1"/>
  <c r="U179" i="1"/>
  <c r="V179" i="1" s="1"/>
  <c r="W179" i="1"/>
  <c r="Y179" i="1" s="1"/>
  <c r="W221" i="1"/>
  <c r="Y221" i="1" s="1"/>
  <c r="U221" i="1"/>
  <c r="V221" i="1" s="1"/>
  <c r="U288" i="1"/>
  <c r="V288" i="1" s="1"/>
  <c r="W288" i="1"/>
  <c r="Y288" i="1" s="1"/>
  <c r="U281" i="1"/>
  <c r="V281" i="1" s="1"/>
  <c r="W281" i="1"/>
  <c r="Y281" i="1" s="1"/>
  <c r="W329" i="1"/>
  <c r="Y329" i="1" s="1"/>
  <c r="U329" i="1"/>
  <c r="V329" i="1" s="1"/>
  <c r="W214" i="1"/>
  <c r="Y214" i="1" s="1"/>
  <c r="U214" i="1"/>
  <c r="V214" i="1" s="1"/>
  <c r="U145" i="1"/>
  <c r="V145" i="1" s="1"/>
  <c r="W145" i="1"/>
  <c r="Y145" i="1" s="1"/>
  <c r="U136" i="1"/>
  <c r="V136" i="1" s="1"/>
  <c r="W136" i="1"/>
  <c r="Y136" i="1" s="1"/>
  <c r="U159" i="1"/>
  <c r="V159" i="1" s="1"/>
  <c r="W159" i="1"/>
  <c r="Y159" i="1" s="1"/>
  <c r="W186" i="1"/>
  <c r="Y186" i="1" s="1"/>
  <c r="U186" i="1"/>
  <c r="V186" i="1" s="1"/>
  <c r="W201" i="1"/>
  <c r="Y201" i="1" s="1"/>
  <c r="U201" i="1"/>
  <c r="V201" i="1" s="1"/>
  <c r="W202" i="1"/>
  <c r="Y202" i="1" s="1"/>
  <c r="U202" i="1"/>
  <c r="V202" i="1" s="1"/>
  <c r="U139" i="1"/>
  <c r="V139" i="1" s="1"/>
  <c r="W139" i="1"/>
  <c r="Y139" i="1" s="1"/>
  <c r="U189" i="1"/>
  <c r="V189" i="1" s="1"/>
  <c r="W189" i="1"/>
  <c r="Y189" i="1" s="1"/>
  <c r="U273" i="1"/>
  <c r="V273" i="1" s="1"/>
  <c r="W273" i="1"/>
  <c r="Y273" i="1" s="1"/>
  <c r="U293" i="1"/>
  <c r="V293" i="1" s="1"/>
  <c r="W293" i="1"/>
  <c r="Y293" i="1" s="1"/>
  <c r="U149" i="1"/>
  <c r="V149" i="1" s="1"/>
  <c r="W149" i="1"/>
  <c r="Y149" i="1" s="1"/>
  <c r="U135" i="1"/>
  <c r="V135" i="1" s="1"/>
  <c r="W135" i="1"/>
  <c r="Y135" i="1" s="1"/>
  <c r="W192" i="1"/>
  <c r="Y192" i="1" s="1"/>
  <c r="U192" i="1"/>
  <c r="V192" i="1" s="1"/>
  <c r="W230" i="1"/>
  <c r="Y230" i="1" s="1"/>
  <c r="U230" i="1"/>
  <c r="V230" i="1" s="1"/>
  <c r="U267" i="1"/>
  <c r="V267" i="1" s="1"/>
  <c r="W267" i="1"/>
  <c r="Y267" i="1" s="1"/>
  <c r="U282" i="1"/>
  <c r="V282" i="1" s="1"/>
  <c r="W282" i="1"/>
  <c r="Y282" i="1" s="1"/>
  <c r="W333" i="1"/>
  <c r="Y333" i="1" s="1"/>
  <c r="U333" i="1"/>
  <c r="V333" i="1" s="1"/>
  <c r="W346" i="1"/>
  <c r="Y346" i="1" s="1"/>
  <c r="U346" i="1"/>
  <c r="V346" i="1" s="1"/>
  <c r="U156" i="1"/>
  <c r="V156" i="1" s="1"/>
  <c r="W156" i="1"/>
  <c r="Y156" i="1" s="1"/>
  <c r="U169" i="1"/>
  <c r="V169" i="1" s="1"/>
  <c r="W169" i="1"/>
  <c r="Y169" i="1" s="1"/>
  <c r="U279" i="1"/>
  <c r="V279" i="1" s="1"/>
  <c r="W279" i="1"/>
  <c r="Y279" i="1" s="1"/>
  <c r="W327" i="1"/>
  <c r="Y327" i="1" s="1"/>
  <c r="U327" i="1"/>
  <c r="V327" i="1" s="1"/>
  <c r="U272" i="1"/>
  <c r="V272" i="1" s="1"/>
  <c r="W272" i="1"/>
  <c r="Y272" i="1" s="1"/>
  <c r="U23" i="1"/>
  <c r="V23" i="1" s="1"/>
  <c r="W23" i="1"/>
  <c r="Y23" i="1" s="1"/>
  <c r="U51" i="1"/>
  <c r="V51" i="1" s="1"/>
  <c r="W51" i="1"/>
  <c r="Y51" i="1" s="1"/>
  <c r="U78" i="1"/>
  <c r="V78" i="1" s="1"/>
  <c r="W78" i="1"/>
  <c r="Y78" i="1" s="1"/>
  <c r="U43" i="1"/>
  <c r="V43" i="1" s="1"/>
  <c r="W43" i="1"/>
  <c r="Y43" i="1" s="1"/>
  <c r="U29" i="1"/>
  <c r="V29" i="1" s="1"/>
  <c r="W29" i="1"/>
  <c r="Y29" i="1" s="1"/>
  <c r="W94" i="1"/>
  <c r="Y94" i="1" s="1"/>
  <c r="U94" i="1"/>
  <c r="V94" i="1" s="1"/>
  <c r="U107" i="1"/>
  <c r="V107" i="1" s="1"/>
  <c r="W107" i="1"/>
  <c r="Y107" i="1" s="1"/>
  <c r="W258" i="1"/>
  <c r="Y258" i="1" s="1"/>
  <c r="U258" i="1"/>
  <c r="V258" i="1" s="1"/>
  <c r="W311" i="1"/>
  <c r="Y311" i="1" s="1"/>
  <c r="U311" i="1"/>
  <c r="V311" i="1" s="1"/>
  <c r="W216" i="1"/>
  <c r="Y216" i="1" s="1"/>
  <c r="U216" i="1"/>
  <c r="V216" i="1" s="1"/>
  <c r="W199" i="1"/>
  <c r="Y199" i="1" s="1"/>
  <c r="U199" i="1"/>
  <c r="V199" i="1" s="1"/>
  <c r="W308" i="1"/>
  <c r="Y308" i="1" s="1"/>
  <c r="U308" i="1"/>
  <c r="V308" i="1" s="1"/>
  <c r="U44" i="1"/>
  <c r="V44" i="1" s="1"/>
  <c r="W44" i="1"/>
  <c r="Y44" i="1" s="1"/>
  <c r="U69" i="1"/>
  <c r="V69" i="1" s="1"/>
  <c r="W69" i="1"/>
  <c r="Y69" i="1" s="1"/>
  <c r="U32" i="1"/>
  <c r="V32" i="1" s="1"/>
  <c r="W32" i="1"/>
  <c r="Y32" i="1" s="1"/>
  <c r="U73" i="1"/>
  <c r="V73" i="1" s="1"/>
  <c r="W73" i="1"/>
  <c r="Y73" i="1" s="1"/>
  <c r="W225" i="1"/>
  <c r="Y225" i="1" s="1"/>
  <c r="U225" i="1"/>
  <c r="V225" i="1" s="1"/>
  <c r="U298" i="1"/>
  <c r="V298" i="1" s="1"/>
  <c r="W298" i="1"/>
  <c r="Y298" i="1" s="1"/>
  <c r="U289" i="1"/>
  <c r="V289" i="1" s="1"/>
  <c r="W289" i="1"/>
  <c r="Y289" i="1" s="1"/>
  <c r="W341" i="1"/>
  <c r="Y341" i="1" s="1"/>
  <c r="U341" i="1"/>
  <c r="V341" i="1" s="1"/>
  <c r="U274" i="1"/>
  <c r="V274" i="1" s="1"/>
  <c r="W274" i="1"/>
  <c r="Y274" i="1" s="1"/>
  <c r="U153" i="1"/>
  <c r="V153" i="1" s="1"/>
  <c r="W153" i="1"/>
  <c r="Y153" i="1" s="1"/>
  <c r="U152" i="1"/>
  <c r="V152" i="1" s="1"/>
  <c r="W152" i="1"/>
  <c r="Y152" i="1" s="1"/>
  <c r="U165" i="1"/>
  <c r="V165" i="1" s="1"/>
  <c r="W165" i="1"/>
  <c r="Y165" i="1" s="1"/>
  <c r="W190" i="1"/>
  <c r="Y190" i="1" s="1"/>
  <c r="U190" i="1"/>
  <c r="V190" i="1" s="1"/>
  <c r="W205" i="1"/>
  <c r="Y205" i="1" s="1"/>
  <c r="U205" i="1"/>
  <c r="V205" i="1" s="1"/>
  <c r="W206" i="1"/>
  <c r="Y206" i="1" s="1"/>
  <c r="U206" i="1"/>
  <c r="V206" i="1" s="1"/>
  <c r="U155" i="1"/>
  <c r="V155" i="1" s="1"/>
  <c r="W155" i="1"/>
  <c r="Y155" i="1" s="1"/>
  <c r="U193" i="1"/>
  <c r="V193" i="1" s="1"/>
  <c r="W193" i="1"/>
  <c r="Y193" i="1" s="1"/>
  <c r="U270" i="1"/>
  <c r="V270" i="1" s="1"/>
  <c r="W270" i="1"/>
  <c r="Y270" i="1" s="1"/>
  <c r="W312" i="1"/>
  <c r="Y312" i="1" s="1"/>
  <c r="U312" i="1"/>
  <c r="V312" i="1" s="1"/>
  <c r="U157" i="1"/>
  <c r="V157" i="1" s="1"/>
  <c r="W157" i="1"/>
  <c r="Y157" i="1" s="1"/>
  <c r="U151" i="1"/>
  <c r="V151" i="1" s="1"/>
  <c r="W151" i="1"/>
  <c r="Y151" i="1" s="1"/>
  <c r="W196" i="1"/>
  <c r="Y196" i="1" s="1"/>
  <c r="U196" i="1"/>
  <c r="V196" i="1" s="1"/>
  <c r="W234" i="1"/>
  <c r="Y234" i="1" s="1"/>
  <c r="U234" i="1"/>
  <c r="V234" i="1" s="1"/>
  <c r="U268" i="1"/>
  <c r="V268" i="1" s="1"/>
  <c r="W268" i="1"/>
  <c r="Y268" i="1" s="1"/>
  <c r="W316" i="1"/>
  <c r="Y316" i="1" s="1"/>
  <c r="U316" i="1"/>
  <c r="V316" i="1" s="1"/>
  <c r="W343" i="1"/>
  <c r="Y343" i="1" s="1"/>
  <c r="U343" i="1"/>
  <c r="V343" i="1" s="1"/>
  <c r="U170" i="1"/>
  <c r="V170" i="1" s="1"/>
  <c r="W170" i="1"/>
  <c r="Y170" i="1" s="1"/>
  <c r="U183" i="1"/>
  <c r="V183" i="1" s="1"/>
  <c r="W183" i="1"/>
  <c r="Y183" i="1" s="1"/>
  <c r="U266" i="1"/>
  <c r="V266" i="1" s="1"/>
  <c r="W266" i="1"/>
  <c r="Y266" i="1" s="1"/>
  <c r="W339" i="1"/>
  <c r="Y339" i="1" s="1"/>
  <c r="U339" i="1"/>
  <c r="V339" i="1" s="1"/>
  <c r="U292" i="1"/>
  <c r="V292" i="1" s="1"/>
  <c r="W292" i="1"/>
  <c r="Y292" i="1" s="1"/>
  <c r="U31" i="1"/>
  <c r="V31" i="1" s="1"/>
  <c r="W31" i="1"/>
  <c r="Y31" i="1" s="1"/>
  <c r="U58" i="1"/>
  <c r="V58" i="1" s="1"/>
  <c r="W58" i="1"/>
  <c r="Y58" i="1" s="1"/>
  <c r="U15" i="1"/>
  <c r="V15" i="1" s="1"/>
  <c r="W15" i="1"/>
  <c r="Y15" i="1" s="1"/>
  <c r="U55" i="1"/>
  <c r="V55" i="1" s="1"/>
  <c r="W55" i="1"/>
  <c r="Y55" i="1" s="1"/>
  <c r="W98" i="1"/>
  <c r="Y98" i="1" s="1"/>
  <c r="U98" i="1"/>
  <c r="V98" i="1" s="1"/>
  <c r="W255" i="1"/>
  <c r="Y255" i="1" s="1"/>
  <c r="U255" i="1"/>
  <c r="V255" i="1" s="1"/>
  <c r="W299" i="1"/>
  <c r="Y299" i="1" s="1"/>
  <c r="U299" i="1"/>
  <c r="V299" i="1" s="1"/>
  <c r="W220" i="1"/>
  <c r="Y220" i="1" s="1"/>
  <c r="U220" i="1"/>
  <c r="V220" i="1" s="1"/>
  <c r="W203" i="1"/>
  <c r="Y203" i="1" s="1"/>
  <c r="U203" i="1"/>
  <c r="V203" i="1" s="1"/>
  <c r="U283" i="1"/>
  <c r="V283" i="1" s="1"/>
  <c r="W283" i="1"/>
  <c r="Y283" i="1" s="1"/>
  <c r="U21" i="1"/>
  <c r="V21" i="1" s="1"/>
  <c r="W21" i="1"/>
  <c r="Y21" i="1" s="1"/>
  <c r="U50" i="1"/>
  <c r="V50" i="1" s="1"/>
  <c r="W50" i="1"/>
  <c r="Y50" i="1" s="1"/>
  <c r="U76" i="1"/>
  <c r="V76" i="1" s="1"/>
  <c r="W76" i="1"/>
  <c r="Y76" i="1" s="1"/>
  <c r="U41" i="1"/>
  <c r="V41" i="1" s="1"/>
  <c r="W41" i="1"/>
  <c r="Y41" i="1" s="1"/>
  <c r="W83" i="1"/>
  <c r="Y83" i="1" s="1"/>
  <c r="U83" i="1"/>
  <c r="V83" i="1" s="1"/>
  <c r="U280" i="1"/>
  <c r="V280" i="1" s="1"/>
  <c r="W280" i="1"/>
  <c r="Y280" i="1" s="1"/>
  <c r="U265" i="1"/>
  <c r="V265" i="1" s="1"/>
  <c r="W265" i="1"/>
  <c r="Y265" i="1" s="1"/>
  <c r="U277" i="1"/>
  <c r="V277" i="1" s="1"/>
  <c r="W277" i="1"/>
  <c r="Y277" i="1" s="1"/>
  <c r="W335" i="1"/>
  <c r="Y335" i="1" s="1"/>
  <c r="U335" i="1"/>
  <c r="V335" i="1" s="1"/>
  <c r="U161" i="1"/>
  <c r="V161" i="1" s="1"/>
  <c r="W161" i="1"/>
  <c r="Y161" i="1" s="1"/>
  <c r="U167" i="1"/>
  <c r="V167" i="1" s="1"/>
  <c r="W167" i="1"/>
  <c r="Y167" i="1" s="1"/>
  <c r="W194" i="1"/>
  <c r="Y194" i="1" s="1"/>
  <c r="U194" i="1"/>
  <c r="V194" i="1" s="1"/>
  <c r="W209" i="1"/>
  <c r="Y209" i="1" s="1"/>
  <c r="U209" i="1"/>
  <c r="V209" i="1" s="1"/>
  <c r="W210" i="1"/>
  <c r="Y210" i="1" s="1"/>
  <c r="U210" i="1"/>
  <c r="V210" i="1" s="1"/>
  <c r="U148" i="1"/>
  <c r="V148" i="1" s="1"/>
  <c r="W148" i="1"/>
  <c r="Y148" i="1" s="1"/>
  <c r="W211" i="1"/>
  <c r="Y211" i="1" s="1"/>
  <c r="U211" i="1"/>
  <c r="V211" i="1" s="1"/>
  <c r="U231" i="1"/>
  <c r="V231" i="1" s="1"/>
  <c r="W231" i="1"/>
  <c r="Y231" i="1" s="1"/>
  <c r="U278" i="1"/>
  <c r="V278" i="1" s="1"/>
  <c r="W278" i="1"/>
  <c r="Y278" i="1" s="1"/>
  <c r="W330" i="1"/>
  <c r="Y330" i="1" s="1"/>
  <c r="U330" i="1"/>
  <c r="V330" i="1" s="1"/>
  <c r="W344" i="1"/>
  <c r="Y344" i="1" s="1"/>
  <c r="U344" i="1"/>
  <c r="V344" i="1" s="1"/>
  <c r="U144" i="1"/>
  <c r="V144" i="1" s="1"/>
  <c r="W144" i="1"/>
  <c r="Y144" i="1" s="1"/>
  <c r="W184" i="1"/>
  <c r="Y184" i="1" s="1"/>
  <c r="U184" i="1"/>
  <c r="V184" i="1" s="1"/>
  <c r="W213" i="1"/>
  <c r="Y213" i="1" s="1"/>
  <c r="U213" i="1"/>
  <c r="V213" i="1" s="1"/>
  <c r="U276" i="1"/>
  <c r="V276" i="1" s="1"/>
  <c r="W276" i="1"/>
  <c r="Y276" i="1" s="1"/>
  <c r="W331" i="1"/>
  <c r="Y331" i="1" s="1"/>
  <c r="U331" i="1"/>
  <c r="V331" i="1" s="1"/>
  <c r="W332" i="1"/>
  <c r="Y332" i="1" s="1"/>
  <c r="U332" i="1"/>
  <c r="V332" i="1" s="1"/>
  <c r="U147" i="1"/>
  <c r="V147" i="1" s="1"/>
  <c r="W147" i="1"/>
  <c r="Y147" i="1" s="1"/>
  <c r="U191" i="1"/>
  <c r="V191" i="1" s="1"/>
  <c r="W191" i="1"/>
  <c r="Y191" i="1" s="1"/>
  <c r="U285" i="1"/>
  <c r="V285" i="1" s="1"/>
  <c r="W285" i="1"/>
  <c r="Y285" i="1" s="1"/>
  <c r="W342" i="1"/>
  <c r="Y342" i="1" s="1"/>
  <c r="U342" i="1"/>
  <c r="V342" i="1" s="1"/>
  <c r="W334" i="1"/>
  <c r="Y334" i="1" s="1"/>
  <c r="U334" i="1"/>
  <c r="V334" i="1" s="1"/>
  <c r="U24" i="1"/>
  <c r="V24" i="1" s="1"/>
  <c r="W24" i="1"/>
  <c r="Y24" i="1" s="1"/>
  <c r="T14" i="1"/>
  <c r="W224" i="1"/>
  <c r="Y224" i="1" s="1"/>
  <c r="U224" i="1"/>
  <c r="V224" i="1" s="1"/>
  <c r="U287" i="1"/>
  <c r="V287" i="1" s="1"/>
  <c r="W287" i="1"/>
  <c r="Y287" i="1" s="1"/>
  <c r="U82" i="1"/>
  <c r="V82" i="1" s="1"/>
  <c r="W82" i="1"/>
  <c r="Y82" i="1" s="1"/>
  <c r="U175" i="1"/>
  <c r="V175" i="1" s="1"/>
  <c r="W175" i="1"/>
  <c r="Y175" i="1" s="1"/>
  <c r="U284" i="1"/>
  <c r="V284" i="1" s="1"/>
  <c r="W284" i="1"/>
  <c r="Y284" i="1" s="1"/>
  <c r="W306" i="1"/>
  <c r="Y306" i="1" s="1"/>
  <c r="U306" i="1"/>
  <c r="V306" i="1" s="1"/>
  <c r="U187" i="1"/>
  <c r="V187" i="1" s="1"/>
  <c r="W187" i="1"/>
  <c r="Y187" i="1" s="1"/>
  <c r="W328" i="1"/>
  <c r="Y328" i="1" s="1"/>
  <c r="U328" i="1"/>
  <c r="V328" i="1" s="1"/>
  <c r="U137" i="1"/>
  <c r="V137" i="1" s="1"/>
  <c r="W137" i="1"/>
  <c r="Y137" i="1" s="1"/>
  <c r="U171" i="1"/>
  <c r="V171" i="1" s="1"/>
  <c r="W171" i="1"/>
  <c r="Y171" i="1" s="1"/>
  <c r="U143" i="1"/>
  <c r="V143" i="1" s="1"/>
  <c r="W143" i="1"/>
  <c r="Y143" i="1" s="1"/>
  <c r="W182" i="1"/>
  <c r="Y182" i="1" s="1"/>
  <c r="U182" i="1"/>
  <c r="V182" i="1" s="1"/>
  <c r="W197" i="1"/>
  <c r="Y197" i="1" s="1"/>
  <c r="U197" i="1"/>
  <c r="V197" i="1" s="1"/>
  <c r="W198" i="1"/>
  <c r="Y198" i="1" s="1"/>
  <c r="U198" i="1"/>
  <c r="V198" i="1" s="1"/>
  <c r="W232" i="1"/>
  <c r="Y232" i="1" s="1"/>
  <c r="U232" i="1"/>
  <c r="V232" i="1" s="1"/>
  <c r="U164" i="1"/>
  <c r="V164" i="1" s="1"/>
  <c r="W164" i="1"/>
  <c r="Y164" i="1" s="1"/>
  <c r="U185" i="1"/>
  <c r="V185" i="1" s="1"/>
  <c r="W185" i="1"/>
  <c r="Y185" i="1" s="1"/>
  <c r="U271" i="1"/>
  <c r="V271" i="1" s="1"/>
  <c r="W271" i="1"/>
  <c r="Y271" i="1" s="1"/>
  <c r="W301" i="1"/>
  <c r="Y301" i="1" s="1"/>
  <c r="U301" i="1"/>
  <c r="V301" i="1" s="1"/>
  <c r="W337" i="1"/>
  <c r="Y337" i="1" s="1"/>
  <c r="U337" i="1"/>
  <c r="V337" i="1" s="1"/>
  <c r="U141" i="1"/>
  <c r="V141" i="1" s="1"/>
  <c r="W141" i="1"/>
  <c r="Y141" i="1" s="1"/>
  <c r="U160" i="1"/>
  <c r="V160" i="1" s="1"/>
  <c r="W160" i="1"/>
  <c r="Y160" i="1" s="1"/>
  <c r="W212" i="1"/>
  <c r="Y212" i="1" s="1"/>
  <c r="U212" i="1"/>
  <c r="V212" i="1" s="1"/>
  <c r="U269" i="1"/>
  <c r="V269" i="1" s="1"/>
  <c r="W269" i="1"/>
  <c r="Y269" i="1" s="1"/>
  <c r="W338" i="1"/>
  <c r="Y338" i="1" s="1"/>
  <c r="U338" i="1"/>
  <c r="V338" i="1" s="1"/>
  <c r="W340" i="1"/>
  <c r="Y340" i="1" s="1"/>
  <c r="U340" i="1"/>
  <c r="V340" i="1" s="1"/>
  <c r="U140" i="1"/>
  <c r="V140" i="1" s="1"/>
  <c r="W140" i="1"/>
  <c r="Y140" i="1" s="1"/>
  <c r="U163" i="1"/>
  <c r="V163" i="1" s="1"/>
  <c r="W163" i="1"/>
  <c r="Y163" i="1" s="1"/>
  <c r="U195" i="1"/>
  <c r="V195" i="1" s="1"/>
  <c r="W195" i="1"/>
  <c r="Y195" i="1" s="1"/>
  <c r="U294" i="1"/>
  <c r="V294" i="1" s="1"/>
  <c r="W294" i="1"/>
  <c r="Y294" i="1" s="1"/>
  <c r="U275" i="1"/>
  <c r="V275" i="1" s="1"/>
  <c r="W275" i="1"/>
  <c r="Y275" i="1" s="1"/>
  <c r="W336" i="1"/>
  <c r="Y336" i="1" s="1"/>
  <c r="U336" i="1"/>
  <c r="V336" i="1" s="1"/>
  <c r="U176" i="1"/>
  <c r="V176" i="1" s="1"/>
  <c r="W176" i="1"/>
  <c r="Y176" i="1" s="1"/>
  <c r="U134" i="1"/>
  <c r="V134" i="1" s="1"/>
  <c r="W134" i="1"/>
  <c r="Y134" i="1" s="1"/>
  <c r="U142" i="1"/>
  <c r="V142" i="1" s="1"/>
  <c r="W142" i="1"/>
  <c r="Y142" i="1" s="1"/>
  <c r="U150" i="1"/>
  <c r="V150" i="1" s="1"/>
  <c r="W150" i="1"/>
  <c r="Y150" i="1" s="1"/>
  <c r="U158" i="1"/>
  <c r="V158" i="1" s="1"/>
  <c r="W158" i="1"/>
  <c r="Y158" i="1" s="1"/>
  <c r="U166" i="1"/>
  <c r="V166" i="1" s="1"/>
  <c r="W166" i="1"/>
  <c r="Y166" i="1" s="1"/>
  <c r="U229" i="1"/>
  <c r="V229" i="1" s="1"/>
  <c r="W229" i="1"/>
  <c r="Y229" i="1" s="1"/>
  <c r="W218" i="1"/>
  <c r="Y218" i="1" s="1"/>
  <c r="U218" i="1"/>
  <c r="V218" i="1" s="1"/>
  <c r="W226" i="1"/>
  <c r="Y226" i="1" s="1"/>
  <c r="U226" i="1"/>
  <c r="V226" i="1" s="1"/>
  <c r="W345" i="1"/>
  <c r="Y345" i="1" s="1"/>
  <c r="U345" i="1"/>
  <c r="V345" i="1" s="1"/>
  <c r="W320" i="1"/>
  <c r="Y320" i="1" s="1"/>
  <c r="U320" i="1"/>
  <c r="V320" i="1" s="1"/>
  <c r="U25" i="1"/>
  <c r="V25" i="1" s="1"/>
  <c r="W25" i="1"/>
  <c r="Y25" i="1" s="1"/>
  <c r="U40" i="1"/>
  <c r="V40" i="1" s="1"/>
  <c r="W40" i="1"/>
  <c r="Y40" i="1" s="1"/>
  <c r="U53" i="1"/>
  <c r="V53" i="1" s="1"/>
  <c r="W53" i="1"/>
  <c r="Y53" i="1" s="1"/>
  <c r="U66" i="1"/>
  <c r="V66" i="1" s="1"/>
  <c r="W66" i="1"/>
  <c r="Y66" i="1" s="1"/>
  <c r="U79" i="1"/>
  <c r="V79" i="1" s="1"/>
  <c r="W79" i="1"/>
  <c r="Y79" i="1" s="1"/>
  <c r="U27" i="1"/>
  <c r="V27" i="1" s="1"/>
  <c r="W27" i="1"/>
  <c r="Y27" i="1" s="1"/>
  <c r="U46" i="1"/>
  <c r="V46" i="1" s="1"/>
  <c r="W46" i="1"/>
  <c r="Y46" i="1" s="1"/>
  <c r="U67" i="1"/>
  <c r="V67" i="1" s="1"/>
  <c r="W67" i="1"/>
  <c r="Y67" i="1" s="1"/>
  <c r="U133" i="1"/>
  <c r="V133" i="1" s="1"/>
  <c r="W133" i="1"/>
  <c r="Y133" i="1" s="1"/>
  <c r="U177" i="1"/>
  <c r="V177" i="1" s="1"/>
  <c r="W177" i="1"/>
  <c r="Y177" i="1" s="1"/>
  <c r="W200" i="1"/>
  <c r="Y200" i="1" s="1"/>
  <c r="U200" i="1"/>
  <c r="V200" i="1" s="1"/>
  <c r="W208" i="1"/>
  <c r="Y208" i="1" s="1"/>
  <c r="U208" i="1"/>
  <c r="V208" i="1" s="1"/>
  <c r="W219" i="1"/>
  <c r="Y219" i="1" s="1"/>
  <c r="U219" i="1"/>
  <c r="V219" i="1" s="1"/>
  <c r="W227" i="1"/>
  <c r="Y227" i="1" s="1"/>
  <c r="U227" i="1"/>
  <c r="V227" i="1" s="1"/>
  <c r="W263" i="1"/>
  <c r="Y263" i="1" s="1"/>
  <c r="U263" i="1"/>
  <c r="V263" i="1" s="1"/>
  <c r="U290" i="1"/>
  <c r="V290" i="1" s="1"/>
  <c r="W290" i="1"/>
  <c r="Y290" i="1" s="1"/>
  <c r="U26" i="1"/>
  <c r="V26" i="1" s="1"/>
  <c r="W26" i="1"/>
  <c r="Y26" i="1" s="1"/>
  <c r="U42" i="1"/>
  <c r="V42" i="1" s="1"/>
  <c r="W42" i="1"/>
  <c r="Y42" i="1" s="1"/>
  <c r="U54" i="1"/>
  <c r="V54" i="1" s="1"/>
  <c r="W54" i="1"/>
  <c r="Y54" i="1" s="1"/>
  <c r="U68" i="1"/>
  <c r="V68" i="1" s="1"/>
  <c r="W68" i="1"/>
  <c r="Y68" i="1" s="1"/>
  <c r="U81" i="1"/>
  <c r="V81" i="1" s="1"/>
  <c r="W81" i="1"/>
  <c r="Y81" i="1" s="1"/>
  <c r="U30" i="1"/>
  <c r="V30" i="1" s="1"/>
  <c r="W30" i="1"/>
  <c r="Y30" i="1" s="1"/>
  <c r="U48" i="1"/>
  <c r="V48" i="1" s="1"/>
  <c r="W48" i="1"/>
  <c r="Y48" i="1" s="1"/>
  <c r="U70" i="1"/>
  <c r="V70" i="1" s="1"/>
  <c r="W70" i="1"/>
  <c r="Y70" i="1" s="1"/>
  <c r="W105" i="1"/>
  <c r="Y105" i="1" s="1"/>
  <c r="U105" i="1"/>
  <c r="V105" i="1" s="1"/>
  <c r="U235" i="1"/>
  <c r="V235" i="1" s="1"/>
  <c r="W235" i="1"/>
  <c r="Y235" i="1" s="1"/>
  <c r="W257" i="1"/>
  <c r="Y257" i="1" s="1"/>
  <c r="U257" i="1"/>
  <c r="V257" i="1" s="1"/>
  <c r="W252" i="1"/>
  <c r="Y252" i="1" s="1"/>
  <c r="U252" i="1"/>
  <c r="V252" i="1" s="1"/>
  <c r="W262" i="1"/>
  <c r="Y262" i="1" s="1"/>
  <c r="U262" i="1"/>
  <c r="V262" i="1" s="1"/>
  <c r="W322" i="1"/>
  <c r="Y322" i="1" s="1"/>
  <c r="U322" i="1"/>
  <c r="V322" i="1" s="1"/>
  <c r="W309" i="1"/>
  <c r="Y309" i="1" s="1"/>
  <c r="U309" i="1"/>
  <c r="V309" i="1" s="1"/>
  <c r="W317" i="1"/>
  <c r="Y317" i="1" s="1"/>
  <c r="U317" i="1"/>
  <c r="V317" i="1" s="1"/>
  <c r="W318" i="1"/>
  <c r="Y318" i="1" s="1"/>
  <c r="U318" i="1"/>
  <c r="V318" i="1" s="1"/>
  <c r="W303" i="1"/>
  <c r="Y303" i="1" s="1"/>
  <c r="U303" i="1"/>
  <c r="V303" i="1" s="1"/>
  <c r="U130" i="1"/>
  <c r="V130" i="1" s="1"/>
  <c r="W130" i="1"/>
  <c r="Y130" i="1" s="1"/>
  <c r="W238" i="1"/>
  <c r="Y238" i="1" s="1"/>
  <c r="U238" i="1"/>
  <c r="V238" i="1" s="1"/>
  <c r="U85" i="1"/>
  <c r="V85" i="1" s="1"/>
  <c r="W85" i="1"/>
  <c r="Y85" i="1" s="1"/>
  <c r="W93" i="1"/>
  <c r="Y93" i="1" s="1"/>
  <c r="U93" i="1"/>
  <c r="V93" i="1" s="1"/>
  <c r="W101" i="1"/>
  <c r="Y101" i="1" s="1"/>
  <c r="U101" i="1"/>
  <c r="V101" i="1" s="1"/>
  <c r="U124" i="1"/>
  <c r="V124" i="1" s="1"/>
  <c r="W124" i="1"/>
  <c r="Y124" i="1" s="1"/>
  <c r="W251" i="1"/>
  <c r="Y251" i="1" s="1"/>
  <c r="U251" i="1"/>
  <c r="V251" i="1" s="1"/>
  <c r="U87" i="1"/>
  <c r="V87" i="1" s="1"/>
  <c r="W87" i="1"/>
  <c r="Y87" i="1" s="1"/>
  <c r="W95" i="1"/>
  <c r="Y95" i="1" s="1"/>
  <c r="U95" i="1"/>
  <c r="V95" i="1" s="1"/>
  <c r="W103" i="1"/>
  <c r="Y103" i="1" s="1"/>
  <c r="U103" i="1"/>
  <c r="V103" i="1" s="1"/>
  <c r="U236" i="1"/>
  <c r="V236" i="1" s="1"/>
  <c r="W236" i="1"/>
  <c r="Y236" i="1" s="1"/>
  <c r="W261" i="1"/>
  <c r="Y261" i="1" s="1"/>
  <c r="U261" i="1"/>
  <c r="V261" i="1" s="1"/>
  <c r="W325" i="1"/>
  <c r="Y325" i="1" s="1"/>
  <c r="U325" i="1"/>
  <c r="V325" i="1" s="1"/>
  <c r="W92" i="1"/>
  <c r="Y92" i="1" s="1"/>
  <c r="U92" i="1"/>
  <c r="V92" i="1" s="1"/>
  <c r="W104" i="1"/>
  <c r="Y104" i="1" s="1"/>
  <c r="U104" i="1"/>
  <c r="V104" i="1" s="1"/>
  <c r="U172" i="1"/>
  <c r="V172" i="1" s="1"/>
  <c r="W172" i="1"/>
  <c r="Y172" i="1" s="1"/>
  <c r="U180" i="1"/>
  <c r="V180" i="1" s="1"/>
  <c r="W180" i="1"/>
  <c r="Y180" i="1" s="1"/>
  <c r="U138" i="1"/>
  <c r="V138" i="1" s="1"/>
  <c r="W138" i="1"/>
  <c r="Y138" i="1" s="1"/>
  <c r="U146" i="1"/>
  <c r="V146" i="1" s="1"/>
  <c r="W146" i="1"/>
  <c r="Y146" i="1" s="1"/>
  <c r="U154" i="1"/>
  <c r="V154" i="1" s="1"/>
  <c r="W154" i="1"/>
  <c r="Y154" i="1" s="1"/>
  <c r="U162" i="1"/>
  <c r="V162" i="1" s="1"/>
  <c r="W162" i="1"/>
  <c r="Y162" i="1" s="1"/>
  <c r="U168" i="1"/>
  <c r="V168" i="1" s="1"/>
  <c r="W168" i="1"/>
  <c r="Y168" i="1" s="1"/>
  <c r="U233" i="1"/>
  <c r="V233" i="1" s="1"/>
  <c r="W233" i="1"/>
  <c r="Y233" i="1" s="1"/>
  <c r="W222" i="1"/>
  <c r="Y222" i="1" s="1"/>
  <c r="U222" i="1"/>
  <c r="V222" i="1" s="1"/>
  <c r="W264" i="1"/>
  <c r="Y264" i="1" s="1"/>
  <c r="U264" i="1"/>
  <c r="V264" i="1" s="1"/>
  <c r="W302" i="1"/>
  <c r="Y302" i="1" s="1"/>
  <c r="U302" i="1"/>
  <c r="V302" i="1" s="1"/>
  <c r="W304" i="1"/>
  <c r="Y304" i="1" s="1"/>
  <c r="U304" i="1"/>
  <c r="V304" i="1" s="1"/>
  <c r="U18" i="1"/>
  <c r="V18" i="1" s="1"/>
  <c r="W18" i="1"/>
  <c r="Y18" i="1" s="1"/>
  <c r="U33" i="1"/>
  <c r="V33" i="1" s="1"/>
  <c r="W33" i="1"/>
  <c r="Y33" i="1" s="1"/>
  <c r="U47" i="1"/>
  <c r="V47" i="1" s="1"/>
  <c r="W47" i="1"/>
  <c r="Y47" i="1" s="1"/>
  <c r="U60" i="1"/>
  <c r="V60" i="1" s="1"/>
  <c r="W60" i="1"/>
  <c r="Y60" i="1" s="1"/>
  <c r="U72" i="1"/>
  <c r="V72" i="1" s="1"/>
  <c r="W72" i="1"/>
  <c r="Y72" i="1" s="1"/>
  <c r="U17" i="1"/>
  <c r="V17" i="1" s="1"/>
  <c r="W17" i="1"/>
  <c r="Y17" i="1" s="1"/>
  <c r="U36" i="1"/>
  <c r="V36" i="1" s="1"/>
  <c r="W36" i="1"/>
  <c r="Y36" i="1" s="1"/>
  <c r="U57" i="1"/>
  <c r="V57" i="1" s="1"/>
  <c r="W57" i="1"/>
  <c r="Y57" i="1" s="1"/>
  <c r="U77" i="1"/>
  <c r="V77" i="1" s="1"/>
  <c r="W77" i="1"/>
  <c r="Y77" i="1" s="1"/>
  <c r="U173" i="1"/>
  <c r="V173" i="1" s="1"/>
  <c r="W173" i="1"/>
  <c r="Y173" i="1" s="1"/>
  <c r="U181" i="1"/>
  <c r="V181" i="1" s="1"/>
  <c r="W181" i="1"/>
  <c r="Y181" i="1" s="1"/>
  <c r="W204" i="1"/>
  <c r="Y204" i="1" s="1"/>
  <c r="U204" i="1"/>
  <c r="V204" i="1" s="1"/>
  <c r="W215" i="1"/>
  <c r="Y215" i="1" s="1"/>
  <c r="U215" i="1"/>
  <c r="V215" i="1" s="1"/>
  <c r="W223" i="1"/>
  <c r="Y223" i="1" s="1"/>
  <c r="U223" i="1"/>
  <c r="V223" i="1" s="1"/>
  <c r="U286" i="1"/>
  <c r="V286" i="1" s="1"/>
  <c r="W286" i="1"/>
  <c r="Y286" i="1" s="1"/>
  <c r="U296" i="1"/>
  <c r="V296" i="1" s="1"/>
  <c r="W296" i="1"/>
  <c r="Y296" i="1" s="1"/>
  <c r="U19" i="1"/>
  <c r="V19" i="1" s="1"/>
  <c r="W19" i="1"/>
  <c r="Y19" i="1" s="1"/>
  <c r="U35" i="1"/>
  <c r="V35" i="1" s="1"/>
  <c r="W35" i="1"/>
  <c r="Y35" i="1" s="1"/>
  <c r="U49" i="1"/>
  <c r="V49" i="1" s="1"/>
  <c r="W49" i="1"/>
  <c r="Y49" i="1" s="1"/>
  <c r="U61" i="1"/>
  <c r="V61" i="1" s="1"/>
  <c r="W61" i="1"/>
  <c r="Y61" i="1" s="1"/>
  <c r="U74" i="1"/>
  <c r="V74" i="1" s="1"/>
  <c r="W74" i="1"/>
  <c r="Y74" i="1" s="1"/>
  <c r="U20" i="1"/>
  <c r="V20" i="1" s="1"/>
  <c r="W20" i="1"/>
  <c r="Y20" i="1" s="1"/>
  <c r="U38" i="1"/>
  <c r="V38" i="1" s="1"/>
  <c r="W38" i="1"/>
  <c r="Y38" i="1" s="1"/>
  <c r="U59" i="1"/>
  <c r="V59" i="1" s="1"/>
  <c r="W59" i="1"/>
  <c r="Y59" i="1" s="1"/>
  <c r="U80" i="1"/>
  <c r="V80" i="1" s="1"/>
  <c r="W80" i="1"/>
  <c r="Y80" i="1" s="1"/>
  <c r="O84" i="1"/>
  <c r="U237" i="1"/>
  <c r="V237" i="1" s="1"/>
  <c r="W237" i="1"/>
  <c r="Y237" i="1" s="1"/>
  <c r="W260" i="1"/>
  <c r="Y260" i="1" s="1"/>
  <c r="U260" i="1"/>
  <c r="V260" i="1" s="1"/>
  <c r="W106" i="1"/>
  <c r="Y106" i="1" s="1"/>
  <c r="U106" i="1"/>
  <c r="V106" i="1" s="1"/>
  <c r="W254" i="1"/>
  <c r="Y254" i="1" s="1"/>
  <c r="U254" i="1"/>
  <c r="V254" i="1" s="1"/>
  <c r="W305" i="1"/>
  <c r="Y305" i="1" s="1"/>
  <c r="U305" i="1"/>
  <c r="V305" i="1" s="1"/>
  <c r="W313" i="1"/>
  <c r="Y313" i="1" s="1"/>
  <c r="U313" i="1"/>
  <c r="V313" i="1" s="1"/>
  <c r="W310" i="1"/>
  <c r="Y310" i="1" s="1"/>
  <c r="U310" i="1"/>
  <c r="V310" i="1" s="1"/>
  <c r="W319" i="1"/>
  <c r="Y319" i="1" s="1"/>
  <c r="U319" i="1"/>
  <c r="V319" i="1" s="1"/>
  <c r="W297" i="1"/>
  <c r="Y297" i="1" s="1"/>
  <c r="U297" i="1"/>
  <c r="V297" i="1" s="1"/>
  <c r="W100" i="1"/>
  <c r="Y100" i="1" s="1"/>
  <c r="U100" i="1"/>
  <c r="V100" i="1" s="1"/>
  <c r="W326" i="1"/>
  <c r="Y326" i="1" s="1"/>
  <c r="U326" i="1"/>
  <c r="V326" i="1" s="1"/>
  <c r="W89" i="1"/>
  <c r="Y89" i="1" s="1"/>
  <c r="U89" i="1"/>
  <c r="V89" i="1" s="1"/>
  <c r="W97" i="1"/>
  <c r="Y97" i="1" s="1"/>
  <c r="U97" i="1"/>
  <c r="V97" i="1" s="1"/>
  <c r="W300" i="1"/>
  <c r="Y300" i="1" s="1"/>
  <c r="U300" i="1"/>
  <c r="V300" i="1" s="1"/>
  <c r="U121" i="1"/>
  <c r="V121" i="1" s="1"/>
  <c r="W121" i="1"/>
  <c r="Y121" i="1" s="1"/>
  <c r="W259" i="1"/>
  <c r="Y259" i="1" s="1"/>
  <c r="U259" i="1"/>
  <c r="V259" i="1" s="1"/>
  <c r="W91" i="1"/>
  <c r="Y91" i="1" s="1"/>
  <c r="U91" i="1"/>
  <c r="V91" i="1" s="1"/>
  <c r="W99" i="1"/>
  <c r="Y99" i="1" s="1"/>
  <c r="U99" i="1"/>
  <c r="V99" i="1" s="1"/>
  <c r="W253" i="1"/>
  <c r="Y253" i="1" s="1"/>
  <c r="U253" i="1"/>
  <c r="V253" i="1" s="1"/>
  <c r="W323" i="1"/>
  <c r="Y323" i="1" s="1"/>
  <c r="U323" i="1"/>
  <c r="V323" i="1" s="1"/>
  <c r="U88" i="1"/>
  <c r="V88" i="1" s="1"/>
  <c r="W88" i="1"/>
  <c r="Y88" i="1" s="1"/>
  <c r="W96" i="1"/>
  <c r="Y96" i="1" s="1"/>
  <c r="U96" i="1"/>
  <c r="V96" i="1" s="1"/>
  <c r="U348" i="1" l="1"/>
  <c r="V348" i="1" s="1"/>
  <c r="W348" i="1"/>
  <c r="Y348" i="1" s="1"/>
  <c r="P84" i="1"/>
  <c r="T84" i="1" s="1"/>
  <c r="U14" i="1"/>
  <c r="W14" i="1"/>
  <c r="U84" i="1"/>
  <c r="V84" i="1" s="1"/>
  <c r="W84" i="1"/>
  <c r="Y84" i="1" s="1"/>
  <c r="Y14" i="1" l="1"/>
  <c r="V14" i="1"/>
</calcChain>
</file>

<file path=xl/sharedStrings.xml><?xml version="1.0" encoding="utf-8"?>
<sst xmlns="http://schemas.openxmlformats.org/spreadsheetml/2006/main" count="429" uniqueCount="406">
  <si>
    <t>FY 2014</t>
  </si>
  <si>
    <t>A</t>
  </si>
  <si>
    <t>B</t>
  </si>
  <si>
    <t>C</t>
  </si>
  <si>
    <t>D</t>
  </si>
  <si>
    <t>E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</si>
  <si>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</si>
  <si>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</si>
  <si>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</si>
  <si>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</si>
  <si>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</si>
  <si>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</si>
  <si>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</si>
  <si>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</si>
  <si>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</si>
  <si>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</si>
  <si>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</si>
  <si>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</si>
  <si>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</si>
  <si>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</si>
  <si>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</si>
  <si>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</si>
  <si>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</si>
  <si>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FY 2013</t>
  </si>
  <si>
    <t>CURRENT</t>
  </si>
  <si>
    <t>Prior</t>
  </si>
  <si>
    <t>Minority</t>
  </si>
  <si>
    <t>Maximum</t>
  </si>
  <si>
    <t>Hold Harmless</t>
  </si>
  <si>
    <t>Maximum plus</t>
  </si>
  <si>
    <t>Approved</t>
  </si>
  <si>
    <t>100.3% of</t>
  </si>
  <si>
    <t>Lesser of</t>
  </si>
  <si>
    <t>.3% to go</t>
  </si>
  <si>
    <t>Init. Integ. Budget</t>
  </si>
  <si>
    <t>Proposed</t>
  </si>
  <si>
    <t>change</t>
  </si>
  <si>
    <t>change/PU</t>
  </si>
  <si>
    <t>positive</t>
  </si>
  <si>
    <t>Estimated</t>
  </si>
  <si>
    <t>Year</t>
  </si>
  <si>
    <t>Portion</t>
  </si>
  <si>
    <t>Integration</t>
  </si>
  <si>
    <t>Approved Initial</t>
  </si>
  <si>
    <t>Maximum or</t>
  </si>
  <si>
    <t>to MDE</t>
  </si>
  <si>
    <t>to go to Districts</t>
  </si>
  <si>
    <t>Incentive</t>
  </si>
  <si>
    <t>Revenue</t>
  </si>
  <si>
    <t>revenue</t>
  </si>
  <si>
    <t>vs</t>
  </si>
  <si>
    <t>integ</t>
  </si>
  <si>
    <t>Original</t>
  </si>
  <si>
    <t>Total</t>
  </si>
  <si>
    <t>Enrolled</t>
  </si>
  <si>
    <t>= zero or</t>
  </si>
  <si>
    <t>Budget</t>
  </si>
  <si>
    <t xml:space="preserve">Integration </t>
  </si>
  <si>
    <t xml:space="preserve">100.3% of Approved </t>
  </si>
  <si>
    <t>Revised Total</t>
  </si>
  <si>
    <t>vs FY 13</t>
  </si>
  <si>
    <t>FY 13</t>
  </si>
  <si>
    <t>aid</t>
  </si>
  <si>
    <t>levy</t>
  </si>
  <si>
    <t>Pupil Units</t>
  </si>
  <si>
    <t>Incentive Budget</t>
  </si>
  <si>
    <t>To Districts</t>
  </si>
  <si>
    <t>less</t>
  </si>
  <si>
    <t>but &gt;= zero</t>
  </si>
  <si>
    <t>or zero</t>
  </si>
  <si>
    <t>STATE TOTAL</t>
  </si>
  <si>
    <t>AITKIN</t>
  </si>
  <si>
    <t>MINNEAPOLIS PUBLIC SCHOOL DIST.</t>
  </si>
  <si>
    <t>HILL CITY</t>
  </si>
  <si>
    <t>MCGREGOR</t>
  </si>
  <si>
    <t>SOUTH ST. PAUL PUBLIC SCHOOL DIST.</t>
  </si>
  <si>
    <t>ANOKA-HENNEPIN PUBLIC SCHOOL DIST.</t>
  </si>
  <si>
    <t>CENTENNIAL</t>
  </si>
  <si>
    <t>COLUMBIA HEIGHTS PUBLIC SCHOOL DIST</t>
  </si>
  <si>
    <t>FRIDLEY PUBLIC SCHOOL DISTRICT</t>
  </si>
  <si>
    <t>ST. FRANCIS</t>
  </si>
  <si>
    <t>SPRING LAKE PARK PUBLIC SCHOOLS</t>
  </si>
  <si>
    <t>DETROIT LAKES PUBLIC SCHOOL DIST.</t>
  </si>
  <si>
    <t>FRAZEE-VERGAS PUBLIC SCHOOL DIST.</t>
  </si>
  <si>
    <t>PINE POINT</t>
  </si>
  <si>
    <t>BEMIDJI</t>
  </si>
  <si>
    <t>BLACKDUCK</t>
  </si>
  <si>
    <t>KELLIHER</t>
  </si>
  <si>
    <t>RED LAKE</t>
  </si>
  <si>
    <t>SAUK RAPIDS PUBLIC SCHOOL DISTRICT</t>
  </si>
  <si>
    <t>FOLEY PUBLIC SCHOOL DISTRICT</t>
  </si>
  <si>
    <t>ST. CLAIR</t>
  </si>
  <si>
    <t>MANKATO</t>
  </si>
  <si>
    <t>COMFREY PUBLIC SCHOOL DISTRICT</t>
  </si>
  <si>
    <t>SLEEPY EYE PUBLIC SCHOOL DISTRICT</t>
  </si>
  <si>
    <t>SPRINGFIELD PUBLIC SCHOOL DISTRICT</t>
  </si>
  <si>
    <t>NEW ULM PUBLIC SCHOOL DISTRICT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</si>
  <si>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</si>
  <si>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</si>
  <si>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</si>
  <si>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</si>
  <si>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</si>
  <si>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</si>
  <si>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</si>
  <si>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</si>
  <si>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</si>
  <si>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</si>
  <si>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EASTERN CARVER CTY</t>
  </si>
  <si>
    <t>WALKER-AKELEY</t>
  </si>
  <si>
    <t>CASS LAKE</t>
  </si>
  <si>
    <t>PILLAGER</t>
  </si>
  <si>
    <t>NORTHLAND</t>
  </si>
  <si>
    <t>MONTEVIDEO PUBLIC SCHOOL DISTRICT</t>
  </si>
  <si>
    <t>NORTH BRANCH</t>
  </si>
  <si>
    <t>RUSH CITY</t>
  </si>
  <si>
    <t>BARNESVILLE PUBLIC SCHOOL DIST.</t>
  </si>
  <si>
    <t>HAWLEY PUBLIC SCHOOL DISTRICT</t>
  </si>
  <si>
    <t>MOORHEAD</t>
  </si>
  <si>
    <t>BAGLEY</t>
  </si>
  <si>
    <t>COOK COUNTY</t>
  </si>
  <si>
    <t>MOUNTAIN LAKE PUBLIC SCHOOLS</t>
  </si>
  <si>
    <t>WINDOM PUBLIC SCHOOL DISTRICT</t>
  </si>
  <si>
    <t>BRAINERD</t>
  </si>
  <si>
    <t>CROSBY</t>
  </si>
  <si>
    <t>PEQUOT LAKES</t>
  </si>
  <si>
    <t>BURNSVILLE PUBLIC SCHOOL DISTRICT</t>
  </si>
  <si>
    <t>FARMINGTON</t>
  </si>
  <si>
    <t>LAKEVILLE PUBLIC SCHOOL DISTRICT</t>
  </si>
  <si>
    <t>RANDOLPH</t>
  </si>
  <si>
    <t>ROSEMOUNT-APPLE VALLEY-EAGAN</t>
  </si>
  <si>
    <t>WEST ST. PAUL-MENDOTA HTS.-EAGAN</t>
  </si>
  <si>
    <t>INVER GROVE HEIGHTS SCHOOLS</t>
  </si>
  <si>
    <t>HASTINGS</t>
  </si>
  <si>
    <t>HAYFIELD PUBLIC SCHOOL DISTRICT</t>
  </si>
  <si>
    <t>KASSON-MANTORVIL</t>
  </si>
  <si>
    <t>ALEXANDRIA</t>
  </si>
  <si>
    <t>BRANDON</t>
  </si>
  <si>
    <t>EVANSVILLE</t>
  </si>
  <si>
    <t>OSAKIS PUBLIC SCHOOL DISTRICT</t>
  </si>
  <si>
    <t>CHATFIELD PUBLIC SCHOOLS</t>
  </si>
  <si>
    <t>LANESBORO</t>
  </si>
  <si>
    <t>MABEL-CANTON</t>
  </si>
  <si>
    <t>RUSHFORD-PETERSO</t>
  </si>
  <si>
    <t>ALBERT LEA PUBLIC SCHOOL DISTRICT</t>
  </si>
  <si>
    <t>ALDEN</t>
  </si>
  <si>
    <t>CANNON FALLS</t>
  </si>
  <si>
    <t>GOODHUE</t>
  </si>
  <si>
    <t>PINE ISLAND PUBLIC SCHOOL DIST.</t>
  </si>
  <si>
    <t>RED WING</t>
  </si>
  <si>
    <t>ASHBY</t>
  </si>
  <si>
    <t>HERMAN-NORCROSS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</si>
  <si>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</si>
  <si>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</si>
  <si>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</si>
  <si>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</si>
  <si>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</si>
  <si>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</t>
  </si>
  <si>
    <t>ORONO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</si>
  <si>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</si>
  <si>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</si>
  <si>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</si>
  <si>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</si>
  <si>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</si>
  <si>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</si>
  <si>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</si>
  <si>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</si>
  <si>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</si>
  <si>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</si>
  <si>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</si>
  <si>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</si>
  <si>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</si>
  <si>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</si>
  <si>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</si>
  <si>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</si>
  <si>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</si>
  <si>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</si>
  <si>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</si>
  <si>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</si>
  <si>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</si>
  <si>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</si>
  <si>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</si>
  <si>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LONDON-SPICER SCHOOL DISTRICT</t>
  </si>
  <si>
    <t>WILLMAR PUBLIC SCHOOL DISTRICT</t>
  </si>
  <si>
    <t>LANCASTER</t>
  </si>
  <si>
    <t>INTERNATIONAL FA</t>
  </si>
  <si>
    <t>LITTLEFORK-BIG F</t>
  </si>
  <si>
    <t>SOUTH KOOCHICHIN</t>
  </si>
  <si>
    <t>DAWSON-BOYD PUBLIC SCHOOL DISTRICT</t>
  </si>
  <si>
    <t>LAKE SUPERIOR</t>
  </si>
  <si>
    <t>LAKE OF THE WOOD</t>
  </si>
  <si>
    <t>CLEVELAND PUBLIC SCHOOL DISTRICT</t>
  </si>
  <si>
    <t>HENDRICKS PUBLIC SCHOOL DISTRICT</t>
  </si>
  <si>
    <t>IVANHOE PUBLIC SCHOOL DISTRICT</t>
  </si>
  <si>
    <t>LAKE BENTON</t>
  </si>
  <si>
    <t>MARSHALL PUBLIC SCHOOL DISTRICT</t>
  </si>
  <si>
    <t>MINNEOTA PUBLIC SCHOOL DISTRICT</t>
  </si>
  <si>
    <t>LYND PUBLIC SCHOOL DISTRICT</t>
  </si>
  <si>
    <t>HUTCHINSON</t>
  </si>
  <si>
    <t>LESTER PRAIRIE</t>
  </si>
  <si>
    <t>MAHNOMEN</t>
  </si>
  <si>
    <t>WAUBUN</t>
  </si>
  <si>
    <t>MARSHALL CTY CENTRAL</t>
  </si>
  <si>
    <t>GRYGLA</t>
  </si>
  <si>
    <t>TRUMAN PUBLIC SCHOOL DISTRICT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</si>
  <si>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</si>
  <si>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</si>
  <si>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</si>
  <si>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</si>
  <si>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</si>
  <si>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</si>
  <si>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</si>
  <si>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</si>
  <si>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</si>
  <si>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 PUBLIC SCHOOL DISTRICT</t>
  </si>
  <si>
    <t>UPSALA PUBLIC SCHOOL DISTRICT</t>
  </si>
  <si>
    <t>AUSTIN PUBLIC SCHOOL DISTRICT</t>
  </si>
  <si>
    <t>GRAND MEADOW</t>
  </si>
  <si>
    <t>LYLE PUBLIC SCHOOL DISTRICT</t>
  </si>
  <si>
    <t>LEROY</t>
  </si>
  <si>
    <t>SOUTHLAND PUBLIC SCHOOL DISTRICT</t>
  </si>
  <si>
    <t>FULDA PUBLIC SCHOOL DISTRICT</t>
  </si>
  <si>
    <t>NICOLLET PUBLIC SCHOOL DISTRICT</t>
  </si>
  <si>
    <t>ST. PETER</t>
  </si>
  <si>
    <t>ADRIAN PUBLIC SCHOOL DISTRICT</t>
  </si>
  <si>
    <t>ELLSWORTH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</si>
  <si>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</si>
  <si>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</si>
  <si>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</si>
  <si>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</si>
  <si>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</si>
  <si>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</si>
  <si>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</si>
  <si>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</t>
  </si>
  <si>
    <t>PARKERS PRAIRIE</t>
  </si>
  <si>
    <t>PELICAN RAPIDS PUBLIC SCHOOL DIST.</t>
  </si>
  <si>
    <t>PERHAM PUBLIC SCHOOL DISTRICT</t>
  </si>
  <si>
    <t>UNDERWOOD PUBLIC SCHOOL DISTRICT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</si>
  <si>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</si>
  <si>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</si>
  <si>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</si>
  <si>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</si>
  <si>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</si>
  <si>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</si>
  <si>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</si>
  <si>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</si>
  <si>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</si>
  <si>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</si>
  <si>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</si>
  <si>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</si>
  <si>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</si>
  <si>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</si>
  <si>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</si>
  <si>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</si>
  <si>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</si>
  <si>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</si>
  <si>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</t>
  </si>
  <si>
    <t>PLUMMER</t>
  </si>
  <si>
    <t>RED LAKE FALLS</t>
  </si>
  <si>
    <t>MILROY PUBLIC SCHOOL DISTRICT</t>
  </si>
  <si>
    <t>WABASSO PUBLIC SCHOOL DISTRICT</t>
  </si>
  <si>
    <t>FARIBAULT PUBLIC SCHOOL DISTRICT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</si>
  <si>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</si>
  <si>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</si>
  <si>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</si>
  <si>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</si>
  <si>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</si>
  <si>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</si>
  <si>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</si>
  <si>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</si>
  <si>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</si>
  <si>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</si>
  <si>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</si>
  <si>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</si>
  <si>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</si>
  <si>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 PUBLIC SCHOOL DISTRICT</t>
  </si>
  <si>
    <t>MOUNTAIN IRON-BU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</si>
  <si>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</si>
  <si>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</si>
  <si>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</si>
  <si>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</si>
  <si>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</si>
  <si>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</si>
  <si>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</t>
  </si>
  <si>
    <t>ELK RIVER PUBLIC SCHOOL DISTRICT</t>
  </si>
  <si>
    <t>HOLDINGFORD PUBLIC SCHOOL DISTRICT</t>
  </si>
  <si>
    <t>KIMBALL PUBLIC SCHOOL DISTRICT</t>
  </si>
  <si>
    <t>MELROSE PUBLIC SCHOOL DISTRICT</t>
  </si>
  <si>
    <t>PAYNESVILLE</t>
  </si>
  <si>
    <t>ST. CLOUD PUBLIC SCHOOL DISTRICT</t>
  </si>
  <si>
    <t>SAUK CENTRE PUBLIC SCHOOL DISTRICT</t>
  </si>
  <si>
    <t>ALBANY PUBLIC SCHOOL DISTRICT</t>
  </si>
  <si>
    <t>SARTELL-ST. STEPHEN SCHOOL DISTRICT</t>
  </si>
  <si>
    <t>ROCORI</t>
  </si>
  <si>
    <t>BLOOMING PRAIRIE PUBLIC SCHOOL DIST</t>
  </si>
  <si>
    <t>OWATONNA</t>
  </si>
  <si>
    <t>MEDFORD</t>
  </si>
  <si>
    <t>HANCOCK</t>
  </si>
  <si>
    <t>MORRIS</t>
  </si>
  <si>
    <t>CHOKIO-ALBERTA</t>
  </si>
  <si>
    <t>KERKHOVEN-MURDOCK-SUNBURG</t>
  </si>
  <si>
    <t>BENSON</t>
  </si>
  <si>
    <t>BERTHA-HEWITT</t>
  </si>
  <si>
    <t>BROWERVILLE PUBLIC SCHOOL DISTRICT</t>
  </si>
  <si>
    <t>BROWNS VALLEY</t>
  </si>
  <si>
    <t>WHEATON</t>
  </si>
  <si>
    <t>WABASHA</t>
  </si>
  <si>
    <t>LAKE CITY PUBLIC SCHOOL DISTRICT</t>
  </si>
  <si>
    <t>PRINSBURG</t>
  </si>
  <si>
    <t>VERNDALE</t>
  </si>
  <si>
    <t>SEBEKA</t>
  </si>
  <si>
    <t>MENAHGA</t>
  </si>
  <si>
    <t>WASECA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</si>
  <si>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</si>
  <si>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</si>
  <si>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</si>
  <si>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</si>
  <si>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</si>
  <si>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</si>
  <si>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</si>
  <si>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</t>
  </si>
  <si>
    <t>ROTHSAY PUBLIC SCHOOL DISTRICT</t>
  </si>
  <si>
    <t>CAMPBELL-TINTAH</t>
  </si>
  <si>
    <t>LEWISTON</t>
  </si>
  <si>
    <t>ST. CHARLES</t>
  </si>
  <si>
    <t>WINONA</t>
  </si>
  <si>
    <t>ANNANDALE PUBLIC SCHOOL DISTRICT</t>
  </si>
  <si>
    <t>BUFFALO PUBLIC SCHOOL DISTRICT</t>
  </si>
  <si>
    <t>DELANO</t>
  </si>
  <si>
    <t>MAPLE LAKE</t>
  </si>
  <si>
    <t>MONTICELLO</t>
  </si>
  <si>
    <t>ROCKFORD PUBLIC SCHOOL DISTRICT</t>
  </si>
  <si>
    <t>ST. MICHAEL-ALBE</t>
  </si>
  <si>
    <t>CANBY PUBLIC SCHOOL DISTRICT</t>
  </si>
  <si>
    <t>CAMBRIDGE-ISANTI</t>
  </si>
  <si>
    <t>MILACA</t>
  </si>
  <si>
    <t>ULEN-HITTERDAL</t>
  </si>
  <si>
    <t>LAKE CRYSTAL-WELLCOME MEMORIAL</t>
  </si>
  <si>
    <t>TRITON</t>
  </si>
  <si>
    <t>UNITED SOUTH CENTRAL</t>
  </si>
  <si>
    <t>MAPLE RIVER SCHOOL DISTRICT</t>
  </si>
  <si>
    <t>KINGSLAND</t>
  </si>
  <si>
    <t>ST. LOUIS COUNTY</t>
  </si>
  <si>
    <t>WATERVILLE-ELYSIAN-MORRISTOWN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</si>
  <si>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</si>
  <si>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</si>
  <si>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</si>
  <si>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</si>
  <si>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</si>
  <si>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</si>
  <si>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</si>
  <si>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 SCHOOL DISTRICT</t>
  </si>
  <si>
    <t>NRHEG SCHOOL DISTRICT</t>
  </si>
  <si>
    <t>MURRAY COUNTY CENTRAL SCHOOL DIST.</t>
  </si>
  <si>
    <t>STAPLES-MOTLEY</t>
  </si>
  <si>
    <t>KITTSON CENTRAL</t>
  </si>
  <si>
    <t>KENYON-WANAMINGO</t>
  </si>
  <si>
    <t>PINE RIVER-BACKU</t>
  </si>
  <si>
    <t>WARREN-ALVARADO-</t>
  </si>
  <si>
    <t>M.A.C.C.R.A.Y. SCHOOL DISTRICT</t>
  </si>
  <si>
    <t>LUVERNE</t>
  </si>
  <si>
    <t>YELLOW MEDICINE EAST</t>
  </si>
  <si>
    <t xml:space="preserve">FILLMORE CENTRAL                   </t>
  </si>
  <si>
    <t>NORMAN COUNTY EAST</t>
  </si>
  <si>
    <t>SIBLEY EAST SCHOOL DISTRICT</t>
  </si>
  <si>
    <t>CLEARBROOK-GONVICK</t>
  </si>
  <si>
    <t>WEST CENTRAL AREA</t>
  </si>
  <si>
    <t>TRI-COUNTY</t>
  </si>
  <si>
    <t>BELGRADE-BROOTEN-ELR</t>
  </si>
  <si>
    <t>G.F.W.</t>
  </si>
  <si>
    <t>A.C.G.C.</t>
  </si>
  <si>
    <t>LESUEUR-HENDERSO</t>
  </si>
  <si>
    <t>MARTIN COUNTY WEST SCHOOL DISTRICT</t>
  </si>
  <si>
    <t>NORMAN CTY WEST</t>
  </si>
  <si>
    <t>BIRD ISLAND-OLIVIA-LAKE LILLIAN</t>
  </si>
  <si>
    <t>GRANADA HUNTLEY-</t>
  </si>
  <si>
    <t>EAST CENTRAL</t>
  </si>
  <si>
    <t>WIN-E-MAC</t>
  </si>
  <si>
    <t>GREENBUSH-MIDDLE RIV</t>
  </si>
  <si>
    <t>HOWARD LAKE-WAVERLY-WINSTED</t>
  </si>
  <si>
    <t>PIPESTONE-JASPER</t>
  </si>
  <si>
    <t>MESABI EAST</t>
  </si>
  <si>
    <t>FAIRMONT AREA SCHOOLS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</si>
  <si>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</si>
  <si>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</si>
  <si>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</si>
  <si>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</si>
  <si>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</t>
  </si>
  <si>
    <t>LAC QUI PARLE</t>
  </si>
  <si>
    <t>ADA-BORUP</t>
  </si>
  <si>
    <t>STEPHEN-ARGYLE</t>
  </si>
  <si>
    <t>GLENCOE-SILVER LAKE</t>
  </si>
  <si>
    <t>BLUE EARTH-DELAVAN-ELMORE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</si>
  <si>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</si>
  <si>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</si>
  <si>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</si>
  <si>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</si>
  <si>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</si>
  <si>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</si>
  <si>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SCHOOLS</t>
  </si>
  <si>
    <t>WESTBROOK-WALNUT GROVE SCHOOLS</t>
  </si>
  <si>
    <t>PLAINVIEW-ELGIN-MILLVILLE</t>
  </si>
  <si>
    <t>RTR PUBLIC SCHOOLS</t>
  </si>
  <si>
    <t>ORTONVILLE</t>
  </si>
  <si>
    <t>TRACY AREA PUBLIC SCHOOL DISTRICT</t>
  </si>
  <si>
    <t>TRI-CITY UNITED</t>
  </si>
  <si>
    <t>ROUND LAKE BREWSTER PUBLIC SCHOOL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</si>
</sst>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NumberFormat="1" applyFont="1" applyFill="1" applyAlignment="1" applyProtection="1">
      <alignment horizontal="left"/>
      <protection locked="0"/>
    </xf>
    <xf numFmtId="0" fontId="2" fillId="0" borderId="0" xfId="0" applyNumberFormat="1" applyFont="1" applyFill="1" applyAlignment="1" applyProtection="1">
      <alignment horizontal="right"/>
      <protection locked="0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0" fillId="0" borderId="0" xfId="0" applyFont="1" applyFill="1" applyAlignment="1">
      <alignment horizontal="right"/>
    </xf>
    <xf numFmtId="0" fontId="3" fillId="0" borderId="0" xfId="0" applyFont="1" applyFill="1" applyAlignment="1"/>
    <xf numFmtId="0" fontId="0" fillId="0" borderId="0" xfId="0" applyFont="1" applyFill="1"/>
    <xf numFmtId="0" fontId="2" fillId="0" borderId="0" xfId="0" applyNumberFormat="1" applyFont="1" applyFill="1" applyAlignment="1" applyProtection="1">
      <alignment horizontal="center"/>
      <protection locked="0"/>
    </xf>
    <xf numFmtId="0" fontId="0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3" fontId="2" fillId="0" borderId="0" xfId="0" applyNumberFormat="1" applyFont="1" applyFill="1" applyAlignment="1" applyProtection="1">
      <alignment horizontal="center"/>
    </xf>
    <xf numFmtId="3" fontId="3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quotePrefix="1" applyFont="1" applyFill="1" applyAlignment="1">
      <alignment horizontal="center"/>
    </xf>
    <xf numFmtId="0" fontId="0" fillId="0" borderId="0" xfId="0" quotePrefix="1" applyFont="1" applyFill="1" applyAlignment="1">
      <alignment horizontal="center"/>
    </xf>
    <xf numFmtId="4" fontId="3" fillId="0" borderId="0" xfId="0" applyNumberFormat="1" applyFont="1" applyFill="1" applyAlignment="1">
      <alignment horizontal="center"/>
    </xf>
    <xf numFmtId="4" fontId="0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3" fontId="0" fillId="0" borderId="0" xfId="0" applyNumberFormat="1" applyFont="1" applyFill="1"/>
    <xf numFmtId="3" fontId="3" fillId="0" borderId="0" xfId="0" applyNumberFormat="1" applyFont="1" applyFill="1" applyAlignment="1"/>
    <xf numFmtId="0" fontId="0" fillId="0" borderId="0" xfId="0" applyFill="1"/>
    <xf numFmtId="4" fontId="2" fillId="0" borderId="0" xfId="0" applyNumberFormat="1" applyFont="1" applyFill="1" applyAlignment="1" applyProtection="1">
      <alignment horizontal="right"/>
    </xf>
    <xf numFmtId="164" fontId="3" fillId="0" borderId="0" xfId="0" applyNumberFormat="1" applyFont="1" applyFill="1"/>
    <xf numFmtId="4" fontId="0" fillId="0" borderId="0" xfId="0" applyNumberFormat="1" applyFont="1" applyFill="1"/>
    <xf numFmtId="4" fontId="3" fillId="0" borderId="0" xfId="0" applyNumberFormat="1" applyFont="1" applyFill="1" applyAlignment="1"/>
    <xf numFmtId="3" fontId="2" fillId="0" borderId="0" xfId="2" applyNumberFormat="1" applyFont="1" applyFill="1" applyAlignment="1" applyProtection="1">
      <alignment horizontal="right"/>
    </xf>
    <xf numFmtId="1" fontId="0" fillId="0" borderId="0" xfId="0" applyNumberFormat="1" applyFont="1" applyFill="1" applyProtection="1"/>
    <xf numFmtId="0" fontId="0" fillId="0" borderId="0" xfId="0" applyFont="1" applyFill="1" applyAlignment="1" applyProtection="1">
      <alignment horizontal="left"/>
    </xf>
    <xf numFmtId="4" fontId="3" fillId="0" borderId="0" xfId="0" applyNumberFormat="1" applyFont="1" applyFill="1"/>
    <xf numFmtId="4" fontId="0" fillId="0" borderId="0" xfId="0" applyNumberFormat="1" applyFill="1"/>
    <xf numFmtId="165" fontId="0" fillId="0" borderId="0" xfId="2" applyNumberFormat="1" applyFont="1" applyFill="1"/>
    <xf numFmtId="37" fontId="0" fillId="0" borderId="0" xfId="2" applyNumberFormat="1" applyFont="1" applyFill="1"/>
    <xf numFmtId="165" fontId="4" fillId="0" borderId="0" xfId="1" applyNumberFormat="1" applyFont="1" applyFill="1" applyAlignment="1"/>
    <xf numFmtId="1" fontId="2" fillId="0" borderId="0" xfId="0" applyNumberFormat="1" applyFont="1" applyFill="1" applyAlignment="1" applyProtection="1">
      <alignment horizontal="right"/>
      <protection locked="0"/>
    </xf>
    <xf numFmtId="4" fontId="2" fillId="0" borderId="0" xfId="2" applyNumberFormat="1" applyFont="1" applyFill="1" applyAlignment="1" applyProtection="1">
      <alignment horizontal="right"/>
    </xf>
    <xf numFmtId="165" fontId="3" fillId="0" borderId="0" xfId="1" applyNumberFormat="1" applyFont="1" applyFill="1" applyAlignment="1"/>
    <xf numFmtId="1" fontId="0" fillId="0" borderId="0" xfId="0" applyNumberFormat="1" applyFont="1" applyFill="1" applyBorder="1" applyProtection="1"/>
  </cellXfs>
  <cellStyles count="3">
    <cellStyle name="Comma" xfId="1" builtinId="3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neu\AppData\Local\Microsoft\Windows\Temporary%20Internet%20Files\Content.Outlook\BNSULWSD\FY14%20Integration%20spreadsheet%20for%20Oct%2030%20IDEAS%20load%20if%20mainframe%20not%20avail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g FY 14 for Oct 30 IDEAS"/>
      <sheetName val="integ FY 14 conference"/>
      <sheetName val="integ FY 15 conference"/>
      <sheetName val="FY16"/>
      <sheetName val="FY17"/>
      <sheetName val="growth"/>
      <sheetName val="FY13"/>
      <sheetName val="PU2"/>
      <sheetName val="integ FY 14"/>
      <sheetName val="integ FY 15"/>
      <sheetName val="integ FY 16"/>
      <sheetName val="integ FY 17"/>
      <sheetName val="pay 13 levy"/>
      <sheetName val="Round Lake Brewster Oct 15 IDEA"/>
      <sheetName val="Round Lake Brewster Sep 30  IDE"/>
      <sheetName val="Datab FY13 Integ on 8-15-13"/>
      <sheetName val="FY13 total rev on 8-15-13"/>
      <sheetName val="FY13 8-15-13 to copy to sheet"/>
      <sheetName val="Aug 30 load all districts"/>
      <sheetName val="Aug 30 load approved only"/>
      <sheetName val="Aug 30 aid for dist w budgets"/>
      <sheetName val="ch fr Aug 30 due to calc change"/>
      <sheetName val="Mpls calc for Sept 15 load"/>
      <sheetName val="Sept 15 load all districts"/>
      <sheetName val="Datab FY13 Integ on 9-16-13"/>
      <sheetName val="FY13 Total Rev on 9-16-13"/>
      <sheetName val="FY13 9-16-13 to copy to sheet"/>
      <sheetName val="Mpls calc for Sept 30"/>
      <sheetName val="Sept 30 load all districts"/>
      <sheetName val="Mpls calc for Oct 15"/>
      <sheetName val="Oct 15 load all districts"/>
      <sheetName val="Oct 30 load all dst (no chang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">
          <cell r="F4">
            <v>0</v>
          </cell>
        </row>
        <row r="5">
          <cell r="F5">
            <v>18531489.600000001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497215</v>
          </cell>
        </row>
        <row r="9">
          <cell r="F9">
            <v>5602341</v>
          </cell>
        </row>
        <row r="10">
          <cell r="F10">
            <v>0</v>
          </cell>
        </row>
        <row r="11">
          <cell r="F11">
            <v>643306.43999999994</v>
          </cell>
        </row>
        <row r="12">
          <cell r="F12">
            <v>453599.17</v>
          </cell>
        </row>
        <row r="13">
          <cell r="F13">
            <v>0</v>
          </cell>
        </row>
        <row r="14">
          <cell r="F14">
            <v>515744</v>
          </cell>
        </row>
        <row r="15">
          <cell r="F15">
            <v>284556</v>
          </cell>
        </row>
        <row r="16">
          <cell r="F16">
            <v>69885.710000000006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368000</v>
          </cell>
        </row>
        <row r="23">
          <cell r="F23">
            <v>176227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14219.08</v>
          </cell>
        </row>
        <row r="27">
          <cell r="F27">
            <v>81537.03</v>
          </cell>
        </row>
        <row r="28">
          <cell r="F28">
            <v>56750</v>
          </cell>
        </row>
        <row r="29">
          <cell r="F29">
            <v>207159.16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150173.44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47198</v>
          </cell>
        </row>
        <row r="49">
          <cell r="F49">
            <v>52756.73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69690</v>
          </cell>
        </row>
        <row r="54">
          <cell r="F54">
            <v>99600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1382450</v>
          </cell>
        </row>
        <row r="59">
          <cell r="F59">
            <v>0</v>
          </cell>
        </row>
        <row r="60">
          <cell r="F60">
            <v>1110700</v>
          </cell>
        </row>
        <row r="61">
          <cell r="F61">
            <v>0</v>
          </cell>
        </row>
        <row r="62">
          <cell r="F62">
            <v>4009310.97</v>
          </cell>
        </row>
        <row r="63">
          <cell r="F63">
            <v>758142</v>
          </cell>
        </row>
        <row r="64">
          <cell r="F64">
            <v>397151</v>
          </cell>
        </row>
        <row r="65">
          <cell r="F65">
            <v>0</v>
          </cell>
        </row>
        <row r="66">
          <cell r="F66">
            <v>48619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84000</v>
          </cell>
        </row>
        <row r="72">
          <cell r="F72">
            <v>30700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332439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1207162.75</v>
          </cell>
        </row>
        <row r="85">
          <cell r="F85">
            <v>1504275</v>
          </cell>
        </row>
        <row r="86">
          <cell r="F86">
            <v>1015426.04</v>
          </cell>
        </row>
        <row r="87">
          <cell r="F87">
            <v>971793.75</v>
          </cell>
        </row>
        <row r="88">
          <cell r="F88">
            <v>144836.70000000001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3078199.84</v>
          </cell>
        </row>
        <row r="92">
          <cell r="F92">
            <v>694244</v>
          </cell>
        </row>
        <row r="93">
          <cell r="F93">
            <v>2050515</v>
          </cell>
        </row>
        <row r="94">
          <cell r="F94">
            <v>194029</v>
          </cell>
        </row>
        <row r="95">
          <cell r="F95">
            <v>759331.92999999993</v>
          </cell>
        </row>
        <row r="96">
          <cell r="F96">
            <v>1649418.6</v>
          </cell>
        </row>
        <row r="97">
          <cell r="F97">
            <v>301000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  <row r="108">
          <cell r="F108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47730</v>
          </cell>
        </row>
        <row r="112">
          <cell r="F112">
            <v>0</v>
          </cell>
        </row>
        <row r="113">
          <cell r="F113">
            <v>0</v>
          </cell>
        </row>
        <row r="114">
          <cell r="F114">
            <v>146408.79999999999</v>
          </cell>
        </row>
        <row r="115">
          <cell r="F115">
            <v>595155.68999999994</v>
          </cell>
        </row>
        <row r="116">
          <cell r="F116">
            <v>0</v>
          </cell>
        </row>
        <row r="117">
          <cell r="F117">
            <v>0</v>
          </cell>
        </row>
        <row r="118">
          <cell r="F118">
            <v>0</v>
          </cell>
        </row>
        <row r="119">
          <cell r="F119">
            <v>0</v>
          </cell>
        </row>
        <row r="120">
          <cell r="F120">
            <v>51980</v>
          </cell>
        </row>
        <row r="121">
          <cell r="F121">
            <v>0</v>
          </cell>
        </row>
        <row r="122">
          <cell r="F122">
            <v>0</v>
          </cell>
        </row>
        <row r="123">
          <cell r="F123">
            <v>0</v>
          </cell>
        </row>
        <row r="124">
          <cell r="F124">
            <v>9254.2800000000007</v>
          </cell>
        </row>
        <row r="125">
          <cell r="F125">
            <v>20651</v>
          </cell>
        </row>
        <row r="126">
          <cell r="F126">
            <v>0</v>
          </cell>
        </row>
        <row r="127">
          <cell r="F127">
            <v>317762</v>
          </cell>
        </row>
        <row r="128">
          <cell r="F128">
            <v>46520.72</v>
          </cell>
        </row>
        <row r="129">
          <cell r="F129">
            <v>22310.55</v>
          </cell>
        </row>
        <row r="130">
          <cell r="F130">
            <v>0</v>
          </cell>
        </row>
        <row r="131">
          <cell r="F131">
            <v>0</v>
          </cell>
        </row>
        <row r="132">
          <cell r="F132">
            <v>0</v>
          </cell>
        </row>
        <row r="133">
          <cell r="F133">
            <v>0</v>
          </cell>
        </row>
        <row r="134">
          <cell r="F134">
            <v>0</v>
          </cell>
        </row>
        <row r="135">
          <cell r="F135">
            <v>0</v>
          </cell>
        </row>
        <row r="136">
          <cell r="F136">
            <v>27783.08</v>
          </cell>
        </row>
        <row r="137">
          <cell r="F137">
            <v>0</v>
          </cell>
        </row>
        <row r="138">
          <cell r="F138">
            <v>0</v>
          </cell>
        </row>
        <row r="139">
          <cell r="F139">
            <v>0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640993</v>
          </cell>
        </row>
        <row r="149">
          <cell r="F149">
            <v>0</v>
          </cell>
        </row>
        <row r="150">
          <cell r="F150">
            <v>20400</v>
          </cell>
        </row>
        <row r="151">
          <cell r="F151">
            <v>0</v>
          </cell>
        </row>
        <row r="152">
          <cell r="F152">
            <v>42329</v>
          </cell>
        </row>
        <row r="153">
          <cell r="F153">
            <v>32108</v>
          </cell>
        </row>
        <row r="154">
          <cell r="F154">
            <v>32776</v>
          </cell>
        </row>
        <row r="155">
          <cell r="F155">
            <v>0</v>
          </cell>
        </row>
        <row r="156">
          <cell r="F156">
            <v>58788</v>
          </cell>
        </row>
        <row r="158">
          <cell r="F158">
            <v>17480</v>
          </cell>
        </row>
        <row r="160">
          <cell r="F160">
            <v>379260</v>
          </cell>
        </row>
        <row r="161">
          <cell r="F161">
            <v>13085</v>
          </cell>
        </row>
        <row r="162">
          <cell r="F162">
            <v>51313</v>
          </cell>
        </row>
        <row r="163">
          <cell r="F163">
            <v>79000</v>
          </cell>
        </row>
        <row r="164">
          <cell r="F164">
            <v>2396906.4300000002</v>
          </cell>
        </row>
        <row r="165">
          <cell r="F165">
            <v>46781.3</v>
          </cell>
        </row>
        <row r="166">
          <cell r="F166">
            <v>270000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133782</v>
          </cell>
        </row>
        <row r="170">
          <cell r="F170">
            <v>145613.92000000001</v>
          </cell>
        </row>
        <row r="171">
          <cell r="F171">
            <v>38728.300000000003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6000</v>
          </cell>
        </row>
        <row r="176">
          <cell r="F176">
            <v>6000</v>
          </cell>
        </row>
        <row r="177">
          <cell r="F177">
            <v>0</v>
          </cell>
        </row>
        <row r="178">
          <cell r="F178">
            <v>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0</v>
          </cell>
        </row>
        <row r="184">
          <cell r="F184">
            <v>0</v>
          </cell>
        </row>
        <row r="185">
          <cell r="F185">
            <v>1467000</v>
          </cell>
        </row>
        <row r="186">
          <cell r="F186">
            <v>1731822.21</v>
          </cell>
        </row>
        <row r="187">
          <cell r="F187">
            <v>1084473</v>
          </cell>
        </row>
        <row r="188">
          <cell r="F188">
            <v>872995</v>
          </cell>
        </row>
        <row r="189">
          <cell r="F189">
            <v>19128316.100000001</v>
          </cell>
        </row>
        <row r="190">
          <cell r="F190">
            <v>0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6350.76</v>
          </cell>
        </row>
        <row r="194">
          <cell r="F194">
            <v>40000</v>
          </cell>
        </row>
        <row r="195">
          <cell r="F195">
            <v>549574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0</v>
          </cell>
        </row>
        <row r="199">
          <cell r="F199">
            <v>0</v>
          </cell>
        </row>
        <row r="200">
          <cell r="F200">
            <v>0</v>
          </cell>
        </row>
        <row r="201">
          <cell r="F201">
            <v>0</v>
          </cell>
        </row>
        <row r="202">
          <cell r="F202">
            <v>0</v>
          </cell>
        </row>
        <row r="203">
          <cell r="F203">
            <v>0</v>
          </cell>
        </row>
        <row r="204">
          <cell r="F204">
            <v>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2020693.14</v>
          </cell>
        </row>
        <row r="210">
          <cell r="F210">
            <v>0</v>
          </cell>
        </row>
        <row r="211">
          <cell r="F211">
            <v>45900</v>
          </cell>
        </row>
        <row r="212">
          <cell r="F212">
            <v>12800</v>
          </cell>
        </row>
        <row r="213">
          <cell r="F213">
            <v>18500</v>
          </cell>
        </row>
        <row r="214">
          <cell r="F214">
            <v>45000</v>
          </cell>
        </row>
        <row r="215">
          <cell r="F215">
            <v>0</v>
          </cell>
        </row>
        <row r="216">
          <cell r="F216">
            <v>289946.28000000003</v>
          </cell>
        </row>
        <row r="217">
          <cell r="F217">
            <v>0</v>
          </cell>
        </row>
        <row r="218">
          <cell r="F218">
            <v>1323145.8400000001</v>
          </cell>
        </row>
        <row r="219">
          <cell r="F219">
            <v>91216.05</v>
          </cell>
        </row>
        <row r="220">
          <cell r="F220">
            <v>58021</v>
          </cell>
        </row>
        <row r="221">
          <cell r="F221">
            <v>143060</v>
          </cell>
        </row>
        <row r="222">
          <cell r="F222">
            <v>0</v>
          </cell>
        </row>
        <row r="223">
          <cell r="F223">
            <v>1308226</v>
          </cell>
        </row>
        <row r="224">
          <cell r="F224">
            <v>102177.96</v>
          </cell>
        </row>
        <row r="225">
          <cell r="F225">
            <v>0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0</v>
          </cell>
        </row>
        <row r="232">
          <cell r="F232">
            <v>0</v>
          </cell>
        </row>
        <row r="233">
          <cell r="F233">
            <v>0</v>
          </cell>
        </row>
        <row r="234">
          <cell r="F234">
            <v>58852.4</v>
          </cell>
        </row>
        <row r="235">
          <cell r="F235">
            <v>0</v>
          </cell>
        </row>
        <row r="236">
          <cell r="F236">
            <v>0</v>
          </cell>
        </row>
        <row r="237">
          <cell r="F237">
            <v>0</v>
          </cell>
        </row>
        <row r="238">
          <cell r="F238">
            <v>0</v>
          </cell>
        </row>
        <row r="239">
          <cell r="F239">
            <v>0</v>
          </cell>
        </row>
        <row r="240">
          <cell r="F240">
            <v>0</v>
          </cell>
        </row>
        <row r="241">
          <cell r="F241">
            <v>0</v>
          </cell>
        </row>
        <row r="242">
          <cell r="F242">
            <v>0</v>
          </cell>
        </row>
        <row r="243">
          <cell r="F243">
            <v>0</v>
          </cell>
        </row>
        <row r="244">
          <cell r="F244">
            <v>0</v>
          </cell>
        </row>
        <row r="245">
          <cell r="F245">
            <v>0</v>
          </cell>
        </row>
        <row r="246">
          <cell r="F246">
            <v>0</v>
          </cell>
        </row>
        <row r="247">
          <cell r="F247">
            <v>708400</v>
          </cell>
        </row>
        <row r="248">
          <cell r="F248">
            <v>351874.08</v>
          </cell>
        </row>
        <row r="249">
          <cell r="F249">
            <v>2562307</v>
          </cell>
        </row>
        <row r="250">
          <cell r="F250">
            <v>909279.46</v>
          </cell>
        </row>
        <row r="251">
          <cell r="F251">
            <v>29221</v>
          </cell>
        </row>
        <row r="252">
          <cell r="F252">
            <v>79000</v>
          </cell>
        </row>
        <row r="253">
          <cell r="F253">
            <v>157000</v>
          </cell>
        </row>
        <row r="254"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F257">
            <v>0</v>
          </cell>
        </row>
        <row r="258">
          <cell r="F258">
            <v>0</v>
          </cell>
        </row>
        <row r="259">
          <cell r="F259">
            <v>0</v>
          </cell>
        </row>
        <row r="260">
          <cell r="F260">
            <v>171000</v>
          </cell>
        </row>
        <row r="261">
          <cell r="F261">
            <v>614785.4</v>
          </cell>
        </row>
        <row r="262">
          <cell r="F262">
            <v>0</v>
          </cell>
        </row>
        <row r="263">
          <cell r="F263">
            <v>0</v>
          </cell>
        </row>
        <row r="264">
          <cell r="F264">
            <v>0</v>
          </cell>
        </row>
        <row r="265">
          <cell r="F265">
            <v>165784</v>
          </cell>
        </row>
        <row r="266">
          <cell r="F266">
            <v>0</v>
          </cell>
        </row>
        <row r="267">
          <cell r="F267">
            <v>53305.72</v>
          </cell>
        </row>
        <row r="268">
          <cell r="F268">
            <v>0</v>
          </cell>
        </row>
        <row r="269">
          <cell r="F269">
            <v>0</v>
          </cell>
        </row>
        <row r="270">
          <cell r="F270">
            <v>0</v>
          </cell>
        </row>
        <row r="271">
          <cell r="F271">
            <v>73447.289999999994</v>
          </cell>
        </row>
        <row r="272">
          <cell r="F272">
            <v>0</v>
          </cell>
        </row>
        <row r="273">
          <cell r="F273">
            <v>0</v>
          </cell>
        </row>
        <row r="274">
          <cell r="F274">
            <v>110336.52</v>
          </cell>
        </row>
        <row r="275">
          <cell r="F275">
            <v>0</v>
          </cell>
        </row>
        <row r="276">
          <cell r="F276">
            <v>0</v>
          </cell>
        </row>
        <row r="277">
          <cell r="F277">
            <v>88872</v>
          </cell>
        </row>
        <row r="278">
          <cell r="F278">
            <v>0</v>
          </cell>
        </row>
        <row r="279">
          <cell r="F279">
            <v>0</v>
          </cell>
        </row>
        <row r="280">
          <cell r="F280">
            <v>0</v>
          </cell>
        </row>
        <row r="281">
          <cell r="F281">
            <v>0</v>
          </cell>
        </row>
        <row r="282">
          <cell r="F282">
            <v>0</v>
          </cell>
        </row>
        <row r="283">
          <cell r="F283">
            <v>0</v>
          </cell>
        </row>
        <row r="284">
          <cell r="F284">
            <v>7000</v>
          </cell>
        </row>
        <row r="285">
          <cell r="F285">
            <v>63287</v>
          </cell>
        </row>
        <row r="286">
          <cell r="F286">
            <v>0</v>
          </cell>
        </row>
        <row r="287">
          <cell r="F287">
            <v>70000</v>
          </cell>
        </row>
        <row r="288">
          <cell r="F288">
            <v>0</v>
          </cell>
        </row>
        <row r="289">
          <cell r="F289">
            <v>0</v>
          </cell>
        </row>
        <row r="290">
          <cell r="F290">
            <v>0</v>
          </cell>
        </row>
        <row r="291">
          <cell r="F291">
            <v>0</v>
          </cell>
        </row>
        <row r="292">
          <cell r="F292">
            <v>0</v>
          </cell>
        </row>
        <row r="293">
          <cell r="F293">
            <v>70397.48</v>
          </cell>
        </row>
        <row r="294">
          <cell r="F294">
            <v>0</v>
          </cell>
        </row>
        <row r="295">
          <cell r="F295">
            <v>121988.85</v>
          </cell>
        </row>
        <row r="296">
          <cell r="F296">
            <v>0</v>
          </cell>
        </row>
        <row r="297">
          <cell r="F297">
            <v>0</v>
          </cell>
        </row>
        <row r="298">
          <cell r="F298">
            <v>183000</v>
          </cell>
        </row>
        <row r="299">
          <cell r="F299">
            <v>0</v>
          </cell>
        </row>
        <row r="300">
          <cell r="F300">
            <v>0</v>
          </cell>
        </row>
        <row r="301">
          <cell r="F301">
            <v>0</v>
          </cell>
        </row>
        <row r="302">
          <cell r="F302">
            <v>0</v>
          </cell>
        </row>
        <row r="303">
          <cell r="F303">
            <v>82000</v>
          </cell>
        </row>
        <row r="304">
          <cell r="F304">
            <v>81718.080000000002</v>
          </cell>
        </row>
        <row r="305">
          <cell r="F305">
            <v>0</v>
          </cell>
        </row>
        <row r="306">
          <cell r="F306">
            <v>37150</v>
          </cell>
        </row>
        <row r="307">
          <cell r="F307">
            <v>0</v>
          </cell>
        </row>
        <row r="308">
          <cell r="F308">
            <v>70034.080000000002</v>
          </cell>
        </row>
        <row r="309">
          <cell r="F309">
            <v>0</v>
          </cell>
        </row>
        <row r="310">
          <cell r="F310">
            <v>6000</v>
          </cell>
        </row>
        <row r="311">
          <cell r="F311">
            <v>0</v>
          </cell>
        </row>
        <row r="312">
          <cell r="F312">
            <v>0</v>
          </cell>
        </row>
        <row r="313">
          <cell r="F313">
            <v>0</v>
          </cell>
        </row>
        <row r="314">
          <cell r="F314">
            <v>0</v>
          </cell>
        </row>
        <row r="315">
          <cell r="F315">
            <v>0</v>
          </cell>
        </row>
        <row r="316">
          <cell r="F316">
            <v>0</v>
          </cell>
        </row>
        <row r="317">
          <cell r="F317">
            <v>141004.74</v>
          </cell>
        </row>
        <row r="318">
          <cell r="F318">
            <v>42000</v>
          </cell>
        </row>
        <row r="319">
          <cell r="F319">
            <v>27534.68</v>
          </cell>
        </row>
        <row r="320">
          <cell r="F320">
            <v>39130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43258.400000000001</v>
          </cell>
        </row>
        <row r="328">
          <cell r="F328">
            <v>0</v>
          </cell>
        </row>
        <row r="329">
          <cell r="F329">
            <v>0</v>
          </cell>
        </row>
        <row r="330">
          <cell r="F330">
            <v>51858.09</v>
          </cell>
        </row>
        <row r="331">
          <cell r="F331">
            <v>52663.56</v>
          </cell>
        </row>
        <row r="332">
          <cell r="F332">
            <v>120000</v>
          </cell>
        </row>
        <row r="333">
          <cell r="F333">
            <v>137283</v>
          </cell>
        </row>
        <row r="334">
          <cell r="F334">
            <v>50000</v>
          </cell>
        </row>
        <row r="335">
          <cell r="F335">
            <v>78920</v>
          </cell>
        </row>
        <row r="336">
          <cell r="F336">
            <v>58233.24</v>
          </cell>
        </row>
        <row r="337">
          <cell r="F337">
            <v>0</v>
          </cell>
        </row>
        <row r="338">
          <cell r="F338">
            <v>80410</v>
          </cell>
        </row>
        <row r="339">
          <cell r="F339">
            <v>0</v>
          </cell>
        </row>
      </sheetData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8"/>
  <sheetViews>
    <sheetView tabSelected="1" zoomScale="75" zoomScaleNormal="75" workbookViewId="0">
      <pane xSplit="3" ySplit="13" topLeftCell="D14" activePane="bottomRight" state="frozen"/>
      <selection pane="topRight" activeCell="D1" sqref="D1"/>
      <selection pane="bottomLeft" activeCell="A14" sqref="A14"/>
      <selection pane="bottomRight"/>
    </sheetView>
  </sheetViews>
  <sheetFormatPr defaultRowHeight="15" x14ac:dyDescent="0.25"/>
  <cols>
    <col min="1" max="1" width="7.5703125" bestFit="1" customWidth="1"/>
    <col min="2" max="2" width="2" bestFit="1" customWidth="1"/>
    <col min="3" max="3" width="45" bestFit="1" customWidth="1"/>
    <col min="4" max="4" width="13.140625" bestFit="1" customWidth="1"/>
    <col min="5" max="7" width="10.42578125" bestFit="1" customWidth="1"/>
    <col min="8" max="8" width="8.140625" bestFit="1" customWidth="1"/>
    <col min="9" max="10" width="13.140625" bestFit="1" customWidth="1"/>
    <col min="11" max="11" width="14.28515625" bestFit="1" customWidth="1"/>
    <col min="12" max="12" width="13.140625" bestFit="1" customWidth="1"/>
    <col min="13" max="13" width="14.28515625" bestFit="1" customWidth="1"/>
    <col min="14" max="14" width="18.42578125" bestFit="1" customWidth="1"/>
    <col min="15" max="15" width="10.85546875" bestFit="1" customWidth="1"/>
    <col min="16" max="16" width="16.5703125" bestFit="1" customWidth="1"/>
    <col min="17" max="17" width="12.140625" bestFit="1" customWidth="1"/>
    <col min="18" max="18" width="9" bestFit="1" customWidth="1"/>
    <col min="19" max="19" width="15.28515625" bestFit="1" customWidth="1"/>
    <col min="20" max="20" width="13.140625" bestFit="1" customWidth="1"/>
    <col min="21" max="21" width="12.7109375" bestFit="1" customWidth="1"/>
    <col min="22" max="22" width="10.28515625" bestFit="1" customWidth="1"/>
    <col min="23" max="24" width="13.140625" bestFit="1" customWidth="1"/>
    <col min="25" max="25" width="13.140625" customWidth="1"/>
  </cols>
  <sheetData>
    <row r="1" spans="1:25" ht="14.45" x14ac:dyDescent="0.3">
      <c r="A1" s="1" t="s">
        <v>0</v>
      </c>
      <c r="B1" s="2"/>
      <c r="C1" s="1"/>
      <c r="D1" s="3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4.45" x14ac:dyDescent="0.3">
      <c r="A2" s="2"/>
      <c r="B2" s="2"/>
      <c r="C2" s="6"/>
      <c r="D2" s="3"/>
      <c r="E2" s="4"/>
      <c r="F2" s="6"/>
      <c r="G2" s="6"/>
      <c r="H2" s="3"/>
      <c r="I2" s="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4.45" x14ac:dyDescent="0.3">
      <c r="A3" s="8"/>
      <c r="B3" s="8"/>
      <c r="C3" s="8"/>
      <c r="D3" s="9" t="s">
        <v>1</v>
      </c>
      <c r="E3" s="10" t="s">
        <v>2</v>
      </c>
      <c r="F3" s="10" t="s">
        <v>3</v>
      </c>
      <c r="G3" s="10" t="s">
        <v>4</v>
      </c>
      <c r="H3" s="10" t="s">
        <v>5</v>
      </c>
      <c r="I3" s="10" t="s">
        <v>6</v>
      </c>
      <c r="J3" s="10" t="s">
        <v>7</v>
      </c>
      <c r="K3" s="10" t="s">
        <v>8</v>
      </c>
      <c r="L3" s="10" t="s">
        <v>9</v>
      </c>
      <c r="M3" s="10" t="s">
        <v>10</v>
      </c>
      <c r="N3" s="10" t="s">
        <v>11</v>
      </c>
      <c r="O3" s="10" t="s">
        <v>12</v>
      </c>
      <c r="P3" s="10" t="s">
        <v>13</v>
      </c>
      <c r="Q3" s="10" t="s">
        <v>14</v>
      </c>
      <c r="R3" s="10" t="s">
        <v>15</v>
      </c>
      <c r="S3" s="10" t="s">
        <v>16</v>
      </c>
      <c r="T3" s="10" t="s">
        <v>17</v>
      </c>
      <c r="U3" s="10" t="s">
        <v>18</v>
      </c>
      <c r="V3" s="10" t="s">
        <v>19</v>
      </c>
      <c r="W3" s="10" t="s">
        <v>20</v>
      </c>
      <c r="X3" s="9" t="s">
        <v>21</v>
      </c>
      <c r="Y3" s="9" t="s">
        <v>22</v>
      </c>
    </row>
    <row r="4" spans="1:25" ht="14.45" x14ac:dyDescent="0.3">
      <c r="A4" s="10"/>
      <c r="B4" s="10"/>
      <c r="C4" s="10"/>
      <c r="D4" s="9"/>
      <c r="E4" s="10"/>
      <c r="F4" s="10"/>
      <c r="G4" s="10"/>
      <c r="H4" s="10"/>
      <c r="I4" s="10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4.45" x14ac:dyDescent="0.3">
      <c r="A5" s="10"/>
      <c r="B5" s="8"/>
      <c r="C5" s="10"/>
      <c r="D5" s="11" t="s">
        <v>23</v>
      </c>
      <c r="E5" s="10" t="s">
        <v>24</v>
      </c>
      <c r="F5" s="10" t="s">
        <v>25</v>
      </c>
      <c r="G5" s="10" t="s">
        <v>25</v>
      </c>
      <c r="H5" s="10" t="s">
        <v>26</v>
      </c>
      <c r="I5" s="12" t="s">
        <v>27</v>
      </c>
      <c r="J5" s="9" t="s">
        <v>28</v>
      </c>
      <c r="K5" s="10" t="s">
        <v>29</v>
      </c>
      <c r="L5" s="10" t="s">
        <v>30</v>
      </c>
      <c r="M5" s="10" t="s">
        <v>31</v>
      </c>
      <c r="N5" s="10" t="s">
        <v>32</v>
      </c>
      <c r="O5" s="10" t="s">
        <v>33</v>
      </c>
      <c r="P5" s="10" t="s">
        <v>34</v>
      </c>
      <c r="Q5" s="12" t="s">
        <v>27</v>
      </c>
      <c r="R5" s="10" t="s">
        <v>30</v>
      </c>
      <c r="S5" s="10" t="s">
        <v>32</v>
      </c>
      <c r="T5" s="10" t="s">
        <v>35</v>
      </c>
      <c r="U5" s="10" t="s">
        <v>36</v>
      </c>
      <c r="V5" s="10" t="s">
        <v>37</v>
      </c>
      <c r="W5" s="10"/>
      <c r="X5" s="10"/>
      <c r="Y5" s="9" t="s">
        <v>38</v>
      </c>
    </row>
    <row r="6" spans="1:25" ht="14.45" x14ac:dyDescent="0.3">
      <c r="A6" s="10"/>
      <c r="B6" s="8"/>
      <c r="C6" s="10"/>
      <c r="D6" s="13" t="s">
        <v>39</v>
      </c>
      <c r="E6" s="10" t="s">
        <v>40</v>
      </c>
      <c r="F6" s="14" t="s">
        <v>40</v>
      </c>
      <c r="G6" s="14" t="s">
        <v>40</v>
      </c>
      <c r="H6" s="10" t="s">
        <v>41</v>
      </c>
      <c r="I6" s="10"/>
      <c r="J6" s="13"/>
      <c r="K6" s="9" t="s">
        <v>28</v>
      </c>
      <c r="L6" s="13" t="s">
        <v>42</v>
      </c>
      <c r="M6" s="10" t="s">
        <v>43</v>
      </c>
      <c r="N6" s="10" t="s">
        <v>44</v>
      </c>
      <c r="O6" s="10" t="s">
        <v>45</v>
      </c>
      <c r="P6" s="10" t="s">
        <v>46</v>
      </c>
      <c r="Q6" s="10" t="s">
        <v>47</v>
      </c>
      <c r="R6" s="13" t="s">
        <v>47</v>
      </c>
      <c r="S6" s="10" t="s">
        <v>44</v>
      </c>
      <c r="T6" s="10" t="s">
        <v>48</v>
      </c>
      <c r="U6" s="9" t="s">
        <v>49</v>
      </c>
      <c r="V6" s="9" t="s">
        <v>50</v>
      </c>
      <c r="W6" s="9" t="s">
        <v>51</v>
      </c>
      <c r="X6" s="9" t="s">
        <v>51</v>
      </c>
      <c r="Y6" s="9" t="s">
        <v>51</v>
      </c>
    </row>
    <row r="7" spans="1:25" ht="14.45" x14ac:dyDescent="0.3">
      <c r="A7" s="8"/>
      <c r="B7" s="8"/>
      <c r="C7" s="8"/>
      <c r="D7" s="11" t="s">
        <v>48</v>
      </c>
      <c r="E7" s="10" t="s">
        <v>52</v>
      </c>
      <c r="F7" s="10" t="s">
        <v>53</v>
      </c>
      <c r="G7" s="10" t="s">
        <v>26</v>
      </c>
      <c r="H7" s="10" t="s">
        <v>54</v>
      </c>
      <c r="I7" s="13"/>
      <c r="J7" s="15" t="s">
        <v>55</v>
      </c>
      <c r="K7" s="15"/>
      <c r="L7" s="10" t="s">
        <v>56</v>
      </c>
      <c r="M7" s="13" t="s">
        <v>57</v>
      </c>
      <c r="N7" s="10" t="s">
        <v>58</v>
      </c>
      <c r="O7" s="13"/>
      <c r="P7" s="13"/>
      <c r="Q7" s="9" t="s">
        <v>48</v>
      </c>
      <c r="R7" s="10" t="s">
        <v>56</v>
      </c>
      <c r="S7" s="10" t="s">
        <v>30</v>
      </c>
      <c r="T7" s="10" t="s">
        <v>59</v>
      </c>
      <c r="U7" s="10" t="s">
        <v>60</v>
      </c>
      <c r="V7" s="10" t="s">
        <v>61</v>
      </c>
      <c r="W7" s="9" t="s">
        <v>62</v>
      </c>
      <c r="X7" s="9" t="s">
        <v>63</v>
      </c>
      <c r="Y7" s="9" t="s">
        <v>62</v>
      </c>
    </row>
    <row r="8" spans="1:25" ht="14.45" x14ac:dyDescent="0.3">
      <c r="A8" s="8"/>
      <c r="B8" s="8"/>
      <c r="C8" s="8"/>
      <c r="D8" s="13"/>
      <c r="E8" s="10" t="s">
        <v>64</v>
      </c>
      <c r="F8" s="10" t="s">
        <v>54</v>
      </c>
      <c r="G8" s="10" t="s">
        <v>54</v>
      </c>
      <c r="H8" s="13"/>
      <c r="I8" s="13"/>
      <c r="J8" s="9" t="str">
        <f>+"("&amp;+D3&amp;"-"&amp;+I3&amp;") *"</f>
        <v>(A-G) *</v>
      </c>
      <c r="K8" s="9" t="str">
        <f>+"= ("&amp;+I3&amp;"+"&amp;+J3&amp;")"</f>
        <v>= (G+I)</v>
      </c>
      <c r="L8" s="13"/>
      <c r="M8" s="10" t="s">
        <v>56</v>
      </c>
      <c r="N8" s="10" t="s">
        <v>34</v>
      </c>
      <c r="O8" s="10"/>
      <c r="P8" s="10"/>
      <c r="Q8" s="13"/>
      <c r="R8" s="13"/>
      <c r="S8" s="10" t="s">
        <v>65</v>
      </c>
      <c r="T8" s="9" t="s">
        <v>66</v>
      </c>
      <c r="U8" s="9"/>
      <c r="V8" s="9"/>
      <c r="W8" s="9" t="s">
        <v>49</v>
      </c>
      <c r="X8" s="9"/>
      <c r="Y8" s="13"/>
    </row>
    <row r="9" spans="1:25" ht="14.45" x14ac:dyDescent="0.3">
      <c r="A9" s="8"/>
      <c r="B9" s="8"/>
      <c r="C9" s="8"/>
      <c r="D9" s="13"/>
      <c r="E9" s="13"/>
      <c r="F9" s="13"/>
      <c r="G9" s="13"/>
      <c r="H9" s="13"/>
      <c r="I9" s="10" t="str">
        <f>+"= "&amp;+E3&amp;" * "&amp;+H3&amp;" *"</f>
        <v>= B * E *</v>
      </c>
      <c r="J9" s="16">
        <v>0.66</v>
      </c>
      <c r="K9" s="16"/>
      <c r="L9" s="13"/>
      <c r="M9" s="13"/>
      <c r="N9" s="13"/>
      <c r="O9" s="13"/>
      <c r="P9" s="13"/>
      <c r="Q9" s="10" t="str">
        <f>+"= "&amp;+E3&amp;" *"</f>
        <v>= B *</v>
      </c>
      <c r="R9" s="10"/>
      <c r="S9" s="10"/>
      <c r="T9" s="9" t="str">
        <f>+"= "&amp;+P3&amp;"+"&amp;+S3&amp;""</f>
        <v>= O+R</v>
      </c>
      <c r="U9" s="9"/>
      <c r="V9" s="9"/>
      <c r="W9" s="17" t="s">
        <v>67</v>
      </c>
      <c r="X9" s="17"/>
      <c r="Y9" s="13"/>
    </row>
    <row r="10" spans="1:25" ht="14.45" x14ac:dyDescent="0.3">
      <c r="A10" s="8"/>
      <c r="B10" s="8"/>
      <c r="C10" s="8"/>
      <c r="D10" s="13"/>
      <c r="E10" s="13"/>
      <c r="F10" s="13"/>
      <c r="G10" s="13"/>
      <c r="H10" s="10" t="str">
        <f>+"= "&amp;+G3&amp;"/"&amp;+F3</f>
        <v>= D/C</v>
      </c>
      <c r="I10" s="16">
        <v>350</v>
      </c>
      <c r="J10" s="9" t="s">
        <v>68</v>
      </c>
      <c r="K10" s="9"/>
      <c r="L10" s="9"/>
      <c r="M10" s="10" t="str">
        <f>+"= "&amp;+L3&amp;" * 1.003"</f>
        <v>= K * 1.003</v>
      </c>
      <c r="N10" s="9"/>
      <c r="O10" s="10" t="str">
        <f>+"= "&amp;+N3&amp;" * 0.003"</f>
        <v>= M * 0.003</v>
      </c>
      <c r="P10" s="9" t="str">
        <f>+"= "&amp;+N3&amp;"-"&amp;+O3</f>
        <v>= M-N</v>
      </c>
      <c r="Q10" s="18">
        <v>10</v>
      </c>
      <c r="R10" s="18"/>
      <c r="S10" s="18"/>
      <c r="T10" s="13" t="s">
        <v>69</v>
      </c>
      <c r="U10" s="9" t="str">
        <f>+"= "&amp;+T3&amp;"-"&amp;+G3</f>
        <v>= S-D</v>
      </c>
      <c r="V10" s="9" t="str">
        <f>+"= "&amp;+U3&amp;"/"&amp;+H3</f>
        <v>= T/E</v>
      </c>
      <c r="W10" s="9" t="s">
        <v>63</v>
      </c>
      <c r="X10" s="9"/>
      <c r="Y10" s="13"/>
    </row>
    <row r="11" spans="1:25" ht="14.45" x14ac:dyDescent="0.3">
      <c r="A11" s="2"/>
      <c r="B11" s="2"/>
      <c r="C11" s="1"/>
      <c r="D11" s="19"/>
      <c r="E11" s="4"/>
      <c r="F11" s="6"/>
      <c r="G11" s="20"/>
      <c r="H11" s="6"/>
      <c r="I11" s="3"/>
      <c r="J11" s="7"/>
      <c r="K11" s="7"/>
      <c r="L11" s="7"/>
      <c r="M11" s="7"/>
      <c r="N11" s="7"/>
      <c r="O11" s="7"/>
      <c r="P11" s="7"/>
      <c r="Q11" s="21"/>
      <c r="R11" s="21"/>
      <c r="S11" s="21"/>
      <c r="T11" s="7"/>
      <c r="U11" s="7"/>
      <c r="V11" s="7"/>
      <c r="W11" s="7"/>
      <c r="X11" s="7"/>
      <c r="Y11" s="7"/>
    </row>
    <row r="12" spans="1:25" ht="14.45" x14ac:dyDescent="0.3">
      <c r="A12" s="2"/>
      <c r="B12" s="2"/>
      <c r="C12" s="1" t="s">
        <v>70</v>
      </c>
      <c r="D12" s="22">
        <f t="shared" ref="D12:G12" si="0">SUM(D14:D348)</f>
        <v>93560568.350000009</v>
      </c>
      <c r="E12" s="22">
        <f t="shared" si="0"/>
        <v>910240.23999999987</v>
      </c>
      <c r="F12" s="22">
        <f t="shared" si="0"/>
        <v>794981</v>
      </c>
      <c r="G12" s="22">
        <f t="shared" si="0"/>
        <v>204054</v>
      </c>
      <c r="H12" s="23">
        <f>IF(F12=0,0,G12/F12)</f>
        <v>0.25667783255197296</v>
      </c>
      <c r="I12" s="22">
        <f t="shared" ref="I12:X12" si="1">SUM(I14:I348)</f>
        <v>81774031.079999998</v>
      </c>
      <c r="J12" s="22">
        <f t="shared" si="1"/>
        <v>20444726.210000001</v>
      </c>
      <c r="K12" s="22">
        <f t="shared" si="1"/>
        <v>102218757.28999999</v>
      </c>
      <c r="L12" s="22">
        <f t="shared" si="1"/>
        <v>90736163.220000014</v>
      </c>
      <c r="M12" s="22">
        <f t="shared" si="1"/>
        <v>91008371.780000031</v>
      </c>
      <c r="N12" s="22">
        <f t="shared" si="1"/>
        <v>84665114.62000002</v>
      </c>
      <c r="O12" s="22">
        <f t="shared" si="1"/>
        <v>253877.99000000037</v>
      </c>
      <c r="P12" s="22">
        <f t="shared" si="1"/>
        <v>84411236.629999936</v>
      </c>
      <c r="Q12" s="22">
        <f t="shared" si="1"/>
        <v>5989804.0000000019</v>
      </c>
      <c r="R12" s="22">
        <f t="shared" si="1"/>
        <v>0</v>
      </c>
      <c r="S12" s="22">
        <f t="shared" si="1"/>
        <v>0</v>
      </c>
      <c r="T12" s="22">
        <f t="shared" si="1"/>
        <v>84411236.629999936</v>
      </c>
      <c r="U12" s="22">
        <f t="shared" si="1"/>
        <v>-9149331.7200000025</v>
      </c>
      <c r="V12" s="22">
        <f t="shared" si="1"/>
        <v>-3338.9040453745365</v>
      </c>
      <c r="W12" s="22">
        <f t="shared" si="1"/>
        <v>55898652.090000011</v>
      </c>
      <c r="X12" s="22">
        <f t="shared" si="1"/>
        <v>28512584.539999995</v>
      </c>
      <c r="Y12" s="22">
        <f>SUM(Y14:Y348)</f>
        <v>56042031.090000011</v>
      </c>
    </row>
    <row r="13" spans="1:25" ht="14.45" x14ac:dyDescent="0.3">
      <c r="A13" s="2"/>
      <c r="B13" s="2"/>
      <c r="C13" s="1"/>
      <c r="D13" s="24"/>
      <c r="E13" s="25"/>
      <c r="F13" s="26"/>
      <c r="G13" s="26"/>
      <c r="H13" s="26"/>
      <c r="I13" s="2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24"/>
      <c r="V13" s="24"/>
      <c r="W13" s="7"/>
      <c r="X13" s="7"/>
      <c r="Y13" s="7"/>
    </row>
    <row r="14" spans="1:25" ht="14.45" x14ac:dyDescent="0.3">
      <c r="A14" s="27">
        <v>1</v>
      </c>
      <c r="B14" s="27">
        <v>1</v>
      </c>
      <c r="C14" s="28" t="s">
        <v>71</v>
      </c>
      <c r="D14" s="24">
        <f>'[1]FY13 9-16-13 to copy to sheet'!F4</f>
        <v>0</v>
      </c>
      <c r="E14" s="22">
        <v>1399.59</v>
      </c>
      <c r="F14" s="20">
        <v>1284</v>
      </c>
      <c r="G14" s="20">
        <v>56</v>
      </c>
      <c r="H14" s="23">
        <f t="shared" ref="H14:H77" si="2">IF(F14=0,0,G14/F14)</f>
        <v>4.3613707165109032E-2</v>
      </c>
      <c r="I14" s="29">
        <f>ROUND(E14*H14*I$10,2)</f>
        <v>21364.46</v>
      </c>
      <c r="J14" s="24">
        <f>ROUND(MAX(0,IF(D14=0,0,(D14-I14)*J$9)),2)</f>
        <v>0</v>
      </c>
      <c r="K14" s="24">
        <f t="shared" ref="K14:K77" si="3">I14+J14</f>
        <v>21364.46</v>
      </c>
      <c r="L14" s="30">
        <v>0</v>
      </c>
      <c r="M14" s="30">
        <f t="shared" ref="M14:M77" si="4">ROUND(L14*1.003,2)</f>
        <v>0</v>
      </c>
      <c r="N14" s="29">
        <f>IF(M14&lt;K14,M14,K14)</f>
        <v>0</v>
      </c>
      <c r="O14" s="29">
        <f t="shared" ref="O14:O77" si="5">IF(N14=M14,M14-L14,ROUND(N14*0.003,2))</f>
        <v>0</v>
      </c>
      <c r="P14" s="29">
        <f t="shared" ref="P14:P77" si="6">N14-O14</f>
        <v>0</v>
      </c>
      <c r="Q14" s="30">
        <f t="shared" ref="Q14:Q77" si="7">IF(D14&gt;0,E14*Q$10,0)</f>
        <v>0</v>
      </c>
      <c r="R14" s="30">
        <v>0</v>
      </c>
      <c r="S14" s="29">
        <f t="shared" ref="S14:S77" si="8">IF(R14&lt;Q14,R14,Q14)</f>
        <v>0</v>
      </c>
      <c r="T14" s="24">
        <f t="shared" ref="T14:T77" si="9">P14+S14</f>
        <v>0</v>
      </c>
      <c r="U14" s="31">
        <f t="shared" ref="U14:U77" si="10">T14-D14</f>
        <v>0</v>
      </c>
      <c r="V14" s="32">
        <f>IF(E14=0,0,U14/E14)</f>
        <v>0</v>
      </c>
      <c r="W14" s="32">
        <f t="shared" ref="W14:W77" si="11">T14-X14</f>
        <v>0</v>
      </c>
      <c r="X14" s="33">
        <v>0</v>
      </c>
      <c r="Y14" s="30">
        <f t="shared" ref="Y14:Y77" si="12">IF(W14&gt;0,W14,0)</f>
        <v>0</v>
      </c>
    </row>
    <row r="15" spans="1:25" ht="14.45" x14ac:dyDescent="0.3">
      <c r="A15" s="34">
        <v>1.2</v>
      </c>
      <c r="B15" s="34">
        <v>3</v>
      </c>
      <c r="C15" s="1" t="s">
        <v>72</v>
      </c>
      <c r="D15" s="24">
        <f>'[1]FY13 9-16-13 to copy to sheet'!F5</f>
        <v>18531489.600000001</v>
      </c>
      <c r="E15" s="35">
        <v>38969.480000000003</v>
      </c>
      <c r="F15" s="20">
        <v>35262</v>
      </c>
      <c r="G15" s="20">
        <v>22309</v>
      </c>
      <c r="H15" s="23">
        <f t="shared" si="2"/>
        <v>0.63266405762577282</v>
      </c>
      <c r="I15" s="29">
        <f t="shared" ref="I15:I78" si="13">ROUND(E15*H15*I$10,2)</f>
        <v>8629106.2699999996</v>
      </c>
      <c r="J15" s="24">
        <f t="shared" ref="J15:J78" si="14">ROUND(MAX(0,IF(D15=0,0,(D15-I15)*J$9)),2)</f>
        <v>6535573</v>
      </c>
      <c r="K15" s="24">
        <f t="shared" si="3"/>
        <v>15164679.27</v>
      </c>
      <c r="L15" s="30">
        <v>15489240</v>
      </c>
      <c r="M15" s="30">
        <f t="shared" si="4"/>
        <v>15535707.720000001</v>
      </c>
      <c r="N15" s="29">
        <f t="shared" ref="N15:N78" si="15">IF(M15&lt;K15,M15,K15)</f>
        <v>15164679.27</v>
      </c>
      <c r="O15" s="29">
        <f t="shared" si="5"/>
        <v>45494.04</v>
      </c>
      <c r="P15" s="29">
        <f t="shared" si="6"/>
        <v>15119185.23</v>
      </c>
      <c r="Q15" s="30">
        <f t="shared" si="7"/>
        <v>389694.80000000005</v>
      </c>
      <c r="R15" s="30">
        <v>0</v>
      </c>
      <c r="S15" s="29">
        <f t="shared" si="8"/>
        <v>0</v>
      </c>
      <c r="T15" s="24">
        <f t="shared" si="9"/>
        <v>15119185.23</v>
      </c>
      <c r="U15" s="31">
        <f t="shared" si="10"/>
        <v>-3412304.370000001</v>
      </c>
      <c r="V15" s="32">
        <f t="shared" ref="V15:V78" si="16">IF(E15=0,0,U15/E15)</f>
        <v>-87.563507904134227</v>
      </c>
      <c r="W15" s="32">
        <f t="shared" si="11"/>
        <v>8818835.4299999997</v>
      </c>
      <c r="X15" s="36">
        <v>6300349.7999999998</v>
      </c>
      <c r="Y15" s="30">
        <f t="shared" si="12"/>
        <v>8818835.4299999997</v>
      </c>
    </row>
    <row r="16" spans="1:25" ht="14.45" x14ac:dyDescent="0.3">
      <c r="A16" s="27">
        <v>2</v>
      </c>
      <c r="B16" s="27">
        <v>1</v>
      </c>
      <c r="C16" s="28" t="s">
        <v>73</v>
      </c>
      <c r="D16" s="24">
        <f>'[1]FY13 9-16-13 to copy to sheet'!F6</f>
        <v>0</v>
      </c>
      <c r="E16" s="25">
        <v>321.26</v>
      </c>
      <c r="F16" s="20">
        <v>289</v>
      </c>
      <c r="G16" s="20">
        <v>12</v>
      </c>
      <c r="H16" s="23">
        <f t="shared" si="2"/>
        <v>4.1522491349480967E-2</v>
      </c>
      <c r="I16" s="29">
        <f t="shared" si="13"/>
        <v>4668.83</v>
      </c>
      <c r="J16" s="24">
        <f t="shared" si="14"/>
        <v>0</v>
      </c>
      <c r="K16" s="24">
        <f t="shared" si="3"/>
        <v>4668.83</v>
      </c>
      <c r="L16" s="30">
        <v>0</v>
      </c>
      <c r="M16" s="30">
        <f t="shared" si="4"/>
        <v>0</v>
      </c>
      <c r="N16" s="29">
        <f t="shared" si="15"/>
        <v>0</v>
      </c>
      <c r="O16" s="29">
        <f t="shared" si="5"/>
        <v>0</v>
      </c>
      <c r="P16" s="29">
        <f t="shared" si="6"/>
        <v>0</v>
      </c>
      <c r="Q16" s="30">
        <f t="shared" si="7"/>
        <v>0</v>
      </c>
      <c r="R16" s="30">
        <v>0</v>
      </c>
      <c r="S16" s="29">
        <f t="shared" si="8"/>
        <v>0</v>
      </c>
      <c r="T16" s="24">
        <f t="shared" si="9"/>
        <v>0</v>
      </c>
      <c r="U16" s="31">
        <f t="shared" si="10"/>
        <v>0</v>
      </c>
      <c r="V16" s="32">
        <f t="shared" si="16"/>
        <v>0</v>
      </c>
      <c r="W16" s="32">
        <f t="shared" si="11"/>
        <v>0</v>
      </c>
      <c r="X16" s="33">
        <v>0</v>
      </c>
      <c r="Y16" s="30">
        <f t="shared" si="12"/>
        <v>0</v>
      </c>
    </row>
    <row r="17" spans="1:25" ht="14.45" x14ac:dyDescent="0.3">
      <c r="A17" s="27">
        <v>4</v>
      </c>
      <c r="B17" s="27">
        <v>1</v>
      </c>
      <c r="C17" s="28" t="s">
        <v>74</v>
      </c>
      <c r="D17" s="24">
        <f>'[1]FY13 9-16-13 to copy to sheet'!F7</f>
        <v>0</v>
      </c>
      <c r="E17" s="25">
        <v>449.22</v>
      </c>
      <c r="F17" s="20">
        <v>399</v>
      </c>
      <c r="G17" s="20">
        <v>86</v>
      </c>
      <c r="H17" s="23">
        <f t="shared" si="2"/>
        <v>0.21553884711779447</v>
      </c>
      <c r="I17" s="29">
        <f t="shared" si="13"/>
        <v>33888.53</v>
      </c>
      <c r="J17" s="24">
        <f t="shared" si="14"/>
        <v>0</v>
      </c>
      <c r="K17" s="24">
        <f t="shared" si="3"/>
        <v>33888.53</v>
      </c>
      <c r="L17" s="30">
        <v>0</v>
      </c>
      <c r="M17" s="30">
        <f t="shared" si="4"/>
        <v>0</v>
      </c>
      <c r="N17" s="29">
        <f t="shared" si="15"/>
        <v>0</v>
      </c>
      <c r="O17" s="29">
        <f t="shared" si="5"/>
        <v>0</v>
      </c>
      <c r="P17" s="29">
        <f t="shared" si="6"/>
        <v>0</v>
      </c>
      <c r="Q17" s="30">
        <f t="shared" si="7"/>
        <v>0</v>
      </c>
      <c r="R17" s="30">
        <v>0</v>
      </c>
      <c r="S17" s="29">
        <f t="shared" si="8"/>
        <v>0</v>
      </c>
      <c r="T17" s="24">
        <f t="shared" si="9"/>
        <v>0</v>
      </c>
      <c r="U17" s="31">
        <f t="shared" si="10"/>
        <v>0</v>
      </c>
      <c r="V17" s="32">
        <f t="shared" si="16"/>
        <v>0</v>
      </c>
      <c r="W17" s="32">
        <f t="shared" si="11"/>
        <v>0</v>
      </c>
      <c r="X17" s="33">
        <v>0</v>
      </c>
      <c r="Y17" s="30">
        <f t="shared" si="12"/>
        <v>0</v>
      </c>
    </row>
    <row r="18" spans="1:25" ht="14.45" x14ac:dyDescent="0.3">
      <c r="A18" s="34">
        <v>6</v>
      </c>
      <c r="B18" s="34">
        <v>3</v>
      </c>
      <c r="C18" s="1" t="s">
        <v>75</v>
      </c>
      <c r="D18" s="24">
        <f>'[1]FY13 9-16-13 to copy to sheet'!F8</f>
        <v>497215</v>
      </c>
      <c r="E18" s="25">
        <v>3831.09</v>
      </c>
      <c r="F18" s="20">
        <v>3371</v>
      </c>
      <c r="G18" s="20">
        <v>1205</v>
      </c>
      <c r="H18" s="23">
        <f t="shared" si="2"/>
        <v>0.35746069415603676</v>
      </c>
      <c r="I18" s="29">
        <f t="shared" si="13"/>
        <v>479312.43</v>
      </c>
      <c r="J18" s="24">
        <f t="shared" si="14"/>
        <v>11815.7</v>
      </c>
      <c r="K18" s="24">
        <f t="shared" si="3"/>
        <v>491128.13</v>
      </c>
      <c r="L18" s="30">
        <v>488976</v>
      </c>
      <c r="M18" s="30">
        <f t="shared" si="4"/>
        <v>490442.93</v>
      </c>
      <c r="N18" s="29">
        <f t="shared" si="15"/>
        <v>490442.93</v>
      </c>
      <c r="O18" s="29">
        <f t="shared" si="5"/>
        <v>1466.929999999993</v>
      </c>
      <c r="P18" s="29">
        <f t="shared" si="6"/>
        <v>488976</v>
      </c>
      <c r="Q18" s="30">
        <f t="shared" si="7"/>
        <v>38310.9</v>
      </c>
      <c r="R18" s="30">
        <v>0</v>
      </c>
      <c r="S18" s="29">
        <f t="shared" si="8"/>
        <v>0</v>
      </c>
      <c r="T18" s="24">
        <f t="shared" si="9"/>
        <v>488976</v>
      </c>
      <c r="U18" s="31">
        <f t="shared" si="10"/>
        <v>-8239</v>
      </c>
      <c r="V18" s="32">
        <f t="shared" si="16"/>
        <v>-2.1505628946331199</v>
      </c>
      <c r="W18" s="32">
        <f t="shared" si="11"/>
        <v>348081.68</v>
      </c>
      <c r="X18" s="33">
        <v>140894.32</v>
      </c>
      <c r="Y18" s="30">
        <f t="shared" si="12"/>
        <v>348081.68</v>
      </c>
    </row>
    <row r="19" spans="1:25" ht="14.45" x14ac:dyDescent="0.3">
      <c r="A19" s="34">
        <v>11</v>
      </c>
      <c r="B19" s="34">
        <v>1</v>
      </c>
      <c r="C19" s="1" t="s">
        <v>76</v>
      </c>
      <c r="D19" s="24">
        <f>'[1]FY13 9-16-13 to copy to sheet'!F9</f>
        <v>5602341</v>
      </c>
      <c r="E19" s="25">
        <v>43230.04</v>
      </c>
      <c r="F19" s="20">
        <v>38403</v>
      </c>
      <c r="G19" s="20">
        <v>8618</v>
      </c>
      <c r="H19" s="23">
        <f t="shared" si="2"/>
        <v>0.22440955133713511</v>
      </c>
      <c r="I19" s="29">
        <f t="shared" si="13"/>
        <v>3395431.86</v>
      </c>
      <c r="J19" s="24">
        <f t="shared" si="14"/>
        <v>1456560.03</v>
      </c>
      <c r="K19" s="24">
        <f t="shared" si="3"/>
        <v>4851991.8899999997</v>
      </c>
      <c r="L19" s="30">
        <v>5540899</v>
      </c>
      <c r="M19" s="30">
        <f t="shared" si="4"/>
        <v>5557521.7000000002</v>
      </c>
      <c r="N19" s="29">
        <f t="shared" si="15"/>
        <v>4851991.8899999997</v>
      </c>
      <c r="O19" s="29">
        <f t="shared" si="5"/>
        <v>14555.98</v>
      </c>
      <c r="P19" s="29">
        <f t="shared" si="6"/>
        <v>4837435.9099999992</v>
      </c>
      <c r="Q19" s="30">
        <f t="shared" si="7"/>
        <v>432300.4</v>
      </c>
      <c r="R19" s="30">
        <v>0</v>
      </c>
      <c r="S19" s="29">
        <f t="shared" si="8"/>
        <v>0</v>
      </c>
      <c r="T19" s="24">
        <f t="shared" si="9"/>
        <v>4837435.9099999992</v>
      </c>
      <c r="U19" s="31">
        <f t="shared" si="10"/>
        <v>-764905.09000000078</v>
      </c>
      <c r="V19" s="32">
        <f t="shared" si="16"/>
        <v>-17.693832575681189</v>
      </c>
      <c r="W19" s="32">
        <f t="shared" si="11"/>
        <v>3161384.5799999991</v>
      </c>
      <c r="X19" s="33">
        <v>1676051.33</v>
      </c>
      <c r="Y19" s="30">
        <f t="shared" si="12"/>
        <v>3161384.5799999991</v>
      </c>
    </row>
    <row r="20" spans="1:25" ht="14.45" x14ac:dyDescent="0.3">
      <c r="A20" s="27">
        <v>12</v>
      </c>
      <c r="B20" s="27">
        <v>1</v>
      </c>
      <c r="C20" s="28" t="s">
        <v>77</v>
      </c>
      <c r="D20" s="24">
        <f>'[1]FY13 9-16-13 to copy to sheet'!F10</f>
        <v>0</v>
      </c>
      <c r="E20" s="25">
        <v>7365.33</v>
      </c>
      <c r="F20" s="20">
        <v>6548</v>
      </c>
      <c r="G20" s="20">
        <v>938</v>
      </c>
      <c r="H20" s="23">
        <f t="shared" si="2"/>
        <v>0.14324984728161272</v>
      </c>
      <c r="I20" s="29">
        <f t="shared" si="13"/>
        <v>369278.84</v>
      </c>
      <c r="J20" s="24">
        <f t="shared" si="14"/>
        <v>0</v>
      </c>
      <c r="K20" s="24">
        <f t="shared" si="3"/>
        <v>369278.84</v>
      </c>
      <c r="L20" s="30">
        <v>0</v>
      </c>
      <c r="M20" s="30">
        <f t="shared" si="4"/>
        <v>0</v>
      </c>
      <c r="N20" s="29">
        <f t="shared" si="15"/>
        <v>0</v>
      </c>
      <c r="O20" s="29">
        <f t="shared" si="5"/>
        <v>0</v>
      </c>
      <c r="P20" s="29">
        <f t="shared" si="6"/>
        <v>0</v>
      </c>
      <c r="Q20" s="30">
        <f t="shared" si="7"/>
        <v>0</v>
      </c>
      <c r="R20" s="30">
        <v>0</v>
      </c>
      <c r="S20" s="29">
        <f t="shared" si="8"/>
        <v>0</v>
      </c>
      <c r="T20" s="24">
        <f t="shared" si="9"/>
        <v>0</v>
      </c>
      <c r="U20" s="31">
        <f t="shared" si="10"/>
        <v>0</v>
      </c>
      <c r="V20" s="32">
        <f t="shared" si="16"/>
        <v>0</v>
      </c>
      <c r="W20" s="32">
        <f t="shared" si="11"/>
        <v>0</v>
      </c>
      <c r="X20" s="33">
        <v>0</v>
      </c>
      <c r="Y20" s="30">
        <f t="shared" si="12"/>
        <v>0</v>
      </c>
    </row>
    <row r="21" spans="1:25" ht="14.45" x14ac:dyDescent="0.3">
      <c r="A21" s="34">
        <v>13</v>
      </c>
      <c r="B21" s="34">
        <v>1</v>
      </c>
      <c r="C21" s="1" t="s">
        <v>78</v>
      </c>
      <c r="D21" s="24">
        <f>'[1]FY13 9-16-13 to copy to sheet'!F11</f>
        <v>643306.43999999994</v>
      </c>
      <c r="E21" s="25">
        <v>3488.3</v>
      </c>
      <c r="F21" s="20">
        <v>3043</v>
      </c>
      <c r="G21" s="20">
        <v>2189</v>
      </c>
      <c r="H21" s="23">
        <f t="shared" si="2"/>
        <v>0.71935589878409467</v>
      </c>
      <c r="I21" s="29">
        <f t="shared" si="13"/>
        <v>878265.21</v>
      </c>
      <c r="J21" s="24">
        <f t="shared" si="14"/>
        <v>0</v>
      </c>
      <c r="K21" s="24">
        <f t="shared" si="3"/>
        <v>878265.21</v>
      </c>
      <c r="L21" s="30">
        <v>913149</v>
      </c>
      <c r="M21" s="30">
        <f t="shared" si="4"/>
        <v>915888.45</v>
      </c>
      <c r="N21" s="29">
        <f t="shared" si="15"/>
        <v>878265.21</v>
      </c>
      <c r="O21" s="29">
        <f t="shared" si="5"/>
        <v>2634.8</v>
      </c>
      <c r="P21" s="29">
        <f t="shared" si="6"/>
        <v>875630.40999999992</v>
      </c>
      <c r="Q21" s="30">
        <f t="shared" si="7"/>
        <v>34883</v>
      </c>
      <c r="R21" s="30">
        <v>0</v>
      </c>
      <c r="S21" s="29">
        <f t="shared" si="8"/>
        <v>0</v>
      </c>
      <c r="T21" s="24">
        <f t="shared" si="9"/>
        <v>875630.40999999992</v>
      </c>
      <c r="U21" s="31">
        <f t="shared" si="10"/>
        <v>232323.96999999997</v>
      </c>
      <c r="V21" s="32">
        <f t="shared" si="16"/>
        <v>66.600914485566022</v>
      </c>
      <c r="W21" s="32">
        <f t="shared" si="11"/>
        <v>743221.83999999985</v>
      </c>
      <c r="X21" s="33">
        <v>132408.57</v>
      </c>
      <c r="Y21" s="30">
        <f t="shared" si="12"/>
        <v>743221.83999999985</v>
      </c>
    </row>
    <row r="22" spans="1:25" ht="14.45" x14ac:dyDescent="0.3">
      <c r="A22" s="34">
        <v>14</v>
      </c>
      <c r="B22" s="34">
        <v>1</v>
      </c>
      <c r="C22" s="1" t="s">
        <v>79</v>
      </c>
      <c r="D22" s="24">
        <f>'[1]FY13 9-16-13 to copy to sheet'!F12</f>
        <v>453599.17</v>
      </c>
      <c r="E22" s="25">
        <v>3537.88</v>
      </c>
      <c r="F22" s="20">
        <v>2919</v>
      </c>
      <c r="G22" s="20">
        <v>1270</v>
      </c>
      <c r="H22" s="23">
        <f t="shared" si="2"/>
        <v>0.43508050702295309</v>
      </c>
      <c r="I22" s="29">
        <f t="shared" si="13"/>
        <v>538741.92000000004</v>
      </c>
      <c r="J22" s="24">
        <f t="shared" si="14"/>
        <v>0</v>
      </c>
      <c r="K22" s="24">
        <f t="shared" si="3"/>
        <v>538741.92000000004</v>
      </c>
      <c r="L22" s="30">
        <v>471567</v>
      </c>
      <c r="M22" s="30">
        <f t="shared" si="4"/>
        <v>472981.7</v>
      </c>
      <c r="N22" s="29">
        <f t="shared" si="15"/>
        <v>472981.7</v>
      </c>
      <c r="O22" s="29">
        <f t="shared" si="5"/>
        <v>1414.7000000000116</v>
      </c>
      <c r="P22" s="29">
        <f t="shared" si="6"/>
        <v>471567</v>
      </c>
      <c r="Q22" s="30">
        <f t="shared" si="7"/>
        <v>35378.800000000003</v>
      </c>
      <c r="R22" s="30">
        <v>0</v>
      </c>
      <c r="S22" s="29">
        <f t="shared" si="8"/>
        <v>0</v>
      </c>
      <c r="T22" s="24">
        <f t="shared" si="9"/>
        <v>471567</v>
      </c>
      <c r="U22" s="31">
        <f t="shared" si="10"/>
        <v>17967.830000000016</v>
      </c>
      <c r="V22" s="32">
        <f t="shared" si="16"/>
        <v>5.078699673250652</v>
      </c>
      <c r="W22" s="32">
        <f t="shared" si="11"/>
        <v>338283.3</v>
      </c>
      <c r="X22" s="33">
        <v>133283.70000000001</v>
      </c>
      <c r="Y22" s="30">
        <f t="shared" si="12"/>
        <v>338283.3</v>
      </c>
    </row>
    <row r="23" spans="1:25" ht="14.45" x14ac:dyDescent="0.3">
      <c r="A23" s="27">
        <v>15</v>
      </c>
      <c r="B23" s="27">
        <v>1</v>
      </c>
      <c r="C23" s="28" t="s">
        <v>80</v>
      </c>
      <c r="D23" s="24">
        <f>'[1]FY13 9-16-13 to copy to sheet'!F13</f>
        <v>0</v>
      </c>
      <c r="E23" s="25">
        <v>5599.97</v>
      </c>
      <c r="F23" s="20">
        <v>5067</v>
      </c>
      <c r="G23" s="20">
        <v>398</v>
      </c>
      <c r="H23" s="23">
        <f t="shared" si="2"/>
        <v>7.8547463982632723E-2</v>
      </c>
      <c r="I23" s="29">
        <f t="shared" si="13"/>
        <v>153952.20000000001</v>
      </c>
      <c r="J23" s="24">
        <f t="shared" si="14"/>
        <v>0</v>
      </c>
      <c r="K23" s="24">
        <f t="shared" si="3"/>
        <v>153952.20000000001</v>
      </c>
      <c r="L23" s="30">
        <v>0</v>
      </c>
      <c r="M23" s="30">
        <f t="shared" si="4"/>
        <v>0</v>
      </c>
      <c r="N23" s="29">
        <f t="shared" si="15"/>
        <v>0</v>
      </c>
      <c r="O23" s="29">
        <f t="shared" si="5"/>
        <v>0</v>
      </c>
      <c r="P23" s="29">
        <f t="shared" si="6"/>
        <v>0</v>
      </c>
      <c r="Q23" s="30">
        <f t="shared" si="7"/>
        <v>0</v>
      </c>
      <c r="R23" s="30">
        <v>0</v>
      </c>
      <c r="S23" s="29">
        <f t="shared" si="8"/>
        <v>0</v>
      </c>
      <c r="T23" s="24">
        <f t="shared" si="9"/>
        <v>0</v>
      </c>
      <c r="U23" s="31">
        <f t="shared" si="10"/>
        <v>0</v>
      </c>
      <c r="V23" s="32">
        <f t="shared" si="16"/>
        <v>0</v>
      </c>
      <c r="W23" s="32">
        <f t="shared" si="11"/>
        <v>0</v>
      </c>
      <c r="X23" s="33">
        <v>0</v>
      </c>
      <c r="Y23" s="30">
        <f t="shared" si="12"/>
        <v>0</v>
      </c>
    </row>
    <row r="24" spans="1:25" ht="14.45" x14ac:dyDescent="0.3">
      <c r="A24" s="34">
        <v>16</v>
      </c>
      <c r="B24" s="34">
        <v>1</v>
      </c>
      <c r="C24" s="1" t="s">
        <v>81</v>
      </c>
      <c r="D24" s="24">
        <f>'[1]FY13 9-16-13 to copy to sheet'!F14</f>
        <v>515744</v>
      </c>
      <c r="E24" s="25">
        <v>5855.32</v>
      </c>
      <c r="F24" s="20">
        <v>5453</v>
      </c>
      <c r="G24" s="20">
        <v>1782</v>
      </c>
      <c r="H24" s="23">
        <f t="shared" si="2"/>
        <v>0.32679259123418303</v>
      </c>
      <c r="I24" s="29">
        <f t="shared" si="13"/>
        <v>669716.31999999995</v>
      </c>
      <c r="J24" s="24">
        <f t="shared" si="14"/>
        <v>0</v>
      </c>
      <c r="K24" s="24">
        <f t="shared" si="3"/>
        <v>669716.31999999995</v>
      </c>
      <c r="L24" s="30">
        <v>533389</v>
      </c>
      <c r="M24" s="30">
        <f t="shared" si="4"/>
        <v>534989.17000000004</v>
      </c>
      <c r="N24" s="29">
        <f t="shared" si="15"/>
        <v>534989.17000000004</v>
      </c>
      <c r="O24" s="29">
        <f t="shared" si="5"/>
        <v>1600.1700000000419</v>
      </c>
      <c r="P24" s="29">
        <f t="shared" si="6"/>
        <v>533389</v>
      </c>
      <c r="Q24" s="30">
        <f t="shared" si="7"/>
        <v>58553.2</v>
      </c>
      <c r="R24" s="30">
        <v>0</v>
      </c>
      <c r="S24" s="29">
        <f t="shared" si="8"/>
        <v>0</v>
      </c>
      <c r="T24" s="24">
        <f t="shared" si="9"/>
        <v>533389</v>
      </c>
      <c r="U24" s="31">
        <f t="shared" si="10"/>
        <v>17645</v>
      </c>
      <c r="V24" s="32">
        <f t="shared" si="16"/>
        <v>3.0134988352472623</v>
      </c>
      <c r="W24" s="32">
        <f t="shared" si="11"/>
        <v>380389</v>
      </c>
      <c r="X24" s="33">
        <v>153000</v>
      </c>
      <c r="Y24" s="30">
        <f t="shared" si="12"/>
        <v>380389</v>
      </c>
    </row>
    <row r="25" spans="1:25" ht="14.45" x14ac:dyDescent="0.3">
      <c r="A25" s="34">
        <v>22</v>
      </c>
      <c r="B25" s="34">
        <v>1</v>
      </c>
      <c r="C25" s="1" t="s">
        <v>82</v>
      </c>
      <c r="D25" s="24">
        <f>'[1]FY13 9-16-13 to copy to sheet'!F15</f>
        <v>284556</v>
      </c>
      <c r="E25" s="25">
        <v>3349.05</v>
      </c>
      <c r="F25" s="20">
        <v>2942</v>
      </c>
      <c r="G25" s="20">
        <v>501</v>
      </c>
      <c r="H25" s="23">
        <f t="shared" si="2"/>
        <v>0.17029231815091775</v>
      </c>
      <c r="I25" s="29">
        <f t="shared" si="13"/>
        <v>199611.12</v>
      </c>
      <c r="J25" s="24">
        <f t="shared" si="14"/>
        <v>56063.62</v>
      </c>
      <c r="K25" s="24">
        <f t="shared" si="3"/>
        <v>255674.74</v>
      </c>
      <c r="L25" s="30">
        <v>229535</v>
      </c>
      <c r="M25" s="30">
        <f t="shared" si="4"/>
        <v>230223.61</v>
      </c>
      <c r="N25" s="29">
        <f t="shared" si="15"/>
        <v>230223.61</v>
      </c>
      <c r="O25" s="29">
        <f t="shared" si="5"/>
        <v>688.60999999998603</v>
      </c>
      <c r="P25" s="29">
        <f t="shared" si="6"/>
        <v>229535</v>
      </c>
      <c r="Q25" s="30">
        <f t="shared" si="7"/>
        <v>33490.5</v>
      </c>
      <c r="R25" s="30">
        <v>0</v>
      </c>
      <c r="S25" s="29">
        <f t="shared" si="8"/>
        <v>0</v>
      </c>
      <c r="T25" s="24">
        <f t="shared" si="9"/>
        <v>229535</v>
      </c>
      <c r="U25" s="31">
        <f t="shared" si="10"/>
        <v>-55021</v>
      </c>
      <c r="V25" s="32">
        <f t="shared" si="16"/>
        <v>-16.428838028694702</v>
      </c>
      <c r="W25" s="32">
        <f t="shared" si="11"/>
        <v>148667</v>
      </c>
      <c r="X25" s="33">
        <v>80868</v>
      </c>
      <c r="Y25" s="30">
        <f t="shared" si="12"/>
        <v>148667</v>
      </c>
    </row>
    <row r="26" spans="1:25" ht="14.45" x14ac:dyDescent="0.3">
      <c r="A26" s="34">
        <v>23</v>
      </c>
      <c r="B26" s="34">
        <v>1</v>
      </c>
      <c r="C26" s="1" t="s">
        <v>83</v>
      </c>
      <c r="D26" s="24">
        <f>'[1]FY13 9-16-13 to copy to sheet'!F16</f>
        <v>69885.710000000006</v>
      </c>
      <c r="E26" s="25">
        <v>1063.08</v>
      </c>
      <c r="F26" s="20">
        <v>907</v>
      </c>
      <c r="G26" s="20">
        <v>105</v>
      </c>
      <c r="H26" s="23">
        <f t="shared" si="2"/>
        <v>0.11576626240352811</v>
      </c>
      <c r="I26" s="29">
        <f t="shared" si="13"/>
        <v>43074.080000000002</v>
      </c>
      <c r="J26" s="24">
        <f t="shared" si="14"/>
        <v>17695.68</v>
      </c>
      <c r="K26" s="24">
        <f t="shared" si="3"/>
        <v>60769.760000000002</v>
      </c>
      <c r="L26" s="30">
        <v>71401</v>
      </c>
      <c r="M26" s="30">
        <f t="shared" si="4"/>
        <v>71615.199999999997</v>
      </c>
      <c r="N26" s="29">
        <f t="shared" si="15"/>
        <v>60769.760000000002</v>
      </c>
      <c r="O26" s="29">
        <f t="shared" si="5"/>
        <v>182.31</v>
      </c>
      <c r="P26" s="29">
        <f t="shared" si="6"/>
        <v>60587.450000000004</v>
      </c>
      <c r="Q26" s="30">
        <f t="shared" si="7"/>
        <v>10630.8</v>
      </c>
      <c r="R26" s="30">
        <v>0</v>
      </c>
      <c r="S26" s="29">
        <f t="shared" si="8"/>
        <v>0</v>
      </c>
      <c r="T26" s="24">
        <f t="shared" si="9"/>
        <v>60587.450000000004</v>
      </c>
      <c r="U26" s="31">
        <f t="shared" si="10"/>
        <v>-9298.260000000002</v>
      </c>
      <c r="V26" s="32">
        <f t="shared" si="16"/>
        <v>-8.7465289536065036</v>
      </c>
      <c r="W26" s="32">
        <f t="shared" si="11"/>
        <v>32498.380000000005</v>
      </c>
      <c r="X26" s="33">
        <v>28089.07</v>
      </c>
      <c r="Y26" s="30">
        <f t="shared" si="12"/>
        <v>32498.380000000005</v>
      </c>
    </row>
    <row r="27" spans="1:25" ht="14.45" x14ac:dyDescent="0.3">
      <c r="A27" s="27">
        <v>25</v>
      </c>
      <c r="B27" s="27">
        <v>1</v>
      </c>
      <c r="C27" s="28" t="s">
        <v>84</v>
      </c>
      <c r="D27" s="24">
        <f>'[1]FY13 9-16-13 to copy to sheet'!F17</f>
        <v>0</v>
      </c>
      <c r="E27" s="25">
        <v>78.06</v>
      </c>
      <c r="F27" s="20">
        <v>53</v>
      </c>
      <c r="G27" s="20">
        <v>52</v>
      </c>
      <c r="H27" s="23">
        <f t="shared" si="2"/>
        <v>0.98113207547169812</v>
      </c>
      <c r="I27" s="29">
        <f t="shared" si="13"/>
        <v>26805.51</v>
      </c>
      <c r="J27" s="24">
        <f t="shared" si="14"/>
        <v>0</v>
      </c>
      <c r="K27" s="24">
        <f t="shared" si="3"/>
        <v>26805.51</v>
      </c>
      <c r="L27" s="30">
        <v>0</v>
      </c>
      <c r="M27" s="30">
        <f t="shared" si="4"/>
        <v>0</v>
      </c>
      <c r="N27" s="29">
        <f t="shared" si="15"/>
        <v>0</v>
      </c>
      <c r="O27" s="29">
        <f t="shared" si="5"/>
        <v>0</v>
      </c>
      <c r="P27" s="29">
        <f t="shared" si="6"/>
        <v>0</v>
      </c>
      <c r="Q27" s="30">
        <f t="shared" si="7"/>
        <v>0</v>
      </c>
      <c r="R27" s="30">
        <v>0</v>
      </c>
      <c r="S27" s="29">
        <f t="shared" si="8"/>
        <v>0</v>
      </c>
      <c r="T27" s="24">
        <f t="shared" si="9"/>
        <v>0</v>
      </c>
      <c r="U27" s="31">
        <f t="shared" si="10"/>
        <v>0</v>
      </c>
      <c r="V27" s="32">
        <f t="shared" si="16"/>
        <v>0</v>
      </c>
      <c r="W27" s="32">
        <f t="shared" si="11"/>
        <v>0</v>
      </c>
      <c r="X27" s="33">
        <v>0</v>
      </c>
      <c r="Y27" s="30">
        <f t="shared" si="12"/>
        <v>0</v>
      </c>
    </row>
    <row r="28" spans="1:25" ht="14.45" x14ac:dyDescent="0.3">
      <c r="A28" s="27">
        <v>31</v>
      </c>
      <c r="B28" s="27">
        <v>1</v>
      </c>
      <c r="C28" s="28" t="s">
        <v>85</v>
      </c>
      <c r="D28" s="24">
        <f>'[1]FY13 9-16-13 to copy to sheet'!F18</f>
        <v>0</v>
      </c>
      <c r="E28" s="25">
        <v>5938.33</v>
      </c>
      <c r="F28" s="20">
        <v>5196</v>
      </c>
      <c r="G28" s="20">
        <v>1272</v>
      </c>
      <c r="H28" s="23">
        <f t="shared" si="2"/>
        <v>0.24480369515011546</v>
      </c>
      <c r="I28" s="29">
        <f t="shared" si="13"/>
        <v>508803.79</v>
      </c>
      <c r="J28" s="24">
        <f t="shared" si="14"/>
        <v>0</v>
      </c>
      <c r="K28" s="24">
        <f t="shared" si="3"/>
        <v>508803.79</v>
      </c>
      <c r="L28" s="30">
        <v>0</v>
      </c>
      <c r="M28" s="30">
        <f t="shared" si="4"/>
        <v>0</v>
      </c>
      <c r="N28" s="29">
        <f t="shared" si="15"/>
        <v>0</v>
      </c>
      <c r="O28" s="29">
        <f t="shared" si="5"/>
        <v>0</v>
      </c>
      <c r="P28" s="29">
        <f t="shared" si="6"/>
        <v>0</v>
      </c>
      <c r="Q28" s="30">
        <f t="shared" si="7"/>
        <v>0</v>
      </c>
      <c r="R28" s="30">
        <v>0</v>
      </c>
      <c r="S28" s="29">
        <f t="shared" si="8"/>
        <v>0</v>
      </c>
      <c r="T28" s="24">
        <f t="shared" si="9"/>
        <v>0</v>
      </c>
      <c r="U28" s="31">
        <f t="shared" si="10"/>
        <v>0</v>
      </c>
      <c r="V28" s="32">
        <f t="shared" si="16"/>
        <v>0</v>
      </c>
      <c r="W28" s="32">
        <f t="shared" si="11"/>
        <v>0</v>
      </c>
      <c r="X28" s="33">
        <v>0</v>
      </c>
      <c r="Y28" s="30">
        <f t="shared" si="12"/>
        <v>0</v>
      </c>
    </row>
    <row r="29" spans="1:25" ht="14.45" x14ac:dyDescent="0.3">
      <c r="A29" s="27">
        <v>32</v>
      </c>
      <c r="B29" s="27">
        <v>1</v>
      </c>
      <c r="C29" s="28" t="s">
        <v>86</v>
      </c>
      <c r="D29" s="24">
        <f>'[1]FY13 9-16-13 to copy to sheet'!F19</f>
        <v>0</v>
      </c>
      <c r="E29" s="25">
        <v>712.12</v>
      </c>
      <c r="F29" s="20">
        <v>614</v>
      </c>
      <c r="G29" s="20">
        <v>97</v>
      </c>
      <c r="H29" s="23">
        <f t="shared" si="2"/>
        <v>0.15798045602605862</v>
      </c>
      <c r="I29" s="29">
        <f t="shared" si="13"/>
        <v>39375.360000000001</v>
      </c>
      <c r="J29" s="24">
        <f t="shared" si="14"/>
        <v>0</v>
      </c>
      <c r="K29" s="24">
        <f t="shared" si="3"/>
        <v>39375.360000000001</v>
      </c>
      <c r="L29" s="30">
        <v>0</v>
      </c>
      <c r="M29" s="30">
        <f t="shared" si="4"/>
        <v>0</v>
      </c>
      <c r="N29" s="29">
        <f t="shared" si="15"/>
        <v>0</v>
      </c>
      <c r="O29" s="29">
        <f t="shared" si="5"/>
        <v>0</v>
      </c>
      <c r="P29" s="29">
        <f t="shared" si="6"/>
        <v>0</v>
      </c>
      <c r="Q29" s="30">
        <f t="shared" si="7"/>
        <v>0</v>
      </c>
      <c r="R29" s="30">
        <v>0</v>
      </c>
      <c r="S29" s="29">
        <f t="shared" si="8"/>
        <v>0</v>
      </c>
      <c r="T29" s="24">
        <f t="shared" si="9"/>
        <v>0</v>
      </c>
      <c r="U29" s="31">
        <f t="shared" si="10"/>
        <v>0</v>
      </c>
      <c r="V29" s="32">
        <f t="shared" si="16"/>
        <v>0</v>
      </c>
      <c r="W29" s="32">
        <f t="shared" si="11"/>
        <v>0</v>
      </c>
      <c r="X29" s="33">
        <v>0</v>
      </c>
      <c r="Y29" s="30">
        <f t="shared" si="12"/>
        <v>0</v>
      </c>
    </row>
    <row r="30" spans="1:25" ht="14.45" x14ac:dyDescent="0.3">
      <c r="A30" s="27">
        <v>36</v>
      </c>
      <c r="B30" s="27">
        <v>1</v>
      </c>
      <c r="C30" s="28" t="s">
        <v>87</v>
      </c>
      <c r="D30" s="24">
        <f>'[1]FY13 9-16-13 to copy to sheet'!F20</f>
        <v>0</v>
      </c>
      <c r="E30" s="25">
        <v>298.48</v>
      </c>
      <c r="F30" s="20">
        <v>265</v>
      </c>
      <c r="G30" s="20">
        <v>124</v>
      </c>
      <c r="H30" s="23">
        <f t="shared" si="2"/>
        <v>0.4679245283018868</v>
      </c>
      <c r="I30" s="29">
        <f t="shared" si="13"/>
        <v>48883.14</v>
      </c>
      <c r="J30" s="24">
        <f t="shared" si="14"/>
        <v>0</v>
      </c>
      <c r="K30" s="24">
        <f t="shared" si="3"/>
        <v>48883.14</v>
      </c>
      <c r="L30" s="30">
        <v>0</v>
      </c>
      <c r="M30" s="30">
        <f t="shared" si="4"/>
        <v>0</v>
      </c>
      <c r="N30" s="29">
        <f t="shared" si="15"/>
        <v>0</v>
      </c>
      <c r="O30" s="29">
        <f t="shared" si="5"/>
        <v>0</v>
      </c>
      <c r="P30" s="29">
        <f t="shared" si="6"/>
        <v>0</v>
      </c>
      <c r="Q30" s="30">
        <f t="shared" si="7"/>
        <v>0</v>
      </c>
      <c r="R30" s="30">
        <v>0</v>
      </c>
      <c r="S30" s="29">
        <f t="shared" si="8"/>
        <v>0</v>
      </c>
      <c r="T30" s="24">
        <f t="shared" si="9"/>
        <v>0</v>
      </c>
      <c r="U30" s="31">
        <f t="shared" si="10"/>
        <v>0</v>
      </c>
      <c r="V30" s="32">
        <f t="shared" si="16"/>
        <v>0</v>
      </c>
      <c r="W30" s="32">
        <f t="shared" si="11"/>
        <v>0</v>
      </c>
      <c r="X30" s="33">
        <v>0</v>
      </c>
      <c r="Y30" s="30">
        <f t="shared" si="12"/>
        <v>0</v>
      </c>
    </row>
    <row r="31" spans="1:25" ht="14.45" x14ac:dyDescent="0.3">
      <c r="A31" s="27">
        <v>38</v>
      </c>
      <c r="B31" s="27">
        <v>1</v>
      </c>
      <c r="C31" s="28" t="s">
        <v>88</v>
      </c>
      <c r="D31" s="24">
        <f>'[1]FY13 9-16-13 to copy to sheet'!F21</f>
        <v>0</v>
      </c>
      <c r="E31" s="25">
        <v>1539.96</v>
      </c>
      <c r="F31" s="20">
        <v>1365</v>
      </c>
      <c r="G31" s="20">
        <v>1364</v>
      </c>
      <c r="H31" s="23">
        <f t="shared" si="2"/>
        <v>0.99926739926739927</v>
      </c>
      <c r="I31" s="29">
        <f t="shared" si="13"/>
        <v>538591.14</v>
      </c>
      <c r="J31" s="24">
        <f t="shared" si="14"/>
        <v>0</v>
      </c>
      <c r="K31" s="24">
        <f t="shared" si="3"/>
        <v>538591.14</v>
      </c>
      <c r="L31" s="30">
        <v>0</v>
      </c>
      <c r="M31" s="30">
        <f t="shared" si="4"/>
        <v>0</v>
      </c>
      <c r="N31" s="29">
        <f t="shared" si="15"/>
        <v>0</v>
      </c>
      <c r="O31" s="29">
        <f t="shared" si="5"/>
        <v>0</v>
      </c>
      <c r="P31" s="29">
        <f t="shared" si="6"/>
        <v>0</v>
      </c>
      <c r="Q31" s="30">
        <f t="shared" si="7"/>
        <v>0</v>
      </c>
      <c r="R31" s="30">
        <v>0</v>
      </c>
      <c r="S31" s="29">
        <f t="shared" si="8"/>
        <v>0</v>
      </c>
      <c r="T31" s="24">
        <f t="shared" si="9"/>
        <v>0</v>
      </c>
      <c r="U31" s="31">
        <f t="shared" si="10"/>
        <v>0</v>
      </c>
      <c r="V31" s="32">
        <f t="shared" si="16"/>
        <v>0</v>
      </c>
      <c r="W31" s="32">
        <f t="shared" si="11"/>
        <v>0</v>
      </c>
      <c r="X31" s="33">
        <v>0</v>
      </c>
      <c r="Y31" s="30">
        <f t="shared" si="12"/>
        <v>0</v>
      </c>
    </row>
    <row r="32" spans="1:25" ht="14.45" x14ac:dyDescent="0.3">
      <c r="A32" s="34">
        <v>47</v>
      </c>
      <c r="B32" s="34">
        <v>1</v>
      </c>
      <c r="C32" s="1" t="s">
        <v>89</v>
      </c>
      <c r="D32" s="24">
        <f>'[1]FY13 9-16-13 to copy to sheet'!F22</f>
        <v>368000</v>
      </c>
      <c r="E32" s="25">
        <v>4516.88</v>
      </c>
      <c r="F32" s="20">
        <v>3987</v>
      </c>
      <c r="G32" s="20">
        <v>385</v>
      </c>
      <c r="H32" s="23">
        <f t="shared" si="2"/>
        <v>9.6563832455480308E-2</v>
      </c>
      <c r="I32" s="29">
        <f t="shared" si="13"/>
        <v>152658.54</v>
      </c>
      <c r="J32" s="24">
        <f t="shared" si="14"/>
        <v>142125.35999999999</v>
      </c>
      <c r="K32" s="24">
        <f t="shared" si="3"/>
        <v>294783.90000000002</v>
      </c>
      <c r="L32" s="30">
        <v>339953</v>
      </c>
      <c r="M32" s="30">
        <f t="shared" si="4"/>
        <v>340972.86</v>
      </c>
      <c r="N32" s="29">
        <f t="shared" si="15"/>
        <v>294783.90000000002</v>
      </c>
      <c r="O32" s="29">
        <f t="shared" si="5"/>
        <v>884.35</v>
      </c>
      <c r="P32" s="29">
        <f t="shared" si="6"/>
        <v>293899.55000000005</v>
      </c>
      <c r="Q32" s="30">
        <f t="shared" si="7"/>
        <v>45168.800000000003</v>
      </c>
      <c r="R32" s="30">
        <v>0</v>
      </c>
      <c r="S32" s="29">
        <f t="shared" si="8"/>
        <v>0</v>
      </c>
      <c r="T32" s="24">
        <f t="shared" si="9"/>
        <v>293899.55000000005</v>
      </c>
      <c r="U32" s="31">
        <f t="shared" si="10"/>
        <v>-74100.449999999953</v>
      </c>
      <c r="V32" s="32">
        <f t="shared" si="16"/>
        <v>-16.405228830520173</v>
      </c>
      <c r="W32" s="32">
        <f t="shared" si="11"/>
        <v>183499.55000000005</v>
      </c>
      <c r="X32" s="33">
        <v>110400</v>
      </c>
      <c r="Y32" s="30">
        <f t="shared" si="12"/>
        <v>183499.55000000005</v>
      </c>
    </row>
    <row r="33" spans="1:25" ht="14.45" x14ac:dyDescent="0.3">
      <c r="A33" s="34">
        <v>51</v>
      </c>
      <c r="B33" s="34">
        <v>1</v>
      </c>
      <c r="C33" s="1" t="s">
        <v>90</v>
      </c>
      <c r="D33" s="24">
        <f>'[1]FY13 9-16-13 to copy to sheet'!F23</f>
        <v>176227</v>
      </c>
      <c r="E33" s="25">
        <v>2062.9699999999998</v>
      </c>
      <c r="F33" s="20">
        <v>1769</v>
      </c>
      <c r="G33" s="20">
        <v>39</v>
      </c>
      <c r="H33" s="23">
        <f t="shared" si="2"/>
        <v>2.2046353872244205E-2</v>
      </c>
      <c r="I33" s="29">
        <f t="shared" si="13"/>
        <v>15918.34</v>
      </c>
      <c r="J33" s="24">
        <f t="shared" si="14"/>
        <v>105803.72</v>
      </c>
      <c r="K33" s="24">
        <f t="shared" si="3"/>
        <v>121722.06</v>
      </c>
      <c r="L33" s="30">
        <v>177327</v>
      </c>
      <c r="M33" s="30">
        <f t="shared" si="4"/>
        <v>177858.98</v>
      </c>
      <c r="N33" s="29">
        <f t="shared" si="15"/>
        <v>121722.06</v>
      </c>
      <c r="O33" s="29">
        <f t="shared" si="5"/>
        <v>365.17</v>
      </c>
      <c r="P33" s="29">
        <f t="shared" si="6"/>
        <v>121356.89</v>
      </c>
      <c r="Q33" s="30">
        <f t="shared" si="7"/>
        <v>20629.699999999997</v>
      </c>
      <c r="R33" s="30">
        <v>0</v>
      </c>
      <c r="S33" s="29">
        <f t="shared" si="8"/>
        <v>0</v>
      </c>
      <c r="T33" s="24">
        <f t="shared" si="9"/>
        <v>121356.89</v>
      </c>
      <c r="U33" s="31">
        <f t="shared" si="10"/>
        <v>-54870.11</v>
      </c>
      <c r="V33" s="32">
        <f t="shared" si="16"/>
        <v>-26.597628661589848</v>
      </c>
      <c r="W33" s="32">
        <f t="shared" si="11"/>
        <v>68406.89</v>
      </c>
      <c r="X33" s="33">
        <v>52950</v>
      </c>
      <c r="Y33" s="30">
        <f t="shared" si="12"/>
        <v>68406.89</v>
      </c>
    </row>
    <row r="34" spans="1:25" ht="14.45" x14ac:dyDescent="0.3">
      <c r="A34" s="27">
        <v>75</v>
      </c>
      <c r="B34" s="27">
        <v>1</v>
      </c>
      <c r="C34" s="28" t="s">
        <v>91</v>
      </c>
      <c r="D34" s="24">
        <f>'[1]FY13 9-16-13 to copy to sheet'!F24</f>
        <v>0</v>
      </c>
      <c r="E34" s="25">
        <v>729.13</v>
      </c>
      <c r="F34" s="20">
        <v>630</v>
      </c>
      <c r="G34" s="20">
        <v>14</v>
      </c>
      <c r="H34" s="23">
        <f t="shared" si="2"/>
        <v>2.2222222222222223E-2</v>
      </c>
      <c r="I34" s="29">
        <f t="shared" si="13"/>
        <v>5671.01</v>
      </c>
      <c r="J34" s="24">
        <f t="shared" si="14"/>
        <v>0</v>
      </c>
      <c r="K34" s="24">
        <f t="shared" si="3"/>
        <v>5671.01</v>
      </c>
      <c r="L34" s="30">
        <v>0</v>
      </c>
      <c r="M34" s="30">
        <f t="shared" si="4"/>
        <v>0</v>
      </c>
      <c r="N34" s="29">
        <f t="shared" si="15"/>
        <v>0</v>
      </c>
      <c r="O34" s="29">
        <f t="shared" si="5"/>
        <v>0</v>
      </c>
      <c r="P34" s="29">
        <f t="shared" si="6"/>
        <v>0</v>
      </c>
      <c r="Q34" s="30">
        <f t="shared" si="7"/>
        <v>0</v>
      </c>
      <c r="R34" s="30">
        <v>0</v>
      </c>
      <c r="S34" s="29">
        <f t="shared" si="8"/>
        <v>0</v>
      </c>
      <c r="T34" s="24">
        <f t="shared" si="9"/>
        <v>0</v>
      </c>
      <c r="U34" s="31">
        <f t="shared" si="10"/>
        <v>0</v>
      </c>
      <c r="V34" s="32">
        <f t="shared" si="16"/>
        <v>0</v>
      </c>
      <c r="W34" s="32">
        <f t="shared" si="11"/>
        <v>0</v>
      </c>
      <c r="X34" s="33">
        <v>0</v>
      </c>
      <c r="Y34" s="30">
        <f t="shared" si="12"/>
        <v>0</v>
      </c>
    </row>
    <row r="35" spans="1:25" ht="14.45" x14ac:dyDescent="0.3">
      <c r="A35" s="27">
        <v>77</v>
      </c>
      <c r="B35" s="27">
        <v>1</v>
      </c>
      <c r="C35" s="28" t="s">
        <v>92</v>
      </c>
      <c r="D35" s="24">
        <f>'[1]FY13 9-16-13 to copy to sheet'!F25</f>
        <v>0</v>
      </c>
      <c r="E35" s="25">
        <v>9206.59</v>
      </c>
      <c r="F35" s="20">
        <v>7765</v>
      </c>
      <c r="G35" s="20">
        <v>1458</v>
      </c>
      <c r="H35" s="23">
        <f t="shared" si="2"/>
        <v>0.18776561493882807</v>
      </c>
      <c r="I35" s="29">
        <f t="shared" si="13"/>
        <v>605038.36</v>
      </c>
      <c r="J35" s="24">
        <f t="shared" si="14"/>
        <v>0</v>
      </c>
      <c r="K35" s="24">
        <f t="shared" si="3"/>
        <v>605038.36</v>
      </c>
      <c r="L35" s="30">
        <v>0</v>
      </c>
      <c r="M35" s="30">
        <f t="shared" si="4"/>
        <v>0</v>
      </c>
      <c r="N35" s="29">
        <f t="shared" si="15"/>
        <v>0</v>
      </c>
      <c r="O35" s="29">
        <f t="shared" si="5"/>
        <v>0</v>
      </c>
      <c r="P35" s="29">
        <f t="shared" si="6"/>
        <v>0</v>
      </c>
      <c r="Q35" s="30">
        <f t="shared" si="7"/>
        <v>0</v>
      </c>
      <c r="R35" s="30">
        <v>0</v>
      </c>
      <c r="S35" s="29">
        <f t="shared" si="8"/>
        <v>0</v>
      </c>
      <c r="T35" s="24">
        <f t="shared" si="9"/>
        <v>0</v>
      </c>
      <c r="U35" s="31">
        <f t="shared" si="10"/>
        <v>0</v>
      </c>
      <c r="V35" s="32">
        <f t="shared" si="16"/>
        <v>0</v>
      </c>
      <c r="W35" s="32">
        <f t="shared" si="11"/>
        <v>0</v>
      </c>
      <c r="X35" s="33">
        <v>0</v>
      </c>
      <c r="Y35" s="30">
        <f t="shared" si="12"/>
        <v>0</v>
      </c>
    </row>
    <row r="36" spans="1:25" ht="14.45" x14ac:dyDescent="0.3">
      <c r="A36" s="34">
        <v>81</v>
      </c>
      <c r="B36" s="34">
        <v>1</v>
      </c>
      <c r="C36" s="1" t="s">
        <v>93</v>
      </c>
      <c r="D36" s="24">
        <f>'[1]FY13 9-16-13 to copy to sheet'!F26</f>
        <v>14219.08</v>
      </c>
      <c r="E36" s="25">
        <v>193.05</v>
      </c>
      <c r="F36" s="20">
        <v>167</v>
      </c>
      <c r="G36" s="20">
        <v>12</v>
      </c>
      <c r="H36" s="23">
        <f t="shared" si="2"/>
        <v>7.1856287425149698E-2</v>
      </c>
      <c r="I36" s="29">
        <f t="shared" si="13"/>
        <v>4855.1499999999996</v>
      </c>
      <c r="J36" s="24">
        <f t="shared" si="14"/>
        <v>6180.19</v>
      </c>
      <c r="K36" s="24">
        <f t="shared" si="3"/>
        <v>11035.34</v>
      </c>
      <c r="L36" s="30">
        <v>12966</v>
      </c>
      <c r="M36" s="30">
        <f t="shared" si="4"/>
        <v>13004.9</v>
      </c>
      <c r="N36" s="29">
        <f t="shared" si="15"/>
        <v>11035.34</v>
      </c>
      <c r="O36" s="29">
        <f t="shared" si="5"/>
        <v>33.11</v>
      </c>
      <c r="P36" s="29">
        <f t="shared" si="6"/>
        <v>11002.23</v>
      </c>
      <c r="Q36" s="30">
        <f t="shared" si="7"/>
        <v>1930.5</v>
      </c>
      <c r="R36" s="30">
        <v>0</v>
      </c>
      <c r="S36" s="29">
        <f t="shared" si="8"/>
        <v>0</v>
      </c>
      <c r="T36" s="24">
        <f t="shared" si="9"/>
        <v>11002.23</v>
      </c>
      <c r="U36" s="31">
        <f t="shared" si="10"/>
        <v>-3216.8500000000004</v>
      </c>
      <c r="V36" s="32">
        <f t="shared" si="16"/>
        <v>-16.663299663299664</v>
      </c>
      <c r="W36" s="32">
        <f t="shared" si="11"/>
        <v>6502.23</v>
      </c>
      <c r="X36" s="33">
        <v>4500</v>
      </c>
      <c r="Y36" s="30">
        <f t="shared" si="12"/>
        <v>6502.23</v>
      </c>
    </row>
    <row r="37" spans="1:25" ht="14.45" x14ac:dyDescent="0.3">
      <c r="A37" s="34">
        <v>84</v>
      </c>
      <c r="B37" s="34">
        <v>1</v>
      </c>
      <c r="C37" s="1" t="s">
        <v>94</v>
      </c>
      <c r="D37" s="24">
        <f>'[1]FY13 9-16-13 to copy to sheet'!F27</f>
        <v>81537.03</v>
      </c>
      <c r="E37" s="25">
        <v>601.70000000000005</v>
      </c>
      <c r="F37" s="20">
        <v>609</v>
      </c>
      <c r="G37" s="20">
        <v>205</v>
      </c>
      <c r="H37" s="23">
        <f t="shared" si="2"/>
        <v>0.3366174055829228</v>
      </c>
      <c r="I37" s="29">
        <f t="shared" si="13"/>
        <v>70889.94</v>
      </c>
      <c r="J37" s="24">
        <f t="shared" si="14"/>
        <v>7027.08</v>
      </c>
      <c r="K37" s="24">
        <f t="shared" si="3"/>
        <v>77917.02</v>
      </c>
      <c r="L37" s="30">
        <v>80737</v>
      </c>
      <c r="M37" s="30">
        <f t="shared" si="4"/>
        <v>80979.210000000006</v>
      </c>
      <c r="N37" s="29">
        <f t="shared" si="15"/>
        <v>77917.02</v>
      </c>
      <c r="O37" s="29">
        <f t="shared" si="5"/>
        <v>233.75</v>
      </c>
      <c r="P37" s="29">
        <f t="shared" si="6"/>
        <v>77683.27</v>
      </c>
      <c r="Q37" s="30">
        <f t="shared" si="7"/>
        <v>6017</v>
      </c>
      <c r="R37" s="30">
        <v>0</v>
      </c>
      <c r="S37" s="29">
        <f t="shared" si="8"/>
        <v>0</v>
      </c>
      <c r="T37" s="24">
        <f t="shared" si="9"/>
        <v>77683.27</v>
      </c>
      <c r="U37" s="31">
        <f t="shared" si="10"/>
        <v>-3853.7599999999948</v>
      </c>
      <c r="V37" s="32">
        <f t="shared" si="16"/>
        <v>-6.4047864384244546</v>
      </c>
      <c r="W37" s="32">
        <f t="shared" si="11"/>
        <v>54054.98</v>
      </c>
      <c r="X37" s="33">
        <v>23628.29</v>
      </c>
      <c r="Y37" s="30">
        <f t="shared" si="12"/>
        <v>54054.98</v>
      </c>
    </row>
    <row r="38" spans="1:25" ht="14.45" x14ac:dyDescent="0.3">
      <c r="A38" s="34">
        <v>85</v>
      </c>
      <c r="B38" s="34">
        <v>1</v>
      </c>
      <c r="C38" s="1" t="s">
        <v>95</v>
      </c>
      <c r="D38" s="24">
        <f>'[1]FY13 9-16-13 to copy to sheet'!F28</f>
        <v>56750</v>
      </c>
      <c r="E38" s="25">
        <v>677.4</v>
      </c>
      <c r="F38" s="20">
        <v>620</v>
      </c>
      <c r="G38" s="20">
        <v>52</v>
      </c>
      <c r="H38" s="23">
        <f t="shared" si="2"/>
        <v>8.387096774193549E-2</v>
      </c>
      <c r="I38" s="29">
        <f t="shared" si="13"/>
        <v>19884.97</v>
      </c>
      <c r="J38" s="24">
        <f t="shared" si="14"/>
        <v>24330.92</v>
      </c>
      <c r="K38" s="24">
        <f t="shared" si="3"/>
        <v>44215.89</v>
      </c>
      <c r="L38" s="30">
        <v>50990</v>
      </c>
      <c r="M38" s="30">
        <f t="shared" si="4"/>
        <v>51142.97</v>
      </c>
      <c r="N38" s="29">
        <f t="shared" si="15"/>
        <v>44215.89</v>
      </c>
      <c r="O38" s="29">
        <f t="shared" si="5"/>
        <v>132.65</v>
      </c>
      <c r="P38" s="29">
        <f t="shared" si="6"/>
        <v>44083.24</v>
      </c>
      <c r="Q38" s="30">
        <f t="shared" si="7"/>
        <v>6774</v>
      </c>
      <c r="R38" s="30">
        <v>0</v>
      </c>
      <c r="S38" s="29">
        <f t="shared" si="8"/>
        <v>0</v>
      </c>
      <c r="T38" s="24">
        <f t="shared" si="9"/>
        <v>44083.24</v>
      </c>
      <c r="U38" s="31">
        <f t="shared" si="10"/>
        <v>-12666.760000000002</v>
      </c>
      <c r="V38" s="32">
        <f t="shared" si="16"/>
        <v>-18.699084735754358</v>
      </c>
      <c r="W38" s="32">
        <f t="shared" si="11"/>
        <v>27058.239999999998</v>
      </c>
      <c r="X38" s="33">
        <v>17025</v>
      </c>
      <c r="Y38" s="30">
        <f t="shared" si="12"/>
        <v>27058.239999999998</v>
      </c>
    </row>
    <row r="39" spans="1:25" ht="14.45" x14ac:dyDescent="0.3">
      <c r="A39" s="34">
        <v>88</v>
      </c>
      <c r="B39" s="34">
        <v>1</v>
      </c>
      <c r="C39" s="1" t="s">
        <v>96</v>
      </c>
      <c r="D39" s="24">
        <f>'[1]FY13 9-16-13 to copy to sheet'!F29</f>
        <v>207159.16</v>
      </c>
      <c r="E39" s="25">
        <v>2304.33</v>
      </c>
      <c r="F39" s="20">
        <v>1917</v>
      </c>
      <c r="G39" s="20">
        <v>110</v>
      </c>
      <c r="H39" s="23">
        <f t="shared" si="2"/>
        <v>5.738132498695879E-2</v>
      </c>
      <c r="I39" s="29">
        <f t="shared" si="13"/>
        <v>46278.93</v>
      </c>
      <c r="J39" s="24">
        <f t="shared" si="14"/>
        <v>106180.95</v>
      </c>
      <c r="K39" s="24">
        <f t="shared" si="3"/>
        <v>152459.88</v>
      </c>
      <c r="L39" s="30">
        <v>189289.3</v>
      </c>
      <c r="M39" s="30">
        <f t="shared" si="4"/>
        <v>189857.17</v>
      </c>
      <c r="N39" s="29">
        <f t="shared" si="15"/>
        <v>152459.88</v>
      </c>
      <c r="O39" s="29">
        <f t="shared" si="5"/>
        <v>457.38</v>
      </c>
      <c r="P39" s="29">
        <f t="shared" si="6"/>
        <v>152002.5</v>
      </c>
      <c r="Q39" s="30">
        <f t="shared" si="7"/>
        <v>23043.3</v>
      </c>
      <c r="R39" s="30">
        <v>0</v>
      </c>
      <c r="S39" s="29">
        <f t="shared" si="8"/>
        <v>0</v>
      </c>
      <c r="T39" s="24">
        <f t="shared" si="9"/>
        <v>152002.5</v>
      </c>
      <c r="U39" s="31">
        <f t="shared" si="10"/>
        <v>-55156.66</v>
      </c>
      <c r="V39" s="32">
        <f t="shared" si="16"/>
        <v>-23.936094222615687</v>
      </c>
      <c r="W39" s="32">
        <f t="shared" si="11"/>
        <v>87773.16</v>
      </c>
      <c r="X39" s="33">
        <v>64229.340000000004</v>
      </c>
      <c r="Y39" s="30">
        <f t="shared" si="12"/>
        <v>87773.16</v>
      </c>
    </row>
    <row r="40" spans="1:25" ht="14.45" x14ac:dyDescent="0.3">
      <c r="A40" s="27">
        <v>91</v>
      </c>
      <c r="B40" s="27">
        <v>1</v>
      </c>
      <c r="C40" s="28" t="s">
        <v>97</v>
      </c>
      <c r="D40" s="24">
        <f>'[1]FY13 9-16-13 to copy to sheet'!F30</f>
        <v>0</v>
      </c>
      <c r="E40" s="25">
        <v>888.99</v>
      </c>
      <c r="F40" s="20">
        <v>802</v>
      </c>
      <c r="G40" s="20">
        <v>38</v>
      </c>
      <c r="H40" s="23">
        <f t="shared" si="2"/>
        <v>4.738154613466334E-2</v>
      </c>
      <c r="I40" s="29">
        <f t="shared" si="13"/>
        <v>14742.6</v>
      </c>
      <c r="J40" s="24">
        <f t="shared" si="14"/>
        <v>0</v>
      </c>
      <c r="K40" s="24">
        <f t="shared" si="3"/>
        <v>14742.6</v>
      </c>
      <c r="L40" s="30">
        <v>0</v>
      </c>
      <c r="M40" s="30">
        <f t="shared" si="4"/>
        <v>0</v>
      </c>
      <c r="N40" s="29">
        <f t="shared" si="15"/>
        <v>0</v>
      </c>
      <c r="O40" s="29">
        <f t="shared" si="5"/>
        <v>0</v>
      </c>
      <c r="P40" s="29">
        <f t="shared" si="6"/>
        <v>0</v>
      </c>
      <c r="Q40" s="30">
        <f t="shared" si="7"/>
        <v>0</v>
      </c>
      <c r="R40" s="30">
        <v>0</v>
      </c>
      <c r="S40" s="29">
        <f t="shared" si="8"/>
        <v>0</v>
      </c>
      <c r="T40" s="24">
        <f t="shared" si="9"/>
        <v>0</v>
      </c>
      <c r="U40" s="31">
        <f t="shared" si="10"/>
        <v>0</v>
      </c>
      <c r="V40" s="32">
        <f t="shared" si="16"/>
        <v>0</v>
      </c>
      <c r="W40" s="32">
        <f t="shared" si="11"/>
        <v>0</v>
      </c>
      <c r="X40" s="33">
        <v>0</v>
      </c>
      <c r="Y40" s="30">
        <f t="shared" si="12"/>
        <v>0</v>
      </c>
    </row>
    <row r="41" spans="1:25" ht="14.45" x14ac:dyDescent="0.3">
      <c r="A41" s="27">
        <v>93</v>
      </c>
      <c r="B41" s="27">
        <v>1</v>
      </c>
      <c r="C41" s="28" t="s">
        <v>98</v>
      </c>
      <c r="D41" s="24">
        <f>'[1]FY13 9-16-13 to copy to sheet'!F31</f>
        <v>0</v>
      </c>
      <c r="E41" s="25">
        <v>506.22</v>
      </c>
      <c r="F41" s="20">
        <v>486</v>
      </c>
      <c r="G41" s="20">
        <v>96</v>
      </c>
      <c r="H41" s="23">
        <f t="shared" si="2"/>
        <v>0.19753086419753085</v>
      </c>
      <c r="I41" s="29">
        <f t="shared" si="13"/>
        <v>34997.93</v>
      </c>
      <c r="J41" s="24">
        <f t="shared" si="14"/>
        <v>0</v>
      </c>
      <c r="K41" s="24">
        <f t="shared" si="3"/>
        <v>34997.93</v>
      </c>
      <c r="L41" s="30">
        <v>0</v>
      </c>
      <c r="M41" s="30">
        <f t="shared" si="4"/>
        <v>0</v>
      </c>
      <c r="N41" s="29">
        <f t="shared" si="15"/>
        <v>0</v>
      </c>
      <c r="O41" s="29">
        <f t="shared" si="5"/>
        <v>0</v>
      </c>
      <c r="P41" s="29">
        <f t="shared" si="6"/>
        <v>0</v>
      </c>
      <c r="Q41" s="30">
        <f t="shared" si="7"/>
        <v>0</v>
      </c>
      <c r="R41" s="30">
        <v>0</v>
      </c>
      <c r="S41" s="29">
        <f t="shared" si="8"/>
        <v>0</v>
      </c>
      <c r="T41" s="24">
        <f t="shared" si="9"/>
        <v>0</v>
      </c>
      <c r="U41" s="31">
        <f t="shared" si="10"/>
        <v>0</v>
      </c>
      <c r="V41" s="32">
        <f t="shared" si="16"/>
        <v>0</v>
      </c>
      <c r="W41" s="32">
        <f t="shared" si="11"/>
        <v>0</v>
      </c>
      <c r="X41" s="33">
        <v>0</v>
      </c>
      <c r="Y41" s="30">
        <f t="shared" si="12"/>
        <v>0</v>
      </c>
    </row>
    <row r="42" spans="1:25" ht="14.45" x14ac:dyDescent="0.3">
      <c r="A42" s="27">
        <v>94</v>
      </c>
      <c r="B42" s="27">
        <v>1</v>
      </c>
      <c r="C42" s="28" t="s">
        <v>99</v>
      </c>
      <c r="D42" s="24">
        <f>'[1]FY13 9-16-13 to copy to sheet'!F32</f>
        <v>0</v>
      </c>
      <c r="E42" s="25">
        <v>3023.4</v>
      </c>
      <c r="F42" s="20">
        <v>2452</v>
      </c>
      <c r="G42" s="20">
        <v>570</v>
      </c>
      <c r="H42" s="23">
        <f t="shared" si="2"/>
        <v>0.23246329526916804</v>
      </c>
      <c r="I42" s="29">
        <f t="shared" si="13"/>
        <v>245990.33</v>
      </c>
      <c r="J42" s="24">
        <f t="shared" si="14"/>
        <v>0</v>
      </c>
      <c r="K42" s="24">
        <f t="shared" si="3"/>
        <v>245990.33</v>
      </c>
      <c r="L42" s="30">
        <v>0</v>
      </c>
      <c r="M42" s="30">
        <f t="shared" si="4"/>
        <v>0</v>
      </c>
      <c r="N42" s="29">
        <f t="shared" si="15"/>
        <v>0</v>
      </c>
      <c r="O42" s="29">
        <f t="shared" si="5"/>
        <v>0</v>
      </c>
      <c r="P42" s="29">
        <f t="shared" si="6"/>
        <v>0</v>
      </c>
      <c r="Q42" s="30">
        <f t="shared" si="7"/>
        <v>0</v>
      </c>
      <c r="R42" s="30">
        <v>0</v>
      </c>
      <c r="S42" s="29">
        <f t="shared" si="8"/>
        <v>0</v>
      </c>
      <c r="T42" s="24">
        <f t="shared" si="9"/>
        <v>0</v>
      </c>
      <c r="U42" s="31">
        <f t="shared" si="10"/>
        <v>0</v>
      </c>
      <c r="V42" s="32">
        <f t="shared" si="16"/>
        <v>0</v>
      </c>
      <c r="W42" s="32">
        <f t="shared" si="11"/>
        <v>0</v>
      </c>
      <c r="X42" s="33">
        <v>0</v>
      </c>
      <c r="Y42" s="30">
        <f t="shared" si="12"/>
        <v>0</v>
      </c>
    </row>
    <row r="43" spans="1:25" ht="14.45" x14ac:dyDescent="0.3">
      <c r="A43" s="27">
        <v>95</v>
      </c>
      <c r="B43" s="27">
        <v>1</v>
      </c>
      <c r="C43" s="28" t="s">
        <v>100</v>
      </c>
      <c r="D43" s="24">
        <f>'[1]FY13 9-16-13 to copy to sheet'!F33</f>
        <v>0</v>
      </c>
      <c r="E43" s="25">
        <v>372.16</v>
      </c>
      <c r="F43" s="20">
        <v>333</v>
      </c>
      <c r="G43" s="20">
        <v>19</v>
      </c>
      <c r="H43" s="23">
        <f t="shared" si="2"/>
        <v>5.7057057057057055E-2</v>
      </c>
      <c r="I43" s="29">
        <f t="shared" si="13"/>
        <v>7432.02</v>
      </c>
      <c r="J43" s="24">
        <f t="shared" si="14"/>
        <v>0</v>
      </c>
      <c r="K43" s="24">
        <f t="shared" si="3"/>
        <v>7432.02</v>
      </c>
      <c r="L43" s="30">
        <v>0</v>
      </c>
      <c r="M43" s="30">
        <f t="shared" si="4"/>
        <v>0</v>
      </c>
      <c r="N43" s="29">
        <f t="shared" si="15"/>
        <v>0</v>
      </c>
      <c r="O43" s="29">
        <f t="shared" si="5"/>
        <v>0</v>
      </c>
      <c r="P43" s="29">
        <f t="shared" si="6"/>
        <v>0</v>
      </c>
      <c r="Q43" s="30">
        <f t="shared" si="7"/>
        <v>0</v>
      </c>
      <c r="R43" s="30">
        <v>0</v>
      </c>
      <c r="S43" s="29">
        <f t="shared" si="8"/>
        <v>0</v>
      </c>
      <c r="T43" s="24">
        <f t="shared" si="9"/>
        <v>0</v>
      </c>
      <c r="U43" s="31">
        <f t="shared" si="10"/>
        <v>0</v>
      </c>
      <c r="V43" s="32">
        <f t="shared" si="16"/>
        <v>0</v>
      </c>
      <c r="W43" s="32">
        <f t="shared" si="11"/>
        <v>0</v>
      </c>
      <c r="X43" s="33">
        <v>0</v>
      </c>
      <c r="Y43" s="30">
        <f t="shared" si="12"/>
        <v>0</v>
      </c>
    </row>
    <row r="44" spans="1:25" ht="14.45" x14ac:dyDescent="0.3">
      <c r="A44" s="27">
        <v>97</v>
      </c>
      <c r="B44" s="27">
        <v>1</v>
      </c>
      <c r="C44" s="28" t="s">
        <v>101</v>
      </c>
      <c r="D44" s="24">
        <f>'[1]FY13 9-16-13 to copy to sheet'!F34</f>
        <v>0</v>
      </c>
      <c r="E44" s="25">
        <v>740.56</v>
      </c>
      <c r="F44" s="20">
        <v>646</v>
      </c>
      <c r="G44" s="20">
        <v>26</v>
      </c>
      <c r="H44" s="23">
        <f t="shared" si="2"/>
        <v>4.0247678018575851E-2</v>
      </c>
      <c r="I44" s="29">
        <f t="shared" si="13"/>
        <v>10432.040000000001</v>
      </c>
      <c r="J44" s="24">
        <f t="shared" si="14"/>
        <v>0</v>
      </c>
      <c r="K44" s="24">
        <f t="shared" si="3"/>
        <v>10432.040000000001</v>
      </c>
      <c r="L44" s="30">
        <v>0</v>
      </c>
      <c r="M44" s="30">
        <f t="shared" si="4"/>
        <v>0</v>
      </c>
      <c r="N44" s="29">
        <f t="shared" si="15"/>
        <v>0</v>
      </c>
      <c r="O44" s="29">
        <f t="shared" si="5"/>
        <v>0</v>
      </c>
      <c r="P44" s="29">
        <f t="shared" si="6"/>
        <v>0</v>
      </c>
      <c r="Q44" s="30">
        <f t="shared" si="7"/>
        <v>0</v>
      </c>
      <c r="R44" s="30">
        <v>0</v>
      </c>
      <c r="S44" s="29">
        <f t="shared" si="8"/>
        <v>0</v>
      </c>
      <c r="T44" s="24">
        <f t="shared" si="9"/>
        <v>0</v>
      </c>
      <c r="U44" s="31">
        <f t="shared" si="10"/>
        <v>0</v>
      </c>
      <c r="V44" s="32">
        <f t="shared" si="16"/>
        <v>0</v>
      </c>
      <c r="W44" s="32">
        <f t="shared" si="11"/>
        <v>0</v>
      </c>
      <c r="X44" s="33">
        <v>0</v>
      </c>
      <c r="Y44" s="30">
        <f t="shared" si="12"/>
        <v>0</v>
      </c>
    </row>
    <row r="45" spans="1:25" ht="14.45" x14ac:dyDescent="0.3">
      <c r="A45" s="27">
        <v>99</v>
      </c>
      <c r="B45" s="27">
        <v>1</v>
      </c>
      <c r="C45" s="28" t="s">
        <v>102</v>
      </c>
      <c r="D45" s="24">
        <f>'[1]FY13 9-16-13 to copy to sheet'!F35</f>
        <v>0</v>
      </c>
      <c r="E45" s="25">
        <v>1420.66</v>
      </c>
      <c r="F45" s="20">
        <v>1242</v>
      </c>
      <c r="G45" s="20">
        <v>46</v>
      </c>
      <c r="H45" s="23">
        <f t="shared" si="2"/>
        <v>3.7037037037037035E-2</v>
      </c>
      <c r="I45" s="29">
        <f t="shared" si="13"/>
        <v>18415.96</v>
      </c>
      <c r="J45" s="24">
        <f t="shared" si="14"/>
        <v>0</v>
      </c>
      <c r="K45" s="24">
        <f t="shared" si="3"/>
        <v>18415.96</v>
      </c>
      <c r="L45" s="30">
        <v>0</v>
      </c>
      <c r="M45" s="30">
        <f t="shared" si="4"/>
        <v>0</v>
      </c>
      <c r="N45" s="29">
        <f t="shared" si="15"/>
        <v>0</v>
      </c>
      <c r="O45" s="29">
        <f t="shared" si="5"/>
        <v>0</v>
      </c>
      <c r="P45" s="29">
        <f t="shared" si="6"/>
        <v>0</v>
      </c>
      <c r="Q45" s="30">
        <f t="shared" si="7"/>
        <v>0</v>
      </c>
      <c r="R45" s="30">
        <v>0</v>
      </c>
      <c r="S45" s="29">
        <f t="shared" si="8"/>
        <v>0</v>
      </c>
      <c r="T45" s="24">
        <f t="shared" si="9"/>
        <v>0</v>
      </c>
      <c r="U45" s="31">
        <f t="shared" si="10"/>
        <v>0</v>
      </c>
      <c r="V45" s="32">
        <f t="shared" si="16"/>
        <v>0</v>
      </c>
      <c r="W45" s="32">
        <f t="shared" si="11"/>
        <v>0</v>
      </c>
      <c r="X45" s="33">
        <v>0</v>
      </c>
      <c r="Y45" s="30">
        <f t="shared" si="12"/>
        <v>0</v>
      </c>
    </row>
    <row r="46" spans="1:25" ht="14.45" x14ac:dyDescent="0.3">
      <c r="A46" s="27">
        <v>100</v>
      </c>
      <c r="B46" s="27">
        <v>1</v>
      </c>
      <c r="C46" s="28" t="s">
        <v>103</v>
      </c>
      <c r="D46" s="24">
        <f>'[1]FY13 9-16-13 to copy to sheet'!F36</f>
        <v>0</v>
      </c>
      <c r="E46" s="25">
        <v>378.65</v>
      </c>
      <c r="F46" s="20">
        <v>323</v>
      </c>
      <c r="G46" s="20">
        <v>6</v>
      </c>
      <c r="H46" s="23">
        <f t="shared" si="2"/>
        <v>1.8575851393188854E-2</v>
      </c>
      <c r="I46" s="29">
        <f t="shared" si="13"/>
        <v>2461.81</v>
      </c>
      <c r="J46" s="24">
        <f t="shared" si="14"/>
        <v>0</v>
      </c>
      <c r="K46" s="24">
        <f t="shared" si="3"/>
        <v>2461.81</v>
      </c>
      <c r="L46" s="30">
        <v>0</v>
      </c>
      <c r="M46" s="30">
        <f t="shared" si="4"/>
        <v>0</v>
      </c>
      <c r="N46" s="29">
        <f t="shared" si="15"/>
        <v>0</v>
      </c>
      <c r="O46" s="29">
        <f t="shared" si="5"/>
        <v>0</v>
      </c>
      <c r="P46" s="29">
        <f t="shared" si="6"/>
        <v>0</v>
      </c>
      <c r="Q46" s="30">
        <f t="shared" si="7"/>
        <v>0</v>
      </c>
      <c r="R46" s="30">
        <v>0</v>
      </c>
      <c r="S46" s="29">
        <f t="shared" si="8"/>
        <v>0</v>
      </c>
      <c r="T46" s="24">
        <f t="shared" si="9"/>
        <v>0</v>
      </c>
      <c r="U46" s="31">
        <f t="shared" si="10"/>
        <v>0</v>
      </c>
      <c r="V46" s="32">
        <f t="shared" si="16"/>
        <v>0</v>
      </c>
      <c r="W46" s="32">
        <f t="shared" si="11"/>
        <v>0</v>
      </c>
      <c r="X46" s="33">
        <v>0</v>
      </c>
      <c r="Y46" s="30">
        <f t="shared" si="12"/>
        <v>0</v>
      </c>
    </row>
    <row r="47" spans="1:25" ht="14.45" x14ac:dyDescent="0.3">
      <c r="A47" s="27">
        <v>108</v>
      </c>
      <c r="B47" s="27">
        <v>1</v>
      </c>
      <c r="C47" s="28" t="s">
        <v>104</v>
      </c>
      <c r="D47" s="24">
        <f>'[1]FY13 9-16-13 to copy to sheet'!F37</f>
        <v>0</v>
      </c>
      <c r="E47" s="25">
        <v>1179.05</v>
      </c>
      <c r="F47" s="20">
        <v>1021</v>
      </c>
      <c r="G47" s="20">
        <v>95</v>
      </c>
      <c r="H47" s="23">
        <f t="shared" si="2"/>
        <v>9.3046033300685602E-2</v>
      </c>
      <c r="I47" s="29">
        <f t="shared" si="13"/>
        <v>38397.07</v>
      </c>
      <c r="J47" s="24">
        <f t="shared" si="14"/>
        <v>0</v>
      </c>
      <c r="K47" s="24">
        <f t="shared" si="3"/>
        <v>38397.07</v>
      </c>
      <c r="L47" s="30">
        <v>0</v>
      </c>
      <c r="M47" s="30">
        <f t="shared" si="4"/>
        <v>0</v>
      </c>
      <c r="N47" s="29">
        <f t="shared" si="15"/>
        <v>0</v>
      </c>
      <c r="O47" s="29">
        <f t="shared" si="5"/>
        <v>0</v>
      </c>
      <c r="P47" s="29">
        <f t="shared" si="6"/>
        <v>0</v>
      </c>
      <c r="Q47" s="30">
        <f t="shared" si="7"/>
        <v>0</v>
      </c>
      <c r="R47" s="30">
        <v>0</v>
      </c>
      <c r="S47" s="29">
        <f t="shared" si="8"/>
        <v>0</v>
      </c>
      <c r="T47" s="24">
        <f t="shared" si="9"/>
        <v>0</v>
      </c>
      <c r="U47" s="31">
        <f t="shared" si="10"/>
        <v>0</v>
      </c>
      <c r="V47" s="32">
        <f t="shared" si="16"/>
        <v>0</v>
      </c>
      <c r="W47" s="32">
        <f t="shared" si="11"/>
        <v>0</v>
      </c>
      <c r="X47" s="33">
        <v>0</v>
      </c>
      <c r="Y47" s="30">
        <f t="shared" si="12"/>
        <v>0</v>
      </c>
    </row>
    <row r="48" spans="1:25" ht="14.45" x14ac:dyDescent="0.3">
      <c r="A48" s="27">
        <v>110</v>
      </c>
      <c r="B48" s="27">
        <v>1</v>
      </c>
      <c r="C48" s="28" t="s">
        <v>105</v>
      </c>
      <c r="D48" s="24">
        <f>'[1]FY13 9-16-13 to copy to sheet'!F38</f>
        <v>0</v>
      </c>
      <c r="E48" s="25">
        <v>4266.8</v>
      </c>
      <c r="F48" s="20">
        <v>3604</v>
      </c>
      <c r="G48" s="20">
        <v>224</v>
      </c>
      <c r="H48" s="23">
        <f t="shared" si="2"/>
        <v>6.2153163152053277E-2</v>
      </c>
      <c r="I48" s="29">
        <f t="shared" si="13"/>
        <v>92818.29</v>
      </c>
      <c r="J48" s="24">
        <f t="shared" si="14"/>
        <v>0</v>
      </c>
      <c r="K48" s="24">
        <f t="shared" si="3"/>
        <v>92818.29</v>
      </c>
      <c r="L48" s="30">
        <v>0</v>
      </c>
      <c r="M48" s="30">
        <f t="shared" si="4"/>
        <v>0</v>
      </c>
      <c r="N48" s="29">
        <f t="shared" si="15"/>
        <v>0</v>
      </c>
      <c r="O48" s="29">
        <f t="shared" si="5"/>
        <v>0</v>
      </c>
      <c r="P48" s="29">
        <f t="shared" si="6"/>
        <v>0</v>
      </c>
      <c r="Q48" s="30">
        <f t="shared" si="7"/>
        <v>0</v>
      </c>
      <c r="R48" s="30">
        <v>0</v>
      </c>
      <c r="S48" s="29">
        <f t="shared" si="8"/>
        <v>0</v>
      </c>
      <c r="T48" s="24">
        <f t="shared" si="9"/>
        <v>0</v>
      </c>
      <c r="U48" s="31">
        <f t="shared" si="10"/>
        <v>0</v>
      </c>
      <c r="V48" s="32">
        <f t="shared" si="16"/>
        <v>0</v>
      </c>
      <c r="W48" s="32">
        <f t="shared" si="11"/>
        <v>0</v>
      </c>
      <c r="X48" s="33">
        <v>0</v>
      </c>
      <c r="Y48" s="30">
        <f t="shared" si="12"/>
        <v>0</v>
      </c>
    </row>
    <row r="49" spans="1:25" ht="14.45" x14ac:dyDescent="0.3">
      <c r="A49" s="27">
        <v>111</v>
      </c>
      <c r="B49" s="27">
        <v>1</v>
      </c>
      <c r="C49" s="28" t="s">
        <v>106</v>
      </c>
      <c r="D49" s="24">
        <f>'[1]FY13 9-16-13 to copy to sheet'!F39</f>
        <v>0</v>
      </c>
      <c r="E49" s="25">
        <v>1931.72</v>
      </c>
      <c r="F49" s="20">
        <v>1610</v>
      </c>
      <c r="G49" s="20">
        <v>79</v>
      </c>
      <c r="H49" s="23">
        <f t="shared" si="2"/>
        <v>4.9068322981366458E-2</v>
      </c>
      <c r="I49" s="29">
        <f t="shared" si="13"/>
        <v>33175.19</v>
      </c>
      <c r="J49" s="24">
        <f t="shared" si="14"/>
        <v>0</v>
      </c>
      <c r="K49" s="24">
        <f t="shared" si="3"/>
        <v>33175.19</v>
      </c>
      <c r="L49" s="30">
        <v>0</v>
      </c>
      <c r="M49" s="30">
        <f t="shared" si="4"/>
        <v>0</v>
      </c>
      <c r="N49" s="29">
        <f t="shared" si="15"/>
        <v>0</v>
      </c>
      <c r="O49" s="29">
        <f t="shared" si="5"/>
        <v>0</v>
      </c>
      <c r="P49" s="29">
        <f t="shared" si="6"/>
        <v>0</v>
      </c>
      <c r="Q49" s="30">
        <f t="shared" si="7"/>
        <v>0</v>
      </c>
      <c r="R49" s="30">
        <v>0</v>
      </c>
      <c r="S49" s="29">
        <f t="shared" si="8"/>
        <v>0</v>
      </c>
      <c r="T49" s="24">
        <f t="shared" si="9"/>
        <v>0</v>
      </c>
      <c r="U49" s="31">
        <f t="shared" si="10"/>
        <v>0</v>
      </c>
      <c r="V49" s="32">
        <f t="shared" si="16"/>
        <v>0</v>
      </c>
      <c r="W49" s="32">
        <f t="shared" si="11"/>
        <v>0</v>
      </c>
      <c r="X49" s="33">
        <v>0</v>
      </c>
      <c r="Y49" s="30">
        <f t="shared" si="12"/>
        <v>0</v>
      </c>
    </row>
    <row r="50" spans="1:25" ht="14.45" x14ac:dyDescent="0.3">
      <c r="A50" s="27">
        <v>112</v>
      </c>
      <c r="B50" s="27">
        <v>1</v>
      </c>
      <c r="C50" s="28" t="s">
        <v>107</v>
      </c>
      <c r="D50" s="24">
        <f>'[1]FY13 9-16-13 to copy to sheet'!F40</f>
        <v>0</v>
      </c>
      <c r="E50" s="25">
        <v>10461.219999999999</v>
      </c>
      <c r="F50" s="20">
        <v>9323</v>
      </c>
      <c r="G50" s="20">
        <v>1515</v>
      </c>
      <c r="H50" s="23">
        <f t="shared" si="2"/>
        <v>0.16250134077013836</v>
      </c>
      <c r="I50" s="29">
        <f t="shared" si="13"/>
        <v>594986.80000000005</v>
      </c>
      <c r="J50" s="24">
        <f t="shared" si="14"/>
        <v>0</v>
      </c>
      <c r="K50" s="24">
        <f t="shared" si="3"/>
        <v>594986.80000000005</v>
      </c>
      <c r="L50" s="30">
        <v>0</v>
      </c>
      <c r="M50" s="30">
        <f t="shared" si="4"/>
        <v>0</v>
      </c>
      <c r="N50" s="29">
        <f t="shared" si="15"/>
        <v>0</v>
      </c>
      <c r="O50" s="29">
        <f t="shared" si="5"/>
        <v>0</v>
      </c>
      <c r="P50" s="29">
        <f t="shared" si="6"/>
        <v>0</v>
      </c>
      <c r="Q50" s="30">
        <f t="shared" si="7"/>
        <v>0</v>
      </c>
      <c r="R50" s="30">
        <v>0</v>
      </c>
      <c r="S50" s="29">
        <f t="shared" si="8"/>
        <v>0</v>
      </c>
      <c r="T50" s="24">
        <f t="shared" si="9"/>
        <v>0</v>
      </c>
      <c r="U50" s="31">
        <f t="shared" si="10"/>
        <v>0</v>
      </c>
      <c r="V50" s="32">
        <f t="shared" si="16"/>
        <v>0</v>
      </c>
      <c r="W50" s="32">
        <f t="shared" si="11"/>
        <v>0</v>
      </c>
      <c r="X50" s="33">
        <v>0</v>
      </c>
      <c r="Y50" s="30">
        <f t="shared" si="12"/>
        <v>0</v>
      </c>
    </row>
    <row r="51" spans="1:25" ht="14.45" x14ac:dyDescent="0.3">
      <c r="A51" s="27">
        <v>113</v>
      </c>
      <c r="B51" s="27">
        <v>1</v>
      </c>
      <c r="C51" s="28" t="s">
        <v>108</v>
      </c>
      <c r="D51" s="24">
        <f>'[1]FY13 9-16-13 to copy to sheet'!F41</f>
        <v>0</v>
      </c>
      <c r="E51" s="25">
        <v>899.95</v>
      </c>
      <c r="F51" s="20">
        <v>794</v>
      </c>
      <c r="G51" s="20">
        <v>182</v>
      </c>
      <c r="H51" s="23">
        <f t="shared" si="2"/>
        <v>0.22921914357682618</v>
      </c>
      <c r="I51" s="29">
        <f t="shared" si="13"/>
        <v>72200.02</v>
      </c>
      <c r="J51" s="24">
        <f t="shared" si="14"/>
        <v>0</v>
      </c>
      <c r="K51" s="24">
        <f t="shared" si="3"/>
        <v>72200.02</v>
      </c>
      <c r="L51" s="30">
        <v>0</v>
      </c>
      <c r="M51" s="30">
        <f t="shared" si="4"/>
        <v>0</v>
      </c>
      <c r="N51" s="29">
        <f t="shared" si="15"/>
        <v>0</v>
      </c>
      <c r="O51" s="29">
        <f t="shared" si="5"/>
        <v>0</v>
      </c>
      <c r="P51" s="29">
        <f t="shared" si="6"/>
        <v>0</v>
      </c>
      <c r="Q51" s="30">
        <f t="shared" si="7"/>
        <v>0</v>
      </c>
      <c r="R51" s="30">
        <v>0</v>
      </c>
      <c r="S51" s="29">
        <f t="shared" si="8"/>
        <v>0</v>
      </c>
      <c r="T51" s="24">
        <f t="shared" si="9"/>
        <v>0</v>
      </c>
      <c r="U51" s="31">
        <f t="shared" si="10"/>
        <v>0</v>
      </c>
      <c r="V51" s="32">
        <f t="shared" si="16"/>
        <v>0</v>
      </c>
      <c r="W51" s="32">
        <f t="shared" si="11"/>
        <v>0</v>
      </c>
      <c r="X51" s="33">
        <v>0</v>
      </c>
      <c r="Y51" s="30">
        <f t="shared" si="12"/>
        <v>0</v>
      </c>
    </row>
    <row r="52" spans="1:25" ht="14.45" x14ac:dyDescent="0.3">
      <c r="A52" s="27">
        <v>115</v>
      </c>
      <c r="B52" s="27">
        <v>1</v>
      </c>
      <c r="C52" s="28" t="s">
        <v>109</v>
      </c>
      <c r="D52" s="24">
        <f>'[1]FY13 9-16-13 to copy to sheet'!F42</f>
        <v>0</v>
      </c>
      <c r="E52" s="25">
        <v>1269.9100000000001</v>
      </c>
      <c r="F52" s="20">
        <v>1131</v>
      </c>
      <c r="G52" s="20">
        <v>1048</v>
      </c>
      <c r="H52" s="23">
        <f t="shared" si="2"/>
        <v>0.92661361626878869</v>
      </c>
      <c r="I52" s="29">
        <f t="shared" si="13"/>
        <v>411850.56</v>
      </c>
      <c r="J52" s="24">
        <f t="shared" si="14"/>
        <v>0</v>
      </c>
      <c r="K52" s="24">
        <f t="shared" si="3"/>
        <v>411850.56</v>
      </c>
      <c r="L52" s="30">
        <v>0</v>
      </c>
      <c r="M52" s="30">
        <f t="shared" si="4"/>
        <v>0</v>
      </c>
      <c r="N52" s="29">
        <f t="shared" si="15"/>
        <v>0</v>
      </c>
      <c r="O52" s="29">
        <f t="shared" si="5"/>
        <v>0</v>
      </c>
      <c r="P52" s="29">
        <f t="shared" si="6"/>
        <v>0</v>
      </c>
      <c r="Q52" s="30">
        <f t="shared" si="7"/>
        <v>0</v>
      </c>
      <c r="R52" s="30">
        <v>0</v>
      </c>
      <c r="S52" s="29">
        <f t="shared" si="8"/>
        <v>0</v>
      </c>
      <c r="T52" s="24">
        <f t="shared" si="9"/>
        <v>0</v>
      </c>
      <c r="U52" s="31">
        <f t="shared" si="10"/>
        <v>0</v>
      </c>
      <c r="V52" s="32">
        <f t="shared" si="16"/>
        <v>0</v>
      </c>
      <c r="W52" s="32">
        <f t="shared" si="11"/>
        <v>0</v>
      </c>
      <c r="X52" s="33">
        <v>0</v>
      </c>
      <c r="Y52" s="30">
        <f t="shared" si="12"/>
        <v>0</v>
      </c>
    </row>
    <row r="53" spans="1:25" ht="14.45" x14ac:dyDescent="0.3">
      <c r="A53" s="27">
        <v>116</v>
      </c>
      <c r="B53" s="27">
        <v>1</v>
      </c>
      <c r="C53" s="28" t="s">
        <v>110</v>
      </c>
      <c r="D53" s="24">
        <f>'[1]FY13 9-16-13 to copy to sheet'!F43</f>
        <v>0</v>
      </c>
      <c r="E53" s="25">
        <v>1015.71</v>
      </c>
      <c r="F53" s="20">
        <v>872</v>
      </c>
      <c r="G53" s="20">
        <v>11</v>
      </c>
      <c r="H53" s="23">
        <f t="shared" si="2"/>
        <v>1.261467889908257E-2</v>
      </c>
      <c r="I53" s="29">
        <f t="shared" si="13"/>
        <v>4484.5</v>
      </c>
      <c r="J53" s="24">
        <f t="shared" si="14"/>
        <v>0</v>
      </c>
      <c r="K53" s="24">
        <f t="shared" si="3"/>
        <v>4484.5</v>
      </c>
      <c r="L53" s="30">
        <v>0</v>
      </c>
      <c r="M53" s="30">
        <f t="shared" si="4"/>
        <v>0</v>
      </c>
      <c r="N53" s="29">
        <f t="shared" si="15"/>
        <v>0</v>
      </c>
      <c r="O53" s="29">
        <f t="shared" si="5"/>
        <v>0</v>
      </c>
      <c r="P53" s="29">
        <f t="shared" si="6"/>
        <v>0</v>
      </c>
      <c r="Q53" s="30">
        <f t="shared" si="7"/>
        <v>0</v>
      </c>
      <c r="R53" s="30">
        <v>0</v>
      </c>
      <c r="S53" s="29">
        <f t="shared" si="8"/>
        <v>0</v>
      </c>
      <c r="T53" s="24">
        <f t="shared" si="9"/>
        <v>0</v>
      </c>
      <c r="U53" s="31">
        <f t="shared" si="10"/>
        <v>0</v>
      </c>
      <c r="V53" s="32">
        <f t="shared" si="16"/>
        <v>0</v>
      </c>
      <c r="W53" s="32">
        <f t="shared" si="11"/>
        <v>0</v>
      </c>
      <c r="X53" s="33">
        <v>0</v>
      </c>
      <c r="Y53" s="30">
        <f t="shared" si="12"/>
        <v>0</v>
      </c>
    </row>
    <row r="54" spans="1:25" ht="14.45" x14ac:dyDescent="0.3">
      <c r="A54" s="27">
        <v>118</v>
      </c>
      <c r="B54" s="27">
        <v>1</v>
      </c>
      <c r="C54" s="28" t="s">
        <v>111</v>
      </c>
      <c r="D54" s="24">
        <f>'[1]FY13 9-16-13 to copy to sheet'!F44</f>
        <v>0</v>
      </c>
      <c r="E54" s="25">
        <v>400.07</v>
      </c>
      <c r="F54" s="20">
        <v>351</v>
      </c>
      <c r="G54" s="20">
        <v>93</v>
      </c>
      <c r="H54" s="23">
        <f t="shared" si="2"/>
        <v>0.26495726495726496</v>
      </c>
      <c r="I54" s="29">
        <f t="shared" si="13"/>
        <v>37100.51</v>
      </c>
      <c r="J54" s="24">
        <f t="shared" si="14"/>
        <v>0</v>
      </c>
      <c r="K54" s="24">
        <f t="shared" si="3"/>
        <v>37100.51</v>
      </c>
      <c r="L54" s="30">
        <v>0</v>
      </c>
      <c r="M54" s="30">
        <f t="shared" si="4"/>
        <v>0</v>
      </c>
      <c r="N54" s="29">
        <f t="shared" si="15"/>
        <v>0</v>
      </c>
      <c r="O54" s="29">
        <f t="shared" si="5"/>
        <v>0</v>
      </c>
      <c r="P54" s="29">
        <f t="shared" si="6"/>
        <v>0</v>
      </c>
      <c r="Q54" s="30">
        <f t="shared" si="7"/>
        <v>0</v>
      </c>
      <c r="R54" s="30">
        <v>0</v>
      </c>
      <c r="S54" s="29">
        <f t="shared" si="8"/>
        <v>0</v>
      </c>
      <c r="T54" s="24">
        <f t="shared" si="9"/>
        <v>0</v>
      </c>
      <c r="U54" s="31">
        <f t="shared" si="10"/>
        <v>0</v>
      </c>
      <c r="V54" s="32">
        <f t="shared" si="16"/>
        <v>0</v>
      </c>
      <c r="W54" s="32">
        <f t="shared" si="11"/>
        <v>0</v>
      </c>
      <c r="X54" s="33">
        <v>0</v>
      </c>
      <c r="Y54" s="30">
        <f t="shared" si="12"/>
        <v>0</v>
      </c>
    </row>
    <row r="55" spans="1:25" ht="14.45" x14ac:dyDescent="0.3">
      <c r="A55" s="34">
        <v>129</v>
      </c>
      <c r="B55" s="34">
        <v>1</v>
      </c>
      <c r="C55" s="1" t="s">
        <v>112</v>
      </c>
      <c r="D55" s="24">
        <f>'[1]FY13 9-16-13 to copy to sheet'!F45</f>
        <v>150173.44</v>
      </c>
      <c r="E55" s="25">
        <v>1648.87</v>
      </c>
      <c r="F55" s="20">
        <v>1327</v>
      </c>
      <c r="G55" s="20">
        <v>182</v>
      </c>
      <c r="H55" s="23">
        <f t="shared" si="2"/>
        <v>0.13715146948003015</v>
      </c>
      <c r="I55" s="29">
        <f t="shared" si="13"/>
        <v>79150.73</v>
      </c>
      <c r="J55" s="24">
        <f t="shared" si="14"/>
        <v>46874.99</v>
      </c>
      <c r="K55" s="24">
        <f t="shared" si="3"/>
        <v>126025.72</v>
      </c>
      <c r="L55" s="30">
        <v>143068</v>
      </c>
      <c r="M55" s="30">
        <f t="shared" si="4"/>
        <v>143497.20000000001</v>
      </c>
      <c r="N55" s="29">
        <f t="shared" si="15"/>
        <v>126025.72</v>
      </c>
      <c r="O55" s="29">
        <f t="shared" si="5"/>
        <v>378.08</v>
      </c>
      <c r="P55" s="29">
        <f t="shared" si="6"/>
        <v>125647.64</v>
      </c>
      <c r="Q55" s="30">
        <f t="shared" si="7"/>
        <v>16488.699999999997</v>
      </c>
      <c r="R55" s="30">
        <v>0</v>
      </c>
      <c r="S55" s="29">
        <f t="shared" si="8"/>
        <v>0</v>
      </c>
      <c r="T55" s="24">
        <f t="shared" si="9"/>
        <v>125647.64</v>
      </c>
      <c r="U55" s="31">
        <f t="shared" si="10"/>
        <v>-24525.800000000003</v>
      </c>
      <c r="V55" s="32">
        <f t="shared" si="16"/>
        <v>-14.874307859321842</v>
      </c>
      <c r="W55" s="32">
        <f t="shared" si="11"/>
        <v>77690.98</v>
      </c>
      <c r="X55" s="33">
        <v>47956.66</v>
      </c>
      <c r="Y55" s="30">
        <f t="shared" si="12"/>
        <v>77690.98</v>
      </c>
    </row>
    <row r="56" spans="1:25" ht="14.45" x14ac:dyDescent="0.3">
      <c r="A56" s="27">
        <v>138</v>
      </c>
      <c r="B56" s="27">
        <v>1</v>
      </c>
      <c r="C56" s="28" t="s">
        <v>113</v>
      </c>
      <c r="D56" s="24">
        <f>'[1]FY13 9-16-13 to copy to sheet'!F46</f>
        <v>0</v>
      </c>
      <c r="E56" s="25">
        <v>3506.32</v>
      </c>
      <c r="F56" s="20">
        <v>3201</v>
      </c>
      <c r="G56" s="20">
        <v>171</v>
      </c>
      <c r="H56" s="23">
        <f t="shared" si="2"/>
        <v>5.3420805998125584E-2</v>
      </c>
      <c r="I56" s="29">
        <f t="shared" si="13"/>
        <v>65558.649999999994</v>
      </c>
      <c r="J56" s="24">
        <f t="shared" si="14"/>
        <v>0</v>
      </c>
      <c r="K56" s="24">
        <f t="shared" si="3"/>
        <v>65558.649999999994</v>
      </c>
      <c r="L56" s="30">
        <v>0</v>
      </c>
      <c r="M56" s="30">
        <f t="shared" si="4"/>
        <v>0</v>
      </c>
      <c r="N56" s="29">
        <f t="shared" si="15"/>
        <v>0</v>
      </c>
      <c r="O56" s="29">
        <f t="shared" si="5"/>
        <v>0</v>
      </c>
      <c r="P56" s="29">
        <f t="shared" si="6"/>
        <v>0</v>
      </c>
      <c r="Q56" s="30">
        <f t="shared" si="7"/>
        <v>0</v>
      </c>
      <c r="R56" s="30">
        <v>0</v>
      </c>
      <c r="S56" s="29">
        <f t="shared" si="8"/>
        <v>0</v>
      </c>
      <c r="T56" s="24">
        <f t="shared" si="9"/>
        <v>0</v>
      </c>
      <c r="U56" s="31">
        <f t="shared" si="10"/>
        <v>0</v>
      </c>
      <c r="V56" s="32">
        <f t="shared" si="16"/>
        <v>0</v>
      </c>
      <c r="W56" s="32">
        <f t="shared" si="11"/>
        <v>0</v>
      </c>
      <c r="X56" s="33">
        <v>0</v>
      </c>
      <c r="Y56" s="30">
        <f t="shared" si="12"/>
        <v>0</v>
      </c>
    </row>
    <row r="57" spans="1:25" ht="14.45" x14ac:dyDescent="0.3">
      <c r="A57" s="27">
        <v>139</v>
      </c>
      <c r="B57" s="27">
        <v>1</v>
      </c>
      <c r="C57" s="28" t="s">
        <v>114</v>
      </c>
      <c r="D57" s="24">
        <f>'[1]FY13 9-16-13 to copy to sheet'!F47</f>
        <v>0</v>
      </c>
      <c r="E57" s="25">
        <v>1073.5999999999999</v>
      </c>
      <c r="F57" s="20">
        <v>896</v>
      </c>
      <c r="G57" s="20">
        <v>41</v>
      </c>
      <c r="H57" s="23">
        <f t="shared" si="2"/>
        <v>4.5758928571428568E-2</v>
      </c>
      <c r="I57" s="29">
        <f t="shared" si="13"/>
        <v>17194.38</v>
      </c>
      <c r="J57" s="24">
        <f t="shared" si="14"/>
        <v>0</v>
      </c>
      <c r="K57" s="24">
        <f t="shared" si="3"/>
        <v>17194.38</v>
      </c>
      <c r="L57" s="30">
        <v>0</v>
      </c>
      <c r="M57" s="30">
        <f t="shared" si="4"/>
        <v>0</v>
      </c>
      <c r="N57" s="29">
        <f t="shared" si="15"/>
        <v>0</v>
      </c>
      <c r="O57" s="29">
        <f t="shared" si="5"/>
        <v>0</v>
      </c>
      <c r="P57" s="29">
        <f t="shared" si="6"/>
        <v>0</v>
      </c>
      <c r="Q57" s="30">
        <f t="shared" si="7"/>
        <v>0</v>
      </c>
      <c r="R57" s="30">
        <v>0</v>
      </c>
      <c r="S57" s="29">
        <f t="shared" si="8"/>
        <v>0</v>
      </c>
      <c r="T57" s="24">
        <f t="shared" si="9"/>
        <v>0</v>
      </c>
      <c r="U57" s="31">
        <f t="shared" si="10"/>
        <v>0</v>
      </c>
      <c r="V57" s="32">
        <f t="shared" si="16"/>
        <v>0</v>
      </c>
      <c r="W57" s="32">
        <f t="shared" si="11"/>
        <v>0</v>
      </c>
      <c r="X57" s="33">
        <v>0</v>
      </c>
      <c r="Y57" s="30">
        <f t="shared" si="12"/>
        <v>0</v>
      </c>
    </row>
    <row r="58" spans="1:25" ht="14.45" x14ac:dyDescent="0.3">
      <c r="A58" s="34">
        <v>146</v>
      </c>
      <c r="B58" s="34">
        <v>1</v>
      </c>
      <c r="C58" s="1" t="s">
        <v>115</v>
      </c>
      <c r="D58" s="24">
        <f>'[1]FY13 9-16-13 to copy to sheet'!F48</f>
        <v>47198</v>
      </c>
      <c r="E58" s="25">
        <v>1021.31</v>
      </c>
      <c r="F58" s="20">
        <v>863</v>
      </c>
      <c r="G58" s="20">
        <v>17</v>
      </c>
      <c r="H58" s="23">
        <f t="shared" si="2"/>
        <v>1.9698725376593278E-2</v>
      </c>
      <c r="I58" s="29">
        <f t="shared" si="13"/>
        <v>7041.48</v>
      </c>
      <c r="J58" s="24">
        <f t="shared" si="14"/>
        <v>26503.3</v>
      </c>
      <c r="K58" s="24">
        <f t="shared" si="3"/>
        <v>33544.78</v>
      </c>
      <c r="L58" s="30">
        <v>47198</v>
      </c>
      <c r="M58" s="30">
        <f t="shared" si="4"/>
        <v>47339.59</v>
      </c>
      <c r="N58" s="29">
        <f t="shared" si="15"/>
        <v>33544.78</v>
      </c>
      <c r="O58" s="29">
        <f t="shared" si="5"/>
        <v>100.63</v>
      </c>
      <c r="P58" s="29">
        <f t="shared" si="6"/>
        <v>33444.15</v>
      </c>
      <c r="Q58" s="30">
        <f t="shared" si="7"/>
        <v>10213.099999999999</v>
      </c>
      <c r="R58" s="30">
        <v>0</v>
      </c>
      <c r="S58" s="29">
        <f t="shared" si="8"/>
        <v>0</v>
      </c>
      <c r="T58" s="24">
        <f t="shared" si="9"/>
        <v>33444.15</v>
      </c>
      <c r="U58" s="31">
        <f t="shared" si="10"/>
        <v>-13753.849999999999</v>
      </c>
      <c r="V58" s="32">
        <f t="shared" si="16"/>
        <v>-13.46687097942838</v>
      </c>
      <c r="W58" s="32">
        <f t="shared" si="11"/>
        <v>19284.75</v>
      </c>
      <c r="X58" s="33">
        <v>14159.4</v>
      </c>
      <c r="Y58" s="30">
        <f t="shared" si="12"/>
        <v>19284.75</v>
      </c>
    </row>
    <row r="59" spans="1:25" ht="14.45" x14ac:dyDescent="0.3">
      <c r="A59" s="34">
        <v>150</v>
      </c>
      <c r="B59" s="34">
        <v>1</v>
      </c>
      <c r="C59" s="1" t="s">
        <v>116</v>
      </c>
      <c r="D59" s="24">
        <f>'[1]FY13 9-16-13 to copy to sheet'!F49</f>
        <v>52756.73</v>
      </c>
      <c r="E59" s="25">
        <v>1078</v>
      </c>
      <c r="F59" s="20">
        <v>938</v>
      </c>
      <c r="G59" s="20">
        <v>28</v>
      </c>
      <c r="H59" s="23">
        <f t="shared" si="2"/>
        <v>2.9850746268656716E-2</v>
      </c>
      <c r="I59" s="29">
        <f t="shared" si="13"/>
        <v>11262.69</v>
      </c>
      <c r="J59" s="24">
        <f t="shared" si="14"/>
        <v>27386.07</v>
      </c>
      <c r="K59" s="24">
        <f t="shared" si="3"/>
        <v>38648.76</v>
      </c>
      <c r="L59" s="30">
        <v>49429</v>
      </c>
      <c r="M59" s="30">
        <f t="shared" si="4"/>
        <v>49577.29</v>
      </c>
      <c r="N59" s="29">
        <f t="shared" si="15"/>
        <v>38648.76</v>
      </c>
      <c r="O59" s="29">
        <f t="shared" si="5"/>
        <v>115.95</v>
      </c>
      <c r="P59" s="29">
        <f t="shared" si="6"/>
        <v>38532.810000000005</v>
      </c>
      <c r="Q59" s="30">
        <f t="shared" si="7"/>
        <v>10780</v>
      </c>
      <c r="R59" s="30">
        <v>0</v>
      </c>
      <c r="S59" s="29">
        <f t="shared" si="8"/>
        <v>0</v>
      </c>
      <c r="T59" s="24">
        <f t="shared" si="9"/>
        <v>38532.810000000005</v>
      </c>
      <c r="U59" s="31">
        <f t="shared" si="10"/>
        <v>-14223.919999999998</v>
      </c>
      <c r="V59" s="32">
        <f t="shared" si="16"/>
        <v>-13.19473098330241</v>
      </c>
      <c r="W59" s="32">
        <f t="shared" si="11"/>
        <v>21955.710000000006</v>
      </c>
      <c r="X59" s="33">
        <v>16577.099999999999</v>
      </c>
      <c r="Y59" s="30">
        <f t="shared" si="12"/>
        <v>21955.710000000006</v>
      </c>
    </row>
    <row r="60" spans="1:25" ht="14.45" x14ac:dyDescent="0.3">
      <c r="A60" s="27">
        <v>152</v>
      </c>
      <c r="B60" s="27">
        <v>1</v>
      </c>
      <c r="C60" s="28" t="s">
        <v>117</v>
      </c>
      <c r="D60" s="24">
        <f>'[1]FY13 9-16-13 to copy to sheet'!F50</f>
        <v>0</v>
      </c>
      <c r="E60" s="25">
        <v>6492.8</v>
      </c>
      <c r="F60" s="20">
        <v>5717</v>
      </c>
      <c r="G60" s="20">
        <v>1030</v>
      </c>
      <c r="H60" s="23">
        <f t="shared" si="2"/>
        <v>0.18016442189959769</v>
      </c>
      <c r="I60" s="29">
        <f t="shared" si="13"/>
        <v>409420.05</v>
      </c>
      <c r="J60" s="24">
        <f t="shared" si="14"/>
        <v>0</v>
      </c>
      <c r="K60" s="24">
        <f t="shared" si="3"/>
        <v>409420.05</v>
      </c>
      <c r="L60" s="30">
        <v>0</v>
      </c>
      <c r="M60" s="30">
        <f t="shared" si="4"/>
        <v>0</v>
      </c>
      <c r="N60" s="29">
        <f t="shared" si="15"/>
        <v>0</v>
      </c>
      <c r="O60" s="29">
        <f t="shared" si="5"/>
        <v>0</v>
      </c>
      <c r="P60" s="29">
        <f t="shared" si="6"/>
        <v>0</v>
      </c>
      <c r="Q60" s="30">
        <f t="shared" si="7"/>
        <v>0</v>
      </c>
      <c r="R60" s="30">
        <v>0</v>
      </c>
      <c r="S60" s="29">
        <f t="shared" si="8"/>
        <v>0</v>
      </c>
      <c r="T60" s="24">
        <f t="shared" si="9"/>
        <v>0</v>
      </c>
      <c r="U60" s="31">
        <f t="shared" si="10"/>
        <v>0</v>
      </c>
      <c r="V60" s="32">
        <f t="shared" si="16"/>
        <v>0</v>
      </c>
      <c r="W60" s="32">
        <f t="shared" si="11"/>
        <v>0</v>
      </c>
      <c r="X60" s="33">
        <v>0</v>
      </c>
      <c r="Y60" s="30">
        <f t="shared" si="12"/>
        <v>0</v>
      </c>
    </row>
    <row r="61" spans="1:25" ht="14.45" x14ac:dyDescent="0.3">
      <c r="A61" s="27">
        <v>162</v>
      </c>
      <c r="B61" s="27">
        <v>1</v>
      </c>
      <c r="C61" s="28" t="s">
        <v>118</v>
      </c>
      <c r="D61" s="24">
        <f>'[1]FY13 9-16-13 to copy to sheet'!F51</f>
        <v>0</v>
      </c>
      <c r="E61" s="25">
        <v>1149.0899999999999</v>
      </c>
      <c r="F61" s="20">
        <v>1016</v>
      </c>
      <c r="G61" s="20">
        <v>279</v>
      </c>
      <c r="H61" s="23">
        <f t="shared" si="2"/>
        <v>0.27460629921259844</v>
      </c>
      <c r="I61" s="29">
        <f t="shared" si="13"/>
        <v>110441.57</v>
      </c>
      <c r="J61" s="24">
        <f t="shared" si="14"/>
        <v>0</v>
      </c>
      <c r="K61" s="24">
        <f t="shared" si="3"/>
        <v>110441.57</v>
      </c>
      <c r="L61" s="30">
        <v>0</v>
      </c>
      <c r="M61" s="30">
        <f t="shared" si="4"/>
        <v>0</v>
      </c>
      <c r="N61" s="29">
        <f t="shared" si="15"/>
        <v>0</v>
      </c>
      <c r="O61" s="29">
        <f t="shared" si="5"/>
        <v>0</v>
      </c>
      <c r="P61" s="29">
        <f t="shared" si="6"/>
        <v>0</v>
      </c>
      <c r="Q61" s="30">
        <f t="shared" si="7"/>
        <v>0</v>
      </c>
      <c r="R61" s="30">
        <v>0</v>
      </c>
      <c r="S61" s="29">
        <f t="shared" si="8"/>
        <v>0</v>
      </c>
      <c r="T61" s="24">
        <f t="shared" si="9"/>
        <v>0</v>
      </c>
      <c r="U61" s="31">
        <f t="shared" si="10"/>
        <v>0</v>
      </c>
      <c r="V61" s="32">
        <f t="shared" si="16"/>
        <v>0</v>
      </c>
      <c r="W61" s="32">
        <f t="shared" si="11"/>
        <v>0</v>
      </c>
      <c r="X61" s="33">
        <v>0</v>
      </c>
      <c r="Y61" s="30">
        <f t="shared" si="12"/>
        <v>0</v>
      </c>
    </row>
    <row r="62" spans="1:25" ht="14.45" x14ac:dyDescent="0.3">
      <c r="A62" s="27">
        <v>166</v>
      </c>
      <c r="B62" s="27">
        <v>1</v>
      </c>
      <c r="C62" s="28" t="s">
        <v>119</v>
      </c>
      <c r="D62" s="24">
        <f>'[1]FY13 9-16-13 to copy to sheet'!F52</f>
        <v>0</v>
      </c>
      <c r="E62" s="25">
        <v>512.79999999999995</v>
      </c>
      <c r="F62" s="20">
        <v>468</v>
      </c>
      <c r="G62" s="20">
        <v>101</v>
      </c>
      <c r="H62" s="23">
        <f t="shared" si="2"/>
        <v>0.21581196581196582</v>
      </c>
      <c r="I62" s="29">
        <f t="shared" si="13"/>
        <v>38733.93</v>
      </c>
      <c r="J62" s="24">
        <f t="shared" si="14"/>
        <v>0</v>
      </c>
      <c r="K62" s="24">
        <f t="shared" si="3"/>
        <v>38733.93</v>
      </c>
      <c r="L62" s="30">
        <v>0</v>
      </c>
      <c r="M62" s="30">
        <f t="shared" si="4"/>
        <v>0</v>
      </c>
      <c r="N62" s="29">
        <f t="shared" si="15"/>
        <v>0</v>
      </c>
      <c r="O62" s="29">
        <f t="shared" si="5"/>
        <v>0</v>
      </c>
      <c r="P62" s="29">
        <f t="shared" si="6"/>
        <v>0</v>
      </c>
      <c r="Q62" s="30">
        <f t="shared" si="7"/>
        <v>0</v>
      </c>
      <c r="R62" s="30">
        <v>0</v>
      </c>
      <c r="S62" s="29">
        <f t="shared" si="8"/>
        <v>0</v>
      </c>
      <c r="T62" s="24">
        <f t="shared" si="9"/>
        <v>0</v>
      </c>
      <c r="U62" s="31">
        <f t="shared" si="10"/>
        <v>0</v>
      </c>
      <c r="V62" s="32">
        <f t="shared" si="16"/>
        <v>0</v>
      </c>
      <c r="W62" s="32">
        <f t="shared" si="11"/>
        <v>0</v>
      </c>
      <c r="X62" s="33">
        <v>0</v>
      </c>
      <c r="Y62" s="30">
        <f t="shared" si="12"/>
        <v>0</v>
      </c>
    </row>
    <row r="63" spans="1:25" ht="14.45" x14ac:dyDescent="0.3">
      <c r="A63" s="34">
        <v>173</v>
      </c>
      <c r="B63" s="34">
        <v>1</v>
      </c>
      <c r="C63" s="1" t="s">
        <v>120</v>
      </c>
      <c r="D63" s="24">
        <f>'[1]FY13 9-16-13 to copy to sheet'!F53</f>
        <v>69690</v>
      </c>
      <c r="E63" s="25">
        <v>564.42999999999995</v>
      </c>
      <c r="F63" s="20">
        <v>488</v>
      </c>
      <c r="G63" s="20">
        <v>157</v>
      </c>
      <c r="H63" s="23">
        <f t="shared" si="2"/>
        <v>0.32172131147540983</v>
      </c>
      <c r="I63" s="29">
        <f t="shared" si="13"/>
        <v>63556.21</v>
      </c>
      <c r="J63" s="24">
        <f t="shared" si="14"/>
        <v>4048.3</v>
      </c>
      <c r="K63" s="24">
        <f t="shared" si="3"/>
        <v>67604.509999999995</v>
      </c>
      <c r="L63" s="30">
        <v>69690</v>
      </c>
      <c r="M63" s="30">
        <f t="shared" si="4"/>
        <v>69899.070000000007</v>
      </c>
      <c r="N63" s="29">
        <f t="shared" si="15"/>
        <v>67604.509999999995</v>
      </c>
      <c r="O63" s="29">
        <f t="shared" si="5"/>
        <v>202.81</v>
      </c>
      <c r="P63" s="29">
        <f t="shared" si="6"/>
        <v>67401.7</v>
      </c>
      <c r="Q63" s="30">
        <f t="shared" si="7"/>
        <v>5644.2999999999993</v>
      </c>
      <c r="R63" s="30">
        <v>0</v>
      </c>
      <c r="S63" s="29">
        <f t="shared" si="8"/>
        <v>0</v>
      </c>
      <c r="T63" s="24">
        <f t="shared" si="9"/>
        <v>67401.7</v>
      </c>
      <c r="U63" s="31">
        <f t="shared" si="10"/>
        <v>-2288.3000000000029</v>
      </c>
      <c r="V63" s="32">
        <f t="shared" si="16"/>
        <v>-4.0541785518133393</v>
      </c>
      <c r="W63" s="32">
        <f t="shared" si="11"/>
        <v>46494.409999999996</v>
      </c>
      <c r="X63" s="33">
        <v>20907.29</v>
      </c>
      <c r="Y63" s="30">
        <f t="shared" si="12"/>
        <v>46494.409999999996</v>
      </c>
    </row>
    <row r="64" spans="1:25" ht="14.45" x14ac:dyDescent="0.3">
      <c r="A64" s="34">
        <v>177</v>
      </c>
      <c r="B64" s="34">
        <v>1</v>
      </c>
      <c r="C64" s="1" t="s">
        <v>121</v>
      </c>
      <c r="D64" s="24">
        <f>'[1]FY13 9-16-13 to copy to sheet'!F54</f>
        <v>99600</v>
      </c>
      <c r="E64" s="25">
        <v>1111.77</v>
      </c>
      <c r="F64" s="20">
        <v>976</v>
      </c>
      <c r="G64" s="20">
        <v>215</v>
      </c>
      <c r="H64" s="23">
        <f t="shared" si="2"/>
        <v>0.22028688524590165</v>
      </c>
      <c r="I64" s="29">
        <f t="shared" si="13"/>
        <v>85717.92</v>
      </c>
      <c r="J64" s="24">
        <f t="shared" si="14"/>
        <v>9162.17</v>
      </c>
      <c r="K64" s="24">
        <f t="shared" si="3"/>
        <v>94880.09</v>
      </c>
      <c r="L64" s="30">
        <v>99600</v>
      </c>
      <c r="M64" s="30">
        <f t="shared" si="4"/>
        <v>99898.8</v>
      </c>
      <c r="N64" s="29">
        <f t="shared" si="15"/>
        <v>94880.09</v>
      </c>
      <c r="O64" s="29">
        <f t="shared" si="5"/>
        <v>284.64</v>
      </c>
      <c r="P64" s="29">
        <f t="shared" si="6"/>
        <v>94595.45</v>
      </c>
      <c r="Q64" s="30">
        <f t="shared" si="7"/>
        <v>11117.7</v>
      </c>
      <c r="R64" s="30">
        <v>0</v>
      </c>
      <c r="S64" s="29">
        <f t="shared" si="8"/>
        <v>0</v>
      </c>
      <c r="T64" s="24">
        <f t="shared" si="9"/>
        <v>94595.45</v>
      </c>
      <c r="U64" s="31">
        <f t="shared" si="10"/>
        <v>-5004.5500000000029</v>
      </c>
      <c r="V64" s="32">
        <f t="shared" si="16"/>
        <v>-4.501425654586833</v>
      </c>
      <c r="W64" s="32">
        <f t="shared" si="11"/>
        <v>64715.45</v>
      </c>
      <c r="X64" s="33">
        <v>29880</v>
      </c>
      <c r="Y64" s="30">
        <f t="shared" si="12"/>
        <v>64715.45</v>
      </c>
    </row>
    <row r="65" spans="1:25" ht="16.5" x14ac:dyDescent="0.3">
      <c r="A65" s="27">
        <v>181</v>
      </c>
      <c r="B65" s="27">
        <v>1</v>
      </c>
      <c r="C65" s="28" t="s">
        <v>122</v>
      </c>
      <c r="D65" s="24">
        <f>'[1]FY13 9-16-13 to copy to sheet'!F55</f>
        <v>0</v>
      </c>
      <c r="E65" s="25">
        <v>7498.33</v>
      </c>
      <c r="F65" s="20">
        <v>6550</v>
      </c>
      <c r="G65" s="20">
        <v>363</v>
      </c>
      <c r="H65" s="23">
        <f t="shared" si="2"/>
        <v>5.5419847328244273E-2</v>
      </c>
      <c r="I65" s="29">
        <f t="shared" si="13"/>
        <v>145444.71</v>
      </c>
      <c r="J65" s="24">
        <f t="shared" si="14"/>
        <v>0</v>
      </c>
      <c r="K65" s="24">
        <f t="shared" si="3"/>
        <v>145444.71</v>
      </c>
      <c r="L65" s="30">
        <v>0</v>
      </c>
      <c r="M65" s="30">
        <f t="shared" si="4"/>
        <v>0</v>
      </c>
      <c r="N65" s="29">
        <f t="shared" si="15"/>
        <v>0</v>
      </c>
      <c r="O65" s="29">
        <f t="shared" si="5"/>
        <v>0</v>
      </c>
      <c r="P65" s="29">
        <f t="shared" si="6"/>
        <v>0</v>
      </c>
      <c r="Q65" s="30">
        <f t="shared" si="7"/>
        <v>0</v>
      </c>
      <c r="R65" s="30">
        <v>0</v>
      </c>
      <c r="S65" s="29">
        <f t="shared" si="8"/>
        <v>0</v>
      </c>
      <c r="T65" s="24">
        <f t="shared" si="9"/>
        <v>0</v>
      </c>
      <c r="U65" s="31">
        <f t="shared" si="10"/>
        <v>0</v>
      </c>
      <c r="V65" s="32">
        <f t="shared" si="16"/>
        <v>0</v>
      </c>
      <c r="W65" s="32">
        <f t="shared" si="11"/>
        <v>0</v>
      </c>
      <c r="X65" s="33">
        <v>0</v>
      </c>
      <c r="Y65" s="30">
        <f t="shared" si="12"/>
        <v>0</v>
      </c>
    </row>
    <row r="66" spans="1:25" ht="16.5" x14ac:dyDescent="0.3">
      <c r="A66" s="27">
        <v>182</v>
      </c>
      <c r="B66" s="27">
        <v>1</v>
      </c>
      <c r="C66" s="28" t="s">
        <v>123</v>
      </c>
      <c r="D66" s="24">
        <f>'[1]FY13 9-16-13 to copy to sheet'!F56</f>
        <v>0</v>
      </c>
      <c r="E66" s="25">
        <v>1326.71</v>
      </c>
      <c r="F66" s="20">
        <v>1178</v>
      </c>
      <c r="G66" s="20">
        <v>50</v>
      </c>
      <c r="H66" s="23">
        <f t="shared" si="2"/>
        <v>4.2444821731748725E-2</v>
      </c>
      <c r="I66" s="29">
        <f t="shared" si="13"/>
        <v>19709.189999999999</v>
      </c>
      <c r="J66" s="24">
        <f t="shared" si="14"/>
        <v>0</v>
      </c>
      <c r="K66" s="24">
        <f t="shared" si="3"/>
        <v>19709.189999999999</v>
      </c>
      <c r="L66" s="30">
        <v>0</v>
      </c>
      <c r="M66" s="30">
        <f t="shared" si="4"/>
        <v>0</v>
      </c>
      <c r="N66" s="29">
        <f t="shared" si="15"/>
        <v>0</v>
      </c>
      <c r="O66" s="29">
        <f t="shared" si="5"/>
        <v>0</v>
      </c>
      <c r="P66" s="29">
        <f t="shared" si="6"/>
        <v>0</v>
      </c>
      <c r="Q66" s="30">
        <f t="shared" si="7"/>
        <v>0</v>
      </c>
      <c r="R66" s="30">
        <v>0</v>
      </c>
      <c r="S66" s="29">
        <f t="shared" si="8"/>
        <v>0</v>
      </c>
      <c r="T66" s="24">
        <f t="shared" si="9"/>
        <v>0</v>
      </c>
      <c r="U66" s="31">
        <f t="shared" si="10"/>
        <v>0</v>
      </c>
      <c r="V66" s="32">
        <f t="shared" si="16"/>
        <v>0</v>
      </c>
      <c r="W66" s="32">
        <f t="shared" si="11"/>
        <v>0</v>
      </c>
      <c r="X66" s="33">
        <v>0</v>
      </c>
      <c r="Y66" s="30">
        <f t="shared" si="12"/>
        <v>0</v>
      </c>
    </row>
    <row r="67" spans="1:25" ht="16.5" x14ac:dyDescent="0.3">
      <c r="A67" s="27">
        <v>186</v>
      </c>
      <c r="B67" s="27">
        <v>1</v>
      </c>
      <c r="C67" s="28" t="s">
        <v>124</v>
      </c>
      <c r="D67" s="24">
        <f>'[1]FY13 9-16-13 to copy to sheet'!F57</f>
        <v>0</v>
      </c>
      <c r="E67" s="25">
        <v>1871.69</v>
      </c>
      <c r="F67" s="20">
        <v>1639</v>
      </c>
      <c r="G67" s="20">
        <v>36</v>
      </c>
      <c r="H67" s="23">
        <f t="shared" si="2"/>
        <v>2.1964612568639415E-2</v>
      </c>
      <c r="I67" s="29">
        <f t="shared" si="13"/>
        <v>14388.83</v>
      </c>
      <c r="J67" s="24">
        <f t="shared" si="14"/>
        <v>0</v>
      </c>
      <c r="K67" s="24">
        <f t="shared" si="3"/>
        <v>14388.83</v>
      </c>
      <c r="L67" s="30">
        <v>0</v>
      </c>
      <c r="M67" s="30">
        <f t="shared" si="4"/>
        <v>0</v>
      </c>
      <c r="N67" s="29">
        <f t="shared" si="15"/>
        <v>0</v>
      </c>
      <c r="O67" s="29">
        <f t="shared" si="5"/>
        <v>0</v>
      </c>
      <c r="P67" s="29">
        <f t="shared" si="6"/>
        <v>0</v>
      </c>
      <c r="Q67" s="30">
        <f t="shared" si="7"/>
        <v>0</v>
      </c>
      <c r="R67" s="30">
        <v>0</v>
      </c>
      <c r="S67" s="29">
        <f t="shared" si="8"/>
        <v>0</v>
      </c>
      <c r="T67" s="24">
        <f t="shared" si="9"/>
        <v>0</v>
      </c>
      <c r="U67" s="31">
        <f t="shared" si="10"/>
        <v>0</v>
      </c>
      <c r="V67" s="32">
        <f t="shared" si="16"/>
        <v>0</v>
      </c>
      <c r="W67" s="32">
        <f t="shared" si="11"/>
        <v>0</v>
      </c>
      <c r="X67" s="33">
        <v>0</v>
      </c>
      <c r="Y67" s="30">
        <f t="shared" si="12"/>
        <v>0</v>
      </c>
    </row>
    <row r="68" spans="1:25" ht="16.5" x14ac:dyDescent="0.3">
      <c r="A68" s="34">
        <v>191</v>
      </c>
      <c r="B68" s="34">
        <v>1</v>
      </c>
      <c r="C68" s="1" t="s">
        <v>125</v>
      </c>
      <c r="D68" s="24">
        <f>'[1]FY13 9-16-13 to copy to sheet'!F58</f>
        <v>1382450</v>
      </c>
      <c r="E68" s="25">
        <v>10822.02</v>
      </c>
      <c r="F68" s="20">
        <v>9710</v>
      </c>
      <c r="G68" s="20">
        <v>4333</v>
      </c>
      <c r="H68" s="23">
        <f t="shared" si="2"/>
        <v>0.44624098867147272</v>
      </c>
      <c r="I68" s="29">
        <f t="shared" si="13"/>
        <v>1690230.12</v>
      </c>
      <c r="J68" s="24">
        <f t="shared" si="14"/>
        <v>0</v>
      </c>
      <c r="K68" s="24">
        <f t="shared" si="3"/>
        <v>1690230.12</v>
      </c>
      <c r="L68" s="30">
        <v>1387450</v>
      </c>
      <c r="M68" s="30">
        <f t="shared" si="4"/>
        <v>1391612.35</v>
      </c>
      <c r="N68" s="29">
        <f t="shared" si="15"/>
        <v>1391612.35</v>
      </c>
      <c r="O68" s="29">
        <f t="shared" si="5"/>
        <v>4162.3500000000931</v>
      </c>
      <c r="P68" s="29">
        <f t="shared" si="6"/>
        <v>1387450</v>
      </c>
      <c r="Q68" s="30">
        <f t="shared" si="7"/>
        <v>108220.20000000001</v>
      </c>
      <c r="R68" s="30">
        <v>0</v>
      </c>
      <c r="S68" s="29">
        <f t="shared" si="8"/>
        <v>0</v>
      </c>
      <c r="T68" s="24">
        <f t="shared" si="9"/>
        <v>1387450</v>
      </c>
      <c r="U68" s="31">
        <f t="shared" si="10"/>
        <v>5000</v>
      </c>
      <c r="V68" s="32">
        <f t="shared" si="16"/>
        <v>0.46202095357428646</v>
      </c>
      <c r="W68" s="32">
        <f t="shared" si="11"/>
        <v>971214.86</v>
      </c>
      <c r="X68" s="33">
        <v>416235.14</v>
      </c>
      <c r="Y68" s="30">
        <f t="shared" si="12"/>
        <v>971214.86</v>
      </c>
    </row>
    <row r="69" spans="1:25" ht="16.5" x14ac:dyDescent="0.3">
      <c r="A69" s="27">
        <v>192</v>
      </c>
      <c r="B69" s="27">
        <v>1</v>
      </c>
      <c r="C69" s="28" t="s">
        <v>126</v>
      </c>
      <c r="D69" s="24">
        <f>'[1]FY13 9-16-13 to copy to sheet'!F59</f>
        <v>0</v>
      </c>
      <c r="E69" s="25">
        <v>7517.4</v>
      </c>
      <c r="F69" s="20">
        <v>6779</v>
      </c>
      <c r="G69" s="20">
        <v>937</v>
      </c>
      <c r="H69" s="23">
        <f t="shared" si="2"/>
        <v>0.13822097654521315</v>
      </c>
      <c r="I69" s="29">
        <f t="shared" si="13"/>
        <v>363671.83</v>
      </c>
      <c r="J69" s="24">
        <f t="shared" si="14"/>
        <v>0</v>
      </c>
      <c r="K69" s="24">
        <f t="shared" si="3"/>
        <v>363671.83</v>
      </c>
      <c r="L69" s="30">
        <v>0</v>
      </c>
      <c r="M69" s="30">
        <f t="shared" si="4"/>
        <v>0</v>
      </c>
      <c r="N69" s="29">
        <f t="shared" si="15"/>
        <v>0</v>
      </c>
      <c r="O69" s="29">
        <f t="shared" si="5"/>
        <v>0</v>
      </c>
      <c r="P69" s="29">
        <f t="shared" si="6"/>
        <v>0</v>
      </c>
      <c r="Q69" s="30">
        <f t="shared" si="7"/>
        <v>0</v>
      </c>
      <c r="R69" s="30">
        <v>0</v>
      </c>
      <c r="S69" s="29">
        <f t="shared" si="8"/>
        <v>0</v>
      </c>
      <c r="T69" s="24">
        <f t="shared" si="9"/>
        <v>0</v>
      </c>
      <c r="U69" s="31">
        <f t="shared" si="10"/>
        <v>0</v>
      </c>
      <c r="V69" s="32">
        <f t="shared" si="16"/>
        <v>0</v>
      </c>
      <c r="W69" s="32">
        <f t="shared" si="11"/>
        <v>0</v>
      </c>
      <c r="X69" s="33">
        <v>0</v>
      </c>
      <c r="Y69" s="30">
        <f t="shared" si="12"/>
        <v>0</v>
      </c>
    </row>
    <row r="70" spans="1:25" ht="16.5" x14ac:dyDescent="0.3">
      <c r="A70" s="34">
        <v>194</v>
      </c>
      <c r="B70" s="34">
        <v>1</v>
      </c>
      <c r="C70" s="1" t="s">
        <v>127</v>
      </c>
      <c r="D70" s="24">
        <f>'[1]FY13 9-16-13 to copy to sheet'!F60</f>
        <v>1110700</v>
      </c>
      <c r="E70" s="25">
        <v>12567.22</v>
      </c>
      <c r="F70" s="20">
        <v>10919</v>
      </c>
      <c r="G70" s="20">
        <v>1487</v>
      </c>
      <c r="H70" s="23">
        <f t="shared" si="2"/>
        <v>0.13618463229233446</v>
      </c>
      <c r="I70" s="29">
        <f t="shared" si="13"/>
        <v>599011.78</v>
      </c>
      <c r="J70" s="24">
        <f t="shared" si="14"/>
        <v>337714.23</v>
      </c>
      <c r="K70" s="24">
        <f t="shared" si="3"/>
        <v>936726.01</v>
      </c>
      <c r="L70" s="30">
        <v>1165000</v>
      </c>
      <c r="M70" s="30">
        <f t="shared" si="4"/>
        <v>1168495</v>
      </c>
      <c r="N70" s="29">
        <f t="shared" si="15"/>
        <v>936726.01</v>
      </c>
      <c r="O70" s="29">
        <f t="shared" si="5"/>
        <v>2810.18</v>
      </c>
      <c r="P70" s="29">
        <f t="shared" si="6"/>
        <v>933915.83</v>
      </c>
      <c r="Q70" s="30">
        <f t="shared" si="7"/>
        <v>125672.2</v>
      </c>
      <c r="R70" s="30">
        <v>0</v>
      </c>
      <c r="S70" s="29">
        <f t="shared" si="8"/>
        <v>0</v>
      </c>
      <c r="T70" s="24">
        <f t="shared" si="9"/>
        <v>933915.83</v>
      </c>
      <c r="U70" s="31">
        <f t="shared" si="10"/>
        <v>-176784.17000000004</v>
      </c>
      <c r="V70" s="32">
        <f t="shared" si="16"/>
        <v>-14.067086435981867</v>
      </c>
      <c r="W70" s="32">
        <f t="shared" si="11"/>
        <v>582511.79999999993</v>
      </c>
      <c r="X70" s="33">
        <v>351404.03</v>
      </c>
      <c r="Y70" s="30">
        <f t="shared" si="12"/>
        <v>582511.79999999993</v>
      </c>
    </row>
    <row r="71" spans="1:25" ht="16.5" x14ac:dyDescent="0.3">
      <c r="A71" s="27">
        <v>195</v>
      </c>
      <c r="B71" s="27">
        <v>1</v>
      </c>
      <c r="C71" s="28" t="s">
        <v>128</v>
      </c>
      <c r="D71" s="24">
        <f>'[1]FY13 9-16-13 to copy to sheet'!F61</f>
        <v>0</v>
      </c>
      <c r="E71" s="25">
        <v>668.8</v>
      </c>
      <c r="F71" s="20">
        <v>578</v>
      </c>
      <c r="G71" s="20">
        <v>17</v>
      </c>
      <c r="H71" s="23">
        <f t="shared" si="2"/>
        <v>2.9411764705882353E-2</v>
      </c>
      <c r="I71" s="29">
        <f t="shared" si="13"/>
        <v>6884.71</v>
      </c>
      <c r="J71" s="24">
        <f t="shared" si="14"/>
        <v>0</v>
      </c>
      <c r="K71" s="24">
        <f t="shared" si="3"/>
        <v>6884.71</v>
      </c>
      <c r="L71" s="30">
        <v>0</v>
      </c>
      <c r="M71" s="30">
        <f t="shared" si="4"/>
        <v>0</v>
      </c>
      <c r="N71" s="29">
        <f t="shared" si="15"/>
        <v>0</v>
      </c>
      <c r="O71" s="29">
        <f t="shared" si="5"/>
        <v>0</v>
      </c>
      <c r="P71" s="29">
        <f t="shared" si="6"/>
        <v>0</v>
      </c>
      <c r="Q71" s="30">
        <f t="shared" si="7"/>
        <v>0</v>
      </c>
      <c r="R71" s="30">
        <v>0</v>
      </c>
      <c r="S71" s="29">
        <f t="shared" si="8"/>
        <v>0</v>
      </c>
      <c r="T71" s="24">
        <f t="shared" si="9"/>
        <v>0</v>
      </c>
      <c r="U71" s="31">
        <f t="shared" si="10"/>
        <v>0</v>
      </c>
      <c r="V71" s="32">
        <f t="shared" si="16"/>
        <v>0</v>
      </c>
      <c r="W71" s="32">
        <f t="shared" si="11"/>
        <v>0</v>
      </c>
      <c r="X71" s="33">
        <v>0</v>
      </c>
      <c r="Y71" s="30">
        <f t="shared" si="12"/>
        <v>0</v>
      </c>
    </row>
    <row r="72" spans="1:25" ht="16.5" x14ac:dyDescent="0.3">
      <c r="A72" s="34">
        <v>196</v>
      </c>
      <c r="B72" s="34">
        <v>1</v>
      </c>
      <c r="C72" s="1" t="s">
        <v>129</v>
      </c>
      <c r="D72" s="24">
        <f>'[1]FY13 9-16-13 to copy to sheet'!F62</f>
        <v>4009310.97</v>
      </c>
      <c r="E72" s="25">
        <v>31426.18</v>
      </c>
      <c r="F72" s="20">
        <v>27174</v>
      </c>
      <c r="G72" s="20">
        <v>7640</v>
      </c>
      <c r="H72" s="23">
        <f t="shared" si="2"/>
        <v>0.281151100316479</v>
      </c>
      <c r="I72" s="29">
        <f t="shared" si="13"/>
        <v>3092426.78</v>
      </c>
      <c r="J72" s="24">
        <f t="shared" si="14"/>
        <v>605143.56999999995</v>
      </c>
      <c r="K72" s="24">
        <f t="shared" si="3"/>
        <v>3697570.3499999996</v>
      </c>
      <c r="L72" s="30">
        <v>4047155</v>
      </c>
      <c r="M72" s="30">
        <f t="shared" si="4"/>
        <v>4059296.47</v>
      </c>
      <c r="N72" s="29">
        <f t="shared" si="15"/>
        <v>3697570.3499999996</v>
      </c>
      <c r="O72" s="29">
        <f t="shared" si="5"/>
        <v>11092.71</v>
      </c>
      <c r="P72" s="29">
        <f t="shared" si="6"/>
        <v>3686477.6399999997</v>
      </c>
      <c r="Q72" s="30">
        <f t="shared" si="7"/>
        <v>314261.8</v>
      </c>
      <c r="R72" s="30">
        <v>0</v>
      </c>
      <c r="S72" s="29">
        <f t="shared" si="8"/>
        <v>0</v>
      </c>
      <c r="T72" s="24">
        <f t="shared" si="9"/>
        <v>3686477.6399999997</v>
      </c>
      <c r="U72" s="31">
        <f t="shared" si="10"/>
        <v>-322833.33000000054</v>
      </c>
      <c r="V72" s="32">
        <f t="shared" si="16"/>
        <v>-10.272751253890881</v>
      </c>
      <c r="W72" s="32">
        <f t="shared" si="11"/>
        <v>2471940.8299999996</v>
      </c>
      <c r="X72" s="33">
        <v>1214536.81</v>
      </c>
      <c r="Y72" s="30">
        <f t="shared" si="12"/>
        <v>2471940.8299999996</v>
      </c>
    </row>
    <row r="73" spans="1:25" ht="16.5" x14ac:dyDescent="0.3">
      <c r="A73" s="34">
        <v>197</v>
      </c>
      <c r="B73" s="34">
        <v>1</v>
      </c>
      <c r="C73" s="1" t="s">
        <v>130</v>
      </c>
      <c r="D73" s="24">
        <f>'[1]FY13 9-16-13 to copy to sheet'!F63</f>
        <v>758142</v>
      </c>
      <c r="E73" s="25">
        <v>5413.04</v>
      </c>
      <c r="F73" s="20">
        <v>4786</v>
      </c>
      <c r="G73" s="20">
        <v>2054</v>
      </c>
      <c r="H73" s="23">
        <f t="shared" si="2"/>
        <v>0.42916840785624738</v>
      </c>
      <c r="I73" s="29">
        <f t="shared" si="13"/>
        <v>813087.02</v>
      </c>
      <c r="J73" s="24">
        <f t="shared" si="14"/>
        <v>0</v>
      </c>
      <c r="K73" s="24">
        <f t="shared" si="3"/>
        <v>813087.02</v>
      </c>
      <c r="L73" s="30">
        <v>674025</v>
      </c>
      <c r="M73" s="30">
        <f t="shared" si="4"/>
        <v>676047.08</v>
      </c>
      <c r="N73" s="29">
        <f t="shared" si="15"/>
        <v>676047.08</v>
      </c>
      <c r="O73" s="29">
        <f t="shared" si="5"/>
        <v>2022.0799999999581</v>
      </c>
      <c r="P73" s="29">
        <f t="shared" si="6"/>
        <v>674025</v>
      </c>
      <c r="Q73" s="30">
        <f t="shared" si="7"/>
        <v>54130.400000000001</v>
      </c>
      <c r="R73" s="30">
        <v>0</v>
      </c>
      <c r="S73" s="29">
        <f t="shared" si="8"/>
        <v>0</v>
      </c>
      <c r="T73" s="24">
        <f t="shared" si="9"/>
        <v>674025</v>
      </c>
      <c r="U73" s="31">
        <f t="shared" si="10"/>
        <v>-84117</v>
      </c>
      <c r="V73" s="32">
        <f t="shared" si="16"/>
        <v>-15.53969673233525</v>
      </c>
      <c r="W73" s="32">
        <f t="shared" si="11"/>
        <v>477425.13</v>
      </c>
      <c r="X73" s="33">
        <v>196599.87</v>
      </c>
      <c r="Y73" s="30">
        <f t="shared" si="12"/>
        <v>477425.13</v>
      </c>
    </row>
    <row r="74" spans="1:25" ht="16.5" x14ac:dyDescent="0.3">
      <c r="A74" s="34">
        <v>199</v>
      </c>
      <c r="B74" s="34">
        <v>1</v>
      </c>
      <c r="C74" s="1" t="s">
        <v>131</v>
      </c>
      <c r="D74" s="24">
        <f>'[1]FY13 9-16-13 to copy to sheet'!F64</f>
        <v>397151</v>
      </c>
      <c r="E74" s="25">
        <v>4437.13</v>
      </c>
      <c r="F74" s="20">
        <v>3798</v>
      </c>
      <c r="G74" s="20">
        <v>1350</v>
      </c>
      <c r="H74" s="23">
        <f t="shared" si="2"/>
        <v>0.35545023696682465</v>
      </c>
      <c r="I74" s="29">
        <f t="shared" si="13"/>
        <v>552012.62</v>
      </c>
      <c r="J74" s="24">
        <f t="shared" si="14"/>
        <v>0</v>
      </c>
      <c r="K74" s="24">
        <f t="shared" si="3"/>
        <v>552012.62</v>
      </c>
      <c r="L74" s="30">
        <v>403825</v>
      </c>
      <c r="M74" s="30">
        <f t="shared" si="4"/>
        <v>405036.48</v>
      </c>
      <c r="N74" s="29">
        <f t="shared" si="15"/>
        <v>405036.48</v>
      </c>
      <c r="O74" s="29">
        <f t="shared" si="5"/>
        <v>1211.4799999999814</v>
      </c>
      <c r="P74" s="29">
        <f t="shared" si="6"/>
        <v>403825</v>
      </c>
      <c r="Q74" s="30">
        <f t="shared" si="7"/>
        <v>44371.3</v>
      </c>
      <c r="R74" s="30">
        <v>0</v>
      </c>
      <c r="S74" s="29">
        <f t="shared" si="8"/>
        <v>0</v>
      </c>
      <c r="T74" s="24">
        <f t="shared" si="9"/>
        <v>403825</v>
      </c>
      <c r="U74" s="31">
        <f t="shared" si="10"/>
        <v>6674</v>
      </c>
      <c r="V74" s="32">
        <f t="shared" si="16"/>
        <v>1.5041254144007501</v>
      </c>
      <c r="W74" s="32">
        <f t="shared" si="11"/>
        <v>284937.45</v>
      </c>
      <c r="X74" s="33">
        <v>118887.55</v>
      </c>
      <c r="Y74" s="30">
        <f t="shared" si="12"/>
        <v>284937.45</v>
      </c>
    </row>
    <row r="75" spans="1:25" ht="16.5" x14ac:dyDescent="0.3">
      <c r="A75" s="27">
        <v>200</v>
      </c>
      <c r="B75" s="27">
        <v>1</v>
      </c>
      <c r="C75" s="28" t="s">
        <v>132</v>
      </c>
      <c r="D75" s="24">
        <f>'[1]FY13 9-16-13 to copy to sheet'!F65</f>
        <v>0</v>
      </c>
      <c r="E75" s="25">
        <v>5376.65</v>
      </c>
      <c r="F75" s="20">
        <v>4659</v>
      </c>
      <c r="G75" s="20">
        <v>413</v>
      </c>
      <c r="H75" s="23">
        <f t="shared" si="2"/>
        <v>8.8645632109894831E-2</v>
      </c>
      <c r="I75" s="29">
        <f t="shared" si="13"/>
        <v>166815.79</v>
      </c>
      <c r="J75" s="24">
        <f t="shared" si="14"/>
        <v>0</v>
      </c>
      <c r="K75" s="24">
        <f t="shared" si="3"/>
        <v>166815.79</v>
      </c>
      <c r="L75" s="30">
        <v>0</v>
      </c>
      <c r="M75" s="30">
        <f t="shared" si="4"/>
        <v>0</v>
      </c>
      <c r="N75" s="29">
        <f t="shared" si="15"/>
        <v>0</v>
      </c>
      <c r="O75" s="29">
        <f t="shared" si="5"/>
        <v>0</v>
      </c>
      <c r="P75" s="29">
        <f t="shared" si="6"/>
        <v>0</v>
      </c>
      <c r="Q75" s="30">
        <f t="shared" si="7"/>
        <v>0</v>
      </c>
      <c r="R75" s="30">
        <v>0</v>
      </c>
      <c r="S75" s="29">
        <f t="shared" si="8"/>
        <v>0</v>
      </c>
      <c r="T75" s="24">
        <f t="shared" si="9"/>
        <v>0</v>
      </c>
      <c r="U75" s="31">
        <f t="shared" si="10"/>
        <v>0</v>
      </c>
      <c r="V75" s="32">
        <f t="shared" si="16"/>
        <v>0</v>
      </c>
      <c r="W75" s="32">
        <f t="shared" si="11"/>
        <v>0</v>
      </c>
      <c r="X75" s="33">
        <v>0</v>
      </c>
      <c r="Y75" s="30">
        <f t="shared" si="12"/>
        <v>0</v>
      </c>
    </row>
    <row r="76" spans="1:25" ht="16.5" x14ac:dyDescent="0.3">
      <c r="A76" s="34">
        <v>203</v>
      </c>
      <c r="B76" s="34">
        <v>1</v>
      </c>
      <c r="C76" s="1" t="s">
        <v>133</v>
      </c>
      <c r="D76" s="24">
        <f>'[1]FY13 9-16-13 to copy to sheet'!F66</f>
        <v>48619</v>
      </c>
      <c r="E76" s="25">
        <v>889.42</v>
      </c>
      <c r="F76" s="20">
        <v>762</v>
      </c>
      <c r="G76" s="20">
        <v>70</v>
      </c>
      <c r="H76" s="23">
        <f t="shared" si="2"/>
        <v>9.1863517060367453E-2</v>
      </c>
      <c r="I76" s="29">
        <f t="shared" si="13"/>
        <v>28596.84</v>
      </c>
      <c r="J76" s="24">
        <f t="shared" si="14"/>
        <v>13214.63</v>
      </c>
      <c r="K76" s="24">
        <f t="shared" si="3"/>
        <v>41811.47</v>
      </c>
      <c r="L76" s="30">
        <v>49014</v>
      </c>
      <c r="M76" s="30">
        <f t="shared" si="4"/>
        <v>49161.04</v>
      </c>
      <c r="N76" s="29">
        <f t="shared" si="15"/>
        <v>41811.47</v>
      </c>
      <c r="O76" s="29">
        <f t="shared" si="5"/>
        <v>125.43</v>
      </c>
      <c r="P76" s="29">
        <f t="shared" si="6"/>
        <v>41686.04</v>
      </c>
      <c r="Q76" s="30">
        <f t="shared" si="7"/>
        <v>8894.1999999999989</v>
      </c>
      <c r="R76" s="30">
        <v>0</v>
      </c>
      <c r="S76" s="29">
        <f t="shared" si="8"/>
        <v>0</v>
      </c>
      <c r="T76" s="24">
        <f t="shared" si="9"/>
        <v>41686.04</v>
      </c>
      <c r="U76" s="31">
        <f t="shared" si="10"/>
        <v>-6932.9599999999991</v>
      </c>
      <c r="V76" s="32">
        <f t="shared" si="16"/>
        <v>-7.7949225337860621</v>
      </c>
      <c r="W76" s="32">
        <f t="shared" si="11"/>
        <v>34186.04</v>
      </c>
      <c r="X76" s="33">
        <v>7500</v>
      </c>
      <c r="Y76" s="30">
        <f t="shared" si="12"/>
        <v>34186.04</v>
      </c>
    </row>
    <row r="77" spans="1:25" ht="16.5" x14ac:dyDescent="0.3">
      <c r="A77" s="27">
        <v>204</v>
      </c>
      <c r="B77" s="27">
        <v>1</v>
      </c>
      <c r="C77" s="28" t="s">
        <v>134</v>
      </c>
      <c r="D77" s="24">
        <f>'[1]FY13 9-16-13 to copy to sheet'!F67</f>
        <v>0</v>
      </c>
      <c r="E77" s="25">
        <v>2490.6999999999998</v>
      </c>
      <c r="F77" s="20">
        <v>2091</v>
      </c>
      <c r="G77" s="20">
        <v>115</v>
      </c>
      <c r="H77" s="23">
        <f t="shared" si="2"/>
        <v>5.499760879961741E-2</v>
      </c>
      <c r="I77" s="29">
        <f t="shared" si="13"/>
        <v>47943.89</v>
      </c>
      <c r="J77" s="24">
        <f t="shared" si="14"/>
        <v>0</v>
      </c>
      <c r="K77" s="24">
        <f t="shared" si="3"/>
        <v>47943.89</v>
      </c>
      <c r="L77" s="30">
        <v>0</v>
      </c>
      <c r="M77" s="30">
        <f t="shared" si="4"/>
        <v>0</v>
      </c>
      <c r="N77" s="29">
        <f t="shared" si="15"/>
        <v>0</v>
      </c>
      <c r="O77" s="29">
        <f t="shared" si="5"/>
        <v>0</v>
      </c>
      <c r="P77" s="29">
        <f t="shared" si="6"/>
        <v>0</v>
      </c>
      <c r="Q77" s="30">
        <f t="shared" si="7"/>
        <v>0</v>
      </c>
      <c r="R77" s="30">
        <v>0</v>
      </c>
      <c r="S77" s="29">
        <f t="shared" si="8"/>
        <v>0</v>
      </c>
      <c r="T77" s="24">
        <f t="shared" si="9"/>
        <v>0</v>
      </c>
      <c r="U77" s="31">
        <f t="shared" si="10"/>
        <v>0</v>
      </c>
      <c r="V77" s="32">
        <f t="shared" si="16"/>
        <v>0</v>
      </c>
      <c r="W77" s="32">
        <f t="shared" si="11"/>
        <v>0</v>
      </c>
      <c r="X77" s="33">
        <v>0</v>
      </c>
      <c r="Y77" s="30">
        <f t="shared" si="12"/>
        <v>0</v>
      </c>
    </row>
    <row r="78" spans="1:25" ht="16.5" x14ac:dyDescent="0.3">
      <c r="A78" s="27">
        <v>206</v>
      </c>
      <c r="B78" s="27">
        <v>1</v>
      </c>
      <c r="C78" s="28" t="s">
        <v>135</v>
      </c>
      <c r="D78" s="24">
        <f>'[1]FY13 9-16-13 to copy to sheet'!F68</f>
        <v>0</v>
      </c>
      <c r="E78" s="25">
        <v>4632.41</v>
      </c>
      <c r="F78" s="20">
        <v>3943</v>
      </c>
      <c r="G78" s="20">
        <v>197</v>
      </c>
      <c r="H78" s="23">
        <f t="shared" ref="H78:H141" si="17">IF(F78=0,0,G78/F78)</f>
        <v>4.9961957900076084E-2</v>
      </c>
      <c r="I78" s="29">
        <f t="shared" si="13"/>
        <v>81005.5</v>
      </c>
      <c r="J78" s="24">
        <f t="shared" si="14"/>
        <v>0</v>
      </c>
      <c r="K78" s="24">
        <f t="shared" ref="K78:K141" si="18">I78+J78</f>
        <v>81005.5</v>
      </c>
      <c r="L78" s="30">
        <v>0</v>
      </c>
      <c r="M78" s="30">
        <f t="shared" ref="M78:M141" si="19">ROUND(L78*1.003,2)</f>
        <v>0</v>
      </c>
      <c r="N78" s="29">
        <f t="shared" si="15"/>
        <v>0</v>
      </c>
      <c r="O78" s="29">
        <f t="shared" ref="O78:O141" si="20">IF(N78=M78,M78-L78,ROUND(N78*0.003,2))</f>
        <v>0</v>
      </c>
      <c r="P78" s="29">
        <f t="shared" ref="P78:P141" si="21">N78-O78</f>
        <v>0</v>
      </c>
      <c r="Q78" s="30">
        <f t="shared" ref="Q78:Q141" si="22">IF(D78&gt;0,E78*Q$10,0)</f>
        <v>0</v>
      </c>
      <c r="R78" s="30">
        <v>0</v>
      </c>
      <c r="S78" s="29">
        <f t="shared" ref="S78:S141" si="23">IF(R78&lt;Q78,R78,Q78)</f>
        <v>0</v>
      </c>
      <c r="T78" s="24">
        <f t="shared" ref="T78:T141" si="24">P78+S78</f>
        <v>0</v>
      </c>
      <c r="U78" s="31">
        <f t="shared" ref="U78:U141" si="25">T78-D78</f>
        <v>0</v>
      </c>
      <c r="V78" s="32">
        <f t="shared" si="16"/>
        <v>0</v>
      </c>
      <c r="W78" s="32">
        <f t="shared" ref="W78:W141" si="26">T78-X78</f>
        <v>0</v>
      </c>
      <c r="X78" s="33">
        <v>0</v>
      </c>
      <c r="Y78" s="30">
        <f t="shared" ref="Y78:Y141" si="27">IF(W78&gt;0,W78,0)</f>
        <v>0</v>
      </c>
    </row>
    <row r="79" spans="1:25" ht="16.5" x14ac:dyDescent="0.3">
      <c r="A79" s="27">
        <v>207</v>
      </c>
      <c r="B79" s="27">
        <v>1</v>
      </c>
      <c r="C79" s="28" t="s">
        <v>136</v>
      </c>
      <c r="D79" s="24">
        <f>'[1]FY13 9-16-13 to copy to sheet'!F69</f>
        <v>0</v>
      </c>
      <c r="E79" s="25">
        <v>320.58</v>
      </c>
      <c r="F79" s="20">
        <v>283</v>
      </c>
      <c r="G79" s="20">
        <v>9</v>
      </c>
      <c r="H79" s="23">
        <f t="shared" si="17"/>
        <v>3.1802120141342753E-2</v>
      </c>
      <c r="I79" s="29">
        <f t="shared" ref="I79:I142" si="28">ROUND(E79*H79*I$10,2)</f>
        <v>3568.29</v>
      </c>
      <c r="J79" s="24">
        <f t="shared" ref="J79:J142" si="29">ROUND(MAX(0,IF(D79=0,0,(D79-I79)*J$9)),2)</f>
        <v>0</v>
      </c>
      <c r="K79" s="24">
        <f t="shared" si="18"/>
        <v>3568.29</v>
      </c>
      <c r="L79" s="30">
        <v>0</v>
      </c>
      <c r="M79" s="30">
        <f t="shared" si="19"/>
        <v>0</v>
      </c>
      <c r="N79" s="29">
        <f t="shared" ref="N79:N142" si="30">IF(M79&lt;K79,M79,K79)</f>
        <v>0</v>
      </c>
      <c r="O79" s="29">
        <f t="shared" si="20"/>
        <v>0</v>
      </c>
      <c r="P79" s="29">
        <f t="shared" si="21"/>
        <v>0</v>
      </c>
      <c r="Q79" s="30">
        <f t="shared" si="22"/>
        <v>0</v>
      </c>
      <c r="R79" s="30">
        <v>0</v>
      </c>
      <c r="S79" s="29">
        <f t="shared" si="23"/>
        <v>0</v>
      </c>
      <c r="T79" s="24">
        <f t="shared" si="24"/>
        <v>0</v>
      </c>
      <c r="U79" s="31">
        <f t="shared" si="25"/>
        <v>0</v>
      </c>
      <c r="V79" s="32">
        <f t="shared" ref="V79:V142" si="31">IF(E79=0,0,U79/E79)</f>
        <v>0</v>
      </c>
      <c r="W79" s="32">
        <f t="shared" si="26"/>
        <v>0</v>
      </c>
      <c r="X79" s="33">
        <v>0</v>
      </c>
      <c r="Y79" s="30">
        <f t="shared" si="27"/>
        <v>0</v>
      </c>
    </row>
    <row r="80" spans="1:25" ht="16.5" x14ac:dyDescent="0.3">
      <c r="A80" s="27">
        <v>208</v>
      </c>
      <c r="B80" s="27">
        <v>1</v>
      </c>
      <c r="C80" s="28" t="s">
        <v>137</v>
      </c>
      <c r="D80" s="24">
        <f>'[1]FY13 9-16-13 to copy to sheet'!F70</f>
        <v>0</v>
      </c>
      <c r="E80" s="25">
        <v>198.03</v>
      </c>
      <c r="F80" s="20">
        <v>167</v>
      </c>
      <c r="G80" s="20">
        <v>3</v>
      </c>
      <c r="H80" s="23">
        <f t="shared" si="17"/>
        <v>1.7964071856287425E-2</v>
      </c>
      <c r="I80" s="29">
        <f t="shared" si="28"/>
        <v>1245.0999999999999</v>
      </c>
      <c r="J80" s="24">
        <f t="shared" si="29"/>
        <v>0</v>
      </c>
      <c r="K80" s="24">
        <f t="shared" si="18"/>
        <v>1245.0999999999999</v>
      </c>
      <c r="L80" s="30">
        <v>0</v>
      </c>
      <c r="M80" s="30">
        <f t="shared" si="19"/>
        <v>0</v>
      </c>
      <c r="N80" s="29">
        <f t="shared" si="30"/>
        <v>0</v>
      </c>
      <c r="O80" s="29">
        <f t="shared" si="20"/>
        <v>0</v>
      </c>
      <c r="P80" s="29">
        <f t="shared" si="21"/>
        <v>0</v>
      </c>
      <c r="Q80" s="30">
        <f t="shared" si="22"/>
        <v>0</v>
      </c>
      <c r="R80" s="30">
        <v>0</v>
      </c>
      <c r="S80" s="29">
        <f t="shared" si="23"/>
        <v>0</v>
      </c>
      <c r="T80" s="24">
        <f t="shared" si="24"/>
        <v>0</v>
      </c>
      <c r="U80" s="31">
        <f t="shared" si="25"/>
        <v>0</v>
      </c>
      <c r="V80" s="32">
        <f t="shared" si="31"/>
        <v>0</v>
      </c>
      <c r="W80" s="32">
        <f t="shared" si="26"/>
        <v>0</v>
      </c>
      <c r="X80" s="33">
        <v>0</v>
      </c>
      <c r="Y80" s="30">
        <f t="shared" si="27"/>
        <v>0</v>
      </c>
    </row>
    <row r="81" spans="1:25" ht="16.5" x14ac:dyDescent="0.3">
      <c r="A81" s="34">
        <v>213</v>
      </c>
      <c r="B81" s="34">
        <v>1</v>
      </c>
      <c r="C81" s="1" t="s">
        <v>138</v>
      </c>
      <c r="D81" s="24">
        <f>'[1]FY13 9-16-13 to copy to sheet'!F71</f>
        <v>84000</v>
      </c>
      <c r="E81" s="25">
        <v>990.33</v>
      </c>
      <c r="F81" s="20">
        <v>861</v>
      </c>
      <c r="G81" s="20">
        <v>33</v>
      </c>
      <c r="H81" s="23">
        <f t="shared" si="17"/>
        <v>3.8327526132404179E-2</v>
      </c>
      <c r="I81" s="29">
        <f t="shared" si="28"/>
        <v>13284.91</v>
      </c>
      <c r="J81" s="24">
        <f t="shared" si="29"/>
        <v>46671.96</v>
      </c>
      <c r="K81" s="24">
        <f t="shared" si="18"/>
        <v>59956.869999999995</v>
      </c>
      <c r="L81" s="30">
        <v>84000</v>
      </c>
      <c r="M81" s="30">
        <f t="shared" si="19"/>
        <v>84252</v>
      </c>
      <c r="N81" s="29">
        <f t="shared" si="30"/>
        <v>59956.869999999995</v>
      </c>
      <c r="O81" s="29">
        <f t="shared" si="20"/>
        <v>179.87</v>
      </c>
      <c r="P81" s="29">
        <f t="shared" si="21"/>
        <v>59776.999999999993</v>
      </c>
      <c r="Q81" s="30">
        <f t="shared" si="22"/>
        <v>9903.3000000000011</v>
      </c>
      <c r="R81" s="30">
        <v>0</v>
      </c>
      <c r="S81" s="29">
        <f t="shared" si="23"/>
        <v>0</v>
      </c>
      <c r="T81" s="24">
        <f t="shared" si="24"/>
        <v>59776.999999999993</v>
      </c>
      <c r="U81" s="31">
        <f t="shared" si="25"/>
        <v>-24223.000000000007</v>
      </c>
      <c r="V81" s="32">
        <f t="shared" si="31"/>
        <v>-24.459523593145725</v>
      </c>
      <c r="W81" s="32">
        <f t="shared" si="26"/>
        <v>34844.899999999994</v>
      </c>
      <c r="X81" s="33">
        <v>24932.100000000002</v>
      </c>
      <c r="Y81" s="30">
        <f t="shared" si="27"/>
        <v>34844.899999999994</v>
      </c>
    </row>
    <row r="82" spans="1:25" ht="16.5" x14ac:dyDescent="0.3">
      <c r="A82" s="34">
        <v>227</v>
      </c>
      <c r="B82" s="34">
        <v>1</v>
      </c>
      <c r="C82" s="1" t="s">
        <v>139</v>
      </c>
      <c r="D82" s="24">
        <f>'[1]FY13 9-16-13 to copy to sheet'!F72</f>
        <v>30700</v>
      </c>
      <c r="E82" s="25">
        <v>1046.54</v>
      </c>
      <c r="F82" s="20">
        <v>908</v>
      </c>
      <c r="G82" s="20">
        <v>34</v>
      </c>
      <c r="H82" s="23">
        <f t="shared" si="17"/>
        <v>3.7444933920704845E-2</v>
      </c>
      <c r="I82" s="29">
        <f t="shared" si="28"/>
        <v>13715.67</v>
      </c>
      <c r="J82" s="24">
        <f t="shared" si="29"/>
        <v>11209.66</v>
      </c>
      <c r="K82" s="24">
        <f t="shared" si="18"/>
        <v>24925.33</v>
      </c>
      <c r="L82" s="30">
        <v>31670</v>
      </c>
      <c r="M82" s="30">
        <f t="shared" si="19"/>
        <v>31765.01</v>
      </c>
      <c r="N82" s="29">
        <f t="shared" si="30"/>
        <v>24925.33</v>
      </c>
      <c r="O82" s="29">
        <f t="shared" si="20"/>
        <v>74.78</v>
      </c>
      <c r="P82" s="29">
        <f t="shared" si="21"/>
        <v>24850.550000000003</v>
      </c>
      <c r="Q82" s="30">
        <f t="shared" si="22"/>
        <v>10465.4</v>
      </c>
      <c r="R82" s="30">
        <v>0</v>
      </c>
      <c r="S82" s="29">
        <f t="shared" si="23"/>
        <v>0</v>
      </c>
      <c r="T82" s="24">
        <f t="shared" si="24"/>
        <v>24850.550000000003</v>
      </c>
      <c r="U82" s="31">
        <f t="shared" si="25"/>
        <v>-5849.4499999999971</v>
      </c>
      <c r="V82" s="32">
        <f t="shared" si="31"/>
        <v>-5.5893229116899468</v>
      </c>
      <c r="W82" s="32">
        <f t="shared" si="26"/>
        <v>19240.550000000003</v>
      </c>
      <c r="X82" s="33">
        <v>5610</v>
      </c>
      <c r="Y82" s="30">
        <f t="shared" si="27"/>
        <v>19240.550000000003</v>
      </c>
    </row>
    <row r="83" spans="1:25" ht="16.5" x14ac:dyDescent="0.3">
      <c r="A83" s="27">
        <v>229</v>
      </c>
      <c r="B83" s="27">
        <v>1</v>
      </c>
      <c r="C83" s="28" t="s">
        <v>140</v>
      </c>
      <c r="D83" s="24">
        <f>'[1]FY13 9-16-13 to copy to sheet'!F73</f>
        <v>0</v>
      </c>
      <c r="E83" s="25">
        <v>355.22</v>
      </c>
      <c r="F83" s="20">
        <v>335</v>
      </c>
      <c r="G83" s="20">
        <v>13</v>
      </c>
      <c r="H83" s="23">
        <f t="shared" si="17"/>
        <v>3.880597014925373E-2</v>
      </c>
      <c r="I83" s="29">
        <f t="shared" si="28"/>
        <v>4824.63</v>
      </c>
      <c r="J83" s="24">
        <f t="shared" si="29"/>
        <v>0</v>
      </c>
      <c r="K83" s="24">
        <f t="shared" si="18"/>
        <v>4824.63</v>
      </c>
      <c r="L83" s="30">
        <v>0</v>
      </c>
      <c r="M83" s="30">
        <f t="shared" si="19"/>
        <v>0</v>
      </c>
      <c r="N83" s="29">
        <f t="shared" si="30"/>
        <v>0</v>
      </c>
      <c r="O83" s="29">
        <f t="shared" si="20"/>
        <v>0</v>
      </c>
      <c r="P83" s="29">
        <f t="shared" si="21"/>
        <v>0</v>
      </c>
      <c r="Q83" s="30">
        <f t="shared" si="22"/>
        <v>0</v>
      </c>
      <c r="R83" s="30">
        <v>0</v>
      </c>
      <c r="S83" s="29">
        <f t="shared" si="23"/>
        <v>0</v>
      </c>
      <c r="T83" s="24">
        <f t="shared" si="24"/>
        <v>0</v>
      </c>
      <c r="U83" s="31">
        <f t="shared" si="25"/>
        <v>0</v>
      </c>
      <c r="V83" s="32">
        <f t="shared" si="31"/>
        <v>0</v>
      </c>
      <c r="W83" s="32">
        <f t="shared" si="26"/>
        <v>0</v>
      </c>
      <c r="X83" s="33">
        <v>0</v>
      </c>
      <c r="Y83" s="30">
        <f t="shared" si="27"/>
        <v>0</v>
      </c>
    </row>
    <row r="84" spans="1:25" ht="16.5" x14ac:dyDescent="0.3">
      <c r="A84" s="27">
        <v>238</v>
      </c>
      <c r="B84" s="27">
        <v>1</v>
      </c>
      <c r="C84" s="28" t="s">
        <v>141</v>
      </c>
      <c r="D84" s="24">
        <f>'[1]FY13 9-16-13 to copy to sheet'!F74</f>
        <v>0</v>
      </c>
      <c r="E84" s="25">
        <v>294.43</v>
      </c>
      <c r="F84" s="20">
        <v>260</v>
      </c>
      <c r="G84" s="20">
        <v>0</v>
      </c>
      <c r="H84" s="23">
        <f t="shared" si="17"/>
        <v>0</v>
      </c>
      <c r="I84" s="29">
        <f t="shared" si="28"/>
        <v>0</v>
      </c>
      <c r="J84" s="24">
        <f t="shared" si="29"/>
        <v>0</v>
      </c>
      <c r="K84" s="24">
        <f t="shared" si="18"/>
        <v>0</v>
      </c>
      <c r="L84" s="30">
        <v>0</v>
      </c>
      <c r="M84" s="30">
        <f t="shared" si="19"/>
        <v>0</v>
      </c>
      <c r="N84" s="29">
        <f t="shared" si="30"/>
        <v>0</v>
      </c>
      <c r="O84" s="29">
        <f t="shared" si="20"/>
        <v>0</v>
      </c>
      <c r="P84" s="29">
        <f t="shared" si="21"/>
        <v>0</v>
      </c>
      <c r="Q84" s="30">
        <f t="shared" si="22"/>
        <v>0</v>
      </c>
      <c r="R84" s="30">
        <v>0</v>
      </c>
      <c r="S84" s="29">
        <f t="shared" si="23"/>
        <v>0</v>
      </c>
      <c r="T84" s="24">
        <f t="shared" si="24"/>
        <v>0</v>
      </c>
      <c r="U84" s="31">
        <f t="shared" si="25"/>
        <v>0</v>
      </c>
      <c r="V84" s="32">
        <f t="shared" si="31"/>
        <v>0</v>
      </c>
      <c r="W84" s="32">
        <f t="shared" si="26"/>
        <v>0</v>
      </c>
      <c r="X84" s="33">
        <v>0</v>
      </c>
      <c r="Y84" s="30">
        <f t="shared" si="27"/>
        <v>0</v>
      </c>
    </row>
    <row r="85" spans="1:25" ht="16.5" x14ac:dyDescent="0.3">
      <c r="A85" s="27">
        <v>239</v>
      </c>
      <c r="B85" s="27">
        <v>1</v>
      </c>
      <c r="C85" s="28" t="s">
        <v>142</v>
      </c>
      <c r="D85" s="24">
        <f>'[1]FY13 9-16-13 to copy to sheet'!F75</f>
        <v>0</v>
      </c>
      <c r="E85" s="25">
        <v>783.85</v>
      </c>
      <c r="F85" s="20">
        <v>664</v>
      </c>
      <c r="G85" s="20">
        <v>17</v>
      </c>
      <c r="H85" s="23">
        <f t="shared" si="17"/>
        <v>2.5602409638554216E-2</v>
      </c>
      <c r="I85" s="29">
        <f t="shared" si="28"/>
        <v>7023.96</v>
      </c>
      <c r="J85" s="24">
        <f t="shared" si="29"/>
        <v>0</v>
      </c>
      <c r="K85" s="24">
        <f t="shared" si="18"/>
        <v>7023.96</v>
      </c>
      <c r="L85" s="30">
        <v>0</v>
      </c>
      <c r="M85" s="30">
        <f t="shared" si="19"/>
        <v>0</v>
      </c>
      <c r="N85" s="29">
        <f t="shared" si="30"/>
        <v>0</v>
      </c>
      <c r="O85" s="29">
        <f t="shared" si="20"/>
        <v>0</v>
      </c>
      <c r="P85" s="29">
        <f t="shared" si="21"/>
        <v>0</v>
      </c>
      <c r="Q85" s="30">
        <f t="shared" si="22"/>
        <v>0</v>
      </c>
      <c r="R85" s="30">
        <v>0</v>
      </c>
      <c r="S85" s="29">
        <f t="shared" si="23"/>
        <v>0</v>
      </c>
      <c r="T85" s="24">
        <f t="shared" si="24"/>
        <v>0</v>
      </c>
      <c r="U85" s="31">
        <f t="shared" si="25"/>
        <v>0</v>
      </c>
      <c r="V85" s="32">
        <f t="shared" si="31"/>
        <v>0</v>
      </c>
      <c r="W85" s="32">
        <f t="shared" si="26"/>
        <v>0</v>
      </c>
      <c r="X85" s="33">
        <v>0</v>
      </c>
      <c r="Y85" s="30">
        <f t="shared" si="27"/>
        <v>0</v>
      </c>
    </row>
    <row r="86" spans="1:25" ht="16.5" x14ac:dyDescent="0.3">
      <c r="A86" s="34">
        <v>241</v>
      </c>
      <c r="B86" s="34">
        <v>1</v>
      </c>
      <c r="C86" s="1" t="s">
        <v>143</v>
      </c>
      <c r="D86" s="24">
        <f>'[1]FY13 9-16-13 to copy to sheet'!F76</f>
        <v>332439</v>
      </c>
      <c r="E86" s="25">
        <v>3804.13</v>
      </c>
      <c r="F86" s="20">
        <v>3335</v>
      </c>
      <c r="G86" s="20">
        <v>786</v>
      </c>
      <c r="H86" s="23">
        <f t="shared" si="17"/>
        <v>0.23568215892053973</v>
      </c>
      <c r="I86" s="29">
        <f t="shared" si="28"/>
        <v>313797.95</v>
      </c>
      <c r="J86" s="24">
        <f t="shared" si="29"/>
        <v>12303.09</v>
      </c>
      <c r="K86" s="24">
        <f t="shared" si="18"/>
        <v>326101.04000000004</v>
      </c>
      <c r="L86" s="30">
        <v>364142</v>
      </c>
      <c r="M86" s="30">
        <f t="shared" si="19"/>
        <v>365234.43</v>
      </c>
      <c r="N86" s="29">
        <f t="shared" si="30"/>
        <v>326101.04000000004</v>
      </c>
      <c r="O86" s="29">
        <f t="shared" si="20"/>
        <v>978.3</v>
      </c>
      <c r="P86" s="29">
        <f t="shared" si="21"/>
        <v>325122.74000000005</v>
      </c>
      <c r="Q86" s="30">
        <f t="shared" si="22"/>
        <v>38041.300000000003</v>
      </c>
      <c r="R86" s="30">
        <v>0</v>
      </c>
      <c r="S86" s="29">
        <f t="shared" si="23"/>
        <v>0</v>
      </c>
      <c r="T86" s="24">
        <f t="shared" si="24"/>
        <v>325122.74000000005</v>
      </c>
      <c r="U86" s="31">
        <f t="shared" si="25"/>
        <v>-7316.2599999999511</v>
      </c>
      <c r="V86" s="32">
        <f t="shared" si="31"/>
        <v>-1.9232413193029552</v>
      </c>
      <c r="W86" s="32">
        <f t="shared" si="26"/>
        <v>225391.04000000004</v>
      </c>
      <c r="X86" s="33">
        <v>99731.7</v>
      </c>
      <c r="Y86" s="30">
        <f t="shared" si="27"/>
        <v>225391.04000000004</v>
      </c>
    </row>
    <row r="87" spans="1:25" ht="16.5" x14ac:dyDescent="0.3">
      <c r="A87" s="27">
        <v>242</v>
      </c>
      <c r="B87" s="27">
        <v>1</v>
      </c>
      <c r="C87" s="28" t="s">
        <v>144</v>
      </c>
      <c r="D87" s="24">
        <f>'[1]FY13 9-16-13 to copy to sheet'!F77</f>
        <v>0</v>
      </c>
      <c r="E87" s="25">
        <v>586.75</v>
      </c>
      <c r="F87" s="20">
        <v>507</v>
      </c>
      <c r="G87" s="20">
        <v>34</v>
      </c>
      <c r="H87" s="23">
        <f t="shared" si="17"/>
        <v>6.7061143984220903E-2</v>
      </c>
      <c r="I87" s="29">
        <f t="shared" si="28"/>
        <v>13771.84</v>
      </c>
      <c r="J87" s="24">
        <f t="shared" si="29"/>
        <v>0</v>
      </c>
      <c r="K87" s="24">
        <f t="shared" si="18"/>
        <v>13771.84</v>
      </c>
      <c r="L87" s="30">
        <v>0</v>
      </c>
      <c r="M87" s="30">
        <f t="shared" si="19"/>
        <v>0</v>
      </c>
      <c r="N87" s="29">
        <f t="shared" si="30"/>
        <v>0</v>
      </c>
      <c r="O87" s="29">
        <f t="shared" si="20"/>
        <v>0</v>
      </c>
      <c r="P87" s="29">
        <f t="shared" si="21"/>
        <v>0</v>
      </c>
      <c r="Q87" s="30">
        <f t="shared" si="22"/>
        <v>0</v>
      </c>
      <c r="R87" s="30">
        <v>0</v>
      </c>
      <c r="S87" s="29">
        <f t="shared" si="23"/>
        <v>0</v>
      </c>
      <c r="T87" s="24">
        <f t="shared" si="24"/>
        <v>0</v>
      </c>
      <c r="U87" s="31">
        <f t="shared" si="25"/>
        <v>0</v>
      </c>
      <c r="V87" s="32">
        <f t="shared" si="31"/>
        <v>0</v>
      </c>
      <c r="W87" s="32">
        <f t="shared" si="26"/>
        <v>0</v>
      </c>
      <c r="X87" s="33">
        <v>0</v>
      </c>
      <c r="Y87" s="30">
        <f t="shared" si="27"/>
        <v>0</v>
      </c>
    </row>
    <row r="88" spans="1:25" ht="16.5" x14ac:dyDescent="0.3">
      <c r="A88" s="27">
        <v>252</v>
      </c>
      <c r="B88" s="27">
        <v>1</v>
      </c>
      <c r="C88" s="28" t="s">
        <v>145</v>
      </c>
      <c r="D88" s="24">
        <f>'[1]FY13 9-16-13 to copy to sheet'!F78</f>
        <v>0</v>
      </c>
      <c r="E88" s="25">
        <v>1393.14</v>
      </c>
      <c r="F88" s="20">
        <v>1174</v>
      </c>
      <c r="G88" s="20">
        <v>85</v>
      </c>
      <c r="H88" s="23">
        <f t="shared" si="17"/>
        <v>7.2402044293015333E-2</v>
      </c>
      <c r="I88" s="29">
        <f t="shared" si="28"/>
        <v>35303.160000000003</v>
      </c>
      <c r="J88" s="24">
        <f t="shared" si="29"/>
        <v>0</v>
      </c>
      <c r="K88" s="24">
        <f t="shared" si="18"/>
        <v>35303.160000000003</v>
      </c>
      <c r="L88" s="30">
        <v>0</v>
      </c>
      <c r="M88" s="30">
        <f t="shared" si="19"/>
        <v>0</v>
      </c>
      <c r="N88" s="29">
        <f t="shared" si="30"/>
        <v>0</v>
      </c>
      <c r="O88" s="29">
        <f t="shared" si="20"/>
        <v>0</v>
      </c>
      <c r="P88" s="29">
        <f t="shared" si="21"/>
        <v>0</v>
      </c>
      <c r="Q88" s="30">
        <f t="shared" si="22"/>
        <v>0</v>
      </c>
      <c r="R88" s="30">
        <v>0</v>
      </c>
      <c r="S88" s="29">
        <f t="shared" si="23"/>
        <v>0</v>
      </c>
      <c r="T88" s="24">
        <f t="shared" si="24"/>
        <v>0</v>
      </c>
      <c r="U88" s="31">
        <f t="shared" si="25"/>
        <v>0</v>
      </c>
      <c r="V88" s="32">
        <f t="shared" si="31"/>
        <v>0</v>
      </c>
      <c r="W88" s="32">
        <f t="shared" si="26"/>
        <v>0</v>
      </c>
      <c r="X88" s="33">
        <v>0</v>
      </c>
      <c r="Y88" s="30">
        <f t="shared" si="27"/>
        <v>0</v>
      </c>
    </row>
    <row r="89" spans="1:25" ht="16.5" x14ac:dyDescent="0.3">
      <c r="A89" s="27">
        <v>253</v>
      </c>
      <c r="B89" s="27">
        <v>1</v>
      </c>
      <c r="C89" s="28" t="s">
        <v>146</v>
      </c>
      <c r="D89" s="24">
        <f>'[1]FY13 9-16-13 to copy to sheet'!F79</f>
        <v>0</v>
      </c>
      <c r="E89" s="25">
        <v>746.06</v>
      </c>
      <c r="F89" s="20">
        <v>661</v>
      </c>
      <c r="G89" s="20">
        <v>51</v>
      </c>
      <c r="H89" s="23">
        <f t="shared" si="17"/>
        <v>7.7155824508320731E-2</v>
      </c>
      <c r="I89" s="29">
        <f t="shared" si="28"/>
        <v>20147.009999999998</v>
      </c>
      <c r="J89" s="24">
        <f t="shared" si="29"/>
        <v>0</v>
      </c>
      <c r="K89" s="24">
        <f t="shared" si="18"/>
        <v>20147.009999999998</v>
      </c>
      <c r="L89" s="30">
        <v>0</v>
      </c>
      <c r="M89" s="30">
        <f t="shared" si="19"/>
        <v>0</v>
      </c>
      <c r="N89" s="29">
        <f t="shared" si="30"/>
        <v>0</v>
      </c>
      <c r="O89" s="29">
        <f t="shared" si="20"/>
        <v>0</v>
      </c>
      <c r="P89" s="29">
        <f t="shared" si="21"/>
        <v>0</v>
      </c>
      <c r="Q89" s="30">
        <f t="shared" si="22"/>
        <v>0</v>
      </c>
      <c r="R89" s="30">
        <v>0</v>
      </c>
      <c r="S89" s="29">
        <f t="shared" si="23"/>
        <v>0</v>
      </c>
      <c r="T89" s="24">
        <f t="shared" si="24"/>
        <v>0</v>
      </c>
      <c r="U89" s="31">
        <f t="shared" si="25"/>
        <v>0</v>
      </c>
      <c r="V89" s="32">
        <f t="shared" si="31"/>
        <v>0</v>
      </c>
      <c r="W89" s="32">
        <f t="shared" si="26"/>
        <v>0</v>
      </c>
      <c r="X89" s="33">
        <v>0</v>
      </c>
      <c r="Y89" s="30">
        <f t="shared" si="27"/>
        <v>0</v>
      </c>
    </row>
    <row r="90" spans="1:25" ht="16.5" x14ac:dyDescent="0.3">
      <c r="A90" s="34">
        <v>255</v>
      </c>
      <c r="B90" s="34">
        <v>1</v>
      </c>
      <c r="C90" s="1" t="s">
        <v>147</v>
      </c>
      <c r="D90" s="24">
        <f>'[1]FY13 9-16-13 to copy to sheet'!F80</f>
        <v>0</v>
      </c>
      <c r="E90" s="25">
        <v>1380.95</v>
      </c>
      <c r="F90" s="20">
        <v>1170</v>
      </c>
      <c r="G90" s="20">
        <v>57</v>
      </c>
      <c r="H90" s="23">
        <f t="shared" si="17"/>
        <v>4.8717948717948718E-2</v>
      </c>
      <c r="I90" s="29">
        <f t="shared" si="28"/>
        <v>23546.97</v>
      </c>
      <c r="J90" s="24">
        <f t="shared" si="29"/>
        <v>0</v>
      </c>
      <c r="K90" s="24">
        <f t="shared" si="18"/>
        <v>23546.97</v>
      </c>
      <c r="L90" s="30">
        <v>0</v>
      </c>
      <c r="M90" s="30">
        <f t="shared" si="19"/>
        <v>0</v>
      </c>
      <c r="N90" s="29">
        <f t="shared" si="30"/>
        <v>0</v>
      </c>
      <c r="O90" s="29">
        <f t="shared" si="20"/>
        <v>0</v>
      </c>
      <c r="P90" s="29">
        <f t="shared" si="21"/>
        <v>0</v>
      </c>
      <c r="Q90" s="30">
        <f t="shared" si="22"/>
        <v>0</v>
      </c>
      <c r="R90" s="30">
        <v>0</v>
      </c>
      <c r="S90" s="29">
        <f t="shared" si="23"/>
        <v>0</v>
      </c>
      <c r="T90" s="24">
        <f t="shared" si="24"/>
        <v>0</v>
      </c>
      <c r="U90" s="31">
        <f t="shared" si="25"/>
        <v>0</v>
      </c>
      <c r="V90" s="32">
        <f t="shared" si="31"/>
        <v>0</v>
      </c>
      <c r="W90" s="32">
        <f t="shared" si="26"/>
        <v>0</v>
      </c>
      <c r="X90" s="33">
        <v>0</v>
      </c>
      <c r="Y90" s="30">
        <f t="shared" si="27"/>
        <v>0</v>
      </c>
    </row>
    <row r="91" spans="1:25" ht="16.5" x14ac:dyDescent="0.3">
      <c r="A91" s="27">
        <v>256</v>
      </c>
      <c r="B91" s="27">
        <v>1</v>
      </c>
      <c r="C91" s="28" t="s">
        <v>148</v>
      </c>
      <c r="D91" s="24">
        <f>'[1]FY13 9-16-13 to copy to sheet'!F81</f>
        <v>0</v>
      </c>
      <c r="E91" s="25">
        <v>3326.57</v>
      </c>
      <c r="F91" s="20">
        <v>2834</v>
      </c>
      <c r="G91" s="20">
        <v>494</v>
      </c>
      <c r="H91" s="23">
        <f t="shared" si="17"/>
        <v>0.1743119266055046</v>
      </c>
      <c r="I91" s="29">
        <f t="shared" si="28"/>
        <v>202951.29</v>
      </c>
      <c r="J91" s="24">
        <f t="shared" si="29"/>
        <v>0</v>
      </c>
      <c r="K91" s="24">
        <f t="shared" si="18"/>
        <v>202951.29</v>
      </c>
      <c r="L91" s="30">
        <v>0</v>
      </c>
      <c r="M91" s="30">
        <f t="shared" si="19"/>
        <v>0</v>
      </c>
      <c r="N91" s="29">
        <f t="shared" si="30"/>
        <v>0</v>
      </c>
      <c r="O91" s="29">
        <f t="shared" si="20"/>
        <v>0</v>
      </c>
      <c r="P91" s="29">
        <f t="shared" si="21"/>
        <v>0</v>
      </c>
      <c r="Q91" s="30">
        <f t="shared" si="22"/>
        <v>0</v>
      </c>
      <c r="R91" s="30">
        <v>0</v>
      </c>
      <c r="S91" s="29">
        <f t="shared" si="23"/>
        <v>0</v>
      </c>
      <c r="T91" s="24">
        <f t="shared" si="24"/>
        <v>0</v>
      </c>
      <c r="U91" s="31">
        <f t="shared" si="25"/>
        <v>0</v>
      </c>
      <c r="V91" s="32">
        <f t="shared" si="31"/>
        <v>0</v>
      </c>
      <c r="W91" s="32">
        <f t="shared" si="26"/>
        <v>0</v>
      </c>
      <c r="X91" s="33">
        <v>0</v>
      </c>
      <c r="Y91" s="30">
        <f t="shared" si="27"/>
        <v>0</v>
      </c>
    </row>
    <row r="92" spans="1:25" ht="16.5" x14ac:dyDescent="0.3">
      <c r="A92" s="27">
        <v>261</v>
      </c>
      <c r="B92" s="27">
        <v>1</v>
      </c>
      <c r="C92" s="28" t="s">
        <v>149</v>
      </c>
      <c r="D92" s="24">
        <f>'[1]FY13 9-16-13 to copy to sheet'!F82</f>
        <v>0</v>
      </c>
      <c r="E92" s="25">
        <v>293.64999999999998</v>
      </c>
      <c r="F92" s="20">
        <v>247</v>
      </c>
      <c r="G92" s="20">
        <v>6</v>
      </c>
      <c r="H92" s="23">
        <f t="shared" si="17"/>
        <v>2.4291497975708502E-2</v>
      </c>
      <c r="I92" s="29">
        <f t="shared" si="28"/>
        <v>2496.62</v>
      </c>
      <c r="J92" s="24">
        <f t="shared" si="29"/>
        <v>0</v>
      </c>
      <c r="K92" s="24">
        <f t="shared" si="18"/>
        <v>2496.62</v>
      </c>
      <c r="L92" s="30">
        <v>0</v>
      </c>
      <c r="M92" s="30">
        <f t="shared" si="19"/>
        <v>0</v>
      </c>
      <c r="N92" s="29">
        <f t="shared" si="30"/>
        <v>0</v>
      </c>
      <c r="O92" s="29">
        <f t="shared" si="20"/>
        <v>0</v>
      </c>
      <c r="P92" s="29">
        <f t="shared" si="21"/>
        <v>0</v>
      </c>
      <c r="Q92" s="30">
        <f t="shared" si="22"/>
        <v>0</v>
      </c>
      <c r="R92" s="30">
        <v>0</v>
      </c>
      <c r="S92" s="29">
        <f t="shared" si="23"/>
        <v>0</v>
      </c>
      <c r="T92" s="24">
        <f t="shared" si="24"/>
        <v>0</v>
      </c>
      <c r="U92" s="31">
        <f t="shared" si="25"/>
        <v>0</v>
      </c>
      <c r="V92" s="32">
        <f t="shared" si="31"/>
        <v>0</v>
      </c>
      <c r="W92" s="32">
        <f t="shared" si="26"/>
        <v>0</v>
      </c>
      <c r="X92" s="33">
        <v>0</v>
      </c>
      <c r="Y92" s="30">
        <f t="shared" si="27"/>
        <v>0</v>
      </c>
    </row>
    <row r="93" spans="1:25" ht="16.5" x14ac:dyDescent="0.3">
      <c r="A93" s="27">
        <v>264</v>
      </c>
      <c r="B93" s="27">
        <v>1</v>
      </c>
      <c r="C93" s="28" t="s">
        <v>150</v>
      </c>
      <c r="D93" s="24">
        <f>'[1]FY13 9-16-13 to copy to sheet'!F83</f>
        <v>0</v>
      </c>
      <c r="E93" s="25">
        <v>113.26</v>
      </c>
      <c r="F93" s="20">
        <v>96</v>
      </c>
      <c r="G93" s="20">
        <v>9</v>
      </c>
      <c r="H93" s="23">
        <f t="shared" si="17"/>
        <v>9.375E-2</v>
      </c>
      <c r="I93" s="29">
        <f t="shared" si="28"/>
        <v>3716.34</v>
      </c>
      <c r="J93" s="24">
        <f t="shared" si="29"/>
        <v>0</v>
      </c>
      <c r="K93" s="24">
        <f t="shared" si="18"/>
        <v>3716.34</v>
      </c>
      <c r="L93" s="30">
        <v>0</v>
      </c>
      <c r="M93" s="30">
        <f t="shared" si="19"/>
        <v>0</v>
      </c>
      <c r="N93" s="29">
        <f t="shared" si="30"/>
        <v>0</v>
      </c>
      <c r="O93" s="29">
        <f t="shared" si="20"/>
        <v>0</v>
      </c>
      <c r="P93" s="29">
        <f t="shared" si="21"/>
        <v>0</v>
      </c>
      <c r="Q93" s="30">
        <f t="shared" si="22"/>
        <v>0</v>
      </c>
      <c r="R93" s="30">
        <v>0</v>
      </c>
      <c r="S93" s="29">
        <f t="shared" si="23"/>
        <v>0</v>
      </c>
      <c r="T93" s="24">
        <f t="shared" si="24"/>
        <v>0</v>
      </c>
      <c r="U93" s="31">
        <f t="shared" si="25"/>
        <v>0</v>
      </c>
      <c r="V93" s="32">
        <f t="shared" si="31"/>
        <v>0</v>
      </c>
      <c r="W93" s="32">
        <f t="shared" si="26"/>
        <v>0</v>
      </c>
      <c r="X93" s="33">
        <v>0</v>
      </c>
      <c r="Y93" s="30">
        <f t="shared" si="27"/>
        <v>0</v>
      </c>
    </row>
    <row r="94" spans="1:25" ht="16.5" x14ac:dyDescent="0.3">
      <c r="A94" s="34">
        <v>270</v>
      </c>
      <c r="B94" s="34">
        <v>1</v>
      </c>
      <c r="C94" s="1" t="s">
        <v>151</v>
      </c>
      <c r="D94" s="24">
        <f>'[1]FY13 9-16-13 to copy to sheet'!F84</f>
        <v>1207162.75</v>
      </c>
      <c r="E94" s="25">
        <v>8045.86</v>
      </c>
      <c r="F94" s="20">
        <v>7034</v>
      </c>
      <c r="G94" s="20">
        <v>2655</v>
      </c>
      <c r="H94" s="23">
        <f t="shared" si="17"/>
        <v>0.37745237418254196</v>
      </c>
      <c r="I94" s="29">
        <f t="shared" si="28"/>
        <v>1062925.1399999999</v>
      </c>
      <c r="J94" s="24">
        <f t="shared" si="29"/>
        <v>95196.82</v>
      </c>
      <c r="K94" s="24">
        <f t="shared" si="18"/>
        <v>1158121.96</v>
      </c>
      <c r="L94" s="30">
        <v>1400150</v>
      </c>
      <c r="M94" s="30">
        <f t="shared" si="19"/>
        <v>1404350.45</v>
      </c>
      <c r="N94" s="29">
        <f t="shared" si="30"/>
        <v>1158121.96</v>
      </c>
      <c r="O94" s="29">
        <f t="shared" si="20"/>
        <v>3474.37</v>
      </c>
      <c r="P94" s="29">
        <f t="shared" si="21"/>
        <v>1154647.5899999999</v>
      </c>
      <c r="Q94" s="30">
        <f t="shared" si="22"/>
        <v>80458.599999999991</v>
      </c>
      <c r="R94" s="30">
        <v>0</v>
      </c>
      <c r="S94" s="29">
        <f t="shared" si="23"/>
        <v>0</v>
      </c>
      <c r="T94" s="24">
        <f t="shared" si="24"/>
        <v>1154647.5899999999</v>
      </c>
      <c r="U94" s="31">
        <f t="shared" si="25"/>
        <v>-52515.160000000149</v>
      </c>
      <c r="V94" s="32">
        <f t="shared" si="31"/>
        <v>-6.5269790923531046</v>
      </c>
      <c r="W94" s="32">
        <f t="shared" si="26"/>
        <v>835770.42999999982</v>
      </c>
      <c r="X94" s="33">
        <v>318877.16000000003</v>
      </c>
      <c r="Y94" s="30">
        <f t="shared" si="27"/>
        <v>835770.42999999982</v>
      </c>
    </row>
    <row r="95" spans="1:25" ht="16.5" x14ac:dyDescent="0.3">
      <c r="A95" s="34">
        <v>271</v>
      </c>
      <c r="B95" s="34">
        <v>1</v>
      </c>
      <c r="C95" s="1" t="s">
        <v>152</v>
      </c>
      <c r="D95" s="24">
        <f>'[1]FY13 9-16-13 to copy to sheet'!F85</f>
        <v>1504275</v>
      </c>
      <c r="E95" s="25">
        <v>11691.78</v>
      </c>
      <c r="F95" s="20">
        <v>10439</v>
      </c>
      <c r="G95" s="20">
        <v>4665</v>
      </c>
      <c r="H95" s="23">
        <f t="shared" si="17"/>
        <v>0.44688188523804961</v>
      </c>
      <c r="I95" s="29">
        <f t="shared" si="28"/>
        <v>1828695.64</v>
      </c>
      <c r="J95" s="24">
        <f t="shared" si="29"/>
        <v>0</v>
      </c>
      <c r="K95" s="24">
        <f t="shared" si="18"/>
        <v>1828695.64</v>
      </c>
      <c r="L95" s="30">
        <v>1506950</v>
      </c>
      <c r="M95" s="30">
        <f t="shared" si="19"/>
        <v>1511470.85</v>
      </c>
      <c r="N95" s="29">
        <f t="shared" si="30"/>
        <v>1511470.85</v>
      </c>
      <c r="O95" s="29">
        <f t="shared" si="20"/>
        <v>4520.8500000000931</v>
      </c>
      <c r="P95" s="29">
        <f t="shared" si="21"/>
        <v>1506950</v>
      </c>
      <c r="Q95" s="30">
        <f t="shared" si="22"/>
        <v>116917.8</v>
      </c>
      <c r="R95" s="30">
        <v>0</v>
      </c>
      <c r="S95" s="29">
        <f t="shared" si="23"/>
        <v>0</v>
      </c>
      <c r="T95" s="24">
        <f t="shared" si="24"/>
        <v>1506950</v>
      </c>
      <c r="U95" s="31">
        <f t="shared" si="25"/>
        <v>2675</v>
      </c>
      <c r="V95" s="32">
        <f t="shared" si="31"/>
        <v>0.22879322053613735</v>
      </c>
      <c r="W95" s="32">
        <f t="shared" si="26"/>
        <v>1052639.0899999999</v>
      </c>
      <c r="X95" s="33">
        <v>454310.91000000003</v>
      </c>
      <c r="Y95" s="30">
        <f t="shared" si="27"/>
        <v>1052639.0899999999</v>
      </c>
    </row>
    <row r="96" spans="1:25" ht="16.5" x14ac:dyDescent="0.3">
      <c r="A96" s="34">
        <v>272</v>
      </c>
      <c r="B96" s="34">
        <v>1</v>
      </c>
      <c r="C96" s="1" t="s">
        <v>153</v>
      </c>
      <c r="D96" s="24">
        <f>'[1]FY13 9-16-13 to copy to sheet'!F86</f>
        <v>1015426.04</v>
      </c>
      <c r="E96" s="25">
        <v>10586.84</v>
      </c>
      <c r="F96" s="20">
        <v>9269</v>
      </c>
      <c r="G96" s="20">
        <v>2815</v>
      </c>
      <c r="H96" s="23">
        <f t="shared" si="17"/>
        <v>0.30370050706656598</v>
      </c>
      <c r="I96" s="29">
        <f t="shared" si="28"/>
        <v>1125330.04</v>
      </c>
      <c r="J96" s="24">
        <f t="shared" si="29"/>
        <v>0</v>
      </c>
      <c r="K96" s="24">
        <f t="shared" si="18"/>
        <v>1125330.04</v>
      </c>
      <c r="L96" s="30">
        <v>968200.64</v>
      </c>
      <c r="M96" s="30">
        <f t="shared" si="19"/>
        <v>971105.24</v>
      </c>
      <c r="N96" s="29">
        <f t="shared" si="30"/>
        <v>971105.24</v>
      </c>
      <c r="O96" s="29">
        <f t="shared" si="20"/>
        <v>2904.5999999999767</v>
      </c>
      <c r="P96" s="29">
        <f t="shared" si="21"/>
        <v>968200.64</v>
      </c>
      <c r="Q96" s="30">
        <f t="shared" si="22"/>
        <v>105868.4</v>
      </c>
      <c r="R96" s="30">
        <v>0</v>
      </c>
      <c r="S96" s="29">
        <f t="shared" si="23"/>
        <v>0</v>
      </c>
      <c r="T96" s="24">
        <f t="shared" si="24"/>
        <v>968200.64</v>
      </c>
      <c r="U96" s="31">
        <f t="shared" si="25"/>
        <v>-47225.400000000023</v>
      </c>
      <c r="V96" s="32">
        <f t="shared" si="31"/>
        <v>-4.4607644962991815</v>
      </c>
      <c r="W96" s="32">
        <f t="shared" si="26"/>
        <v>668200.64</v>
      </c>
      <c r="X96" s="33">
        <v>300000</v>
      </c>
      <c r="Y96" s="30">
        <f t="shared" si="27"/>
        <v>668200.64</v>
      </c>
    </row>
    <row r="97" spans="1:25" ht="16.5" x14ac:dyDescent="0.3">
      <c r="A97" s="34">
        <v>273</v>
      </c>
      <c r="B97" s="34">
        <v>1</v>
      </c>
      <c r="C97" s="1" t="s">
        <v>154</v>
      </c>
      <c r="D97" s="24">
        <f>'[1]FY13 9-16-13 to copy to sheet'!F87</f>
        <v>971793.75</v>
      </c>
      <c r="E97" s="25">
        <v>9878.09</v>
      </c>
      <c r="F97" s="20">
        <v>8435</v>
      </c>
      <c r="G97" s="20">
        <v>1589</v>
      </c>
      <c r="H97" s="23">
        <f t="shared" si="17"/>
        <v>0.18838174273858921</v>
      </c>
      <c r="I97" s="29">
        <f t="shared" si="28"/>
        <v>651298.13</v>
      </c>
      <c r="J97" s="24">
        <f t="shared" si="29"/>
        <v>211527.11</v>
      </c>
      <c r="K97" s="24">
        <f t="shared" si="18"/>
        <v>862825.24</v>
      </c>
      <c r="L97" s="30">
        <v>903000</v>
      </c>
      <c r="M97" s="30">
        <f t="shared" si="19"/>
        <v>905709</v>
      </c>
      <c r="N97" s="29">
        <f t="shared" si="30"/>
        <v>862825.24</v>
      </c>
      <c r="O97" s="29">
        <f t="shared" si="20"/>
        <v>2588.48</v>
      </c>
      <c r="P97" s="29">
        <f t="shared" si="21"/>
        <v>860236.76</v>
      </c>
      <c r="Q97" s="30">
        <f t="shared" si="22"/>
        <v>98780.9</v>
      </c>
      <c r="R97" s="30">
        <v>0</v>
      </c>
      <c r="S97" s="29">
        <f t="shared" si="23"/>
        <v>0</v>
      </c>
      <c r="T97" s="24">
        <f t="shared" si="24"/>
        <v>860236.76</v>
      </c>
      <c r="U97" s="31">
        <f t="shared" si="25"/>
        <v>-111556.98999999999</v>
      </c>
      <c r="V97" s="32">
        <f t="shared" si="31"/>
        <v>-11.293376553564503</v>
      </c>
      <c r="W97" s="32">
        <f t="shared" si="26"/>
        <v>589336.76</v>
      </c>
      <c r="X97" s="33">
        <v>270900</v>
      </c>
      <c r="Y97" s="30">
        <f t="shared" si="27"/>
        <v>589336.76</v>
      </c>
    </row>
    <row r="98" spans="1:25" ht="16.5" x14ac:dyDescent="0.3">
      <c r="A98" s="34">
        <v>276</v>
      </c>
      <c r="B98" s="34">
        <v>1</v>
      </c>
      <c r="C98" s="1" t="s">
        <v>155</v>
      </c>
      <c r="D98" s="24">
        <f>'[1]FY13 9-16-13 to copy to sheet'!F88</f>
        <v>144836.70000000001</v>
      </c>
      <c r="E98" s="25">
        <v>11146.13</v>
      </c>
      <c r="F98" s="20">
        <v>9567</v>
      </c>
      <c r="G98" s="20">
        <v>1106</v>
      </c>
      <c r="H98" s="23">
        <f t="shared" si="17"/>
        <v>0.11560572802341382</v>
      </c>
      <c r="I98" s="29">
        <f t="shared" si="28"/>
        <v>450994.77</v>
      </c>
      <c r="J98" s="24">
        <f t="shared" si="29"/>
        <v>0</v>
      </c>
      <c r="K98" s="24">
        <f t="shared" si="18"/>
        <v>450994.77</v>
      </c>
      <c r="L98" s="30">
        <v>0</v>
      </c>
      <c r="M98" s="30">
        <f t="shared" si="19"/>
        <v>0</v>
      </c>
      <c r="N98" s="29">
        <f t="shared" si="30"/>
        <v>0</v>
      </c>
      <c r="O98" s="29">
        <f t="shared" si="20"/>
        <v>0</v>
      </c>
      <c r="P98" s="29">
        <f t="shared" si="21"/>
        <v>0</v>
      </c>
      <c r="Q98" s="30">
        <f t="shared" si="22"/>
        <v>111461.29999999999</v>
      </c>
      <c r="R98" s="30">
        <v>0</v>
      </c>
      <c r="S98" s="29">
        <f t="shared" si="23"/>
        <v>0</v>
      </c>
      <c r="T98" s="24">
        <f t="shared" si="24"/>
        <v>0</v>
      </c>
      <c r="U98" s="31">
        <f t="shared" si="25"/>
        <v>-144836.70000000001</v>
      </c>
      <c r="V98" s="32">
        <f t="shared" si="31"/>
        <v>-12.994348711167017</v>
      </c>
      <c r="W98" s="32">
        <f t="shared" si="26"/>
        <v>-136479</v>
      </c>
      <c r="X98" s="33">
        <v>136479</v>
      </c>
      <c r="Y98" s="30">
        <f t="shared" si="27"/>
        <v>0</v>
      </c>
    </row>
    <row r="99" spans="1:25" ht="16.5" x14ac:dyDescent="0.3">
      <c r="A99" s="27">
        <v>277</v>
      </c>
      <c r="B99" s="27">
        <v>1</v>
      </c>
      <c r="C99" s="28" t="s">
        <v>156</v>
      </c>
      <c r="D99" s="24">
        <f>'[1]FY13 9-16-13 to copy to sheet'!F89</f>
        <v>0</v>
      </c>
      <c r="E99" s="25">
        <v>2535.48</v>
      </c>
      <c r="F99" s="20">
        <v>2265</v>
      </c>
      <c r="G99" s="20">
        <v>156</v>
      </c>
      <c r="H99" s="23">
        <f t="shared" si="17"/>
        <v>6.887417218543046E-2</v>
      </c>
      <c r="I99" s="29">
        <f t="shared" si="28"/>
        <v>61120.18</v>
      </c>
      <c r="J99" s="24">
        <f t="shared" si="29"/>
        <v>0</v>
      </c>
      <c r="K99" s="24">
        <f t="shared" si="18"/>
        <v>61120.18</v>
      </c>
      <c r="L99" s="30">
        <v>0</v>
      </c>
      <c r="M99" s="30">
        <f t="shared" si="19"/>
        <v>0</v>
      </c>
      <c r="N99" s="29">
        <f t="shared" si="30"/>
        <v>0</v>
      </c>
      <c r="O99" s="29">
        <f t="shared" si="20"/>
        <v>0</v>
      </c>
      <c r="P99" s="29">
        <f t="shared" si="21"/>
        <v>0</v>
      </c>
      <c r="Q99" s="30">
        <f t="shared" si="22"/>
        <v>0</v>
      </c>
      <c r="R99" s="30">
        <v>0</v>
      </c>
      <c r="S99" s="29">
        <f t="shared" si="23"/>
        <v>0</v>
      </c>
      <c r="T99" s="24">
        <f t="shared" si="24"/>
        <v>0</v>
      </c>
      <c r="U99" s="31">
        <f t="shared" si="25"/>
        <v>0</v>
      </c>
      <c r="V99" s="32">
        <f t="shared" si="31"/>
        <v>0</v>
      </c>
      <c r="W99" s="32">
        <f t="shared" si="26"/>
        <v>0</v>
      </c>
      <c r="X99" s="33">
        <v>0</v>
      </c>
      <c r="Y99" s="30">
        <f t="shared" si="27"/>
        <v>0</v>
      </c>
    </row>
    <row r="100" spans="1:25" ht="16.5" x14ac:dyDescent="0.3">
      <c r="A100" s="27">
        <v>278</v>
      </c>
      <c r="B100" s="27">
        <v>1</v>
      </c>
      <c r="C100" s="28" t="s">
        <v>157</v>
      </c>
      <c r="D100" s="24">
        <f>'[1]FY13 9-16-13 to copy to sheet'!F90</f>
        <v>0</v>
      </c>
      <c r="E100" s="25">
        <v>3126.26</v>
      </c>
      <c r="F100" s="20">
        <v>2789</v>
      </c>
      <c r="G100" s="20">
        <v>183</v>
      </c>
      <c r="H100" s="23">
        <f t="shared" si="17"/>
        <v>6.5614915740408744E-2</v>
      </c>
      <c r="I100" s="29">
        <f t="shared" si="28"/>
        <v>71795.25</v>
      </c>
      <c r="J100" s="24">
        <f t="shared" si="29"/>
        <v>0</v>
      </c>
      <c r="K100" s="24">
        <f t="shared" si="18"/>
        <v>71795.25</v>
      </c>
      <c r="L100" s="30">
        <v>0</v>
      </c>
      <c r="M100" s="30">
        <f t="shared" si="19"/>
        <v>0</v>
      </c>
      <c r="N100" s="29">
        <f t="shared" si="30"/>
        <v>0</v>
      </c>
      <c r="O100" s="29">
        <f t="shared" si="20"/>
        <v>0</v>
      </c>
      <c r="P100" s="29">
        <f t="shared" si="21"/>
        <v>0</v>
      </c>
      <c r="Q100" s="30">
        <f t="shared" si="22"/>
        <v>0</v>
      </c>
      <c r="R100" s="30">
        <v>0</v>
      </c>
      <c r="S100" s="29">
        <f t="shared" si="23"/>
        <v>0</v>
      </c>
      <c r="T100" s="24">
        <f t="shared" si="24"/>
        <v>0</v>
      </c>
      <c r="U100" s="31">
        <f t="shared" si="25"/>
        <v>0</v>
      </c>
      <c r="V100" s="32">
        <f t="shared" si="31"/>
        <v>0</v>
      </c>
      <c r="W100" s="32">
        <f t="shared" si="26"/>
        <v>0</v>
      </c>
      <c r="X100" s="33">
        <v>0</v>
      </c>
      <c r="Y100" s="30">
        <f t="shared" si="27"/>
        <v>0</v>
      </c>
    </row>
    <row r="101" spans="1:25" ht="16.5" x14ac:dyDescent="0.3">
      <c r="A101" s="34">
        <v>279</v>
      </c>
      <c r="B101" s="34">
        <v>1</v>
      </c>
      <c r="C101" s="1" t="s">
        <v>158</v>
      </c>
      <c r="D101" s="24">
        <f>'[1]FY13 9-16-13 to copy to sheet'!F91</f>
        <v>3078199.84</v>
      </c>
      <c r="E101" s="25">
        <v>23429.31</v>
      </c>
      <c r="F101" s="20">
        <v>20623</v>
      </c>
      <c r="G101" s="20">
        <v>10250</v>
      </c>
      <c r="H101" s="23">
        <f t="shared" si="17"/>
        <v>0.49701789264413521</v>
      </c>
      <c r="I101" s="29">
        <f t="shared" si="28"/>
        <v>4075675.2</v>
      </c>
      <c r="J101" s="24">
        <f t="shared" si="29"/>
        <v>0</v>
      </c>
      <c r="K101" s="24">
        <f t="shared" si="18"/>
        <v>4075675.2</v>
      </c>
      <c r="L101" s="30">
        <v>4309968</v>
      </c>
      <c r="M101" s="30">
        <f t="shared" si="19"/>
        <v>4322897.9000000004</v>
      </c>
      <c r="N101" s="29">
        <f t="shared" si="30"/>
        <v>4075675.2</v>
      </c>
      <c r="O101" s="29">
        <f t="shared" si="20"/>
        <v>12227.03</v>
      </c>
      <c r="P101" s="29">
        <f t="shared" si="21"/>
        <v>4063448.1700000004</v>
      </c>
      <c r="Q101" s="30">
        <f t="shared" si="22"/>
        <v>234293.1</v>
      </c>
      <c r="R101" s="30">
        <v>0</v>
      </c>
      <c r="S101" s="29">
        <f t="shared" si="23"/>
        <v>0</v>
      </c>
      <c r="T101" s="24">
        <f t="shared" si="24"/>
        <v>4063448.1700000004</v>
      </c>
      <c r="U101" s="31">
        <f t="shared" si="25"/>
        <v>985248.33000000054</v>
      </c>
      <c r="V101" s="32">
        <f t="shared" si="31"/>
        <v>42.051956715754777</v>
      </c>
      <c r="W101" s="32">
        <f t="shared" si="26"/>
        <v>3147436.5800000005</v>
      </c>
      <c r="X101" s="33">
        <v>916011.59</v>
      </c>
      <c r="Y101" s="30">
        <f t="shared" si="27"/>
        <v>3147436.5800000005</v>
      </c>
    </row>
    <row r="102" spans="1:25" ht="16.5" x14ac:dyDescent="0.3">
      <c r="A102" s="34">
        <v>280</v>
      </c>
      <c r="B102" s="34">
        <v>1</v>
      </c>
      <c r="C102" s="1" t="s">
        <v>159</v>
      </c>
      <c r="D102" s="24">
        <f>'[1]FY13 9-16-13 to copy to sheet'!F92</f>
        <v>694244</v>
      </c>
      <c r="E102" s="25">
        <v>5205.67</v>
      </c>
      <c r="F102" s="20">
        <v>4403</v>
      </c>
      <c r="G102" s="20">
        <v>3016</v>
      </c>
      <c r="H102" s="23">
        <f t="shared" si="17"/>
        <v>0.68498750851692025</v>
      </c>
      <c r="I102" s="29">
        <f t="shared" si="28"/>
        <v>1248036.6200000001</v>
      </c>
      <c r="J102" s="24">
        <f t="shared" si="29"/>
        <v>0</v>
      </c>
      <c r="K102" s="24">
        <f t="shared" si="18"/>
        <v>1248036.6200000001</v>
      </c>
      <c r="L102" s="30">
        <v>1300093</v>
      </c>
      <c r="M102" s="30">
        <f t="shared" si="19"/>
        <v>1303993.28</v>
      </c>
      <c r="N102" s="29">
        <f t="shared" si="30"/>
        <v>1248036.6200000001</v>
      </c>
      <c r="O102" s="29">
        <f t="shared" si="20"/>
        <v>3744.11</v>
      </c>
      <c r="P102" s="29">
        <f t="shared" si="21"/>
        <v>1244292.51</v>
      </c>
      <c r="Q102" s="30">
        <f t="shared" si="22"/>
        <v>52056.7</v>
      </c>
      <c r="R102" s="30">
        <v>0</v>
      </c>
      <c r="S102" s="29">
        <f t="shared" si="23"/>
        <v>0</v>
      </c>
      <c r="T102" s="24">
        <f t="shared" si="24"/>
        <v>1244292.51</v>
      </c>
      <c r="U102" s="31">
        <f t="shared" si="25"/>
        <v>550048.51</v>
      </c>
      <c r="V102" s="32">
        <f t="shared" si="31"/>
        <v>105.66334592857403</v>
      </c>
      <c r="W102" s="32">
        <f t="shared" si="26"/>
        <v>1065384.51</v>
      </c>
      <c r="X102" s="33">
        <v>178908</v>
      </c>
      <c r="Y102" s="30">
        <f t="shared" si="27"/>
        <v>1065384.51</v>
      </c>
    </row>
    <row r="103" spans="1:25" ht="16.5" x14ac:dyDescent="0.3">
      <c r="A103" s="34">
        <v>281</v>
      </c>
      <c r="B103" s="34">
        <v>1</v>
      </c>
      <c r="C103" s="1" t="s">
        <v>160</v>
      </c>
      <c r="D103" s="24">
        <f>'[1]FY13 9-16-13 to copy to sheet'!F93</f>
        <v>2050515</v>
      </c>
      <c r="E103" s="25">
        <v>14379.74</v>
      </c>
      <c r="F103" s="20">
        <v>12181</v>
      </c>
      <c r="G103" s="20">
        <v>6190</v>
      </c>
      <c r="H103" s="23">
        <f t="shared" si="17"/>
        <v>0.50816845907560959</v>
      </c>
      <c r="I103" s="29">
        <f t="shared" si="28"/>
        <v>2557565.61</v>
      </c>
      <c r="J103" s="24">
        <f t="shared" si="29"/>
        <v>0</v>
      </c>
      <c r="K103" s="24">
        <f t="shared" si="18"/>
        <v>2557565.61</v>
      </c>
      <c r="L103" s="30">
        <v>1844700</v>
      </c>
      <c r="M103" s="30">
        <f t="shared" si="19"/>
        <v>1850234.1</v>
      </c>
      <c r="N103" s="29">
        <f t="shared" si="30"/>
        <v>1850234.1</v>
      </c>
      <c r="O103" s="29">
        <f t="shared" si="20"/>
        <v>5534.1000000000931</v>
      </c>
      <c r="P103" s="29">
        <f t="shared" si="21"/>
        <v>1844700</v>
      </c>
      <c r="Q103" s="30">
        <f t="shared" si="22"/>
        <v>143797.4</v>
      </c>
      <c r="R103" s="30">
        <v>0</v>
      </c>
      <c r="S103" s="29">
        <f t="shared" si="23"/>
        <v>0</v>
      </c>
      <c r="T103" s="24">
        <f t="shared" si="24"/>
        <v>1844700</v>
      </c>
      <c r="U103" s="31">
        <f t="shared" si="25"/>
        <v>-205815</v>
      </c>
      <c r="V103" s="32">
        <f t="shared" si="31"/>
        <v>-14.312845712092152</v>
      </c>
      <c r="W103" s="32">
        <f t="shared" si="26"/>
        <v>1308550.97</v>
      </c>
      <c r="X103" s="33">
        <v>536149.03</v>
      </c>
      <c r="Y103" s="30">
        <f t="shared" si="27"/>
        <v>1308550.97</v>
      </c>
    </row>
    <row r="104" spans="1:25" ht="16.5" x14ac:dyDescent="0.3">
      <c r="A104" s="34">
        <v>282</v>
      </c>
      <c r="B104" s="34">
        <v>1</v>
      </c>
      <c r="C104" s="1" t="s">
        <v>161</v>
      </c>
      <c r="D104" s="24">
        <f>'[1]FY13 9-16-13 to copy to sheet'!F94</f>
        <v>194029</v>
      </c>
      <c r="E104" s="25">
        <v>2022.79</v>
      </c>
      <c r="F104" s="20">
        <v>1762</v>
      </c>
      <c r="G104" s="20">
        <v>418</v>
      </c>
      <c r="H104" s="23">
        <f t="shared" si="17"/>
        <v>0.23723041997729852</v>
      </c>
      <c r="I104" s="29">
        <f t="shared" si="28"/>
        <v>167953.56</v>
      </c>
      <c r="J104" s="24">
        <f t="shared" si="29"/>
        <v>17209.79</v>
      </c>
      <c r="K104" s="24">
        <f t="shared" si="18"/>
        <v>185163.35</v>
      </c>
      <c r="L104" s="30">
        <v>194029</v>
      </c>
      <c r="M104" s="30">
        <f t="shared" si="19"/>
        <v>194611.09</v>
      </c>
      <c r="N104" s="29">
        <f t="shared" si="30"/>
        <v>185163.35</v>
      </c>
      <c r="O104" s="29">
        <f t="shared" si="20"/>
        <v>555.49</v>
      </c>
      <c r="P104" s="29">
        <f t="shared" si="21"/>
        <v>184607.86000000002</v>
      </c>
      <c r="Q104" s="30">
        <f t="shared" si="22"/>
        <v>20227.900000000001</v>
      </c>
      <c r="R104" s="30">
        <v>0</v>
      </c>
      <c r="S104" s="29">
        <f t="shared" si="23"/>
        <v>0</v>
      </c>
      <c r="T104" s="24">
        <f t="shared" si="24"/>
        <v>184607.86000000002</v>
      </c>
      <c r="U104" s="31">
        <f t="shared" si="25"/>
        <v>-9421.1399999999849</v>
      </c>
      <c r="V104" s="32">
        <f t="shared" si="31"/>
        <v>-4.6574978124273825</v>
      </c>
      <c r="W104" s="32">
        <f t="shared" si="26"/>
        <v>127468.66</v>
      </c>
      <c r="X104" s="33">
        <v>57139.200000000004</v>
      </c>
      <c r="Y104" s="30">
        <f t="shared" si="27"/>
        <v>127468.66</v>
      </c>
    </row>
    <row r="105" spans="1:25" ht="16.5" x14ac:dyDescent="0.3">
      <c r="A105" s="34">
        <v>283</v>
      </c>
      <c r="B105" s="34">
        <v>1</v>
      </c>
      <c r="C105" s="1" t="s">
        <v>162</v>
      </c>
      <c r="D105" s="24">
        <f>'[1]FY13 9-16-13 to copy to sheet'!F95</f>
        <v>759331.92999999993</v>
      </c>
      <c r="E105" s="25">
        <v>5186.28</v>
      </c>
      <c r="F105" s="20">
        <v>4605</v>
      </c>
      <c r="G105" s="20">
        <v>1774</v>
      </c>
      <c r="H105" s="23">
        <f t="shared" si="17"/>
        <v>0.38523344191096637</v>
      </c>
      <c r="I105" s="29">
        <f t="shared" si="28"/>
        <v>699274.97</v>
      </c>
      <c r="J105" s="24">
        <f t="shared" si="29"/>
        <v>39637.589999999997</v>
      </c>
      <c r="K105" s="24">
        <f t="shared" si="18"/>
        <v>738912.55999999994</v>
      </c>
      <c r="L105" s="30">
        <v>802826</v>
      </c>
      <c r="M105" s="30">
        <f t="shared" si="19"/>
        <v>805234.48</v>
      </c>
      <c r="N105" s="29">
        <f t="shared" si="30"/>
        <v>738912.55999999994</v>
      </c>
      <c r="O105" s="29">
        <f t="shared" si="20"/>
        <v>2216.7399999999998</v>
      </c>
      <c r="P105" s="29">
        <f t="shared" si="21"/>
        <v>736695.82</v>
      </c>
      <c r="Q105" s="30">
        <f t="shared" si="22"/>
        <v>51862.799999999996</v>
      </c>
      <c r="R105" s="30">
        <v>0</v>
      </c>
      <c r="S105" s="29">
        <f t="shared" si="23"/>
        <v>0</v>
      </c>
      <c r="T105" s="24">
        <f t="shared" si="24"/>
        <v>736695.82</v>
      </c>
      <c r="U105" s="31">
        <f t="shared" si="25"/>
        <v>-22636.109999999986</v>
      </c>
      <c r="V105" s="32">
        <f t="shared" si="31"/>
        <v>-4.3646139429417596</v>
      </c>
      <c r="W105" s="32">
        <f t="shared" si="26"/>
        <v>539171.0199999999</v>
      </c>
      <c r="X105" s="33">
        <v>197524.80000000002</v>
      </c>
      <c r="Y105" s="30">
        <f t="shared" si="27"/>
        <v>539171.0199999999</v>
      </c>
    </row>
    <row r="106" spans="1:25" ht="16.5" x14ac:dyDescent="0.3">
      <c r="A106" s="34">
        <v>284</v>
      </c>
      <c r="B106" s="34">
        <v>1</v>
      </c>
      <c r="C106" s="1" t="s">
        <v>163</v>
      </c>
      <c r="D106" s="24">
        <f>'[1]FY13 9-16-13 to copy to sheet'!F96</f>
        <v>1649418.6</v>
      </c>
      <c r="E106" s="25">
        <v>12611.07</v>
      </c>
      <c r="F106" s="20">
        <v>10622</v>
      </c>
      <c r="G106" s="20">
        <v>2787</v>
      </c>
      <c r="H106" s="23">
        <f t="shared" si="17"/>
        <v>0.26237996610807757</v>
      </c>
      <c r="I106" s="29">
        <f t="shared" si="28"/>
        <v>1158112.24</v>
      </c>
      <c r="J106" s="24">
        <f t="shared" si="29"/>
        <v>324262.2</v>
      </c>
      <c r="K106" s="24">
        <f t="shared" si="18"/>
        <v>1482374.44</v>
      </c>
      <c r="L106" s="30">
        <v>1600000</v>
      </c>
      <c r="M106" s="30">
        <f t="shared" si="19"/>
        <v>1604800</v>
      </c>
      <c r="N106" s="29">
        <f t="shared" si="30"/>
        <v>1482374.44</v>
      </c>
      <c r="O106" s="29">
        <f t="shared" si="20"/>
        <v>4447.12</v>
      </c>
      <c r="P106" s="29">
        <f t="shared" si="21"/>
        <v>1477927.3199999998</v>
      </c>
      <c r="Q106" s="30">
        <f t="shared" si="22"/>
        <v>126110.7</v>
      </c>
      <c r="R106" s="30">
        <v>0</v>
      </c>
      <c r="S106" s="29">
        <f t="shared" si="23"/>
        <v>0</v>
      </c>
      <c r="T106" s="24">
        <f t="shared" si="24"/>
        <v>1477927.3199999998</v>
      </c>
      <c r="U106" s="31">
        <f t="shared" si="25"/>
        <v>-171491.28000000026</v>
      </c>
      <c r="V106" s="32">
        <f t="shared" si="31"/>
        <v>-13.59847181880683</v>
      </c>
      <c r="W106" s="32">
        <f t="shared" si="26"/>
        <v>1003846.8999999999</v>
      </c>
      <c r="X106" s="33">
        <v>474080.42</v>
      </c>
      <c r="Y106" s="30">
        <f t="shared" si="27"/>
        <v>1003846.8999999999</v>
      </c>
    </row>
    <row r="107" spans="1:25" ht="16.5" x14ac:dyDescent="0.3">
      <c r="A107" s="34">
        <v>286</v>
      </c>
      <c r="B107" s="34">
        <v>1</v>
      </c>
      <c r="C107" s="1" t="s">
        <v>164</v>
      </c>
      <c r="D107" s="24">
        <f>'[1]FY13 9-16-13 to copy to sheet'!F97</f>
        <v>301000</v>
      </c>
      <c r="E107" s="25">
        <v>2629.24</v>
      </c>
      <c r="F107" s="20">
        <v>2177</v>
      </c>
      <c r="G107" s="20">
        <v>1569</v>
      </c>
      <c r="H107" s="23">
        <f t="shared" si="17"/>
        <v>0.72071658245291681</v>
      </c>
      <c r="I107" s="29">
        <f t="shared" si="28"/>
        <v>663227.9</v>
      </c>
      <c r="J107" s="24">
        <f t="shared" si="29"/>
        <v>0</v>
      </c>
      <c r="K107" s="24">
        <f t="shared" si="18"/>
        <v>663227.9</v>
      </c>
      <c r="L107" s="30">
        <v>301000</v>
      </c>
      <c r="M107" s="30">
        <f t="shared" si="19"/>
        <v>301903</v>
      </c>
      <c r="N107" s="29">
        <f t="shared" si="30"/>
        <v>301903</v>
      </c>
      <c r="O107" s="29">
        <f t="shared" si="20"/>
        <v>903</v>
      </c>
      <c r="P107" s="29">
        <f t="shared" si="21"/>
        <v>301000</v>
      </c>
      <c r="Q107" s="30">
        <f t="shared" si="22"/>
        <v>26292.399999999998</v>
      </c>
      <c r="R107" s="30">
        <v>0</v>
      </c>
      <c r="S107" s="29">
        <f t="shared" si="23"/>
        <v>0</v>
      </c>
      <c r="T107" s="24">
        <f t="shared" si="24"/>
        <v>301000</v>
      </c>
      <c r="U107" s="31">
        <f t="shared" si="25"/>
        <v>0</v>
      </c>
      <c r="V107" s="32">
        <f t="shared" si="31"/>
        <v>0</v>
      </c>
      <c r="W107" s="32">
        <f t="shared" si="26"/>
        <v>230860</v>
      </c>
      <c r="X107" s="33">
        <v>70140</v>
      </c>
      <c r="Y107" s="30">
        <f t="shared" si="27"/>
        <v>230860</v>
      </c>
    </row>
    <row r="108" spans="1:25" ht="16.5" x14ac:dyDescent="0.3">
      <c r="A108" s="27">
        <v>294</v>
      </c>
      <c r="B108" s="27">
        <v>1</v>
      </c>
      <c r="C108" s="28" t="s">
        <v>165</v>
      </c>
      <c r="D108" s="24">
        <f>'[1]FY13 9-16-13 to copy to sheet'!F98</f>
        <v>0</v>
      </c>
      <c r="E108" s="25">
        <v>2767.25</v>
      </c>
      <c r="F108" s="20">
        <v>2571</v>
      </c>
      <c r="G108" s="20">
        <v>295</v>
      </c>
      <c r="H108" s="23">
        <f t="shared" si="17"/>
        <v>0.11474134577985219</v>
      </c>
      <c r="I108" s="29">
        <f t="shared" si="28"/>
        <v>111131.3</v>
      </c>
      <c r="J108" s="24">
        <f t="shared" si="29"/>
        <v>0</v>
      </c>
      <c r="K108" s="24">
        <f t="shared" si="18"/>
        <v>111131.3</v>
      </c>
      <c r="L108" s="30">
        <v>0</v>
      </c>
      <c r="M108" s="30">
        <f t="shared" si="19"/>
        <v>0</v>
      </c>
      <c r="N108" s="29">
        <f t="shared" si="30"/>
        <v>0</v>
      </c>
      <c r="O108" s="29">
        <f t="shared" si="20"/>
        <v>0</v>
      </c>
      <c r="P108" s="29">
        <f t="shared" si="21"/>
        <v>0</v>
      </c>
      <c r="Q108" s="30">
        <f t="shared" si="22"/>
        <v>0</v>
      </c>
      <c r="R108" s="30">
        <v>0</v>
      </c>
      <c r="S108" s="29">
        <f t="shared" si="23"/>
        <v>0</v>
      </c>
      <c r="T108" s="24">
        <f t="shared" si="24"/>
        <v>0</v>
      </c>
      <c r="U108" s="31">
        <f t="shared" si="25"/>
        <v>0</v>
      </c>
      <c r="V108" s="32">
        <f t="shared" si="31"/>
        <v>0</v>
      </c>
      <c r="W108" s="32">
        <f t="shared" si="26"/>
        <v>0</v>
      </c>
      <c r="X108" s="33">
        <v>0</v>
      </c>
      <c r="Y108" s="30">
        <f t="shared" si="27"/>
        <v>0</v>
      </c>
    </row>
    <row r="109" spans="1:25" ht="16.5" x14ac:dyDescent="0.3">
      <c r="A109" s="27">
        <v>297</v>
      </c>
      <c r="B109" s="27">
        <v>1</v>
      </c>
      <c r="C109" s="28" t="s">
        <v>166</v>
      </c>
      <c r="D109" s="24">
        <f>'[1]FY13 9-16-13 to copy to sheet'!F99</f>
        <v>0</v>
      </c>
      <c r="E109" s="25">
        <v>399.71</v>
      </c>
      <c r="F109" s="20">
        <v>344</v>
      </c>
      <c r="G109" s="20">
        <v>7</v>
      </c>
      <c r="H109" s="23">
        <f t="shared" si="17"/>
        <v>2.0348837209302327E-2</v>
      </c>
      <c r="I109" s="29">
        <f t="shared" si="28"/>
        <v>2846.77</v>
      </c>
      <c r="J109" s="24">
        <f t="shared" si="29"/>
        <v>0</v>
      </c>
      <c r="K109" s="24">
        <f t="shared" si="18"/>
        <v>2846.77</v>
      </c>
      <c r="L109" s="30">
        <v>0</v>
      </c>
      <c r="M109" s="30">
        <f t="shared" si="19"/>
        <v>0</v>
      </c>
      <c r="N109" s="29">
        <f t="shared" si="30"/>
        <v>0</v>
      </c>
      <c r="O109" s="29">
        <f t="shared" si="20"/>
        <v>0</v>
      </c>
      <c r="P109" s="29">
        <f t="shared" si="21"/>
        <v>0</v>
      </c>
      <c r="Q109" s="30">
        <f t="shared" si="22"/>
        <v>0</v>
      </c>
      <c r="R109" s="30">
        <v>0</v>
      </c>
      <c r="S109" s="29">
        <f t="shared" si="23"/>
        <v>0</v>
      </c>
      <c r="T109" s="24">
        <f t="shared" si="24"/>
        <v>0</v>
      </c>
      <c r="U109" s="31">
        <f t="shared" si="25"/>
        <v>0</v>
      </c>
      <c r="V109" s="32">
        <f t="shared" si="31"/>
        <v>0</v>
      </c>
      <c r="W109" s="32">
        <f t="shared" si="26"/>
        <v>0</v>
      </c>
      <c r="X109" s="33">
        <v>0</v>
      </c>
      <c r="Y109" s="30">
        <f t="shared" si="27"/>
        <v>0</v>
      </c>
    </row>
    <row r="110" spans="1:25" ht="16.5" x14ac:dyDescent="0.3">
      <c r="A110" s="27">
        <v>299</v>
      </c>
      <c r="B110" s="27">
        <v>1</v>
      </c>
      <c r="C110" s="28" t="s">
        <v>167</v>
      </c>
      <c r="D110" s="24">
        <f>'[1]FY13 9-16-13 to copy to sheet'!F100</f>
        <v>0</v>
      </c>
      <c r="E110" s="25">
        <v>769.46</v>
      </c>
      <c r="F110" s="20">
        <v>699</v>
      </c>
      <c r="G110" s="20">
        <v>31</v>
      </c>
      <c r="H110" s="23">
        <f t="shared" si="17"/>
        <v>4.4349070100143065E-2</v>
      </c>
      <c r="I110" s="29">
        <f t="shared" si="28"/>
        <v>11943.69</v>
      </c>
      <c r="J110" s="24">
        <f t="shared" si="29"/>
        <v>0</v>
      </c>
      <c r="K110" s="24">
        <f t="shared" si="18"/>
        <v>11943.69</v>
      </c>
      <c r="L110" s="30">
        <v>0</v>
      </c>
      <c r="M110" s="30">
        <f t="shared" si="19"/>
        <v>0</v>
      </c>
      <c r="N110" s="29">
        <f t="shared" si="30"/>
        <v>0</v>
      </c>
      <c r="O110" s="29">
        <f t="shared" si="20"/>
        <v>0</v>
      </c>
      <c r="P110" s="29">
        <f t="shared" si="21"/>
        <v>0</v>
      </c>
      <c r="Q110" s="30">
        <f t="shared" si="22"/>
        <v>0</v>
      </c>
      <c r="R110" s="30">
        <v>0</v>
      </c>
      <c r="S110" s="29">
        <f t="shared" si="23"/>
        <v>0</v>
      </c>
      <c r="T110" s="24">
        <f t="shared" si="24"/>
        <v>0</v>
      </c>
      <c r="U110" s="31">
        <f t="shared" si="25"/>
        <v>0</v>
      </c>
      <c r="V110" s="32">
        <f t="shared" si="31"/>
        <v>0</v>
      </c>
      <c r="W110" s="32">
        <f t="shared" si="26"/>
        <v>0</v>
      </c>
      <c r="X110" s="33">
        <v>0</v>
      </c>
      <c r="Y110" s="30">
        <f t="shared" si="27"/>
        <v>0</v>
      </c>
    </row>
    <row r="111" spans="1:25" ht="16.5" x14ac:dyDescent="0.3">
      <c r="A111" s="27">
        <v>300</v>
      </c>
      <c r="B111" s="27">
        <v>1</v>
      </c>
      <c r="C111" s="28" t="s">
        <v>168</v>
      </c>
      <c r="D111" s="24">
        <f>'[1]FY13 9-16-13 to copy to sheet'!F101</f>
        <v>0</v>
      </c>
      <c r="E111" s="25">
        <v>1440.83</v>
      </c>
      <c r="F111" s="20">
        <v>1254</v>
      </c>
      <c r="G111" s="20">
        <v>83</v>
      </c>
      <c r="H111" s="23">
        <f t="shared" si="17"/>
        <v>6.6188197767145129E-2</v>
      </c>
      <c r="I111" s="29">
        <f t="shared" si="28"/>
        <v>33378.080000000002</v>
      </c>
      <c r="J111" s="24">
        <f t="shared" si="29"/>
        <v>0</v>
      </c>
      <c r="K111" s="24">
        <f t="shared" si="18"/>
        <v>33378.080000000002</v>
      </c>
      <c r="L111" s="30">
        <v>0</v>
      </c>
      <c r="M111" s="30">
        <f t="shared" si="19"/>
        <v>0</v>
      </c>
      <c r="N111" s="29">
        <f t="shared" si="30"/>
        <v>0</v>
      </c>
      <c r="O111" s="29">
        <f t="shared" si="20"/>
        <v>0</v>
      </c>
      <c r="P111" s="29">
        <f t="shared" si="21"/>
        <v>0</v>
      </c>
      <c r="Q111" s="30">
        <f t="shared" si="22"/>
        <v>0</v>
      </c>
      <c r="R111" s="30">
        <v>0</v>
      </c>
      <c r="S111" s="29">
        <f t="shared" si="23"/>
        <v>0</v>
      </c>
      <c r="T111" s="24">
        <f t="shared" si="24"/>
        <v>0</v>
      </c>
      <c r="U111" s="31">
        <f t="shared" si="25"/>
        <v>0</v>
      </c>
      <c r="V111" s="32">
        <f t="shared" si="31"/>
        <v>0</v>
      </c>
      <c r="W111" s="32">
        <f t="shared" si="26"/>
        <v>0</v>
      </c>
      <c r="X111" s="33">
        <v>0</v>
      </c>
      <c r="Y111" s="30">
        <f t="shared" si="27"/>
        <v>0</v>
      </c>
    </row>
    <row r="112" spans="1:25" ht="16.5" x14ac:dyDescent="0.3">
      <c r="A112" s="27">
        <v>306</v>
      </c>
      <c r="B112" s="27">
        <v>1</v>
      </c>
      <c r="C112" s="28" t="s">
        <v>169</v>
      </c>
      <c r="D112" s="24">
        <f>'[1]FY13 9-16-13 to copy to sheet'!F102</f>
        <v>0</v>
      </c>
      <c r="E112" s="25">
        <v>316.19</v>
      </c>
      <c r="F112" s="20">
        <v>263</v>
      </c>
      <c r="G112" s="20">
        <v>38</v>
      </c>
      <c r="H112" s="23">
        <f t="shared" si="17"/>
        <v>0.14448669201520911</v>
      </c>
      <c r="I112" s="29">
        <f t="shared" si="28"/>
        <v>15989.84</v>
      </c>
      <c r="J112" s="24">
        <f t="shared" si="29"/>
        <v>0</v>
      </c>
      <c r="K112" s="24">
        <f t="shared" si="18"/>
        <v>15989.84</v>
      </c>
      <c r="L112" s="30">
        <v>0</v>
      </c>
      <c r="M112" s="30">
        <f t="shared" si="19"/>
        <v>0</v>
      </c>
      <c r="N112" s="29">
        <f t="shared" si="30"/>
        <v>0</v>
      </c>
      <c r="O112" s="29">
        <f t="shared" si="20"/>
        <v>0</v>
      </c>
      <c r="P112" s="29">
        <f t="shared" si="21"/>
        <v>0</v>
      </c>
      <c r="Q112" s="30">
        <f t="shared" si="22"/>
        <v>0</v>
      </c>
      <c r="R112" s="30">
        <v>0</v>
      </c>
      <c r="S112" s="29">
        <f t="shared" si="23"/>
        <v>0</v>
      </c>
      <c r="T112" s="24">
        <f t="shared" si="24"/>
        <v>0</v>
      </c>
      <c r="U112" s="31">
        <f t="shared" si="25"/>
        <v>0</v>
      </c>
      <c r="V112" s="32">
        <f t="shared" si="31"/>
        <v>0</v>
      </c>
      <c r="W112" s="32">
        <f t="shared" si="26"/>
        <v>0</v>
      </c>
      <c r="X112" s="33">
        <v>0</v>
      </c>
      <c r="Y112" s="30">
        <f t="shared" si="27"/>
        <v>0</v>
      </c>
    </row>
    <row r="113" spans="1:25" ht="16.5" x14ac:dyDescent="0.3">
      <c r="A113" s="27">
        <v>308</v>
      </c>
      <c r="B113" s="27">
        <v>1</v>
      </c>
      <c r="C113" s="28" t="s">
        <v>170</v>
      </c>
      <c r="D113" s="24">
        <f>'[1]FY13 9-16-13 to copy to sheet'!F103</f>
        <v>0</v>
      </c>
      <c r="E113" s="25">
        <v>610.20000000000005</v>
      </c>
      <c r="F113" s="20">
        <v>542</v>
      </c>
      <c r="G113" s="20">
        <v>45</v>
      </c>
      <c r="H113" s="23">
        <f t="shared" si="17"/>
        <v>8.3025830258302583E-2</v>
      </c>
      <c r="I113" s="29">
        <f t="shared" si="28"/>
        <v>17731.830000000002</v>
      </c>
      <c r="J113" s="24">
        <f t="shared" si="29"/>
        <v>0</v>
      </c>
      <c r="K113" s="24">
        <f t="shared" si="18"/>
        <v>17731.830000000002</v>
      </c>
      <c r="L113" s="30">
        <v>0</v>
      </c>
      <c r="M113" s="30">
        <f t="shared" si="19"/>
        <v>0</v>
      </c>
      <c r="N113" s="29">
        <f t="shared" si="30"/>
        <v>0</v>
      </c>
      <c r="O113" s="29">
        <f t="shared" si="20"/>
        <v>0</v>
      </c>
      <c r="P113" s="29">
        <f t="shared" si="21"/>
        <v>0</v>
      </c>
      <c r="Q113" s="30">
        <f t="shared" si="22"/>
        <v>0</v>
      </c>
      <c r="R113" s="30">
        <v>0</v>
      </c>
      <c r="S113" s="29">
        <f t="shared" si="23"/>
        <v>0</v>
      </c>
      <c r="T113" s="24">
        <f t="shared" si="24"/>
        <v>0</v>
      </c>
      <c r="U113" s="31">
        <f t="shared" si="25"/>
        <v>0</v>
      </c>
      <c r="V113" s="32">
        <f t="shared" si="31"/>
        <v>0</v>
      </c>
      <c r="W113" s="32">
        <f t="shared" si="26"/>
        <v>0</v>
      </c>
      <c r="X113" s="33">
        <v>0</v>
      </c>
      <c r="Y113" s="30">
        <f t="shared" si="27"/>
        <v>0</v>
      </c>
    </row>
    <row r="114" spans="1:25" ht="16.5" x14ac:dyDescent="0.3">
      <c r="A114" s="27">
        <v>309</v>
      </c>
      <c r="B114" s="27">
        <v>1</v>
      </c>
      <c r="C114" s="28" t="s">
        <v>171</v>
      </c>
      <c r="D114" s="24">
        <f>'[1]FY13 9-16-13 to copy to sheet'!F104</f>
        <v>0</v>
      </c>
      <c r="E114" s="25">
        <v>1754.67</v>
      </c>
      <c r="F114" s="20">
        <v>1538</v>
      </c>
      <c r="G114" s="20">
        <v>184</v>
      </c>
      <c r="H114" s="23">
        <f t="shared" si="17"/>
        <v>0.11963589076723016</v>
      </c>
      <c r="I114" s="29">
        <f t="shared" si="28"/>
        <v>73472.53</v>
      </c>
      <c r="J114" s="24">
        <f t="shared" si="29"/>
        <v>0</v>
      </c>
      <c r="K114" s="24">
        <f t="shared" si="18"/>
        <v>73472.53</v>
      </c>
      <c r="L114" s="30">
        <v>0</v>
      </c>
      <c r="M114" s="30">
        <f t="shared" si="19"/>
        <v>0</v>
      </c>
      <c r="N114" s="29">
        <f t="shared" si="30"/>
        <v>0</v>
      </c>
      <c r="O114" s="29">
        <f t="shared" si="20"/>
        <v>0</v>
      </c>
      <c r="P114" s="29">
        <f t="shared" si="21"/>
        <v>0</v>
      </c>
      <c r="Q114" s="30">
        <f t="shared" si="22"/>
        <v>0</v>
      </c>
      <c r="R114" s="30">
        <v>0</v>
      </c>
      <c r="S114" s="29">
        <f t="shared" si="23"/>
        <v>0</v>
      </c>
      <c r="T114" s="24">
        <f t="shared" si="24"/>
        <v>0</v>
      </c>
      <c r="U114" s="31">
        <f t="shared" si="25"/>
        <v>0</v>
      </c>
      <c r="V114" s="32">
        <f t="shared" si="31"/>
        <v>0</v>
      </c>
      <c r="W114" s="32">
        <f t="shared" si="26"/>
        <v>0</v>
      </c>
      <c r="X114" s="33">
        <v>0</v>
      </c>
      <c r="Y114" s="30">
        <f t="shared" si="27"/>
        <v>0</v>
      </c>
    </row>
    <row r="115" spans="1:25" ht="16.5" x14ac:dyDescent="0.3">
      <c r="A115" s="27">
        <v>314</v>
      </c>
      <c r="B115" s="27">
        <v>1</v>
      </c>
      <c r="C115" s="28" t="s">
        <v>172</v>
      </c>
      <c r="D115" s="24">
        <f>'[1]FY13 9-16-13 to copy to sheet'!F105</f>
        <v>0</v>
      </c>
      <c r="E115" s="25">
        <v>1049.5</v>
      </c>
      <c r="F115" s="20">
        <v>852</v>
      </c>
      <c r="G115" s="20">
        <v>41</v>
      </c>
      <c r="H115" s="23">
        <f t="shared" si="17"/>
        <v>4.8122065727699531E-2</v>
      </c>
      <c r="I115" s="29">
        <f t="shared" si="28"/>
        <v>17676.439999999999</v>
      </c>
      <c r="J115" s="24">
        <f t="shared" si="29"/>
        <v>0</v>
      </c>
      <c r="K115" s="24">
        <f t="shared" si="18"/>
        <v>17676.439999999999</v>
      </c>
      <c r="L115" s="30">
        <v>0</v>
      </c>
      <c r="M115" s="30">
        <f t="shared" si="19"/>
        <v>0</v>
      </c>
      <c r="N115" s="29">
        <f t="shared" si="30"/>
        <v>0</v>
      </c>
      <c r="O115" s="29">
        <f t="shared" si="20"/>
        <v>0</v>
      </c>
      <c r="P115" s="29">
        <f t="shared" si="21"/>
        <v>0</v>
      </c>
      <c r="Q115" s="30">
        <f t="shared" si="22"/>
        <v>0</v>
      </c>
      <c r="R115" s="30">
        <v>0</v>
      </c>
      <c r="S115" s="29">
        <f t="shared" si="23"/>
        <v>0</v>
      </c>
      <c r="T115" s="24">
        <f t="shared" si="24"/>
        <v>0</v>
      </c>
      <c r="U115" s="31">
        <f t="shared" si="25"/>
        <v>0</v>
      </c>
      <c r="V115" s="32">
        <f t="shared" si="31"/>
        <v>0</v>
      </c>
      <c r="W115" s="32">
        <f t="shared" si="26"/>
        <v>0</v>
      </c>
      <c r="X115" s="33">
        <v>0</v>
      </c>
      <c r="Y115" s="30">
        <f t="shared" si="27"/>
        <v>0</v>
      </c>
    </row>
    <row r="116" spans="1:25" ht="16.5" x14ac:dyDescent="0.3">
      <c r="A116" s="27">
        <v>316</v>
      </c>
      <c r="B116" s="27">
        <v>1</v>
      </c>
      <c r="C116" s="28" t="s">
        <v>173</v>
      </c>
      <c r="D116" s="24">
        <f>'[1]FY13 9-16-13 to copy to sheet'!F106</f>
        <v>0</v>
      </c>
      <c r="E116" s="25">
        <v>1231.02</v>
      </c>
      <c r="F116" s="20">
        <v>1052</v>
      </c>
      <c r="G116" s="20">
        <v>126</v>
      </c>
      <c r="H116" s="23">
        <f t="shared" si="17"/>
        <v>0.11977186311787072</v>
      </c>
      <c r="I116" s="29">
        <f t="shared" si="28"/>
        <v>51604.55</v>
      </c>
      <c r="J116" s="24">
        <f t="shared" si="29"/>
        <v>0</v>
      </c>
      <c r="K116" s="24">
        <f t="shared" si="18"/>
        <v>51604.55</v>
      </c>
      <c r="L116" s="30">
        <v>0</v>
      </c>
      <c r="M116" s="30">
        <f t="shared" si="19"/>
        <v>0</v>
      </c>
      <c r="N116" s="29">
        <f t="shared" si="30"/>
        <v>0</v>
      </c>
      <c r="O116" s="29">
        <f t="shared" si="20"/>
        <v>0</v>
      </c>
      <c r="P116" s="29">
        <f t="shared" si="21"/>
        <v>0</v>
      </c>
      <c r="Q116" s="30">
        <f t="shared" si="22"/>
        <v>0</v>
      </c>
      <c r="R116" s="30">
        <v>0</v>
      </c>
      <c r="S116" s="29">
        <f t="shared" si="23"/>
        <v>0</v>
      </c>
      <c r="T116" s="24">
        <f t="shared" si="24"/>
        <v>0</v>
      </c>
      <c r="U116" s="31">
        <f t="shared" si="25"/>
        <v>0</v>
      </c>
      <c r="V116" s="32">
        <f t="shared" si="31"/>
        <v>0</v>
      </c>
      <c r="W116" s="32">
        <f t="shared" si="26"/>
        <v>0</v>
      </c>
      <c r="X116" s="33">
        <v>0</v>
      </c>
      <c r="Y116" s="30">
        <f t="shared" si="27"/>
        <v>0</v>
      </c>
    </row>
    <row r="117" spans="1:25" ht="16.5" x14ac:dyDescent="0.3">
      <c r="A117" s="27">
        <v>317</v>
      </c>
      <c r="B117" s="27">
        <v>1</v>
      </c>
      <c r="C117" s="28" t="s">
        <v>174</v>
      </c>
      <c r="D117" s="24">
        <f>'[1]FY13 9-16-13 to copy to sheet'!F107</f>
        <v>0</v>
      </c>
      <c r="E117" s="25">
        <v>1036.31</v>
      </c>
      <c r="F117" s="20">
        <v>903</v>
      </c>
      <c r="G117" s="20">
        <v>370</v>
      </c>
      <c r="H117" s="23">
        <f t="shared" si="17"/>
        <v>0.40974529346622368</v>
      </c>
      <c r="I117" s="29">
        <f t="shared" si="28"/>
        <v>148618.1</v>
      </c>
      <c r="J117" s="24">
        <f t="shared" si="29"/>
        <v>0</v>
      </c>
      <c r="K117" s="24">
        <f t="shared" si="18"/>
        <v>148618.1</v>
      </c>
      <c r="L117" s="30">
        <v>0</v>
      </c>
      <c r="M117" s="30">
        <f t="shared" si="19"/>
        <v>0</v>
      </c>
      <c r="N117" s="29">
        <f t="shared" si="30"/>
        <v>0</v>
      </c>
      <c r="O117" s="29">
        <f t="shared" si="20"/>
        <v>0</v>
      </c>
      <c r="P117" s="29">
        <f t="shared" si="21"/>
        <v>0</v>
      </c>
      <c r="Q117" s="30">
        <f t="shared" si="22"/>
        <v>0</v>
      </c>
      <c r="R117" s="30">
        <v>0</v>
      </c>
      <c r="S117" s="29">
        <f t="shared" si="23"/>
        <v>0</v>
      </c>
      <c r="T117" s="24">
        <f t="shared" si="24"/>
        <v>0</v>
      </c>
      <c r="U117" s="31">
        <f t="shared" si="25"/>
        <v>0</v>
      </c>
      <c r="V117" s="32">
        <f t="shared" si="31"/>
        <v>0</v>
      </c>
      <c r="W117" s="32">
        <f t="shared" si="26"/>
        <v>0</v>
      </c>
      <c r="X117" s="33">
        <v>0</v>
      </c>
      <c r="Y117" s="30">
        <f t="shared" si="27"/>
        <v>0</v>
      </c>
    </row>
    <row r="118" spans="1:25" ht="16.5" x14ac:dyDescent="0.3">
      <c r="A118" s="27">
        <v>318</v>
      </c>
      <c r="B118" s="27">
        <v>1</v>
      </c>
      <c r="C118" s="28" t="s">
        <v>175</v>
      </c>
      <c r="D118" s="24">
        <f>'[1]FY13 9-16-13 to copy to sheet'!F108</f>
        <v>0</v>
      </c>
      <c r="E118" s="25">
        <v>4592.66</v>
      </c>
      <c r="F118" s="20">
        <v>4035</v>
      </c>
      <c r="G118" s="20">
        <v>483</v>
      </c>
      <c r="H118" s="23">
        <f t="shared" si="17"/>
        <v>0.11970260223048328</v>
      </c>
      <c r="I118" s="29">
        <f t="shared" si="28"/>
        <v>192413.67</v>
      </c>
      <c r="J118" s="24">
        <f t="shared" si="29"/>
        <v>0</v>
      </c>
      <c r="K118" s="24">
        <f t="shared" si="18"/>
        <v>192413.67</v>
      </c>
      <c r="L118" s="30">
        <v>0</v>
      </c>
      <c r="M118" s="30">
        <f t="shared" si="19"/>
        <v>0</v>
      </c>
      <c r="N118" s="29">
        <f t="shared" si="30"/>
        <v>0</v>
      </c>
      <c r="O118" s="29">
        <f t="shared" si="20"/>
        <v>0</v>
      </c>
      <c r="P118" s="29">
        <f t="shared" si="21"/>
        <v>0</v>
      </c>
      <c r="Q118" s="30">
        <f t="shared" si="22"/>
        <v>0</v>
      </c>
      <c r="R118" s="30">
        <v>0</v>
      </c>
      <c r="S118" s="29">
        <f t="shared" si="23"/>
        <v>0</v>
      </c>
      <c r="T118" s="24">
        <f t="shared" si="24"/>
        <v>0</v>
      </c>
      <c r="U118" s="31">
        <f t="shared" si="25"/>
        <v>0</v>
      </c>
      <c r="V118" s="32">
        <f t="shared" si="31"/>
        <v>0</v>
      </c>
      <c r="W118" s="32">
        <f t="shared" si="26"/>
        <v>0</v>
      </c>
      <c r="X118" s="33">
        <v>0</v>
      </c>
      <c r="Y118" s="30">
        <f t="shared" si="27"/>
        <v>0</v>
      </c>
    </row>
    <row r="119" spans="1:25" ht="16.5" x14ac:dyDescent="0.3">
      <c r="A119" s="27">
        <v>319</v>
      </c>
      <c r="B119" s="27">
        <v>1</v>
      </c>
      <c r="C119" s="28" t="s">
        <v>176</v>
      </c>
      <c r="D119" s="24">
        <f>'[1]FY13 9-16-13 to copy to sheet'!F109</f>
        <v>0</v>
      </c>
      <c r="E119" s="25">
        <v>658.21</v>
      </c>
      <c r="F119" s="20">
        <v>555</v>
      </c>
      <c r="G119" s="20">
        <v>46</v>
      </c>
      <c r="H119" s="23">
        <f t="shared" si="17"/>
        <v>8.2882882882882883E-2</v>
      </c>
      <c r="I119" s="29">
        <f t="shared" si="28"/>
        <v>19094.02</v>
      </c>
      <c r="J119" s="24">
        <f t="shared" si="29"/>
        <v>0</v>
      </c>
      <c r="K119" s="24">
        <f t="shared" si="18"/>
        <v>19094.02</v>
      </c>
      <c r="L119" s="30">
        <v>0</v>
      </c>
      <c r="M119" s="30">
        <f t="shared" si="19"/>
        <v>0</v>
      </c>
      <c r="N119" s="29">
        <f t="shared" si="30"/>
        <v>0</v>
      </c>
      <c r="O119" s="29">
        <f t="shared" si="20"/>
        <v>0</v>
      </c>
      <c r="P119" s="29">
        <f t="shared" si="21"/>
        <v>0</v>
      </c>
      <c r="Q119" s="30">
        <f t="shared" si="22"/>
        <v>0</v>
      </c>
      <c r="R119" s="30">
        <v>0</v>
      </c>
      <c r="S119" s="29">
        <f t="shared" si="23"/>
        <v>0</v>
      </c>
      <c r="T119" s="24">
        <f t="shared" si="24"/>
        <v>0</v>
      </c>
      <c r="U119" s="31">
        <f t="shared" si="25"/>
        <v>0</v>
      </c>
      <c r="V119" s="32">
        <f t="shared" si="31"/>
        <v>0</v>
      </c>
      <c r="W119" s="32">
        <f t="shared" si="26"/>
        <v>0</v>
      </c>
      <c r="X119" s="33">
        <v>0</v>
      </c>
      <c r="Y119" s="30">
        <f t="shared" si="27"/>
        <v>0</v>
      </c>
    </row>
    <row r="120" spans="1:25" ht="16.5" x14ac:dyDescent="0.3">
      <c r="A120" s="27">
        <v>323</v>
      </c>
      <c r="B120" s="27">
        <v>2</v>
      </c>
      <c r="C120" s="28" t="s">
        <v>177</v>
      </c>
      <c r="D120" s="24">
        <f>'[1]FY13 9-16-13 to copy to sheet'!F110</f>
        <v>0</v>
      </c>
      <c r="E120" s="25">
        <v>37.68</v>
      </c>
      <c r="F120" s="20">
        <v>0</v>
      </c>
      <c r="G120" s="20">
        <v>0</v>
      </c>
      <c r="H120" s="23">
        <f t="shared" si="17"/>
        <v>0</v>
      </c>
      <c r="I120" s="29">
        <f t="shared" si="28"/>
        <v>0</v>
      </c>
      <c r="J120" s="24">
        <f t="shared" si="29"/>
        <v>0</v>
      </c>
      <c r="K120" s="24">
        <f t="shared" si="18"/>
        <v>0</v>
      </c>
      <c r="L120" s="30">
        <v>0</v>
      </c>
      <c r="M120" s="30">
        <f t="shared" si="19"/>
        <v>0</v>
      </c>
      <c r="N120" s="29">
        <f t="shared" si="30"/>
        <v>0</v>
      </c>
      <c r="O120" s="29">
        <f t="shared" si="20"/>
        <v>0</v>
      </c>
      <c r="P120" s="29">
        <f t="shared" si="21"/>
        <v>0</v>
      </c>
      <c r="Q120" s="30">
        <f t="shared" si="22"/>
        <v>0</v>
      </c>
      <c r="R120" s="30">
        <v>0</v>
      </c>
      <c r="S120" s="29">
        <f t="shared" si="23"/>
        <v>0</v>
      </c>
      <c r="T120" s="24">
        <f t="shared" si="24"/>
        <v>0</v>
      </c>
      <c r="U120" s="31">
        <f t="shared" si="25"/>
        <v>0</v>
      </c>
      <c r="V120" s="32">
        <f t="shared" si="31"/>
        <v>0</v>
      </c>
      <c r="W120" s="32">
        <f t="shared" si="26"/>
        <v>0</v>
      </c>
      <c r="X120" s="33">
        <v>0</v>
      </c>
      <c r="Y120" s="30">
        <f t="shared" si="27"/>
        <v>0</v>
      </c>
    </row>
    <row r="121" spans="1:25" ht="16.5" x14ac:dyDescent="0.3">
      <c r="A121" s="27">
        <v>330</v>
      </c>
      <c r="B121" s="27">
        <v>1</v>
      </c>
      <c r="C121" s="28" t="s">
        <v>178</v>
      </c>
      <c r="D121" s="24">
        <f>'[1]FY13 9-16-13 to copy to sheet'!F111</f>
        <v>47730</v>
      </c>
      <c r="E121" s="25">
        <v>336.11</v>
      </c>
      <c r="F121" s="20">
        <v>354</v>
      </c>
      <c r="G121" s="20">
        <v>57</v>
      </c>
      <c r="H121" s="23">
        <f t="shared" si="17"/>
        <v>0.16101694915254236</v>
      </c>
      <c r="I121" s="29">
        <f t="shared" si="28"/>
        <v>18941.79</v>
      </c>
      <c r="J121" s="24">
        <f t="shared" si="29"/>
        <v>19000.22</v>
      </c>
      <c r="K121" s="24">
        <f t="shared" si="18"/>
        <v>37942.01</v>
      </c>
      <c r="L121" s="30">
        <v>41303</v>
      </c>
      <c r="M121" s="30">
        <f t="shared" si="19"/>
        <v>41426.910000000003</v>
      </c>
      <c r="N121" s="29">
        <f t="shared" si="30"/>
        <v>37942.01</v>
      </c>
      <c r="O121" s="29">
        <f t="shared" si="20"/>
        <v>113.83</v>
      </c>
      <c r="P121" s="29">
        <f t="shared" si="21"/>
        <v>37828.18</v>
      </c>
      <c r="Q121" s="30">
        <f t="shared" si="22"/>
        <v>3361.1000000000004</v>
      </c>
      <c r="R121" s="30">
        <v>0</v>
      </c>
      <c r="S121" s="29">
        <f t="shared" si="23"/>
        <v>0</v>
      </c>
      <c r="T121" s="24">
        <f t="shared" si="24"/>
        <v>37828.18</v>
      </c>
      <c r="U121" s="31">
        <f t="shared" si="25"/>
        <v>-9901.82</v>
      </c>
      <c r="V121" s="32">
        <f t="shared" si="31"/>
        <v>-29.460057719199071</v>
      </c>
      <c r="W121" s="32">
        <f t="shared" si="26"/>
        <v>37828.18</v>
      </c>
      <c r="X121" s="33">
        <v>0</v>
      </c>
      <c r="Y121" s="30">
        <f t="shared" si="27"/>
        <v>37828.18</v>
      </c>
    </row>
    <row r="122" spans="1:25" ht="16.5" x14ac:dyDescent="0.3">
      <c r="A122" s="27">
        <v>332</v>
      </c>
      <c r="B122" s="27">
        <v>1</v>
      </c>
      <c r="C122" s="28" t="s">
        <v>179</v>
      </c>
      <c r="D122" s="24">
        <f>'[1]FY13 9-16-13 to copy to sheet'!F112</f>
        <v>0</v>
      </c>
      <c r="E122" s="25">
        <v>2006.24</v>
      </c>
      <c r="F122" s="20">
        <v>1783</v>
      </c>
      <c r="G122" s="20">
        <v>123</v>
      </c>
      <c r="H122" s="23">
        <f t="shared" si="17"/>
        <v>6.8984856982613571E-2</v>
      </c>
      <c r="I122" s="29">
        <f t="shared" si="28"/>
        <v>48440.06</v>
      </c>
      <c r="J122" s="24">
        <f t="shared" si="29"/>
        <v>0</v>
      </c>
      <c r="K122" s="24">
        <f t="shared" si="18"/>
        <v>48440.06</v>
      </c>
      <c r="L122" s="30">
        <v>0</v>
      </c>
      <c r="M122" s="30">
        <f t="shared" si="19"/>
        <v>0</v>
      </c>
      <c r="N122" s="29">
        <f t="shared" si="30"/>
        <v>0</v>
      </c>
      <c r="O122" s="29">
        <f t="shared" si="20"/>
        <v>0</v>
      </c>
      <c r="P122" s="29">
        <f t="shared" si="21"/>
        <v>0</v>
      </c>
      <c r="Q122" s="30">
        <f t="shared" si="22"/>
        <v>0</v>
      </c>
      <c r="R122" s="30">
        <v>0</v>
      </c>
      <c r="S122" s="29">
        <f t="shared" si="23"/>
        <v>0</v>
      </c>
      <c r="T122" s="24">
        <f t="shared" si="24"/>
        <v>0</v>
      </c>
      <c r="U122" s="31">
        <f t="shared" si="25"/>
        <v>0</v>
      </c>
      <c r="V122" s="32">
        <f t="shared" si="31"/>
        <v>0</v>
      </c>
      <c r="W122" s="32">
        <f t="shared" si="26"/>
        <v>0</v>
      </c>
      <c r="X122" s="33">
        <v>0</v>
      </c>
      <c r="Y122" s="30">
        <f t="shared" si="27"/>
        <v>0</v>
      </c>
    </row>
    <row r="123" spans="1:25" ht="16.5" x14ac:dyDescent="0.3">
      <c r="A123" s="27">
        <v>333</v>
      </c>
      <c r="B123" s="27">
        <v>1</v>
      </c>
      <c r="C123" s="28" t="s">
        <v>180</v>
      </c>
      <c r="D123" s="24">
        <f>'[1]FY13 9-16-13 to copy to sheet'!F113</f>
        <v>0</v>
      </c>
      <c r="E123" s="25">
        <v>621.85</v>
      </c>
      <c r="F123" s="20">
        <v>555</v>
      </c>
      <c r="G123" s="20">
        <v>8</v>
      </c>
      <c r="H123" s="23">
        <f t="shared" si="17"/>
        <v>1.4414414414414415E-2</v>
      </c>
      <c r="I123" s="29">
        <f t="shared" si="28"/>
        <v>3137.26</v>
      </c>
      <c r="J123" s="24">
        <f t="shared" si="29"/>
        <v>0</v>
      </c>
      <c r="K123" s="24">
        <f t="shared" si="18"/>
        <v>3137.26</v>
      </c>
      <c r="L123" s="30">
        <v>0</v>
      </c>
      <c r="M123" s="30">
        <f t="shared" si="19"/>
        <v>0</v>
      </c>
      <c r="N123" s="29">
        <f t="shared" si="30"/>
        <v>0</v>
      </c>
      <c r="O123" s="29">
        <f t="shared" si="20"/>
        <v>0</v>
      </c>
      <c r="P123" s="29">
        <f t="shared" si="21"/>
        <v>0</v>
      </c>
      <c r="Q123" s="30">
        <f t="shared" si="22"/>
        <v>0</v>
      </c>
      <c r="R123" s="30">
        <v>0</v>
      </c>
      <c r="S123" s="29">
        <f t="shared" si="23"/>
        <v>0</v>
      </c>
      <c r="T123" s="24">
        <f t="shared" si="24"/>
        <v>0</v>
      </c>
      <c r="U123" s="31">
        <f t="shared" si="25"/>
        <v>0</v>
      </c>
      <c r="V123" s="32">
        <f t="shared" si="31"/>
        <v>0</v>
      </c>
      <c r="W123" s="32">
        <f t="shared" si="26"/>
        <v>0</v>
      </c>
      <c r="X123" s="33">
        <v>0</v>
      </c>
      <c r="Y123" s="30">
        <f t="shared" si="27"/>
        <v>0</v>
      </c>
    </row>
    <row r="124" spans="1:25" ht="16.5" x14ac:dyDescent="0.3">
      <c r="A124" s="34">
        <v>345</v>
      </c>
      <c r="B124" s="34">
        <v>1</v>
      </c>
      <c r="C124" s="1" t="s">
        <v>181</v>
      </c>
      <c r="D124" s="24">
        <f>'[1]FY13 9-16-13 to copy to sheet'!F114</f>
        <v>146408.79999999999</v>
      </c>
      <c r="E124" s="25">
        <v>1631.91</v>
      </c>
      <c r="F124" s="20">
        <v>1423</v>
      </c>
      <c r="G124" s="20">
        <v>99</v>
      </c>
      <c r="H124" s="23">
        <f t="shared" si="17"/>
        <v>6.9571328179901623E-2</v>
      </c>
      <c r="I124" s="29">
        <f t="shared" si="28"/>
        <v>39736.949999999997</v>
      </c>
      <c r="J124" s="24">
        <f t="shared" si="29"/>
        <v>70403.42</v>
      </c>
      <c r="K124" s="24">
        <f t="shared" si="18"/>
        <v>110140.37</v>
      </c>
      <c r="L124" s="30">
        <v>146984.72</v>
      </c>
      <c r="M124" s="30">
        <f t="shared" si="19"/>
        <v>147425.67000000001</v>
      </c>
      <c r="N124" s="29">
        <f t="shared" si="30"/>
        <v>110140.37</v>
      </c>
      <c r="O124" s="29">
        <f t="shared" si="20"/>
        <v>330.42</v>
      </c>
      <c r="P124" s="29">
        <f t="shared" si="21"/>
        <v>109809.95</v>
      </c>
      <c r="Q124" s="30">
        <f t="shared" si="22"/>
        <v>16319.1</v>
      </c>
      <c r="R124" s="30">
        <v>0</v>
      </c>
      <c r="S124" s="29">
        <f t="shared" si="23"/>
        <v>0</v>
      </c>
      <c r="T124" s="24">
        <f t="shared" si="24"/>
        <v>109809.95</v>
      </c>
      <c r="U124" s="31">
        <f t="shared" si="25"/>
        <v>-36598.849999999991</v>
      </c>
      <c r="V124" s="32">
        <f t="shared" si="31"/>
        <v>-22.427002714610481</v>
      </c>
      <c r="W124" s="32">
        <f t="shared" si="26"/>
        <v>65747.38</v>
      </c>
      <c r="X124" s="33">
        <v>44062.57</v>
      </c>
      <c r="Y124" s="30">
        <f t="shared" si="27"/>
        <v>65747.38</v>
      </c>
    </row>
    <row r="125" spans="1:25" ht="16.5" x14ac:dyDescent="0.3">
      <c r="A125" s="34">
        <v>347</v>
      </c>
      <c r="B125" s="34">
        <v>1</v>
      </c>
      <c r="C125" s="1" t="s">
        <v>182</v>
      </c>
      <c r="D125" s="24">
        <f>'[1]FY13 9-16-13 to copy to sheet'!F115</f>
        <v>595155.68999999994</v>
      </c>
      <c r="E125" s="25">
        <v>4759.17</v>
      </c>
      <c r="F125" s="20">
        <v>4197</v>
      </c>
      <c r="G125" s="20">
        <v>1835</v>
      </c>
      <c r="H125" s="23">
        <f t="shared" si="17"/>
        <v>0.43721705980462233</v>
      </c>
      <c r="I125" s="29">
        <f t="shared" si="28"/>
        <v>728276.61</v>
      </c>
      <c r="J125" s="24">
        <f t="shared" si="29"/>
        <v>0</v>
      </c>
      <c r="K125" s="24">
        <f t="shared" si="18"/>
        <v>728276.61</v>
      </c>
      <c r="L125" s="30">
        <v>599401.07999999996</v>
      </c>
      <c r="M125" s="30">
        <f t="shared" si="19"/>
        <v>601199.28</v>
      </c>
      <c r="N125" s="29">
        <f t="shared" si="30"/>
        <v>601199.28</v>
      </c>
      <c r="O125" s="29">
        <f t="shared" si="20"/>
        <v>1798.2000000000698</v>
      </c>
      <c r="P125" s="29">
        <f t="shared" si="21"/>
        <v>599401.07999999996</v>
      </c>
      <c r="Q125" s="30">
        <f t="shared" si="22"/>
        <v>47591.7</v>
      </c>
      <c r="R125" s="30">
        <v>0</v>
      </c>
      <c r="S125" s="29">
        <f t="shared" si="23"/>
        <v>0</v>
      </c>
      <c r="T125" s="24">
        <f t="shared" si="24"/>
        <v>599401.07999999996</v>
      </c>
      <c r="U125" s="31">
        <f t="shared" si="25"/>
        <v>4245.390000000014</v>
      </c>
      <c r="V125" s="32">
        <f t="shared" si="31"/>
        <v>0.89204420098462844</v>
      </c>
      <c r="W125" s="32">
        <f t="shared" si="26"/>
        <v>420854.37</v>
      </c>
      <c r="X125" s="33">
        <v>178546.71</v>
      </c>
      <c r="Y125" s="30">
        <f t="shared" si="27"/>
        <v>420854.37</v>
      </c>
    </row>
    <row r="126" spans="1:25" ht="16.5" x14ac:dyDescent="0.3">
      <c r="A126" s="27">
        <v>356</v>
      </c>
      <c r="B126" s="27">
        <v>1</v>
      </c>
      <c r="C126" s="28" t="s">
        <v>183</v>
      </c>
      <c r="D126" s="24">
        <f>'[1]FY13 9-16-13 to copy to sheet'!F116</f>
        <v>0</v>
      </c>
      <c r="E126" s="25">
        <v>183.59</v>
      </c>
      <c r="F126" s="20">
        <v>157</v>
      </c>
      <c r="G126" s="20">
        <v>5</v>
      </c>
      <c r="H126" s="23">
        <f t="shared" si="17"/>
        <v>3.1847133757961783E-2</v>
      </c>
      <c r="I126" s="29">
        <f t="shared" si="28"/>
        <v>2046.39</v>
      </c>
      <c r="J126" s="24">
        <f t="shared" si="29"/>
        <v>0</v>
      </c>
      <c r="K126" s="24">
        <f t="shared" si="18"/>
        <v>2046.39</v>
      </c>
      <c r="L126" s="30">
        <v>0</v>
      </c>
      <c r="M126" s="30">
        <f t="shared" si="19"/>
        <v>0</v>
      </c>
      <c r="N126" s="29">
        <f t="shared" si="30"/>
        <v>0</v>
      </c>
      <c r="O126" s="29">
        <f t="shared" si="20"/>
        <v>0</v>
      </c>
      <c r="P126" s="29">
        <f t="shared" si="21"/>
        <v>0</v>
      </c>
      <c r="Q126" s="30">
        <f t="shared" si="22"/>
        <v>0</v>
      </c>
      <c r="R126" s="30">
        <v>0</v>
      </c>
      <c r="S126" s="29">
        <f t="shared" si="23"/>
        <v>0</v>
      </c>
      <c r="T126" s="24">
        <f t="shared" si="24"/>
        <v>0</v>
      </c>
      <c r="U126" s="31">
        <f t="shared" si="25"/>
        <v>0</v>
      </c>
      <c r="V126" s="32">
        <f t="shared" si="31"/>
        <v>0</v>
      </c>
      <c r="W126" s="32">
        <f t="shared" si="26"/>
        <v>0</v>
      </c>
      <c r="X126" s="33">
        <v>0</v>
      </c>
      <c r="Y126" s="30">
        <f t="shared" si="27"/>
        <v>0</v>
      </c>
    </row>
    <row r="127" spans="1:25" ht="16.5" x14ac:dyDescent="0.3">
      <c r="A127" s="27">
        <v>361</v>
      </c>
      <c r="B127" s="27">
        <v>1</v>
      </c>
      <c r="C127" s="28" t="s">
        <v>184</v>
      </c>
      <c r="D127" s="24">
        <f>'[1]FY13 9-16-13 to copy to sheet'!F117</f>
        <v>0</v>
      </c>
      <c r="E127" s="25">
        <v>1355.71</v>
      </c>
      <c r="F127" s="20">
        <v>1216</v>
      </c>
      <c r="G127" s="20">
        <v>123</v>
      </c>
      <c r="H127" s="23">
        <f t="shared" si="17"/>
        <v>0.10115131578947369</v>
      </c>
      <c r="I127" s="29">
        <f t="shared" si="28"/>
        <v>47996.15</v>
      </c>
      <c r="J127" s="24">
        <f t="shared" si="29"/>
        <v>0</v>
      </c>
      <c r="K127" s="24">
        <f t="shared" si="18"/>
        <v>47996.15</v>
      </c>
      <c r="L127" s="30">
        <v>0</v>
      </c>
      <c r="M127" s="30">
        <f t="shared" si="19"/>
        <v>0</v>
      </c>
      <c r="N127" s="29">
        <f t="shared" si="30"/>
        <v>0</v>
      </c>
      <c r="O127" s="29">
        <f t="shared" si="20"/>
        <v>0</v>
      </c>
      <c r="P127" s="29">
        <f t="shared" si="21"/>
        <v>0</v>
      </c>
      <c r="Q127" s="30">
        <f t="shared" si="22"/>
        <v>0</v>
      </c>
      <c r="R127" s="30">
        <v>0</v>
      </c>
      <c r="S127" s="29">
        <f t="shared" si="23"/>
        <v>0</v>
      </c>
      <c r="T127" s="24">
        <f t="shared" si="24"/>
        <v>0</v>
      </c>
      <c r="U127" s="31">
        <f t="shared" si="25"/>
        <v>0</v>
      </c>
      <c r="V127" s="32">
        <f t="shared" si="31"/>
        <v>0</v>
      </c>
      <c r="W127" s="32">
        <f t="shared" si="26"/>
        <v>0</v>
      </c>
      <c r="X127" s="33">
        <v>0</v>
      </c>
      <c r="Y127" s="30">
        <f t="shared" si="27"/>
        <v>0</v>
      </c>
    </row>
    <row r="128" spans="1:25" ht="16.5" x14ac:dyDescent="0.3">
      <c r="A128" s="27">
        <v>362</v>
      </c>
      <c r="B128" s="27">
        <v>1</v>
      </c>
      <c r="C128" s="28" t="s">
        <v>185</v>
      </c>
      <c r="D128" s="24">
        <f>'[1]FY13 9-16-13 to copy to sheet'!F118</f>
        <v>0</v>
      </c>
      <c r="E128" s="25">
        <v>373.16</v>
      </c>
      <c r="F128" s="20">
        <v>311</v>
      </c>
      <c r="G128" s="20">
        <v>12</v>
      </c>
      <c r="H128" s="23">
        <f t="shared" si="17"/>
        <v>3.8585209003215437E-2</v>
      </c>
      <c r="I128" s="29">
        <f t="shared" si="28"/>
        <v>5039.46</v>
      </c>
      <c r="J128" s="24">
        <f t="shared" si="29"/>
        <v>0</v>
      </c>
      <c r="K128" s="24">
        <f t="shared" si="18"/>
        <v>5039.46</v>
      </c>
      <c r="L128" s="30">
        <v>0</v>
      </c>
      <c r="M128" s="30">
        <f t="shared" si="19"/>
        <v>0</v>
      </c>
      <c r="N128" s="29">
        <f t="shared" si="30"/>
        <v>0</v>
      </c>
      <c r="O128" s="29">
        <f t="shared" si="20"/>
        <v>0</v>
      </c>
      <c r="P128" s="29">
        <f t="shared" si="21"/>
        <v>0</v>
      </c>
      <c r="Q128" s="30">
        <f t="shared" si="22"/>
        <v>0</v>
      </c>
      <c r="R128" s="30">
        <v>0</v>
      </c>
      <c r="S128" s="29">
        <f t="shared" si="23"/>
        <v>0</v>
      </c>
      <c r="T128" s="24">
        <f t="shared" si="24"/>
        <v>0</v>
      </c>
      <c r="U128" s="31">
        <f t="shared" si="25"/>
        <v>0</v>
      </c>
      <c r="V128" s="32">
        <f t="shared" si="31"/>
        <v>0</v>
      </c>
      <c r="W128" s="32">
        <f t="shared" si="26"/>
        <v>0</v>
      </c>
      <c r="X128" s="33">
        <v>0</v>
      </c>
      <c r="Y128" s="30">
        <f t="shared" si="27"/>
        <v>0</v>
      </c>
    </row>
    <row r="129" spans="1:25" ht="16.5" x14ac:dyDescent="0.3">
      <c r="A129" s="27">
        <v>363</v>
      </c>
      <c r="B129" s="27">
        <v>1</v>
      </c>
      <c r="C129" s="28" t="s">
        <v>186</v>
      </c>
      <c r="D129" s="24">
        <f>'[1]FY13 9-16-13 to copy to sheet'!F119</f>
        <v>0</v>
      </c>
      <c r="E129" s="25">
        <v>386.12</v>
      </c>
      <c r="F129" s="20">
        <v>349</v>
      </c>
      <c r="G129" s="20">
        <v>36</v>
      </c>
      <c r="H129" s="23">
        <f t="shared" si="17"/>
        <v>0.10315186246418338</v>
      </c>
      <c r="I129" s="29">
        <f t="shared" si="28"/>
        <v>13940.15</v>
      </c>
      <c r="J129" s="24">
        <f t="shared" si="29"/>
        <v>0</v>
      </c>
      <c r="K129" s="24">
        <f t="shared" si="18"/>
        <v>13940.15</v>
      </c>
      <c r="L129" s="30">
        <v>0</v>
      </c>
      <c r="M129" s="30">
        <f t="shared" si="19"/>
        <v>0</v>
      </c>
      <c r="N129" s="29">
        <f t="shared" si="30"/>
        <v>0</v>
      </c>
      <c r="O129" s="29">
        <f t="shared" si="20"/>
        <v>0</v>
      </c>
      <c r="P129" s="29">
        <f t="shared" si="21"/>
        <v>0</v>
      </c>
      <c r="Q129" s="30">
        <f t="shared" si="22"/>
        <v>0</v>
      </c>
      <c r="R129" s="30">
        <v>0</v>
      </c>
      <c r="S129" s="29">
        <f t="shared" si="23"/>
        <v>0</v>
      </c>
      <c r="T129" s="24">
        <f t="shared" si="24"/>
        <v>0</v>
      </c>
      <c r="U129" s="31">
        <f t="shared" si="25"/>
        <v>0</v>
      </c>
      <c r="V129" s="32">
        <f t="shared" si="31"/>
        <v>0</v>
      </c>
      <c r="W129" s="32">
        <f t="shared" si="26"/>
        <v>0</v>
      </c>
      <c r="X129" s="33">
        <v>0</v>
      </c>
      <c r="Y129" s="30">
        <f t="shared" si="27"/>
        <v>0</v>
      </c>
    </row>
    <row r="130" spans="1:25" ht="16.5" x14ac:dyDescent="0.3">
      <c r="A130" s="34">
        <v>378</v>
      </c>
      <c r="B130" s="34">
        <v>1</v>
      </c>
      <c r="C130" s="1" t="s">
        <v>187</v>
      </c>
      <c r="D130" s="24">
        <f>'[1]FY13 9-16-13 to copy to sheet'!F120</f>
        <v>51980</v>
      </c>
      <c r="E130" s="25">
        <v>596.64</v>
      </c>
      <c r="F130" s="20">
        <v>500</v>
      </c>
      <c r="G130" s="20">
        <v>41</v>
      </c>
      <c r="H130" s="23">
        <f t="shared" si="17"/>
        <v>8.2000000000000003E-2</v>
      </c>
      <c r="I130" s="29">
        <f t="shared" si="28"/>
        <v>17123.57</v>
      </c>
      <c r="J130" s="24">
        <f t="shared" si="29"/>
        <v>23005.24</v>
      </c>
      <c r="K130" s="24">
        <f t="shared" si="18"/>
        <v>40128.81</v>
      </c>
      <c r="L130" s="30">
        <v>45546.5</v>
      </c>
      <c r="M130" s="30">
        <f t="shared" si="19"/>
        <v>45683.14</v>
      </c>
      <c r="N130" s="29">
        <f t="shared" si="30"/>
        <v>40128.81</v>
      </c>
      <c r="O130" s="29">
        <f t="shared" si="20"/>
        <v>120.39</v>
      </c>
      <c r="P130" s="29">
        <f t="shared" si="21"/>
        <v>40008.42</v>
      </c>
      <c r="Q130" s="30">
        <f t="shared" si="22"/>
        <v>5966.4</v>
      </c>
      <c r="R130" s="30">
        <v>0</v>
      </c>
      <c r="S130" s="29">
        <f t="shared" si="23"/>
        <v>0</v>
      </c>
      <c r="T130" s="24">
        <f t="shared" si="24"/>
        <v>40008.42</v>
      </c>
      <c r="U130" s="31">
        <f t="shared" si="25"/>
        <v>-11971.580000000002</v>
      </c>
      <c r="V130" s="32">
        <f t="shared" si="31"/>
        <v>-20.064997318315907</v>
      </c>
      <c r="W130" s="32">
        <f t="shared" si="26"/>
        <v>24414.42</v>
      </c>
      <c r="X130" s="33">
        <v>15594</v>
      </c>
      <c r="Y130" s="30">
        <f t="shared" si="27"/>
        <v>24414.42</v>
      </c>
    </row>
    <row r="131" spans="1:25" ht="16.5" x14ac:dyDescent="0.3">
      <c r="A131" s="27">
        <v>381</v>
      </c>
      <c r="B131" s="27">
        <v>1</v>
      </c>
      <c r="C131" s="28" t="s">
        <v>188</v>
      </c>
      <c r="D131" s="24">
        <f>'[1]FY13 9-16-13 to copy to sheet'!F121</f>
        <v>0</v>
      </c>
      <c r="E131" s="25">
        <v>1623.02</v>
      </c>
      <c r="F131" s="20">
        <v>1400</v>
      </c>
      <c r="G131" s="20">
        <v>47</v>
      </c>
      <c r="H131" s="23">
        <f t="shared" si="17"/>
        <v>3.3571428571428572E-2</v>
      </c>
      <c r="I131" s="29">
        <f t="shared" si="28"/>
        <v>19070.490000000002</v>
      </c>
      <c r="J131" s="24">
        <f t="shared" si="29"/>
        <v>0</v>
      </c>
      <c r="K131" s="24">
        <f t="shared" si="18"/>
        <v>19070.490000000002</v>
      </c>
      <c r="L131" s="30">
        <v>0</v>
      </c>
      <c r="M131" s="30">
        <f t="shared" si="19"/>
        <v>0</v>
      </c>
      <c r="N131" s="29">
        <f t="shared" si="30"/>
        <v>0</v>
      </c>
      <c r="O131" s="29">
        <f t="shared" si="20"/>
        <v>0</v>
      </c>
      <c r="P131" s="29">
        <f t="shared" si="21"/>
        <v>0</v>
      </c>
      <c r="Q131" s="30">
        <f t="shared" si="22"/>
        <v>0</v>
      </c>
      <c r="R131" s="30">
        <v>0</v>
      </c>
      <c r="S131" s="29">
        <f t="shared" si="23"/>
        <v>0</v>
      </c>
      <c r="T131" s="24">
        <f t="shared" si="24"/>
        <v>0</v>
      </c>
      <c r="U131" s="31">
        <f t="shared" si="25"/>
        <v>0</v>
      </c>
      <c r="V131" s="32">
        <f t="shared" si="31"/>
        <v>0</v>
      </c>
      <c r="W131" s="32">
        <f t="shared" si="26"/>
        <v>0</v>
      </c>
      <c r="X131" s="33">
        <v>0</v>
      </c>
      <c r="Y131" s="30">
        <f t="shared" si="27"/>
        <v>0</v>
      </c>
    </row>
    <row r="132" spans="1:25" ht="16.5" x14ac:dyDescent="0.3">
      <c r="A132" s="27">
        <v>390</v>
      </c>
      <c r="B132" s="27">
        <v>1</v>
      </c>
      <c r="C132" s="28" t="s">
        <v>189</v>
      </c>
      <c r="D132" s="24">
        <f>'[1]FY13 9-16-13 to copy to sheet'!F122</f>
        <v>0</v>
      </c>
      <c r="E132" s="25">
        <v>554.08000000000004</v>
      </c>
      <c r="F132" s="20">
        <v>484</v>
      </c>
      <c r="G132" s="20">
        <v>36</v>
      </c>
      <c r="H132" s="23">
        <f t="shared" si="17"/>
        <v>7.43801652892562E-2</v>
      </c>
      <c r="I132" s="29">
        <f t="shared" si="28"/>
        <v>14424.4</v>
      </c>
      <c r="J132" s="24">
        <f t="shared" si="29"/>
        <v>0</v>
      </c>
      <c r="K132" s="24">
        <f t="shared" si="18"/>
        <v>14424.4</v>
      </c>
      <c r="L132" s="30">
        <v>0</v>
      </c>
      <c r="M132" s="30">
        <f t="shared" si="19"/>
        <v>0</v>
      </c>
      <c r="N132" s="29">
        <f t="shared" si="30"/>
        <v>0</v>
      </c>
      <c r="O132" s="29">
        <f t="shared" si="20"/>
        <v>0</v>
      </c>
      <c r="P132" s="29">
        <f t="shared" si="21"/>
        <v>0</v>
      </c>
      <c r="Q132" s="30">
        <f t="shared" si="22"/>
        <v>0</v>
      </c>
      <c r="R132" s="30">
        <v>0</v>
      </c>
      <c r="S132" s="29">
        <f t="shared" si="23"/>
        <v>0</v>
      </c>
      <c r="T132" s="24">
        <f t="shared" si="24"/>
        <v>0</v>
      </c>
      <c r="U132" s="31">
        <f t="shared" si="25"/>
        <v>0</v>
      </c>
      <c r="V132" s="32">
        <f t="shared" si="31"/>
        <v>0</v>
      </c>
      <c r="W132" s="32">
        <f t="shared" si="26"/>
        <v>0</v>
      </c>
      <c r="X132" s="33">
        <v>0</v>
      </c>
      <c r="Y132" s="30">
        <f t="shared" si="27"/>
        <v>0</v>
      </c>
    </row>
    <row r="133" spans="1:25" ht="16.5" x14ac:dyDescent="0.3">
      <c r="A133" s="34">
        <v>391</v>
      </c>
      <c r="B133" s="34">
        <v>1</v>
      </c>
      <c r="C133" s="1" t="s">
        <v>190</v>
      </c>
      <c r="D133" s="24">
        <f>'[1]FY13 9-16-13 to copy to sheet'!F123</f>
        <v>0</v>
      </c>
      <c r="E133" s="25">
        <v>499.55</v>
      </c>
      <c r="F133" s="20">
        <v>440</v>
      </c>
      <c r="G133" s="20">
        <v>19</v>
      </c>
      <c r="H133" s="23">
        <f t="shared" si="17"/>
        <v>4.3181818181818182E-2</v>
      </c>
      <c r="I133" s="29">
        <f t="shared" si="28"/>
        <v>7550.02</v>
      </c>
      <c r="J133" s="24">
        <f t="shared" si="29"/>
        <v>0</v>
      </c>
      <c r="K133" s="24">
        <f t="shared" si="18"/>
        <v>7550.02</v>
      </c>
      <c r="L133" s="30">
        <v>0</v>
      </c>
      <c r="M133" s="30">
        <f t="shared" si="19"/>
        <v>0</v>
      </c>
      <c r="N133" s="29">
        <f t="shared" si="30"/>
        <v>0</v>
      </c>
      <c r="O133" s="29">
        <f t="shared" si="20"/>
        <v>0</v>
      </c>
      <c r="P133" s="29">
        <f t="shared" si="21"/>
        <v>0</v>
      </c>
      <c r="Q133" s="30">
        <f t="shared" si="22"/>
        <v>0</v>
      </c>
      <c r="R133" s="30">
        <v>0</v>
      </c>
      <c r="S133" s="29">
        <f t="shared" si="23"/>
        <v>0</v>
      </c>
      <c r="T133" s="24">
        <f t="shared" si="24"/>
        <v>0</v>
      </c>
      <c r="U133" s="31">
        <f t="shared" si="25"/>
        <v>0</v>
      </c>
      <c r="V133" s="32">
        <f t="shared" si="31"/>
        <v>0</v>
      </c>
      <c r="W133" s="32">
        <f t="shared" si="26"/>
        <v>-6900</v>
      </c>
      <c r="X133" s="33">
        <v>6900</v>
      </c>
      <c r="Y133" s="30">
        <f t="shared" si="27"/>
        <v>0</v>
      </c>
    </row>
    <row r="134" spans="1:25" ht="16.5" x14ac:dyDescent="0.3">
      <c r="A134" s="34">
        <v>402</v>
      </c>
      <c r="B134" s="34">
        <v>1</v>
      </c>
      <c r="C134" s="1" t="s">
        <v>191</v>
      </c>
      <c r="D134" s="24">
        <f>'[1]FY13 9-16-13 to copy to sheet'!F124</f>
        <v>9254.2800000000007</v>
      </c>
      <c r="E134" s="25">
        <v>115.38</v>
      </c>
      <c r="F134" s="20">
        <v>100</v>
      </c>
      <c r="G134" s="20">
        <v>1</v>
      </c>
      <c r="H134" s="23">
        <f t="shared" si="17"/>
        <v>0.01</v>
      </c>
      <c r="I134" s="29">
        <f t="shared" si="28"/>
        <v>403.83</v>
      </c>
      <c r="J134" s="24">
        <f t="shared" si="29"/>
        <v>5841.3</v>
      </c>
      <c r="K134" s="24">
        <f t="shared" si="18"/>
        <v>6245.13</v>
      </c>
      <c r="L134" s="30">
        <v>13884</v>
      </c>
      <c r="M134" s="30">
        <f t="shared" si="19"/>
        <v>13925.65</v>
      </c>
      <c r="N134" s="29">
        <f t="shared" si="30"/>
        <v>6245.13</v>
      </c>
      <c r="O134" s="29">
        <f t="shared" si="20"/>
        <v>18.739999999999998</v>
      </c>
      <c r="P134" s="29">
        <f t="shared" si="21"/>
        <v>6226.39</v>
      </c>
      <c r="Q134" s="30">
        <f t="shared" si="22"/>
        <v>1153.8</v>
      </c>
      <c r="R134" s="30">
        <v>0</v>
      </c>
      <c r="S134" s="29">
        <f t="shared" si="23"/>
        <v>0</v>
      </c>
      <c r="T134" s="24">
        <f t="shared" si="24"/>
        <v>6226.39</v>
      </c>
      <c r="U134" s="31">
        <f t="shared" si="25"/>
        <v>-3027.8900000000003</v>
      </c>
      <c r="V134" s="32">
        <f t="shared" si="31"/>
        <v>-26.242763043855092</v>
      </c>
      <c r="W134" s="32">
        <f t="shared" si="26"/>
        <v>2061</v>
      </c>
      <c r="X134" s="33">
        <v>4165.3900000000003</v>
      </c>
      <c r="Y134" s="30">
        <f t="shared" si="27"/>
        <v>2061</v>
      </c>
    </row>
    <row r="135" spans="1:25" ht="16.5" x14ac:dyDescent="0.3">
      <c r="A135" s="34">
        <v>403</v>
      </c>
      <c r="B135" s="34">
        <v>1</v>
      </c>
      <c r="C135" s="1" t="s">
        <v>192</v>
      </c>
      <c r="D135" s="24">
        <f>'[1]FY13 9-16-13 to copy to sheet'!F125</f>
        <v>20651</v>
      </c>
      <c r="E135" s="25">
        <v>211.52</v>
      </c>
      <c r="F135" s="20">
        <v>200</v>
      </c>
      <c r="G135" s="20">
        <v>1</v>
      </c>
      <c r="H135" s="23">
        <f t="shared" si="17"/>
        <v>5.0000000000000001E-3</v>
      </c>
      <c r="I135" s="29">
        <f t="shared" si="28"/>
        <v>370.16</v>
      </c>
      <c r="J135" s="24">
        <f t="shared" si="29"/>
        <v>13385.35</v>
      </c>
      <c r="K135" s="24">
        <f t="shared" si="18"/>
        <v>13755.51</v>
      </c>
      <c r="L135" s="30">
        <v>15481</v>
      </c>
      <c r="M135" s="30">
        <f t="shared" si="19"/>
        <v>15527.44</v>
      </c>
      <c r="N135" s="29">
        <f t="shared" si="30"/>
        <v>13755.51</v>
      </c>
      <c r="O135" s="29">
        <f t="shared" si="20"/>
        <v>41.27</v>
      </c>
      <c r="P135" s="29">
        <f t="shared" si="21"/>
        <v>13714.24</v>
      </c>
      <c r="Q135" s="30">
        <f t="shared" si="22"/>
        <v>2115.2000000000003</v>
      </c>
      <c r="R135" s="30">
        <v>0</v>
      </c>
      <c r="S135" s="29">
        <f t="shared" si="23"/>
        <v>0</v>
      </c>
      <c r="T135" s="24">
        <f t="shared" si="24"/>
        <v>13714.24</v>
      </c>
      <c r="U135" s="31">
        <f t="shared" si="25"/>
        <v>-6936.76</v>
      </c>
      <c r="V135" s="32">
        <f t="shared" si="31"/>
        <v>-32.794818456883512</v>
      </c>
      <c r="W135" s="32">
        <f t="shared" si="26"/>
        <v>7836.54</v>
      </c>
      <c r="X135" s="33">
        <v>5877.7</v>
      </c>
      <c r="Y135" s="30">
        <f t="shared" si="27"/>
        <v>7836.54</v>
      </c>
    </row>
    <row r="136" spans="1:25" ht="16.5" x14ac:dyDescent="0.3">
      <c r="A136" s="27">
        <v>404</v>
      </c>
      <c r="B136" s="27">
        <v>1</v>
      </c>
      <c r="C136" s="28" t="s">
        <v>193</v>
      </c>
      <c r="D136" s="24">
        <f>'[1]FY13 9-16-13 to copy to sheet'!F126</f>
        <v>0</v>
      </c>
      <c r="E136" s="25">
        <v>189.69</v>
      </c>
      <c r="F136" s="20">
        <v>105</v>
      </c>
      <c r="G136" s="20">
        <v>6</v>
      </c>
      <c r="H136" s="23">
        <f t="shared" si="17"/>
        <v>5.7142857142857141E-2</v>
      </c>
      <c r="I136" s="29">
        <f t="shared" si="28"/>
        <v>3793.8</v>
      </c>
      <c r="J136" s="24">
        <f t="shared" si="29"/>
        <v>0</v>
      </c>
      <c r="K136" s="24">
        <f t="shared" si="18"/>
        <v>3793.8</v>
      </c>
      <c r="L136" s="30">
        <v>0</v>
      </c>
      <c r="M136" s="30">
        <f t="shared" si="19"/>
        <v>0</v>
      </c>
      <c r="N136" s="29">
        <f t="shared" si="30"/>
        <v>0</v>
      </c>
      <c r="O136" s="29">
        <f t="shared" si="20"/>
        <v>0</v>
      </c>
      <c r="P136" s="29">
        <f t="shared" si="21"/>
        <v>0</v>
      </c>
      <c r="Q136" s="30">
        <f t="shared" si="22"/>
        <v>0</v>
      </c>
      <c r="R136" s="30">
        <v>0</v>
      </c>
      <c r="S136" s="29">
        <f t="shared" si="23"/>
        <v>0</v>
      </c>
      <c r="T136" s="24">
        <f t="shared" si="24"/>
        <v>0</v>
      </c>
      <c r="U136" s="31">
        <f t="shared" si="25"/>
        <v>0</v>
      </c>
      <c r="V136" s="32">
        <f t="shared" si="31"/>
        <v>0</v>
      </c>
      <c r="W136" s="32">
        <f t="shared" si="26"/>
        <v>0</v>
      </c>
      <c r="X136" s="33">
        <v>0</v>
      </c>
      <c r="Y136" s="30">
        <f t="shared" si="27"/>
        <v>0</v>
      </c>
    </row>
    <row r="137" spans="1:25" ht="16.5" x14ac:dyDescent="0.3">
      <c r="A137" s="34">
        <v>413</v>
      </c>
      <c r="B137" s="34">
        <v>1</v>
      </c>
      <c r="C137" s="1" t="s">
        <v>194</v>
      </c>
      <c r="D137" s="24">
        <f>'[1]FY13 9-16-13 to copy to sheet'!F127</f>
        <v>317762</v>
      </c>
      <c r="E137" s="25">
        <v>2581.88</v>
      </c>
      <c r="F137" s="20">
        <v>2270</v>
      </c>
      <c r="G137" s="20">
        <v>531</v>
      </c>
      <c r="H137" s="23">
        <f t="shared" si="17"/>
        <v>0.23392070484581498</v>
      </c>
      <c r="I137" s="29">
        <f t="shared" si="28"/>
        <v>211384.32000000001</v>
      </c>
      <c r="J137" s="24">
        <f t="shared" si="29"/>
        <v>70209.27</v>
      </c>
      <c r="K137" s="24">
        <f t="shared" si="18"/>
        <v>281593.59000000003</v>
      </c>
      <c r="L137" s="30">
        <v>317762</v>
      </c>
      <c r="M137" s="30">
        <f t="shared" si="19"/>
        <v>318715.28999999998</v>
      </c>
      <c r="N137" s="29">
        <f t="shared" si="30"/>
        <v>281593.59000000003</v>
      </c>
      <c r="O137" s="29">
        <f t="shared" si="20"/>
        <v>844.78</v>
      </c>
      <c r="P137" s="29">
        <f t="shared" si="21"/>
        <v>280748.81</v>
      </c>
      <c r="Q137" s="30">
        <f t="shared" si="22"/>
        <v>25818.800000000003</v>
      </c>
      <c r="R137" s="30">
        <v>0</v>
      </c>
      <c r="S137" s="29">
        <f t="shared" si="23"/>
        <v>0</v>
      </c>
      <c r="T137" s="24">
        <f t="shared" si="24"/>
        <v>280748.81</v>
      </c>
      <c r="U137" s="31">
        <f t="shared" si="25"/>
        <v>-37013.19</v>
      </c>
      <c r="V137" s="32">
        <f t="shared" si="31"/>
        <v>-14.335751467922599</v>
      </c>
      <c r="W137" s="32">
        <f t="shared" si="26"/>
        <v>185420.21</v>
      </c>
      <c r="X137" s="33">
        <v>95328.6</v>
      </c>
      <c r="Y137" s="30">
        <f t="shared" si="27"/>
        <v>185420.21</v>
      </c>
    </row>
    <row r="138" spans="1:25" ht="16.5" x14ac:dyDescent="0.3">
      <c r="A138" s="34">
        <v>414</v>
      </c>
      <c r="B138" s="34">
        <v>1</v>
      </c>
      <c r="C138" s="1" t="s">
        <v>195</v>
      </c>
      <c r="D138" s="24">
        <f>'[1]FY13 9-16-13 to copy to sheet'!F128</f>
        <v>46520.72</v>
      </c>
      <c r="E138" s="25">
        <v>528.08000000000004</v>
      </c>
      <c r="F138" s="20">
        <v>438</v>
      </c>
      <c r="G138" s="20">
        <v>55</v>
      </c>
      <c r="H138" s="23">
        <f t="shared" si="17"/>
        <v>0.12557077625570776</v>
      </c>
      <c r="I138" s="29">
        <f t="shared" si="28"/>
        <v>23209</v>
      </c>
      <c r="J138" s="24">
        <f t="shared" si="29"/>
        <v>15385.74</v>
      </c>
      <c r="K138" s="24">
        <f t="shared" si="18"/>
        <v>38594.74</v>
      </c>
      <c r="L138" s="30">
        <v>41905</v>
      </c>
      <c r="M138" s="30">
        <f t="shared" si="19"/>
        <v>42030.720000000001</v>
      </c>
      <c r="N138" s="29">
        <f t="shared" si="30"/>
        <v>38594.74</v>
      </c>
      <c r="O138" s="29">
        <f t="shared" si="20"/>
        <v>115.78</v>
      </c>
      <c r="P138" s="29">
        <f t="shared" si="21"/>
        <v>38478.959999999999</v>
      </c>
      <c r="Q138" s="30">
        <f t="shared" si="22"/>
        <v>5280.8</v>
      </c>
      <c r="R138" s="30">
        <v>0</v>
      </c>
      <c r="S138" s="29">
        <f t="shared" si="23"/>
        <v>0</v>
      </c>
      <c r="T138" s="24">
        <f t="shared" si="24"/>
        <v>38478.959999999999</v>
      </c>
      <c r="U138" s="31">
        <f t="shared" si="25"/>
        <v>-8041.760000000002</v>
      </c>
      <c r="V138" s="32">
        <f t="shared" si="31"/>
        <v>-15.228298742614758</v>
      </c>
      <c r="W138" s="32">
        <f t="shared" si="26"/>
        <v>24510.6</v>
      </c>
      <c r="X138" s="33">
        <v>13968.36</v>
      </c>
      <c r="Y138" s="30">
        <f t="shared" si="27"/>
        <v>24510.6</v>
      </c>
    </row>
    <row r="139" spans="1:25" ht="16.5" x14ac:dyDescent="0.3">
      <c r="A139" s="34">
        <v>415</v>
      </c>
      <c r="B139" s="34">
        <v>1</v>
      </c>
      <c r="C139" s="1" t="s">
        <v>196</v>
      </c>
      <c r="D139" s="24">
        <f>'[1]FY13 9-16-13 to copy to sheet'!F129</f>
        <v>22310.55</v>
      </c>
      <c r="E139" s="25">
        <v>184.34</v>
      </c>
      <c r="F139" s="20">
        <v>121</v>
      </c>
      <c r="G139" s="20">
        <v>51</v>
      </c>
      <c r="H139" s="23">
        <f t="shared" si="17"/>
        <v>0.42148760330578511</v>
      </c>
      <c r="I139" s="29">
        <f t="shared" si="28"/>
        <v>27193.96</v>
      </c>
      <c r="J139" s="24">
        <f t="shared" si="29"/>
        <v>0</v>
      </c>
      <c r="K139" s="24">
        <f t="shared" si="18"/>
        <v>27193.96</v>
      </c>
      <c r="L139" s="30">
        <v>23610</v>
      </c>
      <c r="M139" s="30">
        <f t="shared" si="19"/>
        <v>23680.83</v>
      </c>
      <c r="N139" s="29">
        <f t="shared" si="30"/>
        <v>23680.83</v>
      </c>
      <c r="O139" s="29">
        <f t="shared" si="20"/>
        <v>70.830000000001746</v>
      </c>
      <c r="P139" s="29">
        <f t="shared" si="21"/>
        <v>23610</v>
      </c>
      <c r="Q139" s="30">
        <f t="shared" si="22"/>
        <v>1843.4</v>
      </c>
      <c r="R139" s="30">
        <v>0</v>
      </c>
      <c r="S139" s="29">
        <f t="shared" si="23"/>
        <v>0</v>
      </c>
      <c r="T139" s="24">
        <f t="shared" si="24"/>
        <v>23610</v>
      </c>
      <c r="U139" s="31">
        <f t="shared" si="25"/>
        <v>1299.4500000000007</v>
      </c>
      <c r="V139" s="32">
        <f t="shared" si="31"/>
        <v>7.0492025604860622</v>
      </c>
      <c r="W139" s="32">
        <f t="shared" si="26"/>
        <v>16526.739999999998</v>
      </c>
      <c r="X139" s="33">
        <v>7083.26</v>
      </c>
      <c r="Y139" s="30">
        <f t="shared" si="27"/>
        <v>16526.739999999998</v>
      </c>
    </row>
    <row r="140" spans="1:25" ht="16.5" x14ac:dyDescent="0.3">
      <c r="A140" s="27">
        <v>423</v>
      </c>
      <c r="B140" s="27">
        <v>1</v>
      </c>
      <c r="C140" s="28" t="s">
        <v>197</v>
      </c>
      <c r="D140" s="24">
        <f>'[1]FY13 9-16-13 to copy to sheet'!F130</f>
        <v>0</v>
      </c>
      <c r="E140" s="25">
        <v>3382.84</v>
      </c>
      <c r="F140" s="20">
        <v>2947</v>
      </c>
      <c r="G140" s="20">
        <v>227</v>
      </c>
      <c r="H140" s="23">
        <f t="shared" si="17"/>
        <v>7.7027485578554461E-2</v>
      </c>
      <c r="I140" s="29">
        <f t="shared" si="28"/>
        <v>91200.08</v>
      </c>
      <c r="J140" s="24">
        <f t="shared" si="29"/>
        <v>0</v>
      </c>
      <c r="K140" s="24">
        <f t="shared" si="18"/>
        <v>91200.08</v>
      </c>
      <c r="L140" s="30">
        <v>0</v>
      </c>
      <c r="M140" s="30">
        <f t="shared" si="19"/>
        <v>0</v>
      </c>
      <c r="N140" s="29">
        <f t="shared" si="30"/>
        <v>0</v>
      </c>
      <c r="O140" s="29">
        <f t="shared" si="20"/>
        <v>0</v>
      </c>
      <c r="P140" s="29">
        <f t="shared" si="21"/>
        <v>0</v>
      </c>
      <c r="Q140" s="30">
        <f t="shared" si="22"/>
        <v>0</v>
      </c>
      <c r="R140" s="30">
        <v>0</v>
      </c>
      <c r="S140" s="29">
        <f t="shared" si="23"/>
        <v>0</v>
      </c>
      <c r="T140" s="24">
        <f t="shared" si="24"/>
        <v>0</v>
      </c>
      <c r="U140" s="31">
        <f t="shared" si="25"/>
        <v>0</v>
      </c>
      <c r="V140" s="32">
        <f t="shared" si="31"/>
        <v>0</v>
      </c>
      <c r="W140" s="32">
        <f t="shared" si="26"/>
        <v>0</v>
      </c>
      <c r="X140" s="33">
        <v>0</v>
      </c>
      <c r="Y140" s="30">
        <f t="shared" si="27"/>
        <v>0</v>
      </c>
    </row>
    <row r="141" spans="1:25" ht="16.5" x14ac:dyDescent="0.3">
      <c r="A141" s="27">
        <v>424</v>
      </c>
      <c r="B141" s="27">
        <v>1</v>
      </c>
      <c r="C141" s="28" t="s">
        <v>198</v>
      </c>
      <c r="D141" s="24">
        <f>'[1]FY13 9-16-13 to copy to sheet'!F131</f>
        <v>0</v>
      </c>
      <c r="E141" s="25">
        <v>463.07</v>
      </c>
      <c r="F141" s="20">
        <v>410</v>
      </c>
      <c r="G141" s="20">
        <v>53</v>
      </c>
      <c r="H141" s="23">
        <f t="shared" si="17"/>
        <v>0.12926829268292683</v>
      </c>
      <c r="I141" s="29">
        <f t="shared" si="28"/>
        <v>20951.09</v>
      </c>
      <c r="J141" s="24">
        <f t="shared" si="29"/>
        <v>0</v>
      </c>
      <c r="K141" s="24">
        <f t="shared" si="18"/>
        <v>20951.09</v>
      </c>
      <c r="L141" s="30">
        <v>0</v>
      </c>
      <c r="M141" s="30">
        <f t="shared" si="19"/>
        <v>0</v>
      </c>
      <c r="N141" s="29">
        <f t="shared" si="30"/>
        <v>0</v>
      </c>
      <c r="O141" s="29">
        <f t="shared" si="20"/>
        <v>0</v>
      </c>
      <c r="P141" s="29">
        <f t="shared" si="21"/>
        <v>0</v>
      </c>
      <c r="Q141" s="30">
        <f t="shared" si="22"/>
        <v>0</v>
      </c>
      <c r="R141" s="30">
        <v>0</v>
      </c>
      <c r="S141" s="29">
        <f t="shared" si="23"/>
        <v>0</v>
      </c>
      <c r="T141" s="24">
        <f t="shared" si="24"/>
        <v>0</v>
      </c>
      <c r="U141" s="31">
        <f t="shared" si="25"/>
        <v>0</v>
      </c>
      <c r="V141" s="32">
        <f t="shared" si="31"/>
        <v>0</v>
      </c>
      <c r="W141" s="32">
        <f t="shared" si="26"/>
        <v>0</v>
      </c>
      <c r="X141" s="33">
        <v>0</v>
      </c>
      <c r="Y141" s="30">
        <f t="shared" si="27"/>
        <v>0</v>
      </c>
    </row>
    <row r="142" spans="1:25" ht="16.5" x14ac:dyDescent="0.3">
      <c r="A142" s="27">
        <v>432</v>
      </c>
      <c r="B142" s="27">
        <v>1</v>
      </c>
      <c r="C142" s="28" t="s">
        <v>199</v>
      </c>
      <c r="D142" s="24">
        <f>'[1]FY13 9-16-13 to copy to sheet'!F132</f>
        <v>0</v>
      </c>
      <c r="E142" s="25">
        <v>699.74</v>
      </c>
      <c r="F142" s="20">
        <v>655</v>
      </c>
      <c r="G142" s="20">
        <v>476</v>
      </c>
      <c r="H142" s="23">
        <f t="shared" ref="H142:H203" si="32">IF(F142=0,0,G142/F142)</f>
        <v>0.72671755725190834</v>
      </c>
      <c r="I142" s="29">
        <f t="shared" si="28"/>
        <v>177979.67</v>
      </c>
      <c r="J142" s="24">
        <f t="shared" si="29"/>
        <v>0</v>
      </c>
      <c r="K142" s="24">
        <f t="shared" ref="K142:K203" si="33">I142+J142</f>
        <v>177979.67</v>
      </c>
      <c r="L142" s="30">
        <v>0</v>
      </c>
      <c r="M142" s="30">
        <f t="shared" ref="M142:M203" si="34">ROUND(L142*1.003,2)</f>
        <v>0</v>
      </c>
      <c r="N142" s="29">
        <f t="shared" si="30"/>
        <v>0</v>
      </c>
      <c r="O142" s="29">
        <f t="shared" ref="O142:O203" si="35">IF(N142=M142,M142-L142,ROUND(N142*0.003,2))</f>
        <v>0</v>
      </c>
      <c r="P142" s="29">
        <f t="shared" ref="P142:P203" si="36">N142-O142</f>
        <v>0</v>
      </c>
      <c r="Q142" s="30">
        <f t="shared" ref="Q142:Q203" si="37">IF(D142&gt;0,E142*Q$10,0)</f>
        <v>0</v>
      </c>
      <c r="R142" s="30">
        <v>0</v>
      </c>
      <c r="S142" s="29">
        <f t="shared" ref="S142:S203" si="38">IF(R142&lt;Q142,R142,Q142)</f>
        <v>0</v>
      </c>
      <c r="T142" s="24">
        <f t="shared" ref="T142:T203" si="39">P142+S142</f>
        <v>0</v>
      </c>
      <c r="U142" s="31">
        <f t="shared" ref="U142:U203" si="40">T142-D142</f>
        <v>0</v>
      </c>
      <c r="V142" s="32">
        <f t="shared" si="31"/>
        <v>0</v>
      </c>
      <c r="W142" s="32">
        <f t="shared" ref="W142:W203" si="41">T142-X142</f>
        <v>0</v>
      </c>
      <c r="X142" s="33">
        <v>0</v>
      </c>
      <c r="Y142" s="30">
        <f t="shared" ref="Y142:Y203" si="42">IF(W142&gt;0,W142,0)</f>
        <v>0</v>
      </c>
    </row>
    <row r="143" spans="1:25" ht="16.5" x14ac:dyDescent="0.3">
      <c r="A143" s="27">
        <v>435</v>
      </c>
      <c r="B143" s="27">
        <v>1</v>
      </c>
      <c r="C143" s="28" t="s">
        <v>200</v>
      </c>
      <c r="D143" s="24">
        <f>'[1]FY13 9-16-13 to copy to sheet'!F133</f>
        <v>0</v>
      </c>
      <c r="E143" s="25">
        <v>708.57</v>
      </c>
      <c r="F143" s="20">
        <v>554</v>
      </c>
      <c r="G143" s="20">
        <v>422</v>
      </c>
      <c r="H143" s="23">
        <f t="shared" si="32"/>
        <v>0.76173285198555951</v>
      </c>
      <c r="I143" s="29">
        <f t="shared" ref="I143:I204" si="43">ROUND(E143*H143*I$10,2)</f>
        <v>188909.37</v>
      </c>
      <c r="J143" s="24">
        <f t="shared" ref="J143:J204" si="44">ROUND(MAX(0,IF(D143=0,0,(D143-I143)*J$9)),2)</f>
        <v>0</v>
      </c>
      <c r="K143" s="24">
        <f t="shared" si="33"/>
        <v>188909.37</v>
      </c>
      <c r="L143" s="30">
        <v>0</v>
      </c>
      <c r="M143" s="30">
        <f t="shared" si="34"/>
        <v>0</v>
      </c>
      <c r="N143" s="29">
        <f t="shared" ref="N143:N204" si="45">IF(M143&lt;K143,M143,K143)</f>
        <v>0</v>
      </c>
      <c r="O143" s="29">
        <f t="shared" si="35"/>
        <v>0</v>
      </c>
      <c r="P143" s="29">
        <f t="shared" si="36"/>
        <v>0</v>
      </c>
      <c r="Q143" s="30">
        <f t="shared" si="37"/>
        <v>0</v>
      </c>
      <c r="R143" s="30">
        <v>0</v>
      </c>
      <c r="S143" s="29">
        <f t="shared" si="38"/>
        <v>0</v>
      </c>
      <c r="T143" s="24">
        <f t="shared" si="39"/>
        <v>0</v>
      </c>
      <c r="U143" s="31">
        <f t="shared" si="40"/>
        <v>0</v>
      </c>
      <c r="V143" s="32">
        <f t="shared" ref="V143:V204" si="46">IF(E143=0,0,U143/E143)</f>
        <v>0</v>
      </c>
      <c r="W143" s="32">
        <f t="shared" si="41"/>
        <v>0</v>
      </c>
      <c r="X143" s="33">
        <v>0</v>
      </c>
      <c r="Y143" s="30">
        <f t="shared" si="42"/>
        <v>0</v>
      </c>
    </row>
    <row r="144" spans="1:25" ht="16.5" x14ac:dyDescent="0.3">
      <c r="A144" s="27">
        <v>441</v>
      </c>
      <c r="B144" s="27">
        <v>1</v>
      </c>
      <c r="C144" s="28" t="s">
        <v>201</v>
      </c>
      <c r="D144" s="24">
        <f>'[1]FY13 9-16-13 to copy to sheet'!F134</f>
        <v>0</v>
      </c>
      <c r="E144" s="25">
        <v>471.99</v>
      </c>
      <c r="F144" s="20">
        <v>405</v>
      </c>
      <c r="G144" s="20">
        <v>11</v>
      </c>
      <c r="H144" s="23">
        <f t="shared" si="32"/>
        <v>2.7160493827160494E-2</v>
      </c>
      <c r="I144" s="29">
        <f t="shared" si="43"/>
        <v>4486.82</v>
      </c>
      <c r="J144" s="24">
        <f t="shared" si="44"/>
        <v>0</v>
      </c>
      <c r="K144" s="24">
        <f t="shared" si="33"/>
        <v>4486.82</v>
      </c>
      <c r="L144" s="30">
        <v>0</v>
      </c>
      <c r="M144" s="30">
        <f t="shared" si="34"/>
        <v>0</v>
      </c>
      <c r="N144" s="29">
        <f t="shared" si="45"/>
        <v>0</v>
      </c>
      <c r="O144" s="29">
        <f t="shared" si="35"/>
        <v>0</v>
      </c>
      <c r="P144" s="29">
        <f t="shared" si="36"/>
        <v>0</v>
      </c>
      <c r="Q144" s="30">
        <f t="shared" si="37"/>
        <v>0</v>
      </c>
      <c r="R144" s="30">
        <v>0</v>
      </c>
      <c r="S144" s="29">
        <f t="shared" si="38"/>
        <v>0</v>
      </c>
      <c r="T144" s="24">
        <f t="shared" si="39"/>
        <v>0</v>
      </c>
      <c r="U144" s="31">
        <f t="shared" si="40"/>
        <v>0</v>
      </c>
      <c r="V144" s="32">
        <f t="shared" si="46"/>
        <v>0</v>
      </c>
      <c r="W144" s="32">
        <f t="shared" si="41"/>
        <v>0</v>
      </c>
      <c r="X144" s="33">
        <v>0</v>
      </c>
      <c r="Y144" s="30">
        <f t="shared" si="42"/>
        <v>0</v>
      </c>
    </row>
    <row r="145" spans="1:25" ht="16.5" x14ac:dyDescent="0.3">
      <c r="A145" s="27">
        <v>447</v>
      </c>
      <c r="B145" s="27">
        <v>1</v>
      </c>
      <c r="C145" s="28" t="s">
        <v>202</v>
      </c>
      <c r="D145" s="24">
        <f>'[1]FY13 9-16-13 to copy to sheet'!F135</f>
        <v>0</v>
      </c>
      <c r="E145" s="25">
        <v>185.54</v>
      </c>
      <c r="F145" s="20">
        <v>165</v>
      </c>
      <c r="G145" s="20">
        <v>5</v>
      </c>
      <c r="H145" s="23">
        <f t="shared" si="32"/>
        <v>3.0303030303030304E-2</v>
      </c>
      <c r="I145" s="29">
        <f t="shared" si="43"/>
        <v>1967.85</v>
      </c>
      <c r="J145" s="24">
        <f t="shared" si="44"/>
        <v>0</v>
      </c>
      <c r="K145" s="24">
        <f t="shared" si="33"/>
        <v>1967.85</v>
      </c>
      <c r="L145" s="30">
        <v>0</v>
      </c>
      <c r="M145" s="30">
        <f t="shared" si="34"/>
        <v>0</v>
      </c>
      <c r="N145" s="29">
        <f t="shared" si="45"/>
        <v>0</v>
      </c>
      <c r="O145" s="29">
        <f t="shared" si="35"/>
        <v>0</v>
      </c>
      <c r="P145" s="29">
        <f t="shared" si="36"/>
        <v>0</v>
      </c>
      <c r="Q145" s="30">
        <f t="shared" si="37"/>
        <v>0</v>
      </c>
      <c r="R145" s="30">
        <v>0</v>
      </c>
      <c r="S145" s="29">
        <f t="shared" si="38"/>
        <v>0</v>
      </c>
      <c r="T145" s="24">
        <f t="shared" si="39"/>
        <v>0</v>
      </c>
      <c r="U145" s="31">
        <f t="shared" si="40"/>
        <v>0</v>
      </c>
      <c r="V145" s="32">
        <f t="shared" si="46"/>
        <v>0</v>
      </c>
      <c r="W145" s="32">
        <f t="shared" si="41"/>
        <v>0</v>
      </c>
      <c r="X145" s="33">
        <v>0</v>
      </c>
      <c r="Y145" s="30">
        <f t="shared" si="42"/>
        <v>0</v>
      </c>
    </row>
    <row r="146" spans="1:25" ht="16.5" x14ac:dyDescent="0.3">
      <c r="A146" s="34">
        <v>458</v>
      </c>
      <c r="B146" s="34">
        <v>1</v>
      </c>
      <c r="C146" s="1" t="s">
        <v>203</v>
      </c>
      <c r="D146" s="24">
        <f>'[1]FY13 9-16-13 to copy to sheet'!F136</f>
        <v>27783.08</v>
      </c>
      <c r="E146" s="25">
        <v>299.05</v>
      </c>
      <c r="F146" s="20">
        <v>257</v>
      </c>
      <c r="G146" s="20">
        <v>17</v>
      </c>
      <c r="H146" s="23">
        <f t="shared" si="32"/>
        <v>6.6147859922178989E-2</v>
      </c>
      <c r="I146" s="29">
        <f t="shared" si="43"/>
        <v>6923.53</v>
      </c>
      <c r="J146" s="24">
        <f t="shared" si="44"/>
        <v>13767.3</v>
      </c>
      <c r="K146" s="24">
        <f t="shared" si="33"/>
        <v>20690.829999999998</v>
      </c>
      <c r="L146" s="30">
        <v>31330.5</v>
      </c>
      <c r="M146" s="30">
        <f t="shared" si="34"/>
        <v>31424.49</v>
      </c>
      <c r="N146" s="29">
        <f t="shared" si="45"/>
        <v>20690.829999999998</v>
      </c>
      <c r="O146" s="29">
        <f t="shared" si="35"/>
        <v>62.07</v>
      </c>
      <c r="P146" s="29">
        <f t="shared" si="36"/>
        <v>20628.759999999998</v>
      </c>
      <c r="Q146" s="30">
        <f t="shared" si="37"/>
        <v>2990.5</v>
      </c>
      <c r="R146" s="30">
        <v>0</v>
      </c>
      <c r="S146" s="29">
        <f t="shared" si="38"/>
        <v>0</v>
      </c>
      <c r="T146" s="24">
        <f t="shared" si="39"/>
        <v>20628.759999999998</v>
      </c>
      <c r="U146" s="31">
        <f t="shared" si="40"/>
        <v>-7154.3200000000033</v>
      </c>
      <c r="V146" s="32">
        <f t="shared" si="46"/>
        <v>-23.923491055007535</v>
      </c>
      <c r="W146" s="32">
        <f t="shared" si="41"/>
        <v>12077.179999999998</v>
      </c>
      <c r="X146" s="33">
        <v>8551.58</v>
      </c>
      <c r="Y146" s="30">
        <f t="shared" si="42"/>
        <v>12077.179999999998</v>
      </c>
    </row>
    <row r="147" spans="1:25" ht="16.5" x14ac:dyDescent="0.3">
      <c r="A147" s="27">
        <v>463</v>
      </c>
      <c r="B147" s="27">
        <v>1</v>
      </c>
      <c r="C147" s="28" t="s">
        <v>204</v>
      </c>
      <c r="D147" s="24">
        <f>'[1]FY13 9-16-13 to copy to sheet'!F137</f>
        <v>0</v>
      </c>
      <c r="E147" s="25">
        <v>1108.97</v>
      </c>
      <c r="F147" s="20">
        <v>937</v>
      </c>
      <c r="G147" s="20">
        <v>47</v>
      </c>
      <c r="H147" s="23">
        <f t="shared" si="32"/>
        <v>5.0160085378868728E-2</v>
      </c>
      <c r="I147" s="29">
        <f t="shared" si="43"/>
        <v>19469.11</v>
      </c>
      <c r="J147" s="24">
        <f t="shared" si="44"/>
        <v>0</v>
      </c>
      <c r="K147" s="24">
        <f t="shared" si="33"/>
        <v>19469.11</v>
      </c>
      <c r="L147" s="30">
        <v>0</v>
      </c>
      <c r="M147" s="30">
        <f t="shared" si="34"/>
        <v>0</v>
      </c>
      <c r="N147" s="29">
        <f t="shared" si="45"/>
        <v>0</v>
      </c>
      <c r="O147" s="29">
        <f t="shared" si="35"/>
        <v>0</v>
      </c>
      <c r="P147" s="29">
        <f t="shared" si="36"/>
        <v>0</v>
      </c>
      <c r="Q147" s="30">
        <f t="shared" si="37"/>
        <v>0</v>
      </c>
      <c r="R147" s="30">
        <v>0</v>
      </c>
      <c r="S147" s="29">
        <f t="shared" si="38"/>
        <v>0</v>
      </c>
      <c r="T147" s="24">
        <f t="shared" si="39"/>
        <v>0</v>
      </c>
      <c r="U147" s="31">
        <f t="shared" si="40"/>
        <v>0</v>
      </c>
      <c r="V147" s="32">
        <f t="shared" si="46"/>
        <v>0</v>
      </c>
      <c r="W147" s="32">
        <f t="shared" si="41"/>
        <v>0</v>
      </c>
      <c r="X147" s="33">
        <v>0</v>
      </c>
      <c r="Y147" s="30">
        <f t="shared" si="42"/>
        <v>0</v>
      </c>
    </row>
    <row r="148" spans="1:25" ht="16.5" x14ac:dyDescent="0.3">
      <c r="A148" s="27">
        <v>465</v>
      </c>
      <c r="B148" s="27">
        <v>1</v>
      </c>
      <c r="C148" s="28" t="s">
        <v>205</v>
      </c>
      <c r="D148" s="24">
        <f>'[1]FY13 9-16-13 to copy to sheet'!F138</f>
        <v>0</v>
      </c>
      <c r="E148" s="25">
        <v>2002.29</v>
      </c>
      <c r="F148" s="20">
        <v>1694</v>
      </c>
      <c r="G148" s="20">
        <v>122</v>
      </c>
      <c r="H148" s="23">
        <f t="shared" si="32"/>
        <v>7.2018890200708383E-2</v>
      </c>
      <c r="I148" s="29">
        <f t="shared" si="43"/>
        <v>50470.95</v>
      </c>
      <c r="J148" s="24">
        <f t="shared" si="44"/>
        <v>0</v>
      </c>
      <c r="K148" s="24">
        <f t="shared" si="33"/>
        <v>50470.95</v>
      </c>
      <c r="L148" s="30">
        <v>0</v>
      </c>
      <c r="M148" s="30">
        <f t="shared" si="34"/>
        <v>0</v>
      </c>
      <c r="N148" s="29">
        <f t="shared" si="45"/>
        <v>0</v>
      </c>
      <c r="O148" s="29">
        <f t="shared" si="35"/>
        <v>0</v>
      </c>
      <c r="P148" s="29">
        <f t="shared" si="36"/>
        <v>0</v>
      </c>
      <c r="Q148" s="30">
        <f t="shared" si="37"/>
        <v>0</v>
      </c>
      <c r="R148" s="30">
        <v>0</v>
      </c>
      <c r="S148" s="29">
        <f t="shared" si="38"/>
        <v>0</v>
      </c>
      <c r="T148" s="24">
        <f t="shared" si="39"/>
        <v>0</v>
      </c>
      <c r="U148" s="31">
        <f t="shared" si="40"/>
        <v>0</v>
      </c>
      <c r="V148" s="32">
        <f t="shared" si="46"/>
        <v>0</v>
      </c>
      <c r="W148" s="32">
        <f t="shared" si="41"/>
        <v>0</v>
      </c>
      <c r="X148" s="33">
        <v>0</v>
      </c>
      <c r="Y148" s="30">
        <f t="shared" si="42"/>
        <v>0</v>
      </c>
    </row>
    <row r="149" spans="1:25" ht="16.5" x14ac:dyDescent="0.3">
      <c r="A149" s="27">
        <v>466</v>
      </c>
      <c r="B149" s="27">
        <v>1</v>
      </c>
      <c r="C149" s="28" t="s">
        <v>206</v>
      </c>
      <c r="D149" s="24">
        <f>'[1]FY13 9-16-13 to copy to sheet'!F139</f>
        <v>0</v>
      </c>
      <c r="E149" s="25">
        <v>2593.48</v>
      </c>
      <c r="F149" s="20">
        <v>2266</v>
      </c>
      <c r="G149" s="20">
        <v>83</v>
      </c>
      <c r="H149" s="23">
        <f t="shared" si="32"/>
        <v>3.6628420123565757E-2</v>
      </c>
      <c r="I149" s="29">
        <f t="shared" si="43"/>
        <v>33248.28</v>
      </c>
      <c r="J149" s="24">
        <f t="shared" si="44"/>
        <v>0</v>
      </c>
      <c r="K149" s="24">
        <f t="shared" si="33"/>
        <v>33248.28</v>
      </c>
      <c r="L149" s="30">
        <v>0</v>
      </c>
      <c r="M149" s="30">
        <f t="shared" si="34"/>
        <v>0</v>
      </c>
      <c r="N149" s="29">
        <f t="shared" si="45"/>
        <v>0</v>
      </c>
      <c r="O149" s="29">
        <f t="shared" si="35"/>
        <v>0</v>
      </c>
      <c r="P149" s="29">
        <f t="shared" si="36"/>
        <v>0</v>
      </c>
      <c r="Q149" s="30">
        <f t="shared" si="37"/>
        <v>0</v>
      </c>
      <c r="R149" s="30">
        <v>0</v>
      </c>
      <c r="S149" s="29">
        <f t="shared" si="38"/>
        <v>0</v>
      </c>
      <c r="T149" s="24">
        <f t="shared" si="39"/>
        <v>0</v>
      </c>
      <c r="U149" s="31">
        <f t="shared" si="40"/>
        <v>0</v>
      </c>
      <c r="V149" s="32">
        <f t="shared" si="46"/>
        <v>0</v>
      </c>
      <c r="W149" s="32">
        <f t="shared" si="41"/>
        <v>0</v>
      </c>
      <c r="X149" s="33">
        <v>0</v>
      </c>
      <c r="Y149" s="30">
        <f t="shared" si="42"/>
        <v>0</v>
      </c>
    </row>
    <row r="150" spans="1:25" ht="16.5" x14ac:dyDescent="0.3">
      <c r="A150" s="27">
        <v>473</v>
      </c>
      <c r="B150" s="27">
        <v>1</v>
      </c>
      <c r="C150" s="28" t="s">
        <v>207</v>
      </c>
      <c r="D150" s="24">
        <f>'[1]FY13 9-16-13 to copy to sheet'!F140</f>
        <v>0</v>
      </c>
      <c r="E150" s="25">
        <v>581.66</v>
      </c>
      <c r="F150" s="20">
        <v>499</v>
      </c>
      <c r="G150" s="20">
        <v>60</v>
      </c>
      <c r="H150" s="23">
        <f t="shared" si="32"/>
        <v>0.12024048096192384</v>
      </c>
      <c r="I150" s="29">
        <f t="shared" si="43"/>
        <v>24478.68</v>
      </c>
      <c r="J150" s="24">
        <f t="shared" si="44"/>
        <v>0</v>
      </c>
      <c r="K150" s="24">
        <f t="shared" si="33"/>
        <v>24478.68</v>
      </c>
      <c r="L150" s="30">
        <v>0</v>
      </c>
      <c r="M150" s="30">
        <f t="shared" si="34"/>
        <v>0</v>
      </c>
      <c r="N150" s="29">
        <f t="shared" si="45"/>
        <v>0</v>
      </c>
      <c r="O150" s="29">
        <f t="shared" si="35"/>
        <v>0</v>
      </c>
      <c r="P150" s="29">
        <f t="shared" si="36"/>
        <v>0</v>
      </c>
      <c r="Q150" s="30">
        <f t="shared" si="37"/>
        <v>0</v>
      </c>
      <c r="R150" s="30">
        <v>0</v>
      </c>
      <c r="S150" s="29">
        <f t="shared" si="38"/>
        <v>0</v>
      </c>
      <c r="T150" s="24">
        <f t="shared" si="39"/>
        <v>0</v>
      </c>
      <c r="U150" s="31">
        <f t="shared" si="40"/>
        <v>0</v>
      </c>
      <c r="V150" s="32">
        <f t="shared" si="46"/>
        <v>0</v>
      </c>
      <c r="W150" s="32">
        <f t="shared" si="41"/>
        <v>0</v>
      </c>
      <c r="X150" s="33">
        <v>0</v>
      </c>
      <c r="Y150" s="30">
        <f t="shared" si="42"/>
        <v>0</v>
      </c>
    </row>
    <row r="151" spans="1:25" ht="16.5" x14ac:dyDescent="0.3">
      <c r="A151" s="27">
        <v>477</v>
      </c>
      <c r="B151" s="27">
        <v>1</v>
      </c>
      <c r="C151" s="28" t="s">
        <v>208</v>
      </c>
      <c r="D151" s="24">
        <f>'[1]FY13 9-16-13 to copy to sheet'!F141</f>
        <v>0</v>
      </c>
      <c r="E151" s="25">
        <v>3918.95</v>
      </c>
      <c r="F151" s="20">
        <v>3269</v>
      </c>
      <c r="G151" s="20">
        <v>151</v>
      </c>
      <c r="H151" s="23">
        <f t="shared" si="32"/>
        <v>4.619149587029673E-2</v>
      </c>
      <c r="I151" s="29">
        <f t="shared" si="43"/>
        <v>63357.760000000002</v>
      </c>
      <c r="J151" s="24">
        <f t="shared" si="44"/>
        <v>0</v>
      </c>
      <c r="K151" s="24">
        <f t="shared" si="33"/>
        <v>63357.760000000002</v>
      </c>
      <c r="L151" s="30">
        <v>0</v>
      </c>
      <c r="M151" s="30">
        <f t="shared" si="34"/>
        <v>0</v>
      </c>
      <c r="N151" s="29">
        <f t="shared" si="45"/>
        <v>0</v>
      </c>
      <c r="O151" s="29">
        <f t="shared" si="35"/>
        <v>0</v>
      </c>
      <c r="P151" s="29">
        <f t="shared" si="36"/>
        <v>0</v>
      </c>
      <c r="Q151" s="30">
        <f t="shared" si="37"/>
        <v>0</v>
      </c>
      <c r="R151" s="30">
        <v>0</v>
      </c>
      <c r="S151" s="29">
        <f t="shared" si="38"/>
        <v>0</v>
      </c>
      <c r="T151" s="24">
        <f t="shared" si="39"/>
        <v>0</v>
      </c>
      <c r="U151" s="31">
        <f t="shared" si="40"/>
        <v>0</v>
      </c>
      <c r="V151" s="32">
        <f t="shared" si="46"/>
        <v>0</v>
      </c>
      <c r="W151" s="32">
        <f t="shared" si="41"/>
        <v>0</v>
      </c>
      <c r="X151" s="33">
        <v>0</v>
      </c>
      <c r="Y151" s="30">
        <f t="shared" si="42"/>
        <v>0</v>
      </c>
    </row>
    <row r="152" spans="1:25" ht="16.5" x14ac:dyDescent="0.3">
      <c r="A152" s="27">
        <v>480</v>
      </c>
      <c r="B152" s="27">
        <v>1</v>
      </c>
      <c r="C152" s="28" t="s">
        <v>209</v>
      </c>
      <c r="D152" s="24">
        <f>'[1]FY13 9-16-13 to copy to sheet'!F142</f>
        <v>0</v>
      </c>
      <c r="E152" s="25">
        <v>677.86</v>
      </c>
      <c r="F152" s="20">
        <v>686</v>
      </c>
      <c r="G152" s="20">
        <v>276</v>
      </c>
      <c r="H152" s="23">
        <f t="shared" si="32"/>
        <v>0.40233236151603496</v>
      </c>
      <c r="I152" s="29">
        <f t="shared" si="43"/>
        <v>95453.759999999995</v>
      </c>
      <c r="J152" s="24">
        <f t="shared" si="44"/>
        <v>0</v>
      </c>
      <c r="K152" s="24">
        <f t="shared" si="33"/>
        <v>95453.759999999995</v>
      </c>
      <c r="L152" s="30">
        <v>0</v>
      </c>
      <c r="M152" s="30">
        <f t="shared" si="34"/>
        <v>0</v>
      </c>
      <c r="N152" s="29">
        <f t="shared" si="45"/>
        <v>0</v>
      </c>
      <c r="O152" s="29">
        <f t="shared" si="35"/>
        <v>0</v>
      </c>
      <c r="P152" s="29">
        <f t="shared" si="36"/>
        <v>0</v>
      </c>
      <c r="Q152" s="30">
        <f t="shared" si="37"/>
        <v>0</v>
      </c>
      <c r="R152" s="30">
        <v>0</v>
      </c>
      <c r="S152" s="29">
        <f t="shared" si="38"/>
        <v>0</v>
      </c>
      <c r="T152" s="24">
        <f t="shared" si="39"/>
        <v>0</v>
      </c>
      <c r="U152" s="31">
        <f t="shared" si="40"/>
        <v>0</v>
      </c>
      <c r="V152" s="32">
        <f t="shared" si="46"/>
        <v>0</v>
      </c>
      <c r="W152" s="32">
        <f t="shared" si="41"/>
        <v>0</v>
      </c>
      <c r="X152" s="33">
        <v>0</v>
      </c>
      <c r="Y152" s="30">
        <f t="shared" si="42"/>
        <v>0</v>
      </c>
    </row>
    <row r="153" spans="1:25" ht="16.5" x14ac:dyDescent="0.3">
      <c r="A153" s="27">
        <v>482</v>
      </c>
      <c r="B153" s="27">
        <v>1</v>
      </c>
      <c r="C153" s="28" t="s">
        <v>210</v>
      </c>
      <c r="D153" s="24">
        <f>'[1]FY13 9-16-13 to copy to sheet'!F143</f>
        <v>0</v>
      </c>
      <c r="E153" s="25">
        <v>2560.2600000000002</v>
      </c>
      <c r="F153" s="20">
        <v>2504</v>
      </c>
      <c r="G153" s="20">
        <v>148</v>
      </c>
      <c r="H153" s="23">
        <f t="shared" si="32"/>
        <v>5.9105431309904151E-2</v>
      </c>
      <c r="I153" s="29">
        <f t="shared" si="43"/>
        <v>52963.85</v>
      </c>
      <c r="J153" s="24">
        <f t="shared" si="44"/>
        <v>0</v>
      </c>
      <c r="K153" s="24">
        <f t="shared" si="33"/>
        <v>52963.85</v>
      </c>
      <c r="L153" s="30">
        <v>0</v>
      </c>
      <c r="M153" s="30">
        <f t="shared" si="34"/>
        <v>0</v>
      </c>
      <c r="N153" s="29">
        <f t="shared" si="45"/>
        <v>0</v>
      </c>
      <c r="O153" s="29">
        <f t="shared" si="35"/>
        <v>0</v>
      </c>
      <c r="P153" s="29">
        <f t="shared" si="36"/>
        <v>0</v>
      </c>
      <c r="Q153" s="30">
        <f t="shared" si="37"/>
        <v>0</v>
      </c>
      <c r="R153" s="30">
        <v>0</v>
      </c>
      <c r="S153" s="29">
        <f t="shared" si="38"/>
        <v>0</v>
      </c>
      <c r="T153" s="24">
        <f t="shared" si="39"/>
        <v>0</v>
      </c>
      <c r="U153" s="31">
        <f t="shared" si="40"/>
        <v>0</v>
      </c>
      <c r="V153" s="32">
        <f t="shared" si="46"/>
        <v>0</v>
      </c>
      <c r="W153" s="32">
        <f t="shared" si="41"/>
        <v>0</v>
      </c>
      <c r="X153" s="33">
        <v>0</v>
      </c>
      <c r="Y153" s="30">
        <f t="shared" si="42"/>
        <v>0</v>
      </c>
    </row>
    <row r="154" spans="1:25" ht="16.5" x14ac:dyDescent="0.3">
      <c r="A154" s="27">
        <v>484</v>
      </c>
      <c r="B154" s="27">
        <v>1</v>
      </c>
      <c r="C154" s="28" t="s">
        <v>211</v>
      </c>
      <c r="D154" s="24">
        <f>'[1]FY13 9-16-13 to copy to sheet'!F144</f>
        <v>0</v>
      </c>
      <c r="E154" s="25">
        <v>1279.5</v>
      </c>
      <c r="F154" s="20">
        <v>1117</v>
      </c>
      <c r="G154" s="20">
        <v>39</v>
      </c>
      <c r="H154" s="23">
        <f t="shared" si="32"/>
        <v>3.4914950760966873E-2</v>
      </c>
      <c r="I154" s="29">
        <f t="shared" si="43"/>
        <v>15635.79</v>
      </c>
      <c r="J154" s="24">
        <f t="shared" si="44"/>
        <v>0</v>
      </c>
      <c r="K154" s="24">
        <f t="shared" si="33"/>
        <v>15635.79</v>
      </c>
      <c r="L154" s="30">
        <v>0</v>
      </c>
      <c r="M154" s="30">
        <f t="shared" si="34"/>
        <v>0</v>
      </c>
      <c r="N154" s="29">
        <f t="shared" si="45"/>
        <v>0</v>
      </c>
      <c r="O154" s="29">
        <f t="shared" si="35"/>
        <v>0</v>
      </c>
      <c r="P154" s="29">
        <f t="shared" si="36"/>
        <v>0</v>
      </c>
      <c r="Q154" s="30">
        <f t="shared" si="37"/>
        <v>0</v>
      </c>
      <c r="R154" s="30">
        <v>0</v>
      </c>
      <c r="S154" s="29">
        <f t="shared" si="38"/>
        <v>0</v>
      </c>
      <c r="T154" s="24">
        <f t="shared" si="39"/>
        <v>0</v>
      </c>
      <c r="U154" s="31">
        <f t="shared" si="40"/>
        <v>0</v>
      </c>
      <c r="V154" s="32">
        <f t="shared" si="46"/>
        <v>0</v>
      </c>
      <c r="W154" s="32">
        <f t="shared" si="41"/>
        <v>0</v>
      </c>
      <c r="X154" s="33">
        <v>0</v>
      </c>
      <c r="Y154" s="30">
        <f t="shared" si="42"/>
        <v>0</v>
      </c>
    </row>
    <row r="155" spans="1:25" ht="16.5" x14ac:dyDescent="0.3">
      <c r="A155" s="27">
        <v>485</v>
      </c>
      <c r="B155" s="27">
        <v>1</v>
      </c>
      <c r="C155" s="28" t="s">
        <v>212</v>
      </c>
      <c r="D155" s="24">
        <f>'[1]FY13 9-16-13 to copy to sheet'!F145</f>
        <v>0</v>
      </c>
      <c r="E155" s="25">
        <v>1000.08</v>
      </c>
      <c r="F155" s="20">
        <v>880</v>
      </c>
      <c r="G155" s="20">
        <v>23</v>
      </c>
      <c r="H155" s="23">
        <f t="shared" si="32"/>
        <v>2.6136363636363635E-2</v>
      </c>
      <c r="I155" s="29">
        <f t="shared" si="43"/>
        <v>9148.4599999999991</v>
      </c>
      <c r="J155" s="24">
        <f t="shared" si="44"/>
        <v>0</v>
      </c>
      <c r="K155" s="24">
        <f t="shared" si="33"/>
        <v>9148.4599999999991</v>
      </c>
      <c r="L155" s="30">
        <v>0</v>
      </c>
      <c r="M155" s="30">
        <f t="shared" si="34"/>
        <v>0</v>
      </c>
      <c r="N155" s="29">
        <f t="shared" si="45"/>
        <v>0</v>
      </c>
      <c r="O155" s="29">
        <f t="shared" si="35"/>
        <v>0</v>
      </c>
      <c r="P155" s="29">
        <f t="shared" si="36"/>
        <v>0</v>
      </c>
      <c r="Q155" s="30">
        <f t="shared" si="37"/>
        <v>0</v>
      </c>
      <c r="R155" s="30">
        <v>0</v>
      </c>
      <c r="S155" s="29">
        <f t="shared" si="38"/>
        <v>0</v>
      </c>
      <c r="T155" s="24">
        <f t="shared" si="39"/>
        <v>0</v>
      </c>
      <c r="U155" s="31">
        <f t="shared" si="40"/>
        <v>0</v>
      </c>
      <c r="V155" s="32">
        <f t="shared" si="46"/>
        <v>0</v>
      </c>
      <c r="W155" s="32">
        <f t="shared" si="41"/>
        <v>0</v>
      </c>
      <c r="X155" s="33">
        <v>0</v>
      </c>
      <c r="Y155" s="30">
        <f t="shared" si="42"/>
        <v>0</v>
      </c>
    </row>
    <row r="156" spans="1:25" ht="16.5" x14ac:dyDescent="0.3">
      <c r="A156" s="34">
        <v>486</v>
      </c>
      <c r="B156" s="34">
        <v>1</v>
      </c>
      <c r="C156" s="1" t="s">
        <v>213</v>
      </c>
      <c r="D156" s="24">
        <f>'[1]FY13 9-16-13 to copy to sheet'!F146</f>
        <v>0</v>
      </c>
      <c r="E156" s="25">
        <v>332.54</v>
      </c>
      <c r="F156" s="20">
        <v>341</v>
      </c>
      <c r="G156" s="20">
        <v>5</v>
      </c>
      <c r="H156" s="23">
        <f t="shared" si="32"/>
        <v>1.466275659824047E-2</v>
      </c>
      <c r="I156" s="29">
        <f t="shared" si="43"/>
        <v>1706.58</v>
      </c>
      <c r="J156" s="24">
        <f t="shared" si="44"/>
        <v>0</v>
      </c>
      <c r="K156" s="24">
        <f t="shared" si="33"/>
        <v>1706.58</v>
      </c>
      <c r="L156" s="30">
        <v>0</v>
      </c>
      <c r="M156" s="30">
        <f t="shared" si="34"/>
        <v>0</v>
      </c>
      <c r="N156" s="29">
        <f t="shared" si="45"/>
        <v>0</v>
      </c>
      <c r="O156" s="29">
        <f t="shared" si="35"/>
        <v>0</v>
      </c>
      <c r="P156" s="29">
        <f t="shared" si="36"/>
        <v>0</v>
      </c>
      <c r="Q156" s="30">
        <f t="shared" si="37"/>
        <v>0</v>
      </c>
      <c r="R156" s="30">
        <v>0</v>
      </c>
      <c r="S156" s="29">
        <f t="shared" si="38"/>
        <v>0</v>
      </c>
      <c r="T156" s="24">
        <f t="shared" si="39"/>
        <v>0</v>
      </c>
      <c r="U156" s="31">
        <f t="shared" si="40"/>
        <v>0</v>
      </c>
      <c r="V156" s="32">
        <f t="shared" si="46"/>
        <v>0</v>
      </c>
      <c r="W156" s="32">
        <f t="shared" si="41"/>
        <v>0</v>
      </c>
      <c r="X156" s="33">
        <v>0</v>
      </c>
      <c r="Y156" s="30">
        <f t="shared" si="42"/>
        <v>0</v>
      </c>
    </row>
    <row r="157" spans="1:25" ht="16.5" x14ac:dyDescent="0.3">
      <c r="A157" s="34">
        <v>487</v>
      </c>
      <c r="B157" s="34">
        <v>1</v>
      </c>
      <c r="C157" s="1" t="s">
        <v>214</v>
      </c>
      <c r="D157" s="24">
        <f>'[1]FY13 9-16-13 to copy to sheet'!F147</f>
        <v>0</v>
      </c>
      <c r="E157" s="25">
        <v>413.75</v>
      </c>
      <c r="F157" s="20">
        <v>381</v>
      </c>
      <c r="G157" s="20">
        <v>11</v>
      </c>
      <c r="H157" s="23">
        <f t="shared" si="32"/>
        <v>2.8871391076115485E-2</v>
      </c>
      <c r="I157" s="29">
        <f t="shared" si="43"/>
        <v>4180.9399999999996</v>
      </c>
      <c r="J157" s="24">
        <f t="shared" si="44"/>
        <v>0</v>
      </c>
      <c r="K157" s="24">
        <f t="shared" si="33"/>
        <v>4180.9399999999996</v>
      </c>
      <c r="L157" s="30">
        <v>0</v>
      </c>
      <c r="M157" s="30">
        <f t="shared" si="34"/>
        <v>0</v>
      </c>
      <c r="N157" s="29">
        <f t="shared" si="45"/>
        <v>0</v>
      </c>
      <c r="O157" s="29">
        <f t="shared" si="35"/>
        <v>0</v>
      </c>
      <c r="P157" s="29">
        <f t="shared" si="36"/>
        <v>0</v>
      </c>
      <c r="Q157" s="30">
        <f t="shared" si="37"/>
        <v>0</v>
      </c>
      <c r="R157" s="30">
        <v>0</v>
      </c>
      <c r="S157" s="29">
        <f t="shared" si="38"/>
        <v>0</v>
      </c>
      <c r="T157" s="24">
        <f t="shared" si="39"/>
        <v>0</v>
      </c>
      <c r="U157" s="31">
        <f t="shared" si="40"/>
        <v>0</v>
      </c>
      <c r="V157" s="32">
        <f t="shared" si="46"/>
        <v>0</v>
      </c>
      <c r="W157" s="32">
        <f t="shared" si="41"/>
        <v>0</v>
      </c>
      <c r="X157" s="33">
        <v>0</v>
      </c>
      <c r="Y157" s="30">
        <f t="shared" si="42"/>
        <v>0</v>
      </c>
    </row>
    <row r="158" spans="1:25" ht="16.5" x14ac:dyDescent="0.3">
      <c r="A158" s="34">
        <v>492</v>
      </c>
      <c r="B158" s="34">
        <v>1</v>
      </c>
      <c r="C158" s="1" t="s">
        <v>215</v>
      </c>
      <c r="D158" s="24">
        <f>'[1]FY13 9-16-13 to copy to sheet'!F148</f>
        <v>640993</v>
      </c>
      <c r="E158" s="25">
        <v>5311.03</v>
      </c>
      <c r="F158" s="20">
        <v>4582</v>
      </c>
      <c r="G158" s="20">
        <v>1679</v>
      </c>
      <c r="H158" s="23">
        <f t="shared" si="32"/>
        <v>0.36643387167175906</v>
      </c>
      <c r="I158" s="29">
        <f t="shared" si="43"/>
        <v>681149.45</v>
      </c>
      <c r="J158" s="24">
        <f t="shared" si="44"/>
        <v>0</v>
      </c>
      <c r="K158" s="24">
        <f t="shared" si="33"/>
        <v>681149.45</v>
      </c>
      <c r="L158" s="30">
        <v>684271</v>
      </c>
      <c r="M158" s="30">
        <f t="shared" si="34"/>
        <v>686323.81</v>
      </c>
      <c r="N158" s="29">
        <f t="shared" si="45"/>
        <v>681149.45</v>
      </c>
      <c r="O158" s="29">
        <f t="shared" si="35"/>
        <v>2043.45</v>
      </c>
      <c r="P158" s="29">
        <f t="shared" si="36"/>
        <v>679106</v>
      </c>
      <c r="Q158" s="30">
        <f t="shared" si="37"/>
        <v>53110.299999999996</v>
      </c>
      <c r="R158" s="30">
        <v>0</v>
      </c>
      <c r="S158" s="29">
        <f t="shared" si="38"/>
        <v>0</v>
      </c>
      <c r="T158" s="24">
        <f t="shared" si="39"/>
        <v>679106</v>
      </c>
      <c r="U158" s="31">
        <f t="shared" si="40"/>
        <v>38113</v>
      </c>
      <c r="V158" s="32">
        <f t="shared" si="46"/>
        <v>7.1761974607562005</v>
      </c>
      <c r="W158" s="32">
        <f t="shared" si="41"/>
        <v>480525.85</v>
      </c>
      <c r="X158" s="33">
        <v>198580.15</v>
      </c>
      <c r="Y158" s="30">
        <f t="shared" si="42"/>
        <v>480525.85</v>
      </c>
    </row>
    <row r="159" spans="1:25" ht="16.5" x14ac:dyDescent="0.3">
      <c r="A159" s="27">
        <v>495</v>
      </c>
      <c r="B159" s="27">
        <v>1</v>
      </c>
      <c r="C159" s="28" t="s">
        <v>216</v>
      </c>
      <c r="D159" s="24">
        <f>'[1]FY13 9-16-13 to copy to sheet'!F149</f>
        <v>0</v>
      </c>
      <c r="E159" s="25">
        <v>446.61</v>
      </c>
      <c r="F159" s="20">
        <v>402</v>
      </c>
      <c r="G159" s="20">
        <v>26</v>
      </c>
      <c r="H159" s="23">
        <f t="shared" si="32"/>
        <v>6.4676616915422883E-2</v>
      </c>
      <c r="I159" s="29">
        <f t="shared" si="43"/>
        <v>10109.83</v>
      </c>
      <c r="J159" s="24">
        <f t="shared" si="44"/>
        <v>0</v>
      </c>
      <c r="K159" s="24">
        <f t="shared" si="33"/>
        <v>10109.83</v>
      </c>
      <c r="L159" s="30">
        <v>0</v>
      </c>
      <c r="M159" s="30">
        <f t="shared" si="34"/>
        <v>0</v>
      </c>
      <c r="N159" s="29">
        <f t="shared" si="45"/>
        <v>0</v>
      </c>
      <c r="O159" s="29">
        <f t="shared" si="35"/>
        <v>0</v>
      </c>
      <c r="P159" s="29">
        <f t="shared" si="36"/>
        <v>0</v>
      </c>
      <c r="Q159" s="30">
        <f t="shared" si="37"/>
        <v>0</v>
      </c>
      <c r="R159" s="30">
        <v>0</v>
      </c>
      <c r="S159" s="29">
        <f t="shared" si="38"/>
        <v>0</v>
      </c>
      <c r="T159" s="24">
        <f t="shared" si="39"/>
        <v>0</v>
      </c>
      <c r="U159" s="31">
        <f t="shared" si="40"/>
        <v>0</v>
      </c>
      <c r="V159" s="32">
        <f t="shared" si="46"/>
        <v>0</v>
      </c>
      <c r="W159" s="32">
        <f t="shared" si="41"/>
        <v>0</v>
      </c>
      <c r="X159" s="33">
        <v>0</v>
      </c>
      <c r="Y159" s="30">
        <f t="shared" si="42"/>
        <v>0</v>
      </c>
    </row>
    <row r="160" spans="1:25" ht="16.5" x14ac:dyDescent="0.3">
      <c r="A160" s="34">
        <v>497</v>
      </c>
      <c r="B160" s="34">
        <v>1</v>
      </c>
      <c r="C160" s="1" t="s">
        <v>217</v>
      </c>
      <c r="D160" s="24">
        <f>'[1]FY13 9-16-13 to copy to sheet'!F150</f>
        <v>20400</v>
      </c>
      <c r="E160" s="25">
        <v>268.45</v>
      </c>
      <c r="F160" s="20">
        <v>240</v>
      </c>
      <c r="G160" s="20">
        <v>8</v>
      </c>
      <c r="H160" s="23">
        <f t="shared" si="32"/>
        <v>3.3333333333333333E-2</v>
      </c>
      <c r="I160" s="29">
        <f t="shared" si="43"/>
        <v>3131.92</v>
      </c>
      <c r="J160" s="24">
        <f t="shared" si="44"/>
        <v>11396.93</v>
      </c>
      <c r="K160" s="24">
        <f t="shared" si="33"/>
        <v>14528.85</v>
      </c>
      <c r="L160" s="30">
        <v>20400</v>
      </c>
      <c r="M160" s="30">
        <f t="shared" si="34"/>
        <v>20461.2</v>
      </c>
      <c r="N160" s="29">
        <f t="shared" si="45"/>
        <v>14528.85</v>
      </c>
      <c r="O160" s="29">
        <f t="shared" si="35"/>
        <v>43.59</v>
      </c>
      <c r="P160" s="29">
        <f t="shared" si="36"/>
        <v>14485.26</v>
      </c>
      <c r="Q160" s="30">
        <f t="shared" si="37"/>
        <v>2684.5</v>
      </c>
      <c r="R160" s="30">
        <v>0</v>
      </c>
      <c r="S160" s="29">
        <f t="shared" si="38"/>
        <v>0</v>
      </c>
      <c r="T160" s="24">
        <f t="shared" si="39"/>
        <v>14485.26</v>
      </c>
      <c r="U160" s="31">
        <f t="shared" si="40"/>
        <v>-5914.74</v>
      </c>
      <c r="V160" s="32">
        <f t="shared" si="46"/>
        <v>-22.032929782082324</v>
      </c>
      <c r="W160" s="32">
        <f t="shared" si="41"/>
        <v>8413.26</v>
      </c>
      <c r="X160" s="33">
        <v>6072</v>
      </c>
      <c r="Y160" s="30">
        <f t="shared" si="42"/>
        <v>8413.26</v>
      </c>
    </row>
    <row r="161" spans="1:25" ht="16.5" x14ac:dyDescent="0.3">
      <c r="A161" s="27">
        <v>499</v>
      </c>
      <c r="B161" s="27">
        <v>1</v>
      </c>
      <c r="C161" s="28" t="s">
        <v>218</v>
      </c>
      <c r="D161" s="24">
        <f>'[1]FY13 9-16-13 to copy to sheet'!F151</f>
        <v>0</v>
      </c>
      <c r="E161" s="25">
        <v>342.46</v>
      </c>
      <c r="F161" s="20">
        <v>294</v>
      </c>
      <c r="G161" s="20">
        <v>18</v>
      </c>
      <c r="H161" s="23">
        <f t="shared" si="32"/>
        <v>6.1224489795918366E-2</v>
      </c>
      <c r="I161" s="29">
        <f t="shared" si="43"/>
        <v>7338.43</v>
      </c>
      <c r="J161" s="24">
        <f t="shared" si="44"/>
        <v>0</v>
      </c>
      <c r="K161" s="24">
        <f t="shared" si="33"/>
        <v>7338.43</v>
      </c>
      <c r="L161" s="30">
        <v>0</v>
      </c>
      <c r="M161" s="30">
        <f t="shared" si="34"/>
        <v>0</v>
      </c>
      <c r="N161" s="29">
        <f t="shared" si="45"/>
        <v>0</v>
      </c>
      <c r="O161" s="29">
        <f t="shared" si="35"/>
        <v>0</v>
      </c>
      <c r="P161" s="29">
        <f t="shared" si="36"/>
        <v>0</v>
      </c>
      <c r="Q161" s="30">
        <f t="shared" si="37"/>
        <v>0</v>
      </c>
      <c r="R161" s="30">
        <v>0</v>
      </c>
      <c r="S161" s="29">
        <f t="shared" si="38"/>
        <v>0</v>
      </c>
      <c r="T161" s="24">
        <f t="shared" si="39"/>
        <v>0</v>
      </c>
      <c r="U161" s="31">
        <f t="shared" si="40"/>
        <v>0</v>
      </c>
      <c r="V161" s="32">
        <f t="shared" si="46"/>
        <v>0</v>
      </c>
      <c r="W161" s="32">
        <f t="shared" si="41"/>
        <v>0</v>
      </c>
      <c r="X161" s="33">
        <v>0</v>
      </c>
      <c r="Y161" s="30">
        <f t="shared" si="42"/>
        <v>0</v>
      </c>
    </row>
    <row r="162" spans="1:25" ht="16.5" x14ac:dyDescent="0.3">
      <c r="A162" s="34">
        <v>500</v>
      </c>
      <c r="B162" s="34">
        <v>1</v>
      </c>
      <c r="C162" s="1" t="s">
        <v>219</v>
      </c>
      <c r="D162" s="24">
        <f>'[1]FY13 9-16-13 to copy to sheet'!F152</f>
        <v>42329</v>
      </c>
      <c r="E162" s="25">
        <v>536.47</v>
      </c>
      <c r="F162" s="20">
        <v>507</v>
      </c>
      <c r="G162" s="20">
        <v>30</v>
      </c>
      <c r="H162" s="23">
        <f t="shared" si="32"/>
        <v>5.9171597633136092E-2</v>
      </c>
      <c r="I162" s="29">
        <f t="shared" si="43"/>
        <v>11110.33</v>
      </c>
      <c r="J162" s="24">
        <f t="shared" si="44"/>
        <v>20604.32</v>
      </c>
      <c r="K162" s="24">
        <f t="shared" si="33"/>
        <v>31714.65</v>
      </c>
      <c r="L162" s="30">
        <v>38707</v>
      </c>
      <c r="M162" s="30">
        <f t="shared" si="34"/>
        <v>38823.120000000003</v>
      </c>
      <c r="N162" s="29">
        <f t="shared" si="45"/>
        <v>31714.65</v>
      </c>
      <c r="O162" s="29">
        <f t="shared" si="35"/>
        <v>95.14</v>
      </c>
      <c r="P162" s="29">
        <f t="shared" si="36"/>
        <v>31619.510000000002</v>
      </c>
      <c r="Q162" s="30">
        <f t="shared" si="37"/>
        <v>5364.7000000000007</v>
      </c>
      <c r="R162" s="30">
        <v>0</v>
      </c>
      <c r="S162" s="29">
        <f t="shared" si="38"/>
        <v>0</v>
      </c>
      <c r="T162" s="24">
        <f t="shared" si="39"/>
        <v>31619.510000000002</v>
      </c>
      <c r="U162" s="31">
        <f t="shared" si="40"/>
        <v>-10709.489999999998</v>
      </c>
      <c r="V162" s="32">
        <f t="shared" si="46"/>
        <v>-19.962887020709449</v>
      </c>
      <c r="W162" s="32">
        <f t="shared" si="41"/>
        <v>22582.010000000002</v>
      </c>
      <c r="X162" s="33">
        <v>9037.5</v>
      </c>
      <c r="Y162" s="30">
        <f t="shared" si="42"/>
        <v>22582.010000000002</v>
      </c>
    </row>
    <row r="163" spans="1:25" ht="16.5" x14ac:dyDescent="0.3">
      <c r="A163" s="34">
        <v>505</v>
      </c>
      <c r="B163" s="34">
        <v>1</v>
      </c>
      <c r="C163" s="1" t="s">
        <v>220</v>
      </c>
      <c r="D163" s="24">
        <f>'[1]FY13 9-16-13 to copy to sheet'!F153</f>
        <v>32108</v>
      </c>
      <c r="E163" s="25">
        <v>331.57</v>
      </c>
      <c r="F163" s="20">
        <v>302</v>
      </c>
      <c r="G163" s="20">
        <v>18</v>
      </c>
      <c r="H163" s="23">
        <f t="shared" si="32"/>
        <v>5.9602649006622516E-2</v>
      </c>
      <c r="I163" s="29">
        <f t="shared" si="43"/>
        <v>6916.86</v>
      </c>
      <c r="J163" s="24">
        <f t="shared" si="44"/>
        <v>16626.150000000001</v>
      </c>
      <c r="K163" s="24">
        <f t="shared" si="33"/>
        <v>23543.010000000002</v>
      </c>
      <c r="L163" s="30">
        <v>26859</v>
      </c>
      <c r="M163" s="30">
        <f t="shared" si="34"/>
        <v>26939.58</v>
      </c>
      <c r="N163" s="29">
        <f t="shared" si="45"/>
        <v>23543.010000000002</v>
      </c>
      <c r="O163" s="29">
        <f t="shared" si="35"/>
        <v>70.63</v>
      </c>
      <c r="P163" s="29">
        <f t="shared" si="36"/>
        <v>23472.38</v>
      </c>
      <c r="Q163" s="30">
        <f t="shared" si="37"/>
        <v>3315.7</v>
      </c>
      <c r="R163" s="30">
        <v>0</v>
      </c>
      <c r="S163" s="29">
        <f t="shared" si="38"/>
        <v>0</v>
      </c>
      <c r="T163" s="24">
        <f t="shared" si="39"/>
        <v>23472.38</v>
      </c>
      <c r="U163" s="31">
        <f t="shared" si="40"/>
        <v>-8635.619999999999</v>
      </c>
      <c r="V163" s="32">
        <f t="shared" si="46"/>
        <v>-26.044636125101785</v>
      </c>
      <c r="W163" s="32">
        <f t="shared" si="41"/>
        <v>13838.050000000001</v>
      </c>
      <c r="X163" s="33">
        <v>9634.33</v>
      </c>
      <c r="Y163" s="30">
        <f t="shared" si="42"/>
        <v>13838.050000000001</v>
      </c>
    </row>
    <row r="164" spans="1:25" ht="16.5" x14ac:dyDescent="0.3">
      <c r="A164" s="34">
        <v>507</v>
      </c>
      <c r="B164" s="34">
        <v>1</v>
      </c>
      <c r="C164" s="1" t="s">
        <v>221</v>
      </c>
      <c r="D164" s="24">
        <f>'[1]FY13 9-16-13 to copy to sheet'!F154</f>
        <v>32776</v>
      </c>
      <c r="E164" s="25">
        <v>374.84</v>
      </c>
      <c r="F164" s="20">
        <v>330</v>
      </c>
      <c r="G164" s="20">
        <v>11</v>
      </c>
      <c r="H164" s="23">
        <f t="shared" si="32"/>
        <v>3.3333333333333333E-2</v>
      </c>
      <c r="I164" s="29">
        <f t="shared" si="43"/>
        <v>4373.13</v>
      </c>
      <c r="J164" s="24">
        <f t="shared" si="44"/>
        <v>18745.89</v>
      </c>
      <c r="K164" s="24">
        <f t="shared" si="33"/>
        <v>23119.02</v>
      </c>
      <c r="L164" s="30">
        <v>32776</v>
      </c>
      <c r="M164" s="30">
        <f t="shared" si="34"/>
        <v>32874.33</v>
      </c>
      <c r="N164" s="29">
        <f t="shared" si="45"/>
        <v>23119.02</v>
      </c>
      <c r="O164" s="29">
        <f t="shared" si="35"/>
        <v>69.36</v>
      </c>
      <c r="P164" s="29">
        <f t="shared" si="36"/>
        <v>23049.66</v>
      </c>
      <c r="Q164" s="30">
        <f t="shared" si="37"/>
        <v>3748.3999999999996</v>
      </c>
      <c r="R164" s="30">
        <v>0</v>
      </c>
      <c r="S164" s="29">
        <f t="shared" si="38"/>
        <v>0</v>
      </c>
      <c r="T164" s="24">
        <f t="shared" si="39"/>
        <v>23049.66</v>
      </c>
      <c r="U164" s="31">
        <f t="shared" si="40"/>
        <v>-9726.34</v>
      </c>
      <c r="V164" s="32">
        <f t="shared" si="46"/>
        <v>-25.947977803862983</v>
      </c>
      <c r="W164" s="32">
        <f t="shared" si="41"/>
        <v>13449.66</v>
      </c>
      <c r="X164" s="33">
        <v>9600</v>
      </c>
      <c r="Y164" s="30">
        <f t="shared" si="42"/>
        <v>13449.66</v>
      </c>
    </row>
    <row r="165" spans="1:25" ht="16.5" x14ac:dyDescent="0.3">
      <c r="A165" s="27">
        <v>508</v>
      </c>
      <c r="B165" s="27">
        <v>1</v>
      </c>
      <c r="C165" s="28" t="s">
        <v>222</v>
      </c>
      <c r="D165" s="24">
        <f>'[1]FY13 9-16-13 to copy to sheet'!F155</f>
        <v>0</v>
      </c>
      <c r="E165" s="25">
        <v>2231.08</v>
      </c>
      <c r="F165" s="20">
        <v>1946</v>
      </c>
      <c r="G165" s="20">
        <v>384</v>
      </c>
      <c r="H165" s="23">
        <f t="shared" si="32"/>
        <v>0.19732785200411099</v>
      </c>
      <c r="I165" s="29">
        <f t="shared" si="43"/>
        <v>154088.98000000001</v>
      </c>
      <c r="J165" s="24">
        <f t="shared" si="44"/>
        <v>0</v>
      </c>
      <c r="K165" s="24">
        <f t="shared" si="33"/>
        <v>154088.98000000001</v>
      </c>
      <c r="L165" s="30">
        <v>0</v>
      </c>
      <c r="M165" s="30">
        <f t="shared" si="34"/>
        <v>0</v>
      </c>
      <c r="N165" s="29">
        <f t="shared" si="45"/>
        <v>0</v>
      </c>
      <c r="O165" s="29">
        <f t="shared" si="35"/>
        <v>0</v>
      </c>
      <c r="P165" s="29">
        <f t="shared" si="36"/>
        <v>0</v>
      </c>
      <c r="Q165" s="30">
        <f t="shared" si="37"/>
        <v>0</v>
      </c>
      <c r="R165" s="30">
        <v>0</v>
      </c>
      <c r="S165" s="29">
        <f t="shared" si="38"/>
        <v>0</v>
      </c>
      <c r="T165" s="24">
        <f t="shared" si="39"/>
        <v>0</v>
      </c>
      <c r="U165" s="31">
        <f t="shared" si="40"/>
        <v>0</v>
      </c>
      <c r="V165" s="32">
        <f t="shared" si="46"/>
        <v>0</v>
      </c>
      <c r="W165" s="32">
        <f t="shared" si="41"/>
        <v>0</v>
      </c>
      <c r="X165" s="33">
        <v>0</v>
      </c>
      <c r="Y165" s="30">
        <f t="shared" si="42"/>
        <v>0</v>
      </c>
    </row>
    <row r="166" spans="1:25" ht="16.5" x14ac:dyDescent="0.3">
      <c r="A166" s="34">
        <v>511</v>
      </c>
      <c r="B166" s="34">
        <v>1</v>
      </c>
      <c r="C166" s="1" t="s">
        <v>223</v>
      </c>
      <c r="D166" s="24">
        <f>'[1]FY13 9-16-13 to copy to sheet'!F156</f>
        <v>58788</v>
      </c>
      <c r="E166" s="25">
        <v>690.15</v>
      </c>
      <c r="F166" s="20">
        <v>612</v>
      </c>
      <c r="G166" s="20">
        <v>88</v>
      </c>
      <c r="H166" s="23">
        <f t="shared" si="32"/>
        <v>0.1437908496732026</v>
      </c>
      <c r="I166" s="29">
        <f t="shared" si="43"/>
        <v>34733.040000000001</v>
      </c>
      <c r="J166" s="24">
        <f t="shared" si="44"/>
        <v>15876.27</v>
      </c>
      <c r="K166" s="24">
        <f t="shared" si="33"/>
        <v>50609.31</v>
      </c>
      <c r="L166" s="30">
        <v>57511</v>
      </c>
      <c r="M166" s="30">
        <f t="shared" si="34"/>
        <v>57683.53</v>
      </c>
      <c r="N166" s="29">
        <f t="shared" si="45"/>
        <v>50609.31</v>
      </c>
      <c r="O166" s="29">
        <f t="shared" si="35"/>
        <v>151.83000000000001</v>
      </c>
      <c r="P166" s="29">
        <f t="shared" si="36"/>
        <v>50457.479999999996</v>
      </c>
      <c r="Q166" s="30">
        <f t="shared" si="37"/>
        <v>6901.5</v>
      </c>
      <c r="R166" s="30">
        <v>0</v>
      </c>
      <c r="S166" s="29">
        <f t="shared" si="38"/>
        <v>0</v>
      </c>
      <c r="T166" s="24">
        <f t="shared" si="39"/>
        <v>50457.479999999996</v>
      </c>
      <c r="U166" s="31">
        <f t="shared" si="40"/>
        <v>-8330.5200000000041</v>
      </c>
      <c r="V166" s="32">
        <f t="shared" si="46"/>
        <v>-12.070593349271904</v>
      </c>
      <c r="W166" s="32">
        <f t="shared" si="41"/>
        <v>32935.679999999993</v>
      </c>
      <c r="X166" s="33">
        <v>17521.8</v>
      </c>
      <c r="Y166" s="30">
        <f t="shared" si="42"/>
        <v>32935.679999999993</v>
      </c>
    </row>
    <row r="167" spans="1:25" ht="16.5" x14ac:dyDescent="0.3">
      <c r="A167" s="34">
        <v>514</v>
      </c>
      <c r="B167" s="34">
        <v>1</v>
      </c>
      <c r="C167" s="1" t="s">
        <v>224</v>
      </c>
      <c r="D167" s="24">
        <f>'[1]FY13 9-16-13 to copy to sheet'!F158</f>
        <v>17480</v>
      </c>
      <c r="E167" s="25">
        <v>187.26</v>
      </c>
      <c r="F167" s="20">
        <v>168</v>
      </c>
      <c r="G167" s="20">
        <v>4</v>
      </c>
      <c r="H167" s="23">
        <f t="shared" si="32"/>
        <v>2.3809523809523808E-2</v>
      </c>
      <c r="I167" s="29">
        <f t="shared" si="43"/>
        <v>1560.5</v>
      </c>
      <c r="J167" s="24">
        <f t="shared" si="44"/>
        <v>10506.87</v>
      </c>
      <c r="K167" s="24">
        <f t="shared" si="33"/>
        <v>12067.37</v>
      </c>
      <c r="L167" s="30">
        <v>13940</v>
      </c>
      <c r="M167" s="30">
        <f t="shared" si="34"/>
        <v>13981.82</v>
      </c>
      <c r="N167" s="29">
        <f t="shared" si="45"/>
        <v>12067.37</v>
      </c>
      <c r="O167" s="29">
        <f t="shared" si="35"/>
        <v>36.200000000000003</v>
      </c>
      <c r="P167" s="29">
        <f t="shared" si="36"/>
        <v>12031.17</v>
      </c>
      <c r="Q167" s="30">
        <f t="shared" si="37"/>
        <v>1872.6</v>
      </c>
      <c r="R167" s="30">
        <v>0</v>
      </c>
      <c r="S167" s="29">
        <f t="shared" si="38"/>
        <v>0</v>
      </c>
      <c r="T167" s="24">
        <f t="shared" si="39"/>
        <v>12031.17</v>
      </c>
      <c r="U167" s="31">
        <f t="shared" si="40"/>
        <v>-5448.83</v>
      </c>
      <c r="V167" s="32">
        <f t="shared" si="46"/>
        <v>-29.097671686425294</v>
      </c>
      <c r="W167" s="32">
        <f t="shared" si="41"/>
        <v>6965.74</v>
      </c>
      <c r="X167" s="33">
        <v>5065.43</v>
      </c>
      <c r="Y167" s="30">
        <f t="shared" si="42"/>
        <v>6965.74</v>
      </c>
    </row>
    <row r="168" spans="1:25" ht="16.5" x14ac:dyDescent="0.3">
      <c r="A168" s="34">
        <v>518</v>
      </c>
      <c r="B168" s="34">
        <v>1</v>
      </c>
      <c r="C168" s="1" t="s">
        <v>225</v>
      </c>
      <c r="D168" s="24">
        <f>'[1]FY13 9-16-13 to copy to sheet'!F160</f>
        <v>379260</v>
      </c>
      <c r="E168" s="25">
        <v>3277.61</v>
      </c>
      <c r="F168" s="20">
        <v>2730</v>
      </c>
      <c r="G168" s="20">
        <v>1774</v>
      </c>
      <c r="H168" s="23">
        <f t="shared" si="32"/>
        <v>0.64981684981684984</v>
      </c>
      <c r="I168" s="29">
        <f t="shared" si="43"/>
        <v>745446.17</v>
      </c>
      <c r="J168" s="24">
        <f t="shared" si="44"/>
        <v>0</v>
      </c>
      <c r="K168" s="24">
        <f t="shared" si="33"/>
        <v>745446.17</v>
      </c>
      <c r="L168" s="30">
        <v>778222</v>
      </c>
      <c r="M168" s="30">
        <f t="shared" si="34"/>
        <v>780556.67</v>
      </c>
      <c r="N168" s="29">
        <f t="shared" si="45"/>
        <v>745446.17</v>
      </c>
      <c r="O168" s="29">
        <f t="shared" si="35"/>
        <v>2236.34</v>
      </c>
      <c r="P168" s="29">
        <f t="shared" si="36"/>
        <v>743209.83000000007</v>
      </c>
      <c r="Q168" s="30">
        <f t="shared" si="37"/>
        <v>32776.1</v>
      </c>
      <c r="R168" s="30">
        <v>0</v>
      </c>
      <c r="S168" s="29">
        <f t="shared" si="38"/>
        <v>0</v>
      </c>
      <c r="T168" s="24">
        <f t="shared" si="39"/>
        <v>743209.83000000007</v>
      </c>
      <c r="U168" s="31">
        <f t="shared" si="40"/>
        <v>363949.83000000007</v>
      </c>
      <c r="V168" s="32">
        <f t="shared" si="46"/>
        <v>111.04122516101674</v>
      </c>
      <c r="W168" s="32">
        <f t="shared" si="41"/>
        <v>625579.83000000007</v>
      </c>
      <c r="X168" s="33">
        <v>117630</v>
      </c>
      <c r="Y168" s="30">
        <f t="shared" si="42"/>
        <v>625579.83000000007</v>
      </c>
    </row>
    <row r="169" spans="1:25" ht="16.5" x14ac:dyDescent="0.3">
      <c r="A169" s="34">
        <v>531</v>
      </c>
      <c r="B169" s="34">
        <v>1</v>
      </c>
      <c r="C169" s="1" t="s">
        <v>226</v>
      </c>
      <c r="D169" s="24">
        <f>'[1]FY13 9-16-13 to copy to sheet'!F161</f>
        <v>13085</v>
      </c>
      <c r="E169" s="25">
        <v>2170.11</v>
      </c>
      <c r="F169" s="20">
        <v>1856</v>
      </c>
      <c r="G169" s="20">
        <v>90</v>
      </c>
      <c r="H169" s="23">
        <f t="shared" si="32"/>
        <v>4.8491379310344827E-2</v>
      </c>
      <c r="I169" s="29">
        <f t="shared" si="43"/>
        <v>36831.07</v>
      </c>
      <c r="J169" s="24">
        <f t="shared" si="44"/>
        <v>0</v>
      </c>
      <c r="K169" s="24">
        <f t="shared" si="33"/>
        <v>36831.07</v>
      </c>
      <c r="L169" s="30">
        <v>13085</v>
      </c>
      <c r="M169" s="30">
        <f t="shared" si="34"/>
        <v>13124.26</v>
      </c>
      <c r="N169" s="29">
        <f t="shared" si="45"/>
        <v>13124.26</v>
      </c>
      <c r="O169" s="29">
        <f t="shared" si="35"/>
        <v>39.260000000000218</v>
      </c>
      <c r="P169" s="29">
        <f t="shared" si="36"/>
        <v>13085</v>
      </c>
      <c r="Q169" s="30">
        <f t="shared" si="37"/>
        <v>21701.100000000002</v>
      </c>
      <c r="R169" s="30">
        <v>0</v>
      </c>
      <c r="S169" s="29">
        <f t="shared" si="38"/>
        <v>0</v>
      </c>
      <c r="T169" s="24">
        <f t="shared" si="39"/>
        <v>13085</v>
      </c>
      <c r="U169" s="31">
        <f t="shared" si="40"/>
        <v>0</v>
      </c>
      <c r="V169" s="32">
        <f t="shared" si="46"/>
        <v>0</v>
      </c>
      <c r="W169" s="32">
        <f t="shared" si="41"/>
        <v>9185</v>
      </c>
      <c r="X169" s="33">
        <v>3900</v>
      </c>
      <c r="Y169" s="30">
        <f t="shared" si="42"/>
        <v>9185</v>
      </c>
    </row>
    <row r="170" spans="1:25" ht="16.5" x14ac:dyDescent="0.3">
      <c r="A170" s="34">
        <v>533</v>
      </c>
      <c r="B170" s="34">
        <v>1</v>
      </c>
      <c r="C170" s="1" t="s">
        <v>227</v>
      </c>
      <c r="D170" s="24">
        <f>'[1]FY13 9-16-13 to copy to sheet'!F162</f>
        <v>51313</v>
      </c>
      <c r="E170" s="25">
        <v>1449.39</v>
      </c>
      <c r="F170" s="20">
        <v>1153</v>
      </c>
      <c r="G170" s="20">
        <v>49</v>
      </c>
      <c r="H170" s="23">
        <f t="shared" si="32"/>
        <v>4.2497831743278404E-2</v>
      </c>
      <c r="I170" s="29">
        <f t="shared" si="43"/>
        <v>21558.58</v>
      </c>
      <c r="J170" s="24">
        <f t="shared" si="44"/>
        <v>19637.919999999998</v>
      </c>
      <c r="K170" s="24">
        <f t="shared" si="33"/>
        <v>41196.5</v>
      </c>
      <c r="L170" s="30">
        <v>51313</v>
      </c>
      <c r="M170" s="30">
        <f t="shared" si="34"/>
        <v>51466.94</v>
      </c>
      <c r="N170" s="29">
        <f t="shared" si="45"/>
        <v>41196.5</v>
      </c>
      <c r="O170" s="29">
        <f t="shared" si="35"/>
        <v>123.59</v>
      </c>
      <c r="P170" s="29">
        <f t="shared" si="36"/>
        <v>41072.910000000003</v>
      </c>
      <c r="Q170" s="30">
        <f t="shared" si="37"/>
        <v>14493.900000000001</v>
      </c>
      <c r="R170" s="30">
        <v>0</v>
      </c>
      <c r="S170" s="29">
        <f t="shared" si="38"/>
        <v>0</v>
      </c>
      <c r="T170" s="24">
        <f t="shared" si="39"/>
        <v>41072.910000000003</v>
      </c>
      <c r="U170" s="31">
        <f t="shared" si="40"/>
        <v>-10240.089999999997</v>
      </c>
      <c r="V170" s="32">
        <f t="shared" si="46"/>
        <v>-7.0651032503328954</v>
      </c>
      <c r="W170" s="32">
        <f t="shared" si="41"/>
        <v>26072.910000000003</v>
      </c>
      <c r="X170" s="33">
        <v>15000</v>
      </c>
      <c r="Y170" s="30">
        <f t="shared" si="42"/>
        <v>26072.910000000003</v>
      </c>
    </row>
    <row r="171" spans="1:25" ht="16.5" x14ac:dyDescent="0.3">
      <c r="A171" s="34">
        <v>534</v>
      </c>
      <c r="B171" s="34">
        <v>1</v>
      </c>
      <c r="C171" s="1" t="s">
        <v>228</v>
      </c>
      <c r="D171" s="24">
        <f>'[1]FY13 9-16-13 to copy to sheet'!F163</f>
        <v>79000</v>
      </c>
      <c r="E171" s="25">
        <v>2262.3200000000002</v>
      </c>
      <c r="F171" s="20">
        <v>1943</v>
      </c>
      <c r="G171" s="20">
        <v>94</v>
      </c>
      <c r="H171" s="23">
        <f t="shared" si="32"/>
        <v>4.8378795676788475E-2</v>
      </c>
      <c r="I171" s="29">
        <f t="shared" si="43"/>
        <v>38306.910000000003</v>
      </c>
      <c r="J171" s="24">
        <f t="shared" si="44"/>
        <v>26857.439999999999</v>
      </c>
      <c r="K171" s="24">
        <f t="shared" si="33"/>
        <v>65164.350000000006</v>
      </c>
      <c r="L171" s="30">
        <v>88713</v>
      </c>
      <c r="M171" s="30">
        <f t="shared" si="34"/>
        <v>88979.14</v>
      </c>
      <c r="N171" s="29">
        <f t="shared" si="45"/>
        <v>65164.350000000006</v>
      </c>
      <c r="O171" s="29">
        <f t="shared" si="35"/>
        <v>195.49</v>
      </c>
      <c r="P171" s="29">
        <f t="shared" si="36"/>
        <v>64968.860000000008</v>
      </c>
      <c r="Q171" s="30">
        <f t="shared" si="37"/>
        <v>22623.200000000001</v>
      </c>
      <c r="R171" s="30">
        <v>0</v>
      </c>
      <c r="S171" s="29">
        <f t="shared" si="38"/>
        <v>0</v>
      </c>
      <c r="T171" s="24">
        <f t="shared" si="39"/>
        <v>64968.860000000008</v>
      </c>
      <c r="U171" s="31">
        <f t="shared" si="40"/>
        <v>-14031.139999999992</v>
      </c>
      <c r="V171" s="32">
        <f t="shared" si="46"/>
        <v>-6.2021022666996668</v>
      </c>
      <c r="W171" s="32">
        <f t="shared" si="41"/>
        <v>41268.860000000008</v>
      </c>
      <c r="X171" s="33">
        <v>23700</v>
      </c>
      <c r="Y171" s="30">
        <f t="shared" si="42"/>
        <v>41268.860000000008</v>
      </c>
    </row>
    <row r="172" spans="1:25" ht="16.5" x14ac:dyDescent="0.3">
      <c r="A172" s="34">
        <v>535</v>
      </c>
      <c r="B172" s="34">
        <v>1</v>
      </c>
      <c r="C172" s="1" t="s">
        <v>229</v>
      </c>
      <c r="D172" s="24">
        <f>'[1]FY13 9-16-13 to copy to sheet'!F164</f>
        <v>2396906.4300000002</v>
      </c>
      <c r="E172" s="25">
        <v>18833.509999999998</v>
      </c>
      <c r="F172" s="20">
        <v>16441</v>
      </c>
      <c r="G172" s="20">
        <v>5480</v>
      </c>
      <c r="H172" s="23">
        <f t="shared" si="32"/>
        <v>0.33331305881637369</v>
      </c>
      <c r="I172" s="29">
        <f t="shared" si="43"/>
        <v>2197109.19</v>
      </c>
      <c r="J172" s="24">
        <f t="shared" si="44"/>
        <v>131866.18</v>
      </c>
      <c r="K172" s="24">
        <f t="shared" si="33"/>
        <v>2328975.37</v>
      </c>
      <c r="L172" s="30">
        <v>2410417</v>
      </c>
      <c r="M172" s="30">
        <f t="shared" si="34"/>
        <v>2417648.25</v>
      </c>
      <c r="N172" s="29">
        <f t="shared" si="45"/>
        <v>2328975.37</v>
      </c>
      <c r="O172" s="29">
        <f t="shared" si="35"/>
        <v>6986.93</v>
      </c>
      <c r="P172" s="29">
        <f t="shared" si="36"/>
        <v>2321988.44</v>
      </c>
      <c r="Q172" s="30">
        <f t="shared" si="37"/>
        <v>188335.09999999998</v>
      </c>
      <c r="R172" s="30">
        <v>0</v>
      </c>
      <c r="S172" s="29">
        <f t="shared" si="38"/>
        <v>0</v>
      </c>
      <c r="T172" s="24">
        <f t="shared" si="39"/>
        <v>2321988.44</v>
      </c>
      <c r="U172" s="31">
        <f t="shared" si="40"/>
        <v>-74917.990000000224</v>
      </c>
      <c r="V172" s="32">
        <f t="shared" si="46"/>
        <v>-3.9779090567823112</v>
      </c>
      <c r="W172" s="32">
        <f t="shared" si="41"/>
        <v>1611347.69</v>
      </c>
      <c r="X172" s="33">
        <v>710640.75</v>
      </c>
      <c r="Y172" s="30">
        <f t="shared" si="42"/>
        <v>1611347.69</v>
      </c>
    </row>
    <row r="173" spans="1:25" ht="16.5" x14ac:dyDescent="0.3">
      <c r="A173" s="34">
        <v>542</v>
      </c>
      <c r="B173" s="34">
        <v>1</v>
      </c>
      <c r="C173" s="1" t="s">
        <v>230</v>
      </c>
      <c r="D173" s="24">
        <f>'[1]FY13 9-16-13 to copy to sheet'!F165</f>
        <v>46781.3</v>
      </c>
      <c r="E173" s="25">
        <v>512.85</v>
      </c>
      <c r="F173" s="20">
        <v>447</v>
      </c>
      <c r="G173" s="20">
        <v>24</v>
      </c>
      <c r="H173" s="23">
        <f t="shared" si="32"/>
        <v>5.3691275167785234E-2</v>
      </c>
      <c r="I173" s="29">
        <f t="shared" si="43"/>
        <v>9637.4500000000007</v>
      </c>
      <c r="J173" s="24">
        <f t="shared" si="44"/>
        <v>24514.94</v>
      </c>
      <c r="K173" s="24">
        <f t="shared" si="33"/>
        <v>34152.39</v>
      </c>
      <c r="L173" s="30">
        <v>39972.129999999997</v>
      </c>
      <c r="M173" s="30">
        <f t="shared" si="34"/>
        <v>40092.050000000003</v>
      </c>
      <c r="N173" s="29">
        <f t="shared" si="45"/>
        <v>34152.39</v>
      </c>
      <c r="O173" s="29">
        <f t="shared" si="35"/>
        <v>102.46</v>
      </c>
      <c r="P173" s="29">
        <f t="shared" si="36"/>
        <v>34049.93</v>
      </c>
      <c r="Q173" s="30">
        <f t="shared" si="37"/>
        <v>5128.5</v>
      </c>
      <c r="R173" s="30">
        <v>0</v>
      </c>
      <c r="S173" s="29">
        <f t="shared" si="38"/>
        <v>0</v>
      </c>
      <c r="T173" s="24">
        <f t="shared" si="39"/>
        <v>34049.93</v>
      </c>
      <c r="U173" s="31">
        <f t="shared" si="40"/>
        <v>-12731.370000000003</v>
      </c>
      <c r="V173" s="32">
        <f t="shared" si="46"/>
        <v>-24.824744077215563</v>
      </c>
      <c r="W173" s="32">
        <f t="shared" si="41"/>
        <v>19410.61</v>
      </c>
      <c r="X173" s="33">
        <v>14639.32</v>
      </c>
      <c r="Y173" s="30">
        <f t="shared" si="42"/>
        <v>19410.61</v>
      </c>
    </row>
    <row r="174" spans="1:25" ht="16.5" x14ac:dyDescent="0.3">
      <c r="A174" s="34">
        <v>544</v>
      </c>
      <c r="B174" s="34">
        <v>1</v>
      </c>
      <c r="C174" s="1" t="s">
        <v>231</v>
      </c>
      <c r="D174" s="24">
        <f>'[1]FY13 9-16-13 to copy to sheet'!F166</f>
        <v>270000</v>
      </c>
      <c r="E174" s="25">
        <v>2935.69</v>
      </c>
      <c r="F174" s="20">
        <v>2495</v>
      </c>
      <c r="G174" s="20">
        <v>210</v>
      </c>
      <c r="H174" s="23">
        <f t="shared" si="32"/>
        <v>8.4168336673346694E-2</v>
      </c>
      <c r="I174" s="29">
        <f t="shared" si="43"/>
        <v>86482.25</v>
      </c>
      <c r="J174" s="24">
        <f t="shared" si="44"/>
        <v>121121.72</v>
      </c>
      <c r="K174" s="24">
        <f t="shared" si="33"/>
        <v>207603.97</v>
      </c>
      <c r="L174" s="30">
        <v>236961</v>
      </c>
      <c r="M174" s="30">
        <f t="shared" si="34"/>
        <v>237671.88</v>
      </c>
      <c r="N174" s="29">
        <f t="shared" si="45"/>
        <v>207603.97</v>
      </c>
      <c r="O174" s="29">
        <f t="shared" si="35"/>
        <v>622.80999999999995</v>
      </c>
      <c r="P174" s="29">
        <f t="shared" si="36"/>
        <v>206981.16</v>
      </c>
      <c r="Q174" s="30">
        <f t="shared" si="37"/>
        <v>29356.9</v>
      </c>
      <c r="R174" s="30">
        <v>0</v>
      </c>
      <c r="S174" s="29">
        <f t="shared" si="38"/>
        <v>0</v>
      </c>
      <c r="T174" s="24">
        <f t="shared" si="39"/>
        <v>206981.16</v>
      </c>
      <c r="U174" s="31">
        <f t="shared" si="40"/>
        <v>-63018.84</v>
      </c>
      <c r="V174" s="32">
        <f t="shared" si="46"/>
        <v>-21.466449114177585</v>
      </c>
      <c r="W174" s="32">
        <f t="shared" si="41"/>
        <v>125981.16</v>
      </c>
      <c r="X174" s="33">
        <v>81000</v>
      </c>
      <c r="Y174" s="30">
        <f t="shared" si="42"/>
        <v>125981.16</v>
      </c>
    </row>
    <row r="175" spans="1:25" ht="16.5" x14ac:dyDescent="0.3">
      <c r="A175" s="27">
        <v>545</v>
      </c>
      <c r="B175" s="27">
        <v>1</v>
      </c>
      <c r="C175" s="28" t="s">
        <v>232</v>
      </c>
      <c r="D175" s="24">
        <f>'[1]FY13 9-16-13 to copy to sheet'!F167</f>
        <v>0</v>
      </c>
      <c r="E175" s="25">
        <v>440.3</v>
      </c>
      <c r="F175" s="20">
        <v>376</v>
      </c>
      <c r="G175" s="20">
        <v>4</v>
      </c>
      <c r="H175" s="23">
        <f t="shared" si="32"/>
        <v>1.0638297872340425E-2</v>
      </c>
      <c r="I175" s="29">
        <f t="shared" si="43"/>
        <v>1639.41</v>
      </c>
      <c r="J175" s="24">
        <f t="shared" si="44"/>
        <v>0</v>
      </c>
      <c r="K175" s="24">
        <f t="shared" si="33"/>
        <v>1639.41</v>
      </c>
      <c r="L175" s="30">
        <v>0</v>
      </c>
      <c r="M175" s="30">
        <f t="shared" si="34"/>
        <v>0</v>
      </c>
      <c r="N175" s="29">
        <f t="shared" si="45"/>
        <v>0</v>
      </c>
      <c r="O175" s="29">
        <f t="shared" si="35"/>
        <v>0</v>
      </c>
      <c r="P175" s="29">
        <f t="shared" si="36"/>
        <v>0</v>
      </c>
      <c r="Q175" s="30">
        <f t="shared" si="37"/>
        <v>0</v>
      </c>
      <c r="R175" s="30">
        <v>0</v>
      </c>
      <c r="S175" s="29">
        <f t="shared" si="38"/>
        <v>0</v>
      </c>
      <c r="T175" s="24">
        <f t="shared" si="39"/>
        <v>0</v>
      </c>
      <c r="U175" s="31">
        <f t="shared" si="40"/>
        <v>0</v>
      </c>
      <c r="V175" s="32">
        <f t="shared" si="46"/>
        <v>0</v>
      </c>
      <c r="W175" s="32">
        <f t="shared" si="41"/>
        <v>0</v>
      </c>
      <c r="X175" s="33">
        <v>0</v>
      </c>
      <c r="Y175" s="30">
        <f t="shared" si="42"/>
        <v>0</v>
      </c>
    </row>
    <row r="176" spans="1:25" ht="16.5" x14ac:dyDescent="0.3">
      <c r="A176" s="27">
        <v>547</v>
      </c>
      <c r="B176" s="27">
        <v>1</v>
      </c>
      <c r="C176" s="28" t="s">
        <v>233</v>
      </c>
      <c r="D176" s="24">
        <f>'[1]FY13 9-16-13 to copy to sheet'!F168</f>
        <v>0</v>
      </c>
      <c r="E176" s="25">
        <v>586.54</v>
      </c>
      <c r="F176" s="20">
        <v>535</v>
      </c>
      <c r="G176" s="20">
        <v>12</v>
      </c>
      <c r="H176" s="23">
        <f t="shared" si="32"/>
        <v>2.2429906542056073E-2</v>
      </c>
      <c r="I176" s="29">
        <f t="shared" si="43"/>
        <v>4604.6099999999997</v>
      </c>
      <c r="J176" s="24">
        <f t="shared" si="44"/>
        <v>0</v>
      </c>
      <c r="K176" s="24">
        <f t="shared" si="33"/>
        <v>4604.6099999999997</v>
      </c>
      <c r="L176" s="30">
        <v>0</v>
      </c>
      <c r="M176" s="30">
        <f t="shared" si="34"/>
        <v>0</v>
      </c>
      <c r="N176" s="29">
        <f t="shared" si="45"/>
        <v>0</v>
      </c>
      <c r="O176" s="29">
        <f t="shared" si="35"/>
        <v>0</v>
      </c>
      <c r="P176" s="29">
        <f t="shared" si="36"/>
        <v>0</v>
      </c>
      <c r="Q176" s="30">
        <f t="shared" si="37"/>
        <v>0</v>
      </c>
      <c r="R176" s="30">
        <v>0</v>
      </c>
      <c r="S176" s="29">
        <f t="shared" si="38"/>
        <v>0</v>
      </c>
      <c r="T176" s="24">
        <f t="shared" si="39"/>
        <v>0</v>
      </c>
      <c r="U176" s="31">
        <f t="shared" si="40"/>
        <v>0</v>
      </c>
      <c r="V176" s="32">
        <f t="shared" si="46"/>
        <v>0</v>
      </c>
      <c r="W176" s="32">
        <f t="shared" si="41"/>
        <v>0</v>
      </c>
      <c r="X176" s="33">
        <v>0</v>
      </c>
      <c r="Y176" s="30">
        <f t="shared" si="42"/>
        <v>0</v>
      </c>
    </row>
    <row r="177" spans="1:25" ht="16.5" x14ac:dyDescent="0.3">
      <c r="A177" s="34">
        <v>548</v>
      </c>
      <c r="B177" s="34">
        <v>1</v>
      </c>
      <c r="C177" s="1" t="s">
        <v>234</v>
      </c>
      <c r="D177" s="24">
        <f>'[1]FY13 9-16-13 to copy to sheet'!F169</f>
        <v>133782</v>
      </c>
      <c r="E177" s="25">
        <v>1066.3499999999999</v>
      </c>
      <c r="F177" s="20">
        <v>913</v>
      </c>
      <c r="G177" s="20">
        <v>346</v>
      </c>
      <c r="H177" s="23">
        <f t="shared" si="32"/>
        <v>0.37897042716319823</v>
      </c>
      <c r="I177" s="29">
        <f t="shared" si="43"/>
        <v>141440.29</v>
      </c>
      <c r="J177" s="24">
        <f t="shared" si="44"/>
        <v>0</v>
      </c>
      <c r="K177" s="24">
        <f t="shared" si="33"/>
        <v>141440.29</v>
      </c>
      <c r="L177" s="30">
        <v>152104</v>
      </c>
      <c r="M177" s="30">
        <f t="shared" si="34"/>
        <v>152560.31</v>
      </c>
      <c r="N177" s="29">
        <f t="shared" si="45"/>
        <v>141440.29</v>
      </c>
      <c r="O177" s="29">
        <f t="shared" si="35"/>
        <v>424.32</v>
      </c>
      <c r="P177" s="29">
        <f t="shared" si="36"/>
        <v>141015.97</v>
      </c>
      <c r="Q177" s="30">
        <f t="shared" si="37"/>
        <v>10663.5</v>
      </c>
      <c r="R177" s="30">
        <v>0</v>
      </c>
      <c r="S177" s="29">
        <f t="shared" si="38"/>
        <v>0</v>
      </c>
      <c r="T177" s="24">
        <f t="shared" si="39"/>
        <v>141015.97</v>
      </c>
      <c r="U177" s="31">
        <f t="shared" si="40"/>
        <v>7233.9700000000012</v>
      </c>
      <c r="V177" s="32">
        <f t="shared" si="46"/>
        <v>6.7838608336850017</v>
      </c>
      <c r="W177" s="32">
        <f t="shared" si="41"/>
        <v>101153.03</v>
      </c>
      <c r="X177" s="33">
        <v>39862.94</v>
      </c>
      <c r="Y177" s="30">
        <f t="shared" si="42"/>
        <v>101153.03</v>
      </c>
    </row>
    <row r="178" spans="1:25" ht="16.5" x14ac:dyDescent="0.3">
      <c r="A178" s="34">
        <v>549</v>
      </c>
      <c r="B178" s="34">
        <v>1</v>
      </c>
      <c r="C178" s="1" t="s">
        <v>235</v>
      </c>
      <c r="D178" s="24">
        <f>'[1]FY13 9-16-13 to copy to sheet'!F170</f>
        <v>145613.92000000001</v>
      </c>
      <c r="E178" s="25">
        <v>1569.82</v>
      </c>
      <c r="F178" s="20">
        <v>1357</v>
      </c>
      <c r="G178" s="20">
        <v>111</v>
      </c>
      <c r="H178" s="23">
        <f t="shared" si="32"/>
        <v>8.1798084008843031E-2</v>
      </c>
      <c r="I178" s="29">
        <f t="shared" si="43"/>
        <v>44942.89</v>
      </c>
      <c r="J178" s="24">
        <f t="shared" si="44"/>
        <v>66442.880000000005</v>
      </c>
      <c r="K178" s="24">
        <f t="shared" si="33"/>
        <v>111385.77</v>
      </c>
      <c r="L178" s="30">
        <v>149843.94</v>
      </c>
      <c r="M178" s="30">
        <f t="shared" si="34"/>
        <v>150293.47</v>
      </c>
      <c r="N178" s="29">
        <f t="shared" si="45"/>
        <v>111385.77</v>
      </c>
      <c r="O178" s="29">
        <f t="shared" si="35"/>
        <v>334.16</v>
      </c>
      <c r="P178" s="29">
        <f t="shared" si="36"/>
        <v>111051.61</v>
      </c>
      <c r="Q178" s="30">
        <f t="shared" si="37"/>
        <v>15698.199999999999</v>
      </c>
      <c r="R178" s="30">
        <v>0</v>
      </c>
      <c r="S178" s="29">
        <f t="shared" si="38"/>
        <v>0</v>
      </c>
      <c r="T178" s="24">
        <f t="shared" si="39"/>
        <v>111051.61</v>
      </c>
      <c r="U178" s="31">
        <f t="shared" si="40"/>
        <v>-34562.310000000012</v>
      </c>
      <c r="V178" s="32">
        <f t="shared" si="46"/>
        <v>-22.01673440267038</v>
      </c>
      <c r="W178" s="32">
        <f t="shared" si="41"/>
        <v>67868.37</v>
      </c>
      <c r="X178" s="33">
        <v>43183.24</v>
      </c>
      <c r="Y178" s="30">
        <f t="shared" si="42"/>
        <v>67868.37</v>
      </c>
    </row>
    <row r="179" spans="1:25" ht="16.5" x14ac:dyDescent="0.3">
      <c r="A179" s="34">
        <v>550</v>
      </c>
      <c r="B179" s="34">
        <v>1</v>
      </c>
      <c r="C179" s="1" t="s">
        <v>236</v>
      </c>
      <c r="D179" s="24">
        <f>'[1]FY13 9-16-13 to copy to sheet'!F171</f>
        <v>38728.300000000003</v>
      </c>
      <c r="E179" s="25">
        <v>644.87</v>
      </c>
      <c r="F179" s="20">
        <v>601</v>
      </c>
      <c r="G179" s="20">
        <v>19</v>
      </c>
      <c r="H179" s="23">
        <f t="shared" si="32"/>
        <v>3.1613976705490848E-2</v>
      </c>
      <c r="I179" s="29">
        <f t="shared" si="43"/>
        <v>7135.42</v>
      </c>
      <c r="J179" s="24">
        <f t="shared" si="44"/>
        <v>20851.3</v>
      </c>
      <c r="K179" s="24">
        <f t="shared" si="33"/>
        <v>27986.720000000001</v>
      </c>
      <c r="L179" s="30">
        <v>34435</v>
      </c>
      <c r="M179" s="30">
        <f t="shared" si="34"/>
        <v>34538.31</v>
      </c>
      <c r="N179" s="29">
        <f t="shared" si="45"/>
        <v>27986.720000000001</v>
      </c>
      <c r="O179" s="29">
        <f t="shared" si="35"/>
        <v>83.96</v>
      </c>
      <c r="P179" s="29">
        <f t="shared" si="36"/>
        <v>27902.760000000002</v>
      </c>
      <c r="Q179" s="30">
        <f t="shared" si="37"/>
        <v>6448.7</v>
      </c>
      <c r="R179" s="30">
        <v>0</v>
      </c>
      <c r="S179" s="29">
        <f t="shared" si="38"/>
        <v>0</v>
      </c>
      <c r="T179" s="24">
        <f t="shared" si="39"/>
        <v>27902.760000000002</v>
      </c>
      <c r="U179" s="31">
        <f t="shared" si="40"/>
        <v>-10825.54</v>
      </c>
      <c r="V179" s="32">
        <f t="shared" si="46"/>
        <v>-16.787166405632146</v>
      </c>
      <c r="W179" s="32">
        <f t="shared" si="41"/>
        <v>15470.460000000001</v>
      </c>
      <c r="X179" s="33">
        <v>12432.300000000001</v>
      </c>
      <c r="Y179" s="30">
        <f t="shared" si="42"/>
        <v>15470.460000000001</v>
      </c>
    </row>
    <row r="180" spans="1:25" ht="16.5" x14ac:dyDescent="0.3">
      <c r="A180" s="27">
        <v>553</v>
      </c>
      <c r="B180" s="27">
        <v>1</v>
      </c>
      <c r="C180" s="28" t="s">
        <v>237</v>
      </c>
      <c r="D180" s="24">
        <f>'[1]FY13 9-16-13 to copy to sheet'!F172</f>
        <v>0</v>
      </c>
      <c r="E180" s="25">
        <v>795.65</v>
      </c>
      <c r="F180" s="20">
        <v>692</v>
      </c>
      <c r="G180" s="20">
        <v>27</v>
      </c>
      <c r="H180" s="23">
        <f t="shared" si="32"/>
        <v>3.9017341040462429E-2</v>
      </c>
      <c r="I180" s="29">
        <f t="shared" si="43"/>
        <v>10865.45</v>
      </c>
      <c r="J180" s="24">
        <f t="shared" si="44"/>
        <v>0</v>
      </c>
      <c r="K180" s="24">
        <f t="shared" si="33"/>
        <v>10865.45</v>
      </c>
      <c r="L180" s="30">
        <v>0</v>
      </c>
      <c r="M180" s="30">
        <f t="shared" si="34"/>
        <v>0</v>
      </c>
      <c r="N180" s="29">
        <f t="shared" si="45"/>
        <v>0</v>
      </c>
      <c r="O180" s="29">
        <f t="shared" si="35"/>
        <v>0</v>
      </c>
      <c r="P180" s="29">
        <f t="shared" si="36"/>
        <v>0</v>
      </c>
      <c r="Q180" s="30">
        <f t="shared" si="37"/>
        <v>0</v>
      </c>
      <c r="R180" s="30">
        <v>0</v>
      </c>
      <c r="S180" s="29">
        <f t="shared" si="38"/>
        <v>0</v>
      </c>
      <c r="T180" s="24">
        <f t="shared" si="39"/>
        <v>0</v>
      </c>
      <c r="U180" s="31">
        <f t="shared" si="40"/>
        <v>0</v>
      </c>
      <c r="V180" s="32">
        <f t="shared" si="46"/>
        <v>0</v>
      </c>
      <c r="W180" s="32">
        <f t="shared" si="41"/>
        <v>0</v>
      </c>
      <c r="X180" s="33">
        <v>0</v>
      </c>
      <c r="Y180" s="30">
        <f t="shared" si="42"/>
        <v>0</v>
      </c>
    </row>
    <row r="181" spans="1:25" ht="16.5" x14ac:dyDescent="0.3">
      <c r="A181" s="27">
        <v>561</v>
      </c>
      <c r="B181" s="27">
        <v>1</v>
      </c>
      <c r="C181" s="28" t="s">
        <v>238</v>
      </c>
      <c r="D181" s="24">
        <f>'[1]FY13 9-16-13 to copy to sheet'!F173</f>
        <v>0</v>
      </c>
      <c r="E181" s="25">
        <v>218.21</v>
      </c>
      <c r="F181" s="20">
        <v>175</v>
      </c>
      <c r="G181" s="20">
        <v>20</v>
      </c>
      <c r="H181" s="23">
        <f t="shared" si="32"/>
        <v>0.11428571428571428</v>
      </c>
      <c r="I181" s="29">
        <f t="shared" si="43"/>
        <v>8728.4</v>
      </c>
      <c r="J181" s="24">
        <f t="shared" si="44"/>
        <v>0</v>
      </c>
      <c r="K181" s="24">
        <f t="shared" si="33"/>
        <v>8728.4</v>
      </c>
      <c r="L181" s="30">
        <v>0</v>
      </c>
      <c r="M181" s="30">
        <f t="shared" si="34"/>
        <v>0</v>
      </c>
      <c r="N181" s="29">
        <f t="shared" si="45"/>
        <v>0</v>
      </c>
      <c r="O181" s="29">
        <f t="shared" si="35"/>
        <v>0</v>
      </c>
      <c r="P181" s="29">
        <f t="shared" si="36"/>
        <v>0</v>
      </c>
      <c r="Q181" s="30">
        <f t="shared" si="37"/>
        <v>0</v>
      </c>
      <c r="R181" s="30">
        <v>0</v>
      </c>
      <c r="S181" s="29">
        <f t="shared" si="38"/>
        <v>0</v>
      </c>
      <c r="T181" s="24">
        <f t="shared" si="39"/>
        <v>0</v>
      </c>
      <c r="U181" s="31">
        <f t="shared" si="40"/>
        <v>0</v>
      </c>
      <c r="V181" s="32">
        <f t="shared" si="46"/>
        <v>0</v>
      </c>
      <c r="W181" s="32">
        <f t="shared" si="41"/>
        <v>0</v>
      </c>
      <c r="X181" s="33">
        <v>0</v>
      </c>
      <c r="Y181" s="30">
        <f t="shared" si="42"/>
        <v>0</v>
      </c>
    </row>
    <row r="182" spans="1:25" ht="16.5" x14ac:dyDescent="0.3">
      <c r="A182" s="27">
        <v>564</v>
      </c>
      <c r="B182" s="27">
        <v>1</v>
      </c>
      <c r="C182" s="28" t="s">
        <v>239</v>
      </c>
      <c r="D182" s="24">
        <f>'[1]FY13 9-16-13 to copy to sheet'!F174</f>
        <v>0</v>
      </c>
      <c r="E182" s="25">
        <v>2292.61</v>
      </c>
      <c r="F182" s="20">
        <v>1979</v>
      </c>
      <c r="G182" s="20">
        <v>263</v>
      </c>
      <c r="H182" s="23">
        <f t="shared" si="32"/>
        <v>0.1328954017180394</v>
      </c>
      <c r="I182" s="29">
        <f t="shared" si="43"/>
        <v>106637.06</v>
      </c>
      <c r="J182" s="24">
        <f t="shared" si="44"/>
        <v>0</v>
      </c>
      <c r="K182" s="24">
        <f t="shared" si="33"/>
        <v>106637.06</v>
      </c>
      <c r="L182" s="30">
        <v>0</v>
      </c>
      <c r="M182" s="30">
        <f t="shared" si="34"/>
        <v>0</v>
      </c>
      <c r="N182" s="29">
        <f t="shared" si="45"/>
        <v>0</v>
      </c>
      <c r="O182" s="29">
        <f t="shared" si="35"/>
        <v>0</v>
      </c>
      <c r="P182" s="29">
        <f t="shared" si="36"/>
        <v>0</v>
      </c>
      <c r="Q182" s="30">
        <f t="shared" si="37"/>
        <v>0</v>
      </c>
      <c r="R182" s="30">
        <v>0</v>
      </c>
      <c r="S182" s="29">
        <f t="shared" si="38"/>
        <v>0</v>
      </c>
      <c r="T182" s="24">
        <f t="shared" si="39"/>
        <v>0</v>
      </c>
      <c r="U182" s="31">
        <f t="shared" si="40"/>
        <v>0</v>
      </c>
      <c r="V182" s="32">
        <f t="shared" si="46"/>
        <v>0</v>
      </c>
      <c r="W182" s="32">
        <f t="shared" si="41"/>
        <v>0</v>
      </c>
      <c r="X182" s="33">
        <v>0</v>
      </c>
      <c r="Y182" s="30">
        <f t="shared" si="42"/>
        <v>0</v>
      </c>
    </row>
    <row r="183" spans="1:25" ht="16.5" x14ac:dyDescent="0.3">
      <c r="A183" s="27">
        <v>577</v>
      </c>
      <c r="B183" s="27">
        <v>1</v>
      </c>
      <c r="C183" s="28" t="s">
        <v>240</v>
      </c>
      <c r="D183" s="24">
        <f>'[1]FY13 9-16-13 to copy to sheet'!F175</f>
        <v>6000</v>
      </c>
      <c r="E183" s="25">
        <v>490.06</v>
      </c>
      <c r="F183" s="20">
        <v>448</v>
      </c>
      <c r="G183" s="20">
        <v>11</v>
      </c>
      <c r="H183" s="23">
        <f t="shared" si="32"/>
        <v>2.4553571428571428E-2</v>
      </c>
      <c r="I183" s="29">
        <f t="shared" si="43"/>
        <v>4211.45</v>
      </c>
      <c r="J183" s="24">
        <f t="shared" si="44"/>
        <v>1180.44</v>
      </c>
      <c r="K183" s="24">
        <f t="shared" si="33"/>
        <v>5391.8899999999994</v>
      </c>
      <c r="L183" s="30">
        <v>0</v>
      </c>
      <c r="M183" s="30">
        <f t="shared" si="34"/>
        <v>0</v>
      </c>
      <c r="N183" s="29">
        <f t="shared" si="45"/>
        <v>0</v>
      </c>
      <c r="O183" s="29">
        <f t="shared" si="35"/>
        <v>0</v>
      </c>
      <c r="P183" s="29">
        <f t="shared" si="36"/>
        <v>0</v>
      </c>
      <c r="Q183" s="30">
        <f t="shared" si="37"/>
        <v>4900.6000000000004</v>
      </c>
      <c r="R183" s="30">
        <v>0</v>
      </c>
      <c r="S183" s="29">
        <f t="shared" si="38"/>
        <v>0</v>
      </c>
      <c r="T183" s="24">
        <f t="shared" si="39"/>
        <v>0</v>
      </c>
      <c r="U183" s="31">
        <f t="shared" si="40"/>
        <v>-6000</v>
      </c>
      <c r="V183" s="32">
        <f t="shared" si="46"/>
        <v>-12.243398767497858</v>
      </c>
      <c r="W183" s="32">
        <f t="shared" si="41"/>
        <v>0</v>
      </c>
      <c r="X183" s="33">
        <v>0</v>
      </c>
      <c r="Y183" s="30">
        <f t="shared" si="42"/>
        <v>0</v>
      </c>
    </row>
    <row r="184" spans="1:25" ht="16.5" x14ac:dyDescent="0.3">
      <c r="A184" s="27">
        <v>578</v>
      </c>
      <c r="B184" s="27">
        <v>1</v>
      </c>
      <c r="C184" s="28" t="s">
        <v>241</v>
      </c>
      <c r="D184" s="24">
        <f>'[1]FY13 9-16-13 to copy to sheet'!F176</f>
        <v>6000</v>
      </c>
      <c r="E184" s="25">
        <v>1860.81</v>
      </c>
      <c r="F184" s="20">
        <v>1679</v>
      </c>
      <c r="G184" s="20">
        <v>88</v>
      </c>
      <c r="H184" s="23">
        <f t="shared" si="32"/>
        <v>5.2412150089338895E-2</v>
      </c>
      <c r="I184" s="29">
        <f t="shared" si="43"/>
        <v>34135.17</v>
      </c>
      <c r="J184" s="24">
        <f t="shared" si="44"/>
        <v>0</v>
      </c>
      <c r="K184" s="24">
        <f t="shared" si="33"/>
        <v>34135.17</v>
      </c>
      <c r="L184" s="30">
        <v>0</v>
      </c>
      <c r="M184" s="30">
        <f t="shared" si="34"/>
        <v>0</v>
      </c>
      <c r="N184" s="29">
        <f t="shared" si="45"/>
        <v>0</v>
      </c>
      <c r="O184" s="29">
        <f t="shared" si="35"/>
        <v>0</v>
      </c>
      <c r="P184" s="29">
        <f t="shared" si="36"/>
        <v>0</v>
      </c>
      <c r="Q184" s="30">
        <f t="shared" si="37"/>
        <v>18608.099999999999</v>
      </c>
      <c r="R184" s="30">
        <v>0</v>
      </c>
      <c r="S184" s="29">
        <f t="shared" si="38"/>
        <v>0</v>
      </c>
      <c r="T184" s="24">
        <f t="shared" si="39"/>
        <v>0</v>
      </c>
      <c r="U184" s="31">
        <f t="shared" si="40"/>
        <v>-6000</v>
      </c>
      <c r="V184" s="32">
        <f t="shared" si="46"/>
        <v>-3.2244022764280071</v>
      </c>
      <c r="W184" s="32">
        <f t="shared" si="41"/>
        <v>0</v>
      </c>
      <c r="X184" s="33">
        <v>0</v>
      </c>
      <c r="Y184" s="30">
        <f t="shared" si="42"/>
        <v>0</v>
      </c>
    </row>
    <row r="185" spans="1:25" ht="16.5" x14ac:dyDescent="0.3">
      <c r="A185" s="27">
        <v>581</v>
      </c>
      <c r="B185" s="27">
        <v>1</v>
      </c>
      <c r="C185" s="28" t="s">
        <v>242</v>
      </c>
      <c r="D185" s="24">
        <f>'[1]FY13 9-16-13 to copy to sheet'!F177</f>
        <v>0</v>
      </c>
      <c r="E185" s="25">
        <v>405.69</v>
      </c>
      <c r="F185" s="20">
        <v>343</v>
      </c>
      <c r="G185" s="20">
        <v>45</v>
      </c>
      <c r="H185" s="23">
        <f t="shared" si="32"/>
        <v>0.13119533527696792</v>
      </c>
      <c r="I185" s="29">
        <f t="shared" si="43"/>
        <v>18628.62</v>
      </c>
      <c r="J185" s="24">
        <f t="shared" si="44"/>
        <v>0</v>
      </c>
      <c r="K185" s="24">
        <f t="shared" si="33"/>
        <v>18628.62</v>
      </c>
      <c r="L185" s="30">
        <v>0</v>
      </c>
      <c r="M185" s="30">
        <f t="shared" si="34"/>
        <v>0</v>
      </c>
      <c r="N185" s="29">
        <f t="shared" si="45"/>
        <v>0</v>
      </c>
      <c r="O185" s="29">
        <f t="shared" si="35"/>
        <v>0</v>
      </c>
      <c r="P185" s="29">
        <f t="shared" si="36"/>
        <v>0</v>
      </c>
      <c r="Q185" s="30">
        <f t="shared" si="37"/>
        <v>0</v>
      </c>
      <c r="R185" s="30">
        <v>0</v>
      </c>
      <c r="S185" s="29">
        <f t="shared" si="38"/>
        <v>0</v>
      </c>
      <c r="T185" s="24">
        <f t="shared" si="39"/>
        <v>0</v>
      </c>
      <c r="U185" s="31">
        <f t="shared" si="40"/>
        <v>0</v>
      </c>
      <c r="V185" s="32">
        <f t="shared" si="46"/>
        <v>0</v>
      </c>
      <c r="W185" s="32">
        <f t="shared" si="41"/>
        <v>0</v>
      </c>
      <c r="X185" s="33">
        <v>0</v>
      </c>
      <c r="Y185" s="30">
        <f t="shared" si="42"/>
        <v>0</v>
      </c>
    </row>
    <row r="186" spans="1:25" ht="16.5" x14ac:dyDescent="0.3">
      <c r="A186" s="27">
        <v>592</v>
      </c>
      <c r="B186" s="27">
        <v>1</v>
      </c>
      <c r="C186" s="28" t="s">
        <v>243</v>
      </c>
      <c r="D186" s="24">
        <f>'[1]FY13 9-16-13 to copy to sheet'!F178</f>
        <v>0</v>
      </c>
      <c r="E186" s="25">
        <v>152.1</v>
      </c>
      <c r="F186" s="20">
        <v>174</v>
      </c>
      <c r="G186" s="20">
        <v>30</v>
      </c>
      <c r="H186" s="23">
        <f t="shared" si="32"/>
        <v>0.17241379310344829</v>
      </c>
      <c r="I186" s="29">
        <f t="shared" si="43"/>
        <v>9178.4500000000007</v>
      </c>
      <c r="J186" s="24">
        <f t="shared" si="44"/>
        <v>0</v>
      </c>
      <c r="K186" s="24">
        <f t="shared" si="33"/>
        <v>9178.4500000000007</v>
      </c>
      <c r="L186" s="30">
        <v>0</v>
      </c>
      <c r="M186" s="30">
        <f t="shared" si="34"/>
        <v>0</v>
      </c>
      <c r="N186" s="29">
        <f t="shared" si="45"/>
        <v>0</v>
      </c>
      <c r="O186" s="29">
        <f t="shared" si="35"/>
        <v>0</v>
      </c>
      <c r="P186" s="29">
        <f t="shared" si="36"/>
        <v>0</v>
      </c>
      <c r="Q186" s="30">
        <f t="shared" si="37"/>
        <v>0</v>
      </c>
      <c r="R186" s="30">
        <v>0</v>
      </c>
      <c r="S186" s="29">
        <f t="shared" si="38"/>
        <v>0</v>
      </c>
      <c r="T186" s="24">
        <f t="shared" si="39"/>
        <v>0</v>
      </c>
      <c r="U186" s="31">
        <f t="shared" si="40"/>
        <v>0</v>
      </c>
      <c r="V186" s="32">
        <f t="shared" si="46"/>
        <v>0</v>
      </c>
      <c r="W186" s="32">
        <f t="shared" si="41"/>
        <v>0</v>
      </c>
      <c r="X186" s="33">
        <v>0</v>
      </c>
      <c r="Y186" s="30">
        <f t="shared" si="42"/>
        <v>0</v>
      </c>
    </row>
    <row r="187" spans="1:25" ht="16.5" x14ac:dyDescent="0.3">
      <c r="A187" s="27">
        <v>593</v>
      </c>
      <c r="B187" s="27">
        <v>1</v>
      </c>
      <c r="C187" s="28" t="s">
        <v>244</v>
      </c>
      <c r="D187" s="24">
        <f>'[1]FY13 9-16-13 to copy to sheet'!F179</f>
        <v>0</v>
      </c>
      <c r="E187" s="25">
        <v>1420.9</v>
      </c>
      <c r="F187" s="20">
        <v>1299</v>
      </c>
      <c r="G187" s="20">
        <v>298</v>
      </c>
      <c r="H187" s="23">
        <f t="shared" si="32"/>
        <v>0.22940723633564281</v>
      </c>
      <c r="I187" s="29">
        <f t="shared" si="43"/>
        <v>114087.66</v>
      </c>
      <c r="J187" s="24">
        <f t="shared" si="44"/>
        <v>0</v>
      </c>
      <c r="K187" s="24">
        <f t="shared" si="33"/>
        <v>114087.66</v>
      </c>
      <c r="L187" s="30">
        <v>0</v>
      </c>
      <c r="M187" s="30">
        <f t="shared" si="34"/>
        <v>0</v>
      </c>
      <c r="N187" s="29">
        <f t="shared" si="45"/>
        <v>0</v>
      </c>
      <c r="O187" s="29">
        <f t="shared" si="35"/>
        <v>0</v>
      </c>
      <c r="P187" s="29">
        <f t="shared" si="36"/>
        <v>0</v>
      </c>
      <c r="Q187" s="30">
        <f t="shared" si="37"/>
        <v>0</v>
      </c>
      <c r="R187" s="30">
        <v>0</v>
      </c>
      <c r="S187" s="29">
        <f t="shared" si="38"/>
        <v>0</v>
      </c>
      <c r="T187" s="24">
        <f t="shared" si="39"/>
        <v>0</v>
      </c>
      <c r="U187" s="31">
        <f t="shared" si="40"/>
        <v>0</v>
      </c>
      <c r="V187" s="32">
        <f t="shared" si="46"/>
        <v>0</v>
      </c>
      <c r="W187" s="32">
        <f t="shared" si="41"/>
        <v>0</v>
      </c>
      <c r="X187" s="33">
        <v>0</v>
      </c>
      <c r="Y187" s="30">
        <f t="shared" si="42"/>
        <v>0</v>
      </c>
    </row>
    <row r="188" spans="1:25" ht="16.5" x14ac:dyDescent="0.3">
      <c r="A188" s="27">
        <v>595</v>
      </c>
      <c r="B188" s="27">
        <v>1</v>
      </c>
      <c r="C188" s="28" t="s">
        <v>245</v>
      </c>
      <c r="D188" s="24">
        <f>'[1]FY13 9-16-13 to copy to sheet'!F180</f>
        <v>0</v>
      </c>
      <c r="E188" s="25">
        <v>1950.38</v>
      </c>
      <c r="F188" s="20">
        <v>1751</v>
      </c>
      <c r="G188" s="20">
        <v>251</v>
      </c>
      <c r="H188" s="23">
        <f t="shared" si="32"/>
        <v>0.1433466590519703</v>
      </c>
      <c r="I188" s="29">
        <f t="shared" si="43"/>
        <v>97853.16</v>
      </c>
      <c r="J188" s="24">
        <f t="shared" si="44"/>
        <v>0</v>
      </c>
      <c r="K188" s="24">
        <f t="shared" si="33"/>
        <v>97853.16</v>
      </c>
      <c r="L188" s="30">
        <v>0</v>
      </c>
      <c r="M188" s="30">
        <f t="shared" si="34"/>
        <v>0</v>
      </c>
      <c r="N188" s="29">
        <f t="shared" si="45"/>
        <v>0</v>
      </c>
      <c r="O188" s="29">
        <f t="shared" si="35"/>
        <v>0</v>
      </c>
      <c r="P188" s="29">
        <f t="shared" si="36"/>
        <v>0</v>
      </c>
      <c r="Q188" s="30">
        <f t="shared" si="37"/>
        <v>0</v>
      </c>
      <c r="R188" s="30">
        <v>0</v>
      </c>
      <c r="S188" s="29">
        <f t="shared" si="38"/>
        <v>0</v>
      </c>
      <c r="T188" s="24">
        <f t="shared" si="39"/>
        <v>0</v>
      </c>
      <c r="U188" s="31">
        <f t="shared" si="40"/>
        <v>0</v>
      </c>
      <c r="V188" s="32">
        <f t="shared" si="46"/>
        <v>0</v>
      </c>
      <c r="W188" s="32">
        <f t="shared" si="41"/>
        <v>0</v>
      </c>
      <c r="X188" s="33">
        <v>0</v>
      </c>
      <c r="Y188" s="30">
        <f t="shared" si="42"/>
        <v>0</v>
      </c>
    </row>
    <row r="189" spans="1:25" ht="16.5" x14ac:dyDescent="0.3">
      <c r="A189" s="27">
        <v>599</v>
      </c>
      <c r="B189" s="27">
        <v>1</v>
      </c>
      <c r="C189" s="28" t="s">
        <v>246</v>
      </c>
      <c r="D189" s="24">
        <f>'[1]FY13 9-16-13 to copy to sheet'!F181</f>
        <v>0</v>
      </c>
      <c r="E189" s="25">
        <v>533.54</v>
      </c>
      <c r="F189" s="20">
        <v>457</v>
      </c>
      <c r="G189" s="20">
        <v>29</v>
      </c>
      <c r="H189" s="23">
        <f t="shared" si="32"/>
        <v>6.3457330415754923E-2</v>
      </c>
      <c r="I189" s="29">
        <f t="shared" si="43"/>
        <v>11849.96</v>
      </c>
      <c r="J189" s="24">
        <f t="shared" si="44"/>
        <v>0</v>
      </c>
      <c r="K189" s="24">
        <f t="shared" si="33"/>
        <v>11849.96</v>
      </c>
      <c r="L189" s="30">
        <v>0</v>
      </c>
      <c r="M189" s="30">
        <f t="shared" si="34"/>
        <v>0</v>
      </c>
      <c r="N189" s="29">
        <f t="shared" si="45"/>
        <v>0</v>
      </c>
      <c r="O189" s="29">
        <f t="shared" si="35"/>
        <v>0</v>
      </c>
      <c r="P189" s="29">
        <f t="shared" si="36"/>
        <v>0</v>
      </c>
      <c r="Q189" s="30">
        <f t="shared" si="37"/>
        <v>0</v>
      </c>
      <c r="R189" s="30">
        <v>0</v>
      </c>
      <c r="S189" s="29">
        <f t="shared" si="38"/>
        <v>0</v>
      </c>
      <c r="T189" s="24">
        <f t="shared" si="39"/>
        <v>0</v>
      </c>
      <c r="U189" s="31">
        <f t="shared" si="40"/>
        <v>0</v>
      </c>
      <c r="V189" s="32">
        <f t="shared" si="46"/>
        <v>0</v>
      </c>
      <c r="W189" s="32">
        <f t="shared" si="41"/>
        <v>0</v>
      </c>
      <c r="X189" s="33">
        <v>0</v>
      </c>
      <c r="Y189" s="30">
        <f t="shared" si="42"/>
        <v>0</v>
      </c>
    </row>
    <row r="190" spans="1:25" ht="16.5" x14ac:dyDescent="0.3">
      <c r="A190" s="27">
        <v>600</v>
      </c>
      <c r="B190" s="27">
        <v>1</v>
      </c>
      <c r="C190" s="28" t="s">
        <v>247</v>
      </c>
      <c r="D190" s="24">
        <f>'[1]FY13 9-16-13 to copy to sheet'!F182</f>
        <v>0</v>
      </c>
      <c r="E190" s="25">
        <v>298.42</v>
      </c>
      <c r="F190" s="20">
        <v>259</v>
      </c>
      <c r="G190" s="20">
        <v>20</v>
      </c>
      <c r="H190" s="23">
        <f t="shared" si="32"/>
        <v>7.7220077220077218E-2</v>
      </c>
      <c r="I190" s="29">
        <f t="shared" si="43"/>
        <v>8065.41</v>
      </c>
      <c r="J190" s="24">
        <f t="shared" si="44"/>
        <v>0</v>
      </c>
      <c r="K190" s="24">
        <f t="shared" si="33"/>
        <v>8065.41</v>
      </c>
      <c r="L190" s="30">
        <v>0</v>
      </c>
      <c r="M190" s="30">
        <f t="shared" si="34"/>
        <v>0</v>
      </c>
      <c r="N190" s="29">
        <f t="shared" si="45"/>
        <v>0</v>
      </c>
      <c r="O190" s="29">
        <f t="shared" si="35"/>
        <v>0</v>
      </c>
      <c r="P190" s="29">
        <f t="shared" si="36"/>
        <v>0</v>
      </c>
      <c r="Q190" s="30">
        <f t="shared" si="37"/>
        <v>0</v>
      </c>
      <c r="R190" s="30">
        <v>0</v>
      </c>
      <c r="S190" s="29">
        <f t="shared" si="38"/>
        <v>0</v>
      </c>
      <c r="T190" s="24">
        <f t="shared" si="39"/>
        <v>0</v>
      </c>
      <c r="U190" s="31">
        <f t="shared" si="40"/>
        <v>0</v>
      </c>
      <c r="V190" s="32">
        <f t="shared" si="46"/>
        <v>0</v>
      </c>
      <c r="W190" s="32">
        <f t="shared" si="41"/>
        <v>0</v>
      </c>
      <c r="X190" s="33">
        <v>0</v>
      </c>
      <c r="Y190" s="30">
        <f t="shared" si="42"/>
        <v>0</v>
      </c>
    </row>
    <row r="191" spans="1:25" ht="16.5" x14ac:dyDescent="0.3">
      <c r="A191" s="27">
        <v>601</v>
      </c>
      <c r="B191" s="27">
        <v>1</v>
      </c>
      <c r="C191" s="28" t="s">
        <v>248</v>
      </c>
      <c r="D191" s="24">
        <f>'[1]FY13 9-16-13 to copy to sheet'!F183</f>
        <v>0</v>
      </c>
      <c r="E191" s="25">
        <v>767.76</v>
      </c>
      <c r="F191" s="20">
        <v>678</v>
      </c>
      <c r="G191" s="20">
        <v>63</v>
      </c>
      <c r="H191" s="23">
        <f t="shared" si="32"/>
        <v>9.2920353982300891E-2</v>
      </c>
      <c r="I191" s="29">
        <f t="shared" si="43"/>
        <v>24969.19</v>
      </c>
      <c r="J191" s="24">
        <f t="shared" si="44"/>
        <v>0</v>
      </c>
      <c r="K191" s="24">
        <f t="shared" si="33"/>
        <v>24969.19</v>
      </c>
      <c r="L191" s="30">
        <v>0</v>
      </c>
      <c r="M191" s="30">
        <f t="shared" si="34"/>
        <v>0</v>
      </c>
      <c r="N191" s="29">
        <f t="shared" si="45"/>
        <v>0</v>
      </c>
      <c r="O191" s="29">
        <f t="shared" si="35"/>
        <v>0</v>
      </c>
      <c r="P191" s="29">
        <f t="shared" si="36"/>
        <v>0</v>
      </c>
      <c r="Q191" s="30">
        <f t="shared" si="37"/>
        <v>0</v>
      </c>
      <c r="R191" s="30">
        <v>0</v>
      </c>
      <c r="S191" s="29">
        <f t="shared" si="38"/>
        <v>0</v>
      </c>
      <c r="T191" s="24">
        <f t="shared" si="39"/>
        <v>0</v>
      </c>
      <c r="U191" s="31">
        <f t="shared" si="40"/>
        <v>0</v>
      </c>
      <c r="V191" s="32">
        <f t="shared" si="46"/>
        <v>0</v>
      </c>
      <c r="W191" s="32">
        <f t="shared" si="41"/>
        <v>0</v>
      </c>
      <c r="X191" s="33">
        <v>0</v>
      </c>
      <c r="Y191" s="30">
        <f t="shared" si="42"/>
        <v>0</v>
      </c>
    </row>
    <row r="192" spans="1:25" ht="16.5" x14ac:dyDescent="0.3">
      <c r="A192" s="27">
        <v>611</v>
      </c>
      <c r="B192" s="27">
        <v>1</v>
      </c>
      <c r="C192" s="28" t="s">
        <v>249</v>
      </c>
      <c r="D192" s="24">
        <f>'[1]FY13 9-16-13 to copy to sheet'!F184</f>
        <v>0</v>
      </c>
      <c r="E192" s="25">
        <v>43.2</v>
      </c>
      <c r="F192" s="20">
        <v>32</v>
      </c>
      <c r="G192" s="20">
        <v>2</v>
      </c>
      <c r="H192" s="23">
        <f t="shared" si="32"/>
        <v>6.25E-2</v>
      </c>
      <c r="I192" s="29">
        <f t="shared" si="43"/>
        <v>945</v>
      </c>
      <c r="J192" s="24">
        <f t="shared" si="44"/>
        <v>0</v>
      </c>
      <c r="K192" s="24">
        <f t="shared" si="33"/>
        <v>945</v>
      </c>
      <c r="L192" s="30">
        <v>0</v>
      </c>
      <c r="M192" s="30">
        <f t="shared" si="34"/>
        <v>0</v>
      </c>
      <c r="N192" s="29">
        <f t="shared" si="45"/>
        <v>0</v>
      </c>
      <c r="O192" s="29">
        <f t="shared" si="35"/>
        <v>0</v>
      </c>
      <c r="P192" s="29">
        <f t="shared" si="36"/>
        <v>0</v>
      </c>
      <c r="Q192" s="30">
        <f t="shared" si="37"/>
        <v>0</v>
      </c>
      <c r="R192" s="30">
        <v>0</v>
      </c>
      <c r="S192" s="29">
        <f t="shared" si="38"/>
        <v>0</v>
      </c>
      <c r="T192" s="24">
        <f t="shared" si="39"/>
        <v>0</v>
      </c>
      <c r="U192" s="31">
        <f t="shared" si="40"/>
        <v>0</v>
      </c>
      <c r="V192" s="32">
        <f t="shared" si="46"/>
        <v>0</v>
      </c>
      <c r="W192" s="32">
        <f t="shared" si="41"/>
        <v>0</v>
      </c>
      <c r="X192" s="33">
        <v>0</v>
      </c>
      <c r="Y192" s="30">
        <f t="shared" si="42"/>
        <v>0</v>
      </c>
    </row>
    <row r="193" spans="1:25" ht="16.5" x14ac:dyDescent="0.3">
      <c r="A193" s="34">
        <v>621</v>
      </c>
      <c r="B193" s="34">
        <v>1</v>
      </c>
      <c r="C193" s="1" t="s">
        <v>250</v>
      </c>
      <c r="D193" s="24">
        <f>'[1]FY13 9-16-13 to copy to sheet'!F185</f>
        <v>1467000</v>
      </c>
      <c r="E193" s="25">
        <v>11617.98</v>
      </c>
      <c r="F193" s="20">
        <v>10480</v>
      </c>
      <c r="G193" s="20">
        <v>3045</v>
      </c>
      <c r="H193" s="23">
        <f t="shared" si="32"/>
        <v>0.29055343511450382</v>
      </c>
      <c r="I193" s="29">
        <f t="shared" si="43"/>
        <v>1181475.3999999999</v>
      </c>
      <c r="J193" s="24">
        <f t="shared" si="44"/>
        <v>188446.24</v>
      </c>
      <c r="K193" s="24">
        <f t="shared" si="33"/>
        <v>1369921.64</v>
      </c>
      <c r="L193" s="30">
        <v>1534713</v>
      </c>
      <c r="M193" s="30">
        <f t="shared" si="34"/>
        <v>1539317.14</v>
      </c>
      <c r="N193" s="29">
        <f t="shared" si="45"/>
        <v>1369921.64</v>
      </c>
      <c r="O193" s="29">
        <f t="shared" si="35"/>
        <v>4109.76</v>
      </c>
      <c r="P193" s="29">
        <f t="shared" si="36"/>
        <v>1365811.88</v>
      </c>
      <c r="Q193" s="30">
        <f t="shared" si="37"/>
        <v>116179.79999999999</v>
      </c>
      <c r="R193" s="30">
        <v>0</v>
      </c>
      <c r="S193" s="29">
        <f t="shared" si="38"/>
        <v>0</v>
      </c>
      <c r="T193" s="24">
        <f t="shared" si="39"/>
        <v>1365811.88</v>
      </c>
      <c r="U193" s="31">
        <f t="shared" si="40"/>
        <v>-101188.12000000011</v>
      </c>
      <c r="V193" s="32">
        <f t="shared" si="46"/>
        <v>-8.7096138915715215</v>
      </c>
      <c r="W193" s="32">
        <f t="shared" si="41"/>
        <v>929911.87999999989</v>
      </c>
      <c r="X193" s="33">
        <v>435900</v>
      </c>
      <c r="Y193" s="30">
        <f t="shared" si="42"/>
        <v>929911.87999999989</v>
      </c>
    </row>
    <row r="194" spans="1:25" ht="16.5" x14ac:dyDescent="0.3">
      <c r="A194" s="34">
        <v>622</v>
      </c>
      <c r="B194" s="34">
        <v>1</v>
      </c>
      <c r="C194" s="1" t="s">
        <v>251</v>
      </c>
      <c r="D194" s="24">
        <f>'[1]FY13 9-16-13 to copy to sheet'!F186</f>
        <v>1731822.21</v>
      </c>
      <c r="E194" s="25">
        <v>12359.37</v>
      </c>
      <c r="F194" s="20">
        <v>10715</v>
      </c>
      <c r="G194" s="20">
        <v>4760</v>
      </c>
      <c r="H194" s="23">
        <f t="shared" si="32"/>
        <v>0.44423705086327581</v>
      </c>
      <c r="I194" s="29">
        <f t="shared" si="43"/>
        <v>1921671.53</v>
      </c>
      <c r="J194" s="24">
        <f t="shared" si="44"/>
        <v>0</v>
      </c>
      <c r="K194" s="24">
        <f t="shared" si="33"/>
        <v>1921671.53</v>
      </c>
      <c r="L194" s="30">
        <v>1524704.7</v>
      </c>
      <c r="M194" s="30">
        <f t="shared" si="34"/>
        <v>1529278.81</v>
      </c>
      <c r="N194" s="29">
        <f t="shared" si="45"/>
        <v>1529278.81</v>
      </c>
      <c r="O194" s="29">
        <f t="shared" si="35"/>
        <v>4574.1100000001024</v>
      </c>
      <c r="P194" s="29">
        <f t="shared" si="36"/>
        <v>1524704.7</v>
      </c>
      <c r="Q194" s="30">
        <f t="shared" si="37"/>
        <v>123593.70000000001</v>
      </c>
      <c r="R194" s="30">
        <v>0</v>
      </c>
      <c r="S194" s="29">
        <f t="shared" si="38"/>
        <v>0</v>
      </c>
      <c r="T194" s="24">
        <f t="shared" si="39"/>
        <v>1524704.7</v>
      </c>
      <c r="U194" s="31">
        <f t="shared" si="40"/>
        <v>-207117.51</v>
      </c>
      <c r="V194" s="32">
        <f t="shared" si="46"/>
        <v>-16.757934263639651</v>
      </c>
      <c r="W194" s="32">
        <f t="shared" si="41"/>
        <v>1041130.3999999999</v>
      </c>
      <c r="X194" s="33">
        <v>483574.3</v>
      </c>
      <c r="Y194" s="30">
        <f t="shared" si="42"/>
        <v>1041130.3999999999</v>
      </c>
    </row>
    <row r="195" spans="1:25" ht="16.5" x14ac:dyDescent="0.3">
      <c r="A195" s="34">
        <v>623</v>
      </c>
      <c r="B195" s="34">
        <v>1</v>
      </c>
      <c r="C195" s="1" t="s">
        <v>252</v>
      </c>
      <c r="D195" s="24">
        <f>'[1]FY13 9-16-13 to copy to sheet'!F187</f>
        <v>1084473</v>
      </c>
      <c r="E195" s="25">
        <v>7937.88</v>
      </c>
      <c r="F195" s="20">
        <v>6998</v>
      </c>
      <c r="G195" s="20">
        <v>3119</v>
      </c>
      <c r="H195" s="23">
        <f t="shared" si="32"/>
        <v>0.44569877107745071</v>
      </c>
      <c r="I195" s="29">
        <f t="shared" si="43"/>
        <v>1238266.18</v>
      </c>
      <c r="J195" s="24">
        <f t="shared" si="44"/>
        <v>0</v>
      </c>
      <c r="K195" s="24">
        <f t="shared" si="33"/>
        <v>1238266.18</v>
      </c>
      <c r="L195" s="30">
        <v>1015995</v>
      </c>
      <c r="M195" s="30">
        <f t="shared" si="34"/>
        <v>1019042.99</v>
      </c>
      <c r="N195" s="29">
        <f t="shared" si="45"/>
        <v>1019042.99</v>
      </c>
      <c r="O195" s="29">
        <f t="shared" si="35"/>
        <v>3047.9899999999907</v>
      </c>
      <c r="P195" s="29">
        <f t="shared" si="36"/>
        <v>1015995</v>
      </c>
      <c r="Q195" s="30">
        <f t="shared" si="37"/>
        <v>79378.8</v>
      </c>
      <c r="R195" s="30">
        <v>0</v>
      </c>
      <c r="S195" s="29">
        <f t="shared" si="38"/>
        <v>0</v>
      </c>
      <c r="T195" s="24">
        <f t="shared" si="39"/>
        <v>1015995</v>
      </c>
      <c r="U195" s="31">
        <f t="shared" si="40"/>
        <v>-68478</v>
      </c>
      <c r="V195" s="32">
        <f t="shared" si="46"/>
        <v>-8.6267366097749019</v>
      </c>
      <c r="W195" s="32">
        <f t="shared" si="41"/>
        <v>721406.34</v>
      </c>
      <c r="X195" s="33">
        <v>294588.66000000003</v>
      </c>
      <c r="Y195" s="30">
        <f t="shared" si="42"/>
        <v>721406.34</v>
      </c>
    </row>
    <row r="196" spans="1:25" ht="16.5" x14ac:dyDescent="0.3">
      <c r="A196" s="34">
        <v>624</v>
      </c>
      <c r="B196" s="34">
        <v>1</v>
      </c>
      <c r="C196" s="1" t="s">
        <v>253</v>
      </c>
      <c r="D196" s="24">
        <f>'[1]FY13 9-16-13 to copy to sheet'!F188</f>
        <v>872995</v>
      </c>
      <c r="E196" s="25">
        <v>9203.4599999999991</v>
      </c>
      <c r="F196" s="20">
        <v>8147</v>
      </c>
      <c r="G196" s="20">
        <v>1525</v>
      </c>
      <c r="H196" s="23">
        <f t="shared" si="32"/>
        <v>0.18718546704308334</v>
      </c>
      <c r="I196" s="29">
        <f t="shared" si="43"/>
        <v>602963.89</v>
      </c>
      <c r="J196" s="24">
        <f t="shared" si="44"/>
        <v>178220.53</v>
      </c>
      <c r="K196" s="24">
        <f t="shared" si="33"/>
        <v>781184.42</v>
      </c>
      <c r="L196" s="30">
        <v>840024</v>
      </c>
      <c r="M196" s="30">
        <f t="shared" si="34"/>
        <v>842544.07</v>
      </c>
      <c r="N196" s="29">
        <f t="shared" si="45"/>
        <v>781184.42</v>
      </c>
      <c r="O196" s="29">
        <f t="shared" si="35"/>
        <v>2343.5500000000002</v>
      </c>
      <c r="P196" s="29">
        <f t="shared" si="36"/>
        <v>778840.87</v>
      </c>
      <c r="Q196" s="30">
        <f t="shared" si="37"/>
        <v>92034.599999999991</v>
      </c>
      <c r="R196" s="30">
        <v>0</v>
      </c>
      <c r="S196" s="29">
        <f t="shared" si="38"/>
        <v>0</v>
      </c>
      <c r="T196" s="24">
        <f t="shared" si="39"/>
        <v>778840.87</v>
      </c>
      <c r="U196" s="31">
        <f t="shared" si="40"/>
        <v>-94154.13</v>
      </c>
      <c r="V196" s="32">
        <f t="shared" si="46"/>
        <v>-10.230297083922787</v>
      </c>
      <c r="W196" s="32">
        <f t="shared" si="41"/>
        <v>501340.87</v>
      </c>
      <c r="X196" s="33">
        <v>277500</v>
      </c>
      <c r="Y196" s="30">
        <f t="shared" si="42"/>
        <v>501340.87</v>
      </c>
    </row>
    <row r="197" spans="1:25" ht="16.5" x14ac:dyDescent="0.3">
      <c r="A197" s="34">
        <v>625</v>
      </c>
      <c r="B197" s="34">
        <v>1</v>
      </c>
      <c r="C197" s="1" t="s">
        <v>254</v>
      </c>
      <c r="D197" s="24">
        <f>'[1]FY13 9-16-13 to copy to sheet'!F189</f>
        <v>19128316.100000001</v>
      </c>
      <c r="E197" s="25">
        <v>44589.79</v>
      </c>
      <c r="F197" s="20">
        <v>37913</v>
      </c>
      <c r="G197" s="20">
        <v>28945</v>
      </c>
      <c r="H197" s="23">
        <f t="shared" si="32"/>
        <v>0.76345844433307841</v>
      </c>
      <c r="I197" s="29">
        <f t="shared" si="43"/>
        <v>11914858.1</v>
      </c>
      <c r="J197" s="24">
        <f t="shared" si="44"/>
        <v>4760882.28</v>
      </c>
      <c r="K197" s="24">
        <f t="shared" si="33"/>
        <v>16675740.379999999</v>
      </c>
      <c r="L197" s="30">
        <v>17440765</v>
      </c>
      <c r="M197" s="30">
        <f t="shared" si="34"/>
        <v>17493087.300000001</v>
      </c>
      <c r="N197" s="29">
        <f t="shared" si="45"/>
        <v>16675740.379999999</v>
      </c>
      <c r="O197" s="29">
        <f t="shared" si="35"/>
        <v>50027.22</v>
      </c>
      <c r="P197" s="29">
        <f t="shared" si="36"/>
        <v>16625713.159999998</v>
      </c>
      <c r="Q197" s="30">
        <f t="shared" si="37"/>
        <v>445897.9</v>
      </c>
      <c r="R197" s="30">
        <v>0</v>
      </c>
      <c r="S197" s="29">
        <f t="shared" si="38"/>
        <v>0</v>
      </c>
      <c r="T197" s="24">
        <f t="shared" si="39"/>
        <v>16625713.159999998</v>
      </c>
      <c r="U197" s="31">
        <f t="shared" si="40"/>
        <v>-2502602.9400000032</v>
      </c>
      <c r="V197" s="32">
        <f t="shared" si="46"/>
        <v>-56.125021894025586</v>
      </c>
      <c r="W197" s="32">
        <f t="shared" si="41"/>
        <v>10863180.319999998</v>
      </c>
      <c r="X197" s="33">
        <v>5762532.8399999999</v>
      </c>
      <c r="Y197" s="30">
        <f t="shared" si="42"/>
        <v>10863180.319999998</v>
      </c>
    </row>
    <row r="198" spans="1:25" ht="16.5" x14ac:dyDescent="0.3">
      <c r="A198" s="27">
        <v>627</v>
      </c>
      <c r="B198" s="27">
        <v>1</v>
      </c>
      <c r="C198" s="28" t="s">
        <v>255</v>
      </c>
      <c r="D198" s="24">
        <f>'[1]FY13 9-16-13 to copy to sheet'!F190</f>
        <v>0</v>
      </c>
      <c r="E198" s="25">
        <v>269.08</v>
      </c>
      <c r="F198" s="20">
        <v>162</v>
      </c>
      <c r="G198" s="20">
        <v>14</v>
      </c>
      <c r="H198" s="23">
        <f t="shared" si="32"/>
        <v>8.6419753086419748E-2</v>
      </c>
      <c r="I198" s="29">
        <f t="shared" si="43"/>
        <v>8138.84</v>
      </c>
      <c r="J198" s="24">
        <f t="shared" si="44"/>
        <v>0</v>
      </c>
      <c r="K198" s="24">
        <f t="shared" si="33"/>
        <v>8138.84</v>
      </c>
      <c r="L198" s="30">
        <v>0</v>
      </c>
      <c r="M198" s="30">
        <f t="shared" si="34"/>
        <v>0</v>
      </c>
      <c r="N198" s="29">
        <f t="shared" si="45"/>
        <v>0</v>
      </c>
      <c r="O198" s="29">
        <f t="shared" si="35"/>
        <v>0</v>
      </c>
      <c r="P198" s="29">
        <f t="shared" si="36"/>
        <v>0</v>
      </c>
      <c r="Q198" s="30">
        <f t="shared" si="37"/>
        <v>0</v>
      </c>
      <c r="R198" s="30">
        <v>0</v>
      </c>
      <c r="S198" s="29">
        <f t="shared" si="38"/>
        <v>0</v>
      </c>
      <c r="T198" s="24">
        <f t="shared" si="39"/>
        <v>0</v>
      </c>
      <c r="U198" s="31">
        <f t="shared" si="40"/>
        <v>0</v>
      </c>
      <c r="V198" s="32">
        <f t="shared" si="46"/>
        <v>0</v>
      </c>
      <c r="W198" s="32">
        <f t="shared" si="41"/>
        <v>0</v>
      </c>
      <c r="X198" s="33">
        <v>0</v>
      </c>
      <c r="Y198" s="30">
        <f t="shared" si="42"/>
        <v>0</v>
      </c>
    </row>
    <row r="199" spans="1:25" ht="16.5" x14ac:dyDescent="0.3">
      <c r="A199" s="27">
        <v>628</v>
      </c>
      <c r="B199" s="27">
        <v>1</v>
      </c>
      <c r="C199" s="28" t="s">
        <v>256</v>
      </c>
      <c r="D199" s="24">
        <f>'[1]FY13 9-16-13 to copy to sheet'!F191</f>
        <v>0</v>
      </c>
      <c r="E199" s="25">
        <v>186.02</v>
      </c>
      <c r="F199" s="20">
        <v>221</v>
      </c>
      <c r="G199" s="20">
        <v>38</v>
      </c>
      <c r="H199" s="23">
        <f t="shared" si="32"/>
        <v>0.17194570135746606</v>
      </c>
      <c r="I199" s="29">
        <f t="shared" si="43"/>
        <v>11194.87</v>
      </c>
      <c r="J199" s="24">
        <f t="shared" si="44"/>
        <v>0</v>
      </c>
      <c r="K199" s="24">
        <f t="shared" si="33"/>
        <v>11194.87</v>
      </c>
      <c r="L199" s="30">
        <v>0</v>
      </c>
      <c r="M199" s="30">
        <f t="shared" si="34"/>
        <v>0</v>
      </c>
      <c r="N199" s="29">
        <f t="shared" si="45"/>
        <v>0</v>
      </c>
      <c r="O199" s="29">
        <f t="shared" si="35"/>
        <v>0</v>
      </c>
      <c r="P199" s="29">
        <f t="shared" si="36"/>
        <v>0</v>
      </c>
      <c r="Q199" s="30">
        <f t="shared" si="37"/>
        <v>0</v>
      </c>
      <c r="R199" s="30">
        <v>0</v>
      </c>
      <c r="S199" s="29">
        <f t="shared" si="38"/>
        <v>0</v>
      </c>
      <c r="T199" s="24">
        <f t="shared" si="39"/>
        <v>0</v>
      </c>
      <c r="U199" s="31">
        <f t="shared" si="40"/>
        <v>0</v>
      </c>
      <c r="V199" s="32">
        <f t="shared" si="46"/>
        <v>0</v>
      </c>
      <c r="W199" s="32">
        <f t="shared" si="41"/>
        <v>0</v>
      </c>
      <c r="X199" s="33">
        <v>0</v>
      </c>
      <c r="Y199" s="30">
        <f t="shared" si="42"/>
        <v>0</v>
      </c>
    </row>
    <row r="200" spans="1:25" ht="16.5" x14ac:dyDescent="0.3">
      <c r="A200" s="27">
        <v>630</v>
      </c>
      <c r="B200" s="27">
        <v>1</v>
      </c>
      <c r="C200" s="28" t="s">
        <v>257</v>
      </c>
      <c r="D200" s="24">
        <f>'[1]FY13 9-16-13 to copy to sheet'!F192</f>
        <v>0</v>
      </c>
      <c r="E200" s="25">
        <v>440.42</v>
      </c>
      <c r="F200" s="20">
        <v>372</v>
      </c>
      <c r="G200" s="20">
        <v>35</v>
      </c>
      <c r="H200" s="23">
        <f t="shared" si="32"/>
        <v>9.4086021505376344E-2</v>
      </c>
      <c r="I200" s="29">
        <f t="shared" si="43"/>
        <v>14503.08</v>
      </c>
      <c r="J200" s="24">
        <f t="shared" si="44"/>
        <v>0</v>
      </c>
      <c r="K200" s="24">
        <f t="shared" si="33"/>
        <v>14503.08</v>
      </c>
      <c r="L200" s="30">
        <v>0</v>
      </c>
      <c r="M200" s="30">
        <f t="shared" si="34"/>
        <v>0</v>
      </c>
      <c r="N200" s="29">
        <f t="shared" si="45"/>
        <v>0</v>
      </c>
      <c r="O200" s="29">
        <f t="shared" si="35"/>
        <v>0</v>
      </c>
      <c r="P200" s="29">
        <f t="shared" si="36"/>
        <v>0</v>
      </c>
      <c r="Q200" s="30">
        <f t="shared" si="37"/>
        <v>0</v>
      </c>
      <c r="R200" s="30">
        <v>0</v>
      </c>
      <c r="S200" s="29">
        <f t="shared" si="38"/>
        <v>0</v>
      </c>
      <c r="T200" s="24">
        <f t="shared" si="39"/>
        <v>0</v>
      </c>
      <c r="U200" s="31">
        <f t="shared" si="40"/>
        <v>0</v>
      </c>
      <c r="V200" s="32">
        <f t="shared" si="46"/>
        <v>0</v>
      </c>
      <c r="W200" s="32">
        <f t="shared" si="41"/>
        <v>0</v>
      </c>
      <c r="X200" s="33">
        <v>0</v>
      </c>
      <c r="Y200" s="30">
        <f t="shared" si="42"/>
        <v>0</v>
      </c>
    </row>
    <row r="201" spans="1:25" ht="16.5" x14ac:dyDescent="0.3">
      <c r="A201" s="34">
        <v>635</v>
      </c>
      <c r="B201" s="34">
        <v>1</v>
      </c>
      <c r="C201" s="1" t="s">
        <v>258</v>
      </c>
      <c r="D201" s="24">
        <f>'[1]FY13 9-16-13 to copy to sheet'!F193</f>
        <v>6350.76</v>
      </c>
      <c r="E201" s="25">
        <v>62.75</v>
      </c>
      <c r="F201" s="20">
        <v>27</v>
      </c>
      <c r="G201" s="20">
        <v>1</v>
      </c>
      <c r="H201" s="23">
        <f t="shared" si="32"/>
        <v>3.7037037037037035E-2</v>
      </c>
      <c r="I201" s="29">
        <f t="shared" si="43"/>
        <v>813.43</v>
      </c>
      <c r="J201" s="24">
        <f t="shared" si="44"/>
        <v>3654.64</v>
      </c>
      <c r="K201" s="24">
        <f t="shared" si="33"/>
        <v>4468.07</v>
      </c>
      <c r="L201" s="30">
        <v>7000</v>
      </c>
      <c r="M201" s="30">
        <f t="shared" si="34"/>
        <v>7021</v>
      </c>
      <c r="N201" s="29">
        <f t="shared" si="45"/>
        <v>4468.07</v>
      </c>
      <c r="O201" s="29">
        <f t="shared" si="35"/>
        <v>13.4</v>
      </c>
      <c r="P201" s="29">
        <f t="shared" si="36"/>
        <v>4454.67</v>
      </c>
      <c r="Q201" s="30">
        <f t="shared" si="37"/>
        <v>627.5</v>
      </c>
      <c r="R201" s="30">
        <v>0</v>
      </c>
      <c r="S201" s="29">
        <f t="shared" si="38"/>
        <v>0</v>
      </c>
      <c r="T201" s="24">
        <f t="shared" si="39"/>
        <v>4454.67</v>
      </c>
      <c r="U201" s="31">
        <f t="shared" si="40"/>
        <v>-1896.0900000000001</v>
      </c>
      <c r="V201" s="32">
        <f t="shared" si="46"/>
        <v>-30.216573705179286</v>
      </c>
      <c r="W201" s="32">
        <f t="shared" si="41"/>
        <v>2354.67</v>
      </c>
      <c r="X201" s="33">
        <v>2100</v>
      </c>
      <c r="Y201" s="30">
        <f t="shared" si="42"/>
        <v>2354.67</v>
      </c>
    </row>
    <row r="202" spans="1:25" ht="16.5" x14ac:dyDescent="0.3">
      <c r="A202" s="34">
        <v>640</v>
      </c>
      <c r="B202" s="34">
        <v>1</v>
      </c>
      <c r="C202" s="1" t="s">
        <v>259</v>
      </c>
      <c r="D202" s="24">
        <f>'[1]FY13 9-16-13 to copy to sheet'!F194</f>
        <v>40000</v>
      </c>
      <c r="E202" s="25">
        <v>446.13</v>
      </c>
      <c r="F202" s="20">
        <v>381</v>
      </c>
      <c r="G202" s="20">
        <v>11</v>
      </c>
      <c r="H202" s="23">
        <f t="shared" si="32"/>
        <v>2.8871391076115485E-2</v>
      </c>
      <c r="I202" s="29">
        <f t="shared" si="43"/>
        <v>4508.1400000000003</v>
      </c>
      <c r="J202" s="24">
        <f t="shared" si="44"/>
        <v>23424.63</v>
      </c>
      <c r="K202" s="24">
        <f t="shared" si="33"/>
        <v>27932.77</v>
      </c>
      <c r="L202" s="30">
        <v>40000</v>
      </c>
      <c r="M202" s="30">
        <f t="shared" si="34"/>
        <v>40120</v>
      </c>
      <c r="N202" s="29">
        <f t="shared" si="45"/>
        <v>27932.77</v>
      </c>
      <c r="O202" s="29">
        <f t="shared" si="35"/>
        <v>83.8</v>
      </c>
      <c r="P202" s="29">
        <f t="shared" si="36"/>
        <v>27848.97</v>
      </c>
      <c r="Q202" s="30">
        <f t="shared" si="37"/>
        <v>4461.3</v>
      </c>
      <c r="R202" s="30">
        <v>0</v>
      </c>
      <c r="S202" s="29">
        <f t="shared" si="38"/>
        <v>0</v>
      </c>
      <c r="T202" s="24">
        <f t="shared" si="39"/>
        <v>27848.97</v>
      </c>
      <c r="U202" s="31">
        <f t="shared" si="40"/>
        <v>-12151.029999999999</v>
      </c>
      <c r="V202" s="32">
        <f t="shared" si="46"/>
        <v>-27.236522986573419</v>
      </c>
      <c r="W202" s="32">
        <f t="shared" si="41"/>
        <v>16064.87</v>
      </c>
      <c r="X202" s="33">
        <v>11784.1</v>
      </c>
      <c r="Y202" s="30">
        <f t="shared" si="42"/>
        <v>16064.87</v>
      </c>
    </row>
    <row r="203" spans="1:25" ht="16.5" x14ac:dyDescent="0.3">
      <c r="A203" s="34">
        <v>656</v>
      </c>
      <c r="B203" s="34">
        <v>1</v>
      </c>
      <c r="C203" s="1" t="s">
        <v>260</v>
      </c>
      <c r="D203" s="24">
        <f>'[1]FY13 9-16-13 to copy to sheet'!F195</f>
        <v>549574</v>
      </c>
      <c r="E203" s="25">
        <v>4527.37</v>
      </c>
      <c r="F203" s="20">
        <v>3953</v>
      </c>
      <c r="G203" s="20">
        <v>1338</v>
      </c>
      <c r="H203" s="23">
        <f t="shared" si="32"/>
        <v>0.3384771059954465</v>
      </c>
      <c r="I203" s="29">
        <f t="shared" si="43"/>
        <v>536343.88</v>
      </c>
      <c r="J203" s="24">
        <f t="shared" si="44"/>
        <v>8731.8799999999992</v>
      </c>
      <c r="K203" s="24">
        <f t="shared" si="33"/>
        <v>545075.76</v>
      </c>
      <c r="L203" s="30">
        <v>535413.72</v>
      </c>
      <c r="M203" s="30">
        <f t="shared" si="34"/>
        <v>537019.96</v>
      </c>
      <c r="N203" s="29">
        <f t="shared" si="45"/>
        <v>537019.96</v>
      </c>
      <c r="O203" s="29">
        <f t="shared" si="35"/>
        <v>1606.2399999999907</v>
      </c>
      <c r="P203" s="29">
        <f t="shared" si="36"/>
        <v>535413.72</v>
      </c>
      <c r="Q203" s="30">
        <f t="shared" si="37"/>
        <v>45273.7</v>
      </c>
      <c r="R203" s="30">
        <v>0</v>
      </c>
      <c r="S203" s="29">
        <f t="shared" si="38"/>
        <v>0</v>
      </c>
      <c r="T203" s="24">
        <f t="shared" si="39"/>
        <v>535413.72</v>
      </c>
      <c r="U203" s="31">
        <f t="shared" si="40"/>
        <v>-14160.280000000028</v>
      </c>
      <c r="V203" s="32">
        <f t="shared" si="46"/>
        <v>-3.1277054890587754</v>
      </c>
      <c r="W203" s="32">
        <f t="shared" si="41"/>
        <v>386972.51999999996</v>
      </c>
      <c r="X203" s="33">
        <v>148441.20000000001</v>
      </c>
      <c r="Y203" s="30">
        <f t="shared" si="42"/>
        <v>386972.51999999996</v>
      </c>
    </row>
    <row r="204" spans="1:25" ht="16.5" x14ac:dyDescent="0.3">
      <c r="A204" s="27">
        <v>659</v>
      </c>
      <c r="B204" s="27">
        <v>1</v>
      </c>
      <c r="C204" s="28" t="s">
        <v>261</v>
      </c>
      <c r="D204" s="24">
        <f>'[1]FY13 9-16-13 to copy to sheet'!F196</f>
        <v>0</v>
      </c>
      <c r="E204" s="25">
        <v>4138.28</v>
      </c>
      <c r="F204" s="20">
        <v>3901</v>
      </c>
      <c r="G204" s="20">
        <v>637</v>
      </c>
      <c r="H204" s="23">
        <f t="shared" ref="H204:H267" si="47">IF(F204=0,0,G204/F204)</f>
        <v>0.16329146372724943</v>
      </c>
      <c r="I204" s="29">
        <f t="shared" si="43"/>
        <v>236511.03</v>
      </c>
      <c r="J204" s="24">
        <f t="shared" si="44"/>
        <v>0</v>
      </c>
      <c r="K204" s="24">
        <f t="shared" ref="K204:K267" si="48">I204+J204</f>
        <v>236511.03</v>
      </c>
      <c r="L204" s="30">
        <v>0</v>
      </c>
      <c r="M204" s="30">
        <f t="shared" ref="M204:M267" si="49">ROUND(L204*1.003,2)</f>
        <v>0</v>
      </c>
      <c r="N204" s="29">
        <f t="shared" si="45"/>
        <v>0</v>
      </c>
      <c r="O204" s="29">
        <f t="shared" ref="O204:O267" si="50">IF(N204=M204,M204-L204,ROUND(N204*0.003,2))</f>
        <v>0</v>
      </c>
      <c r="P204" s="29">
        <f t="shared" ref="P204:P267" si="51">N204-O204</f>
        <v>0</v>
      </c>
      <c r="Q204" s="30">
        <f t="shared" ref="Q204:Q267" si="52">IF(D204&gt;0,E204*Q$10,0)</f>
        <v>0</v>
      </c>
      <c r="R204" s="30">
        <v>0</v>
      </c>
      <c r="S204" s="29">
        <f t="shared" ref="S204:S267" si="53">IF(R204&lt;Q204,R204,Q204)</f>
        <v>0</v>
      </c>
      <c r="T204" s="24">
        <f t="shared" ref="T204:T267" si="54">P204+S204</f>
        <v>0</v>
      </c>
      <c r="U204" s="31">
        <f t="shared" ref="U204:U267" si="55">T204-D204</f>
        <v>0</v>
      </c>
      <c r="V204" s="32">
        <f t="shared" si="46"/>
        <v>0</v>
      </c>
      <c r="W204" s="32">
        <f t="shared" ref="W204:W267" si="56">T204-X204</f>
        <v>0</v>
      </c>
      <c r="X204" s="33">
        <v>0</v>
      </c>
      <c r="Y204" s="30">
        <f t="shared" ref="Y204:Y267" si="57">IF(W204&gt;0,W204,0)</f>
        <v>0</v>
      </c>
    </row>
    <row r="205" spans="1:25" ht="16.5" x14ac:dyDescent="0.3">
      <c r="A205" s="27">
        <v>671</v>
      </c>
      <c r="B205" s="27">
        <v>1</v>
      </c>
      <c r="C205" s="28" t="s">
        <v>262</v>
      </c>
      <c r="D205" s="24">
        <f>'[1]FY13 9-16-13 to copy to sheet'!F197</f>
        <v>0</v>
      </c>
      <c r="E205" s="25">
        <v>393.98</v>
      </c>
      <c r="F205" s="20">
        <v>346</v>
      </c>
      <c r="G205" s="20">
        <v>8</v>
      </c>
      <c r="H205" s="23">
        <f t="shared" si="47"/>
        <v>2.3121387283236993E-2</v>
      </c>
      <c r="I205" s="29">
        <f t="shared" ref="I205:I268" si="58">ROUND(E205*H205*I$10,2)</f>
        <v>3188.28</v>
      </c>
      <c r="J205" s="24">
        <f t="shared" ref="J205:J268" si="59">ROUND(MAX(0,IF(D205=0,0,(D205-I205)*J$9)),2)</f>
        <v>0</v>
      </c>
      <c r="K205" s="24">
        <f t="shared" si="48"/>
        <v>3188.28</v>
      </c>
      <c r="L205" s="30">
        <v>0</v>
      </c>
      <c r="M205" s="30">
        <f t="shared" si="49"/>
        <v>0</v>
      </c>
      <c r="N205" s="29">
        <f t="shared" ref="N205:N268" si="60">IF(M205&lt;K205,M205,K205)</f>
        <v>0</v>
      </c>
      <c r="O205" s="29">
        <f t="shared" si="50"/>
        <v>0</v>
      </c>
      <c r="P205" s="29">
        <f t="shared" si="51"/>
        <v>0</v>
      </c>
      <c r="Q205" s="30">
        <f t="shared" si="52"/>
        <v>0</v>
      </c>
      <c r="R205" s="30">
        <v>0</v>
      </c>
      <c r="S205" s="29">
        <f t="shared" si="53"/>
        <v>0</v>
      </c>
      <c r="T205" s="24">
        <f t="shared" si="54"/>
        <v>0</v>
      </c>
      <c r="U205" s="31">
        <f t="shared" si="55"/>
        <v>0</v>
      </c>
      <c r="V205" s="32">
        <f t="shared" ref="V205:V268" si="61">IF(E205=0,0,U205/E205)</f>
        <v>0</v>
      </c>
      <c r="W205" s="32">
        <f t="shared" si="56"/>
        <v>0</v>
      </c>
      <c r="X205" s="33">
        <v>0</v>
      </c>
      <c r="Y205" s="30">
        <f t="shared" si="57"/>
        <v>0</v>
      </c>
    </row>
    <row r="206" spans="1:25" ht="16.5" x14ac:dyDescent="0.3">
      <c r="A206" s="27">
        <v>676</v>
      </c>
      <c r="B206" s="27">
        <v>1</v>
      </c>
      <c r="C206" s="28" t="s">
        <v>263</v>
      </c>
      <c r="D206" s="24">
        <f>'[1]FY13 9-16-13 to copy to sheet'!F198</f>
        <v>0</v>
      </c>
      <c r="E206" s="25">
        <v>252.43</v>
      </c>
      <c r="F206" s="20">
        <v>257</v>
      </c>
      <c r="G206" s="20">
        <v>11</v>
      </c>
      <c r="H206" s="23">
        <f t="shared" si="47"/>
        <v>4.2801556420233464E-2</v>
      </c>
      <c r="I206" s="29">
        <f t="shared" si="58"/>
        <v>3781.54</v>
      </c>
      <c r="J206" s="24">
        <f t="shared" si="59"/>
        <v>0</v>
      </c>
      <c r="K206" s="24">
        <f t="shared" si="48"/>
        <v>3781.54</v>
      </c>
      <c r="L206" s="30">
        <v>0</v>
      </c>
      <c r="M206" s="30">
        <f t="shared" si="49"/>
        <v>0</v>
      </c>
      <c r="N206" s="29">
        <f t="shared" si="60"/>
        <v>0</v>
      </c>
      <c r="O206" s="29">
        <f t="shared" si="50"/>
        <v>0</v>
      </c>
      <c r="P206" s="29">
        <f t="shared" si="51"/>
        <v>0</v>
      </c>
      <c r="Q206" s="30">
        <f t="shared" si="52"/>
        <v>0</v>
      </c>
      <c r="R206" s="30">
        <v>0</v>
      </c>
      <c r="S206" s="29">
        <f t="shared" si="53"/>
        <v>0</v>
      </c>
      <c r="T206" s="24">
        <f t="shared" si="54"/>
        <v>0</v>
      </c>
      <c r="U206" s="31">
        <f t="shared" si="55"/>
        <v>0</v>
      </c>
      <c r="V206" s="32">
        <f t="shared" si="61"/>
        <v>0</v>
      </c>
      <c r="W206" s="32">
        <f t="shared" si="56"/>
        <v>0</v>
      </c>
      <c r="X206" s="33">
        <v>0</v>
      </c>
      <c r="Y206" s="30">
        <f t="shared" si="57"/>
        <v>0</v>
      </c>
    </row>
    <row r="207" spans="1:25" ht="16.5" x14ac:dyDescent="0.3">
      <c r="A207" s="27">
        <v>682</v>
      </c>
      <c r="B207" s="27">
        <v>1</v>
      </c>
      <c r="C207" s="28" t="s">
        <v>264</v>
      </c>
      <c r="D207" s="24">
        <f>'[1]FY13 9-16-13 to copy to sheet'!F199</f>
        <v>0</v>
      </c>
      <c r="E207" s="25">
        <v>1418.64</v>
      </c>
      <c r="F207" s="20">
        <v>1238</v>
      </c>
      <c r="G207" s="20">
        <v>35</v>
      </c>
      <c r="H207" s="23">
        <f t="shared" si="47"/>
        <v>2.827140549273021E-2</v>
      </c>
      <c r="I207" s="29">
        <f t="shared" si="58"/>
        <v>14037.43</v>
      </c>
      <c r="J207" s="24">
        <f t="shared" si="59"/>
        <v>0</v>
      </c>
      <c r="K207" s="24">
        <f t="shared" si="48"/>
        <v>14037.43</v>
      </c>
      <c r="L207" s="30">
        <v>0</v>
      </c>
      <c r="M207" s="30">
        <f t="shared" si="49"/>
        <v>0</v>
      </c>
      <c r="N207" s="29">
        <f t="shared" si="60"/>
        <v>0</v>
      </c>
      <c r="O207" s="29">
        <f t="shared" si="50"/>
        <v>0</v>
      </c>
      <c r="P207" s="29">
        <f t="shared" si="51"/>
        <v>0</v>
      </c>
      <c r="Q207" s="30">
        <f t="shared" si="52"/>
        <v>0</v>
      </c>
      <c r="R207" s="30">
        <v>0</v>
      </c>
      <c r="S207" s="29">
        <f t="shared" si="53"/>
        <v>0</v>
      </c>
      <c r="T207" s="24">
        <f t="shared" si="54"/>
        <v>0</v>
      </c>
      <c r="U207" s="31">
        <f t="shared" si="55"/>
        <v>0</v>
      </c>
      <c r="V207" s="32">
        <f t="shared" si="61"/>
        <v>0</v>
      </c>
      <c r="W207" s="32">
        <f t="shared" si="56"/>
        <v>0</v>
      </c>
      <c r="X207" s="33">
        <v>0</v>
      </c>
      <c r="Y207" s="30">
        <f t="shared" si="57"/>
        <v>0</v>
      </c>
    </row>
    <row r="208" spans="1:25" ht="16.5" x14ac:dyDescent="0.3">
      <c r="A208" s="27">
        <v>690</v>
      </c>
      <c r="B208" s="27">
        <v>1</v>
      </c>
      <c r="C208" s="28" t="s">
        <v>265</v>
      </c>
      <c r="D208" s="24">
        <f>'[1]FY13 9-16-13 to copy to sheet'!F200</f>
        <v>0</v>
      </c>
      <c r="E208" s="25">
        <v>1174.97</v>
      </c>
      <c r="F208" s="20">
        <v>999</v>
      </c>
      <c r="G208" s="20">
        <v>195</v>
      </c>
      <c r="H208" s="23">
        <f t="shared" si="47"/>
        <v>0.19519519519519518</v>
      </c>
      <c r="I208" s="29">
        <f t="shared" si="58"/>
        <v>80271.97</v>
      </c>
      <c r="J208" s="24">
        <f t="shared" si="59"/>
        <v>0</v>
      </c>
      <c r="K208" s="24">
        <f t="shared" si="48"/>
        <v>80271.97</v>
      </c>
      <c r="L208" s="30">
        <v>0</v>
      </c>
      <c r="M208" s="30">
        <f t="shared" si="49"/>
        <v>0</v>
      </c>
      <c r="N208" s="29">
        <f t="shared" si="60"/>
        <v>0</v>
      </c>
      <c r="O208" s="29">
        <f t="shared" si="50"/>
        <v>0</v>
      </c>
      <c r="P208" s="29">
        <f t="shared" si="51"/>
        <v>0</v>
      </c>
      <c r="Q208" s="30">
        <f t="shared" si="52"/>
        <v>0</v>
      </c>
      <c r="R208" s="30">
        <v>0</v>
      </c>
      <c r="S208" s="29">
        <f t="shared" si="53"/>
        <v>0</v>
      </c>
      <c r="T208" s="24">
        <f t="shared" si="54"/>
        <v>0</v>
      </c>
      <c r="U208" s="31">
        <f t="shared" si="55"/>
        <v>0</v>
      </c>
      <c r="V208" s="32">
        <f t="shared" si="61"/>
        <v>0</v>
      </c>
      <c r="W208" s="32">
        <f t="shared" si="56"/>
        <v>0</v>
      </c>
      <c r="X208" s="33">
        <v>0</v>
      </c>
      <c r="Y208" s="30">
        <f t="shared" si="57"/>
        <v>0</v>
      </c>
    </row>
    <row r="209" spans="1:25" ht="16.5" x14ac:dyDescent="0.3">
      <c r="A209" s="27">
        <v>695</v>
      </c>
      <c r="B209" s="27">
        <v>1</v>
      </c>
      <c r="C209" s="28" t="s">
        <v>266</v>
      </c>
      <c r="D209" s="24">
        <f>'[1]FY13 9-16-13 to copy to sheet'!F201</f>
        <v>0</v>
      </c>
      <c r="E209" s="25">
        <v>811.84</v>
      </c>
      <c r="F209" s="20">
        <v>754</v>
      </c>
      <c r="G209" s="20">
        <v>48</v>
      </c>
      <c r="H209" s="23">
        <f t="shared" si="47"/>
        <v>6.3660477453580902E-2</v>
      </c>
      <c r="I209" s="29">
        <f t="shared" si="58"/>
        <v>18088.740000000002</v>
      </c>
      <c r="J209" s="24">
        <f t="shared" si="59"/>
        <v>0</v>
      </c>
      <c r="K209" s="24">
        <f t="shared" si="48"/>
        <v>18088.740000000002</v>
      </c>
      <c r="L209" s="30">
        <v>0</v>
      </c>
      <c r="M209" s="30">
        <f t="shared" si="49"/>
        <v>0</v>
      </c>
      <c r="N209" s="29">
        <f t="shared" si="60"/>
        <v>0</v>
      </c>
      <c r="O209" s="29">
        <f t="shared" si="50"/>
        <v>0</v>
      </c>
      <c r="P209" s="29">
        <f t="shared" si="51"/>
        <v>0</v>
      </c>
      <c r="Q209" s="30">
        <f t="shared" si="52"/>
        <v>0</v>
      </c>
      <c r="R209" s="30">
        <v>0</v>
      </c>
      <c r="S209" s="29">
        <f t="shared" si="53"/>
        <v>0</v>
      </c>
      <c r="T209" s="24">
        <f t="shared" si="54"/>
        <v>0</v>
      </c>
      <c r="U209" s="31">
        <f t="shared" si="55"/>
        <v>0</v>
      </c>
      <c r="V209" s="32">
        <f t="shared" si="61"/>
        <v>0</v>
      </c>
      <c r="W209" s="32">
        <f t="shared" si="56"/>
        <v>0</v>
      </c>
      <c r="X209" s="33">
        <v>0</v>
      </c>
      <c r="Y209" s="30">
        <f t="shared" si="57"/>
        <v>0</v>
      </c>
    </row>
    <row r="210" spans="1:25" ht="16.5" x14ac:dyDescent="0.3">
      <c r="A210" s="27">
        <v>696</v>
      </c>
      <c r="B210" s="27">
        <v>1</v>
      </c>
      <c r="C210" s="28" t="s">
        <v>267</v>
      </c>
      <c r="D210" s="24">
        <f>'[1]FY13 9-16-13 to copy to sheet'!F202</f>
        <v>0</v>
      </c>
      <c r="E210" s="25">
        <v>591.92999999999995</v>
      </c>
      <c r="F210" s="20">
        <v>556</v>
      </c>
      <c r="G210" s="20">
        <v>32</v>
      </c>
      <c r="H210" s="23">
        <f t="shared" si="47"/>
        <v>5.7553956834532377E-2</v>
      </c>
      <c r="I210" s="29">
        <f t="shared" si="58"/>
        <v>11923.77</v>
      </c>
      <c r="J210" s="24">
        <f t="shared" si="59"/>
        <v>0</v>
      </c>
      <c r="K210" s="24">
        <f t="shared" si="48"/>
        <v>11923.77</v>
      </c>
      <c r="L210" s="30">
        <v>0</v>
      </c>
      <c r="M210" s="30">
        <f t="shared" si="49"/>
        <v>0</v>
      </c>
      <c r="N210" s="29">
        <f t="shared" si="60"/>
        <v>0</v>
      </c>
      <c r="O210" s="29">
        <f t="shared" si="50"/>
        <v>0</v>
      </c>
      <c r="P210" s="29">
        <f t="shared" si="51"/>
        <v>0</v>
      </c>
      <c r="Q210" s="30">
        <f t="shared" si="52"/>
        <v>0</v>
      </c>
      <c r="R210" s="30">
        <v>0</v>
      </c>
      <c r="S210" s="29">
        <f t="shared" si="53"/>
        <v>0</v>
      </c>
      <c r="T210" s="24">
        <f t="shared" si="54"/>
        <v>0</v>
      </c>
      <c r="U210" s="31">
        <f t="shared" si="55"/>
        <v>0</v>
      </c>
      <c r="V210" s="32">
        <f t="shared" si="61"/>
        <v>0</v>
      </c>
      <c r="W210" s="32">
        <f t="shared" si="56"/>
        <v>0</v>
      </c>
      <c r="X210" s="33">
        <v>0</v>
      </c>
      <c r="Y210" s="30">
        <f t="shared" si="57"/>
        <v>0</v>
      </c>
    </row>
    <row r="211" spans="1:25" ht="16.5" x14ac:dyDescent="0.3">
      <c r="A211" s="27">
        <v>698</v>
      </c>
      <c r="B211" s="27">
        <v>1</v>
      </c>
      <c r="C211" s="28" t="s">
        <v>268</v>
      </c>
      <c r="D211" s="24">
        <f>'[1]FY13 9-16-13 to copy to sheet'!F203</f>
        <v>0</v>
      </c>
      <c r="E211" s="25">
        <v>382.01</v>
      </c>
      <c r="F211" s="20">
        <v>272</v>
      </c>
      <c r="G211" s="20">
        <v>7</v>
      </c>
      <c r="H211" s="23">
        <f t="shared" si="47"/>
        <v>2.5735294117647058E-2</v>
      </c>
      <c r="I211" s="29">
        <f t="shared" si="58"/>
        <v>3440.9</v>
      </c>
      <c r="J211" s="24">
        <f t="shared" si="59"/>
        <v>0</v>
      </c>
      <c r="K211" s="24">
        <f t="shared" si="48"/>
        <v>3440.9</v>
      </c>
      <c r="L211" s="30">
        <v>0</v>
      </c>
      <c r="M211" s="30">
        <f t="shared" si="49"/>
        <v>0</v>
      </c>
      <c r="N211" s="29">
        <f t="shared" si="60"/>
        <v>0</v>
      </c>
      <c r="O211" s="29">
        <f t="shared" si="50"/>
        <v>0</v>
      </c>
      <c r="P211" s="29">
        <f t="shared" si="51"/>
        <v>0</v>
      </c>
      <c r="Q211" s="30">
        <f t="shared" si="52"/>
        <v>0</v>
      </c>
      <c r="R211" s="30">
        <v>0</v>
      </c>
      <c r="S211" s="29">
        <f t="shared" si="53"/>
        <v>0</v>
      </c>
      <c r="T211" s="24">
        <f t="shared" si="54"/>
        <v>0</v>
      </c>
      <c r="U211" s="31">
        <f t="shared" si="55"/>
        <v>0</v>
      </c>
      <c r="V211" s="32">
        <f t="shared" si="61"/>
        <v>0</v>
      </c>
      <c r="W211" s="32">
        <f t="shared" si="56"/>
        <v>0</v>
      </c>
      <c r="X211" s="33">
        <v>0</v>
      </c>
      <c r="Y211" s="30">
        <f t="shared" si="57"/>
        <v>0</v>
      </c>
    </row>
    <row r="212" spans="1:25" ht="16.5" x14ac:dyDescent="0.3">
      <c r="A212" s="27">
        <v>700</v>
      </c>
      <c r="B212" s="27">
        <v>1</v>
      </c>
      <c r="C212" s="28" t="s">
        <v>269</v>
      </c>
      <c r="D212" s="24">
        <f>'[1]FY13 9-16-13 to copy to sheet'!F204</f>
        <v>0</v>
      </c>
      <c r="E212" s="25">
        <v>2399.34</v>
      </c>
      <c r="F212" s="20">
        <v>2070</v>
      </c>
      <c r="G212" s="20">
        <v>133</v>
      </c>
      <c r="H212" s="23">
        <f t="shared" si="47"/>
        <v>6.4251207729468601E-2</v>
      </c>
      <c r="I212" s="29">
        <f t="shared" si="58"/>
        <v>53956.17</v>
      </c>
      <c r="J212" s="24">
        <f t="shared" si="59"/>
        <v>0</v>
      </c>
      <c r="K212" s="24">
        <f t="shared" si="48"/>
        <v>53956.17</v>
      </c>
      <c r="L212" s="30">
        <v>0</v>
      </c>
      <c r="M212" s="30">
        <f t="shared" si="49"/>
        <v>0</v>
      </c>
      <c r="N212" s="29">
        <f t="shared" si="60"/>
        <v>0</v>
      </c>
      <c r="O212" s="29">
        <f t="shared" si="50"/>
        <v>0</v>
      </c>
      <c r="P212" s="29">
        <f t="shared" si="51"/>
        <v>0</v>
      </c>
      <c r="Q212" s="30">
        <f t="shared" si="52"/>
        <v>0</v>
      </c>
      <c r="R212" s="30">
        <v>0</v>
      </c>
      <c r="S212" s="29">
        <f t="shared" si="53"/>
        <v>0</v>
      </c>
      <c r="T212" s="24">
        <f t="shared" si="54"/>
        <v>0</v>
      </c>
      <c r="U212" s="31">
        <f t="shared" si="55"/>
        <v>0</v>
      </c>
      <c r="V212" s="32">
        <f t="shared" si="61"/>
        <v>0</v>
      </c>
      <c r="W212" s="32">
        <f t="shared" si="56"/>
        <v>0</v>
      </c>
      <c r="X212" s="33">
        <v>0</v>
      </c>
      <c r="Y212" s="30">
        <f t="shared" si="57"/>
        <v>0</v>
      </c>
    </row>
    <row r="213" spans="1:25" ht="16.5" x14ac:dyDescent="0.3">
      <c r="A213" s="27">
        <v>701</v>
      </c>
      <c r="B213" s="27">
        <v>1</v>
      </c>
      <c r="C213" s="28" t="s">
        <v>270</v>
      </c>
      <c r="D213" s="24">
        <f>'[1]FY13 9-16-13 to copy to sheet'!F205</f>
        <v>0</v>
      </c>
      <c r="E213" s="25">
        <v>2716.14</v>
      </c>
      <c r="F213" s="20">
        <v>2431</v>
      </c>
      <c r="G213" s="20">
        <v>201</v>
      </c>
      <c r="H213" s="23">
        <f t="shared" si="47"/>
        <v>8.2682023858494449E-2</v>
      </c>
      <c r="I213" s="29">
        <f t="shared" si="58"/>
        <v>78601.58</v>
      </c>
      <c r="J213" s="24">
        <f t="shared" si="59"/>
        <v>0</v>
      </c>
      <c r="K213" s="24">
        <f t="shared" si="48"/>
        <v>78601.58</v>
      </c>
      <c r="L213" s="30">
        <v>0</v>
      </c>
      <c r="M213" s="30">
        <f t="shared" si="49"/>
        <v>0</v>
      </c>
      <c r="N213" s="29">
        <f t="shared" si="60"/>
        <v>0</v>
      </c>
      <c r="O213" s="29">
        <f t="shared" si="50"/>
        <v>0</v>
      </c>
      <c r="P213" s="29">
        <f t="shared" si="51"/>
        <v>0</v>
      </c>
      <c r="Q213" s="30">
        <f t="shared" si="52"/>
        <v>0</v>
      </c>
      <c r="R213" s="30">
        <v>0</v>
      </c>
      <c r="S213" s="29">
        <f t="shared" si="53"/>
        <v>0</v>
      </c>
      <c r="T213" s="24">
        <f t="shared" si="54"/>
        <v>0</v>
      </c>
      <c r="U213" s="31">
        <f t="shared" si="55"/>
        <v>0</v>
      </c>
      <c r="V213" s="32">
        <f t="shared" si="61"/>
        <v>0</v>
      </c>
      <c r="W213" s="32">
        <f t="shared" si="56"/>
        <v>0</v>
      </c>
      <c r="X213" s="33">
        <v>0</v>
      </c>
      <c r="Y213" s="30">
        <f t="shared" si="57"/>
        <v>0</v>
      </c>
    </row>
    <row r="214" spans="1:25" ht="16.5" x14ac:dyDescent="0.3">
      <c r="A214" s="27">
        <v>704</v>
      </c>
      <c r="B214" s="27">
        <v>1</v>
      </c>
      <c r="C214" s="28" t="s">
        <v>271</v>
      </c>
      <c r="D214" s="24">
        <f>'[1]FY13 9-16-13 to copy to sheet'!F206</f>
        <v>0</v>
      </c>
      <c r="E214" s="25">
        <v>2002.35</v>
      </c>
      <c r="F214" s="20">
        <v>1739</v>
      </c>
      <c r="G214" s="20">
        <v>75</v>
      </c>
      <c r="H214" s="23">
        <f t="shared" si="47"/>
        <v>4.3128234617596323E-2</v>
      </c>
      <c r="I214" s="29">
        <f t="shared" si="58"/>
        <v>30225.24</v>
      </c>
      <c r="J214" s="24">
        <f t="shared" si="59"/>
        <v>0</v>
      </c>
      <c r="K214" s="24">
        <f t="shared" si="48"/>
        <v>30225.24</v>
      </c>
      <c r="L214" s="30">
        <v>0</v>
      </c>
      <c r="M214" s="30">
        <f t="shared" si="49"/>
        <v>0</v>
      </c>
      <c r="N214" s="29">
        <f t="shared" si="60"/>
        <v>0</v>
      </c>
      <c r="O214" s="29">
        <f t="shared" si="50"/>
        <v>0</v>
      </c>
      <c r="P214" s="29">
        <f t="shared" si="51"/>
        <v>0</v>
      </c>
      <c r="Q214" s="30">
        <f t="shared" si="52"/>
        <v>0</v>
      </c>
      <c r="R214" s="30">
        <v>0</v>
      </c>
      <c r="S214" s="29">
        <f t="shared" si="53"/>
        <v>0</v>
      </c>
      <c r="T214" s="24">
        <f t="shared" si="54"/>
        <v>0</v>
      </c>
      <c r="U214" s="31">
        <f t="shared" si="55"/>
        <v>0</v>
      </c>
      <c r="V214" s="32">
        <f t="shared" si="61"/>
        <v>0</v>
      </c>
      <c r="W214" s="32">
        <f t="shared" si="56"/>
        <v>0</v>
      </c>
      <c r="X214" s="33">
        <v>0</v>
      </c>
      <c r="Y214" s="30">
        <f t="shared" si="57"/>
        <v>0</v>
      </c>
    </row>
    <row r="215" spans="1:25" ht="16.5" x14ac:dyDescent="0.3">
      <c r="A215" s="27">
        <v>706</v>
      </c>
      <c r="B215" s="27">
        <v>1</v>
      </c>
      <c r="C215" s="28" t="s">
        <v>272</v>
      </c>
      <c r="D215" s="24">
        <f>'[1]FY13 9-16-13 to copy to sheet'!F207</f>
        <v>0</v>
      </c>
      <c r="E215" s="25">
        <v>1995.77</v>
      </c>
      <c r="F215" s="20">
        <v>1695</v>
      </c>
      <c r="G215" s="20">
        <v>278</v>
      </c>
      <c r="H215" s="23">
        <f t="shared" si="47"/>
        <v>0.1640117994100295</v>
      </c>
      <c r="I215" s="29">
        <f t="shared" si="58"/>
        <v>114565.44</v>
      </c>
      <c r="J215" s="24">
        <f t="shared" si="59"/>
        <v>0</v>
      </c>
      <c r="K215" s="24">
        <f t="shared" si="48"/>
        <v>114565.44</v>
      </c>
      <c r="L215" s="30">
        <v>0</v>
      </c>
      <c r="M215" s="30">
        <f t="shared" si="49"/>
        <v>0</v>
      </c>
      <c r="N215" s="29">
        <f t="shared" si="60"/>
        <v>0</v>
      </c>
      <c r="O215" s="29">
        <f t="shared" si="50"/>
        <v>0</v>
      </c>
      <c r="P215" s="29">
        <f t="shared" si="51"/>
        <v>0</v>
      </c>
      <c r="Q215" s="30">
        <f t="shared" si="52"/>
        <v>0</v>
      </c>
      <c r="R215" s="30">
        <v>0</v>
      </c>
      <c r="S215" s="29">
        <f t="shared" si="53"/>
        <v>0</v>
      </c>
      <c r="T215" s="24">
        <f t="shared" si="54"/>
        <v>0</v>
      </c>
      <c r="U215" s="31">
        <f t="shared" si="55"/>
        <v>0</v>
      </c>
      <c r="V215" s="32">
        <f t="shared" si="61"/>
        <v>0</v>
      </c>
      <c r="W215" s="32">
        <f t="shared" si="56"/>
        <v>0</v>
      </c>
      <c r="X215" s="33">
        <v>0</v>
      </c>
      <c r="Y215" s="30">
        <f t="shared" si="57"/>
        <v>0</v>
      </c>
    </row>
    <row r="216" spans="1:25" ht="16.5" x14ac:dyDescent="0.3">
      <c r="A216" s="27">
        <v>707</v>
      </c>
      <c r="B216" s="27">
        <v>1</v>
      </c>
      <c r="C216" s="28" t="s">
        <v>273</v>
      </c>
      <c r="D216" s="24">
        <f>'[1]FY13 9-16-13 to copy to sheet'!F208</f>
        <v>0</v>
      </c>
      <c r="E216" s="25">
        <v>142.13</v>
      </c>
      <c r="F216" s="20">
        <v>79</v>
      </c>
      <c r="G216" s="20">
        <v>77</v>
      </c>
      <c r="H216" s="23">
        <f t="shared" si="47"/>
        <v>0.97468354430379744</v>
      </c>
      <c r="I216" s="29">
        <f t="shared" si="58"/>
        <v>48486.12</v>
      </c>
      <c r="J216" s="24">
        <f t="shared" si="59"/>
        <v>0</v>
      </c>
      <c r="K216" s="24">
        <f t="shared" si="48"/>
        <v>48486.12</v>
      </c>
      <c r="L216" s="30">
        <v>0</v>
      </c>
      <c r="M216" s="30">
        <f t="shared" si="49"/>
        <v>0</v>
      </c>
      <c r="N216" s="29">
        <f t="shared" si="60"/>
        <v>0</v>
      </c>
      <c r="O216" s="29">
        <f t="shared" si="50"/>
        <v>0</v>
      </c>
      <c r="P216" s="29">
        <f t="shared" si="51"/>
        <v>0</v>
      </c>
      <c r="Q216" s="30">
        <f t="shared" si="52"/>
        <v>0</v>
      </c>
      <c r="R216" s="30">
        <v>0</v>
      </c>
      <c r="S216" s="29">
        <f t="shared" si="53"/>
        <v>0</v>
      </c>
      <c r="T216" s="24">
        <f t="shared" si="54"/>
        <v>0</v>
      </c>
      <c r="U216" s="31">
        <f t="shared" si="55"/>
        <v>0</v>
      </c>
      <c r="V216" s="32">
        <f t="shared" si="61"/>
        <v>0</v>
      </c>
      <c r="W216" s="32">
        <f t="shared" si="56"/>
        <v>0</v>
      </c>
      <c r="X216" s="33">
        <v>0</v>
      </c>
      <c r="Y216" s="30">
        <f t="shared" si="57"/>
        <v>0</v>
      </c>
    </row>
    <row r="217" spans="1:25" ht="16.5" x14ac:dyDescent="0.3">
      <c r="A217" s="34">
        <v>709</v>
      </c>
      <c r="B217" s="34">
        <v>1</v>
      </c>
      <c r="C217" s="1" t="s">
        <v>274</v>
      </c>
      <c r="D217" s="24">
        <f>'[1]FY13 9-16-13 to copy to sheet'!F209</f>
        <v>2020693.14</v>
      </c>
      <c r="E217" s="25">
        <v>9814.1200000000008</v>
      </c>
      <c r="F217" s="20">
        <v>9020</v>
      </c>
      <c r="G217" s="20">
        <v>1705</v>
      </c>
      <c r="H217" s="23">
        <f t="shared" si="47"/>
        <v>0.18902439024390244</v>
      </c>
      <c r="I217" s="29">
        <f t="shared" si="58"/>
        <v>649287.81999999995</v>
      </c>
      <c r="J217" s="24">
        <f t="shared" si="59"/>
        <v>905127.51</v>
      </c>
      <c r="K217" s="24">
        <f t="shared" si="48"/>
        <v>1554415.33</v>
      </c>
      <c r="L217" s="30">
        <v>2024183.18</v>
      </c>
      <c r="M217" s="30">
        <f t="shared" si="49"/>
        <v>2030255.73</v>
      </c>
      <c r="N217" s="29">
        <f t="shared" si="60"/>
        <v>1554415.33</v>
      </c>
      <c r="O217" s="29">
        <f t="shared" si="50"/>
        <v>4663.25</v>
      </c>
      <c r="P217" s="29">
        <f t="shared" si="51"/>
        <v>1549752.08</v>
      </c>
      <c r="Q217" s="30">
        <f t="shared" si="52"/>
        <v>98141.200000000012</v>
      </c>
      <c r="R217" s="30">
        <v>0</v>
      </c>
      <c r="S217" s="29">
        <f t="shared" si="53"/>
        <v>0</v>
      </c>
      <c r="T217" s="24">
        <f t="shared" si="54"/>
        <v>1549752.08</v>
      </c>
      <c r="U217" s="31">
        <f t="shared" si="55"/>
        <v>-470941.05999999982</v>
      </c>
      <c r="V217" s="32">
        <f t="shared" si="61"/>
        <v>-47.986071089409933</v>
      </c>
      <c r="W217" s="32">
        <f t="shared" si="56"/>
        <v>935266.03</v>
      </c>
      <c r="X217" s="33">
        <v>614486.05000000005</v>
      </c>
      <c r="Y217" s="30">
        <f t="shared" si="57"/>
        <v>935266.03</v>
      </c>
    </row>
    <row r="218" spans="1:25" ht="16.5" x14ac:dyDescent="0.3">
      <c r="A218" s="27">
        <v>712</v>
      </c>
      <c r="B218" s="27">
        <v>1</v>
      </c>
      <c r="C218" s="28" t="s">
        <v>275</v>
      </c>
      <c r="D218" s="24">
        <f>'[1]FY13 9-16-13 to copy to sheet'!F210</f>
        <v>0</v>
      </c>
      <c r="E218" s="25">
        <v>566.62</v>
      </c>
      <c r="F218" s="20">
        <v>574</v>
      </c>
      <c r="G218" s="20">
        <v>100</v>
      </c>
      <c r="H218" s="23">
        <f t="shared" si="47"/>
        <v>0.17421602787456447</v>
      </c>
      <c r="I218" s="29">
        <f t="shared" si="58"/>
        <v>34550</v>
      </c>
      <c r="J218" s="24">
        <f t="shared" si="59"/>
        <v>0</v>
      </c>
      <c r="K218" s="24">
        <f t="shared" si="48"/>
        <v>34550</v>
      </c>
      <c r="L218" s="30">
        <v>0</v>
      </c>
      <c r="M218" s="30">
        <f t="shared" si="49"/>
        <v>0</v>
      </c>
      <c r="N218" s="29">
        <f t="shared" si="60"/>
        <v>0</v>
      </c>
      <c r="O218" s="29">
        <f t="shared" si="50"/>
        <v>0</v>
      </c>
      <c r="P218" s="29">
        <f t="shared" si="51"/>
        <v>0</v>
      </c>
      <c r="Q218" s="30">
        <f t="shared" si="52"/>
        <v>0</v>
      </c>
      <c r="R218" s="30">
        <v>0</v>
      </c>
      <c r="S218" s="29">
        <f t="shared" si="53"/>
        <v>0</v>
      </c>
      <c r="T218" s="24">
        <f t="shared" si="54"/>
        <v>0</v>
      </c>
      <c r="U218" s="31">
        <f t="shared" si="55"/>
        <v>0</v>
      </c>
      <c r="V218" s="32">
        <f t="shared" si="61"/>
        <v>0</v>
      </c>
      <c r="W218" s="32">
        <f t="shared" si="56"/>
        <v>0</v>
      </c>
      <c r="X218" s="33">
        <v>0</v>
      </c>
      <c r="Y218" s="30">
        <f t="shared" si="57"/>
        <v>0</v>
      </c>
    </row>
    <row r="219" spans="1:25" ht="16.5" x14ac:dyDescent="0.3">
      <c r="A219" s="34">
        <v>716</v>
      </c>
      <c r="B219" s="34">
        <v>1</v>
      </c>
      <c r="C219" s="1" t="s">
        <v>276</v>
      </c>
      <c r="D219" s="24">
        <f>'[1]FY13 9-16-13 to copy to sheet'!F211</f>
        <v>45900</v>
      </c>
      <c r="E219" s="25">
        <v>1894.44</v>
      </c>
      <c r="F219" s="20">
        <v>1630</v>
      </c>
      <c r="G219" s="20">
        <v>117</v>
      </c>
      <c r="H219" s="23">
        <f t="shared" si="47"/>
        <v>7.177914110429448E-2</v>
      </c>
      <c r="I219" s="29">
        <f t="shared" si="58"/>
        <v>47593.45</v>
      </c>
      <c r="J219" s="24">
        <f t="shared" si="59"/>
        <v>0</v>
      </c>
      <c r="K219" s="24">
        <f t="shared" si="48"/>
        <v>47593.45</v>
      </c>
      <c r="L219" s="30">
        <v>46400</v>
      </c>
      <c r="M219" s="30">
        <f t="shared" si="49"/>
        <v>46539.199999999997</v>
      </c>
      <c r="N219" s="29">
        <f t="shared" si="60"/>
        <v>46539.199999999997</v>
      </c>
      <c r="O219" s="29">
        <f t="shared" si="50"/>
        <v>139.19999999999709</v>
      </c>
      <c r="P219" s="29">
        <f t="shared" si="51"/>
        <v>46400</v>
      </c>
      <c r="Q219" s="30">
        <f t="shared" si="52"/>
        <v>18944.400000000001</v>
      </c>
      <c r="R219" s="30">
        <v>0</v>
      </c>
      <c r="S219" s="29">
        <f t="shared" si="53"/>
        <v>0</v>
      </c>
      <c r="T219" s="24">
        <f t="shared" si="54"/>
        <v>46400</v>
      </c>
      <c r="U219" s="31">
        <f t="shared" si="55"/>
        <v>500</v>
      </c>
      <c r="V219" s="32">
        <f t="shared" si="61"/>
        <v>0.26393023795950254</v>
      </c>
      <c r="W219" s="32">
        <f t="shared" si="56"/>
        <v>28400</v>
      </c>
      <c r="X219" s="33">
        <v>18000</v>
      </c>
      <c r="Y219" s="30">
        <f t="shared" si="57"/>
        <v>28400</v>
      </c>
    </row>
    <row r="220" spans="1:25" ht="16.5" x14ac:dyDescent="0.3">
      <c r="A220" s="34">
        <v>717</v>
      </c>
      <c r="B220" s="34">
        <v>1</v>
      </c>
      <c r="C220" s="1" t="s">
        <v>277</v>
      </c>
      <c r="D220" s="24">
        <f>'[1]FY13 9-16-13 to copy to sheet'!F212</f>
        <v>12800</v>
      </c>
      <c r="E220" s="25">
        <v>2048.41</v>
      </c>
      <c r="F220" s="20">
        <v>1761</v>
      </c>
      <c r="G220" s="20">
        <v>181</v>
      </c>
      <c r="H220" s="23">
        <f t="shared" si="47"/>
        <v>0.10278250993753549</v>
      </c>
      <c r="I220" s="29">
        <f t="shared" si="58"/>
        <v>73689.25</v>
      </c>
      <c r="J220" s="24">
        <f t="shared" si="59"/>
        <v>0</v>
      </c>
      <c r="K220" s="24">
        <f t="shared" si="48"/>
        <v>73689.25</v>
      </c>
      <c r="L220" s="30">
        <v>12800</v>
      </c>
      <c r="M220" s="30">
        <f t="shared" si="49"/>
        <v>12838.4</v>
      </c>
      <c r="N220" s="29">
        <f t="shared" si="60"/>
        <v>12838.4</v>
      </c>
      <c r="O220" s="29">
        <f t="shared" si="50"/>
        <v>38.399999999999636</v>
      </c>
      <c r="P220" s="29">
        <f t="shared" si="51"/>
        <v>12800</v>
      </c>
      <c r="Q220" s="30">
        <f t="shared" si="52"/>
        <v>20484.099999999999</v>
      </c>
      <c r="R220" s="30">
        <v>0</v>
      </c>
      <c r="S220" s="29">
        <f t="shared" si="53"/>
        <v>0</v>
      </c>
      <c r="T220" s="24">
        <f t="shared" si="54"/>
        <v>12800</v>
      </c>
      <c r="U220" s="31">
        <f t="shared" si="55"/>
        <v>0</v>
      </c>
      <c r="V220" s="32">
        <f t="shared" si="61"/>
        <v>0</v>
      </c>
      <c r="W220" s="32">
        <f t="shared" si="56"/>
        <v>8960</v>
      </c>
      <c r="X220" s="33">
        <v>3840</v>
      </c>
      <c r="Y220" s="30">
        <f t="shared" si="57"/>
        <v>8960</v>
      </c>
    </row>
    <row r="221" spans="1:25" ht="16.5" x14ac:dyDescent="0.3">
      <c r="A221" s="34">
        <v>719</v>
      </c>
      <c r="B221" s="34">
        <v>1</v>
      </c>
      <c r="C221" s="1" t="s">
        <v>278</v>
      </c>
      <c r="D221" s="24">
        <f>'[1]FY13 9-16-13 to copy to sheet'!F213</f>
        <v>18500</v>
      </c>
      <c r="E221" s="25">
        <v>8314.0499999999993</v>
      </c>
      <c r="F221" s="20">
        <v>7356</v>
      </c>
      <c r="G221" s="20">
        <v>954</v>
      </c>
      <c r="H221" s="23">
        <f t="shared" si="47"/>
        <v>0.12969004893964112</v>
      </c>
      <c r="I221" s="29">
        <f t="shared" si="58"/>
        <v>377387.34</v>
      </c>
      <c r="J221" s="24">
        <f t="shared" si="59"/>
        <v>0</v>
      </c>
      <c r="K221" s="24">
        <f t="shared" si="48"/>
        <v>377387.34</v>
      </c>
      <c r="L221" s="30">
        <v>18500</v>
      </c>
      <c r="M221" s="30">
        <f t="shared" si="49"/>
        <v>18555.5</v>
      </c>
      <c r="N221" s="29">
        <f t="shared" si="60"/>
        <v>18555.5</v>
      </c>
      <c r="O221" s="29">
        <f t="shared" si="50"/>
        <v>55.5</v>
      </c>
      <c r="P221" s="29">
        <f t="shared" si="51"/>
        <v>18500</v>
      </c>
      <c r="Q221" s="30">
        <f t="shared" si="52"/>
        <v>83140.5</v>
      </c>
      <c r="R221" s="30">
        <v>0</v>
      </c>
      <c r="S221" s="29">
        <f t="shared" si="53"/>
        <v>0</v>
      </c>
      <c r="T221" s="24">
        <f t="shared" si="54"/>
        <v>18500</v>
      </c>
      <c r="U221" s="31">
        <f t="shared" si="55"/>
        <v>0</v>
      </c>
      <c r="V221" s="32">
        <f t="shared" si="61"/>
        <v>0</v>
      </c>
      <c r="W221" s="32">
        <f t="shared" si="56"/>
        <v>13100</v>
      </c>
      <c r="X221" s="33">
        <v>5400</v>
      </c>
      <c r="Y221" s="30">
        <f t="shared" si="57"/>
        <v>13100</v>
      </c>
    </row>
    <row r="222" spans="1:25" ht="16.5" x14ac:dyDescent="0.3">
      <c r="A222" s="34">
        <v>720</v>
      </c>
      <c r="B222" s="34">
        <v>1</v>
      </c>
      <c r="C222" s="1" t="s">
        <v>279</v>
      </c>
      <c r="D222" s="24">
        <f>'[1]FY13 9-16-13 to copy to sheet'!F214</f>
        <v>45000</v>
      </c>
      <c r="E222" s="25">
        <v>9064.76</v>
      </c>
      <c r="F222" s="20">
        <v>7614</v>
      </c>
      <c r="G222" s="20">
        <v>2641</v>
      </c>
      <c r="H222" s="23">
        <f t="shared" si="47"/>
        <v>0.34686104544260571</v>
      </c>
      <c r="I222" s="29">
        <f t="shared" si="58"/>
        <v>1100474.25</v>
      </c>
      <c r="J222" s="24">
        <f t="shared" si="59"/>
        <v>0</v>
      </c>
      <c r="K222" s="24">
        <f t="shared" si="48"/>
        <v>1100474.25</v>
      </c>
      <c r="L222" s="30">
        <v>45000</v>
      </c>
      <c r="M222" s="30">
        <f t="shared" si="49"/>
        <v>45135</v>
      </c>
      <c r="N222" s="29">
        <f t="shared" si="60"/>
        <v>45135</v>
      </c>
      <c r="O222" s="29">
        <f t="shared" si="50"/>
        <v>135</v>
      </c>
      <c r="P222" s="29">
        <f t="shared" si="51"/>
        <v>45000</v>
      </c>
      <c r="Q222" s="30">
        <f t="shared" si="52"/>
        <v>90647.6</v>
      </c>
      <c r="R222" s="30">
        <v>0</v>
      </c>
      <c r="S222" s="29">
        <f t="shared" si="53"/>
        <v>0</v>
      </c>
      <c r="T222" s="24">
        <f t="shared" si="54"/>
        <v>45000</v>
      </c>
      <c r="U222" s="31">
        <f t="shared" si="55"/>
        <v>0</v>
      </c>
      <c r="V222" s="32">
        <f t="shared" si="61"/>
        <v>0</v>
      </c>
      <c r="W222" s="32">
        <f t="shared" si="56"/>
        <v>31500</v>
      </c>
      <c r="X222" s="33">
        <v>13500</v>
      </c>
      <c r="Y222" s="30">
        <f t="shared" si="57"/>
        <v>31500</v>
      </c>
    </row>
    <row r="223" spans="1:25" ht="16.5" x14ac:dyDescent="0.3">
      <c r="A223" s="34">
        <v>721</v>
      </c>
      <c r="B223" s="34">
        <v>1</v>
      </c>
      <c r="C223" s="1" t="s">
        <v>280</v>
      </c>
      <c r="D223" s="24">
        <f>'[1]FY13 9-16-13 to copy to sheet'!F215</f>
        <v>0</v>
      </c>
      <c r="E223" s="25">
        <v>4576.91</v>
      </c>
      <c r="F223" s="20">
        <v>3945</v>
      </c>
      <c r="G223" s="20">
        <v>148</v>
      </c>
      <c r="H223" s="23">
        <f t="shared" si="47"/>
        <v>3.7515842839036757E-2</v>
      </c>
      <c r="I223" s="29">
        <f t="shared" si="58"/>
        <v>60097.32</v>
      </c>
      <c r="J223" s="24">
        <f t="shared" si="59"/>
        <v>0</v>
      </c>
      <c r="K223" s="24">
        <f t="shared" si="48"/>
        <v>60097.32</v>
      </c>
      <c r="L223" s="30">
        <v>0</v>
      </c>
      <c r="M223" s="30">
        <f t="shared" si="49"/>
        <v>0</v>
      </c>
      <c r="N223" s="29">
        <f t="shared" si="60"/>
        <v>0</v>
      </c>
      <c r="O223" s="29">
        <f t="shared" si="50"/>
        <v>0</v>
      </c>
      <c r="P223" s="29">
        <f t="shared" si="51"/>
        <v>0</v>
      </c>
      <c r="Q223" s="30">
        <f t="shared" si="52"/>
        <v>0</v>
      </c>
      <c r="R223" s="30">
        <v>0</v>
      </c>
      <c r="S223" s="29">
        <f t="shared" si="53"/>
        <v>0</v>
      </c>
      <c r="T223" s="24">
        <f t="shared" si="54"/>
        <v>0</v>
      </c>
      <c r="U223" s="31">
        <f t="shared" si="55"/>
        <v>0</v>
      </c>
      <c r="V223" s="32">
        <f t="shared" si="61"/>
        <v>0</v>
      </c>
      <c r="W223" s="32">
        <f t="shared" si="56"/>
        <v>0</v>
      </c>
      <c r="X223" s="33">
        <v>0</v>
      </c>
      <c r="Y223" s="30">
        <f t="shared" si="57"/>
        <v>0</v>
      </c>
    </row>
    <row r="224" spans="1:25" ht="16.5" x14ac:dyDescent="0.3">
      <c r="A224" s="34">
        <v>726</v>
      </c>
      <c r="B224" s="34">
        <v>1</v>
      </c>
      <c r="C224" s="1" t="s">
        <v>281</v>
      </c>
      <c r="D224" s="24">
        <f>'[1]FY13 9-16-13 to copy to sheet'!F216</f>
        <v>289946.28000000003</v>
      </c>
      <c r="E224" s="25">
        <v>3269.34</v>
      </c>
      <c r="F224" s="20">
        <v>2778</v>
      </c>
      <c r="G224" s="20">
        <v>90</v>
      </c>
      <c r="H224" s="23">
        <f t="shared" si="47"/>
        <v>3.2397408207343416E-2</v>
      </c>
      <c r="I224" s="29">
        <f t="shared" si="58"/>
        <v>37071.35</v>
      </c>
      <c r="J224" s="24">
        <f t="shared" si="59"/>
        <v>166897.45000000001</v>
      </c>
      <c r="K224" s="24">
        <f t="shared" si="48"/>
        <v>203968.80000000002</v>
      </c>
      <c r="L224" s="30">
        <v>292500</v>
      </c>
      <c r="M224" s="30">
        <f t="shared" si="49"/>
        <v>293377.5</v>
      </c>
      <c r="N224" s="29">
        <f t="shared" si="60"/>
        <v>203968.80000000002</v>
      </c>
      <c r="O224" s="29">
        <f t="shared" si="50"/>
        <v>611.91</v>
      </c>
      <c r="P224" s="29">
        <f t="shared" si="51"/>
        <v>203356.89</v>
      </c>
      <c r="Q224" s="30">
        <f t="shared" si="52"/>
        <v>32693.4</v>
      </c>
      <c r="R224" s="30">
        <v>0</v>
      </c>
      <c r="S224" s="29">
        <f t="shared" si="53"/>
        <v>0</v>
      </c>
      <c r="T224" s="24">
        <f t="shared" si="54"/>
        <v>203356.89</v>
      </c>
      <c r="U224" s="31">
        <f t="shared" si="55"/>
        <v>-86589.390000000014</v>
      </c>
      <c r="V224" s="32">
        <f t="shared" si="61"/>
        <v>-26.485281432949773</v>
      </c>
      <c r="W224" s="32">
        <f t="shared" si="56"/>
        <v>115156.89000000001</v>
      </c>
      <c r="X224" s="33">
        <v>88200</v>
      </c>
      <c r="Y224" s="30">
        <f t="shared" si="57"/>
        <v>115156.89000000001</v>
      </c>
    </row>
    <row r="225" spans="1:25" ht="16.5" x14ac:dyDescent="0.3">
      <c r="A225" s="27">
        <v>727</v>
      </c>
      <c r="B225" s="27">
        <v>1</v>
      </c>
      <c r="C225" s="28" t="s">
        <v>282</v>
      </c>
      <c r="D225" s="24">
        <f>'[1]FY13 9-16-13 to copy to sheet'!F217</f>
        <v>0</v>
      </c>
      <c r="E225" s="25">
        <v>3925.44</v>
      </c>
      <c r="F225" s="20">
        <v>3336</v>
      </c>
      <c r="G225" s="20">
        <v>302</v>
      </c>
      <c r="H225" s="23">
        <f t="shared" si="47"/>
        <v>9.0527577937649886E-2</v>
      </c>
      <c r="I225" s="29">
        <f t="shared" si="58"/>
        <v>124376.2</v>
      </c>
      <c r="J225" s="24">
        <f t="shared" si="59"/>
        <v>0</v>
      </c>
      <c r="K225" s="24">
        <f t="shared" si="48"/>
        <v>124376.2</v>
      </c>
      <c r="L225" s="30">
        <v>0</v>
      </c>
      <c r="M225" s="30">
        <f t="shared" si="49"/>
        <v>0</v>
      </c>
      <c r="N225" s="29">
        <f t="shared" si="60"/>
        <v>0</v>
      </c>
      <c r="O225" s="29">
        <f t="shared" si="50"/>
        <v>0</v>
      </c>
      <c r="P225" s="29">
        <f t="shared" si="51"/>
        <v>0</v>
      </c>
      <c r="Q225" s="30">
        <f t="shared" si="52"/>
        <v>0</v>
      </c>
      <c r="R225" s="30">
        <v>0</v>
      </c>
      <c r="S225" s="29">
        <f t="shared" si="53"/>
        <v>0</v>
      </c>
      <c r="T225" s="24">
        <f t="shared" si="54"/>
        <v>0</v>
      </c>
      <c r="U225" s="31">
        <f t="shared" si="55"/>
        <v>0</v>
      </c>
      <c r="V225" s="32">
        <f t="shared" si="61"/>
        <v>0</v>
      </c>
      <c r="W225" s="32">
        <f t="shared" si="56"/>
        <v>0</v>
      </c>
      <c r="X225" s="33">
        <v>0</v>
      </c>
      <c r="Y225" s="30">
        <f t="shared" si="57"/>
        <v>0</v>
      </c>
    </row>
    <row r="226" spans="1:25" ht="16.5" x14ac:dyDescent="0.3">
      <c r="A226" s="34">
        <v>728</v>
      </c>
      <c r="B226" s="34">
        <v>1</v>
      </c>
      <c r="C226" s="1" t="s">
        <v>283</v>
      </c>
      <c r="D226" s="24">
        <f>'[1]FY13 9-16-13 to copy to sheet'!F218</f>
        <v>1323145.8400000001</v>
      </c>
      <c r="E226" s="25">
        <v>14594.94</v>
      </c>
      <c r="F226" s="20">
        <v>12753</v>
      </c>
      <c r="G226" s="20">
        <v>1159</v>
      </c>
      <c r="H226" s="23">
        <f t="shared" si="47"/>
        <v>9.0880577119109227E-2</v>
      </c>
      <c r="I226" s="29">
        <f t="shared" si="58"/>
        <v>464238.8</v>
      </c>
      <c r="J226" s="24">
        <f t="shared" si="59"/>
        <v>566878.65</v>
      </c>
      <c r="K226" s="24">
        <f t="shared" si="48"/>
        <v>1031117.45</v>
      </c>
      <c r="L226" s="30">
        <v>1187000</v>
      </c>
      <c r="M226" s="30">
        <f t="shared" si="49"/>
        <v>1190561</v>
      </c>
      <c r="N226" s="29">
        <f t="shared" si="60"/>
        <v>1031117.45</v>
      </c>
      <c r="O226" s="29">
        <f t="shared" si="50"/>
        <v>3093.35</v>
      </c>
      <c r="P226" s="29">
        <f t="shared" si="51"/>
        <v>1028024.1</v>
      </c>
      <c r="Q226" s="30">
        <f t="shared" si="52"/>
        <v>145949.4</v>
      </c>
      <c r="R226" s="30">
        <v>0</v>
      </c>
      <c r="S226" s="29">
        <f t="shared" si="53"/>
        <v>0</v>
      </c>
      <c r="T226" s="24">
        <f t="shared" si="54"/>
        <v>1028024.1</v>
      </c>
      <c r="U226" s="31">
        <f t="shared" si="55"/>
        <v>-295121.74000000011</v>
      </c>
      <c r="V226" s="32">
        <f t="shared" si="61"/>
        <v>-20.220825847862347</v>
      </c>
      <c r="W226" s="32">
        <f t="shared" si="56"/>
        <v>626024.1</v>
      </c>
      <c r="X226" s="33">
        <v>402000</v>
      </c>
      <c r="Y226" s="30">
        <f t="shared" si="57"/>
        <v>626024.1</v>
      </c>
    </row>
    <row r="227" spans="1:25" ht="16.5" x14ac:dyDescent="0.3">
      <c r="A227" s="34">
        <v>738</v>
      </c>
      <c r="B227" s="34">
        <v>1</v>
      </c>
      <c r="C227" s="1" t="s">
        <v>284</v>
      </c>
      <c r="D227" s="24">
        <f>'[1]FY13 9-16-13 to copy to sheet'!F219</f>
        <v>91216.05</v>
      </c>
      <c r="E227" s="25">
        <v>1142.31</v>
      </c>
      <c r="F227" s="20">
        <v>1003</v>
      </c>
      <c r="G227" s="20">
        <v>19</v>
      </c>
      <c r="H227" s="23">
        <f t="shared" si="47"/>
        <v>1.8943170488534396E-2</v>
      </c>
      <c r="I227" s="29">
        <f t="shared" si="58"/>
        <v>7573.64</v>
      </c>
      <c r="J227" s="24">
        <f t="shared" si="59"/>
        <v>55203.99</v>
      </c>
      <c r="K227" s="24">
        <f t="shared" si="48"/>
        <v>62777.63</v>
      </c>
      <c r="L227" s="30">
        <v>31407</v>
      </c>
      <c r="M227" s="30">
        <f t="shared" si="49"/>
        <v>31501.22</v>
      </c>
      <c r="N227" s="29">
        <f t="shared" si="60"/>
        <v>31501.22</v>
      </c>
      <c r="O227" s="29">
        <f t="shared" si="50"/>
        <v>94.220000000001164</v>
      </c>
      <c r="P227" s="29">
        <f t="shared" si="51"/>
        <v>31407</v>
      </c>
      <c r="Q227" s="30">
        <f t="shared" si="52"/>
        <v>11423.099999999999</v>
      </c>
      <c r="R227" s="30">
        <v>0</v>
      </c>
      <c r="S227" s="29">
        <f t="shared" si="53"/>
        <v>0</v>
      </c>
      <c r="T227" s="24">
        <f t="shared" si="54"/>
        <v>31407</v>
      </c>
      <c r="U227" s="31">
        <f t="shared" si="55"/>
        <v>-59809.05</v>
      </c>
      <c r="V227" s="32">
        <f t="shared" si="61"/>
        <v>-52.357985135383572</v>
      </c>
      <c r="W227" s="32">
        <f t="shared" si="56"/>
        <v>3777</v>
      </c>
      <c r="X227" s="33">
        <v>27630</v>
      </c>
      <c r="Y227" s="30">
        <f t="shared" si="57"/>
        <v>3777</v>
      </c>
    </row>
    <row r="228" spans="1:25" ht="16.5" x14ac:dyDescent="0.3">
      <c r="A228" s="34">
        <v>739</v>
      </c>
      <c r="B228" s="34">
        <v>1</v>
      </c>
      <c r="C228" s="1" t="s">
        <v>285</v>
      </c>
      <c r="D228" s="24">
        <f>'[1]FY13 9-16-13 to copy to sheet'!F220</f>
        <v>58021</v>
      </c>
      <c r="E228" s="25">
        <v>764.58</v>
      </c>
      <c r="F228" s="20">
        <v>671</v>
      </c>
      <c r="G228" s="20">
        <v>28</v>
      </c>
      <c r="H228" s="23">
        <f t="shared" si="47"/>
        <v>4.1728763040238454E-2</v>
      </c>
      <c r="I228" s="29">
        <f t="shared" si="58"/>
        <v>11166.74</v>
      </c>
      <c r="J228" s="24">
        <f t="shared" si="59"/>
        <v>30923.81</v>
      </c>
      <c r="K228" s="24">
        <f t="shared" si="48"/>
        <v>42090.55</v>
      </c>
      <c r="L228" s="30">
        <v>72124</v>
      </c>
      <c r="M228" s="30">
        <f t="shared" si="49"/>
        <v>72340.37</v>
      </c>
      <c r="N228" s="29">
        <f t="shared" si="60"/>
        <v>42090.55</v>
      </c>
      <c r="O228" s="29">
        <f t="shared" si="50"/>
        <v>126.27</v>
      </c>
      <c r="P228" s="29">
        <f t="shared" si="51"/>
        <v>41964.280000000006</v>
      </c>
      <c r="Q228" s="30">
        <f t="shared" si="52"/>
        <v>7645.8</v>
      </c>
      <c r="R228" s="30">
        <v>0</v>
      </c>
      <c r="S228" s="29">
        <f t="shared" si="53"/>
        <v>0</v>
      </c>
      <c r="T228" s="24">
        <f t="shared" si="54"/>
        <v>41964.280000000006</v>
      </c>
      <c r="U228" s="31">
        <f t="shared" si="55"/>
        <v>-16056.719999999994</v>
      </c>
      <c r="V228" s="32">
        <f t="shared" si="61"/>
        <v>-21.00070627010907</v>
      </c>
      <c r="W228" s="32">
        <f t="shared" si="56"/>
        <v>20423.310000000005</v>
      </c>
      <c r="X228" s="33">
        <v>21540.97</v>
      </c>
      <c r="Y228" s="30">
        <f t="shared" si="57"/>
        <v>20423.310000000005</v>
      </c>
    </row>
    <row r="229" spans="1:25" ht="16.5" x14ac:dyDescent="0.3">
      <c r="A229" s="34">
        <v>740</v>
      </c>
      <c r="B229" s="34">
        <v>1</v>
      </c>
      <c r="C229" s="1" t="s">
        <v>286</v>
      </c>
      <c r="D229" s="24">
        <f>'[1]FY13 9-16-13 to copy to sheet'!F221</f>
        <v>143060</v>
      </c>
      <c r="E229" s="25">
        <v>1601</v>
      </c>
      <c r="F229" s="20">
        <v>1335</v>
      </c>
      <c r="G229" s="20">
        <v>310</v>
      </c>
      <c r="H229" s="23">
        <f t="shared" si="47"/>
        <v>0.23220973782771537</v>
      </c>
      <c r="I229" s="29">
        <f t="shared" si="58"/>
        <v>130118.73</v>
      </c>
      <c r="J229" s="24">
        <f t="shared" si="59"/>
        <v>8541.24</v>
      </c>
      <c r="K229" s="24">
        <f t="shared" si="48"/>
        <v>138659.97</v>
      </c>
      <c r="L229" s="30">
        <v>143060</v>
      </c>
      <c r="M229" s="30">
        <f t="shared" si="49"/>
        <v>143489.18</v>
      </c>
      <c r="N229" s="29">
        <f t="shared" si="60"/>
        <v>138659.97</v>
      </c>
      <c r="O229" s="29">
        <f t="shared" si="50"/>
        <v>415.98</v>
      </c>
      <c r="P229" s="29">
        <f t="shared" si="51"/>
        <v>138243.99</v>
      </c>
      <c r="Q229" s="30">
        <f t="shared" si="52"/>
        <v>16010</v>
      </c>
      <c r="R229" s="30">
        <v>0</v>
      </c>
      <c r="S229" s="29">
        <f t="shared" si="53"/>
        <v>0</v>
      </c>
      <c r="T229" s="24">
        <f t="shared" si="54"/>
        <v>138243.99</v>
      </c>
      <c r="U229" s="31">
        <f t="shared" si="55"/>
        <v>-4816.0100000000093</v>
      </c>
      <c r="V229" s="32">
        <f t="shared" si="61"/>
        <v>-3.0081261711430414</v>
      </c>
      <c r="W229" s="32">
        <f t="shared" si="56"/>
        <v>97125.989999999991</v>
      </c>
      <c r="X229" s="33">
        <v>41118</v>
      </c>
      <c r="Y229" s="30">
        <f t="shared" si="57"/>
        <v>97125.989999999991</v>
      </c>
    </row>
    <row r="230" spans="1:25" ht="16.5" x14ac:dyDescent="0.3">
      <c r="A230" s="27">
        <v>741</v>
      </c>
      <c r="B230" s="27">
        <v>1</v>
      </c>
      <c r="C230" s="28" t="s">
        <v>287</v>
      </c>
      <c r="D230" s="24">
        <f>'[1]FY13 9-16-13 to copy to sheet'!F222</f>
        <v>0</v>
      </c>
      <c r="E230" s="25">
        <v>1150.5</v>
      </c>
      <c r="F230" s="20">
        <v>1013</v>
      </c>
      <c r="G230" s="20">
        <v>59</v>
      </c>
      <c r="H230" s="23">
        <f t="shared" si="47"/>
        <v>5.8242843040473842E-2</v>
      </c>
      <c r="I230" s="29">
        <f t="shared" si="58"/>
        <v>23452.94</v>
      </c>
      <c r="J230" s="24">
        <f t="shared" si="59"/>
        <v>0</v>
      </c>
      <c r="K230" s="24">
        <f t="shared" si="48"/>
        <v>23452.94</v>
      </c>
      <c r="L230" s="30">
        <v>0</v>
      </c>
      <c r="M230" s="30">
        <f t="shared" si="49"/>
        <v>0</v>
      </c>
      <c r="N230" s="29">
        <f t="shared" si="60"/>
        <v>0</v>
      </c>
      <c r="O230" s="29">
        <f t="shared" si="50"/>
        <v>0</v>
      </c>
      <c r="P230" s="29">
        <f t="shared" si="51"/>
        <v>0</v>
      </c>
      <c r="Q230" s="30">
        <f t="shared" si="52"/>
        <v>0</v>
      </c>
      <c r="R230" s="30">
        <v>0</v>
      </c>
      <c r="S230" s="29">
        <f t="shared" si="53"/>
        <v>0</v>
      </c>
      <c r="T230" s="24">
        <f t="shared" si="54"/>
        <v>0</v>
      </c>
      <c r="U230" s="31">
        <f t="shared" si="55"/>
        <v>0</v>
      </c>
      <c r="V230" s="32">
        <f t="shared" si="61"/>
        <v>0</v>
      </c>
      <c r="W230" s="32">
        <f t="shared" si="56"/>
        <v>0</v>
      </c>
      <c r="X230" s="33">
        <v>0</v>
      </c>
      <c r="Y230" s="30">
        <f t="shared" si="57"/>
        <v>0</v>
      </c>
    </row>
    <row r="231" spans="1:25" ht="16.5" x14ac:dyDescent="0.3">
      <c r="A231" s="34">
        <v>742</v>
      </c>
      <c r="B231" s="34">
        <v>1</v>
      </c>
      <c r="C231" s="1" t="s">
        <v>288</v>
      </c>
      <c r="D231" s="24">
        <f>'[1]FY13 9-16-13 to copy to sheet'!F223</f>
        <v>1308226</v>
      </c>
      <c r="E231" s="25">
        <v>10928.46</v>
      </c>
      <c r="F231" s="20">
        <v>9786</v>
      </c>
      <c r="G231" s="20">
        <v>3191</v>
      </c>
      <c r="H231" s="23">
        <f t="shared" si="47"/>
        <v>0.32607807071326383</v>
      </c>
      <c r="I231" s="29">
        <f t="shared" si="58"/>
        <v>1247235.8999999999</v>
      </c>
      <c r="J231" s="24">
        <f t="shared" si="59"/>
        <v>40253.47</v>
      </c>
      <c r="K231" s="24">
        <f t="shared" si="48"/>
        <v>1287489.3699999999</v>
      </c>
      <c r="L231" s="30">
        <v>1308226</v>
      </c>
      <c r="M231" s="30">
        <f t="shared" si="49"/>
        <v>1312150.68</v>
      </c>
      <c r="N231" s="29">
        <f t="shared" si="60"/>
        <v>1287489.3699999999</v>
      </c>
      <c r="O231" s="29">
        <f t="shared" si="50"/>
        <v>3862.47</v>
      </c>
      <c r="P231" s="29">
        <f t="shared" si="51"/>
        <v>1283626.8999999999</v>
      </c>
      <c r="Q231" s="30">
        <f t="shared" si="52"/>
        <v>109284.59999999999</v>
      </c>
      <c r="R231" s="30">
        <v>0</v>
      </c>
      <c r="S231" s="29">
        <f t="shared" si="53"/>
        <v>0</v>
      </c>
      <c r="T231" s="24">
        <f t="shared" si="54"/>
        <v>1283626.8999999999</v>
      </c>
      <c r="U231" s="31">
        <f t="shared" si="55"/>
        <v>-24599.100000000093</v>
      </c>
      <c r="V231" s="32">
        <f t="shared" si="61"/>
        <v>-2.2509209897826494</v>
      </c>
      <c r="W231" s="32">
        <f t="shared" si="56"/>
        <v>887192.49999999988</v>
      </c>
      <c r="X231" s="33">
        <v>396434.4</v>
      </c>
      <c r="Y231" s="30">
        <f t="shared" si="57"/>
        <v>887192.49999999988</v>
      </c>
    </row>
    <row r="232" spans="1:25" ht="16.5" x14ac:dyDescent="0.3">
      <c r="A232" s="34">
        <v>743</v>
      </c>
      <c r="B232" s="34">
        <v>1</v>
      </c>
      <c r="C232" s="1" t="s">
        <v>289</v>
      </c>
      <c r="D232" s="24">
        <f>'[1]FY13 9-16-13 to copy to sheet'!F224</f>
        <v>102177.96</v>
      </c>
      <c r="E232" s="25">
        <v>1069.4100000000001</v>
      </c>
      <c r="F232" s="20">
        <v>972</v>
      </c>
      <c r="G232" s="20">
        <v>66</v>
      </c>
      <c r="H232" s="23">
        <f t="shared" si="47"/>
        <v>6.7901234567901231E-2</v>
      </c>
      <c r="I232" s="29">
        <f t="shared" si="58"/>
        <v>25414.99</v>
      </c>
      <c r="J232" s="24">
        <f t="shared" si="59"/>
        <v>50663.56</v>
      </c>
      <c r="K232" s="24">
        <f t="shared" si="48"/>
        <v>76078.55</v>
      </c>
      <c r="L232" s="30">
        <v>97599.12</v>
      </c>
      <c r="M232" s="30">
        <f t="shared" si="49"/>
        <v>97891.92</v>
      </c>
      <c r="N232" s="29">
        <f t="shared" si="60"/>
        <v>76078.55</v>
      </c>
      <c r="O232" s="29">
        <f t="shared" si="50"/>
        <v>228.24</v>
      </c>
      <c r="P232" s="29">
        <f t="shared" si="51"/>
        <v>75850.31</v>
      </c>
      <c r="Q232" s="30">
        <f t="shared" si="52"/>
        <v>10694.1</v>
      </c>
      <c r="R232" s="30">
        <v>0</v>
      </c>
      <c r="S232" s="29">
        <f t="shared" si="53"/>
        <v>0</v>
      </c>
      <c r="T232" s="24">
        <f t="shared" si="54"/>
        <v>75850.31</v>
      </c>
      <c r="U232" s="31">
        <f t="shared" si="55"/>
        <v>-26327.650000000009</v>
      </c>
      <c r="V232" s="32">
        <f t="shared" si="61"/>
        <v>-24.618855256636845</v>
      </c>
      <c r="W232" s="32">
        <f t="shared" si="56"/>
        <v>45196.92</v>
      </c>
      <c r="X232" s="33">
        <v>30653.39</v>
      </c>
      <c r="Y232" s="30">
        <f t="shared" si="57"/>
        <v>45196.92</v>
      </c>
    </row>
    <row r="233" spans="1:25" ht="16.5" x14ac:dyDescent="0.3">
      <c r="A233" s="34">
        <v>745</v>
      </c>
      <c r="B233" s="34">
        <v>1</v>
      </c>
      <c r="C233" s="1" t="s">
        <v>290</v>
      </c>
      <c r="D233" s="24">
        <f>'[1]FY13 9-16-13 to copy to sheet'!F225</f>
        <v>0</v>
      </c>
      <c r="E233" s="25">
        <v>1953.35</v>
      </c>
      <c r="F233" s="20">
        <v>1718</v>
      </c>
      <c r="G233" s="20">
        <v>86</v>
      </c>
      <c r="H233" s="23">
        <f t="shared" si="47"/>
        <v>5.0058207217694994E-2</v>
      </c>
      <c r="I233" s="29">
        <f t="shared" si="58"/>
        <v>34223.42</v>
      </c>
      <c r="J233" s="24">
        <f t="shared" si="59"/>
        <v>0</v>
      </c>
      <c r="K233" s="24">
        <f t="shared" si="48"/>
        <v>34223.42</v>
      </c>
      <c r="L233" s="30">
        <v>0</v>
      </c>
      <c r="M233" s="30">
        <f t="shared" si="49"/>
        <v>0</v>
      </c>
      <c r="N233" s="29">
        <f t="shared" si="60"/>
        <v>0</v>
      </c>
      <c r="O233" s="29">
        <f t="shared" si="50"/>
        <v>0</v>
      </c>
      <c r="P233" s="29">
        <f t="shared" si="51"/>
        <v>0</v>
      </c>
      <c r="Q233" s="30">
        <f t="shared" si="52"/>
        <v>0</v>
      </c>
      <c r="R233" s="30">
        <v>0</v>
      </c>
      <c r="S233" s="29">
        <f t="shared" si="53"/>
        <v>0</v>
      </c>
      <c r="T233" s="24">
        <f t="shared" si="54"/>
        <v>0</v>
      </c>
      <c r="U233" s="31">
        <f t="shared" si="55"/>
        <v>0</v>
      </c>
      <c r="V233" s="32">
        <f t="shared" si="61"/>
        <v>0</v>
      </c>
      <c r="W233" s="32">
        <f t="shared" si="56"/>
        <v>0</v>
      </c>
      <c r="X233" s="33">
        <v>0</v>
      </c>
      <c r="Y233" s="30">
        <f t="shared" si="57"/>
        <v>0</v>
      </c>
    </row>
    <row r="234" spans="1:25" ht="16.5" x14ac:dyDescent="0.3">
      <c r="A234" s="34">
        <v>748</v>
      </c>
      <c r="B234" s="34">
        <v>1</v>
      </c>
      <c r="C234" s="1" t="s">
        <v>291</v>
      </c>
      <c r="D234" s="24">
        <f>'[1]FY13 9-16-13 to copy to sheet'!F226</f>
        <v>0</v>
      </c>
      <c r="E234" s="25">
        <v>4335.93</v>
      </c>
      <c r="F234" s="20">
        <v>3677</v>
      </c>
      <c r="G234" s="20">
        <v>200</v>
      </c>
      <c r="H234" s="23">
        <f t="shared" si="47"/>
        <v>5.4392167527875984E-2</v>
      </c>
      <c r="I234" s="29">
        <f t="shared" si="58"/>
        <v>82544.22</v>
      </c>
      <c r="J234" s="24">
        <f t="shared" si="59"/>
        <v>0</v>
      </c>
      <c r="K234" s="24">
        <f t="shared" si="48"/>
        <v>82544.22</v>
      </c>
      <c r="L234" s="30">
        <v>0</v>
      </c>
      <c r="M234" s="30">
        <f t="shared" si="49"/>
        <v>0</v>
      </c>
      <c r="N234" s="29">
        <f t="shared" si="60"/>
        <v>0</v>
      </c>
      <c r="O234" s="29">
        <f t="shared" si="50"/>
        <v>0</v>
      </c>
      <c r="P234" s="29">
        <f t="shared" si="51"/>
        <v>0</v>
      </c>
      <c r="Q234" s="30">
        <f t="shared" si="52"/>
        <v>0</v>
      </c>
      <c r="R234" s="30">
        <v>0</v>
      </c>
      <c r="S234" s="29">
        <f t="shared" si="53"/>
        <v>0</v>
      </c>
      <c r="T234" s="24">
        <f t="shared" si="54"/>
        <v>0</v>
      </c>
      <c r="U234" s="31">
        <f t="shared" si="55"/>
        <v>0</v>
      </c>
      <c r="V234" s="32">
        <f t="shared" si="61"/>
        <v>0</v>
      </c>
      <c r="W234" s="32">
        <f t="shared" si="56"/>
        <v>0</v>
      </c>
      <c r="X234" s="33">
        <v>0</v>
      </c>
      <c r="Y234" s="30">
        <f t="shared" si="57"/>
        <v>0</v>
      </c>
    </row>
    <row r="235" spans="1:25" ht="16.5" x14ac:dyDescent="0.3">
      <c r="A235" s="27">
        <v>750</v>
      </c>
      <c r="B235" s="27">
        <v>1</v>
      </c>
      <c r="C235" s="28" t="s">
        <v>292</v>
      </c>
      <c r="D235" s="24">
        <f>'[1]FY13 9-16-13 to copy to sheet'!F227</f>
        <v>0</v>
      </c>
      <c r="E235" s="25">
        <v>2381.08</v>
      </c>
      <c r="F235" s="20">
        <v>2023</v>
      </c>
      <c r="G235" s="20">
        <v>164</v>
      </c>
      <c r="H235" s="23">
        <f t="shared" si="47"/>
        <v>8.1067721206129512E-2</v>
      </c>
      <c r="I235" s="29">
        <f t="shared" si="58"/>
        <v>67560.06</v>
      </c>
      <c r="J235" s="24">
        <f t="shared" si="59"/>
        <v>0</v>
      </c>
      <c r="K235" s="24">
        <f t="shared" si="48"/>
        <v>67560.06</v>
      </c>
      <c r="L235" s="30">
        <v>125000</v>
      </c>
      <c r="M235" s="30">
        <f t="shared" si="49"/>
        <v>125375</v>
      </c>
      <c r="N235" s="29">
        <f t="shared" si="60"/>
        <v>67560.06</v>
      </c>
      <c r="O235" s="29">
        <f t="shared" si="50"/>
        <v>202.68</v>
      </c>
      <c r="P235" s="29">
        <f t="shared" si="51"/>
        <v>67357.38</v>
      </c>
      <c r="Q235" s="30">
        <f t="shared" si="52"/>
        <v>0</v>
      </c>
      <c r="R235" s="30">
        <v>0</v>
      </c>
      <c r="S235" s="29">
        <f t="shared" si="53"/>
        <v>0</v>
      </c>
      <c r="T235" s="24">
        <f t="shared" si="54"/>
        <v>67357.38</v>
      </c>
      <c r="U235" s="31">
        <f t="shared" si="55"/>
        <v>67357.38</v>
      </c>
      <c r="V235" s="32">
        <f t="shared" si="61"/>
        <v>28.28858333193341</v>
      </c>
      <c r="W235" s="32">
        <f t="shared" si="56"/>
        <v>67357.38</v>
      </c>
      <c r="X235" s="33">
        <v>0</v>
      </c>
      <c r="Y235" s="30">
        <f t="shared" si="57"/>
        <v>67357.38</v>
      </c>
    </row>
    <row r="236" spans="1:25" ht="16.5" x14ac:dyDescent="0.3">
      <c r="A236" s="34">
        <v>756</v>
      </c>
      <c r="B236" s="34">
        <v>1</v>
      </c>
      <c r="C236" s="1" t="s">
        <v>293</v>
      </c>
      <c r="D236" s="24">
        <f>'[1]FY13 9-16-13 to copy to sheet'!F228</f>
        <v>0</v>
      </c>
      <c r="E236" s="25">
        <v>825.32</v>
      </c>
      <c r="F236" s="20">
        <v>730</v>
      </c>
      <c r="G236" s="20">
        <v>88</v>
      </c>
      <c r="H236" s="23">
        <f t="shared" si="47"/>
        <v>0.12054794520547946</v>
      </c>
      <c r="I236" s="29">
        <f t="shared" si="58"/>
        <v>34821.72</v>
      </c>
      <c r="J236" s="24">
        <f t="shared" si="59"/>
        <v>0</v>
      </c>
      <c r="K236" s="24">
        <f t="shared" si="48"/>
        <v>34821.72</v>
      </c>
      <c r="L236" s="30">
        <v>0</v>
      </c>
      <c r="M236" s="30">
        <f t="shared" si="49"/>
        <v>0</v>
      </c>
      <c r="N236" s="29">
        <f t="shared" si="60"/>
        <v>0</v>
      </c>
      <c r="O236" s="29">
        <f t="shared" si="50"/>
        <v>0</v>
      </c>
      <c r="P236" s="29">
        <f t="shared" si="51"/>
        <v>0</v>
      </c>
      <c r="Q236" s="30">
        <f t="shared" si="52"/>
        <v>0</v>
      </c>
      <c r="R236" s="30">
        <v>0</v>
      </c>
      <c r="S236" s="29">
        <f t="shared" si="53"/>
        <v>0</v>
      </c>
      <c r="T236" s="24">
        <f t="shared" si="54"/>
        <v>0</v>
      </c>
      <c r="U236" s="31">
        <f t="shared" si="55"/>
        <v>0</v>
      </c>
      <c r="V236" s="32">
        <f t="shared" si="61"/>
        <v>0</v>
      </c>
      <c r="W236" s="32">
        <f t="shared" si="56"/>
        <v>0</v>
      </c>
      <c r="X236" s="33">
        <v>0</v>
      </c>
      <c r="Y236" s="30">
        <f t="shared" si="57"/>
        <v>0</v>
      </c>
    </row>
    <row r="237" spans="1:25" ht="16.5" x14ac:dyDescent="0.3">
      <c r="A237" s="27">
        <v>761</v>
      </c>
      <c r="B237" s="27">
        <v>1</v>
      </c>
      <c r="C237" s="28" t="s">
        <v>294</v>
      </c>
      <c r="D237" s="24">
        <f>'[1]FY13 9-16-13 to copy to sheet'!F229</f>
        <v>0</v>
      </c>
      <c r="E237" s="25">
        <v>5569.66</v>
      </c>
      <c r="F237" s="20">
        <v>4893</v>
      </c>
      <c r="G237" s="20">
        <v>1045</v>
      </c>
      <c r="H237" s="23">
        <f t="shared" si="47"/>
        <v>0.21357040670345392</v>
      </c>
      <c r="I237" s="29">
        <f t="shared" si="58"/>
        <v>416330.09</v>
      </c>
      <c r="J237" s="24">
        <f t="shared" si="59"/>
        <v>0</v>
      </c>
      <c r="K237" s="24">
        <f t="shared" si="48"/>
        <v>416330.09</v>
      </c>
      <c r="L237" s="30">
        <v>0</v>
      </c>
      <c r="M237" s="30">
        <f t="shared" si="49"/>
        <v>0</v>
      </c>
      <c r="N237" s="29">
        <f t="shared" si="60"/>
        <v>0</v>
      </c>
      <c r="O237" s="29">
        <f t="shared" si="50"/>
        <v>0</v>
      </c>
      <c r="P237" s="29">
        <f t="shared" si="51"/>
        <v>0</v>
      </c>
      <c r="Q237" s="30">
        <f t="shared" si="52"/>
        <v>0</v>
      </c>
      <c r="R237" s="30">
        <v>0</v>
      </c>
      <c r="S237" s="29">
        <f t="shared" si="53"/>
        <v>0</v>
      </c>
      <c r="T237" s="24">
        <f t="shared" si="54"/>
        <v>0</v>
      </c>
      <c r="U237" s="31">
        <f t="shared" si="55"/>
        <v>0</v>
      </c>
      <c r="V237" s="32">
        <f t="shared" si="61"/>
        <v>0</v>
      </c>
      <c r="W237" s="32">
        <f t="shared" si="56"/>
        <v>0</v>
      </c>
      <c r="X237" s="33">
        <v>0</v>
      </c>
      <c r="Y237" s="30">
        <f t="shared" si="57"/>
        <v>0</v>
      </c>
    </row>
    <row r="238" spans="1:25" ht="16.5" x14ac:dyDescent="0.3">
      <c r="A238" s="27">
        <v>763</v>
      </c>
      <c r="B238" s="27">
        <v>1</v>
      </c>
      <c r="C238" s="28" t="s">
        <v>295</v>
      </c>
      <c r="D238" s="24">
        <f>'[1]FY13 9-16-13 to copy to sheet'!F230</f>
        <v>0</v>
      </c>
      <c r="E238" s="25">
        <v>973.7</v>
      </c>
      <c r="F238" s="20">
        <v>875</v>
      </c>
      <c r="G238" s="20">
        <v>122</v>
      </c>
      <c r="H238" s="23">
        <f t="shared" si="47"/>
        <v>0.13942857142857143</v>
      </c>
      <c r="I238" s="29">
        <f t="shared" si="58"/>
        <v>47516.56</v>
      </c>
      <c r="J238" s="24">
        <f t="shared" si="59"/>
        <v>0</v>
      </c>
      <c r="K238" s="24">
        <f t="shared" si="48"/>
        <v>47516.56</v>
      </c>
      <c r="L238" s="30">
        <v>0</v>
      </c>
      <c r="M238" s="30">
        <f t="shared" si="49"/>
        <v>0</v>
      </c>
      <c r="N238" s="29">
        <f t="shared" si="60"/>
        <v>0</v>
      </c>
      <c r="O238" s="29">
        <f t="shared" si="50"/>
        <v>0</v>
      </c>
      <c r="P238" s="29">
        <f t="shared" si="51"/>
        <v>0</v>
      </c>
      <c r="Q238" s="30">
        <f t="shared" si="52"/>
        <v>0</v>
      </c>
      <c r="R238" s="30">
        <v>0</v>
      </c>
      <c r="S238" s="29">
        <f t="shared" si="53"/>
        <v>0</v>
      </c>
      <c r="T238" s="24">
        <f t="shared" si="54"/>
        <v>0</v>
      </c>
      <c r="U238" s="31">
        <f t="shared" si="55"/>
        <v>0</v>
      </c>
      <c r="V238" s="32">
        <f t="shared" si="61"/>
        <v>0</v>
      </c>
      <c r="W238" s="32">
        <f t="shared" si="56"/>
        <v>0</v>
      </c>
      <c r="X238" s="33">
        <v>0</v>
      </c>
      <c r="Y238" s="30">
        <f t="shared" si="57"/>
        <v>0</v>
      </c>
    </row>
    <row r="239" spans="1:25" ht="16.5" x14ac:dyDescent="0.3">
      <c r="A239" s="27">
        <v>768</v>
      </c>
      <c r="B239" s="27">
        <v>1</v>
      </c>
      <c r="C239" s="28" t="s">
        <v>296</v>
      </c>
      <c r="D239" s="24">
        <f>'[1]FY13 9-16-13 to copy to sheet'!F231</f>
        <v>0</v>
      </c>
      <c r="E239" s="25">
        <v>336.81</v>
      </c>
      <c r="F239" s="20">
        <v>287</v>
      </c>
      <c r="G239" s="20">
        <v>13</v>
      </c>
      <c r="H239" s="23">
        <f t="shared" si="47"/>
        <v>4.5296167247386762E-2</v>
      </c>
      <c r="I239" s="29">
        <f t="shared" si="58"/>
        <v>5339.67</v>
      </c>
      <c r="J239" s="24">
        <f t="shared" si="59"/>
        <v>0</v>
      </c>
      <c r="K239" s="24">
        <f t="shared" si="48"/>
        <v>5339.67</v>
      </c>
      <c r="L239" s="30">
        <v>0</v>
      </c>
      <c r="M239" s="30">
        <f t="shared" si="49"/>
        <v>0</v>
      </c>
      <c r="N239" s="29">
        <f t="shared" si="60"/>
        <v>0</v>
      </c>
      <c r="O239" s="29">
        <f t="shared" si="50"/>
        <v>0</v>
      </c>
      <c r="P239" s="29">
        <f t="shared" si="51"/>
        <v>0</v>
      </c>
      <c r="Q239" s="30">
        <f t="shared" si="52"/>
        <v>0</v>
      </c>
      <c r="R239" s="30">
        <v>0</v>
      </c>
      <c r="S239" s="29">
        <f t="shared" si="53"/>
        <v>0</v>
      </c>
      <c r="T239" s="24">
        <f t="shared" si="54"/>
        <v>0</v>
      </c>
      <c r="U239" s="31">
        <f t="shared" si="55"/>
        <v>0</v>
      </c>
      <c r="V239" s="32">
        <f t="shared" si="61"/>
        <v>0</v>
      </c>
      <c r="W239" s="32">
        <f t="shared" si="56"/>
        <v>0</v>
      </c>
      <c r="X239" s="33">
        <v>0</v>
      </c>
      <c r="Y239" s="30">
        <f t="shared" si="57"/>
        <v>0</v>
      </c>
    </row>
    <row r="240" spans="1:25" ht="16.5" x14ac:dyDescent="0.3">
      <c r="A240" s="27">
        <v>769</v>
      </c>
      <c r="B240" s="27">
        <v>1</v>
      </c>
      <c r="C240" s="28" t="s">
        <v>297</v>
      </c>
      <c r="D240" s="24">
        <f>'[1]FY13 9-16-13 to copy to sheet'!F232</f>
        <v>0</v>
      </c>
      <c r="E240" s="25">
        <v>1145.76</v>
      </c>
      <c r="F240" s="20">
        <v>1026</v>
      </c>
      <c r="G240" s="20">
        <v>125</v>
      </c>
      <c r="H240" s="23">
        <f t="shared" si="47"/>
        <v>0.12183235867446393</v>
      </c>
      <c r="I240" s="29">
        <f t="shared" si="58"/>
        <v>48856.73</v>
      </c>
      <c r="J240" s="24">
        <f t="shared" si="59"/>
        <v>0</v>
      </c>
      <c r="K240" s="24">
        <f t="shared" si="48"/>
        <v>48856.73</v>
      </c>
      <c r="L240" s="30">
        <v>0</v>
      </c>
      <c r="M240" s="30">
        <f t="shared" si="49"/>
        <v>0</v>
      </c>
      <c r="N240" s="29">
        <f t="shared" si="60"/>
        <v>0</v>
      </c>
      <c r="O240" s="29">
        <f t="shared" si="50"/>
        <v>0</v>
      </c>
      <c r="P240" s="29">
        <f t="shared" si="51"/>
        <v>0</v>
      </c>
      <c r="Q240" s="30">
        <f t="shared" si="52"/>
        <v>0</v>
      </c>
      <c r="R240" s="30">
        <v>0</v>
      </c>
      <c r="S240" s="29">
        <f t="shared" si="53"/>
        <v>0</v>
      </c>
      <c r="T240" s="24">
        <f t="shared" si="54"/>
        <v>0</v>
      </c>
      <c r="U240" s="31">
        <f t="shared" si="55"/>
        <v>0</v>
      </c>
      <c r="V240" s="32">
        <f t="shared" si="61"/>
        <v>0</v>
      </c>
      <c r="W240" s="32">
        <f t="shared" si="56"/>
        <v>0</v>
      </c>
      <c r="X240" s="33">
        <v>0</v>
      </c>
      <c r="Y240" s="30">
        <f t="shared" si="57"/>
        <v>0</v>
      </c>
    </row>
    <row r="241" spans="1:25" ht="16.5" x14ac:dyDescent="0.3">
      <c r="A241" s="27">
        <v>771</v>
      </c>
      <c r="B241" s="27">
        <v>1</v>
      </c>
      <c r="C241" s="28" t="s">
        <v>298</v>
      </c>
      <c r="D241" s="24">
        <f>'[1]FY13 9-16-13 to copy to sheet'!F233</f>
        <v>0</v>
      </c>
      <c r="E241" s="25">
        <v>171.75</v>
      </c>
      <c r="F241" s="20">
        <v>152</v>
      </c>
      <c r="G241" s="20">
        <v>8</v>
      </c>
      <c r="H241" s="23">
        <f t="shared" si="47"/>
        <v>5.2631578947368418E-2</v>
      </c>
      <c r="I241" s="29">
        <f t="shared" si="58"/>
        <v>3163.82</v>
      </c>
      <c r="J241" s="24">
        <f t="shared" si="59"/>
        <v>0</v>
      </c>
      <c r="K241" s="24">
        <f t="shared" si="48"/>
        <v>3163.82</v>
      </c>
      <c r="L241" s="30">
        <v>0</v>
      </c>
      <c r="M241" s="30">
        <f t="shared" si="49"/>
        <v>0</v>
      </c>
      <c r="N241" s="29">
        <f t="shared" si="60"/>
        <v>0</v>
      </c>
      <c r="O241" s="29">
        <f t="shared" si="50"/>
        <v>0</v>
      </c>
      <c r="P241" s="29">
        <f t="shared" si="51"/>
        <v>0</v>
      </c>
      <c r="Q241" s="30">
        <f t="shared" si="52"/>
        <v>0</v>
      </c>
      <c r="R241" s="30">
        <v>0</v>
      </c>
      <c r="S241" s="29">
        <f t="shared" si="53"/>
        <v>0</v>
      </c>
      <c r="T241" s="24">
        <f t="shared" si="54"/>
        <v>0</v>
      </c>
      <c r="U241" s="31">
        <f t="shared" si="55"/>
        <v>0</v>
      </c>
      <c r="V241" s="32">
        <f t="shared" si="61"/>
        <v>0</v>
      </c>
      <c r="W241" s="32">
        <f t="shared" si="56"/>
        <v>0</v>
      </c>
      <c r="X241" s="33">
        <v>0</v>
      </c>
      <c r="Y241" s="30">
        <f t="shared" si="57"/>
        <v>0</v>
      </c>
    </row>
    <row r="242" spans="1:25" ht="16.5" x14ac:dyDescent="0.3">
      <c r="A242" s="34">
        <v>775</v>
      </c>
      <c r="B242" s="34">
        <v>1</v>
      </c>
      <c r="C242" s="1" t="s">
        <v>299</v>
      </c>
      <c r="D242" s="24">
        <f>'[1]FY13 9-16-13 to copy to sheet'!F234</f>
        <v>58852.4</v>
      </c>
      <c r="E242" s="25">
        <v>676.09</v>
      </c>
      <c r="F242" s="20">
        <v>609</v>
      </c>
      <c r="G242" s="20">
        <v>50</v>
      </c>
      <c r="H242" s="23">
        <f t="shared" si="47"/>
        <v>8.2101806239737271E-2</v>
      </c>
      <c r="I242" s="29">
        <f t="shared" si="58"/>
        <v>19427.87</v>
      </c>
      <c r="J242" s="24">
        <f t="shared" si="59"/>
        <v>26020.19</v>
      </c>
      <c r="K242" s="24">
        <f t="shared" si="48"/>
        <v>45448.06</v>
      </c>
      <c r="L242" s="30">
        <v>52209</v>
      </c>
      <c r="M242" s="30">
        <f t="shared" si="49"/>
        <v>52365.63</v>
      </c>
      <c r="N242" s="29">
        <f t="shared" si="60"/>
        <v>45448.06</v>
      </c>
      <c r="O242" s="29">
        <f t="shared" si="50"/>
        <v>136.34</v>
      </c>
      <c r="P242" s="29">
        <f t="shared" si="51"/>
        <v>45311.72</v>
      </c>
      <c r="Q242" s="30">
        <f t="shared" si="52"/>
        <v>6760.9000000000005</v>
      </c>
      <c r="R242" s="30">
        <v>0</v>
      </c>
      <c r="S242" s="29">
        <f t="shared" si="53"/>
        <v>0</v>
      </c>
      <c r="T242" s="24">
        <f t="shared" si="54"/>
        <v>45311.72</v>
      </c>
      <c r="U242" s="31">
        <f t="shared" si="55"/>
        <v>-13540.68</v>
      </c>
      <c r="V242" s="32">
        <f t="shared" si="61"/>
        <v>-20.027925276220621</v>
      </c>
      <c r="W242" s="32">
        <f t="shared" si="56"/>
        <v>28294.52</v>
      </c>
      <c r="X242" s="33">
        <v>17017.2</v>
      </c>
      <c r="Y242" s="30">
        <f t="shared" si="57"/>
        <v>28294.52</v>
      </c>
    </row>
    <row r="243" spans="1:25" ht="16.5" x14ac:dyDescent="0.3">
      <c r="A243" s="27">
        <v>777</v>
      </c>
      <c r="B243" s="27">
        <v>1</v>
      </c>
      <c r="C243" s="28" t="s">
        <v>300</v>
      </c>
      <c r="D243" s="24">
        <f>'[1]FY13 9-16-13 to copy to sheet'!F235</f>
        <v>0</v>
      </c>
      <c r="E243" s="25">
        <v>1036.53</v>
      </c>
      <c r="F243" s="20">
        <v>894</v>
      </c>
      <c r="G243" s="20">
        <v>68</v>
      </c>
      <c r="H243" s="23">
        <f t="shared" si="47"/>
        <v>7.6062639821029079E-2</v>
      </c>
      <c r="I243" s="29">
        <f t="shared" si="58"/>
        <v>27594.42</v>
      </c>
      <c r="J243" s="24">
        <f t="shared" si="59"/>
        <v>0</v>
      </c>
      <c r="K243" s="24">
        <f t="shared" si="48"/>
        <v>27594.42</v>
      </c>
      <c r="L243" s="30">
        <v>0</v>
      </c>
      <c r="M243" s="30">
        <f t="shared" si="49"/>
        <v>0</v>
      </c>
      <c r="N243" s="29">
        <f t="shared" si="60"/>
        <v>0</v>
      </c>
      <c r="O243" s="29">
        <f t="shared" si="50"/>
        <v>0</v>
      </c>
      <c r="P243" s="29">
        <f t="shared" si="51"/>
        <v>0</v>
      </c>
      <c r="Q243" s="30">
        <f t="shared" si="52"/>
        <v>0</v>
      </c>
      <c r="R243" s="30">
        <v>0</v>
      </c>
      <c r="S243" s="29">
        <f t="shared" si="53"/>
        <v>0</v>
      </c>
      <c r="T243" s="24">
        <f t="shared" si="54"/>
        <v>0</v>
      </c>
      <c r="U243" s="31">
        <f t="shared" si="55"/>
        <v>0</v>
      </c>
      <c r="V243" s="32">
        <f t="shared" si="61"/>
        <v>0</v>
      </c>
      <c r="W243" s="32">
        <f t="shared" si="56"/>
        <v>0</v>
      </c>
      <c r="X243" s="33">
        <v>0</v>
      </c>
      <c r="Y243" s="30">
        <f t="shared" si="57"/>
        <v>0</v>
      </c>
    </row>
    <row r="244" spans="1:25" ht="16.5" x14ac:dyDescent="0.3">
      <c r="A244" s="27">
        <v>786</v>
      </c>
      <c r="B244" s="27">
        <v>1</v>
      </c>
      <c r="C244" s="28" t="s">
        <v>301</v>
      </c>
      <c r="D244" s="24">
        <f>'[1]FY13 9-16-13 to copy to sheet'!F236</f>
        <v>0</v>
      </c>
      <c r="E244" s="25">
        <v>460.71</v>
      </c>
      <c r="F244" s="20">
        <v>413</v>
      </c>
      <c r="G244" s="20">
        <v>25</v>
      </c>
      <c r="H244" s="23">
        <f t="shared" si="47"/>
        <v>6.0532687651331719E-2</v>
      </c>
      <c r="I244" s="29">
        <f t="shared" si="58"/>
        <v>9760.81</v>
      </c>
      <c r="J244" s="24">
        <f t="shared" si="59"/>
        <v>0</v>
      </c>
      <c r="K244" s="24">
        <f t="shared" si="48"/>
        <v>9760.81</v>
      </c>
      <c r="L244" s="30">
        <v>0</v>
      </c>
      <c r="M244" s="30">
        <f t="shared" si="49"/>
        <v>0</v>
      </c>
      <c r="N244" s="29">
        <f t="shared" si="60"/>
        <v>0</v>
      </c>
      <c r="O244" s="29">
        <f t="shared" si="50"/>
        <v>0</v>
      </c>
      <c r="P244" s="29">
        <f t="shared" si="51"/>
        <v>0</v>
      </c>
      <c r="Q244" s="30">
        <f t="shared" si="52"/>
        <v>0</v>
      </c>
      <c r="R244" s="30">
        <v>0</v>
      </c>
      <c r="S244" s="29">
        <f t="shared" si="53"/>
        <v>0</v>
      </c>
      <c r="T244" s="24">
        <f t="shared" si="54"/>
        <v>0</v>
      </c>
      <c r="U244" s="31">
        <f t="shared" si="55"/>
        <v>0</v>
      </c>
      <c r="V244" s="32">
        <f t="shared" si="61"/>
        <v>0</v>
      </c>
      <c r="W244" s="32">
        <f t="shared" si="56"/>
        <v>0</v>
      </c>
      <c r="X244" s="33">
        <v>0</v>
      </c>
      <c r="Y244" s="30">
        <f t="shared" si="57"/>
        <v>0</v>
      </c>
    </row>
    <row r="245" spans="1:25" ht="16.5" x14ac:dyDescent="0.3">
      <c r="A245" s="34">
        <v>787</v>
      </c>
      <c r="B245" s="34">
        <v>1</v>
      </c>
      <c r="C245" s="1" t="s">
        <v>302</v>
      </c>
      <c r="D245" s="24">
        <f>'[1]FY13 9-16-13 to copy to sheet'!F237</f>
        <v>0</v>
      </c>
      <c r="E245" s="25">
        <v>463.25</v>
      </c>
      <c r="F245" s="20">
        <v>428</v>
      </c>
      <c r="G245" s="20">
        <v>12</v>
      </c>
      <c r="H245" s="23">
        <f t="shared" si="47"/>
        <v>2.8037383177570093E-2</v>
      </c>
      <c r="I245" s="29">
        <f t="shared" si="58"/>
        <v>4545.91</v>
      </c>
      <c r="J245" s="24">
        <f t="shared" si="59"/>
        <v>0</v>
      </c>
      <c r="K245" s="24">
        <f t="shared" si="48"/>
        <v>4545.91</v>
      </c>
      <c r="L245" s="30">
        <v>0</v>
      </c>
      <c r="M245" s="30">
        <f t="shared" si="49"/>
        <v>0</v>
      </c>
      <c r="N245" s="29">
        <f t="shared" si="60"/>
        <v>0</v>
      </c>
      <c r="O245" s="29">
        <f t="shared" si="50"/>
        <v>0</v>
      </c>
      <c r="P245" s="29">
        <f t="shared" si="51"/>
        <v>0</v>
      </c>
      <c r="Q245" s="30">
        <f t="shared" si="52"/>
        <v>0</v>
      </c>
      <c r="R245" s="30">
        <v>0</v>
      </c>
      <c r="S245" s="29">
        <f t="shared" si="53"/>
        <v>0</v>
      </c>
      <c r="T245" s="24">
        <f t="shared" si="54"/>
        <v>0</v>
      </c>
      <c r="U245" s="31">
        <f t="shared" si="55"/>
        <v>0</v>
      </c>
      <c r="V245" s="32">
        <f t="shared" si="61"/>
        <v>0</v>
      </c>
      <c r="W245" s="32">
        <f t="shared" si="56"/>
        <v>0</v>
      </c>
      <c r="X245" s="33">
        <v>0</v>
      </c>
      <c r="Y245" s="30">
        <f t="shared" si="57"/>
        <v>0</v>
      </c>
    </row>
    <row r="246" spans="1:25" ht="16.5" x14ac:dyDescent="0.3">
      <c r="A246" s="27">
        <v>801</v>
      </c>
      <c r="B246" s="27">
        <v>1</v>
      </c>
      <c r="C246" s="28" t="s">
        <v>303</v>
      </c>
      <c r="D246" s="24">
        <f>'[1]FY13 9-16-13 to copy to sheet'!F238</f>
        <v>0</v>
      </c>
      <c r="E246" s="25">
        <v>128.44999999999999</v>
      </c>
      <c r="F246" s="20">
        <v>98</v>
      </c>
      <c r="G246" s="20">
        <v>37</v>
      </c>
      <c r="H246" s="23">
        <f t="shared" si="47"/>
        <v>0.37755102040816324</v>
      </c>
      <c r="I246" s="29">
        <f t="shared" si="58"/>
        <v>16973.75</v>
      </c>
      <c r="J246" s="24">
        <f t="shared" si="59"/>
        <v>0</v>
      </c>
      <c r="K246" s="24">
        <f t="shared" si="48"/>
        <v>16973.75</v>
      </c>
      <c r="L246" s="30">
        <v>0</v>
      </c>
      <c r="M246" s="30">
        <f t="shared" si="49"/>
        <v>0</v>
      </c>
      <c r="N246" s="29">
        <f t="shared" si="60"/>
        <v>0</v>
      </c>
      <c r="O246" s="29">
        <f t="shared" si="50"/>
        <v>0</v>
      </c>
      <c r="P246" s="29">
        <f t="shared" si="51"/>
        <v>0</v>
      </c>
      <c r="Q246" s="30">
        <f t="shared" si="52"/>
        <v>0</v>
      </c>
      <c r="R246" s="30">
        <v>0</v>
      </c>
      <c r="S246" s="29">
        <f t="shared" si="53"/>
        <v>0</v>
      </c>
      <c r="T246" s="24">
        <f t="shared" si="54"/>
        <v>0</v>
      </c>
      <c r="U246" s="31">
        <f t="shared" si="55"/>
        <v>0</v>
      </c>
      <c r="V246" s="32">
        <f t="shared" si="61"/>
        <v>0</v>
      </c>
      <c r="W246" s="32">
        <f t="shared" si="56"/>
        <v>0</v>
      </c>
      <c r="X246" s="33">
        <v>0</v>
      </c>
      <c r="Y246" s="30">
        <f t="shared" si="57"/>
        <v>0</v>
      </c>
    </row>
    <row r="247" spans="1:25" ht="16.5" x14ac:dyDescent="0.3">
      <c r="A247" s="27">
        <v>803</v>
      </c>
      <c r="B247" s="27">
        <v>1</v>
      </c>
      <c r="C247" s="28" t="s">
        <v>304</v>
      </c>
      <c r="D247" s="24">
        <f>'[1]FY13 9-16-13 to copy to sheet'!F239</f>
        <v>0</v>
      </c>
      <c r="E247" s="25">
        <v>409.92</v>
      </c>
      <c r="F247" s="20">
        <v>395</v>
      </c>
      <c r="G247" s="20">
        <v>29</v>
      </c>
      <c r="H247" s="23">
        <f t="shared" si="47"/>
        <v>7.3417721518987344E-2</v>
      </c>
      <c r="I247" s="29">
        <f t="shared" si="58"/>
        <v>10533.39</v>
      </c>
      <c r="J247" s="24">
        <f t="shared" si="59"/>
        <v>0</v>
      </c>
      <c r="K247" s="24">
        <f t="shared" si="48"/>
        <v>10533.39</v>
      </c>
      <c r="L247" s="30">
        <v>0</v>
      </c>
      <c r="M247" s="30">
        <f t="shared" si="49"/>
        <v>0</v>
      </c>
      <c r="N247" s="29">
        <f t="shared" si="60"/>
        <v>0</v>
      </c>
      <c r="O247" s="29">
        <f t="shared" si="50"/>
        <v>0</v>
      </c>
      <c r="P247" s="29">
        <f t="shared" si="51"/>
        <v>0</v>
      </c>
      <c r="Q247" s="30">
        <f t="shared" si="52"/>
        <v>0</v>
      </c>
      <c r="R247" s="30">
        <v>0</v>
      </c>
      <c r="S247" s="29">
        <f t="shared" si="53"/>
        <v>0</v>
      </c>
      <c r="T247" s="24">
        <f t="shared" si="54"/>
        <v>0</v>
      </c>
      <c r="U247" s="31">
        <f t="shared" si="55"/>
        <v>0</v>
      </c>
      <c r="V247" s="32">
        <f t="shared" si="61"/>
        <v>0</v>
      </c>
      <c r="W247" s="32">
        <f t="shared" si="56"/>
        <v>0</v>
      </c>
      <c r="X247" s="33">
        <v>0</v>
      </c>
      <c r="Y247" s="30">
        <f t="shared" si="57"/>
        <v>0</v>
      </c>
    </row>
    <row r="248" spans="1:25" ht="16.5" x14ac:dyDescent="0.3">
      <c r="A248" s="27">
        <v>811</v>
      </c>
      <c r="B248" s="27">
        <v>1</v>
      </c>
      <c r="C248" s="28" t="s">
        <v>305</v>
      </c>
      <c r="D248" s="24">
        <f>'[1]FY13 9-16-13 to copy to sheet'!F240</f>
        <v>0</v>
      </c>
      <c r="E248" s="25">
        <v>686.62</v>
      </c>
      <c r="F248" s="20">
        <v>583</v>
      </c>
      <c r="G248" s="20">
        <v>30</v>
      </c>
      <c r="H248" s="23">
        <f t="shared" si="47"/>
        <v>5.1457975986277875E-2</v>
      </c>
      <c r="I248" s="29">
        <f t="shared" si="58"/>
        <v>12366.23</v>
      </c>
      <c r="J248" s="24">
        <f t="shared" si="59"/>
        <v>0</v>
      </c>
      <c r="K248" s="24">
        <f t="shared" si="48"/>
        <v>12366.23</v>
      </c>
      <c r="L248" s="30">
        <v>0</v>
      </c>
      <c r="M248" s="30">
        <f t="shared" si="49"/>
        <v>0</v>
      </c>
      <c r="N248" s="29">
        <f t="shared" si="60"/>
        <v>0</v>
      </c>
      <c r="O248" s="29">
        <f t="shared" si="50"/>
        <v>0</v>
      </c>
      <c r="P248" s="29">
        <f t="shared" si="51"/>
        <v>0</v>
      </c>
      <c r="Q248" s="30">
        <f t="shared" si="52"/>
        <v>0</v>
      </c>
      <c r="R248" s="30">
        <v>0</v>
      </c>
      <c r="S248" s="29">
        <f t="shared" si="53"/>
        <v>0</v>
      </c>
      <c r="T248" s="24">
        <f t="shared" si="54"/>
        <v>0</v>
      </c>
      <c r="U248" s="31">
        <f t="shared" si="55"/>
        <v>0</v>
      </c>
      <c r="V248" s="32">
        <f t="shared" si="61"/>
        <v>0</v>
      </c>
      <c r="W248" s="32">
        <f t="shared" si="56"/>
        <v>0</v>
      </c>
      <c r="X248" s="33">
        <v>0</v>
      </c>
      <c r="Y248" s="30">
        <f t="shared" si="57"/>
        <v>0</v>
      </c>
    </row>
    <row r="249" spans="1:25" ht="16.5" x14ac:dyDescent="0.3">
      <c r="A249" s="34">
        <v>813</v>
      </c>
      <c r="B249" s="34">
        <v>1</v>
      </c>
      <c r="C249" s="1" t="s">
        <v>306</v>
      </c>
      <c r="D249" s="24">
        <f>'[1]FY13 9-16-13 to copy to sheet'!F241</f>
        <v>0</v>
      </c>
      <c r="E249" s="25">
        <v>1399.14</v>
      </c>
      <c r="F249" s="20">
        <v>1236</v>
      </c>
      <c r="G249" s="20">
        <v>71</v>
      </c>
      <c r="H249" s="23">
        <f t="shared" si="47"/>
        <v>5.7443365695792878E-2</v>
      </c>
      <c r="I249" s="29">
        <f t="shared" si="58"/>
        <v>28129.96</v>
      </c>
      <c r="J249" s="24">
        <f t="shared" si="59"/>
        <v>0</v>
      </c>
      <c r="K249" s="24">
        <f t="shared" si="48"/>
        <v>28129.96</v>
      </c>
      <c r="L249" s="30">
        <v>0</v>
      </c>
      <c r="M249" s="30">
        <f t="shared" si="49"/>
        <v>0</v>
      </c>
      <c r="N249" s="29">
        <f t="shared" si="60"/>
        <v>0</v>
      </c>
      <c r="O249" s="29">
        <f t="shared" si="50"/>
        <v>0</v>
      </c>
      <c r="P249" s="29">
        <f t="shared" si="51"/>
        <v>0</v>
      </c>
      <c r="Q249" s="30">
        <f t="shared" si="52"/>
        <v>0</v>
      </c>
      <c r="R249" s="30">
        <v>0</v>
      </c>
      <c r="S249" s="29">
        <f t="shared" si="53"/>
        <v>0</v>
      </c>
      <c r="T249" s="24">
        <f t="shared" si="54"/>
        <v>0</v>
      </c>
      <c r="U249" s="31">
        <f t="shared" si="55"/>
        <v>0</v>
      </c>
      <c r="V249" s="32">
        <f t="shared" si="61"/>
        <v>0</v>
      </c>
      <c r="W249" s="32">
        <f t="shared" si="56"/>
        <v>0</v>
      </c>
      <c r="X249" s="33">
        <v>0</v>
      </c>
      <c r="Y249" s="30">
        <f t="shared" si="57"/>
        <v>0</v>
      </c>
    </row>
    <row r="250" spans="1:25" ht="16.5" x14ac:dyDescent="0.3">
      <c r="A250" s="27">
        <v>815</v>
      </c>
      <c r="B250" s="27">
        <v>2</v>
      </c>
      <c r="C250" s="28" t="s">
        <v>307</v>
      </c>
      <c r="D250" s="24">
        <f>'[1]FY13 9-16-13 to copy to sheet'!F242</f>
        <v>0</v>
      </c>
      <c r="E250" s="25">
        <v>0</v>
      </c>
      <c r="F250" s="20">
        <v>0</v>
      </c>
      <c r="G250" s="20">
        <v>0</v>
      </c>
      <c r="H250" s="23">
        <f t="shared" si="47"/>
        <v>0</v>
      </c>
      <c r="I250" s="29">
        <f t="shared" si="58"/>
        <v>0</v>
      </c>
      <c r="J250" s="24">
        <f t="shared" si="59"/>
        <v>0</v>
      </c>
      <c r="K250" s="24">
        <f t="shared" si="48"/>
        <v>0</v>
      </c>
      <c r="L250" s="30">
        <v>0</v>
      </c>
      <c r="M250" s="30">
        <f t="shared" si="49"/>
        <v>0</v>
      </c>
      <c r="N250" s="29">
        <f t="shared" si="60"/>
        <v>0</v>
      </c>
      <c r="O250" s="29">
        <f t="shared" si="50"/>
        <v>0</v>
      </c>
      <c r="P250" s="29">
        <f t="shared" si="51"/>
        <v>0</v>
      </c>
      <c r="Q250" s="30">
        <f t="shared" si="52"/>
        <v>0</v>
      </c>
      <c r="R250" s="30">
        <v>0</v>
      </c>
      <c r="S250" s="29">
        <f t="shared" si="53"/>
        <v>0</v>
      </c>
      <c r="T250" s="24">
        <f t="shared" si="54"/>
        <v>0</v>
      </c>
      <c r="U250" s="31">
        <f t="shared" si="55"/>
        <v>0</v>
      </c>
      <c r="V250" s="32">
        <f t="shared" si="61"/>
        <v>0</v>
      </c>
      <c r="W250" s="32">
        <f t="shared" si="56"/>
        <v>0</v>
      </c>
      <c r="X250" s="33">
        <v>0</v>
      </c>
      <c r="Y250" s="30">
        <f t="shared" si="57"/>
        <v>0</v>
      </c>
    </row>
    <row r="251" spans="1:25" ht="16.5" x14ac:dyDescent="0.3">
      <c r="A251" s="27">
        <v>818</v>
      </c>
      <c r="B251" s="27">
        <v>1</v>
      </c>
      <c r="C251" s="28" t="s">
        <v>308</v>
      </c>
      <c r="D251" s="24">
        <f>'[1]FY13 9-16-13 to copy to sheet'!F243</f>
        <v>0</v>
      </c>
      <c r="E251" s="25">
        <v>564.95000000000005</v>
      </c>
      <c r="F251" s="20">
        <v>491</v>
      </c>
      <c r="G251" s="20">
        <v>10</v>
      </c>
      <c r="H251" s="23">
        <f t="shared" si="47"/>
        <v>2.0366598778004074E-2</v>
      </c>
      <c r="I251" s="29">
        <f t="shared" si="58"/>
        <v>4027.14</v>
      </c>
      <c r="J251" s="24">
        <f t="shared" si="59"/>
        <v>0</v>
      </c>
      <c r="K251" s="24">
        <f t="shared" si="48"/>
        <v>4027.14</v>
      </c>
      <c r="L251" s="30">
        <v>0</v>
      </c>
      <c r="M251" s="30">
        <f t="shared" si="49"/>
        <v>0</v>
      </c>
      <c r="N251" s="29">
        <f t="shared" si="60"/>
        <v>0</v>
      </c>
      <c r="O251" s="29">
        <f t="shared" si="50"/>
        <v>0</v>
      </c>
      <c r="P251" s="29">
        <f t="shared" si="51"/>
        <v>0</v>
      </c>
      <c r="Q251" s="30">
        <f t="shared" si="52"/>
        <v>0</v>
      </c>
      <c r="R251" s="30">
        <v>0</v>
      </c>
      <c r="S251" s="29">
        <f t="shared" si="53"/>
        <v>0</v>
      </c>
      <c r="T251" s="24">
        <f t="shared" si="54"/>
        <v>0</v>
      </c>
      <c r="U251" s="31">
        <f t="shared" si="55"/>
        <v>0</v>
      </c>
      <c r="V251" s="32">
        <f t="shared" si="61"/>
        <v>0</v>
      </c>
      <c r="W251" s="32">
        <f t="shared" si="56"/>
        <v>0</v>
      </c>
      <c r="X251" s="33">
        <v>0</v>
      </c>
      <c r="Y251" s="30">
        <f t="shared" si="57"/>
        <v>0</v>
      </c>
    </row>
    <row r="252" spans="1:25" ht="16.5" x14ac:dyDescent="0.3">
      <c r="A252" s="27">
        <v>820</v>
      </c>
      <c r="B252" s="27">
        <v>1</v>
      </c>
      <c r="C252" s="28" t="s">
        <v>309</v>
      </c>
      <c r="D252" s="24">
        <f>'[1]FY13 9-16-13 to copy to sheet'!F244</f>
        <v>0</v>
      </c>
      <c r="E252" s="25">
        <v>576.65</v>
      </c>
      <c r="F252" s="20">
        <v>504</v>
      </c>
      <c r="G252" s="20">
        <v>5</v>
      </c>
      <c r="H252" s="23">
        <f t="shared" si="47"/>
        <v>9.9206349206349201E-3</v>
      </c>
      <c r="I252" s="29">
        <f t="shared" si="58"/>
        <v>2002.26</v>
      </c>
      <c r="J252" s="24">
        <f t="shared" si="59"/>
        <v>0</v>
      </c>
      <c r="K252" s="24">
        <f t="shared" si="48"/>
        <v>2002.26</v>
      </c>
      <c r="L252" s="30">
        <v>0</v>
      </c>
      <c r="M252" s="30">
        <f t="shared" si="49"/>
        <v>0</v>
      </c>
      <c r="N252" s="29">
        <f t="shared" si="60"/>
        <v>0</v>
      </c>
      <c r="O252" s="29">
        <f t="shared" si="50"/>
        <v>0</v>
      </c>
      <c r="P252" s="29">
        <f t="shared" si="51"/>
        <v>0</v>
      </c>
      <c r="Q252" s="30">
        <f t="shared" si="52"/>
        <v>0</v>
      </c>
      <c r="R252" s="30">
        <v>0</v>
      </c>
      <c r="S252" s="29">
        <f t="shared" si="53"/>
        <v>0</v>
      </c>
      <c r="T252" s="24">
        <f t="shared" si="54"/>
        <v>0</v>
      </c>
      <c r="U252" s="31">
        <f t="shared" si="55"/>
        <v>0</v>
      </c>
      <c r="V252" s="32">
        <f t="shared" si="61"/>
        <v>0</v>
      </c>
      <c r="W252" s="32">
        <f t="shared" si="56"/>
        <v>0</v>
      </c>
      <c r="X252" s="33">
        <v>0</v>
      </c>
      <c r="Y252" s="30">
        <f t="shared" si="57"/>
        <v>0</v>
      </c>
    </row>
    <row r="253" spans="1:25" ht="16.5" x14ac:dyDescent="0.3">
      <c r="A253" s="27">
        <v>821</v>
      </c>
      <c r="B253" s="27">
        <v>1</v>
      </c>
      <c r="C253" s="28" t="s">
        <v>310</v>
      </c>
      <c r="D253" s="24">
        <f>'[1]FY13 9-16-13 to copy to sheet'!F245</f>
        <v>0</v>
      </c>
      <c r="E253" s="25">
        <v>1052.98</v>
      </c>
      <c r="F253" s="20">
        <v>878</v>
      </c>
      <c r="G253" s="20">
        <v>16</v>
      </c>
      <c r="H253" s="23">
        <f t="shared" si="47"/>
        <v>1.8223234624145785E-2</v>
      </c>
      <c r="I253" s="29">
        <f t="shared" si="58"/>
        <v>6716.05</v>
      </c>
      <c r="J253" s="24">
        <f t="shared" si="59"/>
        <v>0</v>
      </c>
      <c r="K253" s="24">
        <f t="shared" si="48"/>
        <v>6716.05</v>
      </c>
      <c r="L253" s="30">
        <v>0</v>
      </c>
      <c r="M253" s="30">
        <f t="shared" si="49"/>
        <v>0</v>
      </c>
      <c r="N253" s="29">
        <f t="shared" si="60"/>
        <v>0</v>
      </c>
      <c r="O253" s="29">
        <f t="shared" si="50"/>
        <v>0</v>
      </c>
      <c r="P253" s="29">
        <f t="shared" si="51"/>
        <v>0</v>
      </c>
      <c r="Q253" s="30">
        <f t="shared" si="52"/>
        <v>0</v>
      </c>
      <c r="R253" s="30">
        <v>0</v>
      </c>
      <c r="S253" s="29">
        <f t="shared" si="53"/>
        <v>0</v>
      </c>
      <c r="T253" s="24">
        <f t="shared" si="54"/>
        <v>0</v>
      </c>
      <c r="U253" s="31">
        <f t="shared" si="55"/>
        <v>0</v>
      </c>
      <c r="V253" s="32">
        <f t="shared" si="61"/>
        <v>0</v>
      </c>
      <c r="W253" s="32">
        <f t="shared" si="56"/>
        <v>0</v>
      </c>
      <c r="X253" s="33">
        <v>0</v>
      </c>
      <c r="Y253" s="30">
        <f t="shared" si="57"/>
        <v>0</v>
      </c>
    </row>
    <row r="254" spans="1:25" ht="16.5" x14ac:dyDescent="0.3">
      <c r="A254" s="27">
        <v>829</v>
      </c>
      <c r="B254" s="27">
        <v>1</v>
      </c>
      <c r="C254" s="28" t="s">
        <v>311</v>
      </c>
      <c r="D254" s="24">
        <f>'[1]FY13 9-16-13 to copy to sheet'!F246</f>
        <v>0</v>
      </c>
      <c r="E254" s="25">
        <v>2116.38</v>
      </c>
      <c r="F254" s="20">
        <v>1851</v>
      </c>
      <c r="G254" s="20">
        <v>238</v>
      </c>
      <c r="H254" s="23">
        <f t="shared" si="47"/>
        <v>0.12857914640734738</v>
      </c>
      <c r="I254" s="29">
        <f t="shared" si="58"/>
        <v>95242.82</v>
      </c>
      <c r="J254" s="24">
        <f t="shared" si="59"/>
        <v>0</v>
      </c>
      <c r="K254" s="24">
        <f t="shared" si="48"/>
        <v>95242.82</v>
      </c>
      <c r="L254" s="30">
        <v>0</v>
      </c>
      <c r="M254" s="30">
        <f t="shared" si="49"/>
        <v>0</v>
      </c>
      <c r="N254" s="29">
        <f t="shared" si="60"/>
        <v>0</v>
      </c>
      <c r="O254" s="29">
        <f t="shared" si="50"/>
        <v>0</v>
      </c>
      <c r="P254" s="29">
        <f t="shared" si="51"/>
        <v>0</v>
      </c>
      <c r="Q254" s="30">
        <f t="shared" si="52"/>
        <v>0</v>
      </c>
      <c r="R254" s="30">
        <v>0</v>
      </c>
      <c r="S254" s="29">
        <f t="shared" si="53"/>
        <v>0</v>
      </c>
      <c r="T254" s="24">
        <f t="shared" si="54"/>
        <v>0</v>
      </c>
      <c r="U254" s="31">
        <f t="shared" si="55"/>
        <v>0</v>
      </c>
      <c r="V254" s="32">
        <f t="shared" si="61"/>
        <v>0</v>
      </c>
      <c r="W254" s="32">
        <f t="shared" si="56"/>
        <v>0</v>
      </c>
      <c r="X254" s="33">
        <v>0</v>
      </c>
      <c r="Y254" s="30">
        <f t="shared" si="57"/>
        <v>0</v>
      </c>
    </row>
    <row r="255" spans="1:25" ht="16.5" x14ac:dyDescent="0.3">
      <c r="A255" s="34">
        <v>831</v>
      </c>
      <c r="B255" s="34">
        <v>1</v>
      </c>
      <c r="C255" s="1" t="s">
        <v>312</v>
      </c>
      <c r="D255" s="24">
        <f>'[1]FY13 9-16-13 to copy to sheet'!F247</f>
        <v>708400</v>
      </c>
      <c r="E255" s="25">
        <v>7895.73</v>
      </c>
      <c r="F255" s="20">
        <v>6767</v>
      </c>
      <c r="G255" s="20">
        <v>466</v>
      </c>
      <c r="H255" s="23">
        <f t="shared" si="47"/>
        <v>6.886360277818826E-2</v>
      </c>
      <c r="I255" s="29">
        <f t="shared" si="58"/>
        <v>190304.95</v>
      </c>
      <c r="J255" s="24">
        <f t="shared" si="59"/>
        <v>341942.73</v>
      </c>
      <c r="K255" s="24">
        <f t="shared" si="48"/>
        <v>532247.67999999993</v>
      </c>
      <c r="L255" s="30">
        <v>711712</v>
      </c>
      <c r="M255" s="30">
        <f t="shared" si="49"/>
        <v>713847.14</v>
      </c>
      <c r="N255" s="29">
        <f t="shared" si="60"/>
        <v>532247.67999999993</v>
      </c>
      <c r="O255" s="29">
        <f t="shared" si="50"/>
        <v>1596.74</v>
      </c>
      <c r="P255" s="29">
        <f t="shared" si="51"/>
        <v>530650.93999999994</v>
      </c>
      <c r="Q255" s="30">
        <f t="shared" si="52"/>
        <v>78957.299999999988</v>
      </c>
      <c r="R255" s="30">
        <v>0</v>
      </c>
      <c r="S255" s="29">
        <f t="shared" si="53"/>
        <v>0</v>
      </c>
      <c r="T255" s="24">
        <f t="shared" si="54"/>
        <v>530650.93999999994</v>
      </c>
      <c r="U255" s="31">
        <f t="shared" si="55"/>
        <v>-177749.06000000006</v>
      </c>
      <c r="V255" s="32">
        <f t="shared" si="61"/>
        <v>-22.512048917579509</v>
      </c>
      <c r="W255" s="32">
        <f t="shared" si="56"/>
        <v>311862.42999999993</v>
      </c>
      <c r="X255" s="33">
        <v>218788.51</v>
      </c>
      <c r="Y255" s="30">
        <f t="shared" si="57"/>
        <v>311862.42999999993</v>
      </c>
    </row>
    <row r="256" spans="1:25" ht="16.5" x14ac:dyDescent="0.3">
      <c r="A256" s="34">
        <v>832</v>
      </c>
      <c r="B256" s="34">
        <v>1</v>
      </c>
      <c r="C256" s="1" t="s">
        <v>313</v>
      </c>
      <c r="D256" s="24">
        <f>'[1]FY13 9-16-13 to copy to sheet'!F248</f>
        <v>351874.08</v>
      </c>
      <c r="E256" s="25">
        <v>3882.61</v>
      </c>
      <c r="F256" s="20">
        <v>3305</v>
      </c>
      <c r="G256" s="20">
        <v>305</v>
      </c>
      <c r="H256" s="23">
        <f t="shared" si="47"/>
        <v>9.2284417549167927E-2</v>
      </c>
      <c r="I256" s="29">
        <f t="shared" si="58"/>
        <v>125406.54</v>
      </c>
      <c r="J256" s="24">
        <f t="shared" si="59"/>
        <v>149468.57999999999</v>
      </c>
      <c r="K256" s="24">
        <f t="shared" si="48"/>
        <v>274875.12</v>
      </c>
      <c r="L256" s="30">
        <v>350174.08</v>
      </c>
      <c r="M256" s="30">
        <f t="shared" si="49"/>
        <v>351224.6</v>
      </c>
      <c r="N256" s="29">
        <f t="shared" si="60"/>
        <v>274875.12</v>
      </c>
      <c r="O256" s="29">
        <f t="shared" si="50"/>
        <v>824.63</v>
      </c>
      <c r="P256" s="29">
        <f t="shared" si="51"/>
        <v>274050.49</v>
      </c>
      <c r="Q256" s="30">
        <f t="shared" si="52"/>
        <v>38826.1</v>
      </c>
      <c r="R256" s="30">
        <v>0</v>
      </c>
      <c r="S256" s="29">
        <f t="shared" si="53"/>
        <v>0</v>
      </c>
      <c r="T256" s="24">
        <f t="shared" si="54"/>
        <v>274050.49</v>
      </c>
      <c r="U256" s="31">
        <f t="shared" si="55"/>
        <v>-77823.590000000026</v>
      </c>
      <c r="V256" s="32">
        <f t="shared" si="61"/>
        <v>-20.044142986290158</v>
      </c>
      <c r="W256" s="32">
        <f t="shared" si="56"/>
        <v>167382.28999999998</v>
      </c>
      <c r="X256" s="33">
        <v>106668.2</v>
      </c>
      <c r="Y256" s="30">
        <f t="shared" si="57"/>
        <v>167382.28999999998</v>
      </c>
    </row>
    <row r="257" spans="1:25" ht="16.5" x14ac:dyDescent="0.3">
      <c r="A257" s="34">
        <v>833</v>
      </c>
      <c r="B257" s="34">
        <v>1</v>
      </c>
      <c r="C257" s="1" t="s">
        <v>314</v>
      </c>
      <c r="D257" s="24">
        <f>'[1]FY13 9-16-13 to copy to sheet'!F249</f>
        <v>2562307</v>
      </c>
      <c r="E257" s="25">
        <v>20073.38</v>
      </c>
      <c r="F257" s="20">
        <v>17643</v>
      </c>
      <c r="G257" s="20">
        <v>4539</v>
      </c>
      <c r="H257" s="23">
        <f t="shared" si="47"/>
        <v>0.25726917190953918</v>
      </c>
      <c r="I257" s="29">
        <f t="shared" si="58"/>
        <v>1807491.65</v>
      </c>
      <c r="J257" s="24">
        <f t="shared" si="59"/>
        <v>498178.13</v>
      </c>
      <c r="K257" s="24">
        <f t="shared" si="48"/>
        <v>2305669.7799999998</v>
      </c>
      <c r="L257" s="30">
        <v>2545339</v>
      </c>
      <c r="M257" s="30">
        <f t="shared" si="49"/>
        <v>2552975.02</v>
      </c>
      <c r="N257" s="29">
        <f t="shared" si="60"/>
        <v>2305669.7799999998</v>
      </c>
      <c r="O257" s="29">
        <f t="shared" si="50"/>
        <v>6917.01</v>
      </c>
      <c r="P257" s="29">
        <f t="shared" si="51"/>
        <v>2298752.77</v>
      </c>
      <c r="Q257" s="30">
        <f t="shared" si="52"/>
        <v>200733.80000000002</v>
      </c>
      <c r="R257" s="30">
        <v>0</v>
      </c>
      <c r="S257" s="29">
        <f t="shared" si="53"/>
        <v>0</v>
      </c>
      <c r="T257" s="24">
        <f t="shared" si="54"/>
        <v>2298752.77</v>
      </c>
      <c r="U257" s="31">
        <f t="shared" si="55"/>
        <v>-263554.23</v>
      </c>
      <c r="V257" s="32">
        <f t="shared" si="61"/>
        <v>-13.129539220599618</v>
      </c>
      <c r="W257" s="32">
        <f t="shared" si="56"/>
        <v>1535151.0699999998</v>
      </c>
      <c r="X257" s="33">
        <v>763601.70000000007</v>
      </c>
      <c r="Y257" s="30">
        <f t="shared" si="57"/>
        <v>1535151.0699999998</v>
      </c>
    </row>
    <row r="258" spans="1:25" ht="16.5" x14ac:dyDescent="0.3">
      <c r="A258" s="34">
        <v>834</v>
      </c>
      <c r="B258" s="34">
        <v>1</v>
      </c>
      <c r="C258" s="1" t="s">
        <v>315</v>
      </c>
      <c r="D258" s="24">
        <f>'[1]FY13 9-16-13 to copy to sheet'!F250</f>
        <v>909279.46</v>
      </c>
      <c r="E258" s="25">
        <v>9743.26</v>
      </c>
      <c r="F258" s="20">
        <v>8258</v>
      </c>
      <c r="G258" s="20">
        <v>922</v>
      </c>
      <c r="H258" s="23">
        <f t="shared" si="47"/>
        <v>0.1116493097602325</v>
      </c>
      <c r="I258" s="29">
        <f t="shared" si="58"/>
        <v>380739.89</v>
      </c>
      <c r="J258" s="24">
        <f t="shared" si="59"/>
        <v>348836.12</v>
      </c>
      <c r="K258" s="24">
        <f t="shared" si="48"/>
        <v>729576.01</v>
      </c>
      <c r="L258" s="30">
        <v>890592</v>
      </c>
      <c r="M258" s="30">
        <f t="shared" si="49"/>
        <v>893263.78</v>
      </c>
      <c r="N258" s="29">
        <f t="shared" si="60"/>
        <v>729576.01</v>
      </c>
      <c r="O258" s="29">
        <f t="shared" si="50"/>
        <v>2188.73</v>
      </c>
      <c r="P258" s="29">
        <f t="shared" si="51"/>
        <v>727387.28</v>
      </c>
      <c r="Q258" s="30">
        <f t="shared" si="52"/>
        <v>97432.6</v>
      </c>
      <c r="R258" s="30">
        <v>0</v>
      </c>
      <c r="S258" s="29">
        <f t="shared" si="53"/>
        <v>0</v>
      </c>
      <c r="T258" s="24">
        <f t="shared" si="54"/>
        <v>727387.28</v>
      </c>
      <c r="U258" s="31">
        <f t="shared" si="55"/>
        <v>-181892.17999999993</v>
      </c>
      <c r="V258" s="32">
        <f t="shared" si="61"/>
        <v>-18.668513413374981</v>
      </c>
      <c r="W258" s="32">
        <f t="shared" si="56"/>
        <v>456053.34</v>
      </c>
      <c r="X258" s="33">
        <v>271333.94</v>
      </c>
      <c r="Y258" s="30">
        <f t="shared" si="57"/>
        <v>456053.34</v>
      </c>
    </row>
    <row r="259" spans="1:25" ht="16.5" x14ac:dyDescent="0.3">
      <c r="A259" s="34">
        <v>836</v>
      </c>
      <c r="B259" s="34">
        <v>1</v>
      </c>
      <c r="C259" s="1" t="s">
        <v>316</v>
      </c>
      <c r="D259" s="24">
        <f>'[1]FY13 9-16-13 to copy to sheet'!F251</f>
        <v>29221</v>
      </c>
      <c r="E259" s="25">
        <v>248.78</v>
      </c>
      <c r="F259" s="20">
        <v>221</v>
      </c>
      <c r="G259" s="20">
        <v>89</v>
      </c>
      <c r="H259" s="23">
        <f t="shared" si="47"/>
        <v>0.40271493212669685</v>
      </c>
      <c r="I259" s="29">
        <f t="shared" si="58"/>
        <v>35065.599999999999</v>
      </c>
      <c r="J259" s="24">
        <f t="shared" si="59"/>
        <v>0</v>
      </c>
      <c r="K259" s="24">
        <f t="shared" si="48"/>
        <v>35065.599999999999</v>
      </c>
      <c r="L259" s="30">
        <v>29221</v>
      </c>
      <c r="M259" s="30">
        <f t="shared" si="49"/>
        <v>29308.66</v>
      </c>
      <c r="N259" s="29">
        <f t="shared" si="60"/>
        <v>29308.66</v>
      </c>
      <c r="O259" s="29">
        <f t="shared" si="50"/>
        <v>87.659999999999854</v>
      </c>
      <c r="P259" s="29">
        <f t="shared" si="51"/>
        <v>29221</v>
      </c>
      <c r="Q259" s="30">
        <f t="shared" si="52"/>
        <v>2487.8000000000002</v>
      </c>
      <c r="R259" s="30">
        <v>0</v>
      </c>
      <c r="S259" s="29">
        <f t="shared" si="53"/>
        <v>0</v>
      </c>
      <c r="T259" s="24">
        <f t="shared" si="54"/>
        <v>29221</v>
      </c>
      <c r="U259" s="31">
        <f t="shared" si="55"/>
        <v>0</v>
      </c>
      <c r="V259" s="32">
        <f t="shared" si="61"/>
        <v>0</v>
      </c>
      <c r="W259" s="32">
        <f t="shared" si="56"/>
        <v>20454.699999999997</v>
      </c>
      <c r="X259" s="33">
        <v>8766.3000000000011</v>
      </c>
      <c r="Y259" s="30">
        <f t="shared" si="57"/>
        <v>20454.699999999997</v>
      </c>
    </row>
    <row r="260" spans="1:25" ht="16.5" x14ac:dyDescent="0.3">
      <c r="A260" s="34">
        <v>837</v>
      </c>
      <c r="B260" s="34">
        <v>1</v>
      </c>
      <c r="C260" s="1" t="s">
        <v>317</v>
      </c>
      <c r="D260" s="24">
        <f>'[1]FY13 9-16-13 to copy to sheet'!F252</f>
        <v>79000</v>
      </c>
      <c r="E260" s="25">
        <v>594.72</v>
      </c>
      <c r="F260" s="20">
        <v>532</v>
      </c>
      <c r="G260" s="20">
        <v>205</v>
      </c>
      <c r="H260" s="23">
        <f t="shared" si="47"/>
        <v>0.38533834586466165</v>
      </c>
      <c r="I260" s="29">
        <f t="shared" si="58"/>
        <v>80208.95</v>
      </c>
      <c r="J260" s="24">
        <f t="shared" si="59"/>
        <v>0</v>
      </c>
      <c r="K260" s="24">
        <f t="shared" si="48"/>
        <v>80208.95</v>
      </c>
      <c r="L260" s="30">
        <v>79000</v>
      </c>
      <c r="M260" s="30">
        <f t="shared" si="49"/>
        <v>79237</v>
      </c>
      <c r="N260" s="29">
        <f t="shared" si="60"/>
        <v>79237</v>
      </c>
      <c r="O260" s="29">
        <f t="shared" si="50"/>
        <v>237</v>
      </c>
      <c r="P260" s="29">
        <f t="shared" si="51"/>
        <v>79000</v>
      </c>
      <c r="Q260" s="30">
        <f t="shared" si="52"/>
        <v>5947.2000000000007</v>
      </c>
      <c r="R260" s="30">
        <v>0</v>
      </c>
      <c r="S260" s="29">
        <f t="shared" si="53"/>
        <v>0</v>
      </c>
      <c r="T260" s="24">
        <f t="shared" si="54"/>
        <v>79000</v>
      </c>
      <c r="U260" s="31">
        <f t="shared" si="55"/>
        <v>0</v>
      </c>
      <c r="V260" s="32">
        <f t="shared" si="61"/>
        <v>0</v>
      </c>
      <c r="W260" s="32">
        <f t="shared" si="56"/>
        <v>55450</v>
      </c>
      <c r="X260" s="33">
        <v>23550</v>
      </c>
      <c r="Y260" s="30">
        <f t="shared" si="57"/>
        <v>55450</v>
      </c>
    </row>
    <row r="261" spans="1:25" ht="16.5" x14ac:dyDescent="0.3">
      <c r="A261" s="34">
        <v>840</v>
      </c>
      <c r="B261" s="34">
        <v>1</v>
      </c>
      <c r="C261" s="1" t="s">
        <v>318</v>
      </c>
      <c r="D261" s="24">
        <f>'[1]FY13 9-16-13 to copy to sheet'!F253</f>
        <v>157000</v>
      </c>
      <c r="E261" s="25">
        <v>1184.1500000000001</v>
      </c>
      <c r="F261" s="20">
        <v>1043</v>
      </c>
      <c r="G261" s="20">
        <v>440</v>
      </c>
      <c r="H261" s="23">
        <f t="shared" si="47"/>
        <v>0.4218600191754554</v>
      </c>
      <c r="I261" s="29">
        <f t="shared" si="58"/>
        <v>174840.94</v>
      </c>
      <c r="J261" s="24">
        <f t="shared" si="59"/>
        <v>0</v>
      </c>
      <c r="K261" s="24">
        <f t="shared" si="48"/>
        <v>174840.94</v>
      </c>
      <c r="L261" s="30">
        <v>157000</v>
      </c>
      <c r="M261" s="30">
        <f t="shared" si="49"/>
        <v>157471</v>
      </c>
      <c r="N261" s="29">
        <f t="shared" si="60"/>
        <v>157471</v>
      </c>
      <c r="O261" s="29">
        <f t="shared" si="50"/>
        <v>471</v>
      </c>
      <c r="P261" s="29">
        <f t="shared" si="51"/>
        <v>157000</v>
      </c>
      <c r="Q261" s="30">
        <f t="shared" si="52"/>
        <v>11841.5</v>
      </c>
      <c r="R261" s="30">
        <v>0</v>
      </c>
      <c r="S261" s="29">
        <f t="shared" si="53"/>
        <v>0</v>
      </c>
      <c r="T261" s="24">
        <f t="shared" si="54"/>
        <v>157000</v>
      </c>
      <c r="U261" s="31">
        <f t="shared" si="55"/>
        <v>0</v>
      </c>
      <c r="V261" s="32">
        <f t="shared" si="61"/>
        <v>0</v>
      </c>
      <c r="W261" s="32">
        <f t="shared" si="56"/>
        <v>110601.79999999999</v>
      </c>
      <c r="X261" s="33">
        <v>46398.200000000004</v>
      </c>
      <c r="Y261" s="30">
        <f t="shared" si="57"/>
        <v>110601.79999999999</v>
      </c>
    </row>
    <row r="262" spans="1:25" ht="16.5" x14ac:dyDescent="0.3">
      <c r="A262" s="27">
        <v>846</v>
      </c>
      <c r="B262" s="27">
        <v>1</v>
      </c>
      <c r="C262" s="28" t="s">
        <v>319</v>
      </c>
      <c r="D262" s="24">
        <f>'[1]FY13 9-16-13 to copy to sheet'!F254</f>
        <v>0</v>
      </c>
      <c r="E262" s="25">
        <v>824.67</v>
      </c>
      <c r="F262" s="20">
        <v>685</v>
      </c>
      <c r="G262" s="20">
        <v>54</v>
      </c>
      <c r="H262" s="23">
        <f t="shared" si="47"/>
        <v>7.8832116788321166E-2</v>
      </c>
      <c r="I262" s="29">
        <f t="shared" si="58"/>
        <v>22753.67</v>
      </c>
      <c r="J262" s="24">
        <f t="shared" si="59"/>
        <v>0</v>
      </c>
      <c r="K262" s="24">
        <f t="shared" si="48"/>
        <v>22753.67</v>
      </c>
      <c r="L262" s="30">
        <v>0</v>
      </c>
      <c r="M262" s="30">
        <f t="shared" si="49"/>
        <v>0</v>
      </c>
      <c r="N262" s="29">
        <f t="shared" si="60"/>
        <v>0</v>
      </c>
      <c r="O262" s="29">
        <f t="shared" si="50"/>
        <v>0</v>
      </c>
      <c r="P262" s="29">
        <f t="shared" si="51"/>
        <v>0</v>
      </c>
      <c r="Q262" s="30">
        <f t="shared" si="52"/>
        <v>0</v>
      </c>
      <c r="R262" s="30">
        <v>0</v>
      </c>
      <c r="S262" s="29">
        <f t="shared" si="53"/>
        <v>0</v>
      </c>
      <c r="T262" s="24">
        <f t="shared" si="54"/>
        <v>0</v>
      </c>
      <c r="U262" s="31">
        <f t="shared" si="55"/>
        <v>0</v>
      </c>
      <c r="V262" s="32">
        <f t="shared" si="61"/>
        <v>0</v>
      </c>
      <c r="W262" s="32">
        <f t="shared" si="56"/>
        <v>0</v>
      </c>
      <c r="X262" s="33">
        <v>0</v>
      </c>
      <c r="Y262" s="30">
        <f t="shared" si="57"/>
        <v>0</v>
      </c>
    </row>
    <row r="263" spans="1:25" ht="16.5" x14ac:dyDescent="0.3">
      <c r="A263" s="34">
        <v>850</v>
      </c>
      <c r="B263" s="34">
        <v>1</v>
      </c>
      <c r="C263" s="1" t="s">
        <v>320</v>
      </c>
      <c r="D263" s="24">
        <f>'[1]FY13 9-16-13 to copy to sheet'!F255</f>
        <v>0</v>
      </c>
      <c r="E263" s="25">
        <v>303.48</v>
      </c>
      <c r="F263" s="20">
        <v>261</v>
      </c>
      <c r="G263" s="20">
        <v>13</v>
      </c>
      <c r="H263" s="23">
        <f t="shared" si="47"/>
        <v>4.9808429118773943E-2</v>
      </c>
      <c r="I263" s="29">
        <f t="shared" si="58"/>
        <v>5290.55</v>
      </c>
      <c r="J263" s="24">
        <f t="shared" si="59"/>
        <v>0</v>
      </c>
      <c r="K263" s="24">
        <f t="shared" si="48"/>
        <v>5290.55</v>
      </c>
      <c r="L263" s="30">
        <v>0</v>
      </c>
      <c r="M263" s="30">
        <f t="shared" si="49"/>
        <v>0</v>
      </c>
      <c r="N263" s="29">
        <f t="shared" si="60"/>
        <v>0</v>
      </c>
      <c r="O263" s="29">
        <f t="shared" si="50"/>
        <v>0</v>
      </c>
      <c r="P263" s="29">
        <f t="shared" si="51"/>
        <v>0</v>
      </c>
      <c r="Q263" s="30">
        <f t="shared" si="52"/>
        <v>0</v>
      </c>
      <c r="R263" s="30">
        <v>0</v>
      </c>
      <c r="S263" s="29">
        <f t="shared" si="53"/>
        <v>0</v>
      </c>
      <c r="T263" s="24">
        <f t="shared" si="54"/>
        <v>0</v>
      </c>
      <c r="U263" s="31">
        <f t="shared" si="55"/>
        <v>0</v>
      </c>
      <c r="V263" s="32">
        <f t="shared" si="61"/>
        <v>0</v>
      </c>
      <c r="W263" s="32">
        <f t="shared" si="56"/>
        <v>0</v>
      </c>
      <c r="X263" s="33">
        <v>0</v>
      </c>
      <c r="Y263" s="30">
        <f t="shared" si="57"/>
        <v>0</v>
      </c>
    </row>
    <row r="264" spans="1:25" ht="16.5" x14ac:dyDescent="0.3">
      <c r="A264" s="27">
        <v>852</v>
      </c>
      <c r="B264" s="27">
        <v>1</v>
      </c>
      <c r="C264" s="28" t="s">
        <v>321</v>
      </c>
      <c r="D264" s="24">
        <f>'[1]FY13 9-16-13 to copy to sheet'!F256</f>
        <v>0</v>
      </c>
      <c r="E264" s="25">
        <v>141.05000000000001</v>
      </c>
      <c r="F264" s="20">
        <v>137</v>
      </c>
      <c r="G264" s="20">
        <v>15</v>
      </c>
      <c r="H264" s="23">
        <f t="shared" si="47"/>
        <v>0.10948905109489052</v>
      </c>
      <c r="I264" s="29">
        <f t="shared" si="58"/>
        <v>5405.2</v>
      </c>
      <c r="J264" s="24">
        <f t="shared" si="59"/>
        <v>0</v>
      </c>
      <c r="K264" s="24">
        <f t="shared" si="48"/>
        <v>5405.2</v>
      </c>
      <c r="L264" s="30">
        <v>0</v>
      </c>
      <c r="M264" s="30">
        <f t="shared" si="49"/>
        <v>0</v>
      </c>
      <c r="N264" s="29">
        <f t="shared" si="60"/>
        <v>0</v>
      </c>
      <c r="O264" s="29">
        <f t="shared" si="50"/>
        <v>0</v>
      </c>
      <c r="P264" s="29">
        <f t="shared" si="51"/>
        <v>0</v>
      </c>
      <c r="Q264" s="30">
        <f t="shared" si="52"/>
        <v>0</v>
      </c>
      <c r="R264" s="30">
        <v>0</v>
      </c>
      <c r="S264" s="29">
        <f t="shared" si="53"/>
        <v>0</v>
      </c>
      <c r="T264" s="24">
        <f t="shared" si="54"/>
        <v>0</v>
      </c>
      <c r="U264" s="31">
        <f t="shared" si="55"/>
        <v>0</v>
      </c>
      <c r="V264" s="32">
        <f t="shared" si="61"/>
        <v>0</v>
      </c>
      <c r="W264" s="32">
        <f t="shared" si="56"/>
        <v>0</v>
      </c>
      <c r="X264" s="33">
        <v>0</v>
      </c>
      <c r="Y264" s="30">
        <f t="shared" si="57"/>
        <v>0</v>
      </c>
    </row>
    <row r="265" spans="1:25" ht="16.5" x14ac:dyDescent="0.3">
      <c r="A265" s="27">
        <v>857</v>
      </c>
      <c r="B265" s="27">
        <v>1</v>
      </c>
      <c r="C265" s="28" t="s">
        <v>322</v>
      </c>
      <c r="D265" s="24">
        <f>'[1]FY13 9-16-13 to copy to sheet'!F257</f>
        <v>0</v>
      </c>
      <c r="E265" s="25">
        <v>908.12</v>
      </c>
      <c r="F265" s="20">
        <v>746</v>
      </c>
      <c r="G265" s="20">
        <v>45</v>
      </c>
      <c r="H265" s="23">
        <f t="shared" si="47"/>
        <v>6.0321715817694369E-2</v>
      </c>
      <c r="I265" s="29">
        <f t="shared" si="58"/>
        <v>19172.77</v>
      </c>
      <c r="J265" s="24">
        <f t="shared" si="59"/>
        <v>0</v>
      </c>
      <c r="K265" s="24">
        <f t="shared" si="48"/>
        <v>19172.77</v>
      </c>
      <c r="L265" s="30">
        <v>0</v>
      </c>
      <c r="M265" s="30">
        <f t="shared" si="49"/>
        <v>0</v>
      </c>
      <c r="N265" s="29">
        <f t="shared" si="60"/>
        <v>0</v>
      </c>
      <c r="O265" s="29">
        <f t="shared" si="50"/>
        <v>0</v>
      </c>
      <c r="P265" s="29">
        <f t="shared" si="51"/>
        <v>0</v>
      </c>
      <c r="Q265" s="30">
        <f t="shared" si="52"/>
        <v>0</v>
      </c>
      <c r="R265" s="30">
        <v>0</v>
      </c>
      <c r="S265" s="29">
        <f t="shared" si="53"/>
        <v>0</v>
      </c>
      <c r="T265" s="24">
        <f t="shared" si="54"/>
        <v>0</v>
      </c>
      <c r="U265" s="31">
        <f t="shared" si="55"/>
        <v>0</v>
      </c>
      <c r="V265" s="32">
        <f t="shared" si="61"/>
        <v>0</v>
      </c>
      <c r="W265" s="32">
        <f t="shared" si="56"/>
        <v>0</v>
      </c>
      <c r="X265" s="33">
        <v>0</v>
      </c>
      <c r="Y265" s="30">
        <f t="shared" si="57"/>
        <v>0</v>
      </c>
    </row>
    <row r="266" spans="1:25" ht="16.5" x14ac:dyDescent="0.3">
      <c r="A266" s="27">
        <v>858</v>
      </c>
      <c r="B266" s="27">
        <v>1</v>
      </c>
      <c r="C266" s="28" t="s">
        <v>323</v>
      </c>
      <c r="D266" s="24">
        <f>'[1]FY13 9-16-13 to copy to sheet'!F258</f>
        <v>0</v>
      </c>
      <c r="E266" s="25">
        <v>1132.3800000000001</v>
      </c>
      <c r="F266" s="20">
        <v>977</v>
      </c>
      <c r="G266" s="20">
        <v>182</v>
      </c>
      <c r="H266" s="23">
        <f t="shared" si="47"/>
        <v>0.18628454452405321</v>
      </c>
      <c r="I266" s="29">
        <f t="shared" si="58"/>
        <v>73830.710000000006</v>
      </c>
      <c r="J266" s="24">
        <f t="shared" si="59"/>
        <v>0</v>
      </c>
      <c r="K266" s="24">
        <f t="shared" si="48"/>
        <v>73830.710000000006</v>
      </c>
      <c r="L266" s="30">
        <v>0</v>
      </c>
      <c r="M266" s="30">
        <f t="shared" si="49"/>
        <v>0</v>
      </c>
      <c r="N266" s="29">
        <f t="shared" si="60"/>
        <v>0</v>
      </c>
      <c r="O266" s="29">
        <f t="shared" si="50"/>
        <v>0</v>
      </c>
      <c r="P266" s="29">
        <f t="shared" si="51"/>
        <v>0</v>
      </c>
      <c r="Q266" s="30">
        <f t="shared" si="52"/>
        <v>0</v>
      </c>
      <c r="R266" s="30">
        <v>0</v>
      </c>
      <c r="S266" s="29">
        <f t="shared" si="53"/>
        <v>0</v>
      </c>
      <c r="T266" s="24">
        <f t="shared" si="54"/>
        <v>0</v>
      </c>
      <c r="U266" s="31">
        <f t="shared" si="55"/>
        <v>0</v>
      </c>
      <c r="V266" s="32">
        <f t="shared" si="61"/>
        <v>0</v>
      </c>
      <c r="W266" s="32">
        <f t="shared" si="56"/>
        <v>0</v>
      </c>
      <c r="X266" s="33">
        <v>0</v>
      </c>
      <c r="Y266" s="30">
        <f t="shared" si="57"/>
        <v>0</v>
      </c>
    </row>
    <row r="267" spans="1:25" ht="16.5" x14ac:dyDescent="0.3">
      <c r="A267" s="27">
        <v>861</v>
      </c>
      <c r="B267" s="27">
        <v>1</v>
      </c>
      <c r="C267" s="28" t="s">
        <v>324</v>
      </c>
      <c r="D267" s="24">
        <f>'[1]FY13 9-16-13 to copy to sheet'!F259</f>
        <v>0</v>
      </c>
      <c r="E267" s="25">
        <v>3453.06</v>
      </c>
      <c r="F267" s="20">
        <v>3175</v>
      </c>
      <c r="G267" s="20">
        <v>443</v>
      </c>
      <c r="H267" s="23">
        <f t="shared" si="47"/>
        <v>0.1395275590551181</v>
      </c>
      <c r="I267" s="29">
        <f t="shared" si="58"/>
        <v>168628.96</v>
      </c>
      <c r="J267" s="24">
        <f t="shared" si="59"/>
        <v>0</v>
      </c>
      <c r="K267" s="24">
        <f t="shared" si="48"/>
        <v>168628.96</v>
      </c>
      <c r="L267" s="30">
        <v>0</v>
      </c>
      <c r="M267" s="30">
        <f t="shared" si="49"/>
        <v>0</v>
      </c>
      <c r="N267" s="29">
        <f t="shared" si="60"/>
        <v>0</v>
      </c>
      <c r="O267" s="29">
        <f t="shared" si="50"/>
        <v>0</v>
      </c>
      <c r="P267" s="29">
        <f t="shared" si="51"/>
        <v>0</v>
      </c>
      <c r="Q267" s="30">
        <f t="shared" si="52"/>
        <v>0</v>
      </c>
      <c r="R267" s="30">
        <v>0</v>
      </c>
      <c r="S267" s="29">
        <f t="shared" si="53"/>
        <v>0</v>
      </c>
      <c r="T267" s="24">
        <f t="shared" si="54"/>
        <v>0</v>
      </c>
      <c r="U267" s="31">
        <f t="shared" si="55"/>
        <v>0</v>
      </c>
      <c r="V267" s="32">
        <f t="shared" si="61"/>
        <v>0</v>
      </c>
      <c r="W267" s="32">
        <f t="shared" si="56"/>
        <v>0</v>
      </c>
      <c r="X267" s="33">
        <v>0</v>
      </c>
      <c r="Y267" s="30">
        <f t="shared" si="57"/>
        <v>0</v>
      </c>
    </row>
    <row r="268" spans="1:25" ht="16.5" x14ac:dyDescent="0.3">
      <c r="A268" s="34">
        <v>876</v>
      </c>
      <c r="B268" s="34">
        <v>1</v>
      </c>
      <c r="C268" s="1" t="s">
        <v>325</v>
      </c>
      <c r="D268" s="24">
        <f>'[1]FY13 9-16-13 to copy to sheet'!F260</f>
        <v>171000</v>
      </c>
      <c r="E268" s="25">
        <v>1890.75</v>
      </c>
      <c r="F268" s="20">
        <v>1668</v>
      </c>
      <c r="G268" s="20">
        <v>66</v>
      </c>
      <c r="H268" s="23">
        <f t="shared" ref="H268:H331" si="62">IF(F268=0,0,G268/F268)</f>
        <v>3.9568345323741004E-2</v>
      </c>
      <c r="I268" s="29">
        <f t="shared" si="58"/>
        <v>26184.85</v>
      </c>
      <c r="J268" s="24">
        <f t="shared" si="59"/>
        <v>95578</v>
      </c>
      <c r="K268" s="24">
        <f t="shared" ref="K268:K331" si="63">I268+J268</f>
        <v>121762.85</v>
      </c>
      <c r="L268" s="30">
        <v>140670</v>
      </c>
      <c r="M268" s="30">
        <f t="shared" ref="M268:M331" si="64">ROUND(L268*1.003,2)</f>
        <v>141092.01</v>
      </c>
      <c r="N268" s="29">
        <f t="shared" si="60"/>
        <v>121762.85</v>
      </c>
      <c r="O268" s="29">
        <f t="shared" ref="O268:O331" si="65">IF(N268=M268,M268-L268,ROUND(N268*0.003,2))</f>
        <v>365.29</v>
      </c>
      <c r="P268" s="29">
        <f t="shared" ref="P268:P331" si="66">N268-O268</f>
        <v>121397.56000000001</v>
      </c>
      <c r="Q268" s="30">
        <f t="shared" ref="Q268:Q331" si="67">IF(D268&gt;0,E268*Q$10,0)</f>
        <v>18907.5</v>
      </c>
      <c r="R268" s="30">
        <v>0</v>
      </c>
      <c r="S268" s="29">
        <f t="shared" ref="S268:S331" si="68">IF(R268&lt;Q268,R268,Q268)</f>
        <v>0</v>
      </c>
      <c r="T268" s="24">
        <f t="shared" ref="T268:T331" si="69">P268+S268</f>
        <v>121397.56000000001</v>
      </c>
      <c r="U268" s="31">
        <f t="shared" ref="U268:U331" si="70">T268-D268</f>
        <v>-49602.439999999988</v>
      </c>
      <c r="V268" s="32">
        <f t="shared" si="61"/>
        <v>-26.234266825333854</v>
      </c>
      <c r="W268" s="32">
        <f t="shared" ref="W268:W331" si="71">T268-X268</f>
        <v>70097.560000000012</v>
      </c>
      <c r="X268" s="33">
        <v>51300</v>
      </c>
      <c r="Y268" s="30">
        <f t="shared" ref="Y268:Y331" si="72">IF(W268&gt;0,W268,0)</f>
        <v>70097.560000000012</v>
      </c>
    </row>
    <row r="269" spans="1:25" ht="16.5" x14ac:dyDescent="0.3">
      <c r="A269" s="34">
        <v>877</v>
      </c>
      <c r="B269" s="34">
        <v>1</v>
      </c>
      <c r="C269" s="1" t="s">
        <v>326</v>
      </c>
      <c r="D269" s="24">
        <f>'[1]FY13 9-16-13 to copy to sheet'!F261</f>
        <v>614785.4</v>
      </c>
      <c r="E269" s="25">
        <v>6825.75</v>
      </c>
      <c r="F269" s="20">
        <v>5888</v>
      </c>
      <c r="G269" s="20">
        <v>423</v>
      </c>
      <c r="H269" s="23">
        <f t="shared" si="62"/>
        <v>7.1841032608695649E-2</v>
      </c>
      <c r="I269" s="29">
        <f t="shared" ref="I269:I332" si="73">ROUND(E269*H269*I$10,2)</f>
        <v>171629.12</v>
      </c>
      <c r="J269" s="24">
        <f t="shared" ref="J269:J332" si="74">ROUND(MAX(0,IF(D269=0,0,(D269-I269)*J$9)),2)</f>
        <v>292483.14</v>
      </c>
      <c r="K269" s="24">
        <f t="shared" si="63"/>
        <v>464112.26</v>
      </c>
      <c r="L269" s="30">
        <v>601245</v>
      </c>
      <c r="M269" s="30">
        <f t="shared" si="64"/>
        <v>603048.74</v>
      </c>
      <c r="N269" s="29">
        <f t="shared" ref="N269:N332" si="75">IF(M269&lt;K269,M269,K269)</f>
        <v>464112.26</v>
      </c>
      <c r="O269" s="29">
        <f t="shared" si="65"/>
        <v>1392.34</v>
      </c>
      <c r="P269" s="29">
        <f t="shared" si="66"/>
        <v>462719.92</v>
      </c>
      <c r="Q269" s="30">
        <f t="shared" si="67"/>
        <v>68257.5</v>
      </c>
      <c r="R269" s="30">
        <v>0</v>
      </c>
      <c r="S269" s="29">
        <f t="shared" si="68"/>
        <v>0</v>
      </c>
      <c r="T269" s="24">
        <f t="shared" si="69"/>
        <v>462719.92</v>
      </c>
      <c r="U269" s="31">
        <f t="shared" si="70"/>
        <v>-152065.48000000004</v>
      </c>
      <c r="V269" s="32">
        <f t="shared" ref="V269:V332" si="76">IF(E269=0,0,U269/E269)</f>
        <v>-22.278208255503063</v>
      </c>
      <c r="W269" s="32">
        <f t="shared" si="71"/>
        <v>277742.51</v>
      </c>
      <c r="X269" s="33">
        <v>184977.41</v>
      </c>
      <c r="Y269" s="30">
        <f t="shared" si="72"/>
        <v>277742.51</v>
      </c>
    </row>
    <row r="270" spans="1:25" ht="16.5" x14ac:dyDescent="0.3">
      <c r="A270" s="27">
        <v>879</v>
      </c>
      <c r="B270" s="27">
        <v>1</v>
      </c>
      <c r="C270" s="28" t="s">
        <v>327</v>
      </c>
      <c r="D270" s="24">
        <f>'[1]FY13 9-16-13 to copy to sheet'!F262</f>
        <v>0</v>
      </c>
      <c r="E270" s="25">
        <v>2713.1</v>
      </c>
      <c r="F270" s="20">
        <v>2340</v>
      </c>
      <c r="G270" s="20">
        <v>110</v>
      </c>
      <c r="H270" s="23">
        <f t="shared" si="62"/>
        <v>4.7008547008547008E-2</v>
      </c>
      <c r="I270" s="29">
        <f t="shared" si="73"/>
        <v>44638.61</v>
      </c>
      <c r="J270" s="24">
        <f t="shared" si="74"/>
        <v>0</v>
      </c>
      <c r="K270" s="24">
        <f t="shared" si="63"/>
        <v>44638.61</v>
      </c>
      <c r="L270" s="30">
        <v>0</v>
      </c>
      <c r="M270" s="30">
        <f t="shared" si="64"/>
        <v>0</v>
      </c>
      <c r="N270" s="29">
        <f t="shared" si="75"/>
        <v>0</v>
      </c>
      <c r="O270" s="29">
        <f t="shared" si="65"/>
        <v>0</v>
      </c>
      <c r="P270" s="29">
        <f t="shared" si="66"/>
        <v>0</v>
      </c>
      <c r="Q270" s="30">
        <f t="shared" si="67"/>
        <v>0</v>
      </c>
      <c r="R270" s="30">
        <v>0</v>
      </c>
      <c r="S270" s="29">
        <f t="shared" si="68"/>
        <v>0</v>
      </c>
      <c r="T270" s="24">
        <f t="shared" si="69"/>
        <v>0</v>
      </c>
      <c r="U270" s="31">
        <f t="shared" si="70"/>
        <v>0</v>
      </c>
      <c r="V270" s="32">
        <f t="shared" si="76"/>
        <v>0</v>
      </c>
      <c r="W270" s="32">
        <f t="shared" si="71"/>
        <v>0</v>
      </c>
      <c r="X270" s="33">
        <v>0</v>
      </c>
      <c r="Y270" s="30">
        <f t="shared" si="72"/>
        <v>0</v>
      </c>
    </row>
    <row r="271" spans="1:25" ht="16.5" x14ac:dyDescent="0.3">
      <c r="A271" s="27">
        <v>881</v>
      </c>
      <c r="B271" s="27">
        <v>1</v>
      </c>
      <c r="C271" s="28" t="s">
        <v>328</v>
      </c>
      <c r="D271" s="24">
        <f>'[1]FY13 9-16-13 to copy to sheet'!F263</f>
        <v>0</v>
      </c>
      <c r="E271" s="25">
        <v>1071.06</v>
      </c>
      <c r="F271" s="20">
        <v>936</v>
      </c>
      <c r="G271" s="20">
        <v>29</v>
      </c>
      <c r="H271" s="23">
        <f t="shared" si="62"/>
        <v>3.0982905982905984E-2</v>
      </c>
      <c r="I271" s="29">
        <f t="shared" si="73"/>
        <v>11614.59</v>
      </c>
      <c r="J271" s="24">
        <f t="shared" si="74"/>
        <v>0</v>
      </c>
      <c r="K271" s="24">
        <f t="shared" si="63"/>
        <v>11614.59</v>
      </c>
      <c r="L271" s="30">
        <v>0</v>
      </c>
      <c r="M271" s="30">
        <f t="shared" si="64"/>
        <v>0</v>
      </c>
      <c r="N271" s="29">
        <f t="shared" si="75"/>
        <v>0</v>
      </c>
      <c r="O271" s="29">
        <f t="shared" si="65"/>
        <v>0</v>
      </c>
      <c r="P271" s="29">
        <f t="shared" si="66"/>
        <v>0</v>
      </c>
      <c r="Q271" s="30">
        <f t="shared" si="67"/>
        <v>0</v>
      </c>
      <c r="R271" s="30">
        <v>0</v>
      </c>
      <c r="S271" s="29">
        <f t="shared" si="68"/>
        <v>0</v>
      </c>
      <c r="T271" s="24">
        <f t="shared" si="69"/>
        <v>0</v>
      </c>
      <c r="U271" s="31">
        <f t="shared" si="70"/>
        <v>0</v>
      </c>
      <c r="V271" s="32">
        <f t="shared" si="76"/>
        <v>0</v>
      </c>
      <c r="W271" s="32">
        <f t="shared" si="71"/>
        <v>0</v>
      </c>
      <c r="X271" s="33">
        <v>0</v>
      </c>
      <c r="Y271" s="30">
        <f t="shared" si="72"/>
        <v>0</v>
      </c>
    </row>
    <row r="272" spans="1:25" ht="16.5" x14ac:dyDescent="0.3">
      <c r="A272" s="27">
        <v>882</v>
      </c>
      <c r="B272" s="27">
        <v>1</v>
      </c>
      <c r="C272" s="28" t="s">
        <v>329</v>
      </c>
      <c r="D272" s="24">
        <f>'[1]FY13 9-16-13 to copy to sheet'!F264</f>
        <v>0</v>
      </c>
      <c r="E272" s="25">
        <v>4743.68</v>
      </c>
      <c r="F272" s="20">
        <v>4137</v>
      </c>
      <c r="G272" s="20">
        <v>395</v>
      </c>
      <c r="H272" s="23">
        <f t="shared" si="62"/>
        <v>9.5479816291999031E-2</v>
      </c>
      <c r="I272" s="29">
        <f t="shared" si="73"/>
        <v>158523.99</v>
      </c>
      <c r="J272" s="24">
        <f t="shared" si="74"/>
        <v>0</v>
      </c>
      <c r="K272" s="24">
        <f t="shared" si="63"/>
        <v>158523.99</v>
      </c>
      <c r="L272" s="30">
        <v>0</v>
      </c>
      <c r="M272" s="30">
        <f t="shared" si="64"/>
        <v>0</v>
      </c>
      <c r="N272" s="29">
        <f t="shared" si="75"/>
        <v>0</v>
      </c>
      <c r="O272" s="29">
        <f t="shared" si="65"/>
        <v>0</v>
      </c>
      <c r="P272" s="29">
        <f t="shared" si="66"/>
        <v>0</v>
      </c>
      <c r="Q272" s="30">
        <f t="shared" si="67"/>
        <v>0</v>
      </c>
      <c r="R272" s="30">
        <v>0</v>
      </c>
      <c r="S272" s="29">
        <f t="shared" si="68"/>
        <v>0</v>
      </c>
      <c r="T272" s="24">
        <f t="shared" si="69"/>
        <v>0</v>
      </c>
      <c r="U272" s="31">
        <f t="shared" si="70"/>
        <v>0</v>
      </c>
      <c r="V272" s="32">
        <f t="shared" si="76"/>
        <v>0</v>
      </c>
      <c r="W272" s="32">
        <f t="shared" si="71"/>
        <v>0</v>
      </c>
      <c r="X272" s="33">
        <v>0</v>
      </c>
      <c r="Y272" s="30">
        <f t="shared" si="72"/>
        <v>0</v>
      </c>
    </row>
    <row r="273" spans="1:25" ht="16.5" x14ac:dyDescent="0.3">
      <c r="A273" s="34">
        <v>883</v>
      </c>
      <c r="B273" s="34">
        <v>1</v>
      </c>
      <c r="C273" s="1" t="s">
        <v>330</v>
      </c>
      <c r="D273" s="24">
        <f>'[1]FY13 9-16-13 to copy to sheet'!F265</f>
        <v>165784</v>
      </c>
      <c r="E273" s="25">
        <v>1855.08</v>
      </c>
      <c r="F273" s="20">
        <v>1596</v>
      </c>
      <c r="G273" s="20">
        <v>184</v>
      </c>
      <c r="H273" s="23">
        <f t="shared" si="62"/>
        <v>0.11528822055137844</v>
      </c>
      <c r="I273" s="29">
        <f t="shared" si="73"/>
        <v>74854.11</v>
      </c>
      <c r="J273" s="24">
        <f t="shared" si="74"/>
        <v>60013.73</v>
      </c>
      <c r="K273" s="24">
        <f t="shared" si="63"/>
        <v>134867.84</v>
      </c>
      <c r="L273" s="30">
        <v>174156</v>
      </c>
      <c r="M273" s="30">
        <f t="shared" si="64"/>
        <v>174678.47</v>
      </c>
      <c r="N273" s="29">
        <f t="shared" si="75"/>
        <v>134867.84</v>
      </c>
      <c r="O273" s="29">
        <f t="shared" si="65"/>
        <v>404.6</v>
      </c>
      <c r="P273" s="29">
        <f t="shared" si="66"/>
        <v>134463.24</v>
      </c>
      <c r="Q273" s="30">
        <f t="shared" si="67"/>
        <v>18550.8</v>
      </c>
      <c r="R273" s="30">
        <v>0</v>
      </c>
      <c r="S273" s="29">
        <f t="shared" si="68"/>
        <v>0</v>
      </c>
      <c r="T273" s="24">
        <f t="shared" si="69"/>
        <v>134463.24</v>
      </c>
      <c r="U273" s="31">
        <f t="shared" si="70"/>
        <v>-31320.760000000009</v>
      </c>
      <c r="V273" s="32">
        <f t="shared" si="76"/>
        <v>-16.883778597149455</v>
      </c>
      <c r="W273" s="32">
        <f t="shared" si="71"/>
        <v>86246.039999999979</v>
      </c>
      <c r="X273" s="33">
        <v>48217.200000000004</v>
      </c>
      <c r="Y273" s="30">
        <f t="shared" si="72"/>
        <v>86246.039999999979</v>
      </c>
    </row>
    <row r="274" spans="1:25" ht="16.5" x14ac:dyDescent="0.3">
      <c r="A274" s="27">
        <v>885</v>
      </c>
      <c r="B274" s="27">
        <v>1</v>
      </c>
      <c r="C274" s="28" t="s">
        <v>331</v>
      </c>
      <c r="D274" s="24">
        <f>'[1]FY13 9-16-13 to copy to sheet'!F266</f>
        <v>0</v>
      </c>
      <c r="E274" s="25">
        <v>6627.9</v>
      </c>
      <c r="F274" s="20">
        <v>5645</v>
      </c>
      <c r="G274" s="20">
        <v>487</v>
      </c>
      <c r="H274" s="23">
        <f t="shared" si="62"/>
        <v>8.6271036315323291E-2</v>
      </c>
      <c r="I274" s="29">
        <f t="shared" si="73"/>
        <v>200128.53</v>
      </c>
      <c r="J274" s="24">
        <f t="shared" si="74"/>
        <v>0</v>
      </c>
      <c r="K274" s="24">
        <f t="shared" si="63"/>
        <v>200128.53</v>
      </c>
      <c r="L274" s="30">
        <v>0</v>
      </c>
      <c r="M274" s="30">
        <f t="shared" si="64"/>
        <v>0</v>
      </c>
      <c r="N274" s="29">
        <f t="shared" si="75"/>
        <v>0</v>
      </c>
      <c r="O274" s="29">
        <f t="shared" si="65"/>
        <v>0</v>
      </c>
      <c r="P274" s="29">
        <f t="shared" si="66"/>
        <v>0</v>
      </c>
      <c r="Q274" s="30">
        <f t="shared" si="67"/>
        <v>0</v>
      </c>
      <c r="R274" s="30">
        <v>0</v>
      </c>
      <c r="S274" s="29">
        <f t="shared" si="68"/>
        <v>0</v>
      </c>
      <c r="T274" s="24">
        <f t="shared" si="69"/>
        <v>0</v>
      </c>
      <c r="U274" s="31">
        <f t="shared" si="70"/>
        <v>0</v>
      </c>
      <c r="V274" s="32">
        <f t="shared" si="76"/>
        <v>0</v>
      </c>
      <c r="W274" s="32">
        <f t="shared" si="71"/>
        <v>0</v>
      </c>
      <c r="X274" s="33">
        <v>0</v>
      </c>
      <c r="Y274" s="30">
        <f t="shared" si="72"/>
        <v>0</v>
      </c>
    </row>
    <row r="275" spans="1:25" ht="16.5" x14ac:dyDescent="0.3">
      <c r="A275" s="34">
        <v>891</v>
      </c>
      <c r="B275" s="34">
        <v>1</v>
      </c>
      <c r="C275" s="1" t="s">
        <v>332</v>
      </c>
      <c r="D275" s="24">
        <f>'[1]FY13 9-16-13 to copy to sheet'!F267</f>
        <v>53305.72</v>
      </c>
      <c r="E275" s="25">
        <v>596.03</v>
      </c>
      <c r="F275" s="20">
        <v>500</v>
      </c>
      <c r="G275" s="20">
        <v>23</v>
      </c>
      <c r="H275" s="23">
        <f t="shared" si="62"/>
        <v>4.5999999999999999E-2</v>
      </c>
      <c r="I275" s="29">
        <f t="shared" si="73"/>
        <v>9596.08</v>
      </c>
      <c r="J275" s="24">
        <f t="shared" si="74"/>
        <v>28848.36</v>
      </c>
      <c r="K275" s="24">
        <f t="shared" si="63"/>
        <v>38444.44</v>
      </c>
      <c r="L275" s="30">
        <v>44722</v>
      </c>
      <c r="M275" s="30">
        <f t="shared" si="64"/>
        <v>44856.17</v>
      </c>
      <c r="N275" s="29">
        <f t="shared" si="75"/>
        <v>38444.44</v>
      </c>
      <c r="O275" s="29">
        <f t="shared" si="65"/>
        <v>115.33</v>
      </c>
      <c r="P275" s="29">
        <f t="shared" si="66"/>
        <v>38329.11</v>
      </c>
      <c r="Q275" s="30">
        <f t="shared" si="67"/>
        <v>5960.2999999999993</v>
      </c>
      <c r="R275" s="30">
        <v>0</v>
      </c>
      <c r="S275" s="29">
        <f t="shared" si="68"/>
        <v>0</v>
      </c>
      <c r="T275" s="24">
        <f t="shared" si="69"/>
        <v>38329.11</v>
      </c>
      <c r="U275" s="31">
        <f t="shared" si="70"/>
        <v>-14976.61</v>
      </c>
      <c r="V275" s="32">
        <f t="shared" si="76"/>
        <v>-25.127275472711109</v>
      </c>
      <c r="W275" s="32">
        <f t="shared" si="71"/>
        <v>21559.35</v>
      </c>
      <c r="X275" s="33">
        <v>16769.760000000002</v>
      </c>
      <c r="Y275" s="30">
        <f t="shared" si="72"/>
        <v>21559.35</v>
      </c>
    </row>
    <row r="276" spans="1:25" ht="16.5" x14ac:dyDescent="0.3">
      <c r="A276" s="27">
        <v>911</v>
      </c>
      <c r="B276" s="27">
        <v>1</v>
      </c>
      <c r="C276" s="28" t="s">
        <v>333</v>
      </c>
      <c r="D276" s="24">
        <f>'[1]FY13 9-16-13 to copy to sheet'!F268</f>
        <v>0</v>
      </c>
      <c r="E276" s="25">
        <v>6162.22</v>
      </c>
      <c r="F276" s="20">
        <v>5089</v>
      </c>
      <c r="G276" s="20">
        <v>345</v>
      </c>
      <c r="H276" s="23">
        <f t="shared" si="62"/>
        <v>6.7793279622715655E-2</v>
      </c>
      <c r="I276" s="29">
        <f t="shared" si="73"/>
        <v>146214.99</v>
      </c>
      <c r="J276" s="24">
        <f t="shared" si="74"/>
        <v>0</v>
      </c>
      <c r="K276" s="24">
        <f t="shared" si="63"/>
        <v>146214.99</v>
      </c>
      <c r="L276" s="30">
        <v>0</v>
      </c>
      <c r="M276" s="30">
        <f t="shared" si="64"/>
        <v>0</v>
      </c>
      <c r="N276" s="29">
        <f t="shared" si="75"/>
        <v>0</v>
      </c>
      <c r="O276" s="29">
        <f t="shared" si="65"/>
        <v>0</v>
      </c>
      <c r="P276" s="29">
        <f t="shared" si="66"/>
        <v>0</v>
      </c>
      <c r="Q276" s="30">
        <f t="shared" si="67"/>
        <v>0</v>
      </c>
      <c r="R276" s="30">
        <v>0</v>
      </c>
      <c r="S276" s="29">
        <f t="shared" si="68"/>
        <v>0</v>
      </c>
      <c r="T276" s="24">
        <f t="shared" si="69"/>
        <v>0</v>
      </c>
      <c r="U276" s="31">
        <f t="shared" si="70"/>
        <v>0</v>
      </c>
      <c r="V276" s="32">
        <f t="shared" si="76"/>
        <v>0</v>
      </c>
      <c r="W276" s="32">
        <f t="shared" si="71"/>
        <v>0</v>
      </c>
      <c r="X276" s="33">
        <v>0</v>
      </c>
      <c r="Y276" s="30">
        <f t="shared" si="72"/>
        <v>0</v>
      </c>
    </row>
    <row r="277" spans="1:25" ht="16.5" x14ac:dyDescent="0.3">
      <c r="A277" s="27">
        <v>912</v>
      </c>
      <c r="B277" s="27">
        <v>1</v>
      </c>
      <c r="C277" s="28" t="s">
        <v>334</v>
      </c>
      <c r="D277" s="24">
        <f>'[1]FY13 9-16-13 to copy to sheet'!F269</f>
        <v>0</v>
      </c>
      <c r="E277" s="25">
        <v>2108.27</v>
      </c>
      <c r="F277" s="20">
        <v>1890</v>
      </c>
      <c r="G277" s="20">
        <v>71</v>
      </c>
      <c r="H277" s="23">
        <f t="shared" si="62"/>
        <v>3.7566137566137567E-2</v>
      </c>
      <c r="I277" s="29">
        <f t="shared" si="73"/>
        <v>27719.85</v>
      </c>
      <c r="J277" s="24">
        <f t="shared" si="74"/>
        <v>0</v>
      </c>
      <c r="K277" s="24">
        <f t="shared" si="63"/>
        <v>27719.85</v>
      </c>
      <c r="L277" s="30">
        <v>0</v>
      </c>
      <c r="M277" s="30">
        <f t="shared" si="64"/>
        <v>0</v>
      </c>
      <c r="N277" s="29">
        <f t="shared" si="75"/>
        <v>0</v>
      </c>
      <c r="O277" s="29">
        <f t="shared" si="65"/>
        <v>0</v>
      </c>
      <c r="P277" s="29">
        <f t="shared" si="66"/>
        <v>0</v>
      </c>
      <c r="Q277" s="30">
        <f t="shared" si="67"/>
        <v>0</v>
      </c>
      <c r="R277" s="30">
        <v>0</v>
      </c>
      <c r="S277" s="29">
        <f t="shared" si="68"/>
        <v>0</v>
      </c>
      <c r="T277" s="24">
        <f t="shared" si="69"/>
        <v>0</v>
      </c>
      <c r="U277" s="31">
        <f t="shared" si="70"/>
        <v>0</v>
      </c>
      <c r="V277" s="32">
        <f t="shared" si="76"/>
        <v>0</v>
      </c>
      <c r="W277" s="32">
        <f t="shared" si="71"/>
        <v>0</v>
      </c>
      <c r="X277" s="33">
        <v>0</v>
      </c>
      <c r="Y277" s="30">
        <f t="shared" si="72"/>
        <v>0</v>
      </c>
    </row>
    <row r="278" spans="1:25" ht="16.5" x14ac:dyDescent="0.3">
      <c r="A278" s="27">
        <v>914</v>
      </c>
      <c r="B278" s="27">
        <v>1</v>
      </c>
      <c r="C278" s="28" t="s">
        <v>335</v>
      </c>
      <c r="D278" s="24">
        <f>'[1]FY13 9-16-13 to copy to sheet'!F270</f>
        <v>0</v>
      </c>
      <c r="E278" s="25">
        <v>328.45</v>
      </c>
      <c r="F278" s="20">
        <v>303</v>
      </c>
      <c r="G278" s="20">
        <v>30</v>
      </c>
      <c r="H278" s="23">
        <f t="shared" si="62"/>
        <v>9.9009900990099015E-2</v>
      </c>
      <c r="I278" s="29">
        <f t="shared" si="73"/>
        <v>11381.93</v>
      </c>
      <c r="J278" s="24">
        <f t="shared" si="74"/>
        <v>0</v>
      </c>
      <c r="K278" s="24">
        <f t="shared" si="63"/>
        <v>11381.93</v>
      </c>
      <c r="L278" s="30">
        <v>0</v>
      </c>
      <c r="M278" s="30">
        <f t="shared" si="64"/>
        <v>0</v>
      </c>
      <c r="N278" s="29">
        <f t="shared" si="75"/>
        <v>0</v>
      </c>
      <c r="O278" s="29">
        <f t="shared" si="65"/>
        <v>0</v>
      </c>
      <c r="P278" s="29">
        <f t="shared" si="66"/>
        <v>0</v>
      </c>
      <c r="Q278" s="30">
        <f t="shared" si="67"/>
        <v>0</v>
      </c>
      <c r="R278" s="30">
        <v>0</v>
      </c>
      <c r="S278" s="29">
        <f t="shared" si="68"/>
        <v>0</v>
      </c>
      <c r="T278" s="24">
        <f t="shared" si="69"/>
        <v>0</v>
      </c>
      <c r="U278" s="31">
        <f t="shared" si="70"/>
        <v>0</v>
      </c>
      <c r="V278" s="32">
        <f t="shared" si="76"/>
        <v>0</v>
      </c>
      <c r="W278" s="32">
        <f t="shared" si="71"/>
        <v>0</v>
      </c>
      <c r="X278" s="33">
        <v>0</v>
      </c>
      <c r="Y278" s="30">
        <f t="shared" si="72"/>
        <v>0</v>
      </c>
    </row>
    <row r="279" spans="1:25" ht="16.5" x14ac:dyDescent="0.3">
      <c r="A279" s="34">
        <v>2071</v>
      </c>
      <c r="B279" s="34">
        <v>1</v>
      </c>
      <c r="C279" s="1" t="s">
        <v>336</v>
      </c>
      <c r="D279" s="24">
        <f>'[1]FY13 9-16-13 to copy to sheet'!F271</f>
        <v>73447.289999999994</v>
      </c>
      <c r="E279" s="25">
        <v>947.38</v>
      </c>
      <c r="F279" s="20">
        <v>821</v>
      </c>
      <c r="G279" s="20">
        <v>30</v>
      </c>
      <c r="H279" s="23">
        <f t="shared" si="62"/>
        <v>3.6540803897685749E-2</v>
      </c>
      <c r="I279" s="29">
        <f t="shared" si="73"/>
        <v>12116.31</v>
      </c>
      <c r="J279" s="24">
        <f t="shared" si="74"/>
        <v>40478.449999999997</v>
      </c>
      <c r="K279" s="24">
        <f t="shared" si="63"/>
        <v>52594.759999999995</v>
      </c>
      <c r="L279" s="30">
        <v>73447.289999999994</v>
      </c>
      <c r="M279" s="30">
        <f t="shared" si="64"/>
        <v>73667.63</v>
      </c>
      <c r="N279" s="29">
        <f t="shared" si="75"/>
        <v>52594.759999999995</v>
      </c>
      <c r="O279" s="29">
        <f t="shared" si="65"/>
        <v>157.78</v>
      </c>
      <c r="P279" s="29">
        <f t="shared" si="66"/>
        <v>52436.979999999996</v>
      </c>
      <c r="Q279" s="30">
        <f t="shared" si="67"/>
        <v>9473.7999999999993</v>
      </c>
      <c r="R279" s="30">
        <v>0</v>
      </c>
      <c r="S279" s="29">
        <f t="shared" si="68"/>
        <v>0</v>
      </c>
      <c r="T279" s="24">
        <f t="shared" si="69"/>
        <v>52436.979999999996</v>
      </c>
      <c r="U279" s="31">
        <f t="shared" si="70"/>
        <v>-21010.309999999998</v>
      </c>
      <c r="V279" s="32">
        <f t="shared" si="76"/>
        <v>-22.17727838881969</v>
      </c>
      <c r="W279" s="32">
        <f t="shared" si="71"/>
        <v>30662.689999999995</v>
      </c>
      <c r="X279" s="33">
        <v>21774.29</v>
      </c>
      <c r="Y279" s="30">
        <f t="shared" si="72"/>
        <v>30662.689999999995</v>
      </c>
    </row>
    <row r="280" spans="1:25" ht="16.5" x14ac:dyDescent="0.3">
      <c r="A280" s="27">
        <v>2125</v>
      </c>
      <c r="B280" s="27">
        <v>1</v>
      </c>
      <c r="C280" s="28" t="s">
        <v>337</v>
      </c>
      <c r="D280" s="24">
        <f>'[1]FY13 9-16-13 to copy to sheet'!F272</f>
        <v>0</v>
      </c>
      <c r="E280" s="25">
        <v>1393.08</v>
      </c>
      <c r="F280" s="20">
        <v>1202</v>
      </c>
      <c r="G280" s="20">
        <v>208</v>
      </c>
      <c r="H280" s="23">
        <f t="shared" si="62"/>
        <v>0.17304492512479203</v>
      </c>
      <c r="I280" s="29">
        <f t="shared" si="73"/>
        <v>84372.9</v>
      </c>
      <c r="J280" s="24">
        <f t="shared" si="74"/>
        <v>0</v>
      </c>
      <c r="K280" s="24">
        <f t="shared" si="63"/>
        <v>84372.9</v>
      </c>
      <c r="L280" s="30">
        <v>0</v>
      </c>
      <c r="M280" s="30">
        <f t="shared" si="64"/>
        <v>0</v>
      </c>
      <c r="N280" s="29">
        <f t="shared" si="75"/>
        <v>0</v>
      </c>
      <c r="O280" s="29">
        <f t="shared" si="65"/>
        <v>0</v>
      </c>
      <c r="P280" s="29">
        <f t="shared" si="66"/>
        <v>0</v>
      </c>
      <c r="Q280" s="30">
        <f t="shared" si="67"/>
        <v>0</v>
      </c>
      <c r="R280" s="30">
        <v>0</v>
      </c>
      <c r="S280" s="29">
        <f t="shared" si="68"/>
        <v>0</v>
      </c>
      <c r="T280" s="24">
        <f t="shared" si="69"/>
        <v>0</v>
      </c>
      <c r="U280" s="31">
        <f t="shared" si="70"/>
        <v>0</v>
      </c>
      <c r="V280" s="32">
        <f t="shared" si="76"/>
        <v>0</v>
      </c>
      <c r="W280" s="32">
        <f t="shared" si="71"/>
        <v>0</v>
      </c>
      <c r="X280" s="33">
        <v>0</v>
      </c>
      <c r="Y280" s="30">
        <f t="shared" si="72"/>
        <v>0</v>
      </c>
    </row>
    <row r="281" spans="1:25" ht="16.5" x14ac:dyDescent="0.3">
      <c r="A281" s="27">
        <v>2134</v>
      </c>
      <c r="B281" s="27">
        <v>1</v>
      </c>
      <c r="C281" s="28" t="s">
        <v>338</v>
      </c>
      <c r="D281" s="24">
        <f>'[1]FY13 9-16-13 to copy to sheet'!F273</f>
        <v>0</v>
      </c>
      <c r="E281" s="25">
        <v>751.15</v>
      </c>
      <c r="F281" s="20">
        <v>640</v>
      </c>
      <c r="G281" s="20">
        <v>92</v>
      </c>
      <c r="H281" s="23">
        <f t="shared" si="62"/>
        <v>0.14374999999999999</v>
      </c>
      <c r="I281" s="29">
        <f t="shared" si="73"/>
        <v>37792.230000000003</v>
      </c>
      <c r="J281" s="24">
        <f t="shared" si="74"/>
        <v>0</v>
      </c>
      <c r="K281" s="24">
        <f t="shared" si="63"/>
        <v>37792.230000000003</v>
      </c>
      <c r="L281" s="30">
        <v>0</v>
      </c>
      <c r="M281" s="30">
        <f t="shared" si="64"/>
        <v>0</v>
      </c>
      <c r="N281" s="29">
        <f t="shared" si="75"/>
        <v>0</v>
      </c>
      <c r="O281" s="29">
        <f t="shared" si="65"/>
        <v>0</v>
      </c>
      <c r="P281" s="29">
        <f t="shared" si="66"/>
        <v>0</v>
      </c>
      <c r="Q281" s="30">
        <f t="shared" si="67"/>
        <v>0</v>
      </c>
      <c r="R281" s="30">
        <v>0</v>
      </c>
      <c r="S281" s="29">
        <f t="shared" si="68"/>
        <v>0</v>
      </c>
      <c r="T281" s="24">
        <f t="shared" si="69"/>
        <v>0</v>
      </c>
      <c r="U281" s="31">
        <f t="shared" si="70"/>
        <v>0</v>
      </c>
      <c r="V281" s="32">
        <f t="shared" si="76"/>
        <v>0</v>
      </c>
      <c r="W281" s="32">
        <f t="shared" si="71"/>
        <v>0</v>
      </c>
      <c r="X281" s="33">
        <v>0</v>
      </c>
      <c r="Y281" s="30">
        <f t="shared" si="72"/>
        <v>0</v>
      </c>
    </row>
    <row r="282" spans="1:25" ht="16.5" x14ac:dyDescent="0.3">
      <c r="A282" s="34">
        <v>2135</v>
      </c>
      <c r="B282" s="34">
        <v>1</v>
      </c>
      <c r="C282" s="1" t="s">
        <v>339</v>
      </c>
      <c r="D282" s="24">
        <f>'[1]FY13 9-16-13 to copy to sheet'!F274</f>
        <v>110336.52</v>
      </c>
      <c r="E282" s="25">
        <v>1208.19</v>
      </c>
      <c r="F282" s="20">
        <v>1049</v>
      </c>
      <c r="G282" s="20">
        <v>43</v>
      </c>
      <c r="H282" s="23">
        <f t="shared" si="62"/>
        <v>4.0991420400381312E-2</v>
      </c>
      <c r="I282" s="29">
        <f t="shared" si="73"/>
        <v>17333.900000000001</v>
      </c>
      <c r="J282" s="24">
        <f t="shared" si="74"/>
        <v>61381.73</v>
      </c>
      <c r="K282" s="24">
        <f t="shared" si="63"/>
        <v>78715.63</v>
      </c>
      <c r="L282" s="30">
        <v>115000</v>
      </c>
      <c r="M282" s="30">
        <f t="shared" si="64"/>
        <v>115345</v>
      </c>
      <c r="N282" s="29">
        <f t="shared" si="75"/>
        <v>78715.63</v>
      </c>
      <c r="O282" s="29">
        <f t="shared" si="65"/>
        <v>236.15</v>
      </c>
      <c r="P282" s="29">
        <f t="shared" si="66"/>
        <v>78479.48000000001</v>
      </c>
      <c r="Q282" s="30">
        <f t="shared" si="67"/>
        <v>12081.900000000001</v>
      </c>
      <c r="R282" s="30">
        <v>0</v>
      </c>
      <c r="S282" s="29">
        <f t="shared" si="68"/>
        <v>0</v>
      </c>
      <c r="T282" s="24">
        <f t="shared" si="69"/>
        <v>78479.48000000001</v>
      </c>
      <c r="U282" s="31">
        <f t="shared" si="70"/>
        <v>-31857.039999999994</v>
      </c>
      <c r="V282" s="32">
        <f t="shared" si="76"/>
        <v>-26.367574636439628</v>
      </c>
      <c r="W282" s="32">
        <f t="shared" si="71"/>
        <v>44735.170000000013</v>
      </c>
      <c r="X282" s="33">
        <v>33744.31</v>
      </c>
      <c r="Y282" s="30">
        <f t="shared" si="72"/>
        <v>44735.170000000013</v>
      </c>
    </row>
    <row r="283" spans="1:25" ht="16.5" x14ac:dyDescent="0.3">
      <c r="A283" s="7">
        <v>2137</v>
      </c>
      <c r="B283" s="27">
        <v>1</v>
      </c>
      <c r="C283" s="7" t="s">
        <v>340</v>
      </c>
      <c r="D283" s="24">
        <f>'[1]FY13 9-16-13 to copy to sheet'!F275</f>
        <v>0</v>
      </c>
      <c r="E283" s="25">
        <v>706.22</v>
      </c>
      <c r="F283" s="20">
        <v>609</v>
      </c>
      <c r="G283" s="20">
        <v>13</v>
      </c>
      <c r="H283" s="23">
        <f t="shared" si="62"/>
        <v>2.1346469622331693E-2</v>
      </c>
      <c r="I283" s="29">
        <f t="shared" si="73"/>
        <v>5276.36</v>
      </c>
      <c r="J283" s="24">
        <f t="shared" si="74"/>
        <v>0</v>
      </c>
      <c r="K283" s="24">
        <f t="shared" si="63"/>
        <v>5276.36</v>
      </c>
      <c r="L283" s="30">
        <v>0</v>
      </c>
      <c r="M283" s="30">
        <f t="shared" si="64"/>
        <v>0</v>
      </c>
      <c r="N283" s="29">
        <f t="shared" si="75"/>
        <v>0</v>
      </c>
      <c r="O283" s="29">
        <f t="shared" si="65"/>
        <v>0</v>
      </c>
      <c r="P283" s="29">
        <f t="shared" si="66"/>
        <v>0</v>
      </c>
      <c r="Q283" s="30">
        <f t="shared" si="67"/>
        <v>0</v>
      </c>
      <c r="R283" s="30">
        <v>0</v>
      </c>
      <c r="S283" s="29">
        <f t="shared" si="68"/>
        <v>0</v>
      </c>
      <c r="T283" s="24">
        <f t="shared" si="69"/>
        <v>0</v>
      </c>
      <c r="U283" s="31">
        <f t="shared" si="70"/>
        <v>0</v>
      </c>
      <c r="V283" s="32">
        <f t="shared" si="76"/>
        <v>0</v>
      </c>
      <c r="W283" s="32">
        <f t="shared" si="71"/>
        <v>0</v>
      </c>
      <c r="X283" s="33">
        <v>0</v>
      </c>
      <c r="Y283" s="30">
        <f t="shared" si="72"/>
        <v>0</v>
      </c>
    </row>
    <row r="284" spans="1:25" ht="16.5" x14ac:dyDescent="0.3">
      <c r="A284" s="7">
        <v>2142</v>
      </c>
      <c r="B284" s="27">
        <v>1</v>
      </c>
      <c r="C284" s="7" t="s">
        <v>341</v>
      </c>
      <c r="D284" s="24">
        <f>'[1]FY13 9-16-13 to copy to sheet'!F276</f>
        <v>0</v>
      </c>
      <c r="E284" s="25">
        <v>2145.35</v>
      </c>
      <c r="F284" s="20">
        <v>1923</v>
      </c>
      <c r="G284" s="20">
        <v>289</v>
      </c>
      <c r="H284" s="23">
        <f t="shared" si="62"/>
        <v>0.15028601144045761</v>
      </c>
      <c r="I284" s="29">
        <f t="shared" si="73"/>
        <v>112845.63</v>
      </c>
      <c r="J284" s="24">
        <f t="shared" si="74"/>
        <v>0</v>
      </c>
      <c r="K284" s="24">
        <f t="shared" si="63"/>
        <v>112845.63</v>
      </c>
      <c r="L284" s="30">
        <v>0</v>
      </c>
      <c r="M284" s="30">
        <f t="shared" si="64"/>
        <v>0</v>
      </c>
      <c r="N284" s="29">
        <f t="shared" si="75"/>
        <v>0</v>
      </c>
      <c r="O284" s="29">
        <f t="shared" si="65"/>
        <v>0</v>
      </c>
      <c r="P284" s="29">
        <f t="shared" si="66"/>
        <v>0</v>
      </c>
      <c r="Q284" s="30">
        <f t="shared" si="67"/>
        <v>0</v>
      </c>
      <c r="R284" s="30">
        <v>0</v>
      </c>
      <c r="S284" s="29">
        <f t="shared" si="68"/>
        <v>0</v>
      </c>
      <c r="T284" s="24">
        <f t="shared" si="69"/>
        <v>0</v>
      </c>
      <c r="U284" s="31">
        <f t="shared" si="70"/>
        <v>0</v>
      </c>
      <c r="V284" s="32">
        <f t="shared" si="76"/>
        <v>0</v>
      </c>
      <c r="W284" s="32">
        <f t="shared" si="71"/>
        <v>0</v>
      </c>
      <c r="X284" s="33">
        <v>0</v>
      </c>
      <c r="Y284" s="30">
        <f t="shared" si="72"/>
        <v>0</v>
      </c>
    </row>
    <row r="285" spans="1:25" ht="16.5" x14ac:dyDescent="0.3">
      <c r="A285" s="34">
        <v>2143</v>
      </c>
      <c r="B285" s="34">
        <v>1</v>
      </c>
      <c r="C285" s="1" t="s">
        <v>342</v>
      </c>
      <c r="D285" s="24">
        <f>'[1]FY13 9-16-13 to copy to sheet'!F277</f>
        <v>88872</v>
      </c>
      <c r="E285" s="25">
        <v>952</v>
      </c>
      <c r="F285" s="20">
        <v>857</v>
      </c>
      <c r="G285" s="20">
        <v>32</v>
      </c>
      <c r="H285" s="23">
        <f t="shared" si="62"/>
        <v>3.7339556592765458E-2</v>
      </c>
      <c r="I285" s="29">
        <f t="shared" si="73"/>
        <v>12441.54</v>
      </c>
      <c r="J285" s="24">
        <f t="shared" si="74"/>
        <v>50444.1</v>
      </c>
      <c r="K285" s="24">
        <f t="shared" si="63"/>
        <v>62885.64</v>
      </c>
      <c r="L285" s="30">
        <v>91513</v>
      </c>
      <c r="M285" s="30">
        <f t="shared" si="64"/>
        <v>91787.54</v>
      </c>
      <c r="N285" s="29">
        <f t="shared" si="75"/>
        <v>62885.64</v>
      </c>
      <c r="O285" s="29">
        <f t="shared" si="65"/>
        <v>188.66</v>
      </c>
      <c r="P285" s="29">
        <f t="shared" si="66"/>
        <v>62696.979999999996</v>
      </c>
      <c r="Q285" s="30">
        <f t="shared" si="67"/>
        <v>9520</v>
      </c>
      <c r="R285" s="30">
        <v>0</v>
      </c>
      <c r="S285" s="29">
        <f t="shared" si="68"/>
        <v>0</v>
      </c>
      <c r="T285" s="24">
        <f t="shared" si="69"/>
        <v>62696.979999999996</v>
      </c>
      <c r="U285" s="31">
        <f t="shared" si="70"/>
        <v>-26175.020000000004</v>
      </c>
      <c r="V285" s="32">
        <f t="shared" si="76"/>
        <v>-27.494768907563028</v>
      </c>
      <c r="W285" s="32">
        <f t="shared" si="71"/>
        <v>35117.399999999994</v>
      </c>
      <c r="X285" s="33">
        <v>27579.58</v>
      </c>
      <c r="Y285" s="30">
        <f t="shared" si="72"/>
        <v>35117.399999999994</v>
      </c>
    </row>
    <row r="286" spans="1:25" ht="16.5" x14ac:dyDescent="0.3">
      <c r="A286" s="37">
        <v>2144</v>
      </c>
      <c r="B286" s="37">
        <v>1</v>
      </c>
      <c r="C286" s="37" t="s">
        <v>343</v>
      </c>
      <c r="D286" s="24">
        <f>'[1]FY13 9-16-13 to copy to sheet'!F278</f>
        <v>0</v>
      </c>
      <c r="E286" s="25">
        <v>3899.26</v>
      </c>
      <c r="F286" s="20">
        <v>3384</v>
      </c>
      <c r="G286" s="20">
        <v>161</v>
      </c>
      <c r="H286" s="23">
        <f t="shared" si="62"/>
        <v>4.7576832151300236E-2</v>
      </c>
      <c r="I286" s="29">
        <f t="shared" si="73"/>
        <v>64930.05</v>
      </c>
      <c r="J286" s="24">
        <f t="shared" si="74"/>
        <v>0</v>
      </c>
      <c r="K286" s="24">
        <f t="shared" si="63"/>
        <v>64930.05</v>
      </c>
      <c r="L286" s="30">
        <v>0</v>
      </c>
      <c r="M286" s="30">
        <f t="shared" si="64"/>
        <v>0</v>
      </c>
      <c r="N286" s="29">
        <f t="shared" si="75"/>
        <v>0</v>
      </c>
      <c r="O286" s="29">
        <f t="shared" si="65"/>
        <v>0</v>
      </c>
      <c r="P286" s="29">
        <f t="shared" si="66"/>
        <v>0</v>
      </c>
      <c r="Q286" s="30">
        <f t="shared" si="67"/>
        <v>0</v>
      </c>
      <c r="R286" s="30">
        <v>0</v>
      </c>
      <c r="S286" s="29">
        <f t="shared" si="68"/>
        <v>0</v>
      </c>
      <c r="T286" s="24">
        <f t="shared" si="69"/>
        <v>0</v>
      </c>
      <c r="U286" s="31">
        <f t="shared" si="70"/>
        <v>0</v>
      </c>
      <c r="V286" s="32">
        <f t="shared" si="76"/>
        <v>0</v>
      </c>
      <c r="W286" s="32">
        <f t="shared" si="71"/>
        <v>0</v>
      </c>
      <c r="X286" s="33">
        <v>0</v>
      </c>
      <c r="Y286" s="30">
        <f t="shared" si="72"/>
        <v>0</v>
      </c>
    </row>
    <row r="287" spans="1:25" ht="16.5" x14ac:dyDescent="0.3">
      <c r="A287" s="7">
        <v>2149</v>
      </c>
      <c r="B287" s="7">
        <v>1</v>
      </c>
      <c r="C287" s="7" t="s">
        <v>344</v>
      </c>
      <c r="D287" s="24">
        <f>'[1]FY13 9-16-13 to copy to sheet'!F279</f>
        <v>0</v>
      </c>
      <c r="E287" s="25">
        <v>1193.29</v>
      </c>
      <c r="F287" s="20">
        <v>1102</v>
      </c>
      <c r="G287" s="20">
        <v>53</v>
      </c>
      <c r="H287" s="23">
        <f t="shared" si="62"/>
        <v>4.8094373865698731E-2</v>
      </c>
      <c r="I287" s="29">
        <f t="shared" si="73"/>
        <v>20086.689999999999</v>
      </c>
      <c r="J287" s="24">
        <f t="shared" si="74"/>
        <v>0</v>
      </c>
      <c r="K287" s="24">
        <f t="shared" si="63"/>
        <v>20086.689999999999</v>
      </c>
      <c r="L287" s="30">
        <v>0</v>
      </c>
      <c r="M287" s="30">
        <f t="shared" si="64"/>
        <v>0</v>
      </c>
      <c r="N287" s="29">
        <f t="shared" si="75"/>
        <v>0</v>
      </c>
      <c r="O287" s="29">
        <f t="shared" si="65"/>
        <v>0</v>
      </c>
      <c r="P287" s="29">
        <f t="shared" si="66"/>
        <v>0</v>
      </c>
      <c r="Q287" s="30">
        <f t="shared" si="67"/>
        <v>0</v>
      </c>
      <c r="R287" s="30">
        <v>0</v>
      </c>
      <c r="S287" s="29">
        <f t="shared" si="68"/>
        <v>0</v>
      </c>
      <c r="T287" s="24">
        <f t="shared" si="69"/>
        <v>0</v>
      </c>
      <c r="U287" s="31">
        <f t="shared" si="70"/>
        <v>0</v>
      </c>
      <c r="V287" s="32">
        <f t="shared" si="76"/>
        <v>0</v>
      </c>
      <c r="W287" s="32">
        <f t="shared" si="71"/>
        <v>0</v>
      </c>
      <c r="X287" s="33">
        <v>0</v>
      </c>
      <c r="Y287" s="30">
        <f t="shared" si="72"/>
        <v>0</v>
      </c>
    </row>
    <row r="288" spans="1:25" ht="16.5" x14ac:dyDescent="0.3">
      <c r="A288" s="7">
        <v>2154</v>
      </c>
      <c r="B288" s="7">
        <v>1</v>
      </c>
      <c r="C288" s="7" t="s">
        <v>345</v>
      </c>
      <c r="D288" s="24">
        <f>'[1]FY13 9-16-13 to copy to sheet'!F280</f>
        <v>0</v>
      </c>
      <c r="E288" s="25">
        <v>1281.7</v>
      </c>
      <c r="F288" s="20">
        <v>1103</v>
      </c>
      <c r="G288" s="20">
        <v>63</v>
      </c>
      <c r="H288" s="23">
        <f t="shared" si="62"/>
        <v>5.7116953762466005E-2</v>
      </c>
      <c r="I288" s="29">
        <f t="shared" si="73"/>
        <v>25622.38</v>
      </c>
      <c r="J288" s="24">
        <f t="shared" si="74"/>
        <v>0</v>
      </c>
      <c r="K288" s="24">
        <f t="shared" si="63"/>
        <v>25622.38</v>
      </c>
      <c r="L288" s="30">
        <v>0</v>
      </c>
      <c r="M288" s="30">
        <f t="shared" si="64"/>
        <v>0</v>
      </c>
      <c r="N288" s="29">
        <f t="shared" si="75"/>
        <v>0</v>
      </c>
      <c r="O288" s="29">
        <f t="shared" si="65"/>
        <v>0</v>
      </c>
      <c r="P288" s="29">
        <f t="shared" si="66"/>
        <v>0</v>
      </c>
      <c r="Q288" s="30">
        <f t="shared" si="67"/>
        <v>0</v>
      </c>
      <c r="R288" s="30">
        <v>0</v>
      </c>
      <c r="S288" s="29">
        <f t="shared" si="68"/>
        <v>0</v>
      </c>
      <c r="T288" s="24">
        <f t="shared" si="69"/>
        <v>0</v>
      </c>
      <c r="U288" s="31">
        <f t="shared" si="70"/>
        <v>0</v>
      </c>
      <c r="V288" s="32">
        <f t="shared" si="76"/>
        <v>0</v>
      </c>
      <c r="W288" s="32">
        <f t="shared" si="71"/>
        <v>0</v>
      </c>
      <c r="X288" s="33">
        <v>0</v>
      </c>
      <c r="Y288" s="30">
        <f t="shared" si="72"/>
        <v>0</v>
      </c>
    </row>
    <row r="289" spans="1:25" ht="16.5" x14ac:dyDescent="0.3">
      <c r="A289" s="7">
        <v>2155</v>
      </c>
      <c r="B289" s="7">
        <v>1</v>
      </c>
      <c r="C289" s="7" t="s">
        <v>346</v>
      </c>
      <c r="D289" s="24">
        <f>'[1]FY13 9-16-13 to copy to sheet'!F281</f>
        <v>0</v>
      </c>
      <c r="E289" s="25">
        <v>1191.6099999999999</v>
      </c>
      <c r="F289" s="20">
        <v>986</v>
      </c>
      <c r="G289" s="20">
        <v>73</v>
      </c>
      <c r="H289" s="23">
        <f t="shared" si="62"/>
        <v>7.4036511156186618E-2</v>
      </c>
      <c r="I289" s="29">
        <f t="shared" si="73"/>
        <v>30877.93</v>
      </c>
      <c r="J289" s="24">
        <f t="shared" si="74"/>
        <v>0</v>
      </c>
      <c r="K289" s="24">
        <f t="shared" si="63"/>
        <v>30877.93</v>
      </c>
      <c r="L289" s="30">
        <v>0</v>
      </c>
      <c r="M289" s="30">
        <f t="shared" si="64"/>
        <v>0</v>
      </c>
      <c r="N289" s="29">
        <f t="shared" si="75"/>
        <v>0</v>
      </c>
      <c r="O289" s="29">
        <f t="shared" si="65"/>
        <v>0</v>
      </c>
      <c r="P289" s="29">
        <f t="shared" si="66"/>
        <v>0</v>
      </c>
      <c r="Q289" s="30">
        <f t="shared" si="67"/>
        <v>0</v>
      </c>
      <c r="R289" s="30">
        <v>0</v>
      </c>
      <c r="S289" s="29">
        <f t="shared" si="68"/>
        <v>0</v>
      </c>
      <c r="T289" s="24">
        <f t="shared" si="69"/>
        <v>0</v>
      </c>
      <c r="U289" s="31">
        <f t="shared" si="70"/>
        <v>0</v>
      </c>
      <c r="V289" s="32">
        <f t="shared" si="76"/>
        <v>0</v>
      </c>
      <c r="W289" s="32">
        <f t="shared" si="71"/>
        <v>0</v>
      </c>
      <c r="X289" s="33">
        <v>0</v>
      </c>
      <c r="Y289" s="30">
        <f t="shared" si="72"/>
        <v>0</v>
      </c>
    </row>
    <row r="290" spans="1:25" ht="16.5" x14ac:dyDescent="0.3">
      <c r="A290" s="7">
        <v>2159</v>
      </c>
      <c r="B290" s="7">
        <v>1</v>
      </c>
      <c r="C290" s="7" t="s">
        <v>347</v>
      </c>
      <c r="D290" s="24">
        <f>'[1]FY13 9-16-13 to copy to sheet'!F282</f>
        <v>0</v>
      </c>
      <c r="E290" s="25">
        <v>660.31</v>
      </c>
      <c r="F290" s="20">
        <v>571</v>
      </c>
      <c r="G290" s="20">
        <v>89</v>
      </c>
      <c r="H290" s="23">
        <f t="shared" si="62"/>
        <v>0.15586690017513136</v>
      </c>
      <c r="I290" s="29">
        <f t="shared" si="73"/>
        <v>36022.17</v>
      </c>
      <c r="J290" s="24">
        <f t="shared" si="74"/>
        <v>0</v>
      </c>
      <c r="K290" s="24">
        <f t="shared" si="63"/>
        <v>36022.17</v>
      </c>
      <c r="L290" s="30">
        <v>0</v>
      </c>
      <c r="M290" s="30">
        <f t="shared" si="64"/>
        <v>0</v>
      </c>
      <c r="N290" s="29">
        <f t="shared" si="75"/>
        <v>0</v>
      </c>
      <c r="O290" s="29">
        <f t="shared" si="65"/>
        <v>0</v>
      </c>
      <c r="P290" s="29">
        <f t="shared" si="66"/>
        <v>0</v>
      </c>
      <c r="Q290" s="30">
        <f t="shared" si="67"/>
        <v>0</v>
      </c>
      <c r="R290" s="30">
        <v>0</v>
      </c>
      <c r="S290" s="29">
        <f t="shared" si="68"/>
        <v>0</v>
      </c>
      <c r="T290" s="24">
        <f t="shared" si="69"/>
        <v>0</v>
      </c>
      <c r="U290" s="31">
        <f t="shared" si="70"/>
        <v>0</v>
      </c>
      <c r="V290" s="32">
        <f t="shared" si="76"/>
        <v>0</v>
      </c>
      <c r="W290" s="32">
        <f t="shared" si="71"/>
        <v>0</v>
      </c>
      <c r="X290" s="33">
        <v>0</v>
      </c>
      <c r="Y290" s="30">
        <f t="shared" si="72"/>
        <v>0</v>
      </c>
    </row>
    <row r="291" spans="1:25" ht="16.5" x14ac:dyDescent="0.3">
      <c r="A291" s="7">
        <v>2164</v>
      </c>
      <c r="B291" s="7">
        <v>1</v>
      </c>
      <c r="C291" s="7" t="s">
        <v>348</v>
      </c>
      <c r="D291" s="24">
        <f>'[1]FY13 9-16-13 to copy to sheet'!F283</f>
        <v>0</v>
      </c>
      <c r="E291" s="25">
        <v>1724</v>
      </c>
      <c r="F291" s="20">
        <v>1486</v>
      </c>
      <c r="G291" s="20">
        <v>105</v>
      </c>
      <c r="H291" s="23">
        <f t="shared" si="62"/>
        <v>7.0659488559892333E-2</v>
      </c>
      <c r="I291" s="29">
        <f t="shared" si="73"/>
        <v>42635.94</v>
      </c>
      <c r="J291" s="24">
        <f t="shared" si="74"/>
        <v>0</v>
      </c>
      <c r="K291" s="24">
        <f t="shared" si="63"/>
        <v>42635.94</v>
      </c>
      <c r="L291" s="30">
        <v>0</v>
      </c>
      <c r="M291" s="30">
        <f t="shared" si="64"/>
        <v>0</v>
      </c>
      <c r="N291" s="29">
        <f t="shared" si="75"/>
        <v>0</v>
      </c>
      <c r="O291" s="29">
        <f t="shared" si="65"/>
        <v>0</v>
      </c>
      <c r="P291" s="29">
        <f t="shared" si="66"/>
        <v>0</v>
      </c>
      <c r="Q291" s="30">
        <f t="shared" si="67"/>
        <v>0</v>
      </c>
      <c r="R291" s="30">
        <v>0</v>
      </c>
      <c r="S291" s="29">
        <f t="shared" si="68"/>
        <v>0</v>
      </c>
      <c r="T291" s="24">
        <f t="shared" si="69"/>
        <v>0</v>
      </c>
      <c r="U291" s="31">
        <f t="shared" si="70"/>
        <v>0</v>
      </c>
      <c r="V291" s="32">
        <f t="shared" si="76"/>
        <v>0</v>
      </c>
      <c r="W291" s="32">
        <f t="shared" si="71"/>
        <v>0</v>
      </c>
      <c r="X291" s="33">
        <v>0</v>
      </c>
      <c r="Y291" s="30">
        <f t="shared" si="72"/>
        <v>0</v>
      </c>
    </row>
    <row r="292" spans="1:25" ht="16.5" x14ac:dyDescent="0.3">
      <c r="A292" s="7">
        <v>2165</v>
      </c>
      <c r="B292" s="7">
        <v>1</v>
      </c>
      <c r="C292" s="7" t="s">
        <v>349</v>
      </c>
      <c r="D292" s="24">
        <f>'[1]FY13 9-16-13 to copy to sheet'!F284</f>
        <v>7000</v>
      </c>
      <c r="E292" s="25">
        <v>1161.19</v>
      </c>
      <c r="F292" s="20">
        <v>980</v>
      </c>
      <c r="G292" s="20">
        <v>234</v>
      </c>
      <c r="H292" s="23">
        <f t="shared" si="62"/>
        <v>0.23877551020408164</v>
      </c>
      <c r="I292" s="29">
        <f t="shared" si="73"/>
        <v>97042.31</v>
      </c>
      <c r="J292" s="24">
        <f t="shared" si="74"/>
        <v>0</v>
      </c>
      <c r="K292" s="24">
        <f t="shared" si="63"/>
        <v>97042.31</v>
      </c>
      <c r="L292" s="30">
        <v>100568</v>
      </c>
      <c r="M292" s="30">
        <f t="shared" si="64"/>
        <v>100869.7</v>
      </c>
      <c r="N292" s="29">
        <f t="shared" si="75"/>
        <v>97042.31</v>
      </c>
      <c r="O292" s="29">
        <f t="shared" si="65"/>
        <v>291.13</v>
      </c>
      <c r="P292" s="29">
        <f t="shared" si="66"/>
        <v>96751.18</v>
      </c>
      <c r="Q292" s="30">
        <f t="shared" si="67"/>
        <v>11611.900000000001</v>
      </c>
      <c r="R292" s="30">
        <v>0</v>
      </c>
      <c r="S292" s="29">
        <f t="shared" si="68"/>
        <v>0</v>
      </c>
      <c r="T292" s="24">
        <f t="shared" si="69"/>
        <v>96751.18</v>
      </c>
      <c r="U292" s="31">
        <f t="shared" si="70"/>
        <v>89751.18</v>
      </c>
      <c r="V292" s="32">
        <f t="shared" si="76"/>
        <v>77.2924155392313</v>
      </c>
      <c r="W292" s="32">
        <f t="shared" si="71"/>
        <v>96751.18</v>
      </c>
      <c r="X292" s="33">
        <v>0</v>
      </c>
      <c r="Y292" s="30">
        <f t="shared" si="72"/>
        <v>96751.18</v>
      </c>
    </row>
    <row r="293" spans="1:25" ht="16.5" x14ac:dyDescent="0.3">
      <c r="A293" s="34">
        <v>2167</v>
      </c>
      <c r="B293" s="34">
        <v>1</v>
      </c>
      <c r="C293" s="1" t="s">
        <v>350</v>
      </c>
      <c r="D293" s="24">
        <f>'[1]FY13 9-16-13 to copy to sheet'!F285</f>
        <v>63287</v>
      </c>
      <c r="E293" s="25">
        <v>709.7</v>
      </c>
      <c r="F293" s="20">
        <v>612</v>
      </c>
      <c r="G293" s="20">
        <v>37</v>
      </c>
      <c r="H293" s="23">
        <f t="shared" si="62"/>
        <v>6.0457516339869281E-2</v>
      </c>
      <c r="I293" s="29">
        <f t="shared" si="73"/>
        <v>15017.34</v>
      </c>
      <c r="J293" s="24">
        <f t="shared" si="74"/>
        <v>31857.98</v>
      </c>
      <c r="K293" s="24">
        <f t="shared" si="63"/>
        <v>46875.32</v>
      </c>
      <c r="L293" s="30">
        <v>63287</v>
      </c>
      <c r="M293" s="30">
        <f t="shared" si="64"/>
        <v>63476.86</v>
      </c>
      <c r="N293" s="29">
        <f t="shared" si="75"/>
        <v>46875.32</v>
      </c>
      <c r="O293" s="29">
        <f t="shared" si="65"/>
        <v>140.63</v>
      </c>
      <c r="P293" s="29">
        <f t="shared" si="66"/>
        <v>46734.69</v>
      </c>
      <c r="Q293" s="30">
        <f t="shared" si="67"/>
        <v>7097</v>
      </c>
      <c r="R293" s="30">
        <v>0</v>
      </c>
      <c r="S293" s="29">
        <f t="shared" si="68"/>
        <v>0</v>
      </c>
      <c r="T293" s="24">
        <f t="shared" si="69"/>
        <v>46734.69</v>
      </c>
      <c r="U293" s="31">
        <f t="shared" si="70"/>
        <v>-16552.309999999998</v>
      </c>
      <c r="V293" s="32">
        <f t="shared" si="76"/>
        <v>-23.322967451035645</v>
      </c>
      <c r="W293" s="32">
        <f t="shared" si="71"/>
        <v>28772.79</v>
      </c>
      <c r="X293" s="33">
        <v>17961.900000000001</v>
      </c>
      <c r="Y293" s="30">
        <f t="shared" si="72"/>
        <v>28772.79</v>
      </c>
    </row>
    <row r="294" spans="1:25" ht="16.5" x14ac:dyDescent="0.3">
      <c r="A294" s="34">
        <v>2168</v>
      </c>
      <c r="B294" s="34">
        <v>1</v>
      </c>
      <c r="C294" s="1" t="s">
        <v>351</v>
      </c>
      <c r="D294" s="24">
        <f>'[1]FY13 9-16-13 to copy to sheet'!F286</f>
        <v>0</v>
      </c>
      <c r="E294" s="25">
        <v>1085.5899999999999</v>
      </c>
      <c r="F294" s="20">
        <v>952</v>
      </c>
      <c r="G294" s="20">
        <v>18</v>
      </c>
      <c r="H294" s="23">
        <f t="shared" si="62"/>
        <v>1.8907563025210083E-2</v>
      </c>
      <c r="I294" s="29">
        <f t="shared" si="73"/>
        <v>7184.05</v>
      </c>
      <c r="J294" s="24">
        <f t="shared" si="74"/>
        <v>0</v>
      </c>
      <c r="K294" s="24">
        <f t="shared" si="63"/>
        <v>7184.05</v>
      </c>
      <c r="L294" s="30">
        <v>0</v>
      </c>
      <c r="M294" s="30">
        <f t="shared" si="64"/>
        <v>0</v>
      </c>
      <c r="N294" s="29">
        <f t="shared" si="75"/>
        <v>0</v>
      </c>
      <c r="O294" s="29">
        <f t="shared" si="65"/>
        <v>0</v>
      </c>
      <c r="P294" s="29">
        <f t="shared" si="66"/>
        <v>0</v>
      </c>
      <c r="Q294" s="30">
        <f t="shared" si="67"/>
        <v>0</v>
      </c>
      <c r="R294" s="30">
        <v>0</v>
      </c>
      <c r="S294" s="29">
        <f t="shared" si="68"/>
        <v>0</v>
      </c>
      <c r="T294" s="24">
        <f t="shared" si="69"/>
        <v>0</v>
      </c>
      <c r="U294" s="31">
        <f t="shared" si="70"/>
        <v>0</v>
      </c>
      <c r="V294" s="32">
        <f t="shared" si="76"/>
        <v>0</v>
      </c>
      <c r="W294" s="32">
        <f t="shared" si="71"/>
        <v>0</v>
      </c>
      <c r="X294" s="33">
        <v>0</v>
      </c>
      <c r="Y294" s="30">
        <f t="shared" si="72"/>
        <v>0</v>
      </c>
    </row>
    <row r="295" spans="1:25" ht="16.5" x14ac:dyDescent="0.3">
      <c r="A295" s="34">
        <v>2169</v>
      </c>
      <c r="B295" s="34">
        <v>1</v>
      </c>
      <c r="C295" s="1" t="s">
        <v>352</v>
      </c>
      <c r="D295" s="24">
        <f>'[1]FY13 9-16-13 to copy to sheet'!F287</f>
        <v>70000</v>
      </c>
      <c r="E295" s="25">
        <v>854.21</v>
      </c>
      <c r="F295" s="20">
        <v>736</v>
      </c>
      <c r="G295" s="20">
        <v>47</v>
      </c>
      <c r="H295" s="23">
        <f t="shared" si="62"/>
        <v>6.3858695652173919E-2</v>
      </c>
      <c r="I295" s="29">
        <f t="shared" si="73"/>
        <v>19092.060000000001</v>
      </c>
      <c r="J295" s="24">
        <f t="shared" si="74"/>
        <v>33599.24</v>
      </c>
      <c r="K295" s="24">
        <f t="shared" si="63"/>
        <v>52691.3</v>
      </c>
      <c r="L295" s="30">
        <v>70000</v>
      </c>
      <c r="M295" s="30">
        <f t="shared" si="64"/>
        <v>70210</v>
      </c>
      <c r="N295" s="29">
        <f t="shared" si="75"/>
        <v>52691.3</v>
      </c>
      <c r="O295" s="29">
        <f t="shared" si="65"/>
        <v>158.07</v>
      </c>
      <c r="P295" s="29">
        <f t="shared" si="66"/>
        <v>52533.23</v>
      </c>
      <c r="Q295" s="30">
        <f t="shared" si="67"/>
        <v>8542.1</v>
      </c>
      <c r="R295" s="30">
        <v>0</v>
      </c>
      <c r="S295" s="29">
        <f t="shared" si="68"/>
        <v>0</v>
      </c>
      <c r="T295" s="24">
        <f t="shared" si="69"/>
        <v>52533.23</v>
      </c>
      <c r="U295" s="31">
        <f t="shared" si="70"/>
        <v>-17466.769999999997</v>
      </c>
      <c r="V295" s="32">
        <f t="shared" si="76"/>
        <v>-20.447864108357425</v>
      </c>
      <c r="W295" s="32">
        <f t="shared" si="71"/>
        <v>31533.230000000003</v>
      </c>
      <c r="X295" s="33">
        <v>21000</v>
      </c>
      <c r="Y295" s="30">
        <f t="shared" si="72"/>
        <v>31533.230000000003</v>
      </c>
    </row>
    <row r="296" spans="1:25" ht="16.5" x14ac:dyDescent="0.3">
      <c r="A296" s="7">
        <v>2170</v>
      </c>
      <c r="B296" s="7">
        <v>1</v>
      </c>
      <c r="C296" s="7" t="s">
        <v>353</v>
      </c>
      <c r="D296" s="24">
        <f>'[1]FY13 9-16-13 to copy to sheet'!F288</f>
        <v>0</v>
      </c>
      <c r="E296" s="25">
        <v>1350.45</v>
      </c>
      <c r="F296" s="20">
        <v>1178</v>
      </c>
      <c r="G296" s="20">
        <v>82</v>
      </c>
      <c r="H296" s="23">
        <f t="shared" si="62"/>
        <v>6.9609507640067916E-2</v>
      </c>
      <c r="I296" s="29">
        <f t="shared" si="73"/>
        <v>32901.46</v>
      </c>
      <c r="J296" s="24">
        <f t="shared" si="74"/>
        <v>0</v>
      </c>
      <c r="K296" s="24">
        <f t="shared" si="63"/>
        <v>32901.46</v>
      </c>
      <c r="L296" s="30">
        <v>0</v>
      </c>
      <c r="M296" s="30">
        <f t="shared" si="64"/>
        <v>0</v>
      </c>
      <c r="N296" s="29">
        <f t="shared" si="75"/>
        <v>0</v>
      </c>
      <c r="O296" s="29">
        <f t="shared" si="65"/>
        <v>0</v>
      </c>
      <c r="P296" s="29">
        <f t="shared" si="66"/>
        <v>0</v>
      </c>
      <c r="Q296" s="30">
        <f t="shared" si="67"/>
        <v>0</v>
      </c>
      <c r="R296" s="30">
        <v>0</v>
      </c>
      <c r="S296" s="29">
        <f t="shared" si="68"/>
        <v>0</v>
      </c>
      <c r="T296" s="24">
        <f t="shared" si="69"/>
        <v>0</v>
      </c>
      <c r="U296" s="31">
        <f t="shared" si="70"/>
        <v>0</v>
      </c>
      <c r="V296" s="32">
        <f t="shared" si="76"/>
        <v>0</v>
      </c>
      <c r="W296" s="32">
        <f t="shared" si="71"/>
        <v>0</v>
      </c>
      <c r="X296" s="33">
        <v>0</v>
      </c>
      <c r="Y296" s="30">
        <f t="shared" si="72"/>
        <v>0</v>
      </c>
    </row>
    <row r="297" spans="1:25" ht="16.5" x14ac:dyDescent="0.3">
      <c r="A297" s="7">
        <v>2171</v>
      </c>
      <c r="B297" s="7">
        <v>1</v>
      </c>
      <c r="C297" s="7" t="s">
        <v>354</v>
      </c>
      <c r="D297" s="24">
        <f>'[1]FY13 9-16-13 to copy to sheet'!F289</f>
        <v>0</v>
      </c>
      <c r="E297" s="25">
        <v>305.43</v>
      </c>
      <c r="F297" s="20">
        <v>319</v>
      </c>
      <c r="G297" s="20">
        <v>21</v>
      </c>
      <c r="H297" s="23">
        <f t="shared" si="62"/>
        <v>6.5830721003134793E-2</v>
      </c>
      <c r="I297" s="29">
        <f t="shared" si="73"/>
        <v>7037.34</v>
      </c>
      <c r="J297" s="24">
        <f t="shared" si="74"/>
        <v>0</v>
      </c>
      <c r="K297" s="24">
        <f t="shared" si="63"/>
        <v>7037.34</v>
      </c>
      <c r="L297" s="30">
        <v>0</v>
      </c>
      <c r="M297" s="30">
        <f t="shared" si="64"/>
        <v>0</v>
      </c>
      <c r="N297" s="29">
        <f t="shared" si="75"/>
        <v>0</v>
      </c>
      <c r="O297" s="29">
        <f t="shared" si="65"/>
        <v>0</v>
      </c>
      <c r="P297" s="29">
        <f t="shared" si="66"/>
        <v>0</v>
      </c>
      <c r="Q297" s="30">
        <f t="shared" si="67"/>
        <v>0</v>
      </c>
      <c r="R297" s="30">
        <v>0</v>
      </c>
      <c r="S297" s="29">
        <f t="shared" si="68"/>
        <v>0</v>
      </c>
      <c r="T297" s="24">
        <f t="shared" si="69"/>
        <v>0</v>
      </c>
      <c r="U297" s="31">
        <f t="shared" si="70"/>
        <v>0</v>
      </c>
      <c r="V297" s="32">
        <f t="shared" si="76"/>
        <v>0</v>
      </c>
      <c r="W297" s="32">
        <f t="shared" si="71"/>
        <v>0</v>
      </c>
      <c r="X297" s="33">
        <v>0</v>
      </c>
      <c r="Y297" s="30">
        <f t="shared" si="72"/>
        <v>0</v>
      </c>
    </row>
    <row r="298" spans="1:25" ht="16.5" x14ac:dyDescent="0.3">
      <c r="A298" s="7">
        <v>2172</v>
      </c>
      <c r="B298" s="7">
        <v>1</v>
      </c>
      <c r="C298" s="7" t="s">
        <v>355</v>
      </c>
      <c r="D298" s="24">
        <f>'[1]FY13 9-16-13 to copy to sheet'!F290</f>
        <v>0</v>
      </c>
      <c r="E298" s="25">
        <v>952.61</v>
      </c>
      <c r="F298" s="20">
        <v>846</v>
      </c>
      <c r="G298" s="20">
        <v>89</v>
      </c>
      <c r="H298" s="23">
        <f t="shared" si="62"/>
        <v>0.10520094562647754</v>
      </c>
      <c r="I298" s="29">
        <f t="shared" si="73"/>
        <v>35075.42</v>
      </c>
      <c r="J298" s="24">
        <f t="shared" si="74"/>
        <v>0</v>
      </c>
      <c r="K298" s="24">
        <f t="shared" si="63"/>
        <v>35075.42</v>
      </c>
      <c r="L298" s="30">
        <v>0</v>
      </c>
      <c r="M298" s="30">
        <f t="shared" si="64"/>
        <v>0</v>
      </c>
      <c r="N298" s="29">
        <f t="shared" si="75"/>
        <v>0</v>
      </c>
      <c r="O298" s="29">
        <f t="shared" si="65"/>
        <v>0</v>
      </c>
      <c r="P298" s="29">
        <f t="shared" si="66"/>
        <v>0</v>
      </c>
      <c r="Q298" s="30">
        <f t="shared" si="67"/>
        <v>0</v>
      </c>
      <c r="R298" s="30">
        <v>0</v>
      </c>
      <c r="S298" s="29">
        <f t="shared" si="68"/>
        <v>0</v>
      </c>
      <c r="T298" s="24">
        <f t="shared" si="69"/>
        <v>0</v>
      </c>
      <c r="U298" s="31">
        <f t="shared" si="70"/>
        <v>0</v>
      </c>
      <c r="V298" s="32">
        <f t="shared" si="76"/>
        <v>0</v>
      </c>
      <c r="W298" s="32">
        <f t="shared" si="71"/>
        <v>0</v>
      </c>
      <c r="X298" s="33">
        <v>0</v>
      </c>
      <c r="Y298" s="30">
        <f t="shared" si="72"/>
        <v>0</v>
      </c>
    </row>
    <row r="299" spans="1:25" ht="16.5" x14ac:dyDescent="0.3">
      <c r="A299" s="7">
        <v>2174</v>
      </c>
      <c r="B299" s="7">
        <v>1</v>
      </c>
      <c r="C299" s="7" t="s">
        <v>356</v>
      </c>
      <c r="D299" s="24">
        <f>'[1]FY13 9-16-13 to copy to sheet'!F291</f>
        <v>0</v>
      </c>
      <c r="E299" s="25">
        <v>1066.95</v>
      </c>
      <c r="F299" s="20">
        <v>921</v>
      </c>
      <c r="G299" s="20">
        <v>65</v>
      </c>
      <c r="H299" s="23">
        <f t="shared" si="62"/>
        <v>7.0575461454940286E-2</v>
      </c>
      <c r="I299" s="29">
        <f t="shared" si="73"/>
        <v>26355.17</v>
      </c>
      <c r="J299" s="24">
        <f t="shared" si="74"/>
        <v>0</v>
      </c>
      <c r="K299" s="24">
        <f t="shared" si="63"/>
        <v>26355.17</v>
      </c>
      <c r="L299" s="30">
        <v>0</v>
      </c>
      <c r="M299" s="30">
        <f t="shared" si="64"/>
        <v>0</v>
      </c>
      <c r="N299" s="29">
        <f t="shared" si="75"/>
        <v>0</v>
      </c>
      <c r="O299" s="29">
        <f t="shared" si="65"/>
        <v>0</v>
      </c>
      <c r="P299" s="29">
        <f t="shared" si="66"/>
        <v>0</v>
      </c>
      <c r="Q299" s="30">
        <f t="shared" si="67"/>
        <v>0</v>
      </c>
      <c r="R299" s="30">
        <v>0</v>
      </c>
      <c r="S299" s="29">
        <f t="shared" si="68"/>
        <v>0</v>
      </c>
      <c r="T299" s="24">
        <f t="shared" si="69"/>
        <v>0</v>
      </c>
      <c r="U299" s="31">
        <f t="shared" si="70"/>
        <v>0</v>
      </c>
      <c r="V299" s="32">
        <f t="shared" si="76"/>
        <v>0</v>
      </c>
      <c r="W299" s="32">
        <f t="shared" si="71"/>
        <v>0</v>
      </c>
      <c r="X299" s="33">
        <v>0</v>
      </c>
      <c r="Y299" s="30">
        <f t="shared" si="72"/>
        <v>0</v>
      </c>
    </row>
    <row r="300" spans="1:25" ht="16.5" x14ac:dyDescent="0.3">
      <c r="A300" s="7">
        <v>2176</v>
      </c>
      <c r="B300" s="7">
        <v>1</v>
      </c>
      <c r="C300" s="7" t="s">
        <v>357</v>
      </c>
      <c r="D300" s="24">
        <f>'[1]FY13 9-16-13 to copy to sheet'!F292</f>
        <v>0</v>
      </c>
      <c r="E300" s="25">
        <v>476.2</v>
      </c>
      <c r="F300" s="20">
        <v>438</v>
      </c>
      <c r="G300" s="20">
        <v>79</v>
      </c>
      <c r="H300" s="23">
        <f t="shared" si="62"/>
        <v>0.18036529680365296</v>
      </c>
      <c r="I300" s="29">
        <f t="shared" si="73"/>
        <v>30061.48</v>
      </c>
      <c r="J300" s="24">
        <f t="shared" si="74"/>
        <v>0</v>
      </c>
      <c r="K300" s="24">
        <f t="shared" si="63"/>
        <v>30061.48</v>
      </c>
      <c r="L300" s="30">
        <v>0</v>
      </c>
      <c r="M300" s="30">
        <f t="shared" si="64"/>
        <v>0</v>
      </c>
      <c r="N300" s="29">
        <f t="shared" si="75"/>
        <v>0</v>
      </c>
      <c r="O300" s="29">
        <f t="shared" si="65"/>
        <v>0</v>
      </c>
      <c r="P300" s="29">
        <f t="shared" si="66"/>
        <v>0</v>
      </c>
      <c r="Q300" s="30">
        <f t="shared" si="67"/>
        <v>0</v>
      </c>
      <c r="R300" s="30">
        <v>0</v>
      </c>
      <c r="S300" s="29">
        <f t="shared" si="68"/>
        <v>0</v>
      </c>
      <c r="T300" s="24">
        <f t="shared" si="69"/>
        <v>0</v>
      </c>
      <c r="U300" s="31">
        <f t="shared" si="70"/>
        <v>0</v>
      </c>
      <c r="V300" s="32">
        <f t="shared" si="76"/>
        <v>0</v>
      </c>
      <c r="W300" s="32">
        <f t="shared" si="71"/>
        <v>0</v>
      </c>
      <c r="X300" s="33">
        <v>0</v>
      </c>
      <c r="Y300" s="30">
        <f t="shared" si="72"/>
        <v>0</v>
      </c>
    </row>
    <row r="301" spans="1:25" ht="16.5" x14ac:dyDescent="0.3">
      <c r="A301" s="34">
        <v>2180</v>
      </c>
      <c r="B301" s="34">
        <v>1</v>
      </c>
      <c r="C301" s="1" t="s">
        <v>358</v>
      </c>
      <c r="D301" s="24">
        <f>'[1]FY13 9-16-13 to copy to sheet'!F293</f>
        <v>70397.48</v>
      </c>
      <c r="E301" s="25">
        <v>762.48</v>
      </c>
      <c r="F301" s="20">
        <v>677</v>
      </c>
      <c r="G301" s="20">
        <v>74</v>
      </c>
      <c r="H301" s="23">
        <f t="shared" si="62"/>
        <v>0.10930576070901034</v>
      </c>
      <c r="I301" s="29">
        <f t="shared" si="73"/>
        <v>29170.21</v>
      </c>
      <c r="J301" s="24">
        <f t="shared" si="74"/>
        <v>27210</v>
      </c>
      <c r="K301" s="24">
        <f t="shared" si="63"/>
        <v>56380.21</v>
      </c>
      <c r="L301" s="30">
        <v>64083</v>
      </c>
      <c r="M301" s="30">
        <f t="shared" si="64"/>
        <v>64275.25</v>
      </c>
      <c r="N301" s="29">
        <f t="shared" si="75"/>
        <v>56380.21</v>
      </c>
      <c r="O301" s="29">
        <f t="shared" si="65"/>
        <v>169.14</v>
      </c>
      <c r="P301" s="29">
        <f t="shared" si="66"/>
        <v>56211.07</v>
      </c>
      <c r="Q301" s="30">
        <f t="shared" si="67"/>
        <v>7624.8</v>
      </c>
      <c r="R301" s="30">
        <v>0</v>
      </c>
      <c r="S301" s="29">
        <f t="shared" si="68"/>
        <v>0</v>
      </c>
      <c r="T301" s="24">
        <f t="shared" si="69"/>
        <v>56211.07</v>
      </c>
      <c r="U301" s="31">
        <f t="shared" si="70"/>
        <v>-14186.409999999996</v>
      </c>
      <c r="V301" s="32">
        <f t="shared" si="76"/>
        <v>-18.605615885006813</v>
      </c>
      <c r="W301" s="32">
        <f t="shared" si="71"/>
        <v>35579.770000000004</v>
      </c>
      <c r="X301" s="33">
        <v>20631.3</v>
      </c>
      <c r="Y301" s="30">
        <f t="shared" si="72"/>
        <v>35579.770000000004</v>
      </c>
    </row>
    <row r="302" spans="1:25" ht="16.5" x14ac:dyDescent="0.3">
      <c r="A302" s="7">
        <v>2184</v>
      </c>
      <c r="B302" s="7">
        <v>1</v>
      </c>
      <c r="C302" s="7" t="s">
        <v>359</v>
      </c>
      <c r="D302" s="24">
        <f>'[1]FY13 9-16-13 to copy to sheet'!F294</f>
        <v>0</v>
      </c>
      <c r="E302" s="25">
        <v>1377.79</v>
      </c>
      <c r="F302" s="20">
        <v>1215</v>
      </c>
      <c r="G302" s="20">
        <v>88</v>
      </c>
      <c r="H302" s="23">
        <f t="shared" si="62"/>
        <v>7.2427983539094645E-2</v>
      </c>
      <c r="I302" s="29">
        <f t="shared" si="73"/>
        <v>34926.69</v>
      </c>
      <c r="J302" s="24">
        <f t="shared" si="74"/>
        <v>0</v>
      </c>
      <c r="K302" s="24">
        <f t="shared" si="63"/>
        <v>34926.69</v>
      </c>
      <c r="L302" s="30">
        <v>0</v>
      </c>
      <c r="M302" s="30">
        <f t="shared" si="64"/>
        <v>0</v>
      </c>
      <c r="N302" s="29">
        <f t="shared" si="75"/>
        <v>0</v>
      </c>
      <c r="O302" s="29">
        <f t="shared" si="65"/>
        <v>0</v>
      </c>
      <c r="P302" s="29">
        <f t="shared" si="66"/>
        <v>0</v>
      </c>
      <c r="Q302" s="30">
        <f t="shared" si="67"/>
        <v>0</v>
      </c>
      <c r="R302" s="30">
        <v>0</v>
      </c>
      <c r="S302" s="29">
        <f t="shared" si="68"/>
        <v>0</v>
      </c>
      <c r="T302" s="24">
        <f t="shared" si="69"/>
        <v>0</v>
      </c>
      <c r="U302" s="31">
        <f t="shared" si="70"/>
        <v>0</v>
      </c>
      <c r="V302" s="32">
        <f t="shared" si="76"/>
        <v>0</v>
      </c>
      <c r="W302" s="32">
        <f t="shared" si="71"/>
        <v>0</v>
      </c>
      <c r="X302" s="33">
        <v>0</v>
      </c>
      <c r="Y302" s="30">
        <f t="shared" si="72"/>
        <v>0</v>
      </c>
    </row>
    <row r="303" spans="1:25" ht="16.5" x14ac:dyDescent="0.3">
      <c r="A303" s="34">
        <v>2190</v>
      </c>
      <c r="B303" s="34">
        <v>1</v>
      </c>
      <c r="C303" s="1" t="s">
        <v>360</v>
      </c>
      <c r="D303" s="24">
        <f>'[1]FY13 9-16-13 to copy to sheet'!F295</f>
        <v>121988.85</v>
      </c>
      <c r="E303" s="25">
        <v>924.17</v>
      </c>
      <c r="F303" s="20">
        <v>830</v>
      </c>
      <c r="G303" s="20">
        <v>256</v>
      </c>
      <c r="H303" s="23">
        <f t="shared" si="62"/>
        <v>0.30843373493975906</v>
      </c>
      <c r="I303" s="29">
        <f t="shared" si="73"/>
        <v>99765.82</v>
      </c>
      <c r="J303" s="24">
        <f t="shared" si="74"/>
        <v>14667.2</v>
      </c>
      <c r="K303" s="24">
        <f t="shared" si="63"/>
        <v>114433.02</v>
      </c>
      <c r="L303" s="30">
        <v>121000</v>
      </c>
      <c r="M303" s="30">
        <f t="shared" si="64"/>
        <v>121363</v>
      </c>
      <c r="N303" s="29">
        <f t="shared" si="75"/>
        <v>114433.02</v>
      </c>
      <c r="O303" s="29">
        <f t="shared" si="65"/>
        <v>343.3</v>
      </c>
      <c r="P303" s="29">
        <f t="shared" si="66"/>
        <v>114089.72</v>
      </c>
      <c r="Q303" s="30">
        <f t="shared" si="67"/>
        <v>9241.6999999999989</v>
      </c>
      <c r="R303" s="30">
        <v>0</v>
      </c>
      <c r="S303" s="29">
        <f t="shared" si="68"/>
        <v>0</v>
      </c>
      <c r="T303" s="24">
        <f t="shared" si="69"/>
        <v>114089.72</v>
      </c>
      <c r="U303" s="31">
        <f t="shared" si="70"/>
        <v>-7899.1300000000047</v>
      </c>
      <c r="V303" s="32">
        <f t="shared" si="76"/>
        <v>-8.5472694417693766</v>
      </c>
      <c r="W303" s="32">
        <f t="shared" si="71"/>
        <v>77304.98000000001</v>
      </c>
      <c r="X303" s="33">
        <v>36784.74</v>
      </c>
      <c r="Y303" s="30">
        <f t="shared" si="72"/>
        <v>77304.98000000001</v>
      </c>
    </row>
    <row r="304" spans="1:25" ht="16.5" x14ac:dyDescent="0.3">
      <c r="A304" s="7">
        <v>2198</v>
      </c>
      <c r="B304" s="7">
        <v>1</v>
      </c>
      <c r="C304" s="7" t="s">
        <v>361</v>
      </c>
      <c r="D304" s="24">
        <f>'[1]FY13 9-16-13 to copy to sheet'!F296</f>
        <v>0</v>
      </c>
      <c r="E304" s="25">
        <v>629.28</v>
      </c>
      <c r="F304" s="20">
        <v>567</v>
      </c>
      <c r="G304" s="20">
        <v>11</v>
      </c>
      <c r="H304" s="23">
        <f t="shared" si="62"/>
        <v>1.9400352733686066E-2</v>
      </c>
      <c r="I304" s="29">
        <f t="shared" si="73"/>
        <v>4272.8900000000003</v>
      </c>
      <c r="J304" s="24">
        <f t="shared" si="74"/>
        <v>0</v>
      </c>
      <c r="K304" s="24">
        <f t="shared" si="63"/>
        <v>4272.8900000000003</v>
      </c>
      <c r="L304" s="30">
        <v>0</v>
      </c>
      <c r="M304" s="30">
        <f t="shared" si="64"/>
        <v>0</v>
      </c>
      <c r="N304" s="29">
        <f t="shared" si="75"/>
        <v>0</v>
      </c>
      <c r="O304" s="29">
        <f t="shared" si="65"/>
        <v>0</v>
      </c>
      <c r="P304" s="29">
        <f t="shared" si="66"/>
        <v>0</v>
      </c>
      <c r="Q304" s="30">
        <f t="shared" si="67"/>
        <v>0</v>
      </c>
      <c r="R304" s="30">
        <v>0</v>
      </c>
      <c r="S304" s="29">
        <f t="shared" si="68"/>
        <v>0</v>
      </c>
      <c r="T304" s="24">
        <f t="shared" si="69"/>
        <v>0</v>
      </c>
      <c r="U304" s="31">
        <f t="shared" si="70"/>
        <v>0</v>
      </c>
      <c r="V304" s="32">
        <f t="shared" si="76"/>
        <v>0</v>
      </c>
      <c r="W304" s="32">
        <f t="shared" si="71"/>
        <v>0</v>
      </c>
      <c r="X304" s="33">
        <v>0</v>
      </c>
      <c r="Y304" s="30">
        <f t="shared" si="72"/>
        <v>0</v>
      </c>
    </row>
    <row r="305" spans="1:25" ht="16.5" x14ac:dyDescent="0.3">
      <c r="A305" s="7">
        <v>2215</v>
      </c>
      <c r="B305" s="7">
        <v>1</v>
      </c>
      <c r="C305" s="7" t="s">
        <v>362</v>
      </c>
      <c r="D305" s="24">
        <f>'[1]FY13 9-16-13 to copy to sheet'!F297</f>
        <v>0</v>
      </c>
      <c r="E305" s="25">
        <v>352.53</v>
      </c>
      <c r="F305" s="20">
        <v>309</v>
      </c>
      <c r="G305" s="20">
        <v>50</v>
      </c>
      <c r="H305" s="23">
        <f t="shared" si="62"/>
        <v>0.16181229773462782</v>
      </c>
      <c r="I305" s="29">
        <f t="shared" si="73"/>
        <v>19965.29</v>
      </c>
      <c r="J305" s="24">
        <f t="shared" si="74"/>
        <v>0</v>
      </c>
      <c r="K305" s="24">
        <f t="shared" si="63"/>
        <v>19965.29</v>
      </c>
      <c r="L305" s="30">
        <v>0</v>
      </c>
      <c r="M305" s="30">
        <f t="shared" si="64"/>
        <v>0</v>
      </c>
      <c r="N305" s="29">
        <f t="shared" si="75"/>
        <v>0</v>
      </c>
      <c r="O305" s="29">
        <f t="shared" si="65"/>
        <v>0</v>
      </c>
      <c r="P305" s="29">
        <f t="shared" si="66"/>
        <v>0</v>
      </c>
      <c r="Q305" s="30">
        <f t="shared" si="67"/>
        <v>0</v>
      </c>
      <c r="R305" s="30">
        <v>0</v>
      </c>
      <c r="S305" s="29">
        <f t="shared" si="68"/>
        <v>0</v>
      </c>
      <c r="T305" s="24">
        <f t="shared" si="69"/>
        <v>0</v>
      </c>
      <c r="U305" s="31">
        <f t="shared" si="70"/>
        <v>0</v>
      </c>
      <c r="V305" s="32">
        <f t="shared" si="76"/>
        <v>0</v>
      </c>
      <c r="W305" s="32">
        <f t="shared" si="71"/>
        <v>0</v>
      </c>
      <c r="X305" s="33">
        <v>0</v>
      </c>
      <c r="Y305" s="30">
        <f t="shared" si="72"/>
        <v>0</v>
      </c>
    </row>
    <row r="306" spans="1:25" ht="16.5" x14ac:dyDescent="0.3">
      <c r="A306" s="34">
        <v>2310</v>
      </c>
      <c r="B306" s="34">
        <v>1</v>
      </c>
      <c r="C306" s="1" t="s">
        <v>363</v>
      </c>
      <c r="D306" s="24">
        <f>'[1]FY13 9-16-13 to copy to sheet'!F298</f>
        <v>183000</v>
      </c>
      <c r="E306" s="25">
        <v>1404.29</v>
      </c>
      <c r="F306" s="20">
        <v>1226</v>
      </c>
      <c r="G306" s="20">
        <v>304</v>
      </c>
      <c r="H306" s="23">
        <f t="shared" si="62"/>
        <v>0.24796084828711257</v>
      </c>
      <c r="I306" s="29">
        <f t="shared" si="73"/>
        <v>121873.13</v>
      </c>
      <c r="J306" s="24">
        <f t="shared" si="74"/>
        <v>40343.730000000003</v>
      </c>
      <c r="K306" s="24">
        <f t="shared" si="63"/>
        <v>162216.86000000002</v>
      </c>
      <c r="L306" s="30">
        <v>183000</v>
      </c>
      <c r="M306" s="30">
        <f t="shared" si="64"/>
        <v>183549</v>
      </c>
      <c r="N306" s="29">
        <f t="shared" si="75"/>
        <v>162216.86000000002</v>
      </c>
      <c r="O306" s="29">
        <f t="shared" si="65"/>
        <v>486.65</v>
      </c>
      <c r="P306" s="29">
        <f t="shared" si="66"/>
        <v>161730.21000000002</v>
      </c>
      <c r="Q306" s="30">
        <f t="shared" si="67"/>
        <v>14042.9</v>
      </c>
      <c r="R306" s="30">
        <v>0</v>
      </c>
      <c r="S306" s="29">
        <f t="shared" si="68"/>
        <v>0</v>
      </c>
      <c r="T306" s="24">
        <f t="shared" si="69"/>
        <v>161730.21000000002</v>
      </c>
      <c r="U306" s="31">
        <f t="shared" si="70"/>
        <v>-21269.789999999979</v>
      </c>
      <c r="V306" s="32">
        <f t="shared" si="76"/>
        <v>-15.146294568785635</v>
      </c>
      <c r="W306" s="32">
        <f t="shared" si="71"/>
        <v>108899.68000000002</v>
      </c>
      <c r="X306" s="33">
        <v>52830.53</v>
      </c>
      <c r="Y306" s="30">
        <f t="shared" si="72"/>
        <v>108899.68000000002</v>
      </c>
    </row>
    <row r="307" spans="1:25" ht="16.5" x14ac:dyDescent="0.3">
      <c r="A307" s="7">
        <v>2311</v>
      </c>
      <c r="B307" s="7">
        <v>1</v>
      </c>
      <c r="C307" s="7" t="s">
        <v>364</v>
      </c>
      <c r="D307" s="24">
        <f>'[1]FY13 9-16-13 to copy to sheet'!F299</f>
        <v>0</v>
      </c>
      <c r="E307" s="25">
        <v>539.54999999999995</v>
      </c>
      <c r="F307" s="20">
        <v>440</v>
      </c>
      <c r="G307" s="20">
        <v>96</v>
      </c>
      <c r="H307" s="23">
        <f t="shared" si="62"/>
        <v>0.21818181818181817</v>
      </c>
      <c r="I307" s="29">
        <f t="shared" si="73"/>
        <v>41202</v>
      </c>
      <c r="J307" s="24">
        <f t="shared" si="74"/>
        <v>0</v>
      </c>
      <c r="K307" s="24">
        <f t="shared" si="63"/>
        <v>41202</v>
      </c>
      <c r="L307" s="30">
        <v>0</v>
      </c>
      <c r="M307" s="30">
        <f t="shared" si="64"/>
        <v>0</v>
      </c>
      <c r="N307" s="29">
        <f t="shared" si="75"/>
        <v>0</v>
      </c>
      <c r="O307" s="29">
        <f t="shared" si="65"/>
        <v>0</v>
      </c>
      <c r="P307" s="29">
        <f t="shared" si="66"/>
        <v>0</v>
      </c>
      <c r="Q307" s="30">
        <f t="shared" si="67"/>
        <v>0</v>
      </c>
      <c r="R307" s="30">
        <v>0</v>
      </c>
      <c r="S307" s="29">
        <f t="shared" si="68"/>
        <v>0</v>
      </c>
      <c r="T307" s="24">
        <f t="shared" si="69"/>
        <v>0</v>
      </c>
      <c r="U307" s="31">
        <f t="shared" si="70"/>
        <v>0</v>
      </c>
      <c r="V307" s="32">
        <f t="shared" si="76"/>
        <v>0</v>
      </c>
      <c r="W307" s="32">
        <f t="shared" si="71"/>
        <v>0</v>
      </c>
      <c r="X307" s="33">
        <v>0</v>
      </c>
      <c r="Y307" s="30">
        <f t="shared" si="72"/>
        <v>0</v>
      </c>
    </row>
    <row r="308" spans="1:25" ht="16.5" x14ac:dyDescent="0.3">
      <c r="A308" s="7">
        <v>2342</v>
      </c>
      <c r="B308" s="7">
        <v>1</v>
      </c>
      <c r="C308" s="7" t="s">
        <v>365</v>
      </c>
      <c r="D308" s="24">
        <f>'[1]FY13 9-16-13 to copy to sheet'!F300</f>
        <v>0</v>
      </c>
      <c r="E308" s="25">
        <v>823.17</v>
      </c>
      <c r="F308" s="20">
        <v>717</v>
      </c>
      <c r="G308" s="20">
        <v>34</v>
      </c>
      <c r="H308" s="23">
        <f t="shared" si="62"/>
        <v>4.7419804741980473E-2</v>
      </c>
      <c r="I308" s="29">
        <f t="shared" si="73"/>
        <v>13662.1</v>
      </c>
      <c r="J308" s="24">
        <f t="shared" si="74"/>
        <v>0</v>
      </c>
      <c r="K308" s="24">
        <f t="shared" si="63"/>
        <v>13662.1</v>
      </c>
      <c r="L308" s="30">
        <v>0</v>
      </c>
      <c r="M308" s="30">
        <f t="shared" si="64"/>
        <v>0</v>
      </c>
      <c r="N308" s="29">
        <f t="shared" si="75"/>
        <v>0</v>
      </c>
      <c r="O308" s="29">
        <f t="shared" si="65"/>
        <v>0</v>
      </c>
      <c r="P308" s="29">
        <f t="shared" si="66"/>
        <v>0</v>
      </c>
      <c r="Q308" s="30">
        <f t="shared" si="67"/>
        <v>0</v>
      </c>
      <c r="R308" s="30">
        <v>0</v>
      </c>
      <c r="S308" s="29">
        <f t="shared" si="68"/>
        <v>0</v>
      </c>
      <c r="T308" s="24">
        <f t="shared" si="69"/>
        <v>0</v>
      </c>
      <c r="U308" s="31">
        <f t="shared" si="70"/>
        <v>0</v>
      </c>
      <c r="V308" s="32">
        <f t="shared" si="76"/>
        <v>0</v>
      </c>
      <c r="W308" s="32">
        <f t="shared" si="71"/>
        <v>0</v>
      </c>
      <c r="X308" s="33">
        <v>0</v>
      </c>
      <c r="Y308" s="30">
        <f t="shared" si="72"/>
        <v>0</v>
      </c>
    </row>
    <row r="309" spans="1:25" ht="16.5" x14ac:dyDescent="0.3">
      <c r="A309" s="7">
        <v>2358</v>
      </c>
      <c r="B309" s="7">
        <v>1</v>
      </c>
      <c r="C309" s="7" t="s">
        <v>366</v>
      </c>
      <c r="D309" s="24">
        <f>'[1]FY13 9-16-13 to copy to sheet'!F301</f>
        <v>0</v>
      </c>
      <c r="E309" s="25">
        <v>246.69</v>
      </c>
      <c r="F309" s="20">
        <v>213</v>
      </c>
      <c r="G309" s="20">
        <v>8</v>
      </c>
      <c r="H309" s="23">
        <f t="shared" si="62"/>
        <v>3.7558685446009391E-2</v>
      </c>
      <c r="I309" s="29">
        <f t="shared" si="73"/>
        <v>3242.87</v>
      </c>
      <c r="J309" s="24">
        <f t="shared" si="74"/>
        <v>0</v>
      </c>
      <c r="K309" s="24">
        <f t="shared" si="63"/>
        <v>3242.87</v>
      </c>
      <c r="L309" s="30">
        <v>0</v>
      </c>
      <c r="M309" s="30">
        <f t="shared" si="64"/>
        <v>0</v>
      </c>
      <c r="N309" s="29">
        <f t="shared" si="75"/>
        <v>0</v>
      </c>
      <c r="O309" s="29">
        <f t="shared" si="65"/>
        <v>0</v>
      </c>
      <c r="P309" s="29">
        <f t="shared" si="66"/>
        <v>0</v>
      </c>
      <c r="Q309" s="30">
        <f t="shared" si="67"/>
        <v>0</v>
      </c>
      <c r="R309" s="30">
        <v>0</v>
      </c>
      <c r="S309" s="29">
        <f t="shared" si="68"/>
        <v>0</v>
      </c>
      <c r="T309" s="24">
        <f t="shared" si="69"/>
        <v>0</v>
      </c>
      <c r="U309" s="31">
        <f t="shared" si="70"/>
        <v>0</v>
      </c>
      <c r="V309" s="32">
        <f t="shared" si="76"/>
        <v>0</v>
      </c>
      <c r="W309" s="32">
        <f t="shared" si="71"/>
        <v>0</v>
      </c>
      <c r="X309" s="33">
        <v>0</v>
      </c>
      <c r="Y309" s="30">
        <f t="shared" si="72"/>
        <v>0</v>
      </c>
    </row>
    <row r="310" spans="1:25" ht="16.5" x14ac:dyDescent="0.3">
      <c r="A310" s="7">
        <v>2364</v>
      </c>
      <c r="B310" s="7">
        <v>1</v>
      </c>
      <c r="C310" s="7" t="s">
        <v>367</v>
      </c>
      <c r="D310" s="24">
        <f>'[1]FY13 9-16-13 to copy to sheet'!F302</f>
        <v>0</v>
      </c>
      <c r="E310" s="25">
        <v>756.45</v>
      </c>
      <c r="F310" s="20">
        <v>680</v>
      </c>
      <c r="G310" s="20">
        <v>45</v>
      </c>
      <c r="H310" s="23">
        <f t="shared" si="62"/>
        <v>6.6176470588235295E-2</v>
      </c>
      <c r="I310" s="29">
        <f t="shared" si="73"/>
        <v>17520.72</v>
      </c>
      <c r="J310" s="24">
        <f t="shared" si="74"/>
        <v>0</v>
      </c>
      <c r="K310" s="24">
        <f t="shared" si="63"/>
        <v>17520.72</v>
      </c>
      <c r="L310" s="30">
        <v>0</v>
      </c>
      <c r="M310" s="30">
        <f t="shared" si="64"/>
        <v>0</v>
      </c>
      <c r="N310" s="29">
        <f t="shared" si="75"/>
        <v>0</v>
      </c>
      <c r="O310" s="29">
        <f t="shared" si="65"/>
        <v>0</v>
      </c>
      <c r="P310" s="29">
        <f t="shared" si="66"/>
        <v>0</v>
      </c>
      <c r="Q310" s="30">
        <f t="shared" si="67"/>
        <v>0</v>
      </c>
      <c r="R310" s="30">
        <v>0</v>
      </c>
      <c r="S310" s="29">
        <f t="shared" si="68"/>
        <v>0</v>
      </c>
      <c r="T310" s="24">
        <f t="shared" si="69"/>
        <v>0</v>
      </c>
      <c r="U310" s="31">
        <f t="shared" si="70"/>
        <v>0</v>
      </c>
      <c r="V310" s="32">
        <f t="shared" si="76"/>
        <v>0</v>
      </c>
      <c r="W310" s="32">
        <f t="shared" si="71"/>
        <v>0</v>
      </c>
      <c r="X310" s="33">
        <v>0</v>
      </c>
      <c r="Y310" s="30">
        <f t="shared" si="72"/>
        <v>0</v>
      </c>
    </row>
    <row r="311" spans="1:25" ht="16.5" x14ac:dyDescent="0.3">
      <c r="A311" s="34">
        <v>2365</v>
      </c>
      <c r="B311" s="34">
        <v>1</v>
      </c>
      <c r="C311" s="1" t="s">
        <v>368</v>
      </c>
      <c r="D311" s="24">
        <f>'[1]FY13 9-16-13 to copy to sheet'!F303</f>
        <v>82000</v>
      </c>
      <c r="E311" s="25">
        <v>954.49</v>
      </c>
      <c r="F311" s="20">
        <v>801</v>
      </c>
      <c r="G311" s="20">
        <v>160</v>
      </c>
      <c r="H311" s="23">
        <f t="shared" si="62"/>
        <v>0.19975031210986266</v>
      </c>
      <c r="I311" s="29">
        <f t="shared" si="73"/>
        <v>66730.89</v>
      </c>
      <c r="J311" s="24">
        <f t="shared" si="74"/>
        <v>10077.61</v>
      </c>
      <c r="K311" s="24">
        <f t="shared" si="63"/>
        <v>76808.5</v>
      </c>
      <c r="L311" s="30">
        <v>81137</v>
      </c>
      <c r="M311" s="30">
        <f t="shared" si="64"/>
        <v>81380.41</v>
      </c>
      <c r="N311" s="29">
        <f t="shared" si="75"/>
        <v>76808.5</v>
      </c>
      <c r="O311" s="29">
        <f t="shared" si="65"/>
        <v>230.43</v>
      </c>
      <c r="P311" s="29">
        <f t="shared" si="66"/>
        <v>76578.070000000007</v>
      </c>
      <c r="Q311" s="30">
        <f t="shared" si="67"/>
        <v>9544.9</v>
      </c>
      <c r="R311" s="30">
        <v>0</v>
      </c>
      <c r="S311" s="29">
        <f t="shared" si="68"/>
        <v>0</v>
      </c>
      <c r="T311" s="24">
        <f t="shared" si="69"/>
        <v>76578.070000000007</v>
      </c>
      <c r="U311" s="31">
        <f t="shared" si="70"/>
        <v>-5421.929999999993</v>
      </c>
      <c r="V311" s="32">
        <f t="shared" si="76"/>
        <v>-5.6804471497867901</v>
      </c>
      <c r="W311" s="32">
        <f t="shared" si="71"/>
        <v>53313.97</v>
      </c>
      <c r="X311" s="33">
        <v>23264.100000000002</v>
      </c>
      <c r="Y311" s="30">
        <f t="shared" si="72"/>
        <v>53313.97</v>
      </c>
    </row>
    <row r="312" spans="1:25" ht="16.5" x14ac:dyDescent="0.3">
      <c r="A312" s="34">
        <v>2396</v>
      </c>
      <c r="B312" s="34">
        <v>1</v>
      </c>
      <c r="C312" s="1" t="s">
        <v>369</v>
      </c>
      <c r="D312" s="24">
        <f>'[1]FY13 9-16-13 to copy to sheet'!F304</f>
        <v>81718.080000000002</v>
      </c>
      <c r="E312" s="25">
        <v>863.24</v>
      </c>
      <c r="F312" s="20">
        <v>787</v>
      </c>
      <c r="G312" s="20">
        <v>45</v>
      </c>
      <c r="H312" s="23">
        <f t="shared" si="62"/>
        <v>5.7179161372299871E-2</v>
      </c>
      <c r="I312" s="29">
        <f t="shared" si="73"/>
        <v>17275.77</v>
      </c>
      <c r="J312" s="24">
        <f t="shared" si="74"/>
        <v>42531.92</v>
      </c>
      <c r="K312" s="24">
        <f t="shared" si="63"/>
        <v>59807.69</v>
      </c>
      <c r="L312" s="30">
        <v>67973</v>
      </c>
      <c r="M312" s="30">
        <f t="shared" si="64"/>
        <v>68176.92</v>
      </c>
      <c r="N312" s="29">
        <f t="shared" si="75"/>
        <v>59807.69</v>
      </c>
      <c r="O312" s="29">
        <f t="shared" si="65"/>
        <v>179.42</v>
      </c>
      <c r="P312" s="29">
        <f t="shared" si="66"/>
        <v>59628.270000000004</v>
      </c>
      <c r="Q312" s="30">
        <f t="shared" si="67"/>
        <v>8632.4</v>
      </c>
      <c r="R312" s="30">
        <v>0</v>
      </c>
      <c r="S312" s="29">
        <f t="shared" si="68"/>
        <v>0</v>
      </c>
      <c r="T312" s="24">
        <f t="shared" si="69"/>
        <v>59628.270000000004</v>
      </c>
      <c r="U312" s="31">
        <f t="shared" si="70"/>
        <v>-22089.809999999998</v>
      </c>
      <c r="V312" s="32">
        <f t="shared" si="76"/>
        <v>-25.589418933320975</v>
      </c>
      <c r="W312" s="32">
        <f t="shared" si="71"/>
        <v>34070.67</v>
      </c>
      <c r="X312" s="33">
        <v>25557.600000000002</v>
      </c>
      <c r="Y312" s="30">
        <f t="shared" si="72"/>
        <v>34070.67</v>
      </c>
    </row>
    <row r="313" spans="1:25" ht="16.5" x14ac:dyDescent="0.3">
      <c r="A313" s="7">
        <v>2397</v>
      </c>
      <c r="B313" s="7">
        <v>1</v>
      </c>
      <c r="C313" s="7" t="s">
        <v>370</v>
      </c>
      <c r="D313" s="24">
        <f>'[1]FY13 9-16-13 to copy to sheet'!F305</f>
        <v>0</v>
      </c>
      <c r="E313" s="25">
        <v>1240.28</v>
      </c>
      <c r="F313" s="20">
        <v>1076</v>
      </c>
      <c r="G313" s="20">
        <v>199</v>
      </c>
      <c r="H313" s="23">
        <f t="shared" si="62"/>
        <v>0.18494423791821563</v>
      </c>
      <c r="I313" s="29">
        <f t="shared" si="73"/>
        <v>80283.92</v>
      </c>
      <c r="J313" s="24">
        <f t="shared" si="74"/>
        <v>0</v>
      </c>
      <c r="K313" s="24">
        <f t="shared" si="63"/>
        <v>80283.92</v>
      </c>
      <c r="L313" s="30">
        <v>0</v>
      </c>
      <c r="M313" s="30">
        <f t="shared" si="64"/>
        <v>0</v>
      </c>
      <c r="N313" s="29">
        <f t="shared" si="75"/>
        <v>0</v>
      </c>
      <c r="O313" s="29">
        <f t="shared" si="65"/>
        <v>0</v>
      </c>
      <c r="P313" s="29">
        <f t="shared" si="66"/>
        <v>0</v>
      </c>
      <c r="Q313" s="30">
        <f t="shared" si="67"/>
        <v>0</v>
      </c>
      <c r="R313" s="30">
        <v>0</v>
      </c>
      <c r="S313" s="29">
        <f t="shared" si="68"/>
        <v>0</v>
      </c>
      <c r="T313" s="24">
        <f t="shared" si="69"/>
        <v>0</v>
      </c>
      <c r="U313" s="31">
        <f t="shared" si="70"/>
        <v>0</v>
      </c>
      <c r="V313" s="32">
        <f t="shared" si="76"/>
        <v>0</v>
      </c>
      <c r="W313" s="32">
        <f t="shared" si="71"/>
        <v>0</v>
      </c>
      <c r="X313" s="33">
        <v>0</v>
      </c>
      <c r="Y313" s="30">
        <f t="shared" si="72"/>
        <v>0</v>
      </c>
    </row>
    <row r="314" spans="1:25" ht="16.5" x14ac:dyDescent="0.3">
      <c r="A314" s="34">
        <v>2448</v>
      </c>
      <c r="B314" s="34">
        <v>1</v>
      </c>
      <c r="C314" s="1" t="s">
        <v>371</v>
      </c>
      <c r="D314" s="24">
        <f>'[1]FY13 9-16-13 to copy to sheet'!F306</f>
        <v>37150</v>
      </c>
      <c r="E314" s="25">
        <v>876.64</v>
      </c>
      <c r="F314" s="20">
        <v>758</v>
      </c>
      <c r="G314" s="20">
        <v>32</v>
      </c>
      <c r="H314" s="23">
        <f t="shared" si="62"/>
        <v>4.221635883905013E-2</v>
      </c>
      <c r="I314" s="29">
        <f t="shared" si="73"/>
        <v>12952.99</v>
      </c>
      <c r="J314" s="24">
        <f t="shared" si="74"/>
        <v>15970.03</v>
      </c>
      <c r="K314" s="24">
        <f t="shared" si="63"/>
        <v>28923.02</v>
      </c>
      <c r="L314" s="30">
        <v>37100</v>
      </c>
      <c r="M314" s="30">
        <f t="shared" si="64"/>
        <v>37211.300000000003</v>
      </c>
      <c r="N314" s="29">
        <f t="shared" si="75"/>
        <v>28923.02</v>
      </c>
      <c r="O314" s="29">
        <f t="shared" si="65"/>
        <v>86.77</v>
      </c>
      <c r="P314" s="29">
        <f t="shared" si="66"/>
        <v>28836.25</v>
      </c>
      <c r="Q314" s="30">
        <f t="shared" si="67"/>
        <v>8766.4</v>
      </c>
      <c r="R314" s="30">
        <v>0</v>
      </c>
      <c r="S314" s="29">
        <f t="shared" si="68"/>
        <v>0</v>
      </c>
      <c r="T314" s="24">
        <f t="shared" si="69"/>
        <v>28836.25</v>
      </c>
      <c r="U314" s="31">
        <f t="shared" si="70"/>
        <v>-8313.75</v>
      </c>
      <c r="V314" s="32">
        <f t="shared" si="76"/>
        <v>-9.4836534951633507</v>
      </c>
      <c r="W314" s="32">
        <f t="shared" si="71"/>
        <v>17691.25</v>
      </c>
      <c r="X314" s="33">
        <v>11145</v>
      </c>
      <c r="Y314" s="30">
        <f t="shared" si="72"/>
        <v>17691.25</v>
      </c>
    </row>
    <row r="315" spans="1:25" ht="16.5" x14ac:dyDescent="0.3">
      <c r="A315" s="7">
        <v>2527</v>
      </c>
      <c r="B315" s="7">
        <v>1</v>
      </c>
      <c r="C315" s="7" t="s">
        <v>372</v>
      </c>
      <c r="D315" s="24">
        <f>'[1]FY13 9-16-13 to copy to sheet'!F307</f>
        <v>0</v>
      </c>
      <c r="E315" s="25">
        <v>339.55</v>
      </c>
      <c r="F315" s="20">
        <v>289</v>
      </c>
      <c r="G315" s="20">
        <v>27</v>
      </c>
      <c r="H315" s="23">
        <f t="shared" si="62"/>
        <v>9.3425605536332182E-2</v>
      </c>
      <c r="I315" s="29">
        <f t="shared" si="73"/>
        <v>11102.93</v>
      </c>
      <c r="J315" s="24">
        <f t="shared" si="74"/>
        <v>0</v>
      </c>
      <c r="K315" s="24">
        <f t="shared" si="63"/>
        <v>11102.93</v>
      </c>
      <c r="L315" s="30">
        <v>0</v>
      </c>
      <c r="M315" s="30">
        <f t="shared" si="64"/>
        <v>0</v>
      </c>
      <c r="N315" s="29">
        <f t="shared" si="75"/>
        <v>0</v>
      </c>
      <c r="O315" s="29">
        <f t="shared" si="65"/>
        <v>0</v>
      </c>
      <c r="P315" s="29">
        <f t="shared" si="66"/>
        <v>0</v>
      </c>
      <c r="Q315" s="30">
        <f t="shared" si="67"/>
        <v>0</v>
      </c>
      <c r="R315" s="30">
        <v>0</v>
      </c>
      <c r="S315" s="29">
        <f t="shared" si="68"/>
        <v>0</v>
      </c>
      <c r="T315" s="24">
        <f t="shared" si="69"/>
        <v>0</v>
      </c>
      <c r="U315" s="31">
        <f t="shared" si="70"/>
        <v>0</v>
      </c>
      <c r="V315" s="32">
        <f t="shared" si="76"/>
        <v>0</v>
      </c>
      <c r="W315" s="32">
        <f t="shared" si="71"/>
        <v>0</v>
      </c>
      <c r="X315" s="33">
        <v>0</v>
      </c>
      <c r="Y315" s="30">
        <f t="shared" si="72"/>
        <v>0</v>
      </c>
    </row>
    <row r="316" spans="1:25" ht="16.5" x14ac:dyDescent="0.3">
      <c r="A316" s="34">
        <v>2534</v>
      </c>
      <c r="B316" s="34">
        <v>1</v>
      </c>
      <c r="C316" s="1" t="s">
        <v>373</v>
      </c>
      <c r="D316" s="24">
        <f>'[1]FY13 9-16-13 to copy to sheet'!F308</f>
        <v>70034.080000000002</v>
      </c>
      <c r="E316" s="25">
        <v>764.87</v>
      </c>
      <c r="F316" s="20">
        <v>693</v>
      </c>
      <c r="G316" s="20">
        <v>100</v>
      </c>
      <c r="H316" s="23">
        <f t="shared" si="62"/>
        <v>0.14430014430014429</v>
      </c>
      <c r="I316" s="29">
        <f t="shared" si="73"/>
        <v>38629.800000000003</v>
      </c>
      <c r="J316" s="24">
        <f t="shared" si="74"/>
        <v>20726.82</v>
      </c>
      <c r="K316" s="24">
        <f t="shared" si="63"/>
        <v>59356.62</v>
      </c>
      <c r="L316" s="30">
        <v>67005</v>
      </c>
      <c r="M316" s="30">
        <f t="shared" si="64"/>
        <v>67206.02</v>
      </c>
      <c r="N316" s="29">
        <f t="shared" si="75"/>
        <v>59356.62</v>
      </c>
      <c r="O316" s="29">
        <f t="shared" si="65"/>
        <v>178.07</v>
      </c>
      <c r="P316" s="29">
        <f t="shared" si="66"/>
        <v>59178.55</v>
      </c>
      <c r="Q316" s="30">
        <f t="shared" si="67"/>
        <v>7648.7</v>
      </c>
      <c r="R316" s="30">
        <v>0</v>
      </c>
      <c r="S316" s="29">
        <f t="shared" si="68"/>
        <v>0</v>
      </c>
      <c r="T316" s="24">
        <f t="shared" si="69"/>
        <v>59178.55</v>
      </c>
      <c r="U316" s="31">
        <f t="shared" si="70"/>
        <v>-10855.529999999999</v>
      </c>
      <c r="V316" s="32">
        <f t="shared" si="76"/>
        <v>-14.192647116503457</v>
      </c>
      <c r="W316" s="32">
        <f t="shared" si="71"/>
        <v>48678.55</v>
      </c>
      <c r="X316" s="33">
        <v>10500</v>
      </c>
      <c r="Y316" s="30">
        <f t="shared" si="72"/>
        <v>48678.55</v>
      </c>
    </row>
    <row r="317" spans="1:25" ht="16.5" x14ac:dyDescent="0.3">
      <c r="A317" s="7">
        <v>2536</v>
      </c>
      <c r="B317" s="7">
        <v>1</v>
      </c>
      <c r="C317" s="7" t="s">
        <v>374</v>
      </c>
      <c r="D317" s="24">
        <f>'[1]FY13 9-16-13 to copy to sheet'!F309</f>
        <v>0</v>
      </c>
      <c r="E317" s="25">
        <v>246.7</v>
      </c>
      <c r="F317" s="20">
        <v>205</v>
      </c>
      <c r="G317" s="20">
        <v>3</v>
      </c>
      <c r="H317" s="23">
        <f t="shared" si="62"/>
        <v>1.4634146341463415E-2</v>
      </c>
      <c r="I317" s="29">
        <f t="shared" si="73"/>
        <v>1263.5899999999999</v>
      </c>
      <c r="J317" s="24">
        <f t="shared" si="74"/>
        <v>0</v>
      </c>
      <c r="K317" s="24">
        <f t="shared" si="63"/>
        <v>1263.5899999999999</v>
      </c>
      <c r="L317" s="30">
        <v>0</v>
      </c>
      <c r="M317" s="30">
        <f t="shared" si="64"/>
        <v>0</v>
      </c>
      <c r="N317" s="29">
        <f t="shared" si="75"/>
        <v>0</v>
      </c>
      <c r="O317" s="29">
        <f t="shared" si="65"/>
        <v>0</v>
      </c>
      <c r="P317" s="29">
        <f t="shared" si="66"/>
        <v>0</v>
      </c>
      <c r="Q317" s="30">
        <f t="shared" si="67"/>
        <v>0</v>
      </c>
      <c r="R317" s="30">
        <v>0</v>
      </c>
      <c r="S317" s="29">
        <f t="shared" si="68"/>
        <v>0</v>
      </c>
      <c r="T317" s="24">
        <f t="shared" si="69"/>
        <v>0</v>
      </c>
      <c r="U317" s="31">
        <f t="shared" si="70"/>
        <v>0</v>
      </c>
      <c r="V317" s="32">
        <f t="shared" si="76"/>
        <v>0</v>
      </c>
      <c r="W317" s="32">
        <f t="shared" si="71"/>
        <v>0</v>
      </c>
      <c r="X317" s="33">
        <v>0</v>
      </c>
      <c r="Y317" s="30">
        <f t="shared" si="72"/>
        <v>0</v>
      </c>
    </row>
    <row r="318" spans="1:25" ht="16.5" x14ac:dyDescent="0.3">
      <c r="A318" s="7">
        <v>2580</v>
      </c>
      <c r="B318" s="7">
        <v>1</v>
      </c>
      <c r="C318" s="7" t="s">
        <v>375</v>
      </c>
      <c r="D318" s="24">
        <f>'[1]FY13 9-16-13 to copy to sheet'!F310</f>
        <v>6000</v>
      </c>
      <c r="E318" s="25">
        <v>873.59</v>
      </c>
      <c r="F318" s="20">
        <v>777</v>
      </c>
      <c r="G318" s="20">
        <v>119</v>
      </c>
      <c r="H318" s="23">
        <f t="shared" si="62"/>
        <v>0.15315315315315314</v>
      </c>
      <c r="I318" s="29">
        <f t="shared" si="73"/>
        <v>46827.57</v>
      </c>
      <c r="J318" s="24">
        <f t="shared" si="74"/>
        <v>0</v>
      </c>
      <c r="K318" s="24">
        <f t="shared" si="63"/>
        <v>46827.57</v>
      </c>
      <c r="L318" s="30">
        <v>52575</v>
      </c>
      <c r="M318" s="30">
        <f t="shared" si="64"/>
        <v>52732.73</v>
      </c>
      <c r="N318" s="29">
        <f t="shared" si="75"/>
        <v>46827.57</v>
      </c>
      <c r="O318" s="29">
        <f t="shared" si="65"/>
        <v>140.47999999999999</v>
      </c>
      <c r="P318" s="29">
        <f t="shared" si="66"/>
        <v>46687.09</v>
      </c>
      <c r="Q318" s="30">
        <f t="shared" si="67"/>
        <v>8735.9</v>
      </c>
      <c r="R318" s="30">
        <v>0</v>
      </c>
      <c r="S318" s="29">
        <f t="shared" si="68"/>
        <v>0</v>
      </c>
      <c r="T318" s="24">
        <f t="shared" si="69"/>
        <v>46687.09</v>
      </c>
      <c r="U318" s="31">
        <f t="shared" si="70"/>
        <v>40687.089999999997</v>
      </c>
      <c r="V318" s="32">
        <f t="shared" si="76"/>
        <v>46.574583042388298</v>
      </c>
      <c r="W318" s="32">
        <f t="shared" si="71"/>
        <v>46687.09</v>
      </c>
      <c r="X318" s="33">
        <v>0</v>
      </c>
      <c r="Y318" s="30">
        <f t="shared" si="72"/>
        <v>46687.09</v>
      </c>
    </row>
    <row r="319" spans="1:25" ht="16.5" x14ac:dyDescent="0.3">
      <c r="A319" s="7">
        <v>2609</v>
      </c>
      <c r="B319" s="7">
        <v>1</v>
      </c>
      <c r="C319" s="7" t="s">
        <v>376</v>
      </c>
      <c r="D319" s="24">
        <f>'[1]FY13 9-16-13 to copy to sheet'!F311</f>
        <v>0</v>
      </c>
      <c r="E319" s="25">
        <v>500.62</v>
      </c>
      <c r="F319" s="20">
        <v>425</v>
      </c>
      <c r="G319" s="20">
        <v>18</v>
      </c>
      <c r="H319" s="23">
        <f t="shared" si="62"/>
        <v>4.2352941176470586E-2</v>
      </c>
      <c r="I319" s="29">
        <f t="shared" si="73"/>
        <v>7420.96</v>
      </c>
      <c r="J319" s="24">
        <f t="shared" si="74"/>
        <v>0</v>
      </c>
      <c r="K319" s="24">
        <f t="shared" si="63"/>
        <v>7420.96</v>
      </c>
      <c r="L319" s="30">
        <v>0</v>
      </c>
      <c r="M319" s="30">
        <f t="shared" si="64"/>
        <v>0</v>
      </c>
      <c r="N319" s="29">
        <f t="shared" si="75"/>
        <v>0</v>
      </c>
      <c r="O319" s="29">
        <f t="shared" si="65"/>
        <v>0</v>
      </c>
      <c r="P319" s="29">
        <f t="shared" si="66"/>
        <v>0</v>
      </c>
      <c r="Q319" s="30">
        <f t="shared" si="67"/>
        <v>0</v>
      </c>
      <c r="R319" s="30">
        <v>0</v>
      </c>
      <c r="S319" s="29">
        <f t="shared" si="68"/>
        <v>0</v>
      </c>
      <c r="T319" s="24">
        <f t="shared" si="69"/>
        <v>0</v>
      </c>
      <c r="U319" s="31">
        <f t="shared" si="70"/>
        <v>0</v>
      </c>
      <c r="V319" s="32">
        <f t="shared" si="76"/>
        <v>0</v>
      </c>
      <c r="W319" s="32">
        <f t="shared" si="71"/>
        <v>0</v>
      </c>
      <c r="X319" s="33">
        <v>0</v>
      </c>
      <c r="Y319" s="30">
        <f t="shared" si="72"/>
        <v>0</v>
      </c>
    </row>
    <row r="320" spans="1:25" ht="16.5" x14ac:dyDescent="0.3">
      <c r="A320" s="7">
        <v>2683</v>
      </c>
      <c r="B320" s="7">
        <v>1</v>
      </c>
      <c r="C320" s="7" t="s">
        <v>377</v>
      </c>
      <c r="D320" s="24">
        <f>'[1]FY13 9-16-13 to copy to sheet'!F312</f>
        <v>0</v>
      </c>
      <c r="E320" s="25">
        <v>480.34</v>
      </c>
      <c r="F320" s="20">
        <v>447</v>
      </c>
      <c r="G320" s="20">
        <v>15</v>
      </c>
      <c r="H320" s="23">
        <f t="shared" si="62"/>
        <v>3.3557046979865772E-2</v>
      </c>
      <c r="I320" s="29">
        <f t="shared" si="73"/>
        <v>5641.58</v>
      </c>
      <c r="J320" s="24">
        <f t="shared" si="74"/>
        <v>0</v>
      </c>
      <c r="K320" s="24">
        <f t="shared" si="63"/>
        <v>5641.58</v>
      </c>
      <c r="L320" s="30">
        <v>0</v>
      </c>
      <c r="M320" s="30">
        <f t="shared" si="64"/>
        <v>0</v>
      </c>
      <c r="N320" s="29">
        <f t="shared" si="75"/>
        <v>0</v>
      </c>
      <c r="O320" s="29">
        <f t="shared" si="65"/>
        <v>0</v>
      </c>
      <c r="P320" s="29">
        <f t="shared" si="66"/>
        <v>0</v>
      </c>
      <c r="Q320" s="30">
        <f t="shared" si="67"/>
        <v>0</v>
      </c>
      <c r="R320" s="30">
        <v>0</v>
      </c>
      <c r="S320" s="29">
        <f t="shared" si="68"/>
        <v>0</v>
      </c>
      <c r="T320" s="24">
        <f t="shared" si="69"/>
        <v>0</v>
      </c>
      <c r="U320" s="31">
        <f t="shared" si="70"/>
        <v>0</v>
      </c>
      <c r="V320" s="32">
        <f t="shared" si="76"/>
        <v>0</v>
      </c>
      <c r="W320" s="32">
        <f t="shared" si="71"/>
        <v>0</v>
      </c>
      <c r="X320" s="33">
        <v>0</v>
      </c>
      <c r="Y320" s="30">
        <f t="shared" si="72"/>
        <v>0</v>
      </c>
    </row>
    <row r="321" spans="1:25" ht="16.5" x14ac:dyDescent="0.3">
      <c r="A321" s="7">
        <v>2687</v>
      </c>
      <c r="B321" s="7">
        <v>1</v>
      </c>
      <c r="C321" s="7" t="s">
        <v>378</v>
      </c>
      <c r="D321" s="24">
        <f>'[1]FY13 9-16-13 to copy to sheet'!F313</f>
        <v>0</v>
      </c>
      <c r="E321" s="25">
        <v>1287.1600000000001</v>
      </c>
      <c r="F321" s="20">
        <v>1124</v>
      </c>
      <c r="G321" s="20">
        <v>71</v>
      </c>
      <c r="H321" s="23">
        <f t="shared" si="62"/>
        <v>6.3167259786476873E-2</v>
      </c>
      <c r="I321" s="29">
        <f t="shared" si="73"/>
        <v>28457.23</v>
      </c>
      <c r="J321" s="24">
        <f t="shared" si="74"/>
        <v>0</v>
      </c>
      <c r="K321" s="24">
        <f t="shared" si="63"/>
        <v>28457.23</v>
      </c>
      <c r="L321" s="30">
        <v>0</v>
      </c>
      <c r="M321" s="30">
        <f t="shared" si="64"/>
        <v>0</v>
      </c>
      <c r="N321" s="29">
        <f t="shared" si="75"/>
        <v>0</v>
      </c>
      <c r="O321" s="29">
        <f t="shared" si="65"/>
        <v>0</v>
      </c>
      <c r="P321" s="29">
        <f t="shared" si="66"/>
        <v>0</v>
      </c>
      <c r="Q321" s="30">
        <f t="shared" si="67"/>
        <v>0</v>
      </c>
      <c r="R321" s="30">
        <v>0</v>
      </c>
      <c r="S321" s="29">
        <f t="shared" si="68"/>
        <v>0</v>
      </c>
      <c r="T321" s="24">
        <f t="shared" si="69"/>
        <v>0</v>
      </c>
      <c r="U321" s="31">
        <f t="shared" si="70"/>
        <v>0</v>
      </c>
      <c r="V321" s="32">
        <f t="shared" si="76"/>
        <v>0</v>
      </c>
      <c r="W321" s="32">
        <f t="shared" si="71"/>
        <v>0</v>
      </c>
      <c r="X321" s="33">
        <v>0</v>
      </c>
      <c r="Y321" s="30">
        <f t="shared" si="72"/>
        <v>0</v>
      </c>
    </row>
    <row r="322" spans="1:25" ht="16.5" x14ac:dyDescent="0.3">
      <c r="A322" s="7">
        <v>2689</v>
      </c>
      <c r="B322" s="7">
        <v>1</v>
      </c>
      <c r="C322" s="7" t="s">
        <v>379</v>
      </c>
      <c r="D322" s="24">
        <f>'[1]FY13 9-16-13 to copy to sheet'!F314</f>
        <v>0</v>
      </c>
      <c r="E322" s="25">
        <v>1232.79</v>
      </c>
      <c r="F322" s="20">
        <v>1150</v>
      </c>
      <c r="G322" s="20">
        <v>141</v>
      </c>
      <c r="H322" s="23">
        <f t="shared" si="62"/>
        <v>0.12260869565217392</v>
      </c>
      <c r="I322" s="29">
        <f t="shared" si="73"/>
        <v>52902.77</v>
      </c>
      <c r="J322" s="24">
        <f t="shared" si="74"/>
        <v>0</v>
      </c>
      <c r="K322" s="24">
        <f t="shared" si="63"/>
        <v>52902.77</v>
      </c>
      <c r="L322" s="30">
        <v>0</v>
      </c>
      <c r="M322" s="30">
        <f t="shared" si="64"/>
        <v>0</v>
      </c>
      <c r="N322" s="29">
        <f t="shared" si="75"/>
        <v>0</v>
      </c>
      <c r="O322" s="29">
        <f t="shared" si="65"/>
        <v>0</v>
      </c>
      <c r="P322" s="29">
        <f t="shared" si="66"/>
        <v>0</v>
      </c>
      <c r="Q322" s="30">
        <f t="shared" si="67"/>
        <v>0</v>
      </c>
      <c r="R322" s="30">
        <v>0</v>
      </c>
      <c r="S322" s="29">
        <f t="shared" si="68"/>
        <v>0</v>
      </c>
      <c r="T322" s="24">
        <f t="shared" si="69"/>
        <v>0</v>
      </c>
      <c r="U322" s="31">
        <f t="shared" si="70"/>
        <v>0</v>
      </c>
      <c r="V322" s="32">
        <f t="shared" si="76"/>
        <v>0</v>
      </c>
      <c r="W322" s="32">
        <f t="shared" si="71"/>
        <v>0</v>
      </c>
      <c r="X322" s="33">
        <v>0</v>
      </c>
      <c r="Y322" s="30">
        <f t="shared" si="72"/>
        <v>0</v>
      </c>
    </row>
    <row r="323" spans="1:25" ht="16.5" x14ac:dyDescent="0.3">
      <c r="A323" s="7">
        <v>2711</v>
      </c>
      <c r="B323" s="7">
        <v>1</v>
      </c>
      <c r="C323" s="7" t="s">
        <v>380</v>
      </c>
      <c r="D323" s="24">
        <f>'[1]FY13 9-16-13 to copy to sheet'!F315</f>
        <v>0</v>
      </c>
      <c r="E323" s="25">
        <v>1075.25</v>
      </c>
      <c r="F323" s="20">
        <v>929</v>
      </c>
      <c r="G323" s="20">
        <v>55</v>
      </c>
      <c r="H323" s="23">
        <f t="shared" si="62"/>
        <v>5.9203444564047365E-2</v>
      </c>
      <c r="I323" s="29">
        <f t="shared" si="73"/>
        <v>22280.48</v>
      </c>
      <c r="J323" s="24">
        <f t="shared" si="74"/>
        <v>0</v>
      </c>
      <c r="K323" s="24">
        <f t="shared" si="63"/>
        <v>22280.48</v>
      </c>
      <c r="L323" s="30">
        <v>0</v>
      </c>
      <c r="M323" s="30">
        <f t="shared" si="64"/>
        <v>0</v>
      </c>
      <c r="N323" s="29">
        <f t="shared" si="75"/>
        <v>0</v>
      </c>
      <c r="O323" s="29">
        <f t="shared" si="65"/>
        <v>0</v>
      </c>
      <c r="P323" s="29">
        <f t="shared" si="66"/>
        <v>0</v>
      </c>
      <c r="Q323" s="30">
        <f t="shared" si="67"/>
        <v>0</v>
      </c>
      <c r="R323" s="30">
        <v>0</v>
      </c>
      <c r="S323" s="29">
        <f t="shared" si="68"/>
        <v>0</v>
      </c>
      <c r="T323" s="24">
        <f t="shared" si="69"/>
        <v>0</v>
      </c>
      <c r="U323" s="31">
        <f t="shared" si="70"/>
        <v>0</v>
      </c>
      <c r="V323" s="32">
        <f t="shared" si="76"/>
        <v>0</v>
      </c>
      <c r="W323" s="32">
        <f t="shared" si="71"/>
        <v>0</v>
      </c>
      <c r="X323" s="33">
        <v>0</v>
      </c>
      <c r="Y323" s="30">
        <f t="shared" si="72"/>
        <v>0</v>
      </c>
    </row>
    <row r="324" spans="1:25" ht="16.5" x14ac:dyDescent="0.3">
      <c r="A324" s="7">
        <v>2752</v>
      </c>
      <c r="B324" s="7">
        <v>1</v>
      </c>
      <c r="C324" s="7" t="s">
        <v>381</v>
      </c>
      <c r="D324" s="24">
        <f>'[1]FY13 9-16-13 to copy to sheet'!F316</f>
        <v>0</v>
      </c>
      <c r="E324" s="25">
        <v>2139.48</v>
      </c>
      <c r="F324" s="20">
        <v>1710</v>
      </c>
      <c r="G324" s="20">
        <v>173</v>
      </c>
      <c r="H324" s="23">
        <f t="shared" si="62"/>
        <v>0.10116959064327485</v>
      </c>
      <c r="I324" s="29">
        <f t="shared" si="73"/>
        <v>75757.61</v>
      </c>
      <c r="J324" s="24">
        <f t="shared" si="74"/>
        <v>0</v>
      </c>
      <c r="K324" s="24">
        <f t="shared" si="63"/>
        <v>75757.61</v>
      </c>
      <c r="L324" s="30">
        <v>0</v>
      </c>
      <c r="M324" s="30">
        <f t="shared" si="64"/>
        <v>0</v>
      </c>
      <c r="N324" s="29">
        <f t="shared" si="75"/>
        <v>0</v>
      </c>
      <c r="O324" s="29">
        <f t="shared" si="65"/>
        <v>0</v>
      </c>
      <c r="P324" s="29">
        <f t="shared" si="66"/>
        <v>0</v>
      </c>
      <c r="Q324" s="30">
        <f t="shared" si="67"/>
        <v>0</v>
      </c>
      <c r="R324" s="30">
        <v>0</v>
      </c>
      <c r="S324" s="29">
        <f t="shared" si="68"/>
        <v>0</v>
      </c>
      <c r="T324" s="24">
        <f t="shared" si="69"/>
        <v>0</v>
      </c>
      <c r="U324" s="31">
        <f t="shared" si="70"/>
        <v>0</v>
      </c>
      <c r="V324" s="32">
        <f t="shared" si="76"/>
        <v>0</v>
      </c>
      <c r="W324" s="32">
        <f t="shared" si="71"/>
        <v>0</v>
      </c>
      <c r="X324" s="33">
        <v>0</v>
      </c>
      <c r="Y324" s="30">
        <f t="shared" si="72"/>
        <v>0</v>
      </c>
    </row>
    <row r="325" spans="1:25" ht="16.5" x14ac:dyDescent="0.3">
      <c r="A325" s="34">
        <v>2753</v>
      </c>
      <c r="B325" s="34">
        <v>1</v>
      </c>
      <c r="C325" s="1" t="s">
        <v>382</v>
      </c>
      <c r="D325" s="24">
        <f>'[1]FY13 9-16-13 to copy to sheet'!F317</f>
        <v>141004.74</v>
      </c>
      <c r="E325" s="25">
        <v>1065.57</v>
      </c>
      <c r="F325" s="20">
        <v>923</v>
      </c>
      <c r="G325" s="20">
        <v>324</v>
      </c>
      <c r="H325" s="23">
        <f t="shared" si="62"/>
        <v>0.35102925243770317</v>
      </c>
      <c r="I325" s="29">
        <f t="shared" si="73"/>
        <v>130916.18</v>
      </c>
      <c r="J325" s="24">
        <f t="shared" si="74"/>
        <v>6658.45</v>
      </c>
      <c r="K325" s="24">
        <f t="shared" si="63"/>
        <v>137574.63</v>
      </c>
      <c r="L325" s="30">
        <v>146804</v>
      </c>
      <c r="M325" s="30">
        <f t="shared" si="64"/>
        <v>147244.41</v>
      </c>
      <c r="N325" s="29">
        <f t="shared" si="75"/>
        <v>137574.63</v>
      </c>
      <c r="O325" s="29">
        <f t="shared" si="65"/>
        <v>412.72</v>
      </c>
      <c r="P325" s="29">
        <f t="shared" si="66"/>
        <v>137161.91</v>
      </c>
      <c r="Q325" s="30">
        <f t="shared" si="67"/>
        <v>10655.699999999999</v>
      </c>
      <c r="R325" s="30">
        <v>0</v>
      </c>
      <c r="S325" s="29">
        <f t="shared" si="68"/>
        <v>0</v>
      </c>
      <c r="T325" s="24">
        <f t="shared" si="69"/>
        <v>137161.91</v>
      </c>
      <c r="U325" s="31">
        <f t="shared" si="70"/>
        <v>-3842.8299999999872</v>
      </c>
      <c r="V325" s="32">
        <f t="shared" si="76"/>
        <v>-3.6063609148155331</v>
      </c>
      <c r="W325" s="32">
        <f t="shared" si="71"/>
        <v>94401.12</v>
      </c>
      <c r="X325" s="33">
        <v>42760.79</v>
      </c>
      <c r="Y325" s="30">
        <f t="shared" si="72"/>
        <v>94401.12</v>
      </c>
    </row>
    <row r="326" spans="1:25" ht="16.5" x14ac:dyDescent="0.3">
      <c r="A326" s="34">
        <v>2754</v>
      </c>
      <c r="B326" s="34">
        <v>1</v>
      </c>
      <c r="C326" s="1" t="s">
        <v>383</v>
      </c>
      <c r="D326" s="24">
        <f>'[1]FY13 9-16-13 to copy to sheet'!F318</f>
        <v>42000</v>
      </c>
      <c r="E326" s="25">
        <v>623.32000000000005</v>
      </c>
      <c r="F326" s="20">
        <v>523</v>
      </c>
      <c r="G326" s="20">
        <v>96</v>
      </c>
      <c r="H326" s="23">
        <f t="shared" si="62"/>
        <v>0.1835564053537285</v>
      </c>
      <c r="I326" s="29">
        <f t="shared" si="73"/>
        <v>40045.03</v>
      </c>
      <c r="J326" s="24">
        <f t="shared" si="74"/>
        <v>1290.28</v>
      </c>
      <c r="K326" s="24">
        <f t="shared" si="63"/>
        <v>41335.31</v>
      </c>
      <c r="L326" s="30">
        <v>47569</v>
      </c>
      <c r="M326" s="30">
        <f t="shared" si="64"/>
        <v>47711.71</v>
      </c>
      <c r="N326" s="29">
        <f t="shared" si="75"/>
        <v>41335.31</v>
      </c>
      <c r="O326" s="29">
        <f t="shared" si="65"/>
        <v>124.01</v>
      </c>
      <c r="P326" s="29">
        <f t="shared" si="66"/>
        <v>41211.299999999996</v>
      </c>
      <c r="Q326" s="30">
        <f t="shared" si="67"/>
        <v>6233.2000000000007</v>
      </c>
      <c r="R326" s="30">
        <v>0</v>
      </c>
      <c r="S326" s="29">
        <f t="shared" si="68"/>
        <v>0</v>
      </c>
      <c r="T326" s="24">
        <f t="shared" si="69"/>
        <v>41211.299999999996</v>
      </c>
      <c r="U326" s="31">
        <f t="shared" si="70"/>
        <v>-788.70000000000437</v>
      </c>
      <c r="V326" s="32">
        <f t="shared" si="76"/>
        <v>-1.2653211833408271</v>
      </c>
      <c r="W326" s="32">
        <f t="shared" si="71"/>
        <v>28611.299999999996</v>
      </c>
      <c r="X326" s="33">
        <v>12600</v>
      </c>
      <c r="Y326" s="30">
        <f t="shared" si="72"/>
        <v>28611.299999999996</v>
      </c>
    </row>
    <row r="327" spans="1:25" ht="16.5" x14ac:dyDescent="0.3">
      <c r="A327" s="34">
        <v>2759</v>
      </c>
      <c r="B327" s="34">
        <v>1</v>
      </c>
      <c r="C327" s="1" t="s">
        <v>384</v>
      </c>
      <c r="D327" s="24">
        <f>'[1]FY13 9-16-13 to copy to sheet'!F319</f>
        <v>27534.68</v>
      </c>
      <c r="E327" s="25">
        <v>325.62</v>
      </c>
      <c r="F327" s="20">
        <v>266</v>
      </c>
      <c r="G327" s="20">
        <v>14</v>
      </c>
      <c r="H327" s="23">
        <f t="shared" si="62"/>
        <v>5.2631578947368418E-2</v>
      </c>
      <c r="I327" s="29">
        <f t="shared" si="73"/>
        <v>5998.26</v>
      </c>
      <c r="J327" s="24">
        <f t="shared" si="74"/>
        <v>14214.04</v>
      </c>
      <c r="K327" s="24">
        <f t="shared" si="63"/>
        <v>20212.300000000003</v>
      </c>
      <c r="L327" s="30">
        <v>0</v>
      </c>
      <c r="M327" s="30">
        <f t="shared" si="64"/>
        <v>0</v>
      </c>
      <c r="N327" s="29">
        <f t="shared" si="75"/>
        <v>0</v>
      </c>
      <c r="O327" s="29">
        <f t="shared" si="65"/>
        <v>0</v>
      </c>
      <c r="P327" s="29">
        <f t="shared" si="66"/>
        <v>0</v>
      </c>
      <c r="Q327" s="30">
        <f t="shared" si="67"/>
        <v>3256.2</v>
      </c>
      <c r="R327" s="30">
        <v>0</v>
      </c>
      <c r="S327" s="29">
        <f t="shared" si="68"/>
        <v>0</v>
      </c>
      <c r="T327" s="24">
        <f t="shared" si="69"/>
        <v>0</v>
      </c>
      <c r="U327" s="31">
        <f t="shared" si="70"/>
        <v>-27534.68</v>
      </c>
      <c r="V327" s="32">
        <f t="shared" si="76"/>
        <v>-84.560776365088145</v>
      </c>
      <c r="W327" s="32">
        <f t="shared" si="71"/>
        <v>0</v>
      </c>
      <c r="X327" s="33">
        <v>0</v>
      </c>
      <c r="Y327" s="30">
        <f t="shared" si="72"/>
        <v>0</v>
      </c>
    </row>
    <row r="328" spans="1:25" ht="16.5" x14ac:dyDescent="0.3">
      <c r="A328" s="34">
        <v>2805</v>
      </c>
      <c r="B328" s="34">
        <v>1</v>
      </c>
      <c r="C328" s="1" t="s">
        <v>385</v>
      </c>
      <c r="D328" s="24">
        <f>'[1]FY13 9-16-13 to copy to sheet'!F320</f>
        <v>39130</v>
      </c>
      <c r="E328" s="25">
        <v>1265.92</v>
      </c>
      <c r="F328" s="20">
        <v>1089</v>
      </c>
      <c r="G328" s="20">
        <v>85</v>
      </c>
      <c r="H328" s="23">
        <f t="shared" si="62"/>
        <v>7.8053259871441696E-2</v>
      </c>
      <c r="I328" s="29">
        <f t="shared" si="73"/>
        <v>34583.21</v>
      </c>
      <c r="J328" s="24">
        <f t="shared" si="74"/>
        <v>3000.88</v>
      </c>
      <c r="K328" s="24">
        <f t="shared" si="63"/>
        <v>37584.089999999997</v>
      </c>
      <c r="L328" s="30">
        <v>40000</v>
      </c>
      <c r="M328" s="30">
        <f t="shared" si="64"/>
        <v>40120</v>
      </c>
      <c r="N328" s="29">
        <f t="shared" si="75"/>
        <v>37584.089999999997</v>
      </c>
      <c r="O328" s="29">
        <f t="shared" si="65"/>
        <v>112.75</v>
      </c>
      <c r="P328" s="29">
        <f t="shared" si="66"/>
        <v>37471.339999999997</v>
      </c>
      <c r="Q328" s="30">
        <f t="shared" si="67"/>
        <v>12659.2</v>
      </c>
      <c r="R328" s="30">
        <v>0</v>
      </c>
      <c r="S328" s="29">
        <f t="shared" si="68"/>
        <v>0</v>
      </c>
      <c r="T328" s="24">
        <f t="shared" si="69"/>
        <v>37471.339999999997</v>
      </c>
      <c r="U328" s="31">
        <f t="shared" si="70"/>
        <v>-1658.6600000000035</v>
      </c>
      <c r="V328" s="32">
        <f t="shared" si="76"/>
        <v>-1.3102407735085972</v>
      </c>
      <c r="W328" s="32">
        <f t="shared" si="71"/>
        <v>25471.339999999997</v>
      </c>
      <c r="X328" s="33">
        <v>12000</v>
      </c>
      <c r="Y328" s="30">
        <f t="shared" si="72"/>
        <v>25471.339999999997</v>
      </c>
    </row>
    <row r="329" spans="1:25" ht="16.5" x14ac:dyDescent="0.3">
      <c r="A329" s="7">
        <v>2835</v>
      </c>
      <c r="B329" s="7">
        <v>1</v>
      </c>
      <c r="C329" s="7" t="s">
        <v>386</v>
      </c>
      <c r="D329" s="24">
        <f>'[1]FY13 9-16-13 to copy to sheet'!F321</f>
        <v>0</v>
      </c>
      <c r="E329" s="25">
        <v>701.43</v>
      </c>
      <c r="F329" s="20">
        <v>619</v>
      </c>
      <c r="G329" s="20">
        <v>19</v>
      </c>
      <c r="H329" s="23">
        <f t="shared" si="62"/>
        <v>3.0694668820678513E-2</v>
      </c>
      <c r="I329" s="29">
        <f t="shared" si="73"/>
        <v>7535.56</v>
      </c>
      <c r="J329" s="24">
        <f t="shared" si="74"/>
        <v>0</v>
      </c>
      <c r="K329" s="24">
        <f t="shared" si="63"/>
        <v>7535.56</v>
      </c>
      <c r="L329" s="30">
        <v>0</v>
      </c>
      <c r="M329" s="30">
        <f t="shared" si="64"/>
        <v>0</v>
      </c>
      <c r="N329" s="29">
        <f t="shared" si="75"/>
        <v>0</v>
      </c>
      <c r="O329" s="29">
        <f t="shared" si="65"/>
        <v>0</v>
      </c>
      <c r="P329" s="29">
        <f t="shared" si="66"/>
        <v>0</v>
      </c>
      <c r="Q329" s="30">
        <f t="shared" si="67"/>
        <v>0</v>
      </c>
      <c r="R329" s="30">
        <v>0</v>
      </c>
      <c r="S329" s="29">
        <f t="shared" si="68"/>
        <v>0</v>
      </c>
      <c r="T329" s="24">
        <f t="shared" si="69"/>
        <v>0</v>
      </c>
      <c r="U329" s="31">
        <f t="shared" si="70"/>
        <v>0</v>
      </c>
      <c r="V329" s="32">
        <f t="shared" si="76"/>
        <v>0</v>
      </c>
      <c r="W329" s="32">
        <f t="shared" si="71"/>
        <v>0</v>
      </c>
      <c r="X329" s="33">
        <v>0</v>
      </c>
      <c r="Y329" s="30">
        <f t="shared" si="72"/>
        <v>0</v>
      </c>
    </row>
    <row r="330" spans="1:25" ht="16.5" x14ac:dyDescent="0.3">
      <c r="A330" s="7">
        <v>2853</v>
      </c>
      <c r="B330" s="7">
        <v>1</v>
      </c>
      <c r="C330" s="7" t="s">
        <v>387</v>
      </c>
      <c r="D330" s="24">
        <f>'[1]FY13 9-16-13 to copy to sheet'!F322</f>
        <v>0</v>
      </c>
      <c r="E330" s="25">
        <v>886.96</v>
      </c>
      <c r="F330" s="20">
        <v>812</v>
      </c>
      <c r="G330" s="20">
        <v>89</v>
      </c>
      <c r="H330" s="23">
        <f t="shared" si="62"/>
        <v>0.10960591133004927</v>
      </c>
      <c r="I330" s="29">
        <f t="shared" si="73"/>
        <v>34025.620000000003</v>
      </c>
      <c r="J330" s="24">
        <f t="shared" si="74"/>
        <v>0</v>
      </c>
      <c r="K330" s="24">
        <f t="shared" si="63"/>
        <v>34025.620000000003</v>
      </c>
      <c r="L330" s="30">
        <v>0</v>
      </c>
      <c r="M330" s="30">
        <f t="shared" si="64"/>
        <v>0</v>
      </c>
      <c r="N330" s="29">
        <f t="shared" si="75"/>
        <v>0</v>
      </c>
      <c r="O330" s="29">
        <f t="shared" si="65"/>
        <v>0</v>
      </c>
      <c r="P330" s="29">
        <f t="shared" si="66"/>
        <v>0</v>
      </c>
      <c r="Q330" s="30">
        <f t="shared" si="67"/>
        <v>0</v>
      </c>
      <c r="R330" s="30">
        <v>0</v>
      </c>
      <c r="S330" s="29">
        <f t="shared" si="68"/>
        <v>0</v>
      </c>
      <c r="T330" s="24">
        <f t="shared" si="69"/>
        <v>0</v>
      </c>
      <c r="U330" s="31">
        <f t="shared" si="70"/>
        <v>0</v>
      </c>
      <c r="V330" s="32">
        <f t="shared" si="76"/>
        <v>0</v>
      </c>
      <c r="W330" s="32">
        <f t="shared" si="71"/>
        <v>0</v>
      </c>
      <c r="X330" s="33">
        <v>0</v>
      </c>
      <c r="Y330" s="30">
        <f t="shared" si="72"/>
        <v>0</v>
      </c>
    </row>
    <row r="331" spans="1:25" ht="16.5" x14ac:dyDescent="0.3">
      <c r="A331" s="7">
        <v>2854</v>
      </c>
      <c r="B331" s="7">
        <v>1</v>
      </c>
      <c r="C331" s="7" t="s">
        <v>388</v>
      </c>
      <c r="D331" s="24">
        <f>'[1]FY13 9-16-13 to copy to sheet'!F323</f>
        <v>0</v>
      </c>
      <c r="E331" s="25">
        <v>587.9</v>
      </c>
      <c r="F331" s="20">
        <v>496</v>
      </c>
      <c r="G331" s="20">
        <v>64</v>
      </c>
      <c r="H331" s="23">
        <f t="shared" si="62"/>
        <v>0.12903225806451613</v>
      </c>
      <c r="I331" s="29">
        <f t="shared" si="73"/>
        <v>26550.32</v>
      </c>
      <c r="J331" s="24">
        <f t="shared" si="74"/>
        <v>0</v>
      </c>
      <c r="K331" s="24">
        <f t="shared" si="63"/>
        <v>26550.32</v>
      </c>
      <c r="L331" s="30">
        <v>0</v>
      </c>
      <c r="M331" s="30">
        <f t="shared" si="64"/>
        <v>0</v>
      </c>
      <c r="N331" s="29">
        <f t="shared" si="75"/>
        <v>0</v>
      </c>
      <c r="O331" s="29">
        <f t="shared" si="65"/>
        <v>0</v>
      </c>
      <c r="P331" s="29">
        <f t="shared" si="66"/>
        <v>0</v>
      </c>
      <c r="Q331" s="30">
        <f t="shared" si="67"/>
        <v>0</v>
      </c>
      <c r="R331" s="30">
        <v>0</v>
      </c>
      <c r="S331" s="29">
        <f t="shared" si="68"/>
        <v>0</v>
      </c>
      <c r="T331" s="24">
        <f t="shared" si="69"/>
        <v>0</v>
      </c>
      <c r="U331" s="31">
        <f t="shared" si="70"/>
        <v>0</v>
      </c>
      <c r="V331" s="32">
        <f t="shared" si="76"/>
        <v>0</v>
      </c>
      <c r="W331" s="32">
        <f t="shared" si="71"/>
        <v>0</v>
      </c>
      <c r="X331" s="33">
        <v>0</v>
      </c>
      <c r="Y331" s="30">
        <f t="shared" si="72"/>
        <v>0</v>
      </c>
    </row>
    <row r="332" spans="1:25" ht="16.5" x14ac:dyDescent="0.3">
      <c r="A332" s="7">
        <v>2856</v>
      </c>
      <c r="B332" s="7">
        <v>1</v>
      </c>
      <c r="C332" s="7" t="s">
        <v>389</v>
      </c>
      <c r="D332" s="24">
        <f>'[1]FY13 9-16-13 to copy to sheet'!F324</f>
        <v>0</v>
      </c>
      <c r="E332" s="25">
        <v>353.07</v>
      </c>
      <c r="F332" s="20">
        <v>322</v>
      </c>
      <c r="G332" s="20">
        <v>34</v>
      </c>
      <c r="H332" s="23">
        <f t="shared" ref="H332:H348" si="77">IF(F332=0,0,G332/F332)</f>
        <v>0.10559006211180125</v>
      </c>
      <c r="I332" s="29">
        <f t="shared" si="73"/>
        <v>13048.24</v>
      </c>
      <c r="J332" s="24">
        <f t="shared" si="74"/>
        <v>0</v>
      </c>
      <c r="K332" s="24">
        <f t="shared" ref="K332:K348" si="78">I332+J332</f>
        <v>13048.24</v>
      </c>
      <c r="L332" s="30">
        <v>0</v>
      </c>
      <c r="M332" s="30">
        <f t="shared" ref="M332:M348" si="79">ROUND(L332*1.003,2)</f>
        <v>0</v>
      </c>
      <c r="N332" s="29">
        <f t="shared" si="75"/>
        <v>0</v>
      </c>
      <c r="O332" s="29">
        <f t="shared" ref="O332:O348" si="80">IF(N332=M332,M332-L332,ROUND(N332*0.003,2))</f>
        <v>0</v>
      </c>
      <c r="P332" s="29">
        <f t="shared" ref="P332:P348" si="81">N332-O332</f>
        <v>0</v>
      </c>
      <c r="Q332" s="30">
        <f t="shared" ref="Q332:Q347" si="82">IF(D332&gt;0,E332*Q$10,0)</f>
        <v>0</v>
      </c>
      <c r="R332" s="30">
        <v>0</v>
      </c>
      <c r="S332" s="29">
        <f t="shared" ref="S332:S348" si="83">IF(R332&lt;Q332,R332,Q332)</f>
        <v>0</v>
      </c>
      <c r="T332" s="24">
        <f t="shared" ref="T332:T348" si="84">P332+S332</f>
        <v>0</v>
      </c>
      <c r="U332" s="31">
        <f t="shared" ref="U332:U348" si="85">T332-D332</f>
        <v>0</v>
      </c>
      <c r="V332" s="32">
        <f t="shared" si="76"/>
        <v>0</v>
      </c>
      <c r="W332" s="32">
        <f t="shared" ref="W332:W348" si="86">T332-X332</f>
        <v>0</v>
      </c>
      <c r="X332" s="33">
        <v>0</v>
      </c>
      <c r="Y332" s="30">
        <f t="shared" ref="Y332:Y348" si="87">IF(W332&gt;0,W332,0)</f>
        <v>0</v>
      </c>
    </row>
    <row r="333" spans="1:25" ht="16.5" x14ac:dyDescent="0.3">
      <c r="A333" s="7">
        <v>2859</v>
      </c>
      <c r="B333" s="7">
        <v>1</v>
      </c>
      <c r="C333" s="7" t="s">
        <v>390</v>
      </c>
      <c r="D333" s="24">
        <f>'[1]FY13 9-16-13 to copy to sheet'!F325</f>
        <v>0</v>
      </c>
      <c r="E333" s="25">
        <v>1921.91</v>
      </c>
      <c r="F333" s="20">
        <v>1662</v>
      </c>
      <c r="G333" s="20">
        <v>280</v>
      </c>
      <c r="H333" s="23">
        <f t="shared" si="77"/>
        <v>0.1684717208182912</v>
      </c>
      <c r="I333" s="29">
        <f t="shared" ref="I333:I347" si="88">ROUND(E333*H333*I$10,2)</f>
        <v>113325.62</v>
      </c>
      <c r="J333" s="24">
        <f t="shared" ref="J333:J347" si="89">ROUND(MAX(0,IF(D333=0,0,(D333-I333)*J$9)),2)</f>
        <v>0</v>
      </c>
      <c r="K333" s="24">
        <f t="shared" si="78"/>
        <v>113325.62</v>
      </c>
      <c r="L333" s="30">
        <v>0</v>
      </c>
      <c r="M333" s="30">
        <f t="shared" si="79"/>
        <v>0</v>
      </c>
      <c r="N333" s="29">
        <f t="shared" ref="N333:N348" si="90">IF(M333&lt;K333,M333,K333)</f>
        <v>0</v>
      </c>
      <c r="O333" s="29">
        <f t="shared" si="80"/>
        <v>0</v>
      </c>
      <c r="P333" s="29">
        <f t="shared" si="81"/>
        <v>0</v>
      </c>
      <c r="Q333" s="30">
        <f t="shared" si="82"/>
        <v>0</v>
      </c>
      <c r="R333" s="30">
        <v>0</v>
      </c>
      <c r="S333" s="29">
        <f t="shared" si="83"/>
        <v>0</v>
      </c>
      <c r="T333" s="24">
        <f t="shared" si="84"/>
        <v>0</v>
      </c>
      <c r="U333" s="31">
        <f t="shared" si="85"/>
        <v>0</v>
      </c>
      <c r="V333" s="32">
        <f t="shared" ref="V333:V347" si="91">IF(E333=0,0,U333/E333)</f>
        <v>0</v>
      </c>
      <c r="W333" s="32">
        <f t="shared" si="86"/>
        <v>0</v>
      </c>
      <c r="X333" s="33">
        <v>0</v>
      </c>
      <c r="Y333" s="30">
        <f t="shared" si="87"/>
        <v>0</v>
      </c>
    </row>
    <row r="334" spans="1:25" ht="16.5" x14ac:dyDescent="0.3">
      <c r="A334" s="7">
        <v>2860</v>
      </c>
      <c r="B334" s="7">
        <v>1</v>
      </c>
      <c r="C334" s="7" t="s">
        <v>391</v>
      </c>
      <c r="D334" s="24">
        <f>'[1]FY13 9-16-13 to copy to sheet'!F326</f>
        <v>0</v>
      </c>
      <c r="E334" s="25">
        <v>1447.05</v>
      </c>
      <c r="F334" s="20">
        <v>1222</v>
      </c>
      <c r="G334" s="20">
        <v>152</v>
      </c>
      <c r="H334" s="23">
        <f t="shared" si="77"/>
        <v>0.12438625204582651</v>
      </c>
      <c r="I334" s="29">
        <f t="shared" si="88"/>
        <v>62997.59</v>
      </c>
      <c r="J334" s="24">
        <f t="shared" si="89"/>
        <v>0</v>
      </c>
      <c r="K334" s="24">
        <f t="shared" si="78"/>
        <v>62997.59</v>
      </c>
      <c r="L334" s="30">
        <v>0</v>
      </c>
      <c r="M334" s="30">
        <f t="shared" si="79"/>
        <v>0</v>
      </c>
      <c r="N334" s="29">
        <f t="shared" si="90"/>
        <v>0</v>
      </c>
      <c r="O334" s="29">
        <f t="shared" si="80"/>
        <v>0</v>
      </c>
      <c r="P334" s="29">
        <f t="shared" si="81"/>
        <v>0</v>
      </c>
      <c r="Q334" s="30">
        <f t="shared" si="82"/>
        <v>0</v>
      </c>
      <c r="R334" s="30">
        <v>0</v>
      </c>
      <c r="S334" s="29">
        <f t="shared" si="83"/>
        <v>0</v>
      </c>
      <c r="T334" s="24">
        <f t="shared" si="84"/>
        <v>0</v>
      </c>
      <c r="U334" s="31">
        <f t="shared" si="85"/>
        <v>0</v>
      </c>
      <c r="V334" s="32">
        <f t="shared" si="91"/>
        <v>0</v>
      </c>
      <c r="W334" s="32">
        <f t="shared" si="86"/>
        <v>0</v>
      </c>
      <c r="X334" s="33">
        <v>0</v>
      </c>
      <c r="Y334" s="30">
        <f t="shared" si="87"/>
        <v>0</v>
      </c>
    </row>
    <row r="335" spans="1:25" ht="16.5" x14ac:dyDescent="0.3">
      <c r="A335" s="34">
        <v>2884</v>
      </c>
      <c r="B335" s="34">
        <v>1</v>
      </c>
      <c r="C335" s="1" t="s">
        <v>392</v>
      </c>
      <c r="D335" s="24">
        <f>'[1]FY13 9-16-13 to copy to sheet'!F327</f>
        <v>43258.400000000001</v>
      </c>
      <c r="E335" s="25">
        <v>451.83</v>
      </c>
      <c r="F335" s="20">
        <v>413</v>
      </c>
      <c r="G335" s="20">
        <v>35</v>
      </c>
      <c r="H335" s="23">
        <f t="shared" si="77"/>
        <v>8.4745762711864403E-2</v>
      </c>
      <c r="I335" s="29">
        <f t="shared" si="88"/>
        <v>13401.74</v>
      </c>
      <c r="J335" s="24">
        <f t="shared" si="89"/>
        <v>19705.400000000001</v>
      </c>
      <c r="K335" s="24">
        <f t="shared" si="78"/>
        <v>33107.14</v>
      </c>
      <c r="L335" s="30">
        <v>43258.400000000001</v>
      </c>
      <c r="M335" s="30">
        <f t="shared" si="79"/>
        <v>43388.18</v>
      </c>
      <c r="N335" s="29">
        <f t="shared" si="90"/>
        <v>33107.14</v>
      </c>
      <c r="O335" s="29">
        <f t="shared" si="80"/>
        <v>99.32</v>
      </c>
      <c r="P335" s="29">
        <f t="shared" si="81"/>
        <v>33007.82</v>
      </c>
      <c r="Q335" s="30">
        <f t="shared" si="82"/>
        <v>4518.3</v>
      </c>
      <c r="R335" s="30">
        <v>0</v>
      </c>
      <c r="S335" s="29">
        <f t="shared" si="83"/>
        <v>0</v>
      </c>
      <c r="T335" s="24">
        <f t="shared" si="84"/>
        <v>33007.82</v>
      </c>
      <c r="U335" s="31">
        <f t="shared" si="85"/>
        <v>-10250.580000000002</v>
      </c>
      <c r="V335" s="32">
        <f t="shared" si="91"/>
        <v>-22.686806984927966</v>
      </c>
      <c r="W335" s="32">
        <f t="shared" si="86"/>
        <v>20329.48</v>
      </c>
      <c r="X335" s="33">
        <v>12678.34</v>
      </c>
      <c r="Y335" s="30">
        <f t="shared" si="87"/>
        <v>20329.48</v>
      </c>
    </row>
    <row r="336" spans="1:25" ht="16.5" x14ac:dyDescent="0.3">
      <c r="A336" s="34">
        <v>2886</v>
      </c>
      <c r="B336" s="34">
        <v>1</v>
      </c>
      <c r="C336" s="1" t="s">
        <v>393</v>
      </c>
      <c r="D336" s="24">
        <f>'[1]FY13 9-16-13 to copy to sheet'!F328</f>
        <v>0</v>
      </c>
      <c r="E336" s="25">
        <v>431.98</v>
      </c>
      <c r="F336" s="20">
        <v>269</v>
      </c>
      <c r="G336" s="20">
        <v>10</v>
      </c>
      <c r="H336" s="23">
        <f t="shared" si="77"/>
        <v>3.717472118959108E-2</v>
      </c>
      <c r="I336" s="29">
        <f t="shared" si="88"/>
        <v>5620.56</v>
      </c>
      <c r="J336" s="24">
        <f t="shared" si="89"/>
        <v>0</v>
      </c>
      <c r="K336" s="24">
        <f t="shared" si="78"/>
        <v>5620.56</v>
      </c>
      <c r="L336" s="30">
        <v>0</v>
      </c>
      <c r="M336" s="30">
        <f t="shared" si="79"/>
        <v>0</v>
      </c>
      <c r="N336" s="29">
        <f t="shared" si="90"/>
        <v>0</v>
      </c>
      <c r="O336" s="29">
        <f t="shared" si="80"/>
        <v>0</v>
      </c>
      <c r="P336" s="29">
        <f t="shared" si="81"/>
        <v>0</v>
      </c>
      <c r="Q336" s="30">
        <f t="shared" si="82"/>
        <v>0</v>
      </c>
      <c r="R336" s="30">
        <v>0</v>
      </c>
      <c r="S336" s="29">
        <f t="shared" si="83"/>
        <v>0</v>
      </c>
      <c r="T336" s="24">
        <f t="shared" si="84"/>
        <v>0</v>
      </c>
      <c r="U336" s="31">
        <f t="shared" si="85"/>
        <v>0</v>
      </c>
      <c r="V336" s="32">
        <f t="shared" si="91"/>
        <v>0</v>
      </c>
      <c r="W336" s="32">
        <f t="shared" si="86"/>
        <v>0</v>
      </c>
      <c r="X336" s="33">
        <v>0</v>
      </c>
      <c r="Y336" s="30">
        <f t="shared" si="87"/>
        <v>0</v>
      </c>
    </row>
    <row r="337" spans="1:25" ht="16.5" x14ac:dyDescent="0.3">
      <c r="A337" s="7">
        <v>2888</v>
      </c>
      <c r="B337" s="7">
        <v>1</v>
      </c>
      <c r="C337" s="7" t="s">
        <v>394</v>
      </c>
      <c r="D337" s="24">
        <f>'[1]FY13 9-16-13 to copy to sheet'!F329</f>
        <v>0</v>
      </c>
      <c r="E337" s="25">
        <v>412.27</v>
      </c>
      <c r="F337" s="20">
        <v>356</v>
      </c>
      <c r="G337" s="20">
        <v>5</v>
      </c>
      <c r="H337" s="23">
        <f t="shared" si="77"/>
        <v>1.4044943820224719E-2</v>
      </c>
      <c r="I337" s="29">
        <f t="shared" si="88"/>
        <v>2026.61</v>
      </c>
      <c r="J337" s="24">
        <f t="shared" si="89"/>
        <v>0</v>
      </c>
      <c r="K337" s="24">
        <f t="shared" si="78"/>
        <v>2026.61</v>
      </c>
      <c r="L337" s="30">
        <v>0</v>
      </c>
      <c r="M337" s="30">
        <f t="shared" si="79"/>
        <v>0</v>
      </c>
      <c r="N337" s="29">
        <f t="shared" si="90"/>
        <v>0</v>
      </c>
      <c r="O337" s="29">
        <f t="shared" si="80"/>
        <v>0</v>
      </c>
      <c r="P337" s="29">
        <f t="shared" si="81"/>
        <v>0</v>
      </c>
      <c r="Q337" s="30">
        <f t="shared" si="82"/>
        <v>0</v>
      </c>
      <c r="R337" s="30">
        <v>0</v>
      </c>
      <c r="S337" s="29">
        <f t="shared" si="83"/>
        <v>0</v>
      </c>
      <c r="T337" s="24">
        <f t="shared" si="84"/>
        <v>0</v>
      </c>
      <c r="U337" s="31">
        <f t="shared" si="85"/>
        <v>0</v>
      </c>
      <c r="V337" s="32">
        <f t="shared" si="91"/>
        <v>0</v>
      </c>
      <c r="W337" s="32">
        <f t="shared" si="86"/>
        <v>0</v>
      </c>
      <c r="X337" s="33">
        <v>0</v>
      </c>
      <c r="Y337" s="30">
        <f t="shared" si="87"/>
        <v>0</v>
      </c>
    </row>
    <row r="338" spans="1:25" ht="16.5" x14ac:dyDescent="0.3">
      <c r="A338" s="34">
        <v>2889</v>
      </c>
      <c r="B338" s="34">
        <v>1</v>
      </c>
      <c r="C338" s="1" t="s">
        <v>395</v>
      </c>
      <c r="D338" s="24">
        <f>'[1]FY13 9-16-13 to copy to sheet'!F330</f>
        <v>51858.09</v>
      </c>
      <c r="E338" s="25">
        <v>719.02</v>
      </c>
      <c r="F338" s="20">
        <v>672</v>
      </c>
      <c r="G338" s="20">
        <v>43</v>
      </c>
      <c r="H338" s="23">
        <f t="shared" si="77"/>
        <v>6.3988095238095233E-2</v>
      </c>
      <c r="I338" s="29">
        <f t="shared" si="88"/>
        <v>16103.05</v>
      </c>
      <c r="J338" s="24">
        <f t="shared" si="89"/>
        <v>23598.33</v>
      </c>
      <c r="K338" s="24">
        <f t="shared" si="78"/>
        <v>39701.380000000005</v>
      </c>
      <c r="L338" s="30">
        <v>46892</v>
      </c>
      <c r="M338" s="30">
        <f t="shared" si="79"/>
        <v>47032.68</v>
      </c>
      <c r="N338" s="29">
        <f t="shared" si="90"/>
        <v>39701.380000000005</v>
      </c>
      <c r="O338" s="29">
        <f t="shared" si="80"/>
        <v>119.1</v>
      </c>
      <c r="P338" s="29">
        <f t="shared" si="81"/>
        <v>39582.280000000006</v>
      </c>
      <c r="Q338" s="30">
        <f t="shared" si="82"/>
        <v>7190.2</v>
      </c>
      <c r="R338" s="30">
        <v>0</v>
      </c>
      <c r="S338" s="29">
        <f t="shared" si="83"/>
        <v>0</v>
      </c>
      <c r="T338" s="24">
        <f t="shared" si="84"/>
        <v>39582.280000000006</v>
      </c>
      <c r="U338" s="31">
        <f t="shared" si="85"/>
        <v>-12275.80999999999</v>
      </c>
      <c r="V338" s="32">
        <f t="shared" si="91"/>
        <v>-17.072974326166158</v>
      </c>
      <c r="W338" s="32">
        <f t="shared" si="86"/>
        <v>29792.830000000005</v>
      </c>
      <c r="X338" s="33">
        <v>9789.4500000000007</v>
      </c>
      <c r="Y338" s="30">
        <f t="shared" si="87"/>
        <v>29792.830000000005</v>
      </c>
    </row>
    <row r="339" spans="1:25" ht="16.5" x14ac:dyDescent="0.3">
      <c r="A339" s="34">
        <v>2890</v>
      </c>
      <c r="B339" s="34">
        <v>1</v>
      </c>
      <c r="C339" s="1" t="s">
        <v>396</v>
      </c>
      <c r="D339" s="24">
        <f>'[1]FY13 9-16-13 to copy to sheet'!F331</f>
        <v>52663.56</v>
      </c>
      <c r="E339" s="25">
        <v>569.24</v>
      </c>
      <c r="F339" s="20">
        <v>542</v>
      </c>
      <c r="G339" s="20">
        <v>165</v>
      </c>
      <c r="H339" s="23">
        <f t="shared" si="77"/>
        <v>0.30442804428044279</v>
      </c>
      <c r="I339" s="29">
        <f t="shared" si="88"/>
        <v>60652.42</v>
      </c>
      <c r="J339" s="24">
        <f t="shared" si="89"/>
        <v>0</v>
      </c>
      <c r="K339" s="24">
        <f t="shared" si="78"/>
        <v>60652.42</v>
      </c>
      <c r="L339" s="30">
        <v>53337.919999999998</v>
      </c>
      <c r="M339" s="30">
        <f t="shared" si="79"/>
        <v>53497.93</v>
      </c>
      <c r="N339" s="29">
        <f t="shared" si="90"/>
        <v>53497.93</v>
      </c>
      <c r="O339" s="29">
        <f t="shared" si="80"/>
        <v>160.01000000000204</v>
      </c>
      <c r="P339" s="29">
        <f t="shared" si="81"/>
        <v>53337.919999999998</v>
      </c>
      <c r="Q339" s="30">
        <f t="shared" si="82"/>
        <v>5692.4</v>
      </c>
      <c r="R339" s="30">
        <v>0</v>
      </c>
      <c r="S339" s="29">
        <f t="shared" si="83"/>
        <v>0</v>
      </c>
      <c r="T339" s="24">
        <f t="shared" si="84"/>
        <v>53337.919999999998</v>
      </c>
      <c r="U339" s="31">
        <f t="shared" si="85"/>
        <v>674.36000000000058</v>
      </c>
      <c r="V339" s="32">
        <f t="shared" si="91"/>
        <v>1.184667275665801</v>
      </c>
      <c r="W339" s="32">
        <f t="shared" si="86"/>
        <v>37137.919999999998</v>
      </c>
      <c r="X339" s="33">
        <v>16200</v>
      </c>
      <c r="Y339" s="30">
        <f t="shared" si="87"/>
        <v>37137.919999999998</v>
      </c>
    </row>
    <row r="340" spans="1:25" ht="16.5" x14ac:dyDescent="0.3">
      <c r="A340" s="34">
        <v>2895</v>
      </c>
      <c r="B340" s="34">
        <v>1</v>
      </c>
      <c r="C340" s="1" t="s">
        <v>397</v>
      </c>
      <c r="D340" s="24">
        <f>'[1]FY13 9-16-13 to copy to sheet'!F332</f>
        <v>120000</v>
      </c>
      <c r="E340" s="25">
        <v>1444.78</v>
      </c>
      <c r="F340" s="20">
        <v>1200</v>
      </c>
      <c r="G340" s="20">
        <v>88</v>
      </c>
      <c r="H340" s="23">
        <f t="shared" si="77"/>
        <v>7.3333333333333334E-2</v>
      </c>
      <c r="I340" s="29">
        <f t="shared" si="88"/>
        <v>37082.69</v>
      </c>
      <c r="J340" s="24">
        <f t="shared" si="89"/>
        <v>54725.42</v>
      </c>
      <c r="K340" s="24">
        <f t="shared" si="78"/>
        <v>91808.11</v>
      </c>
      <c r="L340" s="30">
        <v>120000</v>
      </c>
      <c r="M340" s="30">
        <f t="shared" si="79"/>
        <v>120360</v>
      </c>
      <c r="N340" s="29">
        <f t="shared" si="90"/>
        <v>91808.11</v>
      </c>
      <c r="O340" s="29">
        <f t="shared" si="80"/>
        <v>275.42</v>
      </c>
      <c r="P340" s="29">
        <f t="shared" si="81"/>
        <v>91532.69</v>
      </c>
      <c r="Q340" s="30">
        <f t="shared" si="82"/>
        <v>14447.8</v>
      </c>
      <c r="R340" s="30">
        <v>0</v>
      </c>
      <c r="S340" s="29">
        <f t="shared" si="83"/>
        <v>0</v>
      </c>
      <c r="T340" s="24">
        <f t="shared" si="84"/>
        <v>91532.69</v>
      </c>
      <c r="U340" s="31">
        <f t="shared" si="85"/>
        <v>-28467.309999999998</v>
      </c>
      <c r="V340" s="32">
        <f t="shared" si="91"/>
        <v>-19.70356040366007</v>
      </c>
      <c r="W340" s="32">
        <f t="shared" si="86"/>
        <v>55532.69</v>
      </c>
      <c r="X340" s="33">
        <v>36000</v>
      </c>
      <c r="Y340" s="30">
        <f t="shared" si="87"/>
        <v>55532.69</v>
      </c>
    </row>
    <row r="341" spans="1:25" ht="16.5" x14ac:dyDescent="0.3">
      <c r="A341" s="7">
        <v>2897</v>
      </c>
      <c r="B341" s="7">
        <v>1</v>
      </c>
      <c r="C341" s="7" t="s">
        <v>398</v>
      </c>
      <c r="D341" s="24">
        <f>'[1]FY13 9-16-13 to copy to sheet'!F333</f>
        <v>137283</v>
      </c>
      <c r="E341" s="25">
        <v>1308.9100000000001</v>
      </c>
      <c r="F341" s="20">
        <v>1122</v>
      </c>
      <c r="G341" s="20">
        <v>338</v>
      </c>
      <c r="H341" s="23">
        <f t="shared" si="77"/>
        <v>0.30124777183600715</v>
      </c>
      <c r="I341" s="29">
        <f t="shared" si="88"/>
        <v>138007.18</v>
      </c>
      <c r="J341" s="24">
        <f t="shared" si="89"/>
        <v>0</v>
      </c>
      <c r="K341" s="24">
        <f t="shared" si="78"/>
        <v>138007.18</v>
      </c>
      <c r="L341" s="30">
        <v>151096</v>
      </c>
      <c r="M341" s="30">
        <f t="shared" si="79"/>
        <v>151549.29</v>
      </c>
      <c r="N341" s="29">
        <f t="shared" si="90"/>
        <v>138007.18</v>
      </c>
      <c r="O341" s="29">
        <f t="shared" si="80"/>
        <v>414.02</v>
      </c>
      <c r="P341" s="29">
        <f t="shared" si="81"/>
        <v>137593.16</v>
      </c>
      <c r="Q341" s="30">
        <f t="shared" si="82"/>
        <v>13089.1</v>
      </c>
      <c r="R341" s="30">
        <v>0</v>
      </c>
      <c r="S341" s="29">
        <f t="shared" si="83"/>
        <v>0</v>
      </c>
      <c r="T341" s="24">
        <f t="shared" si="84"/>
        <v>137593.16</v>
      </c>
      <c r="U341" s="31">
        <f t="shared" si="85"/>
        <v>310.16000000000349</v>
      </c>
      <c r="V341" s="32">
        <f t="shared" si="91"/>
        <v>0.23696052440580595</v>
      </c>
      <c r="W341" s="32">
        <f t="shared" si="86"/>
        <v>88093.16</v>
      </c>
      <c r="X341" s="33">
        <v>49500</v>
      </c>
      <c r="Y341" s="30">
        <f t="shared" si="87"/>
        <v>88093.16</v>
      </c>
    </row>
    <row r="342" spans="1:25" ht="16.5" x14ac:dyDescent="0.3">
      <c r="A342" s="34">
        <v>2898</v>
      </c>
      <c r="B342" s="34">
        <v>1</v>
      </c>
      <c r="C342" s="1" t="s">
        <v>399</v>
      </c>
      <c r="D342" s="24">
        <f>'[1]FY13 9-16-13 to copy to sheet'!F334</f>
        <v>50000</v>
      </c>
      <c r="E342" s="25">
        <v>486.48</v>
      </c>
      <c r="F342" s="20">
        <v>434</v>
      </c>
      <c r="G342" s="20">
        <v>128</v>
      </c>
      <c r="H342" s="23">
        <f t="shared" si="77"/>
        <v>0.29493087557603687</v>
      </c>
      <c r="I342" s="29">
        <f t="shared" si="88"/>
        <v>50217.29</v>
      </c>
      <c r="J342" s="24">
        <f t="shared" si="89"/>
        <v>0</v>
      </c>
      <c r="K342" s="24">
        <f t="shared" si="78"/>
        <v>50217.29</v>
      </c>
      <c r="L342" s="30">
        <v>50000</v>
      </c>
      <c r="M342" s="30">
        <f t="shared" si="79"/>
        <v>50150</v>
      </c>
      <c r="N342" s="29">
        <f t="shared" si="90"/>
        <v>50150</v>
      </c>
      <c r="O342" s="29">
        <f t="shared" si="80"/>
        <v>150</v>
      </c>
      <c r="P342" s="29">
        <f t="shared" si="81"/>
        <v>50000</v>
      </c>
      <c r="Q342" s="30">
        <f t="shared" si="82"/>
        <v>4864.8</v>
      </c>
      <c r="R342" s="30">
        <v>0</v>
      </c>
      <c r="S342" s="29">
        <f t="shared" si="83"/>
        <v>0</v>
      </c>
      <c r="T342" s="24">
        <f t="shared" si="84"/>
        <v>50000</v>
      </c>
      <c r="U342" s="31">
        <f t="shared" si="85"/>
        <v>0</v>
      </c>
      <c r="V342" s="32">
        <f t="shared" si="91"/>
        <v>0</v>
      </c>
      <c r="W342" s="32">
        <f t="shared" si="86"/>
        <v>35000</v>
      </c>
      <c r="X342" s="33">
        <v>15000</v>
      </c>
      <c r="Y342" s="30">
        <f t="shared" si="87"/>
        <v>35000</v>
      </c>
    </row>
    <row r="343" spans="1:25" ht="16.5" x14ac:dyDescent="0.3">
      <c r="A343" s="34">
        <v>2899</v>
      </c>
      <c r="B343" s="34">
        <v>1</v>
      </c>
      <c r="C343" s="1" t="s">
        <v>400</v>
      </c>
      <c r="D343" s="24">
        <f>'[1]FY13 9-16-13 to copy to sheet'!F335</f>
        <v>78920</v>
      </c>
      <c r="E343" s="25">
        <v>1666.24</v>
      </c>
      <c r="F343" s="20">
        <v>1477</v>
      </c>
      <c r="G343" s="20">
        <v>103</v>
      </c>
      <c r="H343" s="23">
        <f t="shared" si="77"/>
        <v>6.9735951252538925E-2</v>
      </c>
      <c r="I343" s="29">
        <f t="shared" si="88"/>
        <v>40668.89</v>
      </c>
      <c r="J343" s="24">
        <f t="shared" si="89"/>
        <v>25245.73</v>
      </c>
      <c r="K343" s="24">
        <f t="shared" si="78"/>
        <v>65914.62</v>
      </c>
      <c r="L343" s="30">
        <v>114851</v>
      </c>
      <c r="M343" s="30">
        <f t="shared" si="79"/>
        <v>115195.55</v>
      </c>
      <c r="N343" s="29">
        <f t="shared" si="90"/>
        <v>65914.62</v>
      </c>
      <c r="O343" s="29">
        <f t="shared" si="80"/>
        <v>197.74</v>
      </c>
      <c r="P343" s="29">
        <f t="shared" si="81"/>
        <v>65716.87999999999</v>
      </c>
      <c r="Q343" s="30">
        <f t="shared" si="82"/>
        <v>16662.400000000001</v>
      </c>
      <c r="R343" s="30">
        <v>0</v>
      </c>
      <c r="S343" s="29">
        <f t="shared" si="83"/>
        <v>0</v>
      </c>
      <c r="T343" s="24">
        <f t="shared" si="84"/>
        <v>65716.87999999999</v>
      </c>
      <c r="U343" s="31">
        <f t="shared" si="85"/>
        <v>-13203.12000000001</v>
      </c>
      <c r="V343" s="32">
        <f t="shared" si="91"/>
        <v>-7.9239005185327507</v>
      </c>
      <c r="W343" s="32">
        <f t="shared" si="86"/>
        <v>41716.87999999999</v>
      </c>
      <c r="X343" s="33">
        <v>24000</v>
      </c>
      <c r="Y343" s="30">
        <f t="shared" si="87"/>
        <v>41716.87999999999</v>
      </c>
    </row>
    <row r="344" spans="1:25" ht="16.5" x14ac:dyDescent="0.3">
      <c r="A344" s="34">
        <v>2902</v>
      </c>
      <c r="B344" s="34">
        <v>1</v>
      </c>
      <c r="C344" s="1" t="s">
        <v>401</v>
      </c>
      <c r="D344" s="24">
        <f>'[1]FY13 9-16-13 to copy to sheet'!F336</f>
        <v>58233.24</v>
      </c>
      <c r="E344" s="25">
        <v>592.72</v>
      </c>
      <c r="F344" s="20">
        <v>563</v>
      </c>
      <c r="G344" s="20">
        <v>30</v>
      </c>
      <c r="H344" s="23">
        <f t="shared" si="77"/>
        <v>5.328596802841918E-2</v>
      </c>
      <c r="I344" s="29">
        <f t="shared" si="88"/>
        <v>11054.28</v>
      </c>
      <c r="J344" s="24">
        <f t="shared" si="89"/>
        <v>31138.11</v>
      </c>
      <c r="K344" s="24">
        <f t="shared" si="78"/>
        <v>42192.39</v>
      </c>
      <c r="L344" s="30">
        <v>58000</v>
      </c>
      <c r="M344" s="30">
        <f t="shared" si="79"/>
        <v>58174</v>
      </c>
      <c r="N344" s="29">
        <f t="shared" si="90"/>
        <v>42192.39</v>
      </c>
      <c r="O344" s="29">
        <f t="shared" si="80"/>
        <v>126.58</v>
      </c>
      <c r="P344" s="29">
        <f t="shared" si="81"/>
        <v>42065.81</v>
      </c>
      <c r="Q344" s="30">
        <f t="shared" si="82"/>
        <v>5927.2000000000007</v>
      </c>
      <c r="R344" s="30">
        <v>0</v>
      </c>
      <c r="S344" s="29">
        <f t="shared" si="83"/>
        <v>0</v>
      </c>
      <c r="T344" s="24">
        <f t="shared" si="84"/>
        <v>42065.81</v>
      </c>
      <c r="U344" s="31">
        <f t="shared" si="85"/>
        <v>-16167.43</v>
      </c>
      <c r="V344" s="32">
        <f t="shared" si="91"/>
        <v>-27.276673640167363</v>
      </c>
      <c r="W344" s="32">
        <f t="shared" si="86"/>
        <v>24394.359999999997</v>
      </c>
      <c r="X344" s="33">
        <v>17671.45</v>
      </c>
      <c r="Y344" s="30">
        <f t="shared" si="87"/>
        <v>24394.359999999997</v>
      </c>
    </row>
    <row r="345" spans="1:25" ht="16.5" x14ac:dyDescent="0.3">
      <c r="A345" s="7">
        <v>2903</v>
      </c>
      <c r="B345" s="7">
        <v>1</v>
      </c>
      <c r="C345" s="7" t="s">
        <v>402</v>
      </c>
      <c r="D345" s="24">
        <f>'[1]FY13 9-16-13 to copy to sheet'!F337</f>
        <v>0</v>
      </c>
      <c r="E345" s="25">
        <v>562.74</v>
      </c>
      <c r="F345" s="20">
        <v>502</v>
      </c>
      <c r="G345" s="20">
        <v>23</v>
      </c>
      <c r="H345" s="23">
        <f t="shared" si="77"/>
        <v>4.5816733067729085E-2</v>
      </c>
      <c r="I345" s="29">
        <f t="shared" si="88"/>
        <v>9024.02</v>
      </c>
      <c r="J345" s="24">
        <f t="shared" si="89"/>
        <v>0</v>
      </c>
      <c r="K345" s="24">
        <f t="shared" si="78"/>
        <v>9024.02</v>
      </c>
      <c r="L345" s="30">
        <v>0</v>
      </c>
      <c r="M345" s="30">
        <f t="shared" si="79"/>
        <v>0</v>
      </c>
      <c r="N345" s="29">
        <f t="shared" si="90"/>
        <v>0</v>
      </c>
      <c r="O345" s="29">
        <f t="shared" si="80"/>
        <v>0</v>
      </c>
      <c r="P345" s="29">
        <f t="shared" si="81"/>
        <v>0</v>
      </c>
      <c r="Q345" s="30">
        <f t="shared" si="82"/>
        <v>0</v>
      </c>
      <c r="R345" s="30">
        <v>0</v>
      </c>
      <c r="S345" s="29">
        <f t="shared" si="83"/>
        <v>0</v>
      </c>
      <c r="T345" s="24">
        <f t="shared" si="84"/>
        <v>0</v>
      </c>
      <c r="U345" s="31">
        <f t="shared" si="85"/>
        <v>0</v>
      </c>
      <c r="V345" s="32">
        <f t="shared" si="91"/>
        <v>0</v>
      </c>
      <c r="W345" s="32">
        <f t="shared" si="86"/>
        <v>0</v>
      </c>
      <c r="X345" s="33">
        <v>0</v>
      </c>
      <c r="Y345" s="30">
        <f t="shared" si="87"/>
        <v>0</v>
      </c>
    </row>
    <row r="346" spans="1:25" ht="16.5" x14ac:dyDescent="0.3">
      <c r="A346" s="34">
        <v>2904</v>
      </c>
      <c r="B346" s="34">
        <v>1</v>
      </c>
      <c r="C346" s="1" t="s">
        <v>403</v>
      </c>
      <c r="D346" s="24">
        <f>'[1]FY13 9-16-13 to copy to sheet'!F338</f>
        <v>80410</v>
      </c>
      <c r="E346" s="25">
        <v>884.05</v>
      </c>
      <c r="F346" s="20">
        <v>776</v>
      </c>
      <c r="G346" s="20">
        <v>160</v>
      </c>
      <c r="H346" s="23">
        <f t="shared" si="77"/>
        <v>0.20618556701030927</v>
      </c>
      <c r="I346" s="29">
        <f t="shared" si="88"/>
        <v>63797.42</v>
      </c>
      <c r="J346" s="24">
        <f t="shared" si="89"/>
        <v>10964.3</v>
      </c>
      <c r="K346" s="24">
        <f t="shared" si="78"/>
        <v>74761.72</v>
      </c>
      <c r="L346" s="30">
        <v>80410</v>
      </c>
      <c r="M346" s="30">
        <f t="shared" si="79"/>
        <v>80651.23</v>
      </c>
      <c r="N346" s="29">
        <f t="shared" si="90"/>
        <v>74761.72</v>
      </c>
      <c r="O346" s="29">
        <f t="shared" si="80"/>
        <v>224.29</v>
      </c>
      <c r="P346" s="29">
        <f t="shared" si="81"/>
        <v>74537.430000000008</v>
      </c>
      <c r="Q346" s="30">
        <f t="shared" si="82"/>
        <v>8840.5</v>
      </c>
      <c r="R346" s="30">
        <v>0</v>
      </c>
      <c r="S346" s="29">
        <f t="shared" si="83"/>
        <v>0</v>
      </c>
      <c r="T346" s="24">
        <f t="shared" si="84"/>
        <v>74537.430000000008</v>
      </c>
      <c r="U346" s="31">
        <f t="shared" si="85"/>
        <v>-5872.5699999999924</v>
      </c>
      <c r="V346" s="32">
        <f t="shared" si="91"/>
        <v>-6.6428030088795804</v>
      </c>
      <c r="W346" s="32">
        <f t="shared" si="86"/>
        <v>50703.450000000012</v>
      </c>
      <c r="X346" s="33">
        <v>23833.98</v>
      </c>
      <c r="Y346" s="30">
        <f t="shared" si="87"/>
        <v>50703.450000000012</v>
      </c>
    </row>
    <row r="347" spans="1:25" ht="16.5" x14ac:dyDescent="0.3">
      <c r="A347" s="27">
        <v>2905</v>
      </c>
      <c r="B347" s="27">
        <v>1</v>
      </c>
      <c r="C347" s="28" t="s">
        <v>404</v>
      </c>
      <c r="D347" s="24">
        <f>'[1]FY13 9-16-13 to copy to sheet'!F339</f>
        <v>0</v>
      </c>
      <c r="E347" s="25">
        <v>2134.64</v>
      </c>
      <c r="F347" s="20">
        <v>1831</v>
      </c>
      <c r="G347" s="20">
        <v>263</v>
      </c>
      <c r="H347" s="23">
        <f t="shared" si="77"/>
        <v>0.14363735663571819</v>
      </c>
      <c r="I347" s="29">
        <f t="shared" si="88"/>
        <v>107314.92</v>
      </c>
      <c r="J347" s="24">
        <f t="shared" si="89"/>
        <v>0</v>
      </c>
      <c r="K347" s="24">
        <f t="shared" si="78"/>
        <v>107314.92</v>
      </c>
      <c r="L347" s="30">
        <v>0</v>
      </c>
      <c r="M347" s="30">
        <f t="shared" si="79"/>
        <v>0</v>
      </c>
      <c r="N347" s="29">
        <f t="shared" si="90"/>
        <v>0</v>
      </c>
      <c r="O347" s="29">
        <f t="shared" si="80"/>
        <v>0</v>
      </c>
      <c r="P347" s="29">
        <f t="shared" si="81"/>
        <v>0</v>
      </c>
      <c r="Q347" s="30">
        <f t="shared" si="82"/>
        <v>0</v>
      </c>
      <c r="R347" s="30">
        <v>0</v>
      </c>
      <c r="S347" s="29">
        <f t="shared" si="83"/>
        <v>0</v>
      </c>
      <c r="T347" s="24">
        <f t="shared" si="84"/>
        <v>0</v>
      </c>
      <c r="U347" s="31">
        <f t="shared" si="85"/>
        <v>0</v>
      </c>
      <c r="V347" s="32">
        <f t="shared" si="91"/>
        <v>0</v>
      </c>
      <c r="W347" s="32">
        <f t="shared" si="86"/>
        <v>0</v>
      </c>
      <c r="X347" s="33">
        <v>0</v>
      </c>
      <c r="Y347" s="30">
        <f t="shared" si="87"/>
        <v>0</v>
      </c>
    </row>
    <row r="348" spans="1:25" x14ac:dyDescent="0.25">
      <c r="A348" s="34">
        <v>2907</v>
      </c>
      <c r="B348" s="21">
        <v>1</v>
      </c>
      <c r="C348" s="1" t="s">
        <v>405</v>
      </c>
      <c r="D348" s="30">
        <v>30922.93</v>
      </c>
      <c r="E348" s="20">
        <v>272.38</v>
      </c>
      <c r="F348" s="30">
        <v>237</v>
      </c>
      <c r="G348" s="30">
        <v>73</v>
      </c>
      <c r="H348" s="23">
        <f t="shared" si="77"/>
        <v>0.30801687763713081</v>
      </c>
      <c r="I348" s="29">
        <f>ROUND(E348*H348*I$10,2)</f>
        <v>29364.17</v>
      </c>
      <c r="J348" s="24">
        <f>ROUND(MAX(0,IF(D348=0,0,(D348-I348)*J$9)),2)</f>
        <v>1028.78</v>
      </c>
      <c r="K348" s="24">
        <f t="shared" si="78"/>
        <v>30392.949999999997</v>
      </c>
      <c r="L348" s="30">
        <v>35463</v>
      </c>
      <c r="M348" s="30">
        <f t="shared" si="79"/>
        <v>35569.39</v>
      </c>
      <c r="N348" s="29">
        <f t="shared" si="90"/>
        <v>30392.949999999997</v>
      </c>
      <c r="O348" s="29">
        <f t="shared" si="80"/>
        <v>91.18</v>
      </c>
      <c r="P348" s="29">
        <f t="shared" si="81"/>
        <v>30301.769999999997</v>
      </c>
      <c r="Q348" s="30">
        <f>IF(D348&gt;0,E348*Q$10,0)</f>
        <v>2723.8</v>
      </c>
      <c r="R348" s="30">
        <v>0</v>
      </c>
      <c r="S348" s="29">
        <f t="shared" si="83"/>
        <v>0</v>
      </c>
      <c r="T348" s="24">
        <f t="shared" si="84"/>
        <v>30301.769999999997</v>
      </c>
      <c r="U348" s="31">
        <f t="shared" si="85"/>
        <v>-621.16000000000349</v>
      </c>
      <c r="V348" s="32">
        <f t="shared" ref="V348" si="92">IF(H348=0,0,U348/H348)</f>
        <v>-2016.6427397260386</v>
      </c>
      <c r="W348" s="32">
        <f t="shared" si="86"/>
        <v>19830.03</v>
      </c>
      <c r="X348" s="30">
        <v>10471.74</v>
      </c>
      <c r="Y348" s="30">
        <f t="shared" si="87"/>
        <v>19830.03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 16, 2013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Achievement and Integration for FY2014 IDEAS State Aid</dc:title>
  <dc:creator>Minnesota Department of Education</dc:creator>
  <cp:lastModifiedBy>Biringer, Catherine</cp:lastModifiedBy>
  <dcterms:created xsi:type="dcterms:W3CDTF">2013-10-16T18:35:18Z</dcterms:created>
  <dcterms:modified xsi:type="dcterms:W3CDTF">2013-10-18T16:12:18Z</dcterms:modified>
</cp:coreProperties>
</file>