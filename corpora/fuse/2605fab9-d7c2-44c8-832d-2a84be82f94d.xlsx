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355" yWindow="1515" windowWidth="13395" windowHeight="8295"/>
  </bookViews>
  <sheets>
    <sheet name="3M Cloud Library" sheetId="1" r:id="rId1"/>
    <sheet name="OneClickdigital" sheetId="2" r:id="rId2"/>
    <sheet name="Freading" sheetId="6" r:id="rId3"/>
    <sheet name="Tumblebooks" sheetId="7" r:id="rId4"/>
  </sheets>
  <calcPr calcId="145621"/>
</workbook>
</file>

<file path=xl/calcChain.xml><?xml version="1.0" encoding="utf-8"?>
<calcChain xmlns="http://schemas.openxmlformats.org/spreadsheetml/2006/main">
  <c r="B16" i="6" l="1"/>
  <c r="D15" i="2" l="1"/>
  <c r="D27" i="1"/>
  <c r="F15" i="1"/>
  <c r="C27" i="1" l="1"/>
  <c r="H17" i="1" l="1"/>
  <c r="F17" i="2"/>
  <c r="E17" i="6"/>
  <c r="C17" i="6"/>
  <c r="D12" i="7"/>
  <c r="B12" i="7"/>
  <c r="D12" i="2" l="1"/>
  <c r="D11" i="2"/>
</calcChain>
</file>

<file path=xl/sharedStrings.xml><?xml version="1.0" encoding="utf-8"?>
<sst xmlns="http://schemas.openxmlformats.org/spreadsheetml/2006/main" count="194" uniqueCount="107">
  <si>
    <t>January</t>
  </si>
  <si>
    <t>February</t>
  </si>
  <si>
    <t>March</t>
  </si>
  <si>
    <t xml:space="preserve">April </t>
  </si>
  <si>
    <t xml:space="preserve">May </t>
  </si>
  <si>
    <t>June</t>
  </si>
  <si>
    <t>July</t>
  </si>
  <si>
    <t>August</t>
  </si>
  <si>
    <t>September</t>
  </si>
  <si>
    <t>October</t>
  </si>
  <si>
    <t>November</t>
  </si>
  <si>
    <t>December</t>
  </si>
  <si>
    <t>Collection Size</t>
  </si>
  <si>
    <t>Total Titles</t>
  </si>
  <si>
    <t>Total Copies</t>
  </si>
  <si>
    <t>Patrons</t>
  </si>
  <si>
    <t>Total</t>
  </si>
  <si>
    <t>Circulations</t>
  </si>
  <si>
    <t>Average Per Day</t>
  </si>
  <si>
    <t>By Checkout</t>
  </si>
  <si>
    <t>By Holds</t>
  </si>
  <si>
    <t>Top Book</t>
  </si>
  <si>
    <t>Notes</t>
  </si>
  <si>
    <t xml:space="preserve">New </t>
  </si>
  <si>
    <t>Daily Average</t>
  </si>
  <si>
    <t>The Racketeer</t>
  </si>
  <si>
    <t>3M Cloud Library eBooks 2013</t>
  </si>
  <si>
    <t>OneClickdigital 2013</t>
  </si>
  <si>
    <t>The Hunger Games</t>
  </si>
  <si>
    <t>Freading 2013</t>
  </si>
  <si>
    <t>Tokens Used</t>
  </si>
  <si>
    <t>Along Came a Cowboy</t>
  </si>
  <si>
    <t>Fifty Shades of Grey</t>
  </si>
  <si>
    <t>Notorious Nineteen</t>
  </si>
  <si>
    <t>Started with public on 1/8/13.</t>
  </si>
  <si>
    <t>Tokens cost 50 cents each.</t>
  </si>
  <si>
    <t>Cat Whisperer / Patterns of Grace</t>
  </si>
  <si>
    <t>Catching Fire</t>
  </si>
  <si>
    <t xml:space="preserve">Total titles includes subscriptions (400 books).  Subscription books count as zero copies. </t>
  </si>
  <si>
    <t>11/22/63 by Stephen King</t>
  </si>
  <si>
    <t>Stories to Make You Blush</t>
  </si>
  <si>
    <t>Winter Sea</t>
  </si>
  <si>
    <t>Deadly Stakes (Jance)</t>
  </si>
  <si>
    <t>Home Again (Hannah)</t>
  </si>
  <si>
    <t>SEALed with a Kiss</t>
  </si>
  <si>
    <t>Started with public mid-June 2013</t>
  </si>
  <si>
    <t>New this Month</t>
  </si>
  <si>
    <t>My Cloud Registrations</t>
  </si>
  <si>
    <t>TumbleBooks 2013</t>
  </si>
  <si>
    <t>Dark Places (Flynn)</t>
  </si>
  <si>
    <t>11/22/63 by Steven King</t>
  </si>
  <si>
    <t>Dead Ever After</t>
  </si>
  <si>
    <t>Patterns of Grace</t>
  </si>
  <si>
    <t>Replacement Wife / SEALed with a Promise</t>
  </si>
  <si>
    <t>Number of Titles</t>
  </si>
  <si>
    <t>Inferno (Dan Brown)</t>
  </si>
  <si>
    <t>Computer Format</t>
  </si>
  <si>
    <t>Mobile Format</t>
  </si>
  <si>
    <t xml:space="preserve">Mobile format is not different titles/materials.  These are just the ones that have been reformatted for mobile access.  </t>
  </si>
  <si>
    <t>Whiskey Beach (Roberts); A Girl Named Summer (Garwood)</t>
  </si>
  <si>
    <t xml:space="preserve">Replacement Wife   </t>
  </si>
  <si>
    <t xml:space="preserve">Total Materials now reflects books, playlists, and videos. </t>
  </si>
  <si>
    <t xml:space="preserve">Quizzes were discontinued from the public library subscription. </t>
  </si>
  <si>
    <t>Games are not listed separately, but noted as supplementary material on the books.</t>
  </si>
  <si>
    <t xml:space="preserve">Total materials includes all types of books, videos, games, quizzes, playlists prior to August. </t>
  </si>
  <si>
    <t>*Oct2</t>
  </si>
  <si>
    <t>Mr. Popper's Penguins / Half-Stitched Amish Quilt Club</t>
  </si>
  <si>
    <t xml:space="preserve">Sept. 10 shows 969 checkouts while system down for maintenance, actual number 0, adjusted in this sheet. </t>
  </si>
  <si>
    <t>A Girl Named Summer</t>
  </si>
  <si>
    <t>Number of titles available requested quarterly from Freading.  Date of Freading report will now be noted at the side.</t>
  </si>
  <si>
    <t>Materials Viewed</t>
  </si>
  <si>
    <t>Year to date</t>
  </si>
  <si>
    <t>Big Girl Panties</t>
  </si>
  <si>
    <t>Caillou: Happy Thanksgiving!</t>
  </si>
  <si>
    <t>Storyteller (Picolt)</t>
  </si>
  <si>
    <t>Total Copies Expired to Date</t>
  </si>
  <si>
    <t>Copies Current in System</t>
  </si>
  <si>
    <t>Penguin</t>
  </si>
  <si>
    <t>Expiration Term</t>
  </si>
  <si>
    <t>1 year, regardless of checkouts.</t>
  </si>
  <si>
    <t>26 checkouts, no time limitations.</t>
  </si>
  <si>
    <t>HarperCollins</t>
  </si>
  <si>
    <t xml:space="preserve">Collection Stats Update - November.  Adjusting for expiration of copies in collection.  </t>
  </si>
  <si>
    <t xml:space="preserve">*Tumblebooks reformatted their computer format materials list in mid August.  </t>
  </si>
  <si>
    <t>Total Materials*</t>
  </si>
  <si>
    <t>841 **</t>
  </si>
  <si>
    <t xml:space="preserve">Mobile Format is still in the previous style (one list of everything). </t>
  </si>
  <si>
    <t xml:space="preserve">This does not affect the mobile access totals. </t>
  </si>
  <si>
    <t>August-October Collection reports were not available due to problems in this report (problem was caused by system upgrades).</t>
  </si>
  <si>
    <t>Zombie, Ohio</t>
  </si>
  <si>
    <t xml:space="preserve">It is easiest to do a total expired to date than a monthly expiration.  Exact numbers from each total expiration report below as examples. </t>
  </si>
  <si>
    <t>totals</t>
  </si>
  <si>
    <t xml:space="preserve">These ran through December 18th, and were removed. </t>
  </si>
  <si>
    <t xml:space="preserve">Averaged the collection reports from July &amp; November to give us a September number. </t>
  </si>
  <si>
    <t xml:space="preserve">Patron stats--we can only see how many unique patrons used Freading during a given time period, so: </t>
  </si>
  <si>
    <t>we run this monthly for a monthly number</t>
  </si>
  <si>
    <t xml:space="preserve">run it at the end of the year for a full year number of unique users, this should be our total patrons.  </t>
  </si>
  <si>
    <t>*Jan3, 2014</t>
  </si>
  <si>
    <t>Unique Patrons in 2013:</t>
  </si>
  <si>
    <t>Twas the Night Before Christmas / From Baghdad with Love</t>
  </si>
  <si>
    <t xml:space="preserve">October Collection stats not available due to report glitch. </t>
  </si>
  <si>
    <t>Divergent (Roth)</t>
  </si>
  <si>
    <t>Grand Total:</t>
  </si>
  <si>
    <t>Monthly Average</t>
  </si>
  <si>
    <t xml:space="preserve">**Tumblebooks added promotional materials from another level of subscription to our computer access in November, so this is the amount of materials available during that time.  </t>
  </si>
  <si>
    <t>522***</t>
  </si>
  <si>
    <t>***We have asked TB on 1/6/14 why the numbers decreased, and will update the notes when we have an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</si>
</sst>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rgb="FF00B0F0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26"/>
      <color rgb="FFC00000"/>
      <name val="Calibri"/>
      <family val="2"/>
      <scheme val="minor"/>
    </font>
    <font>
      <b/>
      <sz val="26"/>
      <color theme="1" tint="0.14999847407452621"/>
      <name val="Calibri"/>
      <family val="2"/>
      <scheme val="minor"/>
    </font>
    <font>
      <b/>
      <sz val="26"/>
      <color rgb="FF00B050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55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Fill="1"/>
    <xf numFmtId="0" fontId="0" fillId="0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Alignment="1">
      <alignment horizontal="center"/>
    </xf>
    <xf numFmtId="0" fontId="5" fillId="0" borderId="0" xfId="1" applyNumberFormat="1" applyAlignment="1">
      <alignment horizontal="center"/>
    </xf>
    <xf numFmtId="0" fontId="5" fillId="0" borderId="0" xfId="1" applyNumberFormat="1" applyFill="1" applyAlignment="1">
      <alignment horizontal="center"/>
    </xf>
    <xf numFmtId="0" fontId="5" fillId="0" borderId="0" xfId="1" applyFill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5" fillId="0" borderId="0" xfId="1" applyNumberFormat="1" applyAlignment="1">
      <alignment horizontal="center"/>
    </xf>
    <xf numFmtId="0" fontId="5" fillId="0" borderId="0" xfId="1" applyNumberFormat="1" applyAlignment="1">
      <alignment horizontal="center"/>
    </xf>
    <xf numFmtId="0" fontId="5" fillId="0" borderId="0" xfId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5" fillId="0" borderId="0" xfId="1" applyNumberFormat="1" applyAlignment="1">
      <alignment horizontal="center"/>
    </xf>
    <xf numFmtId="0" fontId="5" fillId="0" borderId="0" xfId="1" applyFill="1" applyAlignment="1">
      <alignment horizontal="center"/>
    </xf>
    <xf numFmtId="0" fontId="5" fillId="0" borderId="0" xfId="1" applyAlignment="1">
      <alignment horizontal="center"/>
    </xf>
    <xf numFmtId="0" fontId="5" fillId="0" borderId="0" xfId="1" applyNumberFormat="1" applyFill="1" applyAlignment="1">
      <alignment horizontal="center"/>
    </xf>
    <xf numFmtId="0" fontId="0" fillId="0" borderId="0" xfId="0"/>
    <xf numFmtId="0" fontId="0" fillId="0" borderId="0" xfId="0" applyFill="1"/>
    <xf numFmtId="0" fontId="0" fillId="0" borderId="0" xfId="0"/>
    <xf numFmtId="0" fontId="0" fillId="0" borderId="0" xfId="0" applyFill="1"/>
    <xf numFmtId="0" fontId="0" fillId="0" borderId="0" xfId="0" applyAlignment="1" applyProtection="1">
      <alignment horizontal="left"/>
      <protection locked="0"/>
    </xf>
    <xf numFmtId="0" fontId="8" fillId="0" borderId="0" xfId="0" applyFont="1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Fill="1"/>
    <xf numFmtId="3" fontId="9" fillId="0" borderId="0" xfId="0" applyNumberFormat="1" applyFont="1"/>
    <xf numFmtId="0" fontId="1" fillId="0" borderId="0" xfId="0" applyFont="1"/>
    <xf numFmtId="3" fontId="0" fillId="0" borderId="0" xfId="0" applyNumberFormat="1"/>
    <xf numFmtId="3" fontId="10" fillId="0" borderId="0" xfId="0" applyNumberFormat="1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1" fillId="0" borderId="2" xfId="0" applyFont="1" applyBorder="1"/>
    <xf numFmtId="0" fontId="11" fillId="0" borderId="4" xfId="0" applyFont="1" applyBorder="1"/>
    <xf numFmtId="0" fontId="11" fillId="0" borderId="6" xfId="0" applyFont="1" applyBorder="1"/>
    <xf numFmtId="0" fontId="12" fillId="0" borderId="0" xfId="0" applyFont="1" applyAlignment="1">
      <alignment horizontal="right"/>
    </xf>
    <xf numFmtId="0" fontId="11" fillId="0" borderId="0" xfId="0" applyFont="1"/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K27"/>
  <sheetViews>
    <sheetView tabSelected="1" workbookViewId="0">
      <selection activeCell="B16" sqref="B16"/>
    </sheetView>
  </sheetViews>
  <sheetFormatPr defaultRowHeight="15" x14ac:dyDescent="0.25"/>
  <cols>
    <col min="1" max="1" width="11.7109375" customWidth="1"/>
    <col min="2" max="2" width="13.140625" customWidth="1"/>
    <col min="3" max="3" width="13.140625" style="34" customWidth="1"/>
    <col min="4" max="4" width="16.140625" style="34" customWidth="1"/>
    <col min="5" max="5" width="14.85546875" customWidth="1"/>
    <col min="6" max="6" width="10.42578125" customWidth="1"/>
    <col min="7" max="7" width="14.28515625" customWidth="1"/>
    <col min="8" max="8" width="11.140625" customWidth="1"/>
    <col min="9" max="9" width="15.85546875" customWidth="1"/>
    <col min="10" max="10" width="19.140625" customWidth="1"/>
    <col min="11" max="11" width="18.5703125" customWidth="1"/>
  </cols>
  <sheetData>
    <row r="1" spans="1:11" s="7" customFormat="1" ht="31.5" x14ac:dyDescent="0.5">
      <c r="A1" s="6" t="s">
        <v>26</v>
      </c>
    </row>
    <row r="2" spans="1:11" x14ac:dyDescent="0.25">
      <c r="B2" s="54" t="s">
        <v>12</v>
      </c>
      <c r="C2" s="54"/>
      <c r="D2" s="54"/>
      <c r="E2" s="54"/>
      <c r="F2" s="54" t="s">
        <v>15</v>
      </c>
      <c r="G2" s="54"/>
      <c r="H2" s="54" t="s">
        <v>17</v>
      </c>
      <c r="I2" s="54"/>
      <c r="J2" s="54" t="s">
        <v>21</v>
      </c>
      <c r="K2" s="54"/>
    </row>
    <row r="3" spans="1:11" ht="30" x14ac:dyDescent="0.25">
      <c r="B3" s="1" t="s">
        <v>13</v>
      </c>
      <c r="C3" s="1" t="s">
        <v>14</v>
      </c>
      <c r="D3" s="41" t="s">
        <v>75</v>
      </c>
      <c r="E3" s="41" t="s">
        <v>76</v>
      </c>
      <c r="F3" s="3" t="s">
        <v>16</v>
      </c>
      <c r="G3" s="1" t="s">
        <v>23</v>
      </c>
      <c r="H3" s="1" t="s">
        <v>16</v>
      </c>
      <c r="I3" s="1" t="s">
        <v>18</v>
      </c>
      <c r="J3" s="1" t="s">
        <v>19</v>
      </c>
      <c r="K3" s="1" t="s">
        <v>20</v>
      </c>
    </row>
    <row r="4" spans="1:11" x14ac:dyDescent="0.25">
      <c r="A4" s="1" t="s">
        <v>0</v>
      </c>
      <c r="B4">
        <v>2831</v>
      </c>
      <c r="C4">
        <v>4734</v>
      </c>
      <c r="F4" s="8">
        <v>6973</v>
      </c>
      <c r="G4" s="9">
        <v>665</v>
      </c>
      <c r="H4" s="9">
        <v>6121</v>
      </c>
      <c r="I4" s="13">
        <v>197</v>
      </c>
      <c r="J4" t="s">
        <v>32</v>
      </c>
      <c r="K4" t="s">
        <v>33</v>
      </c>
    </row>
    <row r="5" spans="1:11" x14ac:dyDescent="0.25">
      <c r="A5" s="1" t="s">
        <v>1</v>
      </c>
      <c r="B5">
        <v>3081</v>
      </c>
      <c r="C5">
        <v>4994</v>
      </c>
      <c r="F5" s="8">
        <v>7395</v>
      </c>
      <c r="G5" s="9">
        <v>422</v>
      </c>
      <c r="H5" s="9">
        <v>7525</v>
      </c>
      <c r="I5" s="10">
        <v>268</v>
      </c>
      <c r="J5" t="s">
        <v>32</v>
      </c>
      <c r="K5" t="s">
        <v>33</v>
      </c>
    </row>
    <row r="6" spans="1:11" x14ac:dyDescent="0.25">
      <c r="A6" s="1" t="s">
        <v>2</v>
      </c>
      <c r="B6">
        <v>3097</v>
      </c>
      <c r="C6">
        <v>5015</v>
      </c>
      <c r="F6" s="8">
        <v>7731</v>
      </c>
      <c r="G6" s="9">
        <v>336</v>
      </c>
      <c r="H6" s="9">
        <v>8144</v>
      </c>
      <c r="I6" s="10">
        <v>263</v>
      </c>
      <c r="J6" t="s">
        <v>32</v>
      </c>
      <c r="K6" t="s">
        <v>33</v>
      </c>
    </row>
    <row r="7" spans="1:11" x14ac:dyDescent="0.25">
      <c r="A7" s="1" t="s">
        <v>3</v>
      </c>
      <c r="B7">
        <v>3500</v>
      </c>
      <c r="C7">
        <v>5548</v>
      </c>
      <c r="F7" s="17">
        <v>7994</v>
      </c>
      <c r="G7" s="16">
        <v>263</v>
      </c>
      <c r="H7" s="16">
        <v>7273</v>
      </c>
      <c r="I7" s="10">
        <v>242</v>
      </c>
      <c r="J7" t="s">
        <v>32</v>
      </c>
      <c r="K7" t="s">
        <v>33</v>
      </c>
    </row>
    <row r="8" spans="1:11" x14ac:dyDescent="0.25">
      <c r="A8" s="1" t="s">
        <v>4</v>
      </c>
      <c r="B8" s="22">
        <v>4011</v>
      </c>
      <c r="C8" s="22">
        <v>6603</v>
      </c>
      <c r="F8" s="24">
        <v>8212</v>
      </c>
      <c r="G8" s="23">
        <v>218</v>
      </c>
      <c r="H8" s="25">
        <v>7027</v>
      </c>
      <c r="I8" s="26">
        <v>227</v>
      </c>
      <c r="J8" s="27" t="s">
        <v>32</v>
      </c>
      <c r="K8" s="27" t="s">
        <v>43</v>
      </c>
    </row>
    <row r="9" spans="1:11" x14ac:dyDescent="0.25">
      <c r="A9" s="1" t="s">
        <v>5</v>
      </c>
      <c r="B9" s="29">
        <v>4228</v>
      </c>
      <c r="C9" s="29">
        <v>6928</v>
      </c>
      <c r="F9" s="25">
        <v>8438</v>
      </c>
      <c r="G9" s="23">
        <v>226</v>
      </c>
      <c r="H9" s="23">
        <v>7655</v>
      </c>
      <c r="I9" s="26">
        <v>255</v>
      </c>
      <c r="J9" s="29" t="s">
        <v>33</v>
      </c>
      <c r="K9" s="29" t="s">
        <v>49</v>
      </c>
    </row>
    <row r="10" spans="1:11" x14ac:dyDescent="0.25">
      <c r="A10" s="1" t="s">
        <v>6</v>
      </c>
      <c r="B10" s="34">
        <v>4400</v>
      </c>
      <c r="C10" s="34">
        <v>7295</v>
      </c>
      <c r="F10" s="25">
        <v>8654</v>
      </c>
      <c r="G10" s="23">
        <v>216</v>
      </c>
      <c r="H10" s="23">
        <v>7495</v>
      </c>
      <c r="I10" s="26">
        <v>242</v>
      </c>
      <c r="J10" s="34" t="s">
        <v>33</v>
      </c>
      <c r="K10" s="34" t="s">
        <v>49</v>
      </c>
    </row>
    <row r="11" spans="1:11" s="13" customFormat="1" x14ac:dyDescent="0.25">
      <c r="A11" s="14" t="s">
        <v>7</v>
      </c>
      <c r="B11" s="18">
        <v>4584</v>
      </c>
      <c r="C11" s="18">
        <v>7614</v>
      </c>
      <c r="D11" s="18"/>
      <c r="F11" s="11">
        <v>8936</v>
      </c>
      <c r="G11" s="16">
        <v>282</v>
      </c>
      <c r="H11" s="16">
        <v>7174</v>
      </c>
      <c r="I11" s="10">
        <v>231</v>
      </c>
      <c r="J11" s="13" t="s">
        <v>33</v>
      </c>
      <c r="K11" s="13" t="s">
        <v>59</v>
      </c>
    </row>
    <row r="12" spans="1:11" x14ac:dyDescent="0.25">
      <c r="A12" s="1" t="s">
        <v>8</v>
      </c>
      <c r="B12">
        <v>4613</v>
      </c>
      <c r="C12">
        <v>7659</v>
      </c>
      <c r="F12" s="11">
        <v>9343</v>
      </c>
      <c r="G12" s="15">
        <v>407</v>
      </c>
      <c r="H12" s="17">
        <v>7109</v>
      </c>
      <c r="I12" s="10">
        <v>237</v>
      </c>
      <c r="J12" t="s">
        <v>32</v>
      </c>
      <c r="K12" t="s">
        <v>68</v>
      </c>
    </row>
    <row r="13" spans="1:11" x14ac:dyDescent="0.25">
      <c r="A13" s="1" t="s">
        <v>9</v>
      </c>
      <c r="F13" s="11">
        <v>9705</v>
      </c>
      <c r="G13" s="10">
        <v>362</v>
      </c>
      <c r="H13" s="11">
        <v>7048</v>
      </c>
      <c r="I13" s="10">
        <v>227</v>
      </c>
      <c r="J13" t="s">
        <v>32</v>
      </c>
      <c r="K13" t="s">
        <v>72</v>
      </c>
    </row>
    <row r="14" spans="1:11" x14ac:dyDescent="0.25">
      <c r="A14" s="1" t="s">
        <v>10</v>
      </c>
      <c r="B14">
        <v>4732</v>
      </c>
      <c r="C14" s="34">
        <v>8318</v>
      </c>
      <c r="D14" s="34">
        <v>792</v>
      </c>
      <c r="E14">
        <v>7436</v>
      </c>
      <c r="F14" s="11">
        <v>9969</v>
      </c>
      <c r="G14" s="10">
        <v>264</v>
      </c>
      <c r="H14" s="11">
        <v>7002</v>
      </c>
      <c r="I14" s="10">
        <v>233</v>
      </c>
      <c r="J14" s="34" t="s">
        <v>32</v>
      </c>
      <c r="K14" t="s">
        <v>72</v>
      </c>
    </row>
    <row r="15" spans="1:11" x14ac:dyDescent="0.25">
      <c r="A15" s="1" t="s">
        <v>11</v>
      </c>
      <c r="B15">
        <v>5074</v>
      </c>
      <c r="C15" s="34">
        <v>8857</v>
      </c>
      <c r="D15" s="34">
        <v>876</v>
      </c>
      <c r="E15">
        <v>7883</v>
      </c>
      <c r="F15" s="11">
        <f>F14+G15</f>
        <v>10281</v>
      </c>
      <c r="G15" s="10">
        <v>312</v>
      </c>
      <c r="H15" s="11">
        <v>8483</v>
      </c>
      <c r="I15" s="10">
        <v>274</v>
      </c>
      <c r="J15" s="34" t="s">
        <v>32</v>
      </c>
      <c r="K15" s="34" t="s">
        <v>72</v>
      </c>
    </row>
    <row r="16" spans="1:11" x14ac:dyDescent="0.25">
      <c r="A16" s="1"/>
      <c r="F16" s="4"/>
    </row>
    <row r="17" spans="1:8" s="34" customFormat="1" x14ac:dyDescent="0.25">
      <c r="A17" s="38"/>
      <c r="F17" s="36"/>
      <c r="H17" s="34">
        <f>SUM(H4:H15)</f>
        <v>88056</v>
      </c>
    </row>
    <row r="18" spans="1:8" s="34" customFormat="1" x14ac:dyDescent="0.25">
      <c r="A18" s="38"/>
      <c r="F18" s="36"/>
    </row>
    <row r="19" spans="1:8" x14ac:dyDescent="0.25">
      <c r="A19" s="1" t="s">
        <v>22</v>
      </c>
    </row>
    <row r="20" spans="1:8" x14ac:dyDescent="0.25">
      <c r="A20" s="1" t="s">
        <v>100</v>
      </c>
    </row>
    <row r="21" spans="1:8" x14ac:dyDescent="0.25">
      <c r="A21" s="1"/>
    </row>
    <row r="22" spans="1:8" x14ac:dyDescent="0.25">
      <c r="A22" s="1" t="s">
        <v>82</v>
      </c>
    </row>
    <row r="23" spans="1:8" s="34" customFormat="1" x14ac:dyDescent="0.25">
      <c r="B23" s="38" t="s">
        <v>90</v>
      </c>
    </row>
    <row r="24" spans="1:8" x14ac:dyDescent="0.25">
      <c r="B24" s="42"/>
      <c r="C24" s="49" t="s">
        <v>10</v>
      </c>
      <c r="D24" s="49" t="s">
        <v>11</v>
      </c>
      <c r="E24" s="49" t="s">
        <v>78</v>
      </c>
      <c r="F24" s="43"/>
      <c r="G24" s="44"/>
    </row>
    <row r="25" spans="1:8" x14ac:dyDescent="0.25">
      <c r="B25" s="50" t="s">
        <v>77</v>
      </c>
      <c r="C25" s="45">
        <v>201</v>
      </c>
      <c r="D25" s="45">
        <v>233</v>
      </c>
      <c r="E25" s="45" t="s">
        <v>79</v>
      </c>
      <c r="F25" s="45"/>
      <c r="G25" s="46"/>
    </row>
    <row r="26" spans="1:8" x14ac:dyDescent="0.25">
      <c r="B26" s="51" t="s">
        <v>81</v>
      </c>
      <c r="C26" s="47">
        <v>591</v>
      </c>
      <c r="D26" s="47">
        <v>643</v>
      </c>
      <c r="E26" s="47" t="s">
        <v>80</v>
      </c>
      <c r="F26" s="47"/>
      <c r="G26" s="48"/>
    </row>
    <row r="27" spans="1:8" x14ac:dyDescent="0.25">
      <c r="B27" t="s">
        <v>91</v>
      </c>
      <c r="C27" s="34">
        <f>SUM(C25:C26)</f>
        <v>792</v>
      </c>
      <c r="D27" s="34">
        <f>SUM(D25:D26)</f>
        <v>876</v>
      </c>
    </row>
  </sheetData>
  <mergeCells count="4">
    <mergeCell ref="B2:E2"/>
    <mergeCell ref="F2:G2"/>
    <mergeCell ref="H2:I2"/>
    <mergeCell ref="J2:K2"/>
  </mergeCells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31"/>
  <sheetViews>
    <sheetView workbookViewId="0">
      <selection activeCell="E16" sqref="E16"/>
    </sheetView>
  </sheetViews>
  <sheetFormatPr defaultRowHeight="15" x14ac:dyDescent="0.25"/>
  <cols>
    <col min="1" max="1" width="11.7109375" customWidth="1"/>
    <col min="2" max="2" width="13.140625" customWidth="1"/>
    <col min="3" max="3" width="12.42578125" customWidth="1"/>
    <col min="4" max="4" width="7.85546875" customWidth="1"/>
    <col min="5" max="5" width="9.28515625" customWidth="1"/>
    <col min="6" max="6" width="8" customWidth="1"/>
    <col min="7" max="7" width="13.85546875" customWidth="1"/>
    <col min="8" max="8" width="23.28515625" customWidth="1"/>
    <col min="9" max="9" width="18.5703125" customWidth="1"/>
  </cols>
  <sheetData>
    <row r="1" spans="1:11" ht="33.75" x14ac:dyDescent="0.5">
      <c r="A1" s="12" t="s">
        <v>27</v>
      </c>
      <c r="B1" s="5"/>
    </row>
    <row r="2" spans="1:11" x14ac:dyDescent="0.25">
      <c r="B2" s="54" t="s">
        <v>12</v>
      </c>
      <c r="C2" s="54"/>
      <c r="D2" s="54" t="s">
        <v>15</v>
      </c>
      <c r="E2" s="54"/>
      <c r="F2" s="54" t="s">
        <v>17</v>
      </c>
      <c r="G2" s="54"/>
      <c r="H2" s="54" t="s">
        <v>21</v>
      </c>
      <c r="I2" s="54"/>
    </row>
    <row r="3" spans="1:11" x14ac:dyDescent="0.25">
      <c r="B3" s="1" t="s">
        <v>13</v>
      </c>
      <c r="C3" s="1" t="s">
        <v>14</v>
      </c>
      <c r="D3" s="3" t="s">
        <v>16</v>
      </c>
      <c r="E3" s="1" t="s">
        <v>23</v>
      </c>
      <c r="F3" s="1" t="s">
        <v>16</v>
      </c>
      <c r="G3" s="1" t="s">
        <v>24</v>
      </c>
      <c r="H3" s="1" t="s">
        <v>19</v>
      </c>
      <c r="I3" s="1" t="s">
        <v>20</v>
      </c>
    </row>
    <row r="4" spans="1:11" x14ac:dyDescent="0.25">
      <c r="A4" s="1" t="s">
        <v>0</v>
      </c>
      <c r="B4">
        <v>3979</v>
      </c>
      <c r="C4">
        <v>7671</v>
      </c>
      <c r="D4" s="4">
        <v>14693</v>
      </c>
      <c r="E4">
        <v>630</v>
      </c>
      <c r="F4">
        <v>11649</v>
      </c>
      <c r="G4">
        <v>376</v>
      </c>
      <c r="H4" t="s">
        <v>28</v>
      </c>
      <c r="I4" t="s">
        <v>25</v>
      </c>
    </row>
    <row r="5" spans="1:11" x14ac:dyDescent="0.25">
      <c r="A5" s="1" t="s">
        <v>1</v>
      </c>
      <c r="B5">
        <v>4024</v>
      </c>
      <c r="C5">
        <v>7754</v>
      </c>
      <c r="D5" s="4">
        <v>15237</v>
      </c>
      <c r="E5" s="4">
        <v>544</v>
      </c>
      <c r="F5" s="4">
        <v>9876</v>
      </c>
      <c r="G5" s="4">
        <v>352</v>
      </c>
      <c r="H5" t="s">
        <v>37</v>
      </c>
      <c r="I5" t="s">
        <v>33</v>
      </c>
    </row>
    <row r="6" spans="1:11" x14ac:dyDescent="0.25">
      <c r="A6" s="1" t="s">
        <v>2</v>
      </c>
      <c r="B6">
        <v>4041</v>
      </c>
      <c r="C6">
        <v>7787</v>
      </c>
      <c r="D6" s="4">
        <v>15842</v>
      </c>
      <c r="E6" s="4">
        <v>605</v>
      </c>
      <c r="F6" s="4">
        <v>10790</v>
      </c>
      <c r="G6" s="4">
        <v>348</v>
      </c>
      <c r="H6" t="s">
        <v>39</v>
      </c>
      <c r="I6" t="s">
        <v>33</v>
      </c>
    </row>
    <row r="7" spans="1:11" x14ac:dyDescent="0.25">
      <c r="A7" s="1" t="s">
        <v>3</v>
      </c>
      <c r="B7">
        <v>4112</v>
      </c>
      <c r="C7">
        <v>8172</v>
      </c>
      <c r="D7" s="4">
        <v>16291</v>
      </c>
      <c r="E7">
        <v>449</v>
      </c>
      <c r="F7">
        <v>10426</v>
      </c>
      <c r="G7">
        <v>348</v>
      </c>
      <c r="H7" t="s">
        <v>28</v>
      </c>
      <c r="I7" t="s">
        <v>33</v>
      </c>
    </row>
    <row r="8" spans="1:11" x14ac:dyDescent="0.25">
      <c r="A8" s="1" t="s">
        <v>4</v>
      </c>
      <c r="B8" s="27">
        <v>4149</v>
      </c>
      <c r="C8" s="27">
        <v>8241</v>
      </c>
      <c r="D8" s="28">
        <v>16811</v>
      </c>
      <c r="E8" s="27">
        <v>520</v>
      </c>
      <c r="F8" s="27">
        <v>10904</v>
      </c>
      <c r="G8" s="27">
        <v>352</v>
      </c>
      <c r="H8" s="27" t="s">
        <v>42</v>
      </c>
      <c r="I8" s="27" t="s">
        <v>33</v>
      </c>
    </row>
    <row r="9" spans="1:11" x14ac:dyDescent="0.25">
      <c r="A9" s="1" t="s">
        <v>5</v>
      </c>
      <c r="B9" s="29">
        <v>4224</v>
      </c>
      <c r="C9" s="29">
        <v>8599</v>
      </c>
      <c r="D9" s="30">
        <v>17327</v>
      </c>
      <c r="E9" s="29">
        <v>516</v>
      </c>
      <c r="F9" s="29">
        <v>11444</v>
      </c>
      <c r="G9" s="29">
        <v>381</v>
      </c>
      <c r="H9" s="29" t="s">
        <v>50</v>
      </c>
      <c r="I9" s="29" t="s">
        <v>51</v>
      </c>
      <c r="J9" s="29"/>
      <c r="K9" s="29"/>
    </row>
    <row r="10" spans="1:11" x14ac:dyDescent="0.25">
      <c r="A10" s="1" t="s">
        <v>6</v>
      </c>
      <c r="B10" s="34">
        <v>4289</v>
      </c>
      <c r="C10" s="34">
        <v>8734</v>
      </c>
      <c r="D10" s="36">
        <v>17904</v>
      </c>
      <c r="E10" s="34">
        <v>577</v>
      </c>
      <c r="F10" s="34">
        <v>12240</v>
      </c>
      <c r="G10" s="34">
        <v>395</v>
      </c>
      <c r="H10" s="34" t="s">
        <v>50</v>
      </c>
      <c r="I10" s="34" t="s">
        <v>55</v>
      </c>
    </row>
    <row r="11" spans="1:11" x14ac:dyDescent="0.25">
      <c r="A11" s="1" t="s">
        <v>7</v>
      </c>
      <c r="B11" s="34"/>
      <c r="C11" s="34"/>
      <c r="D11" s="34">
        <f>D10+E11</f>
        <v>18393</v>
      </c>
      <c r="E11" s="34">
        <v>489</v>
      </c>
      <c r="F11" s="34">
        <v>11014</v>
      </c>
      <c r="G11" s="34">
        <v>355</v>
      </c>
      <c r="H11" s="34" t="s">
        <v>42</v>
      </c>
      <c r="I11" s="34" t="s">
        <v>55</v>
      </c>
    </row>
    <row r="12" spans="1:11" x14ac:dyDescent="0.25">
      <c r="A12" s="1" t="s">
        <v>8</v>
      </c>
      <c r="C12">
        <v>9149</v>
      </c>
      <c r="D12" s="4">
        <f>D11+E12</f>
        <v>18903</v>
      </c>
      <c r="E12">
        <v>510</v>
      </c>
      <c r="F12">
        <v>11861</v>
      </c>
      <c r="G12">
        <v>395</v>
      </c>
      <c r="H12" t="s">
        <v>33</v>
      </c>
      <c r="I12" t="s">
        <v>55</v>
      </c>
      <c r="J12" t="s">
        <v>67</v>
      </c>
    </row>
    <row r="13" spans="1:11" x14ac:dyDescent="0.25">
      <c r="A13" s="1" t="s">
        <v>9</v>
      </c>
      <c r="D13" s="36">
        <v>19392</v>
      </c>
      <c r="E13">
        <v>489</v>
      </c>
      <c r="F13">
        <v>13007</v>
      </c>
      <c r="G13">
        <v>419</v>
      </c>
      <c r="H13" t="s">
        <v>74</v>
      </c>
      <c r="I13" t="s">
        <v>55</v>
      </c>
    </row>
    <row r="14" spans="1:11" x14ac:dyDescent="0.25">
      <c r="A14" s="1" t="s">
        <v>10</v>
      </c>
      <c r="B14">
        <v>4542</v>
      </c>
      <c r="C14">
        <v>9565</v>
      </c>
      <c r="D14" s="36">
        <v>19756</v>
      </c>
      <c r="E14">
        <v>364</v>
      </c>
      <c r="F14">
        <v>12396</v>
      </c>
      <c r="G14">
        <v>413</v>
      </c>
      <c r="H14" t="s">
        <v>37</v>
      </c>
      <c r="I14" t="s">
        <v>55</v>
      </c>
    </row>
    <row r="15" spans="1:11" x14ac:dyDescent="0.25">
      <c r="A15" s="1" t="s">
        <v>11</v>
      </c>
      <c r="B15">
        <v>4731</v>
      </c>
      <c r="C15">
        <v>10052</v>
      </c>
      <c r="D15" s="4">
        <f>D14+E15</f>
        <v>20155</v>
      </c>
      <c r="E15">
        <v>399</v>
      </c>
      <c r="F15">
        <v>12032</v>
      </c>
      <c r="G15">
        <v>388</v>
      </c>
      <c r="H15" s="34" t="s">
        <v>37</v>
      </c>
      <c r="I15" t="s">
        <v>101</v>
      </c>
    </row>
    <row r="16" spans="1:11" s="34" customFormat="1" x14ac:dyDescent="0.25">
      <c r="A16" s="38"/>
      <c r="D16" s="36"/>
    </row>
    <row r="17" spans="1:6" s="34" customFormat="1" x14ac:dyDescent="0.25">
      <c r="A17" s="38" t="s">
        <v>71</v>
      </c>
      <c r="D17" s="36"/>
      <c r="F17" s="34">
        <f>SUM(F4:F15)</f>
        <v>137639</v>
      </c>
    </row>
    <row r="18" spans="1:6" x14ac:dyDescent="0.25">
      <c r="A18" s="1"/>
    </row>
    <row r="19" spans="1:6" x14ac:dyDescent="0.25">
      <c r="A19" s="1" t="s">
        <v>22</v>
      </c>
    </row>
    <row r="20" spans="1:6" x14ac:dyDescent="0.25">
      <c r="A20" s="1" t="s">
        <v>38</v>
      </c>
    </row>
    <row r="21" spans="1:6" x14ac:dyDescent="0.25">
      <c r="A21" s="1" t="s">
        <v>88</v>
      </c>
    </row>
    <row r="22" spans="1:6" x14ac:dyDescent="0.25">
      <c r="A22" s="1"/>
      <c r="B22" s="53" t="s">
        <v>93</v>
      </c>
    </row>
    <row r="23" spans="1:6" x14ac:dyDescent="0.25">
      <c r="A23" s="1"/>
    </row>
    <row r="31" spans="1:6" x14ac:dyDescent="0.25">
      <c r="C31" s="2"/>
    </row>
  </sheetData>
  <mergeCells count="4">
    <mergeCell ref="B2:C2"/>
    <mergeCell ref="D2:E2"/>
    <mergeCell ref="F2:G2"/>
    <mergeCell ref="H2:I2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249977111117893"/>
  </sheetPr>
  <dimension ref="A1:H29"/>
  <sheetViews>
    <sheetView workbookViewId="0">
      <selection activeCell="A21" sqref="A21"/>
    </sheetView>
  </sheetViews>
  <sheetFormatPr defaultRowHeight="15" x14ac:dyDescent="0.25"/>
  <cols>
    <col min="1" max="1" width="13.28515625" customWidth="1"/>
    <col min="3" max="3" width="11.28515625" customWidth="1"/>
    <col min="4" max="4" width="13.28515625" customWidth="1"/>
    <col min="5" max="5" width="14.5703125" customWidth="1"/>
    <col min="6" max="6" width="30.5703125" customWidth="1"/>
    <col min="7" max="7" width="18" customWidth="1"/>
  </cols>
  <sheetData>
    <row r="1" spans="1:8" ht="33.75" x14ac:dyDescent="0.5">
      <c r="A1" s="20" t="s">
        <v>29</v>
      </c>
    </row>
    <row r="2" spans="1:8" x14ac:dyDescent="0.25">
      <c r="B2" s="21" t="s">
        <v>15</v>
      </c>
      <c r="C2" s="54" t="s">
        <v>17</v>
      </c>
      <c r="D2" s="54"/>
      <c r="E2" s="19" t="s">
        <v>30</v>
      </c>
      <c r="F2" s="19" t="s">
        <v>21</v>
      </c>
      <c r="G2" s="35" t="s">
        <v>54</v>
      </c>
    </row>
    <row r="3" spans="1:8" x14ac:dyDescent="0.25">
      <c r="B3" s="3"/>
      <c r="C3" s="1" t="s">
        <v>16</v>
      </c>
      <c r="D3" s="1" t="s">
        <v>24</v>
      </c>
      <c r="E3" s="1"/>
      <c r="F3" s="1"/>
    </row>
    <row r="4" spans="1:8" x14ac:dyDescent="0.25">
      <c r="A4" s="1" t="s">
        <v>0</v>
      </c>
      <c r="B4" s="4">
        <v>298</v>
      </c>
      <c r="C4">
        <v>728</v>
      </c>
      <c r="E4">
        <v>1221</v>
      </c>
      <c r="F4" t="s">
        <v>31</v>
      </c>
    </row>
    <row r="5" spans="1:8" x14ac:dyDescent="0.25">
      <c r="A5" s="1" t="s">
        <v>1</v>
      </c>
      <c r="B5" s="4">
        <v>285</v>
      </c>
      <c r="C5">
        <v>706</v>
      </c>
      <c r="D5">
        <v>25</v>
      </c>
      <c r="E5">
        <v>1159</v>
      </c>
      <c r="F5" t="s">
        <v>36</v>
      </c>
    </row>
    <row r="6" spans="1:8" x14ac:dyDescent="0.25">
      <c r="A6" s="1" t="s">
        <v>2</v>
      </c>
      <c r="B6" s="4">
        <v>283</v>
      </c>
      <c r="C6">
        <v>729</v>
      </c>
      <c r="D6">
        <v>24</v>
      </c>
      <c r="E6">
        <v>1157</v>
      </c>
      <c r="F6" t="s">
        <v>40</v>
      </c>
    </row>
    <row r="7" spans="1:8" x14ac:dyDescent="0.25">
      <c r="A7" s="1" t="s">
        <v>3</v>
      </c>
      <c r="B7" s="4">
        <v>250</v>
      </c>
      <c r="C7">
        <v>739</v>
      </c>
      <c r="D7">
        <v>25</v>
      </c>
      <c r="E7">
        <v>1156</v>
      </c>
      <c r="F7" t="s">
        <v>41</v>
      </c>
    </row>
    <row r="8" spans="1:8" x14ac:dyDescent="0.25">
      <c r="A8" s="1" t="s">
        <v>4</v>
      </c>
      <c r="B8" s="30">
        <v>220</v>
      </c>
      <c r="C8" s="29">
        <v>652</v>
      </c>
      <c r="D8" s="29">
        <v>21</v>
      </c>
      <c r="E8" s="29">
        <v>1036</v>
      </c>
      <c r="F8" s="31" t="s">
        <v>44</v>
      </c>
    </row>
    <row r="9" spans="1:8" x14ac:dyDescent="0.25">
      <c r="A9" s="1" t="s">
        <v>5</v>
      </c>
      <c r="B9" s="30">
        <v>244</v>
      </c>
      <c r="C9" s="29">
        <v>652</v>
      </c>
      <c r="D9" s="29">
        <v>22</v>
      </c>
      <c r="E9" s="29">
        <v>1066</v>
      </c>
      <c r="F9" s="29" t="s">
        <v>52</v>
      </c>
    </row>
    <row r="10" spans="1:8" x14ac:dyDescent="0.25">
      <c r="A10" s="1" t="s">
        <v>6</v>
      </c>
      <c r="B10" s="36">
        <v>232</v>
      </c>
      <c r="C10" s="34">
        <v>724</v>
      </c>
      <c r="D10" s="34">
        <v>23</v>
      </c>
      <c r="E10" s="34">
        <v>1189</v>
      </c>
      <c r="F10" s="34" t="s">
        <v>53</v>
      </c>
      <c r="G10" s="37">
        <v>34797</v>
      </c>
    </row>
    <row r="11" spans="1:8" x14ac:dyDescent="0.25">
      <c r="A11" s="1" t="s">
        <v>7</v>
      </c>
      <c r="B11" s="36">
        <v>238</v>
      </c>
      <c r="C11">
        <v>653</v>
      </c>
      <c r="D11">
        <v>21</v>
      </c>
      <c r="E11">
        <v>1040</v>
      </c>
      <c r="F11" t="s">
        <v>60</v>
      </c>
    </row>
    <row r="12" spans="1:8" x14ac:dyDescent="0.25">
      <c r="A12" s="1" t="s">
        <v>8</v>
      </c>
      <c r="B12" s="36">
        <v>260</v>
      </c>
      <c r="C12">
        <v>734</v>
      </c>
      <c r="D12">
        <v>24</v>
      </c>
      <c r="E12">
        <v>1142</v>
      </c>
      <c r="F12" t="s">
        <v>66</v>
      </c>
      <c r="G12" s="40">
        <v>37205</v>
      </c>
      <c r="H12" t="s">
        <v>65</v>
      </c>
    </row>
    <row r="13" spans="1:8" x14ac:dyDescent="0.25">
      <c r="A13" s="1" t="s">
        <v>9</v>
      </c>
      <c r="B13" s="36">
        <v>208</v>
      </c>
      <c r="C13">
        <v>659</v>
      </c>
      <c r="D13">
        <v>21</v>
      </c>
      <c r="E13">
        <v>999</v>
      </c>
      <c r="F13" s="31" t="s">
        <v>73</v>
      </c>
    </row>
    <row r="14" spans="1:8" x14ac:dyDescent="0.25">
      <c r="A14" s="1" t="s">
        <v>10</v>
      </c>
      <c r="B14" s="36">
        <v>226</v>
      </c>
      <c r="C14">
        <v>659</v>
      </c>
      <c r="D14">
        <v>22</v>
      </c>
      <c r="E14">
        <v>1066</v>
      </c>
      <c r="F14" t="s">
        <v>89</v>
      </c>
    </row>
    <row r="15" spans="1:8" x14ac:dyDescent="0.25">
      <c r="A15" s="1" t="s">
        <v>11</v>
      </c>
      <c r="B15" s="36">
        <v>250</v>
      </c>
      <c r="C15">
        <v>734</v>
      </c>
      <c r="D15">
        <v>24</v>
      </c>
      <c r="E15">
        <v>1146</v>
      </c>
      <c r="F15" t="s">
        <v>99</v>
      </c>
      <c r="G15" s="39">
        <v>39750</v>
      </c>
      <c r="H15" t="s">
        <v>97</v>
      </c>
    </row>
    <row r="16" spans="1:8" s="34" customFormat="1" x14ac:dyDescent="0.25">
      <c r="A16" s="38"/>
      <c r="B16" s="36">
        <f>SUM(B4:B15)</f>
        <v>2994</v>
      </c>
    </row>
    <row r="17" spans="1:5" s="34" customFormat="1" x14ac:dyDescent="0.25">
      <c r="A17" s="38" t="s">
        <v>71</v>
      </c>
      <c r="B17" s="36"/>
      <c r="C17" s="34">
        <f>SUM(C4:C15)</f>
        <v>8369</v>
      </c>
      <c r="E17" s="34">
        <f>SUM(E4:E15)</f>
        <v>13377</v>
      </c>
    </row>
    <row r="18" spans="1:5" s="34" customFormat="1" x14ac:dyDescent="0.25">
      <c r="A18" s="38"/>
      <c r="B18" s="36"/>
    </row>
    <row r="19" spans="1:5" s="34" customFormat="1" x14ac:dyDescent="0.25">
      <c r="A19" s="38" t="s">
        <v>98</v>
      </c>
      <c r="B19" s="36"/>
    </row>
    <row r="20" spans="1:5" x14ac:dyDescent="0.25">
      <c r="A20" s="1" t="s">
        <v>102</v>
      </c>
      <c r="B20" s="38">
        <v>1683</v>
      </c>
    </row>
    <row r="21" spans="1:5" s="34" customFormat="1" x14ac:dyDescent="0.25">
      <c r="A21" s="38" t="s">
        <v>103</v>
      </c>
      <c r="B21" s="38">
        <v>249.5</v>
      </c>
    </row>
    <row r="22" spans="1:5" s="34" customFormat="1" x14ac:dyDescent="0.25">
      <c r="A22" s="38"/>
      <c r="B22" s="38"/>
    </row>
    <row r="23" spans="1:5" x14ac:dyDescent="0.25">
      <c r="A23" s="1" t="s">
        <v>22</v>
      </c>
    </row>
    <row r="24" spans="1:5" x14ac:dyDescent="0.25">
      <c r="A24" s="1" t="s">
        <v>34</v>
      </c>
    </row>
    <row r="25" spans="1:5" x14ac:dyDescent="0.25">
      <c r="A25" s="1" t="s">
        <v>35</v>
      </c>
    </row>
    <row r="26" spans="1:5" x14ac:dyDescent="0.25">
      <c r="A26" s="1" t="s">
        <v>94</v>
      </c>
    </row>
    <row r="27" spans="1:5" s="34" customFormat="1" x14ac:dyDescent="0.25">
      <c r="A27" s="38"/>
      <c r="B27" s="34" t="s">
        <v>95</v>
      </c>
    </row>
    <row r="28" spans="1:5" s="34" customFormat="1" x14ac:dyDescent="0.25">
      <c r="A28" s="38"/>
      <c r="B28" s="34" t="s">
        <v>96</v>
      </c>
    </row>
    <row r="29" spans="1:5" x14ac:dyDescent="0.25">
      <c r="A29" s="35" t="s">
        <v>69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G27"/>
  <sheetViews>
    <sheetView workbookViewId="0">
      <selection activeCell="A32" sqref="A32"/>
    </sheetView>
  </sheetViews>
  <sheetFormatPr defaultRowHeight="15" x14ac:dyDescent="0.25"/>
  <cols>
    <col min="1" max="1" width="13.42578125" customWidth="1"/>
    <col min="2" max="2" width="17" customWidth="1"/>
    <col min="3" max="3" width="13.28515625" customWidth="1"/>
    <col min="4" max="4" width="17.7109375" customWidth="1"/>
    <col min="6" max="6" width="17.5703125" customWidth="1"/>
    <col min="7" max="7" width="15.7109375" customWidth="1"/>
  </cols>
  <sheetData>
    <row r="1" spans="1:7" ht="33.75" x14ac:dyDescent="0.5">
      <c r="A1" s="32" t="s">
        <v>48</v>
      </c>
    </row>
    <row r="2" spans="1:7" x14ac:dyDescent="0.25">
      <c r="B2" s="54" t="s">
        <v>47</v>
      </c>
      <c r="C2" s="54"/>
      <c r="D2" s="1"/>
      <c r="F2" s="54" t="s">
        <v>84</v>
      </c>
      <c r="G2" s="54"/>
    </row>
    <row r="3" spans="1:7" x14ac:dyDescent="0.25">
      <c r="B3" s="1" t="s">
        <v>46</v>
      </c>
      <c r="C3" s="1" t="s">
        <v>16</v>
      </c>
      <c r="D3" s="1" t="s">
        <v>70</v>
      </c>
      <c r="F3" s="35" t="s">
        <v>56</v>
      </c>
      <c r="G3" s="35" t="s">
        <v>57</v>
      </c>
    </row>
    <row r="4" spans="1:7" x14ac:dyDescent="0.25">
      <c r="A4" s="1" t="s">
        <v>5</v>
      </c>
      <c r="B4">
        <v>9</v>
      </c>
      <c r="C4">
        <v>9</v>
      </c>
      <c r="D4">
        <v>1099</v>
      </c>
      <c r="F4" s="34">
        <v>774</v>
      </c>
      <c r="G4" s="34">
        <v>318</v>
      </c>
    </row>
    <row r="5" spans="1:7" x14ac:dyDescent="0.25">
      <c r="A5" s="1" t="s">
        <v>6</v>
      </c>
      <c r="B5" s="33">
        <v>8</v>
      </c>
      <c r="C5" s="33">
        <v>17</v>
      </c>
      <c r="D5" s="33">
        <v>1952</v>
      </c>
      <c r="F5" s="34">
        <v>774</v>
      </c>
      <c r="G5" s="34">
        <v>318</v>
      </c>
    </row>
    <row r="6" spans="1:7" x14ac:dyDescent="0.25">
      <c r="A6" s="1" t="s">
        <v>7</v>
      </c>
      <c r="B6">
        <v>10</v>
      </c>
      <c r="C6">
        <v>27</v>
      </c>
      <c r="D6" s="39">
        <v>8913</v>
      </c>
    </row>
    <row r="7" spans="1:7" x14ac:dyDescent="0.25">
      <c r="A7" s="1" t="s">
        <v>8</v>
      </c>
      <c r="B7">
        <v>11</v>
      </c>
      <c r="C7">
        <v>38</v>
      </c>
      <c r="D7" s="39">
        <v>23454</v>
      </c>
      <c r="F7">
        <v>535</v>
      </c>
      <c r="G7">
        <v>354</v>
      </c>
    </row>
    <row r="8" spans="1:7" x14ac:dyDescent="0.25">
      <c r="A8" s="1" t="s">
        <v>9</v>
      </c>
      <c r="B8">
        <v>2</v>
      </c>
      <c r="C8">
        <v>40</v>
      </c>
      <c r="D8" s="39">
        <v>28738</v>
      </c>
      <c r="F8">
        <v>640</v>
      </c>
      <c r="G8">
        <v>353</v>
      </c>
    </row>
    <row r="9" spans="1:7" x14ac:dyDescent="0.25">
      <c r="A9" s="1" t="s">
        <v>10</v>
      </c>
      <c r="B9">
        <v>10</v>
      </c>
      <c r="C9">
        <v>50</v>
      </c>
      <c r="D9" s="39">
        <v>31172</v>
      </c>
      <c r="F9" s="52" t="s">
        <v>85</v>
      </c>
      <c r="G9">
        <v>353</v>
      </c>
    </row>
    <row r="10" spans="1:7" x14ac:dyDescent="0.25">
      <c r="A10" s="1" t="s">
        <v>11</v>
      </c>
      <c r="B10">
        <v>6</v>
      </c>
      <c r="C10">
        <v>56</v>
      </c>
      <c r="D10" s="39">
        <v>23166</v>
      </c>
      <c r="F10" s="18" t="s">
        <v>105</v>
      </c>
      <c r="G10">
        <v>353</v>
      </c>
    </row>
    <row r="11" spans="1:7" s="34" customFormat="1" x14ac:dyDescent="0.25">
      <c r="A11" s="38"/>
    </row>
    <row r="12" spans="1:7" s="34" customFormat="1" x14ac:dyDescent="0.25">
      <c r="A12" s="38" t="s">
        <v>71</v>
      </c>
      <c r="B12" s="34">
        <f>SUM(B4:B10)</f>
        <v>56</v>
      </c>
      <c r="D12" s="34">
        <f>SUM(D4:D10)</f>
        <v>118494</v>
      </c>
    </row>
    <row r="13" spans="1:7" x14ac:dyDescent="0.25">
      <c r="A13" s="1"/>
    </row>
    <row r="14" spans="1:7" x14ac:dyDescent="0.25">
      <c r="A14" s="1" t="s">
        <v>22</v>
      </c>
    </row>
    <row r="15" spans="1:7" x14ac:dyDescent="0.25">
      <c r="A15" s="1" t="s">
        <v>45</v>
      </c>
    </row>
    <row r="17" spans="1:2" x14ac:dyDescent="0.25">
      <c r="A17" s="38" t="s">
        <v>58</v>
      </c>
    </row>
    <row r="18" spans="1:2" x14ac:dyDescent="0.25">
      <c r="A18" s="38" t="s">
        <v>64</v>
      </c>
    </row>
    <row r="19" spans="1:2" x14ac:dyDescent="0.25">
      <c r="A19" s="38" t="s">
        <v>83</v>
      </c>
    </row>
    <row r="20" spans="1:2" x14ac:dyDescent="0.25">
      <c r="A20" s="38"/>
      <c r="B20" s="2" t="s">
        <v>61</v>
      </c>
    </row>
    <row r="21" spans="1:2" x14ac:dyDescent="0.25">
      <c r="B21" s="2" t="s">
        <v>63</v>
      </c>
    </row>
    <row r="22" spans="1:2" x14ac:dyDescent="0.25">
      <c r="B22" s="2" t="s">
        <v>62</v>
      </c>
    </row>
    <row r="23" spans="1:2" s="34" customFormat="1" x14ac:dyDescent="0.25">
      <c r="B23" s="2" t="s">
        <v>86</v>
      </c>
    </row>
    <row r="24" spans="1:2" x14ac:dyDescent="0.25">
      <c r="A24" s="38" t="s">
        <v>104</v>
      </c>
    </row>
    <row r="25" spans="1:2" x14ac:dyDescent="0.25">
      <c r="B25" s="2" t="s">
        <v>92</v>
      </c>
    </row>
    <row r="26" spans="1:2" x14ac:dyDescent="0.25">
      <c r="B26" s="2" t="s">
        <v>87</v>
      </c>
    </row>
    <row r="27" spans="1:2" x14ac:dyDescent="0.25">
      <c r="A27" t="s">
        <v>106</v>
      </c>
    </row>
  </sheetData>
  <mergeCells count="2">
    <mergeCell ref="B2:C2"/>
    <mergeCell ref="F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3M Cloud Library</vt:lpstr>
      <vt:lpstr>OneClickdigital</vt:lpstr>
      <vt:lpstr>Freading</vt:lpstr>
      <vt:lpstr>Tumblebooks</vt:lpstr>
    </vt:vector>
  </TitlesOfParts>
  <Company>State Library of Kansas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Lianne Flax</dc:creator>
  <cp:lastModifiedBy>Lianne Flax</cp:lastModifiedBy>
  <cp:lastPrinted>2012-05-01T14:41:04Z</cp:lastPrinted>
  <dcterms:created xsi:type="dcterms:W3CDTF">2012-05-01T14:11:43Z</dcterms:created>
  <dcterms:modified xsi:type="dcterms:W3CDTF">2014-01-06T18:01:06Z</dcterms:modified>
</cp:coreProperties>
</file>