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5180" windowHeight="7815"/>
  </bookViews>
  <sheets>
    <sheet name="Sheet1" sheetId="2" r:id="rId1"/>
  </sheets>
  <calcPr calcId="125725"/>
</workbook>
</file>

<file path=xl/calcChain.xml><?xml version="1.0" encoding="utf-8"?>
<calcChain xmlns="http://schemas.openxmlformats.org/spreadsheetml/2006/main">
  <c r="A20" i="2"/>
  <c r="E17"/>
  <c r="G14"/>
  <c r="L9" l="1"/>
  <c r="K14" s="1"/>
  <c r="N14" l="1"/>
  <c r="A17" l="1"/>
  <c r="H17" s="1"/>
  <c r="I20" s="1"/>
  <c r="E20"/>
  <c r="M20" l="1"/>
</calcChain>
</file>

<file path=xl/sharedStrings.xml><?xml version="1.0" encoding="utf-8"?>
<sst xmlns="http://schemas.openxmlformats.org/spreadsheetml/2006/main" count="46" uniqueCount="40">
  <si>
    <t>State of Nevada</t>
  </si>
  <si>
    <t>Department of Transportation</t>
  </si>
  <si>
    <t>BILL OF LADING CALCULATION SHEET</t>
  </si>
  <si>
    <t>% OIL</t>
  </si>
  <si>
    <t>% M.F.</t>
  </si>
  <si>
    <t>TOTAL WET TONS DELIVERED:</t>
  </si>
  <si>
    <t>=</t>
  </si>
  <si>
    <t>÷</t>
  </si>
  <si>
    <t>DRY AGG</t>
  </si>
  <si>
    <t>X</t>
  </si>
  <si>
    <t>(% OIL / 100)</t>
  </si>
  <si>
    <t>TOTAL WET TONS DELIVERED</t>
  </si>
  <si>
    <t>DRY AGGREGATE</t>
  </si>
  <si>
    <t>MINERAL FILLER</t>
  </si>
  <si>
    <t>MINERAL FILLER TONS</t>
  </si>
  <si>
    <t>DRY AGG TONS</t>
  </si>
  <si>
    <t>TOTAL ASPHALT TONS</t>
  </si>
  <si>
    <t>TONS</t>
  </si>
  <si>
    <t>CALCULATION BY:</t>
  </si>
  <si>
    <t>CHECKED BY:</t>
  </si>
  <si>
    <t>(Please fill in YELLOW boxes)</t>
  </si>
  <si>
    <t xml:space="preserve"> ASPHALT</t>
  </si>
  <si>
    <t xml:space="preserve">COMPARE THESE TOTALS TO THE CALCULATED ASPHALT AND MINERAL FILLER SHOWN ON THIS FORM.    </t>
  </si>
  <si>
    <t>COMBINED % FOR CALCULATING</t>
  </si>
  <si>
    <t>(WET TONS DIVIDED BY COMBINED % = DRY AGG)</t>
  </si>
  <si>
    <t>((% OIL + % MF) /100)  +1 = COMBINED %</t>
  </si>
  <si>
    <t>M.F. +/- .01</t>
  </si>
  <si>
    <t>* The mineral filler will be 1.5% as shown on the mix design.</t>
  </si>
  <si>
    <t>CONTRACT NO.</t>
  </si>
  <si>
    <t>DATE</t>
  </si>
  <si>
    <t>MIX DESIGN NO.</t>
  </si>
  <si>
    <t>% FROM MIX DESIGN</t>
  </si>
  <si>
    <t xml:space="preserve">*  When RAP is included use the bitumen ratio added as shown on the mix design.  </t>
  </si>
  <si>
    <t xml:space="preserve">    Do not use the bitumen ratio total.</t>
  </si>
  <si>
    <t xml:space="preserve">MATERIAL     </t>
  </si>
  <si>
    <t>TOTAL BILL OF LADINGS DELIVERED FOR ASPHALT CEMENT:</t>
  </si>
  <si>
    <t>TOTAL BILL OF LADINGS DELIVERED FOR MINERAL FILLER:</t>
  </si>
  <si>
    <t>THIS SHEET IS USED TO ASSURE THAT ENOUGH ASPHALT AND MINERAL FILLER BILL OF LADINGS ARE COLLECTED TO COVER WHAT WAS DELIVERED.  DO NOT DEDUCT WASTE OR STORAGE.</t>
  </si>
  <si>
    <t>–</t>
  </si>
  <si>
    <t xml:space="preserve">IN THE BOXES ABOVE PLACE THE ACCUM. TOTAL SHOWN ON THE RECORD OF DELIVERY IN THE ASPHALT CEMENT AND MINERAL FILLER BOOKS. 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</si>
</sst>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Border="1" applyAlignment="1"/>
    <xf numFmtId="14" fontId="0" fillId="0" borderId="0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Font="1" applyAlignment="1">
      <alignment horizontal="center" vertical="center"/>
    </xf>
    <xf numFmtId="0" fontId="0" fillId="0" borderId="0" xfId="0" applyFill="1" applyBorder="1"/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4" fontId="0" fillId="2" borderId="3" xfId="0" applyNumberFormat="1" applyFill="1" applyBorder="1" applyAlignment="1">
      <alignment horizontal="center"/>
    </xf>
    <xf numFmtId="4" fontId="0" fillId="2" borderId="4" xfId="0" applyNumberFormat="1" applyFill="1" applyBorder="1" applyAlignment="1">
      <alignment horizontal="center"/>
    </xf>
    <xf numFmtId="4" fontId="0" fillId="2" borderId="5" xfId="0" applyNumberForma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5" xfId="0" applyBorder="1" applyAlignment="1">
      <alignment horizontal="center"/>
    </xf>
    <xf numFmtId="0" fontId="1" fillId="0" borderId="0" xfId="0" applyFont="1" applyAlignme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/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/>
    <xf numFmtId="0" fontId="0" fillId="0" borderId="2" xfId="0" applyBorder="1" applyAlignment="1">
      <alignment horizontal="center"/>
    </xf>
    <xf numFmtId="0" fontId="1" fillId="0" borderId="0" xfId="0" applyFont="1" applyBorder="1" applyAlignment="1"/>
    <xf numFmtId="0" fontId="0" fillId="0" borderId="0" xfId="0" applyBorder="1" applyAlignment="1"/>
    <xf numFmtId="0" fontId="0" fillId="2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Border="1" applyAlignment="1">
      <alignment horizontal="right"/>
    </xf>
    <xf numFmtId="4" fontId="0" fillId="0" borderId="4" xfId="0" applyNumberFormat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A1DA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0"/>
  <sheetViews>
    <sheetView tabSelected="1" zoomScaleNormal="100" workbookViewId="0">
      <selection activeCell="V25" sqref="V25"/>
    </sheetView>
  </sheetViews>
  <sheetFormatPr defaultRowHeight="15"/>
  <cols>
    <col min="1" max="16" width="5" customWidth="1"/>
    <col min="17" max="20" width="4.42578125" customWidth="1"/>
  </cols>
  <sheetData>
    <row r="1" spans="1:20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0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spans="1:20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</row>
    <row r="5" spans="1:20">
      <c r="A5" s="30" t="s">
        <v>28</v>
      </c>
      <c r="B5" s="30"/>
      <c r="C5" s="42"/>
      <c r="D5" s="43"/>
      <c r="E5" s="43"/>
      <c r="F5" s="12"/>
      <c r="H5" s="29" t="s">
        <v>29</v>
      </c>
      <c r="I5" s="44"/>
      <c r="J5" s="53"/>
      <c r="K5" s="53"/>
      <c r="L5" s="53"/>
      <c r="N5" s="10"/>
      <c r="O5" s="48" t="s">
        <v>34</v>
      </c>
      <c r="P5" s="48"/>
      <c r="Q5" s="48"/>
      <c r="R5" s="43"/>
      <c r="S5" s="43"/>
      <c r="T5" s="43"/>
    </row>
    <row r="7" spans="1:20">
      <c r="A7" s="42" t="s">
        <v>30</v>
      </c>
      <c r="B7" s="42"/>
      <c r="C7" s="42"/>
      <c r="D7" s="43"/>
      <c r="E7" s="51"/>
      <c r="F7" s="51"/>
      <c r="H7" s="13" t="s">
        <v>20</v>
      </c>
      <c r="I7" s="11"/>
      <c r="J7" s="11"/>
      <c r="K7" s="11"/>
      <c r="L7" s="11"/>
      <c r="P7" s="11"/>
    </row>
    <row r="9" spans="1:20">
      <c r="A9" s="30" t="s">
        <v>3</v>
      </c>
      <c r="B9" s="36"/>
      <c r="C9" s="45"/>
      <c r="D9" s="46"/>
      <c r="G9" s="29" t="s">
        <v>4</v>
      </c>
      <c r="H9" s="52"/>
      <c r="I9" s="45"/>
      <c r="J9" s="46"/>
      <c r="K9" s="6" t="s">
        <v>6</v>
      </c>
      <c r="L9" s="54" t="str">
        <f>IF(AND(C9 = "", I9 = ""), "", ((C9 + I9) / 100) + 1)</f>
        <v/>
      </c>
      <c r="M9" s="31"/>
      <c r="N9" s="28" t="s">
        <v>23</v>
      </c>
      <c r="O9" s="30"/>
      <c r="P9" s="30"/>
      <c r="Q9" s="30"/>
      <c r="R9" s="30"/>
      <c r="S9" s="30"/>
      <c r="T9" s="30"/>
    </row>
    <row r="10" spans="1:20">
      <c r="D10" s="47" t="s">
        <v>31</v>
      </c>
      <c r="E10" s="47"/>
      <c r="F10" s="47"/>
      <c r="G10" s="29"/>
      <c r="K10" s="47" t="s">
        <v>25</v>
      </c>
      <c r="L10" s="29"/>
      <c r="M10" s="29"/>
      <c r="N10" s="29"/>
      <c r="O10" s="29"/>
      <c r="P10" s="29"/>
      <c r="Q10" s="6"/>
    </row>
    <row r="12" spans="1:20">
      <c r="A12" s="30" t="s">
        <v>5</v>
      </c>
      <c r="B12" s="30"/>
      <c r="C12" s="30"/>
      <c r="D12" s="30"/>
      <c r="E12" s="30"/>
      <c r="F12" s="36"/>
      <c r="G12" s="25"/>
      <c r="H12" s="26"/>
      <c r="I12" s="31"/>
      <c r="J12" s="5"/>
    </row>
    <row r="14" spans="1:20" s="4" customFormat="1" ht="20.100000000000001" customHeight="1">
      <c r="A14" s="37" t="s">
        <v>5</v>
      </c>
      <c r="B14" s="37"/>
      <c r="C14" s="37"/>
      <c r="D14" s="37"/>
      <c r="E14" s="37"/>
      <c r="F14" s="36"/>
      <c r="G14" s="20" t="str">
        <f>IF(G12 = "", "", G12)</f>
        <v/>
      </c>
      <c r="H14" s="21"/>
      <c r="I14" s="19"/>
      <c r="J14" s="14" t="s">
        <v>7</v>
      </c>
      <c r="K14" s="18" t="str">
        <f>L9</f>
        <v/>
      </c>
      <c r="L14" s="19"/>
      <c r="M14" s="14" t="s">
        <v>6</v>
      </c>
      <c r="N14" s="20" t="e">
        <f>G14/K14</f>
        <v>#VALUE!</v>
      </c>
      <c r="O14" s="21"/>
      <c r="P14" s="19"/>
      <c r="Q14" s="16" t="s">
        <v>15</v>
      </c>
      <c r="R14" s="35"/>
      <c r="S14" s="17"/>
      <c r="T14" s="17"/>
    </row>
    <row r="15" spans="1:20">
      <c r="G15" s="32" t="s">
        <v>24</v>
      </c>
      <c r="H15" s="32"/>
      <c r="I15" s="30"/>
      <c r="J15" s="30"/>
      <c r="K15" s="30"/>
      <c r="L15" s="30"/>
      <c r="M15" s="30"/>
      <c r="N15" s="8"/>
    </row>
    <row r="17" spans="1:20" s="4" customFormat="1" ht="20.100000000000001" customHeight="1">
      <c r="A17" s="20" t="e">
        <f>N14</f>
        <v>#VALUE!</v>
      </c>
      <c r="B17" s="21"/>
      <c r="C17" s="19"/>
      <c r="D17" s="7" t="s">
        <v>9</v>
      </c>
      <c r="E17" s="18" t="str">
        <f>IF(C9 = "", "", C9/100)</f>
        <v/>
      </c>
      <c r="F17" s="19"/>
      <c r="G17" s="7" t="s">
        <v>6</v>
      </c>
      <c r="H17" s="20" t="e">
        <f>A17*E17</f>
        <v>#VALUE!</v>
      </c>
      <c r="I17" s="21"/>
      <c r="J17" s="19"/>
      <c r="K17" s="35" t="s">
        <v>16</v>
      </c>
      <c r="L17" s="35"/>
      <c r="M17" s="17"/>
      <c r="N17" s="17"/>
      <c r="O17" s="17"/>
      <c r="P17" s="7"/>
    </row>
    <row r="18" spans="1:20">
      <c r="A18" s="1" t="s">
        <v>8</v>
      </c>
      <c r="B18" s="1"/>
      <c r="E18" s="1" t="s">
        <v>10</v>
      </c>
      <c r="F18" s="1"/>
    </row>
    <row r="20" spans="1:20" s="4" customFormat="1" ht="20.100000000000001" customHeight="1">
      <c r="A20" s="20" t="str">
        <f>IF(G12 = "", "", G12)</f>
        <v/>
      </c>
      <c r="B20" s="49"/>
      <c r="C20" s="50"/>
      <c r="D20" s="7" t="s">
        <v>38</v>
      </c>
      <c r="E20" s="20" t="e">
        <f>N14</f>
        <v>#VALUE!</v>
      </c>
      <c r="F20" s="21"/>
      <c r="G20" s="19"/>
      <c r="H20" s="7" t="s">
        <v>38</v>
      </c>
      <c r="I20" s="20" t="e">
        <f>H17</f>
        <v>#VALUE!</v>
      </c>
      <c r="J20" s="21"/>
      <c r="K20" s="19"/>
      <c r="L20" s="7" t="s">
        <v>6</v>
      </c>
      <c r="M20" s="20" t="e">
        <f>A20-E20-I20</f>
        <v>#VALUE!</v>
      </c>
      <c r="N20" s="21"/>
      <c r="O20" s="19"/>
      <c r="P20" s="16" t="s">
        <v>14</v>
      </c>
      <c r="Q20" s="17"/>
      <c r="R20" s="17"/>
      <c r="S20" s="17"/>
      <c r="T20" s="17"/>
    </row>
    <row r="21" spans="1:20">
      <c r="A21" s="41" t="s">
        <v>11</v>
      </c>
      <c r="B21" s="41"/>
      <c r="C21" s="42"/>
      <c r="D21" s="30"/>
      <c r="E21" s="38" t="s">
        <v>12</v>
      </c>
      <c r="F21" s="39"/>
      <c r="G21" s="39"/>
      <c r="H21" s="8"/>
      <c r="I21" s="38" t="s">
        <v>21</v>
      </c>
      <c r="J21" s="39"/>
      <c r="K21" s="39"/>
      <c r="M21" s="38" t="s">
        <v>13</v>
      </c>
      <c r="N21" s="40"/>
      <c r="O21" s="40"/>
      <c r="P21" s="32" t="s">
        <v>26</v>
      </c>
      <c r="Q21" s="30"/>
      <c r="R21" s="30"/>
      <c r="S21" s="30"/>
      <c r="T21" s="30"/>
    </row>
    <row r="23" spans="1:20">
      <c r="A23" t="s">
        <v>35</v>
      </c>
      <c r="L23" s="25"/>
      <c r="M23" s="26"/>
      <c r="N23" s="27"/>
      <c r="O23" s="28" t="s">
        <v>17</v>
      </c>
      <c r="P23" s="29"/>
      <c r="R23" s="6"/>
      <c r="S23" s="3"/>
    </row>
    <row r="24" spans="1:20">
      <c r="O24" s="15"/>
    </row>
    <row r="25" spans="1:20">
      <c r="A25" t="s">
        <v>36</v>
      </c>
      <c r="L25" s="25"/>
      <c r="M25" s="26"/>
      <c r="N25" s="27"/>
      <c r="O25" s="28" t="s">
        <v>17</v>
      </c>
      <c r="P25" s="29"/>
      <c r="R25" s="6"/>
      <c r="S25" s="3"/>
    </row>
    <row r="27" spans="1:20">
      <c r="A27" s="33" t="s">
        <v>39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</row>
    <row r="28" spans="1:20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</row>
    <row r="29" spans="1:20">
      <c r="A29" s="30" t="s">
        <v>22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</row>
    <row r="31" spans="1:20">
      <c r="A31" s="34" t="s">
        <v>37</v>
      </c>
      <c r="B31" s="34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</row>
    <row r="32" spans="1:20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</row>
    <row r="34" spans="1:10">
      <c r="A34" s="2" t="s">
        <v>32</v>
      </c>
      <c r="B34" s="2"/>
    </row>
    <row r="35" spans="1:10">
      <c r="A35" s="2" t="s">
        <v>33</v>
      </c>
      <c r="B35" s="2"/>
    </row>
    <row r="36" spans="1:10">
      <c r="A36" s="2" t="s">
        <v>27</v>
      </c>
      <c r="B36" s="2"/>
    </row>
    <row r="38" spans="1:10">
      <c r="A38" t="s">
        <v>18</v>
      </c>
      <c r="E38" s="22"/>
      <c r="F38" s="23"/>
      <c r="G38" s="23"/>
      <c r="H38" s="23"/>
      <c r="I38" s="24"/>
      <c r="J38" s="9"/>
    </row>
    <row r="40" spans="1:10">
      <c r="A40" t="s">
        <v>19</v>
      </c>
      <c r="D40" s="22"/>
      <c r="E40" s="23"/>
      <c r="F40" s="23"/>
      <c r="G40" s="23"/>
      <c r="H40" s="24"/>
      <c r="J40" s="9"/>
    </row>
  </sheetData>
  <mergeCells count="50">
    <mergeCell ref="A20:C20"/>
    <mergeCell ref="K17:O17"/>
    <mergeCell ref="R5:T5"/>
    <mergeCell ref="A9:B9"/>
    <mergeCell ref="C9:D9"/>
    <mergeCell ref="D7:F7"/>
    <mergeCell ref="G9:H9"/>
    <mergeCell ref="M20:O20"/>
    <mergeCell ref="J5:L5"/>
    <mergeCell ref="L9:M9"/>
    <mergeCell ref="N9:T9"/>
    <mergeCell ref="K10:P10"/>
    <mergeCell ref="D10:G10"/>
    <mergeCell ref="A1:T1"/>
    <mergeCell ref="A2:T2"/>
    <mergeCell ref="A3:T3"/>
    <mergeCell ref="O5:Q5"/>
    <mergeCell ref="A5:C5"/>
    <mergeCell ref="A7:C7"/>
    <mergeCell ref="D5:E5"/>
    <mergeCell ref="H5:I5"/>
    <mergeCell ref="I9:J9"/>
    <mergeCell ref="G12:I12"/>
    <mergeCell ref="G15:M15"/>
    <mergeCell ref="A27:T28"/>
    <mergeCell ref="A31:T32"/>
    <mergeCell ref="K14:L14"/>
    <mergeCell ref="G14:I14"/>
    <mergeCell ref="N14:P14"/>
    <mergeCell ref="Q14:T14"/>
    <mergeCell ref="A12:F12"/>
    <mergeCell ref="A14:F14"/>
    <mergeCell ref="A17:C17"/>
    <mergeCell ref="E21:G21"/>
    <mergeCell ref="I21:K21"/>
    <mergeCell ref="M21:O21"/>
    <mergeCell ref="P21:T21"/>
    <mergeCell ref="A21:D21"/>
    <mergeCell ref="D40:H40"/>
    <mergeCell ref="L23:N23"/>
    <mergeCell ref="L25:N25"/>
    <mergeCell ref="O23:P23"/>
    <mergeCell ref="O25:P25"/>
    <mergeCell ref="A29:T29"/>
    <mergeCell ref="E38:I38"/>
    <mergeCell ref="P20:T20"/>
    <mergeCell ref="E17:F17"/>
    <mergeCell ref="H17:J17"/>
    <mergeCell ref="E20:G20"/>
    <mergeCell ref="I20:K20"/>
  </mergeCells>
  <pageMargins left="0.25" right="0.25" top="0.75" bottom="0.75" header="0.3" footer="0.3"/>
  <pageSetup orientation="portrait" r:id="rId1"/>
  <headerFooter>
    <oddFooter>&amp;LRev 07/10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66D2CBE51F7C49889E3B11122D998C" ma:contentTypeVersion="0" ma:contentTypeDescription="Create a new document." ma:contentTypeScope="" ma:versionID="65d92aa17ad73dc1734127793d7d6b1b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ADB69D23-6FF7-40C3-8AC7-247BA61331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B76F25-0177-4C5C-9852-7596ED92D05A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9A98087A-D62F-4AEB-B098-AA32A84235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Nevada DOT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localuser</dc:creator>
  <cp:lastModifiedBy>h9040mss</cp:lastModifiedBy>
  <cp:lastPrinted>2012-04-25T20:42:40Z</cp:lastPrinted>
  <dcterms:created xsi:type="dcterms:W3CDTF">2010-06-08T17:56:50Z</dcterms:created>
  <dcterms:modified xsi:type="dcterms:W3CDTF">2012-06-01T16:28:59Z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0x0101000066D2CBE51F7C49889E3B11122D998C</vt:lpwstr>
  </property>
</Properties>
</file>