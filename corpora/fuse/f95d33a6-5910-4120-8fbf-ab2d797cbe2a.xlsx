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8" yWindow="612" windowWidth="22932" windowHeight="6096" tabRatio="838" activeTab="2"/>
  </bookViews>
  <sheets>
    <sheet name="Non-shuttle Bids" sheetId="3" r:id="rId1"/>
    <sheet name="Shuttle Bids" sheetId="4" r:id="rId2"/>
    <sheet name="New Fig. 4" sheetId="18" r:id="rId3"/>
    <sheet name="New Fig. 5" sheetId="19" r:id="rId4"/>
    <sheet name="New Fig. 6" sheetId="14" r:id="rId5"/>
    <sheet name="Prior 3-yr.Avg for Week" sheetId="7" r:id="rId6"/>
    <sheet name="MinMaxAvg" sheetId="1" r:id="rId7"/>
    <sheet name="Weekly Comparisons" sheetId="13" r:id="rId8"/>
    <sheet name="Range-Avg bid figure" sheetId="17" r:id="rId9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AI20" i="13" l="1"/>
  <c r="AI19" i="13"/>
  <c r="AI18" i="13"/>
  <c r="AK17" i="13"/>
  <c r="AJ17" i="13"/>
  <c r="AI17" i="13"/>
  <c r="AK16" i="13"/>
  <c r="AJ16" i="13"/>
  <c r="AI16" i="13"/>
  <c r="AK15" i="13"/>
  <c r="AJ15" i="13"/>
  <c r="AI15" i="13"/>
  <c r="AE20" i="13"/>
  <c r="AE19" i="13"/>
  <c r="AE18" i="13"/>
  <c r="AG17" i="13"/>
  <c r="AF17" i="13"/>
  <c r="AE17" i="13"/>
  <c r="AG16" i="13"/>
  <c r="AF16" i="13"/>
  <c r="AE16" i="13"/>
  <c r="AG15" i="13"/>
  <c r="AF15" i="13"/>
  <c r="AE15" i="13"/>
  <c r="AA20" i="13"/>
  <c r="AA19" i="13"/>
  <c r="AA18" i="13"/>
  <c r="AC17" i="13"/>
  <c r="AB17" i="13"/>
  <c r="AA17" i="13"/>
  <c r="AC16" i="13"/>
  <c r="AB16" i="13"/>
  <c r="AA16" i="13"/>
  <c r="AC15" i="13"/>
  <c r="AB15" i="13"/>
  <c r="AA15" i="13"/>
  <c r="W20" i="13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O20" i="13"/>
  <c r="O19" i="13"/>
  <c r="O18" i="13"/>
  <c r="Q17" i="13"/>
  <c r="P17" i="13"/>
  <c r="O17" i="13"/>
  <c r="Q16" i="13"/>
  <c r="P16" i="13"/>
  <c r="O16" i="13"/>
  <c r="Q15" i="13"/>
  <c r="P15" i="13"/>
  <c r="O15" i="13"/>
  <c r="AI8" i="13"/>
  <c r="AI7" i="13"/>
  <c r="AI6" i="13"/>
  <c r="AK5" i="13"/>
  <c r="AJ5" i="13"/>
  <c r="AI5" i="13"/>
  <c r="AK4" i="13"/>
  <c r="AJ4" i="13"/>
  <c r="AI4" i="13"/>
  <c r="AK3" i="13"/>
  <c r="AJ3" i="13"/>
  <c r="AI3" i="13"/>
  <c r="AE8" i="13"/>
  <c r="AE7" i="13"/>
  <c r="AE6" i="13"/>
  <c r="AG5" i="13"/>
  <c r="AF5" i="13"/>
  <c r="AE5" i="13"/>
  <c r="AG4" i="13"/>
  <c r="AF4" i="13"/>
  <c r="AE4" i="13"/>
  <c r="AG3" i="13"/>
  <c r="AF3" i="13"/>
  <c r="AE3" i="13"/>
  <c r="AA8" i="13"/>
  <c r="AA7" i="13"/>
  <c r="AA6" i="13"/>
  <c r="AC5" i="13"/>
  <c r="AB5" i="13"/>
  <c r="AA5" i="13"/>
  <c r="AC4" i="13"/>
  <c r="AB4" i="13"/>
  <c r="AA4" i="13"/>
  <c r="AC3" i="13"/>
  <c r="AB3" i="13"/>
  <c r="AA3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M17" i="13"/>
  <c r="L17" i="13"/>
  <c r="M16" i="13"/>
  <c r="L16" i="13"/>
  <c r="M15" i="13"/>
  <c r="L15" i="13"/>
  <c r="K20" i="13"/>
  <c r="K19" i="13"/>
  <c r="K18" i="13"/>
  <c r="K17" i="13"/>
  <c r="K16" i="13"/>
  <c r="K15" i="13"/>
  <c r="M5" i="13"/>
  <c r="L5" i="13"/>
  <c r="M4" i="13"/>
  <c r="L4" i="13"/>
  <c r="M3" i="13"/>
  <c r="L3" i="13"/>
  <c r="K8" i="13"/>
  <c r="K7" i="13"/>
  <c r="K6" i="13"/>
  <c r="K5" i="13"/>
  <c r="K4" i="13"/>
  <c r="K3" i="13"/>
  <c r="AL886" i="4"/>
  <c r="R886" i="4"/>
  <c r="N886" i="4"/>
  <c r="V886" i="3"/>
  <c r="R886" i="3"/>
  <c r="N886" i="3"/>
  <c r="AL885" i="4" l="1"/>
  <c r="V885" i="4"/>
  <c r="R885" i="4"/>
  <c r="N885" i="4"/>
  <c r="I5" i="13" l="1"/>
  <c r="H5" i="13"/>
  <c r="I4" i="13"/>
  <c r="H4" i="13"/>
  <c r="I3" i="13"/>
  <c r="H3" i="13"/>
  <c r="I17" i="13"/>
  <c r="H17" i="13"/>
  <c r="I16" i="13"/>
  <c r="H16" i="13"/>
  <c r="I15" i="13"/>
  <c r="H15" i="13"/>
  <c r="G20" i="13"/>
  <c r="G17" i="13"/>
  <c r="G19" i="13"/>
  <c r="G16" i="13"/>
  <c r="G18" i="13"/>
  <c r="G15" i="13"/>
  <c r="G8" i="13"/>
  <c r="G5" i="13"/>
  <c r="G7" i="13"/>
  <c r="G4" i="13"/>
  <c r="G6" i="13"/>
  <c r="G3" i="13"/>
  <c r="Z884" i="4"/>
  <c r="N884" i="4"/>
  <c r="J884" i="4"/>
  <c r="R883" i="4" l="1"/>
  <c r="N883" i="4"/>
  <c r="J883" i="4"/>
  <c r="N883" i="3"/>
  <c r="J883" i="3"/>
  <c r="N882" i="4" l="1"/>
  <c r="J882" i="4"/>
  <c r="N882" i="3"/>
  <c r="J882" i="3"/>
  <c r="AM20" i="13" l="1"/>
  <c r="AM19" i="13"/>
  <c r="AM18" i="13"/>
  <c r="AO17" i="13"/>
  <c r="AN17" i="13"/>
  <c r="AM17" i="13"/>
  <c r="AO16" i="13"/>
  <c r="AN16" i="13"/>
  <c r="AM16" i="13"/>
  <c r="AO15" i="13"/>
  <c r="AN15" i="13"/>
  <c r="AM15" i="13"/>
  <c r="N881" i="4"/>
  <c r="J881" i="4"/>
  <c r="N881" i="3"/>
  <c r="J881" i="3"/>
  <c r="AH880" i="4" l="1"/>
  <c r="AD880" i="4"/>
  <c r="Z880" i="4"/>
  <c r="V880" i="4"/>
  <c r="R880" i="4"/>
  <c r="N880" i="4"/>
  <c r="J880" i="4"/>
  <c r="J880" i="3"/>
  <c r="E17" i="13" l="1"/>
  <c r="D17" i="13"/>
  <c r="E16" i="13"/>
  <c r="D16" i="13"/>
  <c r="E15" i="13"/>
  <c r="D15" i="13"/>
  <c r="C20" i="13"/>
  <c r="C19" i="13"/>
  <c r="C18" i="13"/>
  <c r="C17" i="13"/>
  <c r="C16" i="13"/>
  <c r="C15" i="13"/>
  <c r="E5" i="13"/>
  <c r="D5" i="13"/>
  <c r="E4" i="13"/>
  <c r="D4" i="13"/>
  <c r="E3" i="13"/>
  <c r="D3" i="13"/>
  <c r="C8" i="13"/>
  <c r="C7" i="13"/>
  <c r="C6" i="13"/>
  <c r="C5" i="13"/>
  <c r="C4" i="13"/>
  <c r="C3" i="13"/>
  <c r="AD879" i="4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1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U20" i="13" l="1"/>
  <c r="AU19" i="13"/>
  <c r="AU18" i="13"/>
  <c r="AW17" i="13"/>
  <c r="AV17" i="13"/>
  <c r="AU17" i="13"/>
  <c r="AW16" i="13"/>
  <c r="AV16" i="13"/>
  <c r="AU16" i="13"/>
  <c r="AW15" i="13"/>
  <c r="AV15" i="13"/>
  <c r="AU15" i="13"/>
  <c r="AQ20" i="13"/>
  <c r="AQ19" i="13"/>
  <c r="AQ18" i="13"/>
  <c r="AS17" i="13"/>
  <c r="AR17" i="13"/>
  <c r="AQ17" i="13"/>
  <c r="AS16" i="13"/>
  <c r="AR16" i="13"/>
  <c r="AQ16" i="13"/>
  <c r="AS15" i="13"/>
  <c r="AR15" i="13"/>
  <c r="AQ15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D876" i="4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AM23" i="13" l="1"/>
  <c r="AM11" i="13"/>
  <c r="AI23" i="13"/>
  <c r="AI11" i="13"/>
  <c r="F868" i="4" l="1"/>
  <c r="AX868" i="4"/>
  <c r="AT868" i="4"/>
  <c r="F868" i="3"/>
  <c r="AX868" i="3"/>
  <c r="AT868" i="3"/>
  <c r="BD195" i="1" l="1"/>
  <c r="AT195" i="1"/>
  <c r="AJ195" i="1"/>
  <c r="AI195" i="1"/>
  <c r="P195" i="1"/>
  <c r="O195" i="1"/>
  <c r="N195" i="1"/>
  <c r="BD194" i="1"/>
  <c r="AT194" i="1"/>
  <c r="AS194" i="1"/>
  <c r="AI194" i="1"/>
  <c r="AH194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C194" i="1"/>
  <c r="B194" i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C188" i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B186" i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S62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U48" i="7"/>
  <c r="BT48" i="7"/>
  <c r="BQ45" i="7"/>
  <c r="BR45" i="7"/>
  <c r="BQ46" i="7"/>
  <c r="BR46" i="7"/>
  <c r="BP47" i="7"/>
  <c r="BQ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M43" i="7"/>
  <c r="BN43" i="7"/>
  <c r="BO43" i="7"/>
  <c r="BM47" i="7"/>
  <c r="BO47" i="7"/>
  <c r="BN48" i="7"/>
  <c r="BO48" i="7"/>
  <c r="BM49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M59" i="7"/>
  <c r="BN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J36" i="7"/>
  <c r="BK36" i="7"/>
  <c r="BJ37" i="7"/>
  <c r="BK37" i="7"/>
  <c r="BJ38" i="7"/>
  <c r="BK38" i="7"/>
  <c r="BJ39" i="7"/>
  <c r="BK39" i="7"/>
  <c r="BJ48" i="7"/>
  <c r="BK48" i="7"/>
  <c r="BJ49" i="7"/>
  <c r="BK49" i="7"/>
  <c r="BJ50" i="7"/>
  <c r="BK50" i="7"/>
  <c r="BJ51" i="7"/>
  <c r="BK51" i="7"/>
  <c r="BI52" i="7"/>
  <c r="BJ52" i="7"/>
  <c r="BK52" i="7"/>
  <c r="BJ53" i="7"/>
  <c r="BK53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F31" i="7"/>
  <c r="BG31" i="7"/>
  <c r="BH31" i="7"/>
  <c r="BF32" i="7"/>
  <c r="BH32" i="7"/>
  <c r="BF33" i="7"/>
  <c r="BG33" i="7"/>
  <c r="BH33" i="7"/>
  <c r="BF41" i="7"/>
  <c r="BH41" i="7"/>
  <c r="BG47" i="7"/>
  <c r="BH47" i="7"/>
  <c r="BG48" i="7"/>
  <c r="BH48" i="7"/>
  <c r="BG49" i="7"/>
  <c r="BH49" i="7"/>
  <c r="BF50" i="7"/>
  <c r="BG50" i="7"/>
  <c r="BH50" i="7"/>
  <c r="BF51" i="7"/>
  <c r="BG51" i="7"/>
  <c r="BH51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C37" i="7"/>
  <c r="BE37" i="7"/>
  <c r="BD38" i="7"/>
  <c r="BE38" i="7"/>
  <c r="BD41" i="7"/>
  <c r="BE41" i="7"/>
  <c r="BD43" i="7"/>
  <c r="BE43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Y36" i="7"/>
  <c r="AZ36" i="7"/>
  <c r="BA36" i="7"/>
  <c r="AZ37" i="7"/>
  <c r="BA37" i="7"/>
  <c r="AZ38" i="7"/>
  <c r="BA38" i="7"/>
  <c r="AZ39" i="7"/>
  <c r="BA39" i="7"/>
  <c r="AY40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V41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T28" i="7"/>
  <c r="AU28" i="7"/>
  <c r="AS30" i="7"/>
  <c r="AT30" i="7"/>
  <c r="AU30" i="7"/>
  <c r="AT31" i="7"/>
  <c r="AU31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B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8" i="7"/>
  <c r="X58" i="7"/>
  <c r="V59" i="7"/>
  <c r="X59" i="7"/>
  <c r="V60" i="7"/>
  <c r="X60" i="7"/>
  <c r="V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E23" i="13" l="1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<sst xmlns="http://schemas.openxmlformats.org/spreadsheetml/2006/main" count="740" uniqueCount="308">
  <si>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</si>
  <si>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</si>
  <si>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</si>
  <si>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</si>
  <si>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</si>
  <si>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</si>
  <si>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</si>
  <si>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</si>
  <si>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</si>
  <si>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</si>
  <si>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</si>
  <si>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</si>
  <si>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</si>
  <si>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</si>
  <si>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</si>
  <si>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</si>
  <si>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</si>
  <si>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</si>
  <si>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</si>
  <si>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</si>
  <si>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</si>
  <si>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</si>
  <si>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</si>
  <si>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</si>
  <si>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</si>
  <si>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</si>
  <si>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</si>
  <si>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</si>
  <si>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</si>
  <si>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</si>
  <si>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</si>
  <si>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</si>
  <si>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</si>
  <si>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</si>
  <si>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</si>
  <si>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</si>
  <si>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</si>
  <si>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</si>
  <si>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</si>
  <si>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</si>
  <si>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</si>
  <si>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</si>
  <si>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</si>
  <si>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</si>
  <si>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</si>
  <si>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</si>
  <si>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</si>
  <si>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</si>
  <si>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</si>
  <si>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</si>
  <si>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</si>
  <si>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</si>
  <si>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</si>
  <si>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</si>
  <si>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</si>
  <si>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</si>
  <si>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</si>
  <si>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</si>
  <si>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</si>
  <si>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</si>
  <si>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</si>
  <si>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</si>
  <si>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</si>
  <si>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</si>
  <si>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</si>
  <si>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</si>
  <si>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</si>
  <si>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</si>
  <si>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</si>
  <si>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</si>
  <si>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</si>
  <si>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</si>
  <si>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</si>
  <si>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</si>
  <si>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</si>
  <si>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</si>
  <si>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</si>
  <si>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</si>
  <si>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</si>
  <si>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</si>
  <si>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</si>
  <si>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</si>
  <si>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</si>
  <si>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</si>
  <si>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</si>
  <si>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</si>
  <si>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</si>
  <si>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</si>
  <si>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</si>
  <si>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</si>
  <si>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</si>
  <si>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</si>
  <si>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</si>
  <si>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</si>
  <si>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</si>
  <si>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</si>
  <si>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</si>
  <si>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</si>
  <si>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</si>
  <si>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</si>
  <si>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</si>
  <si>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</si>
  <si>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</si>
  <si>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</si>
  <si>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</si>
  <si>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</si>
  <si>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</si>
  <si>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</si>
  <si>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</si>
  <si>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</si>
  <si>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</si>
  <si>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</si>
  <si>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</si>
  <si>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</si>
  <si>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</si>
  <si>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</si>
  <si>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</si>
  <si>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</si>
  <si>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</si>
  <si>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</si>
  <si>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</si>
  <si>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</si>
  <si>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</si>
  <si>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</si>
  <si>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</si>
  <si>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</si>
  <si>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</si>
  <si>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</si>
  <si>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</si>
  <si>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</si>
  <si>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</si>
  <si>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</si>
  <si>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</si>
  <si>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</si>
  <si>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</si>
  <si>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</si>
  <si>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</si>
  <si>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</si>
  <si>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</si>
  <si>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</si>
  <si>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</si>
  <si>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</si>
  <si>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</si>
  <si>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</si>
  <si>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</si>
  <si>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</si>
  <si>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</si>
  <si>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</si>
  <si>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</si>
  <si>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</si>
  <si>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</si>
  <si>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</si>
  <si>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</si>
  <si>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</si>
  <si>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</si>
  <si>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</si>
  <si>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</si>
  <si>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</si>
  <si>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</si>
  <si>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</si>
  <si>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</si>
  <si>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</si>
  <si>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</si>
  <si>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</si>
  <si>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</si>
  <si>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</si>
  <si>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</si>
  <si>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</si>
  <si>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</si>
  <si>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</si>
  <si>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</si>
  <si>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</si>
  <si>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</si>
  <si>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</si>
  <si>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</si>
  <si>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</si>
  <si>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</si>
  <si>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</si>
  <si>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</si>
  <si>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</si>
  <si>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</si>
  <si>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</si>
  <si>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</si>
  <si>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</si>
  <si>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</si>
  <si>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</si>
  <si>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</si>
  <si>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</si>
  <si>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</si>
  <si>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</si>
  <si>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</si>
  <si>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</si>
  <si>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</si>
  <si>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</si>
  <si>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</si>
  <si>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</si>
  <si>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</si>
  <si>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</si>
  <si>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</si>
  <si>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</si>
  <si>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</si>
  <si>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</si>
  <si>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</si>
  <si>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</si>
  <si>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</si>
  <si>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</si>
  <si>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</si>
  <si>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</si>
  <si>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</si>
  <si>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</si>
  <si>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</si>
  <si>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</si>
  <si>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</si>
  <si>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</si>
  <si>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</si>
  <si>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</si>
  <si>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</si>
  <si>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</si>
  <si>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</si>
  <si>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</si>
  <si>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</si>
  <si>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</si>
  <si>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</si>
  <si>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</si>
  <si>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</si>
  <si>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</si>
  <si>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</si>
  <si>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</si>
  <si>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</si>
  <si>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</si>
  <si>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</si>
  <si>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</si>
  <si>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</si>
  <si>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</si>
  <si>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</si>
  <si>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</si>
  <si>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</si>
  <si>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</si>
  <si>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</si>
  <si>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</si>
  <si>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</si>
  <si>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</si>
  <si>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</si>
  <si>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</si>
  <si>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</si>
  <si>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</si>
  <si>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</si>
  <si>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</si>
  <si>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</si>
  <si>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</si>
  <si>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</si>
  <si>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</si>
  <si>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</si>
  <si>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</si>
  <si>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2014</t>
  </si>
  <si>
    <t>Feb. 2014</t>
  </si>
  <si>
    <t>Mar. 2014</t>
  </si>
  <si>
    <t>Apr. 2014</t>
  </si>
  <si>
    <t>May. 2014</t>
  </si>
  <si>
    <t>Jun. 2014</t>
  </si>
  <si>
    <t>Jul. 2014</t>
  </si>
  <si>
    <t>Aug. 2014</t>
  </si>
  <si>
    <t>Jan. 2011-13</t>
  </si>
  <si>
    <t>Feb. 2011-13</t>
  </si>
  <si>
    <t>Mar. 2011-13</t>
  </si>
  <si>
    <t>Apr. 2011-13</t>
  </si>
  <si>
    <t>May 2011-13</t>
  </si>
  <si>
    <t>June 2011-13</t>
  </si>
  <si>
    <t>Jul. 2011-13</t>
  </si>
  <si>
    <t>Aug. 2011-13</t>
  </si>
  <si>
    <t>Sep. 2011-13</t>
  </si>
  <si>
    <t>Oct.  2011-13</t>
  </si>
  <si>
    <t>May. 2011-13</t>
  </si>
  <si>
    <t>Jun. 2011-13</t>
  </si>
  <si>
    <t>Oct. 2011-13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</si>
  <si>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</si>
  <si>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</si>
  <si>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</si>
  <si>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</si>
  <si>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</si>
  <si>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</si>
  <si>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</si>
  <si>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</si>
  <si>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</si>
  <si>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</si>
  <si>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</si>
  <si>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</si>
  <si>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Sep. 2014</t>
  </si>
  <si>
    <t>Oct. 2014</t>
  </si>
  <si>
    <t>Nov. 2014</t>
  </si>
  <si>
    <t>Nov. 2011-13</t>
  </si>
  <si>
    <t>Bids/Offers for Railcars to be Delivered in March 2014, Secondary Market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</si>
  <si>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</si>
  <si>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</si>
  <si>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</si>
  <si>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</si>
  <si>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</si>
  <si>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</si>
  <si>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</si>
  <si>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</si>
  <si>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</si>
  <si>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</si>
  <si>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</si>
  <si>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</si>
  <si>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</si>
  <si>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</si>
  <si>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April 2014, Secondary Market</t>
  </si>
  <si>
    <t>Bids/Offers for Railcars to be Delivered in May 2014, Secondary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</si>
</sst>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Bids'!$C$858:$C$888</c:f>
              <c:numCache>
                <c:formatCode>[$-409]d\-mmm\-yyyy;@</c:formatCode>
                <c:ptCount val="31"/>
                <c:pt idx="0">
                  <c:v>41501</c:v>
                </c:pt>
                <c:pt idx="1">
                  <c:v>41508</c:v>
                </c:pt>
                <c:pt idx="2">
                  <c:v>41515</c:v>
                </c:pt>
                <c:pt idx="3">
                  <c:v>41522</c:v>
                </c:pt>
                <c:pt idx="4">
                  <c:v>41529</c:v>
                </c:pt>
                <c:pt idx="5">
                  <c:v>41536</c:v>
                </c:pt>
                <c:pt idx="6">
                  <c:v>41543</c:v>
                </c:pt>
                <c:pt idx="7">
                  <c:v>41550</c:v>
                </c:pt>
                <c:pt idx="8">
                  <c:v>41557</c:v>
                </c:pt>
                <c:pt idx="9">
                  <c:v>41564</c:v>
                </c:pt>
                <c:pt idx="10">
                  <c:v>41571</c:v>
                </c:pt>
                <c:pt idx="11">
                  <c:v>41578</c:v>
                </c:pt>
                <c:pt idx="12">
                  <c:v>41585</c:v>
                </c:pt>
                <c:pt idx="13">
                  <c:v>41592</c:v>
                </c:pt>
                <c:pt idx="14">
                  <c:v>41599</c:v>
                </c:pt>
                <c:pt idx="15">
                  <c:v>41606</c:v>
                </c:pt>
                <c:pt idx="16">
                  <c:v>41613</c:v>
                </c:pt>
                <c:pt idx="17">
                  <c:v>41620</c:v>
                </c:pt>
                <c:pt idx="18">
                  <c:v>41627</c:v>
                </c:pt>
                <c:pt idx="19">
                  <c:v>41634</c:v>
                </c:pt>
                <c:pt idx="20">
                  <c:v>41641</c:v>
                </c:pt>
                <c:pt idx="21">
                  <c:v>41648</c:v>
                </c:pt>
                <c:pt idx="22">
                  <c:v>41655</c:v>
                </c:pt>
                <c:pt idx="23">
                  <c:v>41662</c:v>
                </c:pt>
                <c:pt idx="24">
                  <c:v>41669</c:v>
                </c:pt>
                <c:pt idx="25">
                  <c:v>41676</c:v>
                </c:pt>
                <c:pt idx="26">
                  <c:v>41683</c:v>
                </c:pt>
                <c:pt idx="27">
                  <c:v>41690</c:v>
                </c:pt>
                <c:pt idx="28">
                  <c:v>41697</c:v>
                </c:pt>
                <c:pt idx="29">
                  <c:v>41704</c:v>
                </c:pt>
                <c:pt idx="30">
                  <c:v>41711</c:v>
                </c:pt>
              </c:numCache>
            </c:numRef>
          </c:cat>
          <c:val>
            <c:numRef>
              <c:f>'Non-shuttle Bids'!$N$858:$N$888</c:f>
              <c:numCache>
                <c:formatCode>General</c:formatCode>
                <c:ptCount val="31"/>
                <c:pt idx="16">
                  <c:v>200</c:v>
                </c:pt>
                <c:pt idx="23">
                  <c:v>600</c:v>
                </c:pt>
                <c:pt idx="24">
                  <c:v>600</c:v>
                </c:pt>
                <c:pt idx="25">
                  <c:v>1000</c:v>
                </c:pt>
                <c:pt idx="28">
                  <c:v>1125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Bids'!$C$858:$C$888</c:f>
              <c:numCache>
                <c:formatCode>[$-409]d\-mmm\-yyyy;@</c:formatCode>
                <c:ptCount val="31"/>
                <c:pt idx="0">
                  <c:v>41501</c:v>
                </c:pt>
                <c:pt idx="1">
                  <c:v>41508</c:v>
                </c:pt>
                <c:pt idx="2">
                  <c:v>41515</c:v>
                </c:pt>
                <c:pt idx="3">
                  <c:v>41522</c:v>
                </c:pt>
                <c:pt idx="4">
                  <c:v>41529</c:v>
                </c:pt>
                <c:pt idx="5">
                  <c:v>41536</c:v>
                </c:pt>
                <c:pt idx="6">
                  <c:v>41543</c:v>
                </c:pt>
                <c:pt idx="7">
                  <c:v>41550</c:v>
                </c:pt>
                <c:pt idx="8">
                  <c:v>41557</c:v>
                </c:pt>
                <c:pt idx="9">
                  <c:v>41564</c:v>
                </c:pt>
                <c:pt idx="10">
                  <c:v>41571</c:v>
                </c:pt>
                <c:pt idx="11">
                  <c:v>41578</c:v>
                </c:pt>
                <c:pt idx="12">
                  <c:v>41585</c:v>
                </c:pt>
                <c:pt idx="13">
                  <c:v>41592</c:v>
                </c:pt>
                <c:pt idx="14">
                  <c:v>41599</c:v>
                </c:pt>
                <c:pt idx="15">
                  <c:v>41606</c:v>
                </c:pt>
                <c:pt idx="16">
                  <c:v>41613</c:v>
                </c:pt>
                <c:pt idx="17">
                  <c:v>41620</c:v>
                </c:pt>
                <c:pt idx="18">
                  <c:v>41627</c:v>
                </c:pt>
                <c:pt idx="19">
                  <c:v>41634</c:v>
                </c:pt>
                <c:pt idx="20">
                  <c:v>41641</c:v>
                </c:pt>
                <c:pt idx="21">
                  <c:v>41648</c:v>
                </c:pt>
                <c:pt idx="22">
                  <c:v>41655</c:v>
                </c:pt>
                <c:pt idx="23">
                  <c:v>41662</c:v>
                </c:pt>
                <c:pt idx="24">
                  <c:v>41669</c:v>
                </c:pt>
                <c:pt idx="25">
                  <c:v>41676</c:v>
                </c:pt>
                <c:pt idx="26">
                  <c:v>41683</c:v>
                </c:pt>
                <c:pt idx="27">
                  <c:v>41690</c:v>
                </c:pt>
                <c:pt idx="28">
                  <c:v>41697</c:v>
                </c:pt>
                <c:pt idx="29">
                  <c:v>41704</c:v>
                </c:pt>
                <c:pt idx="30">
                  <c:v>41711</c:v>
                </c:pt>
              </c:numCache>
            </c:numRef>
          </c:cat>
          <c:val>
            <c:numRef>
              <c:f>'Shuttle Bids'!$N$858:$N$888</c:f>
              <c:numCache>
                <c:formatCode>General</c:formatCode>
                <c:ptCount val="31"/>
                <c:pt idx="14">
                  <c:v>0</c:v>
                </c:pt>
                <c:pt idx="15">
                  <c:v>0</c:v>
                </c:pt>
                <c:pt idx="16">
                  <c:v>150</c:v>
                </c:pt>
                <c:pt idx="17">
                  <c:v>300</c:v>
                </c:pt>
                <c:pt idx="18">
                  <c:v>325</c:v>
                </c:pt>
                <c:pt idx="19">
                  <c:v>325</c:v>
                </c:pt>
                <c:pt idx="20">
                  <c:v>200</c:v>
                </c:pt>
                <c:pt idx="21">
                  <c:v>325</c:v>
                </c:pt>
                <c:pt idx="22">
                  <c:v>700</c:v>
                </c:pt>
                <c:pt idx="23">
                  <c:v>504</c:v>
                </c:pt>
                <c:pt idx="24">
                  <c:v>662.5</c:v>
                </c:pt>
                <c:pt idx="25">
                  <c:v>563</c:v>
                </c:pt>
                <c:pt idx="26">
                  <c:v>1100</c:v>
                </c:pt>
                <c:pt idx="27">
                  <c:v>1712.5</c:v>
                </c:pt>
                <c:pt idx="28">
                  <c:v>1733.5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Bids'!$C$858:$C$888</c:f>
              <c:numCache>
                <c:formatCode>[$-409]d\-mmm\-yyyy;@</c:formatCode>
                <c:ptCount val="31"/>
                <c:pt idx="0">
                  <c:v>41501</c:v>
                </c:pt>
                <c:pt idx="1">
                  <c:v>41508</c:v>
                </c:pt>
                <c:pt idx="2">
                  <c:v>41515</c:v>
                </c:pt>
                <c:pt idx="3">
                  <c:v>41522</c:v>
                </c:pt>
                <c:pt idx="4">
                  <c:v>41529</c:v>
                </c:pt>
                <c:pt idx="5">
                  <c:v>41536</c:v>
                </c:pt>
                <c:pt idx="6">
                  <c:v>41543</c:v>
                </c:pt>
                <c:pt idx="7">
                  <c:v>41550</c:v>
                </c:pt>
                <c:pt idx="8">
                  <c:v>41557</c:v>
                </c:pt>
                <c:pt idx="9">
                  <c:v>41564</c:v>
                </c:pt>
                <c:pt idx="10">
                  <c:v>41571</c:v>
                </c:pt>
                <c:pt idx="11">
                  <c:v>41578</c:v>
                </c:pt>
                <c:pt idx="12">
                  <c:v>41585</c:v>
                </c:pt>
                <c:pt idx="13">
                  <c:v>41592</c:v>
                </c:pt>
                <c:pt idx="14">
                  <c:v>41599</c:v>
                </c:pt>
                <c:pt idx="15">
                  <c:v>41606</c:v>
                </c:pt>
                <c:pt idx="16">
                  <c:v>41613</c:v>
                </c:pt>
                <c:pt idx="17">
                  <c:v>41620</c:v>
                </c:pt>
                <c:pt idx="18">
                  <c:v>41627</c:v>
                </c:pt>
                <c:pt idx="19">
                  <c:v>41634</c:v>
                </c:pt>
                <c:pt idx="20">
                  <c:v>41641</c:v>
                </c:pt>
                <c:pt idx="21">
                  <c:v>41648</c:v>
                </c:pt>
                <c:pt idx="22">
                  <c:v>41655</c:v>
                </c:pt>
                <c:pt idx="23">
                  <c:v>41662</c:v>
                </c:pt>
                <c:pt idx="24">
                  <c:v>41669</c:v>
                </c:pt>
                <c:pt idx="25">
                  <c:v>41676</c:v>
                </c:pt>
                <c:pt idx="26">
                  <c:v>41683</c:v>
                </c:pt>
                <c:pt idx="27">
                  <c:v>41690</c:v>
                </c:pt>
                <c:pt idx="28">
                  <c:v>41697</c:v>
                </c:pt>
                <c:pt idx="29">
                  <c:v>41704</c:v>
                </c:pt>
                <c:pt idx="30">
                  <c:v>41711</c:v>
                </c:pt>
              </c:numCache>
            </c:numRef>
          </c:cat>
          <c:val>
            <c:numRef>
              <c:f>'Prior 3-yr.Avg for Week'!$J$22:$J$51</c:f>
              <c:numCache>
                <c:formatCode>0.00</c:formatCode>
                <c:ptCount val="30"/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12.5</c:v>
                </c:pt>
                <c:pt idx="19">
                  <c:v>12.5</c:v>
                </c:pt>
                <c:pt idx="20">
                  <c:v>8.5</c:v>
                </c:pt>
                <c:pt idx="21">
                  <c:v>33.5</c:v>
                </c:pt>
                <c:pt idx="22">
                  <c:v>14.5</c:v>
                </c:pt>
                <c:pt idx="23">
                  <c:v>17.5</c:v>
                </c:pt>
                <c:pt idx="24">
                  <c:v>12.5</c:v>
                </c:pt>
                <c:pt idx="25">
                  <c:v>32.666666666666664</c:v>
                </c:pt>
                <c:pt idx="26">
                  <c:v>54</c:v>
                </c:pt>
                <c:pt idx="27">
                  <c:v>49.166666666666664</c:v>
                </c:pt>
                <c:pt idx="28">
                  <c:v>49.166666666666664</c:v>
                </c:pt>
                <c:pt idx="29">
                  <c:v>50.666666666666664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Bids'!$C$858:$C$888</c:f>
              <c:numCache>
                <c:formatCode>[$-409]d\-mmm\-yyyy;@</c:formatCode>
                <c:ptCount val="31"/>
                <c:pt idx="0">
                  <c:v>41501</c:v>
                </c:pt>
                <c:pt idx="1">
                  <c:v>41508</c:v>
                </c:pt>
                <c:pt idx="2">
                  <c:v>41515</c:v>
                </c:pt>
                <c:pt idx="3">
                  <c:v>41522</c:v>
                </c:pt>
                <c:pt idx="4">
                  <c:v>41529</c:v>
                </c:pt>
                <c:pt idx="5">
                  <c:v>41536</c:v>
                </c:pt>
                <c:pt idx="6">
                  <c:v>41543</c:v>
                </c:pt>
                <c:pt idx="7">
                  <c:v>41550</c:v>
                </c:pt>
                <c:pt idx="8">
                  <c:v>41557</c:v>
                </c:pt>
                <c:pt idx="9">
                  <c:v>41564</c:v>
                </c:pt>
                <c:pt idx="10">
                  <c:v>41571</c:v>
                </c:pt>
                <c:pt idx="11">
                  <c:v>41578</c:v>
                </c:pt>
                <c:pt idx="12">
                  <c:v>41585</c:v>
                </c:pt>
                <c:pt idx="13">
                  <c:v>41592</c:v>
                </c:pt>
                <c:pt idx="14">
                  <c:v>41599</c:v>
                </c:pt>
                <c:pt idx="15">
                  <c:v>41606</c:v>
                </c:pt>
                <c:pt idx="16">
                  <c:v>41613</c:v>
                </c:pt>
                <c:pt idx="17">
                  <c:v>41620</c:v>
                </c:pt>
                <c:pt idx="18">
                  <c:v>41627</c:v>
                </c:pt>
                <c:pt idx="19">
                  <c:v>41634</c:v>
                </c:pt>
                <c:pt idx="20">
                  <c:v>41641</c:v>
                </c:pt>
                <c:pt idx="21">
                  <c:v>41648</c:v>
                </c:pt>
                <c:pt idx="22">
                  <c:v>41655</c:v>
                </c:pt>
                <c:pt idx="23">
                  <c:v>41662</c:v>
                </c:pt>
                <c:pt idx="24">
                  <c:v>41669</c:v>
                </c:pt>
                <c:pt idx="25">
                  <c:v>41676</c:v>
                </c:pt>
                <c:pt idx="26">
                  <c:v>41683</c:v>
                </c:pt>
                <c:pt idx="27">
                  <c:v>41690</c:v>
                </c:pt>
                <c:pt idx="28">
                  <c:v>41697</c:v>
                </c:pt>
                <c:pt idx="29">
                  <c:v>41704</c:v>
                </c:pt>
                <c:pt idx="30">
                  <c:v>41711</c:v>
                </c:pt>
              </c:numCache>
            </c:numRef>
          </c:cat>
          <c:val>
            <c:numRef>
              <c:f>'Prior 3-yr.Avg for Week'!$BA$21:$BA$50</c:f>
              <c:numCache>
                <c:formatCode>0.00</c:formatCode>
                <c:ptCount val="30"/>
                <c:pt idx="13">
                  <c:v>-350</c:v>
                </c:pt>
                <c:pt idx="14">
                  <c:v>-300</c:v>
                </c:pt>
                <c:pt idx="15">
                  <c:v>-209.25</c:v>
                </c:pt>
                <c:pt idx="16">
                  <c:v>-208.33333333333334</c:v>
                </c:pt>
                <c:pt idx="17">
                  <c:v>-200</c:v>
                </c:pt>
                <c:pt idx="18">
                  <c:v>-212.66666666666666</c:v>
                </c:pt>
                <c:pt idx="19">
                  <c:v>-200</c:v>
                </c:pt>
                <c:pt idx="20">
                  <c:v>-206.33333333333334</c:v>
                </c:pt>
                <c:pt idx="21">
                  <c:v>-223</c:v>
                </c:pt>
                <c:pt idx="22">
                  <c:v>-220.83333333333334</c:v>
                </c:pt>
                <c:pt idx="23">
                  <c:v>-208.33333333333334</c:v>
                </c:pt>
                <c:pt idx="24">
                  <c:v>-205.66666666666666</c:v>
                </c:pt>
                <c:pt idx="25">
                  <c:v>-163.16666666666666</c:v>
                </c:pt>
                <c:pt idx="26">
                  <c:v>-70.833333333333329</c:v>
                </c:pt>
                <c:pt idx="27">
                  <c:v>-28.166666666666668</c:v>
                </c:pt>
                <c:pt idx="28">
                  <c:v>3.6666666666666665</c:v>
                </c:pt>
                <c:pt idx="29">
                  <c:v>59.166666666666664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51840"/>
        <c:axId val="80453632"/>
      </c:lineChart>
      <c:dateAx>
        <c:axId val="80451840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04536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0453632"/>
        <c:scaling>
          <c:orientation val="minMax"/>
          <c:max val="18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045184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'Non-shuttle Bids'!$R$863:$R$893</c:f>
              <c:numCache>
                <c:formatCode>General</c:formatCode>
                <c:ptCount val="31"/>
                <c:pt idx="23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'Shuttle Bids'!$R$863:$R$893</c:f>
              <c:numCache>
                <c:formatCode>General</c:formatCode>
                <c:ptCount val="31"/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-125</c:v>
                </c:pt>
                <c:pt idx="13">
                  <c:v>-100</c:v>
                </c:pt>
                <c:pt idx="14">
                  <c:v>0</c:v>
                </c:pt>
                <c:pt idx="15">
                  <c:v>-50</c:v>
                </c:pt>
                <c:pt idx="17">
                  <c:v>50</c:v>
                </c:pt>
                <c:pt idx="20">
                  <c:v>-100</c:v>
                </c:pt>
                <c:pt idx="22">
                  <c:v>325</c:v>
                </c:pt>
                <c:pt idx="23">
                  <c:v>350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'Prior 3-yr.Avg for Week'!$N$26:$N$55</c:f>
              <c:numCache>
                <c:formatCode>0.00</c:formatCode>
                <c:ptCount val="30"/>
                <c:pt idx="16">
                  <c:v>0</c:v>
                </c:pt>
                <c:pt idx="17">
                  <c:v>37.5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46</c:v>
                </c:pt>
                <c:pt idx="23">
                  <c:v>50</c:v>
                </c:pt>
                <c:pt idx="24">
                  <c:v>50</c:v>
                </c:pt>
                <c:pt idx="25">
                  <c:v>300</c:v>
                </c:pt>
                <c:pt idx="26">
                  <c:v>56</c:v>
                </c:pt>
                <c:pt idx="27">
                  <c:v>43.833333333333336</c:v>
                </c:pt>
                <c:pt idx="28">
                  <c:v>62.166666666666664</c:v>
                </c:pt>
                <c:pt idx="29">
                  <c:v>41.5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'Prior 3-yr.Avg for Week'!$BE$26:$BE$55</c:f>
              <c:numCache>
                <c:formatCode>0.00</c:formatCode>
                <c:ptCount val="30"/>
                <c:pt idx="3">
                  <c:v>-400</c:v>
                </c:pt>
                <c:pt idx="4">
                  <c:v>-800</c:v>
                </c:pt>
                <c:pt idx="8">
                  <c:v>-625</c:v>
                </c:pt>
                <c:pt idx="11">
                  <c:v>-200</c:v>
                </c:pt>
                <c:pt idx="12">
                  <c:v>-400</c:v>
                </c:pt>
                <c:pt idx="15">
                  <c:v>-500</c:v>
                </c:pt>
                <c:pt idx="17">
                  <c:v>-550</c:v>
                </c:pt>
                <c:pt idx="20">
                  <c:v>-375</c:v>
                </c:pt>
                <c:pt idx="21">
                  <c:v>-335.5</c:v>
                </c:pt>
                <c:pt idx="22">
                  <c:v>-256.25</c:v>
                </c:pt>
                <c:pt idx="23">
                  <c:v>-222</c:v>
                </c:pt>
                <c:pt idx="24">
                  <c:v>-239.83333333333334</c:v>
                </c:pt>
                <c:pt idx="25">
                  <c:v>-151.16666666666666</c:v>
                </c:pt>
                <c:pt idx="26">
                  <c:v>-104.83333333333333</c:v>
                </c:pt>
                <c:pt idx="27">
                  <c:v>-231.16666666666666</c:v>
                </c:pt>
                <c:pt idx="28">
                  <c:v>-270.66666666666669</c:v>
                </c:pt>
                <c:pt idx="29">
                  <c:v>-249.5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94112"/>
        <c:axId val="85595648"/>
      </c:lineChart>
      <c:dateAx>
        <c:axId val="8559411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59564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5595648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594112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58404623053244"/>
          <c:y val="3.3897889629467957E-2"/>
          <c:w val="0.84582870044702629"/>
          <c:h val="0.6473001695683562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'Non-shuttle Bids'!$V$867:$V$897</c:f>
              <c:numCache>
                <c:formatCode>General</c:formatCode>
                <c:ptCount val="31"/>
                <c:pt idx="19">
                  <c:v>800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'Shuttle Bids'!$V$867:$V$897</c:f>
              <c:numCache>
                <c:formatCode>General</c:formatCode>
                <c:ptCount val="31"/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-150</c:v>
                </c:pt>
                <c:pt idx="9">
                  <c:v>-100</c:v>
                </c:pt>
                <c:pt idx="10">
                  <c:v>-50</c:v>
                </c:pt>
                <c:pt idx="11">
                  <c:v>-100</c:v>
                </c:pt>
                <c:pt idx="12">
                  <c:v>0</c:v>
                </c:pt>
                <c:pt idx="13">
                  <c:v>100</c:v>
                </c:pt>
                <c:pt idx="1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'Prior 3-yr.Avg for Week'!$Q$30:$Q$59</c:f>
              <c:numCache>
                <c:formatCode>0.00</c:formatCode>
                <c:ptCount val="30"/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0</c:v>
                </c:pt>
                <c:pt idx="21">
                  <c:v>0</c:v>
                </c:pt>
                <c:pt idx="22">
                  <c:v>40.75</c:v>
                </c:pt>
                <c:pt idx="23">
                  <c:v>81.25</c:v>
                </c:pt>
                <c:pt idx="24">
                  <c:v>79.25</c:v>
                </c:pt>
                <c:pt idx="25">
                  <c:v>21</c:v>
                </c:pt>
                <c:pt idx="26">
                  <c:v>11.25</c:v>
                </c:pt>
                <c:pt idx="27">
                  <c:v>1.3333333333333333</c:v>
                </c:pt>
                <c:pt idx="28">
                  <c:v>9.1666666666666661</c:v>
                </c:pt>
                <c:pt idx="29">
                  <c:v>9.3333333333333339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'Prior 3-yr.Avg for Week'!$BH$30:$BH$59</c:f>
              <c:numCache>
                <c:formatCode>0.00</c:formatCode>
                <c:ptCount val="30"/>
                <c:pt idx="1">
                  <c:v>-850</c:v>
                </c:pt>
                <c:pt idx="2">
                  <c:v>-725</c:v>
                </c:pt>
                <c:pt idx="3">
                  <c:v>-737.5</c:v>
                </c:pt>
                <c:pt idx="11">
                  <c:v>-550</c:v>
                </c:pt>
                <c:pt idx="17">
                  <c:v>-500</c:v>
                </c:pt>
                <c:pt idx="18">
                  <c:v>-300</c:v>
                </c:pt>
                <c:pt idx="19">
                  <c:v>-275</c:v>
                </c:pt>
                <c:pt idx="20">
                  <c:v>-370.83333333333331</c:v>
                </c:pt>
                <c:pt idx="21">
                  <c:v>-304.16666666666669</c:v>
                </c:pt>
                <c:pt idx="22">
                  <c:v>-252.66666666666666</c:v>
                </c:pt>
                <c:pt idx="23">
                  <c:v>-277.16666666666669</c:v>
                </c:pt>
                <c:pt idx="24">
                  <c:v>-347.33333333333331</c:v>
                </c:pt>
                <c:pt idx="25">
                  <c:v>-332.66666666666669</c:v>
                </c:pt>
                <c:pt idx="26">
                  <c:v>-283.66666666666669</c:v>
                </c:pt>
                <c:pt idx="27">
                  <c:v>-298.66666666666669</c:v>
                </c:pt>
                <c:pt idx="28">
                  <c:v>-237.16666666666666</c:v>
                </c:pt>
                <c:pt idx="29">
                  <c:v>-177.5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40704"/>
        <c:axId val="85642240"/>
      </c:lineChart>
      <c:dateAx>
        <c:axId val="8564070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642240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5642240"/>
        <c:scaling>
          <c:orientation val="minMax"/>
          <c:max val="12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640704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86379136"/>
        <c:axId val="86385024"/>
      </c:stockChart>
      <c:catAx>
        <c:axId val="863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86385024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86385024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86379136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86430464"/>
        <c:axId val="86432000"/>
      </c:stockChart>
      <c:catAx>
        <c:axId val="864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432000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86432000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430464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54688"/>
        <c:axId val="87556480"/>
      </c:lineChart>
      <c:catAx>
        <c:axId val="8755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556480"/>
        <c:crosses val="autoZero"/>
        <c:auto val="1"/>
        <c:lblAlgn val="ctr"/>
        <c:lblOffset val="100"/>
        <c:noMultiLvlLbl val="0"/>
      </c:catAx>
      <c:valAx>
        <c:axId val="875564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75546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94496"/>
        <c:axId val="87596032"/>
      </c:lineChart>
      <c:catAx>
        <c:axId val="8759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596032"/>
        <c:crosses val="autoZero"/>
        <c:auto val="1"/>
        <c:lblAlgn val="ctr"/>
        <c:lblOffset val="100"/>
        <c:noMultiLvlLbl val="0"/>
      </c:catAx>
      <c:valAx>
        <c:axId val="87596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75944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13824"/>
        <c:axId val="87615360"/>
      </c:lineChart>
      <c:dateAx>
        <c:axId val="8761382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87615360"/>
        <c:crosses val="autoZero"/>
        <c:auto val="1"/>
        <c:lblOffset val="100"/>
        <c:baseTimeUnit val="days"/>
        <c:majorUnit val="7"/>
        <c:majorTimeUnit val="days"/>
      </c:dateAx>
      <c:valAx>
        <c:axId val="87615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8761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0.1557</cdr:x>
      <cdr:y>0.5692</cdr:y>
    </cdr:from>
    <cdr:to>
      <cdr:x>0.41048</cdr:x>
      <cdr:y>0.71228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559" y="1695163"/>
          <a:ext cx="1331269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$1600	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$650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 $2717      $750</a:t>
          </a: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0.14459</cdr:x>
      <cdr:y>0.04299</cdr:y>
    </cdr:from>
    <cdr:to>
      <cdr:x>0.80062</cdr:x>
      <cdr:y>0.14072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5507" y="128031"/>
          <a:ext cx="3427874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are $1,125 above tariff this week and are at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$21 this week and are at the peak.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$1000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n/a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$350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0.15577</cdr:x>
      <cdr:y>0.03895</cdr:y>
    </cdr:from>
    <cdr:to>
      <cdr:x>0.76854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925" y="115752"/>
          <a:ext cx="3201815" cy="2910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are $1,000 above tariff this week and are at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$25 this week and are at the peak.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0.14413</cdr:x>
      <cdr:y>0.51941</cdr:y>
    </cdr:from>
    <cdr:to>
      <cdr:x>0.38533</cdr:x>
      <cdr:y>0.65757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2207" y="1546873"/>
          <a:ext cx="12755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$800       n/a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  n/a          0</a:t>
          </a:r>
        </a:p>
      </cdr:txBody>
    </cdr:sp>
  </cdr:relSizeAnchor>
  <cdr:relSizeAnchor xmlns:cdr="http://schemas.openxmlformats.org/drawingml/2006/chartDrawing">
    <cdr:from>
      <cdr:x>0.01789</cdr:x>
      <cdr:y>0.05014</cdr:y>
    </cdr:from>
    <cdr:to>
      <cdr:x>0.0869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608" y="149320"/>
          <a:ext cx="364944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0.13761</cdr:x>
      <cdr:y>0.03678</cdr:y>
    </cdr:from>
    <cdr:to>
      <cdr:x>0.73631</cdr:x>
      <cdr:y>0.13481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7701" y="109531"/>
          <a:ext cx="3166093" cy="29194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bids/offers are $800 above tariff this week and are at the peak.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There are no shuttle bids/offers this week.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D860" activePane="bottomRight" state="frozen"/>
      <selection pane="topRight" activeCell="D1" sqref="D1"/>
      <selection pane="bottomLeft" activeCell="A8" sqref="A8"/>
      <selection pane="bottomRight" activeCell="T890" sqref="T890"/>
    </sheetView>
  </sheetViews>
  <sheetFormatPr defaultRowHeight="15" x14ac:dyDescent="0.25"/>
  <cols>
    <col min="1" max="1" width="5.1796875" customWidth="1"/>
    <col min="2" max="3" width="9.81640625" customWidth="1"/>
    <col min="4" max="6" width="6.81640625" customWidth="1"/>
    <col min="7" max="7" width="0.81640625" customWidth="1"/>
    <col min="8" max="10" width="6.81640625" customWidth="1"/>
    <col min="11" max="11" width="1" customWidth="1"/>
    <col min="12" max="12" width="7.08984375" customWidth="1"/>
    <col min="13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1796875" customWidth="1"/>
    <col min="24" max="26" width="6.81640625" customWidth="1"/>
    <col min="27" max="27" width="1.1796875" customWidth="1"/>
    <col min="28" max="30" width="6.81640625" customWidth="1"/>
    <col min="31" max="31" width="1.54296875" customWidth="1"/>
    <col min="32" max="32" width="7.08984375" customWidth="1"/>
    <col min="33" max="34" width="6.81640625" customWidth="1"/>
    <col min="35" max="35" width="1.1796875" customWidth="1"/>
    <col min="36" max="36" width="6.54296875" customWidth="1"/>
    <col min="37" max="37" width="6.1796875" customWidth="1"/>
    <col min="38" max="38" width="6.453125" customWidth="1"/>
    <col min="39" max="39" width="1.453125" customWidth="1"/>
    <col min="40" max="42" width="6.81640625" customWidth="1"/>
    <col min="43" max="43" width="1.08984375" customWidth="1"/>
    <col min="44" max="46" width="6.81640625" customWidth="1"/>
    <col min="47" max="47" width="1.1796875" customWidth="1"/>
    <col min="48" max="50" width="6.81640625" customWidth="1"/>
  </cols>
  <sheetData>
    <row r="1" spans="1:50" ht="15.6" x14ac:dyDescent="0.3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5">
      <c r="B2" s="16" t="s">
        <v>86</v>
      </c>
      <c r="C2" s="16"/>
    </row>
    <row r="3" spans="1:50" ht="11.25" customHeight="1" x14ac:dyDescent="0.25">
      <c r="B3" s="16" t="s">
        <v>87</v>
      </c>
      <c r="C3" s="16"/>
    </row>
    <row r="4" spans="1:50" ht="11.25" customHeight="1" x14ac:dyDescent="0.25">
      <c r="B4" s="12" t="s">
        <v>239</v>
      </c>
      <c r="C4" s="16"/>
    </row>
    <row r="5" spans="1:50" ht="11.25" customHeight="1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99999999999999" customHeight="1" x14ac:dyDescent="0.25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99999999999999" customHeight="1" x14ac:dyDescent="0.25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99999999999999" customHeight="1" x14ac:dyDescent="0.25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99999999999999" customHeight="1" x14ac:dyDescent="0.25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99999999999999" customHeight="1" x14ac:dyDescent="0.25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99999999999999" customHeight="1" x14ac:dyDescent="0.25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99999999999999" customHeight="1" x14ac:dyDescent="0.25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99999999999999" customHeight="1" x14ac:dyDescent="0.25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99999999999999" customHeight="1" x14ac:dyDescent="0.25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99999999999999" customHeight="1" x14ac:dyDescent="0.25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99999999999999" customHeight="1" x14ac:dyDescent="0.25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99999999999999" customHeight="1" x14ac:dyDescent="0.25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99999999999999" customHeight="1" x14ac:dyDescent="0.25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99999999999999" customHeight="1" x14ac:dyDescent="0.25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99999999999999" customHeight="1" x14ac:dyDescent="0.25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99999999999999" customHeight="1" x14ac:dyDescent="0.25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99999999999999" customHeight="1" x14ac:dyDescent="0.25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99999999999999" customHeight="1" x14ac:dyDescent="0.25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99999999999999" customHeight="1" x14ac:dyDescent="0.25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99999999999999" customHeight="1" x14ac:dyDescent="0.25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99999999999999" customHeight="1" x14ac:dyDescent="0.25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99999999999999" customHeight="1" x14ac:dyDescent="0.25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99999999999999" customHeight="1" x14ac:dyDescent="0.25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99999999999999" customHeight="1" x14ac:dyDescent="0.25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99999999999999" customHeight="1" x14ac:dyDescent="0.25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99999999999999" customHeight="1" x14ac:dyDescent="0.25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99999999999999" customHeight="1" x14ac:dyDescent="0.25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99999999999999" customHeight="1" x14ac:dyDescent="0.25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99999999999999" customHeight="1" x14ac:dyDescent="0.25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99999999999999" customHeight="1" x14ac:dyDescent="0.25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99999999999999" customHeight="1" x14ac:dyDescent="0.25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99999999999999" customHeight="1" x14ac:dyDescent="0.25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99999999999999" customHeight="1" x14ac:dyDescent="0.25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99999999999999" customHeight="1" x14ac:dyDescent="0.25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99999999999999" customHeight="1" x14ac:dyDescent="0.25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5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99999999999999" customHeight="1" x14ac:dyDescent="0.25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99999999999999" customHeight="1" x14ac:dyDescent="0.25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99999999999999" customHeight="1" x14ac:dyDescent="0.25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99999999999999" customHeight="1" x14ac:dyDescent="0.25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99999999999999" customHeight="1" x14ac:dyDescent="0.25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99999999999999" customHeight="1" x14ac:dyDescent="0.25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99999999999999" customHeight="1" x14ac:dyDescent="0.25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99999999999999" customHeight="1" x14ac:dyDescent="0.25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99999999999999" customHeight="1" x14ac:dyDescent="0.25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99999999999999" customHeight="1" x14ac:dyDescent="0.25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99999999999999" customHeight="1" x14ac:dyDescent="0.25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99999999999999" customHeight="1" x14ac:dyDescent="0.25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99999999999999" customHeight="1" x14ac:dyDescent="0.25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99999999999999" customHeight="1" x14ac:dyDescent="0.25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99999999999999" customHeight="1" x14ac:dyDescent="0.25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99999999999999" customHeight="1" x14ac:dyDescent="0.25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99999999999999" customHeight="1" x14ac:dyDescent="0.25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99999999999999" customHeight="1" x14ac:dyDescent="0.25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99999999999999" customHeight="1" x14ac:dyDescent="0.25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99999999999999" customHeight="1" x14ac:dyDescent="0.25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99999999999999" customHeight="1" x14ac:dyDescent="0.25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99999999999999" customHeight="1" x14ac:dyDescent="0.25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99999999999999" customHeight="1" x14ac:dyDescent="0.25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99999999999999" customHeight="1" x14ac:dyDescent="0.25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99999999999999" customHeight="1" x14ac:dyDescent="0.25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99999999999999" customHeight="1" x14ac:dyDescent="0.25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99999999999999" customHeight="1" x14ac:dyDescent="0.25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99999999999999" customHeight="1" x14ac:dyDescent="0.25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99999999999999" customHeight="1" x14ac:dyDescent="0.25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99999999999999" customHeight="1" x14ac:dyDescent="0.25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99999999999999" customHeight="1" x14ac:dyDescent="0.25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99999999999999" customHeight="1" x14ac:dyDescent="0.25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99999999999999" customHeight="1" x14ac:dyDescent="0.25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99999999999999" customHeight="1" x14ac:dyDescent="0.25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99999999999999" customHeight="1" x14ac:dyDescent="0.25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99999999999999" customHeight="1" x14ac:dyDescent="0.25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99999999999999" customHeight="1" x14ac:dyDescent="0.25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99999999999999" customHeight="1" x14ac:dyDescent="0.25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99999999999999" customHeight="1" x14ac:dyDescent="0.25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99999999999999" customHeight="1" x14ac:dyDescent="0.25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99999999999999" customHeight="1" x14ac:dyDescent="0.25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99999999999999" customHeight="1" x14ac:dyDescent="0.25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99999999999999" customHeight="1" x14ac:dyDescent="0.25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99999999999999" customHeight="1" x14ac:dyDescent="0.25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99999999999999" customHeight="1" x14ac:dyDescent="0.25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99999999999999" customHeight="1" x14ac:dyDescent="0.25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99999999999999" customHeight="1" x14ac:dyDescent="0.25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99999999999999" customHeight="1" x14ac:dyDescent="0.25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99999999999999" customHeight="1" x14ac:dyDescent="0.25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99999999999999" customHeight="1" x14ac:dyDescent="0.25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99999999999999" customHeight="1" x14ac:dyDescent="0.25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99999999999999" customHeight="1" x14ac:dyDescent="0.25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99999999999999" customHeight="1" x14ac:dyDescent="0.25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99999999999999" customHeight="1" x14ac:dyDescent="0.25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99999999999999" customHeight="1" x14ac:dyDescent="0.25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99999999999999" customHeight="1" x14ac:dyDescent="0.25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99999999999999" customHeight="1" x14ac:dyDescent="0.25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99999999999999" customHeight="1" x14ac:dyDescent="0.25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99999999999999" customHeight="1" x14ac:dyDescent="0.25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99999999999999" customHeight="1" x14ac:dyDescent="0.25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99999999999999" customHeight="1" x14ac:dyDescent="0.25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99999999999999" customHeight="1" x14ac:dyDescent="0.25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99999999999999" customHeight="1" x14ac:dyDescent="0.25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99999999999999" customHeight="1" x14ac:dyDescent="0.25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99999999999999" customHeight="1" x14ac:dyDescent="0.25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99999999999999" customHeight="1" x14ac:dyDescent="0.25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99999999999999" customHeight="1" x14ac:dyDescent="0.25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99999999999999" customHeight="1" x14ac:dyDescent="0.25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99999999999999" customHeight="1" x14ac:dyDescent="0.25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99999999999999" customHeight="1" x14ac:dyDescent="0.25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99999999999999" customHeight="1" x14ac:dyDescent="0.25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99999999999999" customHeight="1" x14ac:dyDescent="0.25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99999999999999" customHeight="1" x14ac:dyDescent="0.25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99999999999999" customHeight="1" x14ac:dyDescent="0.25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99999999999999" customHeight="1" x14ac:dyDescent="0.25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99999999999999" customHeight="1" x14ac:dyDescent="0.25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99999999999999" customHeight="1" x14ac:dyDescent="0.25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99999999999999" customHeight="1" x14ac:dyDescent="0.25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99999999999999" customHeight="1" x14ac:dyDescent="0.25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99999999999999" customHeight="1" x14ac:dyDescent="0.25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99999999999999" customHeight="1" x14ac:dyDescent="0.25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99999999999999" customHeight="1" x14ac:dyDescent="0.25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99999999999999" customHeight="1" x14ac:dyDescent="0.25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99999999999999" customHeight="1" x14ac:dyDescent="0.25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99999999999999" customHeight="1" x14ac:dyDescent="0.25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99999999999999" customHeight="1" x14ac:dyDescent="0.25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99999999999999" customHeight="1" x14ac:dyDescent="0.25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99999999999999" customHeight="1" x14ac:dyDescent="0.25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99999999999999" customHeight="1" x14ac:dyDescent="0.25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99999999999999" customHeight="1" x14ac:dyDescent="0.25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99999999999999" customHeight="1" x14ac:dyDescent="0.25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99999999999999" customHeight="1" x14ac:dyDescent="0.25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99999999999999" customHeight="1" x14ac:dyDescent="0.25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99999999999999" customHeight="1" x14ac:dyDescent="0.25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99999999999999" customHeight="1" x14ac:dyDescent="0.25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99999999999999" customHeight="1" x14ac:dyDescent="0.25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99999999999999" customHeight="1" x14ac:dyDescent="0.25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99999999999999" customHeight="1" x14ac:dyDescent="0.25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99999999999999" customHeight="1" x14ac:dyDescent="0.25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99999999999999" customHeight="1" x14ac:dyDescent="0.25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99999999999999" customHeight="1" x14ac:dyDescent="0.25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99999999999999" customHeight="1" x14ac:dyDescent="0.25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99999999999999" customHeight="1" x14ac:dyDescent="0.25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99999999999999" customHeight="1" x14ac:dyDescent="0.25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99999999999999" customHeight="1" x14ac:dyDescent="0.25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99999999999999" customHeight="1" x14ac:dyDescent="0.25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99999999999999" customHeight="1" x14ac:dyDescent="0.25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99999999999999" customHeight="1" x14ac:dyDescent="0.25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99999999999999" customHeight="1" x14ac:dyDescent="0.25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99999999999999" customHeight="1" x14ac:dyDescent="0.25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99999999999999" customHeight="1" x14ac:dyDescent="0.25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99999999999999" customHeight="1" x14ac:dyDescent="0.25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99999999999999" customHeight="1" x14ac:dyDescent="0.25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99999999999999" customHeight="1" x14ac:dyDescent="0.25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99999999999999" customHeight="1" x14ac:dyDescent="0.25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99999999999999" customHeight="1" x14ac:dyDescent="0.25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99999999999999" customHeight="1" x14ac:dyDescent="0.25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99999999999999" customHeight="1" x14ac:dyDescent="0.25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99999999999999" customHeight="1" x14ac:dyDescent="0.25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99999999999999" customHeight="1" x14ac:dyDescent="0.25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99999999999999" customHeight="1" x14ac:dyDescent="0.25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99999999999999" customHeight="1" x14ac:dyDescent="0.25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99999999999999" customHeight="1" x14ac:dyDescent="0.25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99999999999999" customHeight="1" x14ac:dyDescent="0.25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99999999999999" customHeight="1" x14ac:dyDescent="0.25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99999999999999" customHeight="1" x14ac:dyDescent="0.25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99999999999999" customHeight="1" x14ac:dyDescent="0.25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99999999999999" customHeight="1" x14ac:dyDescent="0.25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99999999999999" customHeight="1" x14ac:dyDescent="0.25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99999999999999" customHeight="1" x14ac:dyDescent="0.25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99999999999999" customHeight="1" x14ac:dyDescent="0.25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99999999999999" customHeight="1" x14ac:dyDescent="0.25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99999999999999" customHeight="1" x14ac:dyDescent="0.25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99999999999999" customHeight="1" x14ac:dyDescent="0.25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99999999999999" customHeight="1" x14ac:dyDescent="0.25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99999999999999" customHeight="1" x14ac:dyDescent="0.25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99999999999999" customHeight="1" x14ac:dyDescent="0.25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99999999999999" customHeight="1" x14ac:dyDescent="0.25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99999999999999" customHeight="1" x14ac:dyDescent="0.25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99999999999999" customHeight="1" x14ac:dyDescent="0.25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99999999999999" customHeight="1" x14ac:dyDescent="0.25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99999999999999" customHeight="1" x14ac:dyDescent="0.25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99999999999999" customHeight="1" x14ac:dyDescent="0.25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99999999999999" customHeight="1" x14ac:dyDescent="0.25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99999999999999" customHeight="1" x14ac:dyDescent="0.25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99999999999999" customHeight="1" x14ac:dyDescent="0.25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99999999999999" customHeight="1" x14ac:dyDescent="0.25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99999999999999" customHeight="1" x14ac:dyDescent="0.25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99999999999999" customHeight="1" x14ac:dyDescent="0.25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99999999999999" customHeight="1" x14ac:dyDescent="0.25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99999999999999" customHeight="1" x14ac:dyDescent="0.25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99999999999999" customHeight="1" x14ac:dyDescent="0.25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99999999999999" customHeight="1" x14ac:dyDescent="0.25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99999999999999" customHeight="1" x14ac:dyDescent="0.25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99999999999999" customHeight="1" x14ac:dyDescent="0.25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99999999999999" customHeight="1" x14ac:dyDescent="0.25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99999999999999" customHeight="1" x14ac:dyDescent="0.25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99999999999999" customHeight="1" x14ac:dyDescent="0.25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99999999999999" customHeight="1" x14ac:dyDescent="0.25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99999999999999" customHeight="1" x14ac:dyDescent="0.25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99999999999999" customHeight="1" x14ac:dyDescent="0.25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99999999999999" customHeight="1" x14ac:dyDescent="0.25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99999999999999" customHeight="1" x14ac:dyDescent="0.25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99999999999999" customHeight="1" x14ac:dyDescent="0.25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99999999999999" customHeight="1" x14ac:dyDescent="0.25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99999999999999" customHeight="1" x14ac:dyDescent="0.25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99999999999999" customHeight="1" x14ac:dyDescent="0.25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99999999999999" customHeight="1" x14ac:dyDescent="0.25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99999999999999" customHeight="1" x14ac:dyDescent="0.25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99999999999999" customHeight="1" x14ac:dyDescent="0.25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99999999999999" customHeight="1" x14ac:dyDescent="0.25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99999999999999" customHeight="1" x14ac:dyDescent="0.25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99999999999999" customHeight="1" x14ac:dyDescent="0.25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99999999999999" customHeight="1" x14ac:dyDescent="0.25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99999999999999" customHeight="1" x14ac:dyDescent="0.25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99999999999999" customHeight="1" x14ac:dyDescent="0.25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99999999999999" customHeight="1" x14ac:dyDescent="0.25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99999999999999" customHeight="1" x14ac:dyDescent="0.25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99999999999999" customHeight="1" x14ac:dyDescent="0.25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99999999999999" customHeight="1" x14ac:dyDescent="0.25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99999999999999" customHeight="1" x14ac:dyDescent="0.25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99999999999999" customHeight="1" x14ac:dyDescent="0.25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99999999999999" customHeight="1" x14ac:dyDescent="0.25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99999999999999" customHeight="1" x14ac:dyDescent="0.25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99999999999999" customHeight="1" x14ac:dyDescent="0.25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99999999999999" customHeight="1" x14ac:dyDescent="0.25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99999999999999" customHeight="1" x14ac:dyDescent="0.25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99999999999999" customHeight="1" x14ac:dyDescent="0.25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99999999999999" customHeight="1" x14ac:dyDescent="0.25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99999999999999" customHeight="1" x14ac:dyDescent="0.25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99999999999999" customHeight="1" x14ac:dyDescent="0.25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99999999999999" customHeight="1" x14ac:dyDescent="0.25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99999999999999" customHeight="1" x14ac:dyDescent="0.25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99999999999999" customHeight="1" x14ac:dyDescent="0.25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99999999999999" customHeight="1" x14ac:dyDescent="0.25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99999999999999" customHeight="1" x14ac:dyDescent="0.25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99999999999999" customHeight="1" x14ac:dyDescent="0.25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99999999999999" customHeight="1" x14ac:dyDescent="0.25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99999999999999" customHeight="1" x14ac:dyDescent="0.25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99999999999999" customHeight="1" x14ac:dyDescent="0.25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99999999999999" customHeight="1" x14ac:dyDescent="0.25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99999999999999" customHeight="1" x14ac:dyDescent="0.25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99999999999999" customHeight="1" x14ac:dyDescent="0.25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99999999999999" customHeight="1" x14ac:dyDescent="0.25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99999999999999" customHeight="1" x14ac:dyDescent="0.25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99999999999999" customHeight="1" x14ac:dyDescent="0.25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99999999999999" customHeight="1" x14ac:dyDescent="0.25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99999999999999" customHeight="1" x14ac:dyDescent="0.25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99999999999999" customHeight="1" x14ac:dyDescent="0.25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99999999999999" customHeight="1" x14ac:dyDescent="0.25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99999999999999" customHeight="1" x14ac:dyDescent="0.25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99999999999999" customHeight="1" x14ac:dyDescent="0.25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99999999999999" customHeight="1" x14ac:dyDescent="0.25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99999999999999" customHeight="1" x14ac:dyDescent="0.25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99999999999999" customHeight="1" x14ac:dyDescent="0.25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99999999999999" customHeight="1" x14ac:dyDescent="0.25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99999999999999" customHeight="1" x14ac:dyDescent="0.25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99999999999999" customHeight="1" x14ac:dyDescent="0.25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99999999999999" customHeight="1" x14ac:dyDescent="0.25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99999999999999" customHeight="1" x14ac:dyDescent="0.25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99999999999999" customHeight="1" x14ac:dyDescent="0.25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99999999999999" customHeight="1" x14ac:dyDescent="0.25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99999999999999" customHeight="1" x14ac:dyDescent="0.25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99999999999999" customHeight="1" x14ac:dyDescent="0.25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99999999999999" customHeight="1" x14ac:dyDescent="0.25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99999999999999" customHeight="1" x14ac:dyDescent="0.25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99999999999999" customHeight="1" x14ac:dyDescent="0.25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99999999999999" customHeight="1" x14ac:dyDescent="0.25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99999999999999" customHeight="1" x14ac:dyDescent="0.25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99999999999999" customHeight="1" x14ac:dyDescent="0.25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99999999999999" customHeight="1" x14ac:dyDescent="0.25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99999999999999" customHeight="1" x14ac:dyDescent="0.25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99999999999999" customHeight="1" x14ac:dyDescent="0.25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99999999999999" customHeight="1" x14ac:dyDescent="0.25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99999999999999" customHeight="1" x14ac:dyDescent="0.25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99999999999999" customHeight="1" x14ac:dyDescent="0.25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99999999999999" customHeight="1" x14ac:dyDescent="0.25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99999999999999" customHeight="1" x14ac:dyDescent="0.25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99999999999999" customHeight="1" x14ac:dyDescent="0.25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99999999999999" customHeight="1" x14ac:dyDescent="0.25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99999999999999" customHeight="1" x14ac:dyDescent="0.25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99999999999999" customHeight="1" x14ac:dyDescent="0.25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99999999999999" customHeight="1" x14ac:dyDescent="0.25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99999999999999" customHeight="1" x14ac:dyDescent="0.25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99999999999999" customHeight="1" x14ac:dyDescent="0.25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99999999999999" customHeight="1" x14ac:dyDescent="0.25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99999999999999" customHeight="1" x14ac:dyDescent="0.25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99999999999999" customHeight="1" x14ac:dyDescent="0.25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99999999999999" customHeight="1" x14ac:dyDescent="0.25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99999999999999" customHeight="1" x14ac:dyDescent="0.25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99999999999999" customHeight="1" x14ac:dyDescent="0.25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99999999999999" customHeight="1" x14ac:dyDescent="0.25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99999999999999" customHeight="1" x14ac:dyDescent="0.25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99999999999999" customHeight="1" x14ac:dyDescent="0.25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99999999999999" customHeight="1" x14ac:dyDescent="0.25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99999999999999" customHeight="1" x14ac:dyDescent="0.25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99999999999999" customHeight="1" x14ac:dyDescent="0.25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99999999999999" customHeight="1" x14ac:dyDescent="0.25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99999999999999" customHeight="1" x14ac:dyDescent="0.25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99999999999999" customHeight="1" x14ac:dyDescent="0.25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99999999999999" customHeight="1" x14ac:dyDescent="0.25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99999999999999" customHeight="1" x14ac:dyDescent="0.25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99999999999999" customHeight="1" x14ac:dyDescent="0.25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99999999999999" customHeight="1" x14ac:dyDescent="0.25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99999999999999" customHeight="1" x14ac:dyDescent="0.25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99999999999999" customHeight="1" x14ac:dyDescent="0.25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99999999999999" customHeight="1" x14ac:dyDescent="0.25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99999999999999" customHeight="1" x14ac:dyDescent="0.25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99999999999999" customHeight="1" x14ac:dyDescent="0.25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99999999999999" customHeight="1" x14ac:dyDescent="0.25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99999999999999" customHeight="1" x14ac:dyDescent="0.25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99999999999999" customHeight="1" x14ac:dyDescent="0.25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99999999999999" customHeight="1" x14ac:dyDescent="0.25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99999999999999" customHeight="1" x14ac:dyDescent="0.25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99999999999999" customHeight="1" x14ac:dyDescent="0.25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99999999999999" customHeight="1" x14ac:dyDescent="0.25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99999999999999" customHeight="1" x14ac:dyDescent="0.25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99999999999999" customHeight="1" x14ac:dyDescent="0.25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99999999999999" customHeight="1" x14ac:dyDescent="0.25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99999999999999" customHeight="1" x14ac:dyDescent="0.25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99999999999999" customHeight="1" x14ac:dyDescent="0.25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99999999999999" customHeight="1" x14ac:dyDescent="0.25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99999999999999" customHeight="1" x14ac:dyDescent="0.25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99999999999999" customHeight="1" x14ac:dyDescent="0.25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99999999999999" customHeight="1" x14ac:dyDescent="0.25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99999999999999" customHeight="1" x14ac:dyDescent="0.25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99999999999999" customHeight="1" x14ac:dyDescent="0.25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99999999999999" customHeight="1" x14ac:dyDescent="0.25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99999999999999" customHeight="1" x14ac:dyDescent="0.25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99999999999999" customHeight="1" x14ac:dyDescent="0.25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99999999999999" customHeight="1" x14ac:dyDescent="0.25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99999999999999" customHeight="1" x14ac:dyDescent="0.25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99999999999999" customHeight="1" x14ac:dyDescent="0.25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99999999999999" customHeight="1" x14ac:dyDescent="0.25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99999999999999" customHeight="1" x14ac:dyDescent="0.25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99999999999999" customHeight="1" x14ac:dyDescent="0.25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99999999999999" customHeight="1" x14ac:dyDescent="0.25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99999999999999" customHeight="1" x14ac:dyDescent="0.25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99999999999999" customHeight="1" x14ac:dyDescent="0.25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99999999999999" customHeight="1" x14ac:dyDescent="0.25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99999999999999" customHeight="1" x14ac:dyDescent="0.25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99999999999999" customHeight="1" x14ac:dyDescent="0.25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99999999999999" customHeight="1" x14ac:dyDescent="0.25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99999999999999" customHeight="1" x14ac:dyDescent="0.25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99999999999999" customHeight="1" x14ac:dyDescent="0.25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99999999999999" customHeight="1" x14ac:dyDescent="0.25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99999999999999" customHeight="1" x14ac:dyDescent="0.25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99999999999999" customHeight="1" x14ac:dyDescent="0.25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99999999999999" customHeight="1" x14ac:dyDescent="0.25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99999999999999" customHeight="1" x14ac:dyDescent="0.25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99999999999999" customHeight="1" x14ac:dyDescent="0.25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99999999999999" customHeight="1" x14ac:dyDescent="0.25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99999999999999" customHeight="1" x14ac:dyDescent="0.25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99999999999999" customHeight="1" x14ac:dyDescent="0.25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99999999999999" customHeight="1" x14ac:dyDescent="0.25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99999999999999" customHeight="1" x14ac:dyDescent="0.25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99999999999999" customHeight="1" x14ac:dyDescent="0.25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99999999999999" customHeight="1" x14ac:dyDescent="0.25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99999999999999" customHeight="1" x14ac:dyDescent="0.25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99999999999999" customHeight="1" x14ac:dyDescent="0.25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99999999999999" customHeight="1" x14ac:dyDescent="0.25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99999999999999" customHeight="1" x14ac:dyDescent="0.25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99999999999999" customHeight="1" x14ac:dyDescent="0.25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99999999999999" customHeight="1" x14ac:dyDescent="0.25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99999999999999" customHeight="1" x14ac:dyDescent="0.25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99999999999999" customHeight="1" x14ac:dyDescent="0.25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99999999999999" customHeight="1" x14ac:dyDescent="0.25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99999999999999" customHeight="1" x14ac:dyDescent="0.25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99999999999999" customHeight="1" x14ac:dyDescent="0.25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99999999999999" customHeight="1" x14ac:dyDescent="0.25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99999999999999" customHeight="1" x14ac:dyDescent="0.25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99999999999999" customHeight="1" x14ac:dyDescent="0.25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99999999999999" customHeight="1" x14ac:dyDescent="0.25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99999999999999" customHeight="1" x14ac:dyDescent="0.25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99999999999999" customHeight="1" x14ac:dyDescent="0.25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99999999999999" customHeight="1" x14ac:dyDescent="0.25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99999999999999" customHeight="1" x14ac:dyDescent="0.25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99999999999999" customHeight="1" x14ac:dyDescent="0.25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99999999999999" customHeight="1" x14ac:dyDescent="0.25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99999999999999" customHeight="1" x14ac:dyDescent="0.25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99999999999999" customHeight="1" x14ac:dyDescent="0.25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99999999999999" customHeight="1" x14ac:dyDescent="0.25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99999999999999" customHeight="1" x14ac:dyDescent="0.25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99999999999999" customHeight="1" x14ac:dyDescent="0.25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99999999999999" customHeight="1" x14ac:dyDescent="0.25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99999999999999" customHeight="1" x14ac:dyDescent="0.25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99999999999999" customHeight="1" x14ac:dyDescent="0.25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99999999999999" customHeight="1" x14ac:dyDescent="0.25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99999999999999" customHeight="1" x14ac:dyDescent="0.25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99999999999999" customHeight="1" x14ac:dyDescent="0.25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99999999999999" customHeight="1" x14ac:dyDescent="0.25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99999999999999" customHeight="1" x14ac:dyDescent="0.25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99999999999999" customHeight="1" x14ac:dyDescent="0.25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99999999999999" customHeight="1" x14ac:dyDescent="0.25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99999999999999" customHeight="1" x14ac:dyDescent="0.25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99999999999999" customHeight="1" x14ac:dyDescent="0.25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99999999999999" customHeight="1" x14ac:dyDescent="0.25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99999999999999" customHeight="1" x14ac:dyDescent="0.25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99999999999999" customHeight="1" x14ac:dyDescent="0.25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99999999999999" customHeight="1" x14ac:dyDescent="0.25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99999999999999" customHeight="1" x14ac:dyDescent="0.25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99999999999999" customHeight="1" x14ac:dyDescent="0.25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99999999999999" customHeight="1" x14ac:dyDescent="0.25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99999999999999" customHeight="1" x14ac:dyDescent="0.25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99999999999999" customHeight="1" x14ac:dyDescent="0.25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99999999999999" customHeight="1" x14ac:dyDescent="0.25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99999999999999" customHeight="1" x14ac:dyDescent="0.25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99999999999999" customHeight="1" x14ac:dyDescent="0.25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99999999999999" customHeight="1" x14ac:dyDescent="0.25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99999999999999" customHeight="1" x14ac:dyDescent="0.25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99999999999999" customHeight="1" x14ac:dyDescent="0.25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99999999999999" customHeight="1" x14ac:dyDescent="0.25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99999999999999" customHeight="1" x14ac:dyDescent="0.25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99999999999999" customHeight="1" x14ac:dyDescent="0.25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99999999999999" customHeight="1" x14ac:dyDescent="0.25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99999999999999" customHeight="1" x14ac:dyDescent="0.25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99999999999999" customHeight="1" x14ac:dyDescent="0.25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99999999999999" customHeight="1" x14ac:dyDescent="0.25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99999999999999" customHeight="1" x14ac:dyDescent="0.25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99999999999999" customHeight="1" x14ac:dyDescent="0.25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99999999999999" customHeight="1" x14ac:dyDescent="0.25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99999999999999" customHeight="1" x14ac:dyDescent="0.25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99999999999999" customHeight="1" x14ac:dyDescent="0.25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99999999999999" customHeight="1" x14ac:dyDescent="0.25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99999999999999" customHeight="1" x14ac:dyDescent="0.25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99999999999999" customHeight="1" x14ac:dyDescent="0.25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99999999999999" customHeight="1" x14ac:dyDescent="0.25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99999999999999" customHeight="1" x14ac:dyDescent="0.25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99999999999999" customHeight="1" x14ac:dyDescent="0.25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99999999999999" customHeight="1" x14ac:dyDescent="0.25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99999999999999" customHeight="1" x14ac:dyDescent="0.25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99999999999999" customHeight="1" x14ac:dyDescent="0.25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99999999999999" customHeight="1" x14ac:dyDescent="0.25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99999999999999" customHeight="1" x14ac:dyDescent="0.25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99999999999999" customHeight="1" x14ac:dyDescent="0.25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99999999999999" customHeight="1" x14ac:dyDescent="0.25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99999999999999" customHeight="1" x14ac:dyDescent="0.25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99999999999999" customHeight="1" x14ac:dyDescent="0.25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99999999999999" customHeight="1" x14ac:dyDescent="0.25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99999999999999" customHeight="1" x14ac:dyDescent="0.25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99999999999999" customHeight="1" x14ac:dyDescent="0.25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99999999999999" customHeight="1" x14ac:dyDescent="0.25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99999999999999" customHeight="1" x14ac:dyDescent="0.25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99999999999999" customHeight="1" x14ac:dyDescent="0.25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99999999999999" customHeight="1" x14ac:dyDescent="0.25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99999999999999" customHeight="1" x14ac:dyDescent="0.25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99999999999999" customHeight="1" x14ac:dyDescent="0.25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99999999999999" customHeight="1" x14ac:dyDescent="0.25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99999999999999" customHeight="1" x14ac:dyDescent="0.25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99999999999999" customHeight="1" x14ac:dyDescent="0.25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99999999999999" customHeight="1" x14ac:dyDescent="0.25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99999999999999" customHeight="1" x14ac:dyDescent="0.25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99999999999999" customHeight="1" x14ac:dyDescent="0.25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99999999999999" customHeight="1" x14ac:dyDescent="0.25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99999999999999" customHeight="1" x14ac:dyDescent="0.25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99999999999999" customHeight="1" x14ac:dyDescent="0.25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99999999999999" customHeight="1" x14ac:dyDescent="0.25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99999999999999" customHeight="1" x14ac:dyDescent="0.25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99999999999999" customHeight="1" x14ac:dyDescent="0.25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99999999999999" customHeight="1" x14ac:dyDescent="0.25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99999999999999" customHeight="1" x14ac:dyDescent="0.25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99999999999999" customHeight="1" x14ac:dyDescent="0.25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99999999999999" customHeight="1" x14ac:dyDescent="0.25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99999999999999" customHeight="1" x14ac:dyDescent="0.25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99999999999999" customHeight="1" x14ac:dyDescent="0.25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99999999999999" customHeight="1" x14ac:dyDescent="0.25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99999999999999" customHeight="1" x14ac:dyDescent="0.25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99999999999999" customHeight="1" x14ac:dyDescent="0.25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99999999999999" customHeight="1" x14ac:dyDescent="0.25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99999999999999" customHeight="1" x14ac:dyDescent="0.25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99999999999999" customHeight="1" x14ac:dyDescent="0.25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99999999999999" customHeight="1" x14ac:dyDescent="0.25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99999999999999" customHeight="1" x14ac:dyDescent="0.25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99999999999999" customHeight="1" x14ac:dyDescent="0.25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99999999999999" customHeight="1" x14ac:dyDescent="0.25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99999999999999" customHeight="1" x14ac:dyDescent="0.25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99999999999999" customHeight="1" x14ac:dyDescent="0.25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99999999999999" customHeight="1" x14ac:dyDescent="0.25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99999999999999" customHeight="1" x14ac:dyDescent="0.25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99999999999999" customHeight="1" x14ac:dyDescent="0.25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99999999999999" customHeight="1" x14ac:dyDescent="0.25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99999999999999" customHeight="1" x14ac:dyDescent="0.25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99999999999999" customHeight="1" x14ac:dyDescent="0.25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99999999999999" customHeight="1" x14ac:dyDescent="0.25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99999999999999" customHeight="1" x14ac:dyDescent="0.25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99999999999999" customHeight="1" x14ac:dyDescent="0.25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99999999999999" customHeight="1" x14ac:dyDescent="0.25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99999999999999" customHeight="1" x14ac:dyDescent="0.25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99999999999999" customHeight="1" x14ac:dyDescent="0.25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99999999999999" customHeight="1" x14ac:dyDescent="0.25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99999999999999" customHeight="1" x14ac:dyDescent="0.25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99999999999999" customHeight="1" x14ac:dyDescent="0.25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99999999999999" customHeight="1" x14ac:dyDescent="0.25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99999999999999" customHeight="1" x14ac:dyDescent="0.25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99999999999999" customHeight="1" x14ac:dyDescent="0.25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99999999999999" customHeight="1" x14ac:dyDescent="0.25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99999999999999" customHeight="1" x14ac:dyDescent="0.25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99999999999999" customHeight="1" x14ac:dyDescent="0.25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99999999999999" customHeight="1" x14ac:dyDescent="0.25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99999999999999" customHeight="1" x14ac:dyDescent="0.25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99999999999999" customHeight="1" x14ac:dyDescent="0.25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99999999999999" customHeight="1" x14ac:dyDescent="0.25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99999999999999" customHeight="1" x14ac:dyDescent="0.25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99999999999999" customHeight="1" x14ac:dyDescent="0.25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99999999999999" customHeight="1" x14ac:dyDescent="0.25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99999999999999" customHeight="1" x14ac:dyDescent="0.25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99999999999999" customHeight="1" x14ac:dyDescent="0.25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99999999999999" customHeight="1" x14ac:dyDescent="0.25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99999999999999" customHeight="1" x14ac:dyDescent="0.25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99999999999999" customHeight="1" x14ac:dyDescent="0.25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99999999999999" customHeight="1" x14ac:dyDescent="0.25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99999999999999" customHeight="1" x14ac:dyDescent="0.25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99999999999999" customHeight="1" x14ac:dyDescent="0.25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99999999999999" customHeight="1" x14ac:dyDescent="0.25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99999999999999" customHeight="1" x14ac:dyDescent="0.25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99999999999999" customHeight="1" x14ac:dyDescent="0.25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99999999999999" customHeight="1" x14ac:dyDescent="0.25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99999999999999" customHeight="1" x14ac:dyDescent="0.25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99999999999999" customHeight="1" x14ac:dyDescent="0.25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99999999999999" customHeight="1" x14ac:dyDescent="0.25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99999999999999" customHeight="1" x14ac:dyDescent="0.25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99999999999999" customHeight="1" x14ac:dyDescent="0.25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99999999999999" customHeight="1" x14ac:dyDescent="0.25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99999999999999" customHeight="1" x14ac:dyDescent="0.25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99999999999999" customHeight="1" x14ac:dyDescent="0.25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99999999999999" customHeight="1" x14ac:dyDescent="0.25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99999999999999" customHeight="1" x14ac:dyDescent="0.25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99999999999999" customHeight="1" x14ac:dyDescent="0.25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99999999999999" customHeight="1" x14ac:dyDescent="0.25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99999999999999" customHeight="1" x14ac:dyDescent="0.25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99999999999999" customHeight="1" x14ac:dyDescent="0.25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99999999999999" customHeight="1" x14ac:dyDescent="0.25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99999999999999" customHeight="1" x14ac:dyDescent="0.25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99999999999999" customHeight="1" x14ac:dyDescent="0.25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99999999999999" customHeight="1" x14ac:dyDescent="0.25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99999999999999" customHeight="1" x14ac:dyDescent="0.25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99999999999999" customHeight="1" x14ac:dyDescent="0.25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99999999999999" customHeight="1" x14ac:dyDescent="0.25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99999999999999" customHeight="1" x14ac:dyDescent="0.25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99999999999999" customHeight="1" x14ac:dyDescent="0.25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99999999999999" customHeight="1" x14ac:dyDescent="0.25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99999999999999" customHeight="1" x14ac:dyDescent="0.25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99999999999999" customHeight="1" x14ac:dyDescent="0.25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99999999999999" customHeight="1" x14ac:dyDescent="0.25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99999999999999" customHeight="1" x14ac:dyDescent="0.25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99999999999999" customHeight="1" x14ac:dyDescent="0.25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99999999999999" customHeight="1" x14ac:dyDescent="0.25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99999999999999" customHeight="1" x14ac:dyDescent="0.25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99999999999999" customHeight="1" x14ac:dyDescent="0.25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99999999999999" customHeight="1" x14ac:dyDescent="0.25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99999999999999" customHeight="1" x14ac:dyDescent="0.25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99999999999999" customHeight="1" x14ac:dyDescent="0.25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99999999999999" customHeight="1" x14ac:dyDescent="0.25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99999999999999" customHeight="1" x14ac:dyDescent="0.25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99999999999999" customHeight="1" x14ac:dyDescent="0.25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99999999999999" customHeight="1" x14ac:dyDescent="0.25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99999999999999" customHeight="1" x14ac:dyDescent="0.25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99999999999999" customHeight="1" x14ac:dyDescent="0.25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99999999999999" customHeight="1" x14ac:dyDescent="0.25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99999999999999" customHeight="1" x14ac:dyDescent="0.25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99999999999999" customHeight="1" x14ac:dyDescent="0.25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99999999999999" customHeight="1" x14ac:dyDescent="0.25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99999999999999" customHeight="1" x14ac:dyDescent="0.25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99999999999999" customHeight="1" x14ac:dyDescent="0.25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99999999999999" customHeight="1" x14ac:dyDescent="0.25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99999999999999" customHeight="1" x14ac:dyDescent="0.25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99999999999999" customHeight="1" x14ac:dyDescent="0.25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99999999999999" customHeight="1" x14ac:dyDescent="0.25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99999999999999" customHeight="1" x14ac:dyDescent="0.25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99999999999999" customHeight="1" x14ac:dyDescent="0.25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99999999999999" customHeight="1" x14ac:dyDescent="0.25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99999999999999" customHeight="1" x14ac:dyDescent="0.25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99999999999999" customHeight="1" x14ac:dyDescent="0.25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99999999999999" customHeight="1" x14ac:dyDescent="0.25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99999999999999" customHeight="1" x14ac:dyDescent="0.25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99999999999999" customHeight="1" x14ac:dyDescent="0.25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99999999999999" customHeight="1" x14ac:dyDescent="0.25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99999999999999" customHeight="1" x14ac:dyDescent="0.25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99999999999999" customHeight="1" x14ac:dyDescent="0.25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99999999999999" customHeight="1" x14ac:dyDescent="0.25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99999999999999" customHeight="1" x14ac:dyDescent="0.25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99999999999999" customHeight="1" x14ac:dyDescent="0.25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99999999999999" customHeight="1" x14ac:dyDescent="0.25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99999999999999" customHeight="1" x14ac:dyDescent="0.25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99999999999999" customHeight="1" x14ac:dyDescent="0.25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99999999999999" customHeight="1" x14ac:dyDescent="0.25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99999999999999" customHeight="1" x14ac:dyDescent="0.25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99999999999999" customHeight="1" x14ac:dyDescent="0.25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99999999999999" customHeight="1" x14ac:dyDescent="0.25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99999999999999" customHeight="1" x14ac:dyDescent="0.25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99999999999999" customHeight="1" x14ac:dyDescent="0.25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99999999999999" customHeight="1" x14ac:dyDescent="0.25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99999999999999" customHeight="1" x14ac:dyDescent="0.25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99999999999999" customHeight="1" x14ac:dyDescent="0.25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99999999999999" customHeight="1" x14ac:dyDescent="0.25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99999999999999" customHeight="1" x14ac:dyDescent="0.25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99999999999999" customHeight="1" x14ac:dyDescent="0.25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99999999999999" customHeight="1" x14ac:dyDescent="0.25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99999999999999" customHeight="1" x14ac:dyDescent="0.25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99999999999999" customHeight="1" x14ac:dyDescent="0.25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99999999999999" customHeight="1" x14ac:dyDescent="0.25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99999999999999" customHeight="1" x14ac:dyDescent="0.25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99999999999999" customHeight="1" x14ac:dyDescent="0.25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99999999999999" customHeight="1" x14ac:dyDescent="0.25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99999999999999" customHeight="1" x14ac:dyDescent="0.25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99999999999999" customHeight="1" x14ac:dyDescent="0.25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99999999999999" customHeight="1" x14ac:dyDescent="0.25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99999999999999" customHeight="1" x14ac:dyDescent="0.25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99999999999999" customHeight="1" x14ac:dyDescent="0.25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99999999999999" customHeight="1" x14ac:dyDescent="0.25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99999999999999" customHeight="1" x14ac:dyDescent="0.25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99999999999999" customHeight="1" x14ac:dyDescent="0.25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99999999999999" customHeight="1" x14ac:dyDescent="0.25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99999999999999" customHeight="1" x14ac:dyDescent="0.25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99999999999999" customHeight="1" x14ac:dyDescent="0.25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99999999999999" customHeight="1" x14ac:dyDescent="0.25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99999999999999" customHeight="1" x14ac:dyDescent="0.25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99999999999999" customHeight="1" x14ac:dyDescent="0.25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99999999999999" customHeight="1" x14ac:dyDescent="0.25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99999999999999" customHeight="1" x14ac:dyDescent="0.25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99999999999999" customHeight="1" x14ac:dyDescent="0.25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99999999999999" customHeight="1" x14ac:dyDescent="0.25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99999999999999" customHeight="1" x14ac:dyDescent="0.25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99999999999999" customHeight="1" x14ac:dyDescent="0.25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99999999999999" customHeight="1" x14ac:dyDescent="0.25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99999999999999" customHeight="1" x14ac:dyDescent="0.25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99999999999999" customHeight="1" x14ac:dyDescent="0.25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99999999999999" customHeight="1" x14ac:dyDescent="0.25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99999999999999" customHeight="1" x14ac:dyDescent="0.25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99999999999999" customHeight="1" x14ac:dyDescent="0.25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99999999999999" customHeight="1" x14ac:dyDescent="0.25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99999999999999" customHeight="1" x14ac:dyDescent="0.25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99999999999999" customHeight="1" x14ac:dyDescent="0.25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99999999999999" customHeight="1" x14ac:dyDescent="0.25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99999999999999" customHeight="1" x14ac:dyDescent="0.25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99999999999999" customHeight="1" x14ac:dyDescent="0.25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99999999999999" customHeight="1" x14ac:dyDescent="0.25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99999999999999" customHeight="1" x14ac:dyDescent="0.25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99999999999999" customHeight="1" x14ac:dyDescent="0.25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99999999999999" customHeight="1" x14ac:dyDescent="0.25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99999999999999" customHeight="1" x14ac:dyDescent="0.25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99999999999999" customHeight="1" x14ac:dyDescent="0.25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99999999999999" customHeight="1" x14ac:dyDescent="0.25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99999999999999" customHeight="1" x14ac:dyDescent="0.25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99999999999999" customHeight="1" x14ac:dyDescent="0.25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99999999999999" customHeight="1" x14ac:dyDescent="0.25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99999999999999" customHeight="1" x14ac:dyDescent="0.25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99999999999999" customHeight="1" x14ac:dyDescent="0.25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99999999999999" customHeight="1" x14ac:dyDescent="0.25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99999999999999" customHeight="1" x14ac:dyDescent="0.25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99999999999999" customHeight="1" x14ac:dyDescent="0.25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99999999999999" customHeight="1" x14ac:dyDescent="0.25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99999999999999" customHeight="1" x14ac:dyDescent="0.25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99999999999999" customHeight="1" x14ac:dyDescent="0.25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99999999999999" customHeight="1" x14ac:dyDescent="0.25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99999999999999" customHeight="1" x14ac:dyDescent="0.25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99999999999999" customHeight="1" x14ac:dyDescent="0.25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99999999999999" customHeight="1" x14ac:dyDescent="0.25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99999999999999" customHeight="1" x14ac:dyDescent="0.25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99999999999999" customHeight="1" x14ac:dyDescent="0.25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99999999999999" customHeight="1" x14ac:dyDescent="0.25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99999999999999" customHeight="1" x14ac:dyDescent="0.25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99999999999999" customHeight="1" x14ac:dyDescent="0.25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99999999999999" customHeight="1" x14ac:dyDescent="0.25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99999999999999" customHeight="1" x14ac:dyDescent="0.25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99999999999999" customHeight="1" x14ac:dyDescent="0.25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99999999999999" customHeight="1" x14ac:dyDescent="0.25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99999999999999" customHeight="1" x14ac:dyDescent="0.25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99999999999999" customHeight="1" x14ac:dyDescent="0.25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99999999999999" customHeight="1" x14ac:dyDescent="0.25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99999999999999" customHeight="1" x14ac:dyDescent="0.25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99999999999999" customHeight="1" x14ac:dyDescent="0.25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99999999999999" customHeight="1" x14ac:dyDescent="0.25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99999999999999" customHeight="1" x14ac:dyDescent="0.25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99999999999999" customHeight="1" x14ac:dyDescent="0.25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99999999999999" customHeight="1" x14ac:dyDescent="0.25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99999999999999" customHeight="1" x14ac:dyDescent="0.25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99999999999999" customHeight="1" x14ac:dyDescent="0.25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99999999999999" customHeight="1" x14ac:dyDescent="0.25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99999999999999" customHeight="1" x14ac:dyDescent="0.25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99999999999999" customHeight="1" x14ac:dyDescent="0.25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99999999999999" customHeight="1" x14ac:dyDescent="0.25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99999999999999" customHeight="1" x14ac:dyDescent="0.25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99999999999999" customHeight="1" x14ac:dyDescent="0.25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99999999999999" customHeight="1" x14ac:dyDescent="0.25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99999999999999" customHeight="1" x14ac:dyDescent="0.25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99999999999999" customHeight="1" x14ac:dyDescent="0.25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99999999999999" customHeight="1" x14ac:dyDescent="0.25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99999999999999" customHeight="1" x14ac:dyDescent="0.25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99999999999999" customHeight="1" x14ac:dyDescent="0.25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99999999999999" customHeight="1" x14ac:dyDescent="0.25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99999999999999" customHeight="1" x14ac:dyDescent="0.25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99999999999999" customHeight="1" x14ac:dyDescent="0.25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99999999999999" customHeight="1" x14ac:dyDescent="0.25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99999999999999" customHeight="1" x14ac:dyDescent="0.25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99999999999999" customHeight="1" x14ac:dyDescent="0.25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99999999999999" customHeight="1" x14ac:dyDescent="0.25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99999999999999" customHeight="1" x14ac:dyDescent="0.25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99999999999999" customHeight="1" x14ac:dyDescent="0.25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99999999999999" customHeight="1" x14ac:dyDescent="0.25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99999999999999" customHeight="1" x14ac:dyDescent="0.25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99999999999999" customHeight="1" x14ac:dyDescent="0.25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99999999999999" customHeight="1" x14ac:dyDescent="0.25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99999999999999" customHeight="1" x14ac:dyDescent="0.25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99999999999999" customHeight="1" x14ac:dyDescent="0.25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99999999999999" customHeight="1" x14ac:dyDescent="0.25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99999999999999" customHeight="1" x14ac:dyDescent="0.25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99999999999999" customHeight="1" x14ac:dyDescent="0.25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99999999999999" customHeight="1" x14ac:dyDescent="0.25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99999999999999" customHeight="1" x14ac:dyDescent="0.25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99999999999999" customHeight="1" x14ac:dyDescent="0.25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99999999999999" customHeight="1" x14ac:dyDescent="0.25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99999999999999" customHeight="1" x14ac:dyDescent="0.25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99999999999999" customHeight="1" x14ac:dyDescent="0.25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99999999999999" customHeight="1" x14ac:dyDescent="0.25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99999999999999" customHeight="1" x14ac:dyDescent="0.25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99999999999999" customHeight="1" x14ac:dyDescent="0.25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99999999999999" customHeight="1" x14ac:dyDescent="0.25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99999999999999" customHeight="1" x14ac:dyDescent="0.25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5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5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5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5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5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5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5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5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5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99999999999999" customHeight="1" x14ac:dyDescent="0.25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99999999999999" customHeight="1" x14ac:dyDescent="0.25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99999999999999" customHeight="1" x14ac:dyDescent="0.25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99999999999999" customHeight="1" x14ac:dyDescent="0.25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99999999999999" customHeight="1" x14ac:dyDescent="0.25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99999999999999" customHeight="1" x14ac:dyDescent="0.25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99999999999999" customHeight="1" x14ac:dyDescent="0.25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99999999999999" customHeight="1" x14ac:dyDescent="0.25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99999999999999" customHeight="1" x14ac:dyDescent="0.25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99999999999999" customHeight="1" x14ac:dyDescent="0.25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99999999999999" customHeight="1" x14ac:dyDescent="0.25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99999999999999" customHeight="1" x14ac:dyDescent="0.25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99999999999999" customHeight="1" x14ac:dyDescent="0.25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99999999999999" customHeight="1" x14ac:dyDescent="0.25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99999999999999" customHeight="1" x14ac:dyDescent="0.25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99999999999999" customHeight="1" x14ac:dyDescent="0.25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99999999999999" customHeight="1" x14ac:dyDescent="0.25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99999999999999" customHeight="1" x14ac:dyDescent="0.25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99999999999999" customHeight="1" x14ac:dyDescent="0.25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99999999999999" customHeight="1" x14ac:dyDescent="0.25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99999999999999" customHeight="1" x14ac:dyDescent="0.25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99999999999999" customHeight="1" x14ac:dyDescent="0.25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99999999999999" customHeight="1" x14ac:dyDescent="0.25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99999999999999" customHeight="1" x14ac:dyDescent="0.25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99999999999999" customHeight="1" x14ac:dyDescent="0.25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99999999999999" customHeight="1" x14ac:dyDescent="0.25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99999999999999" customHeight="1" x14ac:dyDescent="0.25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99999999999999" customHeight="1" x14ac:dyDescent="0.25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99999999999999" customHeight="1" x14ac:dyDescent="0.25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99999999999999" customHeight="1" x14ac:dyDescent="0.25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99999999999999" customHeight="1" x14ac:dyDescent="0.25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99999999999999" customHeight="1" x14ac:dyDescent="0.25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99999999999999" customHeight="1" x14ac:dyDescent="0.25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99999999999999" customHeight="1" x14ac:dyDescent="0.25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99999999999999" customHeight="1" x14ac:dyDescent="0.25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99999999999999" customHeight="1" x14ac:dyDescent="0.25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99999999999999" customHeight="1" x14ac:dyDescent="0.25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99999999999999" customHeight="1" x14ac:dyDescent="0.25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99999999999999" customHeight="1" x14ac:dyDescent="0.25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99999999999999" customHeight="1" x14ac:dyDescent="0.25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99999999999999" customHeight="1" x14ac:dyDescent="0.25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99999999999999" customHeight="1" x14ac:dyDescent="0.25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99999999999999" customHeight="1" x14ac:dyDescent="0.25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99999999999999" customHeight="1" x14ac:dyDescent="0.25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99999999999999" customHeight="1" x14ac:dyDescent="0.25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99999999999999" customHeight="1" x14ac:dyDescent="0.25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99999999999999" customHeight="1" x14ac:dyDescent="0.25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99999999999999" customHeight="1" x14ac:dyDescent="0.25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99999999999999" customHeight="1" x14ac:dyDescent="0.25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99999999999999" customHeight="1" x14ac:dyDescent="0.25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99999999999999" customHeight="1" x14ac:dyDescent="0.25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99999999999999" customHeight="1" x14ac:dyDescent="0.25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99999999999999" customHeight="1" x14ac:dyDescent="0.25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99999999999999" customHeight="1" x14ac:dyDescent="0.25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99999999999999" customHeight="1" x14ac:dyDescent="0.25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99999999999999" customHeight="1" x14ac:dyDescent="0.25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99999999999999" customHeight="1" x14ac:dyDescent="0.25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99999999999999" customHeight="1" x14ac:dyDescent="0.25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99999999999999" customHeight="1" x14ac:dyDescent="0.25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99999999999999" customHeight="1" x14ac:dyDescent="0.25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99999999999999" customHeight="1" x14ac:dyDescent="0.25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99999999999999" customHeight="1" x14ac:dyDescent="0.25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99999999999999" customHeight="1" x14ac:dyDescent="0.25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99999999999999" customHeight="1" x14ac:dyDescent="0.25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99999999999999" customHeight="1" x14ac:dyDescent="0.25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99999999999999" customHeight="1" x14ac:dyDescent="0.25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99999999999999" customHeight="1" x14ac:dyDescent="0.25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99999999999999" customHeight="1" x14ac:dyDescent="0.25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99999999999999" customHeight="1" x14ac:dyDescent="0.25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99999999999999" customHeight="1" x14ac:dyDescent="0.25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99999999999999" customHeight="1" x14ac:dyDescent="0.25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99999999999999" customHeight="1" x14ac:dyDescent="0.25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99999999999999" customHeight="1" x14ac:dyDescent="0.25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99999999999999" customHeight="1" x14ac:dyDescent="0.25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99999999999999" customHeight="1" x14ac:dyDescent="0.25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99999999999999" customHeight="1" x14ac:dyDescent="0.25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99999999999999" customHeight="1" x14ac:dyDescent="0.25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99999999999999" customHeight="1" x14ac:dyDescent="0.25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99999999999999" customHeight="1" x14ac:dyDescent="0.25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99999999999999" customHeight="1" x14ac:dyDescent="0.25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99999999999999" customHeight="1" x14ac:dyDescent="0.25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99999999999999" customHeight="1" x14ac:dyDescent="0.25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99999999999999" customHeight="1" x14ac:dyDescent="0.25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99999999999999" customHeight="1" x14ac:dyDescent="0.25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99999999999999" customHeight="1" x14ac:dyDescent="0.25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99999999999999" customHeight="1" x14ac:dyDescent="0.25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99999999999999" customHeight="1" x14ac:dyDescent="0.25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99999999999999" customHeight="1" x14ac:dyDescent="0.25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99999999999999" customHeight="1" x14ac:dyDescent="0.25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99999999999999" customHeight="1" x14ac:dyDescent="0.25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99999999999999" customHeight="1" x14ac:dyDescent="0.25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99999999999999" customHeight="1" x14ac:dyDescent="0.25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99999999999999" customHeight="1" x14ac:dyDescent="0.25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99999999999999" customHeight="1" x14ac:dyDescent="0.25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99999999999999" customHeight="1" x14ac:dyDescent="0.25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99999999999999" customHeight="1" x14ac:dyDescent="0.25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99999999999999" customHeight="1" x14ac:dyDescent="0.25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99999999999999" customHeight="1" x14ac:dyDescent="0.25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99999999999999" customHeight="1" x14ac:dyDescent="0.25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99999999999999" customHeight="1" x14ac:dyDescent="0.25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99999999999999" customHeight="1" x14ac:dyDescent="0.25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99999999999999" customHeight="1" x14ac:dyDescent="0.25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99999999999999" customHeight="1" x14ac:dyDescent="0.25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99999999999999" customHeight="1" x14ac:dyDescent="0.25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99999999999999" customHeight="1" x14ac:dyDescent="0.25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99999999999999" customHeight="1" x14ac:dyDescent="0.25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99999999999999" customHeight="1" x14ac:dyDescent="0.25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99999999999999" customHeight="1" x14ac:dyDescent="0.25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99999999999999" customHeight="1" x14ac:dyDescent="0.25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99999999999999" customHeight="1" x14ac:dyDescent="0.25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99999999999999" customHeight="1" x14ac:dyDescent="0.25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99999999999999" customHeight="1" x14ac:dyDescent="0.25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99999999999999" customHeight="1" x14ac:dyDescent="0.25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99999999999999" customHeight="1" x14ac:dyDescent="0.25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99999999999999" customHeight="1" x14ac:dyDescent="0.25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99999999999999" customHeight="1" x14ac:dyDescent="0.25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99999999999999" customHeight="1" x14ac:dyDescent="0.25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99999999999999" customHeight="1" x14ac:dyDescent="0.25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99999999999999" customHeight="1" x14ac:dyDescent="0.25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99999999999999" customHeight="1" x14ac:dyDescent="0.25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99999999999999" customHeight="1" x14ac:dyDescent="0.25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99999999999999" customHeight="1" x14ac:dyDescent="0.25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99999999999999" customHeight="1" x14ac:dyDescent="0.25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99999999999999" customHeight="1" x14ac:dyDescent="0.25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99999999999999" customHeight="1" x14ac:dyDescent="0.25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99999999999999" customHeight="1" x14ac:dyDescent="0.25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99999999999999" customHeight="1" x14ac:dyDescent="0.25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99999999999999" customHeight="1" x14ac:dyDescent="0.25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99999999999999" customHeight="1" x14ac:dyDescent="0.25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99999999999999" customHeight="1" x14ac:dyDescent="0.25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99999999999999" customHeight="1" x14ac:dyDescent="0.25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99999999999999" customHeight="1" x14ac:dyDescent="0.25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99999999999999" customHeight="1" x14ac:dyDescent="0.25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99999999999999" customHeight="1" x14ac:dyDescent="0.25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99999999999999" customHeight="1" x14ac:dyDescent="0.25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99999999999999" customHeight="1" x14ac:dyDescent="0.25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99999999999999" customHeight="1" x14ac:dyDescent="0.25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99999999999999" customHeight="1" x14ac:dyDescent="0.25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99999999999999" customHeight="1" x14ac:dyDescent="0.25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99999999999999" customHeight="1" x14ac:dyDescent="0.25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99999999999999" customHeight="1" x14ac:dyDescent="0.25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99999999999999" customHeight="1" x14ac:dyDescent="0.25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99999999999999" customHeight="1" x14ac:dyDescent="0.25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99999999999999" customHeight="1" x14ac:dyDescent="0.25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99999999999999" customHeight="1" x14ac:dyDescent="0.25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99999999999999" customHeight="1" x14ac:dyDescent="0.25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99999999999999" customHeight="1" x14ac:dyDescent="0.25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99999999999999" customHeight="1" x14ac:dyDescent="0.25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99999999999999" customHeight="1" x14ac:dyDescent="0.25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99999999999999" customHeight="1" x14ac:dyDescent="0.25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99999999999999" customHeight="1" x14ac:dyDescent="0.25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99999999999999" customHeight="1" x14ac:dyDescent="0.25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99999999999999" customHeight="1" x14ac:dyDescent="0.25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99999999999999" customHeight="1" x14ac:dyDescent="0.25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99999999999999" customHeight="1" x14ac:dyDescent="0.25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4:N886" si="244">AVERAGE(L886:M886)</f>
        <v>1125</v>
      </c>
      <c r="O886" s="12"/>
      <c r="P886" s="14">
        <v>1000</v>
      </c>
      <c r="Q886" s="12"/>
      <c r="R886" s="14">
        <f t="shared" ref="R886" si="245">AVERAGE(P886:Q886)</f>
        <v>1000</v>
      </c>
      <c r="S886" s="12"/>
      <c r="T886" s="14">
        <v>800</v>
      </c>
      <c r="U886" s="12"/>
      <c r="V886" s="14">
        <f t="shared" ref="V88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99999999999999" customHeight="1" x14ac:dyDescent="0.25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99999999999999" customHeight="1" x14ac:dyDescent="0.25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99999999999999" customHeight="1" x14ac:dyDescent="0.25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99999999999999" customHeight="1" x14ac:dyDescent="0.25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99999999999999" customHeight="1" x14ac:dyDescent="0.25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99999999999999" customHeight="1" x14ac:dyDescent="0.25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99999999999999" customHeight="1" x14ac:dyDescent="0.25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99999999999999" customHeight="1" x14ac:dyDescent="0.25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99999999999999" customHeight="1" x14ac:dyDescent="0.25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99999999999999" customHeight="1" x14ac:dyDescent="0.25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99999999999999" customHeight="1" x14ac:dyDescent="0.25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99999999999999" customHeight="1" x14ac:dyDescent="0.25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99999999999999" customHeight="1" x14ac:dyDescent="0.25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99999999999999" customHeight="1" x14ac:dyDescent="0.25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99999999999999" customHeight="1" x14ac:dyDescent="0.25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99999999999999" customHeight="1" x14ac:dyDescent="0.25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99999999999999" customHeight="1" x14ac:dyDescent="0.25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99999999999999" customHeight="1" x14ac:dyDescent="0.25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48"/>
      <c r="AK904" s="48"/>
      <c r="AL904" s="48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 spans="1:49" ht="10.199999999999999" customHeight="1" x14ac:dyDescent="0.25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99999999999999" customHeight="1" x14ac:dyDescent="0.25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48"/>
      <c r="AK906" s="48"/>
      <c r="AL906" s="48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99999999999999" customHeight="1" x14ac:dyDescent="0.25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48"/>
      <c r="AK907" s="48"/>
      <c r="AL907" s="48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99999999999999" customHeight="1" x14ac:dyDescent="0.25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48"/>
      <c r="AK908" s="48"/>
      <c r="AL908" s="48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99999999999999" customHeight="1" x14ac:dyDescent="0.25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48"/>
      <c r="AK909" s="48"/>
      <c r="AL909" s="48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99999999999999" customHeight="1" x14ac:dyDescent="0.25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48"/>
      <c r="AK910" s="48"/>
      <c r="AL910" s="48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99999999999999" customHeight="1" x14ac:dyDescent="0.25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48"/>
      <c r="AK911" s="48"/>
      <c r="AL911" s="48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99999999999999" customHeight="1" x14ac:dyDescent="0.25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48"/>
      <c r="AK912" s="48"/>
      <c r="AL912" s="4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ht="10.199999999999999" customHeight="1" x14ac:dyDescent="0.25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48"/>
      <c r="AK913" s="48"/>
      <c r="AL913" s="4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49" ht="10.199999999999999" customHeight="1" x14ac:dyDescent="0.25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ht="10.199999999999999" customHeight="1" x14ac:dyDescent="0.25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49" ht="10.199999999999999" customHeight="1" x14ac:dyDescent="0.25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1:49" ht="10.199999999999999" customHeight="1" x14ac:dyDescent="0.25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1:49" ht="10.199999999999999" customHeight="1" x14ac:dyDescent="0.25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1:49" ht="10.199999999999999" customHeight="1" x14ac:dyDescent="0.25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1:49" ht="10.199999999999999" customHeight="1" x14ac:dyDescent="0.25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49" ht="10.199999999999999" customHeight="1" x14ac:dyDescent="0.25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49" ht="10.199999999999999" customHeight="1" x14ac:dyDescent="0.25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49" ht="10.199999999999999" customHeight="1" x14ac:dyDescent="0.25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49" ht="10.199999999999999" customHeight="1" x14ac:dyDescent="0.25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49" ht="10.199999999999999" customHeight="1" x14ac:dyDescent="0.25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49" ht="10.199999999999999" customHeight="1" x14ac:dyDescent="0.25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ht="10.199999999999999" customHeight="1" x14ac:dyDescent="0.25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49" ht="10.199999999999999" customHeight="1" x14ac:dyDescent="0.25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99999999999999" customHeight="1" x14ac:dyDescent="0.25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99999999999999" customHeight="1" x14ac:dyDescent="0.25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99999999999999" customHeight="1" x14ac:dyDescent="0.25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99999999999999" customHeight="1" x14ac:dyDescent="0.25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99999999999999" customHeight="1" x14ac:dyDescent="0.25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99999999999999" customHeight="1" x14ac:dyDescent="0.25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99999999999999" customHeight="1" x14ac:dyDescent="0.25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99999999999999" customHeight="1" x14ac:dyDescent="0.25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99999999999999" customHeight="1" x14ac:dyDescent="0.25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99999999999999" customHeight="1" x14ac:dyDescent="0.25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99999999999999" customHeight="1" x14ac:dyDescent="0.25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99999999999999" customHeight="1" x14ac:dyDescent="0.25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99999999999999" customHeight="1" x14ac:dyDescent="0.25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99999999999999" customHeight="1" x14ac:dyDescent="0.25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99999999999999" customHeight="1" x14ac:dyDescent="0.25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99999999999999" customHeight="1" x14ac:dyDescent="0.25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99999999999999" customHeight="1" x14ac:dyDescent="0.25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99999999999999" customHeight="1" x14ac:dyDescent="0.25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99999999999999" customHeight="1" x14ac:dyDescent="0.25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99999999999999" customHeight="1" x14ac:dyDescent="0.25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99999999999999" customHeight="1" x14ac:dyDescent="0.25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99999999999999" customHeight="1" x14ac:dyDescent="0.25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99999999999999" customHeight="1" x14ac:dyDescent="0.25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99999999999999" customHeight="1" x14ac:dyDescent="0.25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99999999999999" customHeight="1" x14ac:dyDescent="0.25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99999999999999" customHeight="1" x14ac:dyDescent="0.25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99999999999999" customHeight="1" x14ac:dyDescent="0.25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99999999999999" customHeight="1" x14ac:dyDescent="0.25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99999999999999" customHeight="1" x14ac:dyDescent="0.25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99999999999999" customHeight="1" x14ac:dyDescent="0.25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99999999999999" customHeight="1" x14ac:dyDescent="0.25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99999999999999" customHeight="1" x14ac:dyDescent="0.25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99999999999999" customHeight="1" x14ac:dyDescent="0.25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99999999999999" customHeight="1" x14ac:dyDescent="0.25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99999999999999" customHeight="1" x14ac:dyDescent="0.25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99999999999999" customHeight="1" x14ac:dyDescent="0.25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99999999999999" customHeight="1" x14ac:dyDescent="0.25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99999999999999" customHeight="1" x14ac:dyDescent="0.25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99999999999999" customHeight="1" x14ac:dyDescent="0.25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99999999999999" customHeight="1" x14ac:dyDescent="0.25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99999999999999" customHeight="1" x14ac:dyDescent="0.25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99999999999999" customHeight="1" x14ac:dyDescent="0.25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99999999999999" customHeight="1" x14ac:dyDescent="0.25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99999999999999" customHeight="1" x14ac:dyDescent="0.25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99999999999999" customHeight="1" x14ac:dyDescent="0.25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99999999999999" customHeight="1" x14ac:dyDescent="0.25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99999999999999" customHeight="1" x14ac:dyDescent="0.25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99999999999999" customHeight="1" x14ac:dyDescent="0.25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99999999999999" customHeight="1" x14ac:dyDescent="0.25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99999999999999" customHeight="1" x14ac:dyDescent="0.25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99999999999999" customHeight="1" x14ac:dyDescent="0.25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99999999999999" customHeight="1" x14ac:dyDescent="0.25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99999999999999" customHeight="1" x14ac:dyDescent="0.25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99999999999999" customHeight="1" x14ac:dyDescent="0.25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99999999999999" customHeight="1" x14ac:dyDescent="0.25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99999999999999" customHeight="1" x14ac:dyDescent="0.25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99999999999999" customHeight="1" x14ac:dyDescent="0.25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99999999999999" customHeight="1" x14ac:dyDescent="0.25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99999999999999" customHeight="1" x14ac:dyDescent="0.25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99999999999999" customHeight="1" x14ac:dyDescent="0.25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99999999999999" customHeight="1" x14ac:dyDescent="0.25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99999999999999" customHeight="1" x14ac:dyDescent="0.25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99999999999999" customHeight="1" x14ac:dyDescent="0.25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99999999999999" customHeight="1" x14ac:dyDescent="0.25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99999999999999" customHeight="1" x14ac:dyDescent="0.25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99999999999999" customHeight="1" x14ac:dyDescent="0.25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99999999999999" customHeight="1" x14ac:dyDescent="0.25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99999999999999" customHeight="1" x14ac:dyDescent="0.25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99999999999999" customHeight="1" x14ac:dyDescent="0.25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99999999999999" customHeight="1" x14ac:dyDescent="0.25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99999999999999" customHeight="1" x14ac:dyDescent="0.25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99999999999999" customHeight="1" x14ac:dyDescent="0.25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99999999999999" customHeight="1" x14ac:dyDescent="0.25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99999999999999" customHeight="1" x14ac:dyDescent="0.25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99999999999999" customHeight="1" x14ac:dyDescent="0.25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99999999999999" customHeight="1" x14ac:dyDescent="0.25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99999999999999" customHeight="1" x14ac:dyDescent="0.25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99999999999999" customHeight="1" x14ac:dyDescent="0.25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99999999999999" customHeight="1" x14ac:dyDescent="0.25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99999999999999" customHeight="1" x14ac:dyDescent="0.25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99999999999999" customHeight="1" x14ac:dyDescent="0.25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99999999999999" customHeight="1" x14ac:dyDescent="0.25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99999999999999" customHeight="1" x14ac:dyDescent="0.25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99999999999999" customHeight="1" x14ac:dyDescent="0.25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99999999999999" customHeight="1" x14ac:dyDescent="0.25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99999999999999" customHeight="1" x14ac:dyDescent="0.25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99999999999999" customHeight="1" x14ac:dyDescent="0.25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99999999999999" customHeight="1" x14ac:dyDescent="0.25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99999999999999" customHeight="1" x14ac:dyDescent="0.25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99999999999999" customHeight="1" x14ac:dyDescent="0.25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99999999999999" customHeight="1" x14ac:dyDescent="0.25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99999999999999" customHeight="1" x14ac:dyDescent="0.25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99999999999999" customHeight="1" x14ac:dyDescent="0.25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99999999999999" customHeight="1" x14ac:dyDescent="0.25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99999999999999" customHeight="1" x14ac:dyDescent="0.25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99999999999999" customHeight="1" x14ac:dyDescent="0.25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99999999999999" customHeight="1" x14ac:dyDescent="0.25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99999999999999" customHeight="1" x14ac:dyDescent="0.25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99999999999999" customHeight="1" x14ac:dyDescent="0.25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99999999999999" customHeight="1" x14ac:dyDescent="0.25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99999999999999" customHeight="1" x14ac:dyDescent="0.25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99999999999999" customHeight="1" x14ac:dyDescent="0.25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99999999999999" customHeight="1" x14ac:dyDescent="0.25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99999999999999" customHeight="1" x14ac:dyDescent="0.25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99999999999999" customHeight="1" x14ac:dyDescent="0.25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99999999999999" customHeight="1" x14ac:dyDescent="0.25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99999999999999" customHeight="1" x14ac:dyDescent="0.25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99999999999999" customHeight="1" x14ac:dyDescent="0.25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99999999999999" customHeight="1" x14ac:dyDescent="0.25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99999999999999" customHeight="1" x14ac:dyDescent="0.25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99999999999999" customHeight="1" x14ac:dyDescent="0.25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99999999999999" customHeight="1" x14ac:dyDescent="0.25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99999999999999" customHeight="1" x14ac:dyDescent="0.25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99999999999999" customHeight="1" x14ac:dyDescent="0.25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99999999999999" customHeight="1" x14ac:dyDescent="0.25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99999999999999" customHeight="1" x14ac:dyDescent="0.25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99999999999999" customHeight="1" x14ac:dyDescent="0.25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99999999999999" customHeight="1" x14ac:dyDescent="0.25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99999999999999" customHeight="1" x14ac:dyDescent="0.25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99999999999999" customHeight="1" x14ac:dyDescent="0.25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99999999999999" customHeight="1" x14ac:dyDescent="0.25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99999999999999" customHeight="1" x14ac:dyDescent="0.25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99999999999999" customHeight="1" x14ac:dyDescent="0.25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99999999999999" customHeight="1" x14ac:dyDescent="0.25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99999999999999" customHeight="1" x14ac:dyDescent="0.25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99999999999999" customHeight="1" x14ac:dyDescent="0.25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99999999999999" customHeight="1" x14ac:dyDescent="0.25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99999999999999" customHeight="1" x14ac:dyDescent="0.25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99999999999999" customHeight="1" x14ac:dyDescent="0.25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99999999999999" customHeight="1" x14ac:dyDescent="0.25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99999999999999" customHeight="1" x14ac:dyDescent="0.25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99999999999999" customHeight="1" x14ac:dyDescent="0.25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99999999999999" customHeight="1" x14ac:dyDescent="0.25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99999999999999" customHeight="1" x14ac:dyDescent="0.25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99999999999999" customHeight="1" x14ac:dyDescent="0.25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99999999999999" customHeight="1" x14ac:dyDescent="0.25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99999999999999" customHeight="1" x14ac:dyDescent="0.25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99999999999999" customHeight="1" x14ac:dyDescent="0.25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99999999999999" customHeight="1" x14ac:dyDescent="0.25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99999999999999" customHeight="1" x14ac:dyDescent="0.25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99999999999999" customHeight="1" x14ac:dyDescent="0.25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99999999999999" customHeight="1" x14ac:dyDescent="0.25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99999999999999" customHeight="1" x14ac:dyDescent="0.25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99999999999999" customHeight="1" x14ac:dyDescent="0.25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99999999999999" customHeight="1" x14ac:dyDescent="0.25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99999999999999" customHeight="1" x14ac:dyDescent="0.25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99999999999999" customHeight="1" x14ac:dyDescent="0.25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99999999999999" customHeight="1" x14ac:dyDescent="0.25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99999999999999" customHeight="1" x14ac:dyDescent="0.25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99999999999999" customHeight="1" x14ac:dyDescent="0.25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99999999999999" customHeight="1" x14ac:dyDescent="0.25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99999999999999" customHeight="1" x14ac:dyDescent="0.25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99999999999999" customHeight="1" x14ac:dyDescent="0.25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99999999999999" customHeight="1" x14ac:dyDescent="0.25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99999999999999" customHeight="1" x14ac:dyDescent="0.25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99999999999999" customHeight="1" x14ac:dyDescent="0.25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99999999999999" customHeight="1" x14ac:dyDescent="0.25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5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5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5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5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5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5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5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5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5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5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5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5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5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5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5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5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5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5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5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5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5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5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5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5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5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5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5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5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5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5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5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5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5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5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5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5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5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5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5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5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5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5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5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5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5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5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5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5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5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5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5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5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5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5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5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5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5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5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5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5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5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5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5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5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5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5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5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5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5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5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5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5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5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5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5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5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5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5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5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5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5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5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5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5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5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5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5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5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5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5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5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5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5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5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5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5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5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5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5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5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5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5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5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5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5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5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5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5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5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5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5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5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5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5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5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5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5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5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5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5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5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5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5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5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5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5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5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5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5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5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5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5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5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5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5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5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5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5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5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5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5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5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5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5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5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5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5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5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5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5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5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5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5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5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5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5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5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5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5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5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5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5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5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5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5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5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5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5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5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5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5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5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5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5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5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5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5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5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5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5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5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5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5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5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5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5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5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5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5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5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5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5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5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D863" activePane="bottomRight" state="frozen"/>
      <selection pane="topRight" activeCell="D1" sqref="D1"/>
      <selection pane="bottomLeft" activeCell="A7" sqref="A7"/>
      <selection pane="bottomRight" activeCell="AL885" sqref="AL885:AL886"/>
    </sheetView>
  </sheetViews>
  <sheetFormatPr defaultRowHeight="15" x14ac:dyDescent="0.25"/>
  <cols>
    <col min="1" max="1" width="5.54296875" style="14" customWidth="1"/>
    <col min="2" max="2" width="12.1796875" customWidth="1"/>
    <col min="3" max="3" width="9.1796875" customWidth="1"/>
    <col min="4" max="6" width="6.81640625" customWidth="1"/>
    <col min="7" max="7" width="1.1796875" customWidth="1"/>
    <col min="8" max="10" width="6.81640625" customWidth="1"/>
    <col min="11" max="11" width="1.1796875" customWidth="1"/>
    <col min="12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1796875" customWidth="1"/>
    <col min="24" max="26" width="6.81640625" customWidth="1"/>
    <col min="27" max="27" width="1.1796875" customWidth="1"/>
    <col min="28" max="30" width="6.81640625" customWidth="1"/>
    <col min="31" max="31" width="1.1796875" customWidth="1"/>
    <col min="32" max="34" width="6.81640625" customWidth="1"/>
    <col min="35" max="35" width="1.1796875" customWidth="1"/>
    <col min="36" max="38" width="6.81640625" customWidth="1"/>
    <col min="39" max="39" width="1.1796875" customWidth="1"/>
    <col min="40" max="42" width="6.81640625" customWidth="1"/>
    <col min="43" max="43" width="1.1796875" customWidth="1"/>
    <col min="44" max="45" width="6.81640625" customWidth="1"/>
    <col min="46" max="46" width="6.81640625" style="49" customWidth="1"/>
    <col min="47" max="47" width="1.1796875" customWidth="1"/>
    <col min="48" max="50" width="6.81640625" customWidth="1"/>
  </cols>
  <sheetData>
    <row r="1" spans="1:50" ht="15.6" x14ac:dyDescent="0.3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5">
      <c r="B2" s="16" t="s">
        <v>86</v>
      </c>
      <c r="C2" s="16"/>
    </row>
    <row r="3" spans="1:50" x14ac:dyDescent="0.25">
      <c r="B3" s="16" t="s">
        <v>87</v>
      </c>
      <c r="C3" s="16"/>
    </row>
    <row r="4" spans="1:50" x14ac:dyDescent="0.25">
      <c r="B4" s="12" t="s">
        <v>239</v>
      </c>
      <c r="C4" s="16"/>
    </row>
    <row r="5" spans="1:50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5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5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5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5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5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5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5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5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5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5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5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5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5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5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5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5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5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5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5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5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5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5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5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5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5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5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5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5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5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5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5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5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5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5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5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99999999999999" customHeight="1" x14ac:dyDescent="0.25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99999999999999" customHeight="1" x14ac:dyDescent="0.25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99999999999999" customHeight="1" x14ac:dyDescent="0.25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99999999999999" customHeight="1" x14ac:dyDescent="0.25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99999999999999" customHeight="1" x14ac:dyDescent="0.25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99999999999999" customHeight="1" x14ac:dyDescent="0.25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99999999999999" customHeight="1" x14ac:dyDescent="0.25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99999999999999" customHeight="1" x14ac:dyDescent="0.25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99999999999999" customHeight="1" x14ac:dyDescent="0.25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99999999999999" customHeight="1" x14ac:dyDescent="0.25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99999999999999" customHeight="1" x14ac:dyDescent="0.25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99999999999999" customHeight="1" x14ac:dyDescent="0.25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99999999999999" customHeight="1" x14ac:dyDescent="0.25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99999999999999" customHeight="1" x14ac:dyDescent="0.25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99999999999999" customHeight="1" x14ac:dyDescent="0.25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99999999999999" customHeight="1" x14ac:dyDescent="0.25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99999999999999" customHeight="1" x14ac:dyDescent="0.25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99999999999999" customHeight="1" x14ac:dyDescent="0.25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99999999999999" customHeight="1" x14ac:dyDescent="0.25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99999999999999" customHeight="1" x14ac:dyDescent="0.25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99999999999999" customHeight="1" x14ac:dyDescent="0.25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99999999999999" customHeight="1" x14ac:dyDescent="0.25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99999999999999" customHeight="1" x14ac:dyDescent="0.25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99999999999999" customHeight="1" x14ac:dyDescent="0.25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99999999999999" customHeight="1" x14ac:dyDescent="0.25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99999999999999" customHeight="1" x14ac:dyDescent="0.25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99999999999999" customHeight="1" x14ac:dyDescent="0.25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99999999999999" customHeight="1" x14ac:dyDescent="0.25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99999999999999" customHeight="1" x14ac:dyDescent="0.25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99999999999999" customHeight="1" x14ac:dyDescent="0.25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99999999999999" customHeight="1" x14ac:dyDescent="0.25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99999999999999" customHeight="1" x14ac:dyDescent="0.25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99999999999999" customHeight="1" x14ac:dyDescent="0.25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99999999999999" customHeight="1" x14ac:dyDescent="0.25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99999999999999" customHeight="1" x14ac:dyDescent="0.25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99999999999999" customHeight="1" x14ac:dyDescent="0.25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99999999999999" customHeight="1" x14ac:dyDescent="0.25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99999999999999" customHeight="1" x14ac:dyDescent="0.25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99999999999999" customHeight="1" x14ac:dyDescent="0.25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99999999999999" customHeight="1" x14ac:dyDescent="0.25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99999999999999" customHeight="1" x14ac:dyDescent="0.25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99999999999999" customHeight="1" x14ac:dyDescent="0.25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99999999999999" customHeight="1" x14ac:dyDescent="0.25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99999999999999" customHeight="1" x14ac:dyDescent="0.25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99999999999999" customHeight="1" x14ac:dyDescent="0.25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99999999999999" customHeight="1" x14ac:dyDescent="0.25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99999999999999" customHeight="1" x14ac:dyDescent="0.25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99999999999999" customHeight="1" x14ac:dyDescent="0.25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99999999999999" customHeight="1" x14ac:dyDescent="0.25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99999999999999" customHeight="1" x14ac:dyDescent="0.25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99999999999999" customHeight="1" x14ac:dyDescent="0.25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99999999999999" customHeight="1" x14ac:dyDescent="0.25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99999999999999" customHeight="1" x14ac:dyDescent="0.25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99999999999999" customHeight="1" x14ac:dyDescent="0.25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99999999999999" customHeight="1" x14ac:dyDescent="0.25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99999999999999" customHeight="1" x14ac:dyDescent="0.25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99999999999999" customHeight="1" x14ac:dyDescent="0.25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99999999999999" customHeight="1" x14ac:dyDescent="0.25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99999999999999" customHeight="1" x14ac:dyDescent="0.25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99999999999999" customHeight="1" x14ac:dyDescent="0.25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99999999999999" customHeight="1" x14ac:dyDescent="0.25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99999999999999" customHeight="1" x14ac:dyDescent="0.25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99999999999999" customHeight="1" x14ac:dyDescent="0.25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99999999999999" customHeight="1" x14ac:dyDescent="0.25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99999999999999" customHeight="1" x14ac:dyDescent="0.25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99999999999999" customHeight="1" x14ac:dyDescent="0.25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99999999999999" customHeight="1" x14ac:dyDescent="0.25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99999999999999" customHeight="1" x14ac:dyDescent="0.25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99999999999999" customHeight="1" x14ac:dyDescent="0.25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99999999999999" customHeight="1" x14ac:dyDescent="0.25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99999999999999" customHeight="1" x14ac:dyDescent="0.25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99999999999999" customHeight="1" x14ac:dyDescent="0.25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99999999999999" customHeight="1" x14ac:dyDescent="0.25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99999999999999" customHeight="1" x14ac:dyDescent="0.25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99999999999999" customHeight="1" x14ac:dyDescent="0.25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99999999999999" customHeight="1" x14ac:dyDescent="0.25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99999999999999" customHeight="1" x14ac:dyDescent="0.25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99999999999999" customHeight="1" x14ac:dyDescent="0.25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99999999999999" customHeight="1" x14ac:dyDescent="0.25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99999999999999" customHeight="1" x14ac:dyDescent="0.25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99999999999999" customHeight="1" x14ac:dyDescent="0.25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99999999999999" customHeight="1" x14ac:dyDescent="0.25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99999999999999" customHeight="1" x14ac:dyDescent="0.25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99999999999999" customHeight="1" x14ac:dyDescent="0.25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99999999999999" customHeight="1" x14ac:dyDescent="0.25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99999999999999" customHeight="1" x14ac:dyDescent="0.25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99999999999999" customHeight="1" x14ac:dyDescent="0.25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99999999999999" customHeight="1" x14ac:dyDescent="0.25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99999999999999" customHeight="1" x14ac:dyDescent="0.25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99999999999999" customHeight="1" x14ac:dyDescent="0.25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99999999999999" customHeight="1" x14ac:dyDescent="0.25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99999999999999" customHeight="1" x14ac:dyDescent="0.25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99999999999999" customHeight="1" x14ac:dyDescent="0.25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99999999999999" customHeight="1" x14ac:dyDescent="0.25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99999999999999" customHeight="1" x14ac:dyDescent="0.25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99999999999999" customHeight="1" x14ac:dyDescent="0.25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99999999999999" customHeight="1" x14ac:dyDescent="0.25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99999999999999" customHeight="1" x14ac:dyDescent="0.25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99999999999999" customHeight="1" x14ac:dyDescent="0.25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99999999999999" customHeight="1" x14ac:dyDescent="0.25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99999999999999" customHeight="1" x14ac:dyDescent="0.25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99999999999999" customHeight="1" x14ac:dyDescent="0.25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99999999999999" customHeight="1" x14ac:dyDescent="0.25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99999999999999" customHeight="1" x14ac:dyDescent="0.25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99999999999999" customHeight="1" x14ac:dyDescent="0.25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99999999999999" customHeight="1" x14ac:dyDescent="0.25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99999999999999" customHeight="1" x14ac:dyDescent="0.25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99999999999999" customHeight="1" x14ac:dyDescent="0.25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99999999999999" customHeight="1" x14ac:dyDescent="0.25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99999999999999" customHeight="1" x14ac:dyDescent="0.25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99999999999999" customHeight="1" x14ac:dyDescent="0.25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99999999999999" customHeight="1" x14ac:dyDescent="0.25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99999999999999" customHeight="1" x14ac:dyDescent="0.25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99999999999999" customHeight="1" x14ac:dyDescent="0.25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99999999999999" customHeight="1" x14ac:dyDescent="0.25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99999999999999" customHeight="1" x14ac:dyDescent="0.25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99999999999999" customHeight="1" x14ac:dyDescent="0.25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99999999999999" customHeight="1" x14ac:dyDescent="0.25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99999999999999" customHeight="1" x14ac:dyDescent="0.25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99999999999999" customHeight="1" x14ac:dyDescent="0.25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99999999999999" customHeight="1" x14ac:dyDescent="0.25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99999999999999" customHeight="1" x14ac:dyDescent="0.25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99999999999999" customHeight="1" x14ac:dyDescent="0.25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99999999999999" customHeight="1" x14ac:dyDescent="0.25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99999999999999" customHeight="1" x14ac:dyDescent="0.25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99999999999999" customHeight="1" x14ac:dyDescent="0.25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99999999999999" customHeight="1" x14ac:dyDescent="0.25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99999999999999" customHeight="1" x14ac:dyDescent="0.25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99999999999999" customHeight="1" x14ac:dyDescent="0.25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99999999999999" customHeight="1" x14ac:dyDescent="0.25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99999999999999" customHeight="1" x14ac:dyDescent="0.25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99999999999999" customHeight="1" x14ac:dyDescent="0.25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99999999999999" customHeight="1" x14ac:dyDescent="0.25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99999999999999" customHeight="1" x14ac:dyDescent="0.25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99999999999999" customHeight="1" x14ac:dyDescent="0.25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99999999999999" customHeight="1" x14ac:dyDescent="0.25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99999999999999" customHeight="1" x14ac:dyDescent="0.25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99999999999999" customHeight="1" x14ac:dyDescent="0.25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99999999999999" customHeight="1" x14ac:dyDescent="0.25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99999999999999" customHeight="1" x14ac:dyDescent="0.25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99999999999999" customHeight="1" x14ac:dyDescent="0.25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99999999999999" customHeight="1" x14ac:dyDescent="0.25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99999999999999" customHeight="1" x14ac:dyDescent="0.25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99999999999999" customHeight="1" x14ac:dyDescent="0.25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99999999999999" customHeight="1" x14ac:dyDescent="0.25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99999999999999" customHeight="1" x14ac:dyDescent="0.25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99999999999999" customHeight="1" x14ac:dyDescent="0.25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99999999999999" customHeight="1" x14ac:dyDescent="0.25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99999999999999" customHeight="1" x14ac:dyDescent="0.25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99999999999999" customHeight="1" x14ac:dyDescent="0.25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99999999999999" customHeight="1" x14ac:dyDescent="0.25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99999999999999" customHeight="1" x14ac:dyDescent="0.25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99999999999999" customHeight="1" x14ac:dyDescent="0.25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99999999999999" customHeight="1" x14ac:dyDescent="0.25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99999999999999" customHeight="1" x14ac:dyDescent="0.25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99999999999999" customHeight="1" x14ac:dyDescent="0.25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99999999999999" customHeight="1" x14ac:dyDescent="0.25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99999999999999" customHeight="1" x14ac:dyDescent="0.25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99999999999999" customHeight="1" x14ac:dyDescent="0.25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99999999999999" customHeight="1" x14ac:dyDescent="0.25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99999999999999" customHeight="1" x14ac:dyDescent="0.25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99999999999999" customHeight="1" x14ac:dyDescent="0.25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99999999999999" customHeight="1" x14ac:dyDescent="0.25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99999999999999" customHeight="1" x14ac:dyDescent="0.25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99999999999999" customHeight="1" x14ac:dyDescent="0.25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99999999999999" customHeight="1" x14ac:dyDescent="0.25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99999999999999" customHeight="1" x14ac:dyDescent="0.25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99999999999999" customHeight="1" x14ac:dyDescent="0.25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99999999999999" customHeight="1" x14ac:dyDescent="0.25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99999999999999" customHeight="1" x14ac:dyDescent="0.25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99999999999999" customHeight="1" x14ac:dyDescent="0.25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99999999999999" customHeight="1" x14ac:dyDescent="0.25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99999999999999" customHeight="1" x14ac:dyDescent="0.25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99999999999999" customHeight="1" x14ac:dyDescent="0.25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99999999999999" customHeight="1" x14ac:dyDescent="0.25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99999999999999" customHeight="1" x14ac:dyDescent="0.25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99999999999999" customHeight="1" x14ac:dyDescent="0.25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99999999999999" customHeight="1" x14ac:dyDescent="0.25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99999999999999" customHeight="1" x14ac:dyDescent="0.25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99999999999999" customHeight="1" x14ac:dyDescent="0.25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99999999999999" customHeight="1" x14ac:dyDescent="0.25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99999999999999" customHeight="1" x14ac:dyDescent="0.25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99999999999999" customHeight="1" x14ac:dyDescent="0.25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99999999999999" customHeight="1" x14ac:dyDescent="0.25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99999999999999" customHeight="1" x14ac:dyDescent="0.25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99999999999999" customHeight="1" x14ac:dyDescent="0.25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99999999999999" customHeight="1" x14ac:dyDescent="0.25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99999999999999" customHeight="1" x14ac:dyDescent="0.25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99999999999999" customHeight="1" x14ac:dyDescent="0.25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99999999999999" customHeight="1" x14ac:dyDescent="0.25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99999999999999" customHeight="1" x14ac:dyDescent="0.25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99999999999999" customHeight="1" x14ac:dyDescent="0.25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99999999999999" customHeight="1" x14ac:dyDescent="0.25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99999999999999" customHeight="1" x14ac:dyDescent="0.25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99999999999999" customHeight="1" x14ac:dyDescent="0.25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99999999999999" customHeight="1" x14ac:dyDescent="0.25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99999999999999" customHeight="1" x14ac:dyDescent="0.25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99999999999999" customHeight="1" x14ac:dyDescent="0.25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99999999999999" customHeight="1" x14ac:dyDescent="0.25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99999999999999" customHeight="1" x14ac:dyDescent="0.25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99999999999999" customHeight="1" x14ac:dyDescent="0.25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99999999999999" customHeight="1" x14ac:dyDescent="0.25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99999999999999" customHeight="1" x14ac:dyDescent="0.25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99999999999999" customHeight="1" x14ac:dyDescent="0.25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99999999999999" customHeight="1" x14ac:dyDescent="0.25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99999999999999" customHeight="1" x14ac:dyDescent="0.25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99999999999999" customHeight="1" x14ac:dyDescent="0.25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99999999999999" customHeight="1" x14ac:dyDescent="0.25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99999999999999" customHeight="1" x14ac:dyDescent="0.25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99999999999999" customHeight="1" x14ac:dyDescent="0.25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99999999999999" customHeight="1" x14ac:dyDescent="0.25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99999999999999" customHeight="1" x14ac:dyDescent="0.25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99999999999999" customHeight="1" x14ac:dyDescent="0.25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99999999999999" customHeight="1" x14ac:dyDescent="0.25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99999999999999" customHeight="1" x14ac:dyDescent="0.25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99999999999999" customHeight="1" x14ac:dyDescent="0.25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99999999999999" customHeight="1" x14ac:dyDescent="0.25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99999999999999" customHeight="1" x14ac:dyDescent="0.25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99999999999999" customHeight="1" x14ac:dyDescent="0.25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99999999999999" customHeight="1" x14ac:dyDescent="0.25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99999999999999" customHeight="1" x14ac:dyDescent="0.25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99999999999999" customHeight="1" x14ac:dyDescent="0.25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99999999999999" customHeight="1" x14ac:dyDescent="0.25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99999999999999" customHeight="1" x14ac:dyDescent="0.25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99999999999999" customHeight="1" x14ac:dyDescent="0.25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99999999999999" customHeight="1" x14ac:dyDescent="0.25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99999999999999" customHeight="1" x14ac:dyDescent="0.25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99999999999999" customHeight="1" x14ac:dyDescent="0.25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99999999999999" customHeight="1" x14ac:dyDescent="0.25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99999999999999" customHeight="1" x14ac:dyDescent="0.25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99999999999999" customHeight="1" x14ac:dyDescent="0.25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99999999999999" customHeight="1" x14ac:dyDescent="0.25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99999999999999" customHeight="1" x14ac:dyDescent="0.25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99999999999999" customHeight="1" x14ac:dyDescent="0.25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99999999999999" customHeight="1" x14ac:dyDescent="0.25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99999999999999" customHeight="1" x14ac:dyDescent="0.25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99999999999999" customHeight="1" x14ac:dyDescent="0.25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99999999999999" customHeight="1" x14ac:dyDescent="0.25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99999999999999" customHeight="1" x14ac:dyDescent="0.25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99999999999999" customHeight="1" x14ac:dyDescent="0.25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99999999999999" customHeight="1" x14ac:dyDescent="0.25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99999999999999" customHeight="1" x14ac:dyDescent="0.25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99999999999999" customHeight="1" x14ac:dyDescent="0.25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99999999999999" customHeight="1" x14ac:dyDescent="0.25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99999999999999" customHeight="1" x14ac:dyDescent="0.25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99999999999999" customHeight="1" x14ac:dyDescent="0.25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99999999999999" customHeight="1" x14ac:dyDescent="0.25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99999999999999" customHeight="1" x14ac:dyDescent="0.25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99999999999999" customHeight="1" x14ac:dyDescent="0.25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99999999999999" customHeight="1" x14ac:dyDescent="0.25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99999999999999" customHeight="1" x14ac:dyDescent="0.25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99999999999999" customHeight="1" x14ac:dyDescent="0.25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99999999999999" customHeight="1" x14ac:dyDescent="0.25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99999999999999" customHeight="1" x14ac:dyDescent="0.25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99999999999999" customHeight="1" x14ac:dyDescent="0.25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99999999999999" customHeight="1" x14ac:dyDescent="0.25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99999999999999" customHeight="1" x14ac:dyDescent="0.25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99999999999999" customHeight="1" x14ac:dyDescent="0.25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99999999999999" customHeight="1" x14ac:dyDescent="0.25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99999999999999" customHeight="1" x14ac:dyDescent="0.25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99999999999999" customHeight="1" x14ac:dyDescent="0.25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99999999999999" customHeight="1" x14ac:dyDescent="0.25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99999999999999" customHeight="1" x14ac:dyDescent="0.25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99999999999999" customHeight="1" x14ac:dyDescent="0.25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99999999999999" customHeight="1" x14ac:dyDescent="0.25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99999999999999" customHeight="1" x14ac:dyDescent="0.25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99999999999999" customHeight="1" x14ac:dyDescent="0.25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99999999999999" customHeight="1" x14ac:dyDescent="0.25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99999999999999" customHeight="1" x14ac:dyDescent="0.25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99999999999999" customHeight="1" x14ac:dyDescent="0.25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99999999999999" customHeight="1" x14ac:dyDescent="0.25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99999999999999" customHeight="1" x14ac:dyDescent="0.25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99999999999999" customHeight="1" x14ac:dyDescent="0.25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99999999999999" customHeight="1" x14ac:dyDescent="0.25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99999999999999" customHeight="1" x14ac:dyDescent="0.25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99999999999999" customHeight="1" x14ac:dyDescent="0.25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99999999999999" customHeight="1" x14ac:dyDescent="0.25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99999999999999" customHeight="1" x14ac:dyDescent="0.25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99999999999999" customHeight="1" x14ac:dyDescent="0.25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99999999999999" customHeight="1" x14ac:dyDescent="0.25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99999999999999" customHeight="1" x14ac:dyDescent="0.25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99999999999999" customHeight="1" x14ac:dyDescent="0.25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99999999999999" customHeight="1" x14ac:dyDescent="0.25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99999999999999" customHeight="1" x14ac:dyDescent="0.25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99999999999999" customHeight="1" x14ac:dyDescent="0.25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99999999999999" customHeight="1" x14ac:dyDescent="0.25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99999999999999" customHeight="1" x14ac:dyDescent="0.25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99999999999999" customHeight="1" x14ac:dyDescent="0.25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99999999999999" customHeight="1" x14ac:dyDescent="0.25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99999999999999" customHeight="1" x14ac:dyDescent="0.25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99999999999999" customHeight="1" x14ac:dyDescent="0.25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99999999999999" customHeight="1" x14ac:dyDescent="0.25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99999999999999" customHeight="1" x14ac:dyDescent="0.25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99999999999999" customHeight="1" x14ac:dyDescent="0.25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99999999999999" customHeight="1" x14ac:dyDescent="0.25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99999999999999" customHeight="1" x14ac:dyDescent="0.25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99999999999999" customHeight="1" x14ac:dyDescent="0.25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99999999999999" customHeight="1" x14ac:dyDescent="0.25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99999999999999" customHeight="1" x14ac:dyDescent="0.25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99999999999999" customHeight="1" x14ac:dyDescent="0.25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99999999999999" customHeight="1" x14ac:dyDescent="0.25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99999999999999" customHeight="1" x14ac:dyDescent="0.25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99999999999999" customHeight="1" x14ac:dyDescent="0.25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99999999999999" customHeight="1" x14ac:dyDescent="0.25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99999999999999" customHeight="1" x14ac:dyDescent="0.25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99999999999999" customHeight="1" x14ac:dyDescent="0.25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99999999999999" customHeight="1" x14ac:dyDescent="0.25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99999999999999" customHeight="1" x14ac:dyDescent="0.25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99999999999999" customHeight="1" x14ac:dyDescent="0.25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99999999999999" customHeight="1" x14ac:dyDescent="0.25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99999999999999" customHeight="1" x14ac:dyDescent="0.25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99999999999999" customHeight="1" x14ac:dyDescent="0.25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99999999999999" customHeight="1" x14ac:dyDescent="0.25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99999999999999" customHeight="1" x14ac:dyDescent="0.25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99999999999999" customHeight="1" x14ac:dyDescent="0.25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99999999999999" customHeight="1" x14ac:dyDescent="0.25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99999999999999" customHeight="1" x14ac:dyDescent="0.25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99999999999999" customHeight="1" x14ac:dyDescent="0.25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99999999999999" customHeight="1" x14ac:dyDescent="0.25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99999999999999" customHeight="1" x14ac:dyDescent="0.25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99999999999999" customHeight="1" x14ac:dyDescent="0.25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99999999999999" customHeight="1" x14ac:dyDescent="0.25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99999999999999" customHeight="1" x14ac:dyDescent="0.25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99999999999999" customHeight="1" x14ac:dyDescent="0.25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99999999999999" customHeight="1" x14ac:dyDescent="0.25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99999999999999" customHeight="1" x14ac:dyDescent="0.25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99999999999999" customHeight="1" x14ac:dyDescent="0.25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99999999999999" customHeight="1" x14ac:dyDescent="0.25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99999999999999" customHeight="1" x14ac:dyDescent="0.25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99999999999999" customHeight="1" x14ac:dyDescent="0.25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99999999999999" customHeight="1" x14ac:dyDescent="0.25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99999999999999" customHeight="1" x14ac:dyDescent="0.25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99999999999999" customHeight="1" x14ac:dyDescent="0.25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99999999999999" customHeight="1" x14ac:dyDescent="0.25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99999999999999" customHeight="1" x14ac:dyDescent="0.25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99999999999999" customHeight="1" x14ac:dyDescent="0.25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99999999999999" customHeight="1" x14ac:dyDescent="0.25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99999999999999" customHeight="1" x14ac:dyDescent="0.25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99999999999999" customHeight="1" x14ac:dyDescent="0.25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99999999999999" customHeight="1" x14ac:dyDescent="0.25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99999999999999" customHeight="1" x14ac:dyDescent="0.25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99999999999999" customHeight="1" x14ac:dyDescent="0.25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99999999999999" customHeight="1" x14ac:dyDescent="0.25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99999999999999" customHeight="1" x14ac:dyDescent="0.25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99999999999999" customHeight="1" x14ac:dyDescent="0.25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99999999999999" customHeight="1" x14ac:dyDescent="0.25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99999999999999" customHeight="1" x14ac:dyDescent="0.25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99999999999999" customHeight="1" x14ac:dyDescent="0.25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99999999999999" customHeight="1" x14ac:dyDescent="0.25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99999999999999" customHeight="1" x14ac:dyDescent="0.25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99999999999999" customHeight="1" x14ac:dyDescent="0.25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99999999999999" customHeight="1" x14ac:dyDescent="0.25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99999999999999" customHeight="1" x14ac:dyDescent="0.25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99999999999999" customHeight="1" x14ac:dyDescent="0.25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99999999999999" customHeight="1" x14ac:dyDescent="0.25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99999999999999" customHeight="1" x14ac:dyDescent="0.25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99999999999999" customHeight="1" x14ac:dyDescent="0.25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99999999999999" customHeight="1" x14ac:dyDescent="0.25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99999999999999" customHeight="1" x14ac:dyDescent="0.25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99999999999999" customHeight="1" x14ac:dyDescent="0.25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99999999999999" customHeight="1" x14ac:dyDescent="0.25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99999999999999" customHeight="1" x14ac:dyDescent="0.25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99999999999999" customHeight="1" x14ac:dyDescent="0.25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99999999999999" customHeight="1" x14ac:dyDescent="0.25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99999999999999" customHeight="1" x14ac:dyDescent="0.25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99999999999999" customHeight="1" x14ac:dyDescent="0.25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99999999999999" customHeight="1" x14ac:dyDescent="0.25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99999999999999" customHeight="1" x14ac:dyDescent="0.25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99999999999999" customHeight="1" x14ac:dyDescent="0.25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99999999999999" customHeight="1" x14ac:dyDescent="0.25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99999999999999" customHeight="1" x14ac:dyDescent="0.25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99999999999999" customHeight="1" x14ac:dyDescent="0.25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99999999999999" customHeight="1" x14ac:dyDescent="0.25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99999999999999" customHeight="1" x14ac:dyDescent="0.25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99999999999999" customHeight="1" x14ac:dyDescent="0.25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99999999999999" customHeight="1" x14ac:dyDescent="0.25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99999999999999" customHeight="1" x14ac:dyDescent="0.25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99999999999999" customHeight="1" x14ac:dyDescent="0.25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99999999999999" customHeight="1" x14ac:dyDescent="0.25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99999999999999" customHeight="1" x14ac:dyDescent="0.25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99999999999999" customHeight="1" x14ac:dyDescent="0.25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99999999999999" customHeight="1" x14ac:dyDescent="0.25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99999999999999" customHeight="1" x14ac:dyDescent="0.25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99999999999999" customHeight="1" x14ac:dyDescent="0.25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99999999999999" customHeight="1" x14ac:dyDescent="0.25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99999999999999" customHeight="1" x14ac:dyDescent="0.25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99999999999999" customHeight="1" x14ac:dyDescent="0.25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99999999999999" customHeight="1" x14ac:dyDescent="0.25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99999999999999" customHeight="1" x14ac:dyDescent="0.25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99999999999999" customHeight="1" x14ac:dyDescent="0.25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99999999999999" customHeight="1" x14ac:dyDescent="0.25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99999999999999" customHeight="1" x14ac:dyDescent="0.25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99999999999999" customHeight="1" x14ac:dyDescent="0.25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99999999999999" customHeight="1" x14ac:dyDescent="0.25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99999999999999" customHeight="1" x14ac:dyDescent="0.25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99999999999999" customHeight="1" x14ac:dyDescent="0.25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99999999999999" customHeight="1" x14ac:dyDescent="0.25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99999999999999" customHeight="1" x14ac:dyDescent="0.25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99999999999999" customHeight="1" x14ac:dyDescent="0.25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99999999999999" customHeight="1" x14ac:dyDescent="0.25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99999999999999" customHeight="1" x14ac:dyDescent="0.25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99999999999999" customHeight="1" x14ac:dyDescent="0.25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99999999999999" customHeight="1" x14ac:dyDescent="0.25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99999999999999" customHeight="1" x14ac:dyDescent="0.25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99999999999999" customHeight="1" x14ac:dyDescent="0.25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99999999999999" customHeight="1" x14ac:dyDescent="0.25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99999999999999" customHeight="1" x14ac:dyDescent="0.25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99999999999999" customHeight="1" x14ac:dyDescent="0.25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99999999999999" customHeight="1" x14ac:dyDescent="0.25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99999999999999" customHeight="1" x14ac:dyDescent="0.25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99999999999999" customHeight="1" x14ac:dyDescent="0.25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99999999999999" customHeight="1" x14ac:dyDescent="0.25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99999999999999" customHeight="1" x14ac:dyDescent="0.25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99999999999999" customHeight="1" x14ac:dyDescent="0.25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99999999999999" customHeight="1" x14ac:dyDescent="0.25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99999999999999" customHeight="1" x14ac:dyDescent="0.25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99999999999999" customHeight="1" x14ac:dyDescent="0.25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99999999999999" customHeight="1" x14ac:dyDescent="0.25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99999999999999" customHeight="1" x14ac:dyDescent="0.25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99999999999999" customHeight="1" x14ac:dyDescent="0.25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99999999999999" customHeight="1" x14ac:dyDescent="0.25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99999999999999" customHeight="1" x14ac:dyDescent="0.25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99999999999999" customHeight="1" x14ac:dyDescent="0.25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99999999999999" customHeight="1" x14ac:dyDescent="0.25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99999999999999" customHeight="1" x14ac:dyDescent="0.25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99999999999999" customHeight="1" x14ac:dyDescent="0.25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99999999999999" customHeight="1" x14ac:dyDescent="0.25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99999999999999" customHeight="1" x14ac:dyDescent="0.25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99999999999999" customHeight="1" x14ac:dyDescent="0.25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99999999999999" customHeight="1" x14ac:dyDescent="0.25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99999999999999" customHeight="1" x14ac:dyDescent="0.25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99999999999999" customHeight="1" x14ac:dyDescent="0.25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99999999999999" customHeight="1" x14ac:dyDescent="0.25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99999999999999" customHeight="1" x14ac:dyDescent="0.25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99999999999999" customHeight="1" x14ac:dyDescent="0.25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99999999999999" customHeight="1" x14ac:dyDescent="0.25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99999999999999" customHeight="1" x14ac:dyDescent="0.25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99999999999999" customHeight="1" x14ac:dyDescent="0.25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99999999999999" customHeight="1" x14ac:dyDescent="0.25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99999999999999" customHeight="1" x14ac:dyDescent="0.25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99999999999999" customHeight="1" x14ac:dyDescent="0.25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99999999999999" customHeight="1" x14ac:dyDescent="0.25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99999999999999" customHeight="1" x14ac:dyDescent="0.25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99999999999999" customHeight="1" x14ac:dyDescent="0.25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99999999999999" customHeight="1" x14ac:dyDescent="0.25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99999999999999" customHeight="1" x14ac:dyDescent="0.25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99999999999999" customHeight="1" x14ac:dyDescent="0.25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99999999999999" customHeight="1" x14ac:dyDescent="0.25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99999999999999" customHeight="1" x14ac:dyDescent="0.25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99999999999999" customHeight="1" x14ac:dyDescent="0.25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99999999999999" customHeight="1" x14ac:dyDescent="0.25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99999999999999" customHeight="1" x14ac:dyDescent="0.25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99999999999999" customHeight="1" x14ac:dyDescent="0.25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99999999999999" customHeight="1" x14ac:dyDescent="0.25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99999999999999" customHeight="1" x14ac:dyDescent="0.25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99999999999999" customHeight="1" x14ac:dyDescent="0.25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99999999999999" customHeight="1" x14ac:dyDescent="0.25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99999999999999" customHeight="1" x14ac:dyDescent="0.25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99999999999999" customHeight="1" x14ac:dyDescent="0.25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99999999999999" customHeight="1" x14ac:dyDescent="0.25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99999999999999" customHeight="1" x14ac:dyDescent="0.25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99999999999999" customHeight="1" x14ac:dyDescent="0.25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99999999999999" customHeight="1" x14ac:dyDescent="0.25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99999999999999" customHeight="1" x14ac:dyDescent="0.25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99999999999999" customHeight="1" x14ac:dyDescent="0.25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99999999999999" customHeight="1" x14ac:dyDescent="0.25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99999999999999" customHeight="1" x14ac:dyDescent="0.25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99999999999999" customHeight="1" x14ac:dyDescent="0.25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99999999999999" customHeight="1" x14ac:dyDescent="0.25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99999999999999" customHeight="1" x14ac:dyDescent="0.25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99999999999999" customHeight="1" x14ac:dyDescent="0.25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99999999999999" customHeight="1" x14ac:dyDescent="0.25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99999999999999" customHeight="1" x14ac:dyDescent="0.25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99999999999999" customHeight="1" x14ac:dyDescent="0.25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99999999999999" customHeight="1" x14ac:dyDescent="0.25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99999999999999" customHeight="1" x14ac:dyDescent="0.25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99999999999999" customHeight="1" x14ac:dyDescent="0.25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99999999999999" customHeight="1" x14ac:dyDescent="0.25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99999999999999" customHeight="1" x14ac:dyDescent="0.25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99999999999999" customHeight="1" x14ac:dyDescent="0.25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99999999999999" customHeight="1" x14ac:dyDescent="0.25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99999999999999" customHeight="1" x14ac:dyDescent="0.25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99999999999999" customHeight="1" x14ac:dyDescent="0.25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99999999999999" customHeight="1" x14ac:dyDescent="0.25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99999999999999" customHeight="1" x14ac:dyDescent="0.25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99999999999999" customHeight="1" x14ac:dyDescent="0.25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99999999999999" customHeight="1" x14ac:dyDescent="0.25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99999999999999" customHeight="1" x14ac:dyDescent="0.25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99999999999999" customHeight="1" x14ac:dyDescent="0.25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99999999999999" customHeight="1" x14ac:dyDescent="0.25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99999999999999" customHeight="1" x14ac:dyDescent="0.25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99999999999999" customHeight="1" x14ac:dyDescent="0.25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99999999999999" customHeight="1" x14ac:dyDescent="0.25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99999999999999" customHeight="1" x14ac:dyDescent="0.25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99999999999999" customHeight="1" x14ac:dyDescent="0.25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99999999999999" customHeight="1" x14ac:dyDescent="0.25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99999999999999" customHeight="1" x14ac:dyDescent="0.25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99999999999999" customHeight="1" x14ac:dyDescent="0.25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99999999999999" customHeight="1" x14ac:dyDescent="0.25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99999999999999" customHeight="1" x14ac:dyDescent="0.25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99999999999999" customHeight="1" x14ac:dyDescent="0.25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99999999999999" customHeight="1" x14ac:dyDescent="0.25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99999999999999" customHeight="1" x14ac:dyDescent="0.25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99999999999999" customHeight="1" x14ac:dyDescent="0.25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99999999999999" customHeight="1" x14ac:dyDescent="0.25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99999999999999" customHeight="1" x14ac:dyDescent="0.25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99999999999999" customHeight="1" x14ac:dyDescent="0.25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99999999999999" customHeight="1" x14ac:dyDescent="0.25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99999999999999" customHeight="1" x14ac:dyDescent="0.25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99999999999999" customHeight="1" x14ac:dyDescent="0.25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99999999999999" customHeight="1" x14ac:dyDescent="0.25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99999999999999" customHeight="1" x14ac:dyDescent="0.25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99999999999999" customHeight="1" x14ac:dyDescent="0.25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99999999999999" customHeight="1" x14ac:dyDescent="0.25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99999999999999" customHeight="1" x14ac:dyDescent="0.25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99999999999999" customHeight="1" x14ac:dyDescent="0.25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99999999999999" customHeight="1" x14ac:dyDescent="0.25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99999999999999" customHeight="1" x14ac:dyDescent="0.25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99999999999999" customHeight="1" x14ac:dyDescent="0.25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99999999999999" customHeight="1" x14ac:dyDescent="0.25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99999999999999" customHeight="1" x14ac:dyDescent="0.25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99999999999999" customHeight="1" x14ac:dyDescent="0.25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99999999999999" customHeight="1" x14ac:dyDescent="0.25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99999999999999" customHeight="1" x14ac:dyDescent="0.25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99999999999999" customHeight="1" x14ac:dyDescent="0.25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99999999999999" customHeight="1" x14ac:dyDescent="0.25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99999999999999" customHeight="1" x14ac:dyDescent="0.25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99999999999999" customHeight="1" x14ac:dyDescent="0.25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99999999999999" customHeight="1" x14ac:dyDescent="0.25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99999999999999" customHeight="1" x14ac:dyDescent="0.25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99999999999999" customHeight="1" x14ac:dyDescent="0.25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99999999999999" customHeight="1" x14ac:dyDescent="0.25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99999999999999" customHeight="1" x14ac:dyDescent="0.25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99999999999999" customHeight="1" x14ac:dyDescent="0.25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99999999999999" customHeight="1" x14ac:dyDescent="0.25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99999999999999" customHeight="1" x14ac:dyDescent="0.25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99999999999999" customHeight="1" x14ac:dyDescent="0.25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99999999999999" customHeight="1" x14ac:dyDescent="0.25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99999999999999" customHeight="1" x14ac:dyDescent="0.25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99999999999999" customHeight="1" x14ac:dyDescent="0.25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99999999999999" customHeight="1" x14ac:dyDescent="0.25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99999999999999" customHeight="1" x14ac:dyDescent="0.25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99999999999999" customHeight="1" x14ac:dyDescent="0.25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99999999999999" customHeight="1" x14ac:dyDescent="0.25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99999999999999" customHeight="1" x14ac:dyDescent="0.25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99999999999999" customHeight="1" x14ac:dyDescent="0.25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99999999999999" customHeight="1" x14ac:dyDescent="0.25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99999999999999" customHeight="1" x14ac:dyDescent="0.25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99999999999999" customHeight="1" x14ac:dyDescent="0.25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99999999999999" customHeight="1" x14ac:dyDescent="0.25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99999999999999" customHeight="1" x14ac:dyDescent="0.25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99999999999999" customHeight="1" x14ac:dyDescent="0.25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99999999999999" customHeight="1" x14ac:dyDescent="0.25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99999999999999" customHeight="1" x14ac:dyDescent="0.25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99999999999999" customHeight="1" x14ac:dyDescent="0.25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99999999999999" customHeight="1" x14ac:dyDescent="0.25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99999999999999" customHeight="1" x14ac:dyDescent="0.25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99999999999999" customHeight="1" x14ac:dyDescent="0.25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99999999999999" customHeight="1" x14ac:dyDescent="0.25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99999999999999" customHeight="1" x14ac:dyDescent="0.25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99999999999999" customHeight="1" x14ac:dyDescent="0.25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99999999999999" customHeight="1" x14ac:dyDescent="0.25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99999999999999" customHeight="1" x14ac:dyDescent="0.25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99999999999999" customHeight="1" x14ac:dyDescent="0.25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99999999999999" customHeight="1" x14ac:dyDescent="0.25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99999999999999" customHeight="1" x14ac:dyDescent="0.25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99999999999999" customHeight="1" x14ac:dyDescent="0.25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99999999999999" customHeight="1" x14ac:dyDescent="0.25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99999999999999" customHeight="1" x14ac:dyDescent="0.25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99999999999999" customHeight="1" x14ac:dyDescent="0.25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99999999999999" customHeight="1" x14ac:dyDescent="0.25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99999999999999" customHeight="1" x14ac:dyDescent="0.25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99999999999999" customHeight="1" x14ac:dyDescent="0.25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99999999999999" customHeight="1" x14ac:dyDescent="0.25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99999999999999" customHeight="1" x14ac:dyDescent="0.25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99999999999999" customHeight="1" x14ac:dyDescent="0.25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99999999999999" customHeight="1" x14ac:dyDescent="0.25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99999999999999" customHeight="1" x14ac:dyDescent="0.25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99999999999999" customHeight="1" x14ac:dyDescent="0.25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99999999999999" customHeight="1" x14ac:dyDescent="0.25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99999999999999" customHeight="1" x14ac:dyDescent="0.25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99999999999999" customHeight="1" x14ac:dyDescent="0.25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99999999999999" customHeight="1" x14ac:dyDescent="0.25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99999999999999" customHeight="1" x14ac:dyDescent="0.25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99999999999999" customHeight="1" x14ac:dyDescent="0.25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99999999999999" customHeight="1" x14ac:dyDescent="0.25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99999999999999" customHeight="1" x14ac:dyDescent="0.25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99999999999999" customHeight="1" x14ac:dyDescent="0.25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99999999999999" customHeight="1" x14ac:dyDescent="0.25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99999999999999" customHeight="1" x14ac:dyDescent="0.25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99999999999999" customHeight="1" x14ac:dyDescent="0.25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99999999999999" customHeight="1" x14ac:dyDescent="0.25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99999999999999" customHeight="1" x14ac:dyDescent="0.25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99999999999999" customHeight="1" x14ac:dyDescent="0.25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99999999999999" customHeight="1" x14ac:dyDescent="0.25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99999999999999" customHeight="1" x14ac:dyDescent="0.25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99999999999999" customHeight="1" x14ac:dyDescent="0.25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99999999999999" customHeight="1" x14ac:dyDescent="0.25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99999999999999" customHeight="1" x14ac:dyDescent="0.25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99999999999999" customHeight="1" x14ac:dyDescent="0.25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99999999999999" customHeight="1" x14ac:dyDescent="0.25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99999999999999" customHeight="1" x14ac:dyDescent="0.25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99999999999999" customHeight="1" x14ac:dyDescent="0.25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99999999999999" customHeight="1" x14ac:dyDescent="0.25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99999999999999" customHeight="1" x14ac:dyDescent="0.25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99999999999999" customHeight="1" x14ac:dyDescent="0.25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99999999999999" customHeight="1" x14ac:dyDescent="0.25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99999999999999" customHeight="1" x14ac:dyDescent="0.25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99999999999999" customHeight="1" x14ac:dyDescent="0.25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99999999999999" customHeight="1" x14ac:dyDescent="0.25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99999999999999" customHeight="1" x14ac:dyDescent="0.25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99999999999999" customHeight="1" x14ac:dyDescent="0.25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99999999999999" customHeight="1" x14ac:dyDescent="0.25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99999999999999" customHeight="1" x14ac:dyDescent="0.25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99999999999999" customHeight="1" x14ac:dyDescent="0.25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99999999999999" customHeight="1" x14ac:dyDescent="0.25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99999999999999" customHeight="1" x14ac:dyDescent="0.25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99999999999999" customHeight="1" x14ac:dyDescent="0.25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99999999999999" customHeight="1" x14ac:dyDescent="0.25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99999999999999" customHeight="1" x14ac:dyDescent="0.25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99999999999999" customHeight="1" x14ac:dyDescent="0.25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99999999999999" customHeight="1" x14ac:dyDescent="0.25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99999999999999" customHeight="1" x14ac:dyDescent="0.25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99999999999999" customHeight="1" x14ac:dyDescent="0.25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99999999999999" customHeight="1" x14ac:dyDescent="0.25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99999999999999" customHeight="1" x14ac:dyDescent="0.25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99999999999999" customHeight="1" x14ac:dyDescent="0.25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99999999999999" customHeight="1" x14ac:dyDescent="0.25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99999999999999" customHeight="1" x14ac:dyDescent="0.25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99999999999999" customHeight="1" x14ac:dyDescent="0.25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99999999999999" customHeight="1" x14ac:dyDescent="0.25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99999999999999" customHeight="1" x14ac:dyDescent="0.25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99999999999999" customHeight="1" x14ac:dyDescent="0.25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99999999999999" customHeight="1" x14ac:dyDescent="0.25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99999999999999" customHeight="1" x14ac:dyDescent="0.25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99999999999999" customHeight="1" x14ac:dyDescent="0.25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99999999999999" customHeight="1" x14ac:dyDescent="0.25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99999999999999" customHeight="1" x14ac:dyDescent="0.25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99999999999999" customHeight="1" x14ac:dyDescent="0.25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99999999999999" customHeight="1" x14ac:dyDescent="0.25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99999999999999" customHeight="1" x14ac:dyDescent="0.25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99999999999999" customHeight="1" x14ac:dyDescent="0.25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99999999999999" customHeight="1" x14ac:dyDescent="0.25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99999999999999" customHeight="1" x14ac:dyDescent="0.25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99999999999999" customHeight="1" x14ac:dyDescent="0.25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99999999999999" customHeight="1" x14ac:dyDescent="0.25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99999999999999" customHeight="1" x14ac:dyDescent="0.25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99999999999999" customHeight="1" x14ac:dyDescent="0.25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99999999999999" customHeight="1" x14ac:dyDescent="0.25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99999999999999" customHeight="1" x14ac:dyDescent="0.25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99999999999999" customHeight="1" x14ac:dyDescent="0.25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99999999999999" customHeight="1" x14ac:dyDescent="0.25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99999999999999" customHeight="1" x14ac:dyDescent="0.25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99999999999999" customHeight="1" x14ac:dyDescent="0.25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99999999999999" customHeight="1" x14ac:dyDescent="0.25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99999999999999" customHeight="1" x14ac:dyDescent="0.25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99999999999999" customHeight="1" x14ac:dyDescent="0.25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99999999999999" customHeight="1" x14ac:dyDescent="0.25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99999999999999" customHeight="1" x14ac:dyDescent="0.25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99999999999999" customHeight="1" x14ac:dyDescent="0.25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99999999999999" customHeight="1" x14ac:dyDescent="0.25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99999999999999" customHeight="1" x14ac:dyDescent="0.25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99999999999999" customHeight="1" x14ac:dyDescent="0.25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99999999999999" customHeight="1" x14ac:dyDescent="0.25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99999999999999" customHeight="1" x14ac:dyDescent="0.25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99999999999999" customHeight="1" x14ac:dyDescent="0.25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99999999999999" customHeight="1" x14ac:dyDescent="0.25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99999999999999" customHeight="1" x14ac:dyDescent="0.25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99999999999999" customHeight="1" x14ac:dyDescent="0.25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99999999999999" customHeight="1" x14ac:dyDescent="0.25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99999999999999" customHeight="1" x14ac:dyDescent="0.25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99999999999999" customHeight="1" x14ac:dyDescent="0.25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99999999999999" customHeight="1" x14ac:dyDescent="0.25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99999999999999" customHeight="1" x14ac:dyDescent="0.25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99999999999999" customHeight="1" x14ac:dyDescent="0.25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99999999999999" customHeight="1" x14ac:dyDescent="0.25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99999999999999" customHeight="1" x14ac:dyDescent="0.25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99999999999999" customHeight="1" x14ac:dyDescent="0.25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99999999999999" customHeight="1" x14ac:dyDescent="0.25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99999999999999" customHeight="1" x14ac:dyDescent="0.25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99999999999999" customHeight="1" x14ac:dyDescent="0.25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99999999999999" customHeight="1" x14ac:dyDescent="0.25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99999999999999" customHeight="1" x14ac:dyDescent="0.25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99999999999999" customHeight="1" x14ac:dyDescent="0.25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99999999999999" customHeight="1" x14ac:dyDescent="0.25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99999999999999" customHeight="1" x14ac:dyDescent="0.25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99999999999999" customHeight="1" x14ac:dyDescent="0.25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99999999999999" customHeight="1" x14ac:dyDescent="0.25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99999999999999" customHeight="1" x14ac:dyDescent="0.25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99999999999999" customHeight="1" x14ac:dyDescent="0.25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99999999999999" customHeight="1" x14ac:dyDescent="0.25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99999999999999" customHeight="1" x14ac:dyDescent="0.25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99999999999999" customHeight="1" x14ac:dyDescent="0.25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99999999999999" customHeight="1" x14ac:dyDescent="0.25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99999999999999" customHeight="1" x14ac:dyDescent="0.25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99999999999999" customHeight="1" x14ac:dyDescent="0.25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99999999999999" customHeight="1" x14ac:dyDescent="0.25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99999999999999" customHeight="1" x14ac:dyDescent="0.25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99999999999999" customHeight="1" x14ac:dyDescent="0.25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99999999999999" customHeight="1" x14ac:dyDescent="0.25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99999999999999" customHeight="1" x14ac:dyDescent="0.25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99999999999999" customHeight="1" x14ac:dyDescent="0.25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99999999999999" customHeight="1" x14ac:dyDescent="0.25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99999999999999" customHeight="1" x14ac:dyDescent="0.25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99999999999999" customHeight="1" x14ac:dyDescent="0.25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99999999999999" customHeight="1" x14ac:dyDescent="0.25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99999999999999" customHeight="1" x14ac:dyDescent="0.25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5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5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5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5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5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5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5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5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5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5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5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5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5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5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5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5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5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5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5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5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5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5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5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5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5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5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5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5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5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5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5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5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5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5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5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5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5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5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5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5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5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5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5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5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5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5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5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5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5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5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5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5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5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5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5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5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5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5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5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5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5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5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5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5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5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5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5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5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5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5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5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5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5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5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5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99999999999999" customHeight="1" x14ac:dyDescent="0.25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99999999999999" customHeight="1" x14ac:dyDescent="0.25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99999999999999" customHeight="1" x14ac:dyDescent="0.25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99999999999999" customHeight="1" x14ac:dyDescent="0.25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99999999999999" customHeight="1" x14ac:dyDescent="0.25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99999999999999" customHeight="1" x14ac:dyDescent="0.25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99999999999999" customHeight="1" x14ac:dyDescent="0.25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99999999999999" customHeight="1" x14ac:dyDescent="0.25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99999999999999" customHeight="1" x14ac:dyDescent="0.25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99999999999999" customHeight="1" x14ac:dyDescent="0.25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99999999999999" customHeight="1" x14ac:dyDescent="0.25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99999999999999" customHeight="1" x14ac:dyDescent="0.25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99999999999999" customHeight="1" x14ac:dyDescent="0.25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99999999999999" customHeight="1" x14ac:dyDescent="0.25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99999999999999" customHeight="1" x14ac:dyDescent="0.25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99999999999999" customHeight="1" x14ac:dyDescent="0.25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99999999999999" customHeight="1" x14ac:dyDescent="0.25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99999999999999" customHeight="1" x14ac:dyDescent="0.25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99999999999999" customHeight="1" x14ac:dyDescent="0.25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99999999999999" customHeight="1" x14ac:dyDescent="0.25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99999999999999" customHeight="1" x14ac:dyDescent="0.25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99999999999999" customHeight="1" x14ac:dyDescent="0.25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99999999999999" customHeight="1" x14ac:dyDescent="0.25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99999999999999" customHeight="1" x14ac:dyDescent="0.25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99999999999999" customHeight="1" x14ac:dyDescent="0.25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99999999999999" customHeight="1" x14ac:dyDescent="0.25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99999999999999" customHeight="1" x14ac:dyDescent="0.25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99999999999999" customHeight="1" x14ac:dyDescent="0.25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99999999999999" customHeight="1" x14ac:dyDescent="0.25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99999999999999" customHeight="1" x14ac:dyDescent="0.25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99999999999999" customHeight="1" x14ac:dyDescent="0.25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99999999999999" customHeight="1" x14ac:dyDescent="0.25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99999999999999" customHeight="1" x14ac:dyDescent="0.25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99999999999999" customHeight="1" x14ac:dyDescent="0.25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99999999999999" customHeight="1" x14ac:dyDescent="0.25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99999999999999" customHeight="1" x14ac:dyDescent="0.25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99999999999999" customHeight="1" x14ac:dyDescent="0.25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99999999999999" customHeight="1" x14ac:dyDescent="0.25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99999999999999" customHeight="1" x14ac:dyDescent="0.25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99999999999999" customHeight="1" x14ac:dyDescent="0.25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99999999999999" customHeight="1" x14ac:dyDescent="0.25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99999999999999" customHeight="1" x14ac:dyDescent="0.25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99999999999999" customHeight="1" x14ac:dyDescent="0.25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99999999999999" customHeight="1" x14ac:dyDescent="0.25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99999999999999" customHeight="1" x14ac:dyDescent="0.25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99999999999999" customHeight="1" x14ac:dyDescent="0.25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99999999999999" customHeight="1" x14ac:dyDescent="0.25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99999999999999" customHeight="1" x14ac:dyDescent="0.25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99999999999999" customHeight="1" x14ac:dyDescent="0.25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6" si="132">AVERAGE(L873:M873)</f>
        <v>0</v>
      </c>
      <c r="O873" s="14"/>
      <c r="P873" s="14"/>
      <c r="Q873" s="14">
        <v>-100</v>
      </c>
      <c r="R873" s="14">
        <f t="shared" ref="R873:R886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99999999999999" customHeight="1" x14ac:dyDescent="0.25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99999999999999" customHeight="1" x14ac:dyDescent="0.25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99999999999999" customHeight="1" x14ac:dyDescent="0.25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99999999999999" customHeight="1" x14ac:dyDescent="0.25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99999999999999" customHeight="1" x14ac:dyDescent="0.25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99999999999999" customHeight="1" x14ac:dyDescent="0.25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99999999999999" customHeight="1" x14ac:dyDescent="0.25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99999999999999" customHeight="1" x14ac:dyDescent="0.25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99999999999999" customHeight="1" x14ac:dyDescent="0.25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99999999999999" customHeight="1" x14ac:dyDescent="0.25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99999999999999" customHeight="1" x14ac:dyDescent="0.25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99999999999999" customHeight="1" x14ac:dyDescent="0.25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99999999999999" customHeight="1" x14ac:dyDescent="0.25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99999999999999" customHeight="1" x14ac:dyDescent="0.25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99999999999999" customHeight="1" x14ac:dyDescent="0.25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99999999999999" customHeight="1" x14ac:dyDescent="0.25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48"/>
      <c r="AU889" s="14"/>
      <c r="AV889" s="14"/>
      <c r="AW889" s="14"/>
      <c r="AX889" s="14"/>
    </row>
    <row r="890" spans="1:50" ht="10.199999999999999" customHeight="1" x14ac:dyDescent="0.25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48"/>
      <c r="AU890" s="14"/>
      <c r="AV890" s="14"/>
      <c r="AW890" s="14"/>
      <c r="AX890" s="14"/>
    </row>
    <row r="891" spans="1:50" ht="10.199999999999999" customHeight="1" x14ac:dyDescent="0.25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48"/>
      <c r="AU891" s="14"/>
      <c r="AV891" s="14"/>
      <c r="AW891" s="14"/>
      <c r="AX891" s="14"/>
    </row>
    <row r="892" spans="1:50" ht="10.199999999999999" customHeight="1" x14ac:dyDescent="0.25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48"/>
      <c r="AU892" s="14"/>
      <c r="AV892" s="14"/>
      <c r="AW892" s="14"/>
      <c r="AX892" s="14"/>
    </row>
    <row r="893" spans="1:50" ht="10.199999999999999" customHeight="1" x14ac:dyDescent="0.25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48"/>
      <c r="AU893" s="14"/>
      <c r="AV893" s="14"/>
      <c r="AW893" s="14"/>
      <c r="AX893" s="14"/>
    </row>
    <row r="894" spans="1:50" ht="10.199999999999999" customHeight="1" x14ac:dyDescent="0.25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99999999999999" customHeight="1" x14ac:dyDescent="0.25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99999999999999" customHeight="1" x14ac:dyDescent="0.25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48"/>
      <c r="AU896" s="14"/>
      <c r="AV896" s="14"/>
      <c r="AW896" s="14"/>
      <c r="AX896" s="14"/>
    </row>
    <row r="897" spans="1:50" ht="10.199999999999999" customHeight="1" x14ac:dyDescent="0.25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48"/>
      <c r="AU897" s="14"/>
      <c r="AV897" s="14"/>
      <c r="AW897" s="14"/>
      <c r="AX897" s="14"/>
    </row>
    <row r="898" spans="1:50" ht="10.199999999999999" customHeight="1" x14ac:dyDescent="0.25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48"/>
      <c r="AU898" s="14"/>
      <c r="AV898" s="14"/>
      <c r="AW898" s="14"/>
      <c r="AX898" s="14"/>
    </row>
    <row r="899" spans="1:50" ht="10.199999999999999" customHeight="1" x14ac:dyDescent="0.25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48"/>
      <c r="AU899" s="14"/>
      <c r="AV899" s="14"/>
      <c r="AW899" s="14"/>
      <c r="AX899" s="14"/>
    </row>
    <row r="900" spans="1:50" ht="10.199999999999999" customHeight="1" x14ac:dyDescent="0.25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48"/>
      <c r="AU900" s="14"/>
      <c r="AV900" s="14"/>
      <c r="AW900" s="14"/>
      <c r="AX900" s="14"/>
    </row>
    <row r="901" spans="1:50" ht="10.199999999999999" customHeight="1" x14ac:dyDescent="0.25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48"/>
      <c r="AU901" s="14"/>
      <c r="AV901" s="14"/>
      <c r="AW901" s="14"/>
      <c r="AX901" s="14"/>
    </row>
    <row r="902" spans="1:50" ht="10.199999999999999" customHeight="1" x14ac:dyDescent="0.25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48"/>
      <c r="AU902" s="14"/>
      <c r="AV902" s="14"/>
      <c r="AW902" s="14"/>
      <c r="AX902" s="14"/>
    </row>
    <row r="903" spans="1:50" ht="10.199999999999999" customHeight="1" x14ac:dyDescent="0.25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48"/>
      <c r="AU903" s="14"/>
      <c r="AV903" s="14"/>
      <c r="AW903" s="14"/>
      <c r="AX903" s="14"/>
    </row>
    <row r="904" spans="1:50" ht="10.199999999999999" customHeight="1" x14ac:dyDescent="0.25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14"/>
    </row>
    <row r="905" spans="1:50" ht="10.199999999999999" customHeight="1" x14ac:dyDescent="0.25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48"/>
      <c r="AU905" s="14"/>
      <c r="AV905" s="14"/>
      <c r="AW905" s="14"/>
      <c r="AX905" s="14"/>
    </row>
    <row r="906" spans="1:50" ht="10.199999999999999" customHeight="1" x14ac:dyDescent="0.25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48"/>
      <c r="AU906" s="14"/>
      <c r="AV906" s="14"/>
      <c r="AW906" s="14"/>
      <c r="AX906" s="14"/>
    </row>
    <row r="907" spans="1:50" ht="10.199999999999999" customHeight="1" x14ac:dyDescent="0.25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48"/>
      <c r="AU907" s="14"/>
      <c r="AV907" s="14"/>
      <c r="AW907" s="14"/>
      <c r="AX907" s="14"/>
    </row>
    <row r="908" spans="1:50" ht="10.199999999999999" customHeight="1" x14ac:dyDescent="0.25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48"/>
      <c r="AU908" s="14"/>
      <c r="AV908" s="14"/>
      <c r="AW908" s="14"/>
      <c r="AX908" s="14"/>
    </row>
    <row r="909" spans="1:50" ht="10.199999999999999" customHeight="1" x14ac:dyDescent="0.25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48"/>
      <c r="AU909" s="14"/>
      <c r="AV909" s="14"/>
      <c r="AW909" s="14"/>
      <c r="AX909" s="14"/>
    </row>
    <row r="910" spans="1:50" ht="10.199999999999999" customHeight="1" x14ac:dyDescent="0.25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48"/>
      <c r="AU910" s="14"/>
      <c r="AV910" s="14"/>
      <c r="AW910" s="14"/>
      <c r="AX910" s="14"/>
    </row>
    <row r="911" spans="1:50" ht="10.199999999999999" customHeight="1" x14ac:dyDescent="0.25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48"/>
      <c r="AU911" s="14"/>
      <c r="AV911" s="14"/>
      <c r="AW911" s="14"/>
      <c r="AX911" s="14"/>
    </row>
    <row r="912" spans="1:50" ht="10.199999999999999" customHeight="1" x14ac:dyDescent="0.25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48"/>
      <c r="AU912" s="14"/>
      <c r="AV912" s="14"/>
      <c r="AW912" s="14"/>
      <c r="AX912" s="14"/>
    </row>
    <row r="913" spans="1:50" ht="10.199999999999999" customHeight="1" x14ac:dyDescent="0.25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48"/>
      <c r="AU913" s="14"/>
      <c r="AV913" s="14"/>
      <c r="AW913" s="14"/>
      <c r="AX913" s="14"/>
    </row>
    <row r="914" spans="1:50" ht="10.199999999999999" customHeight="1" x14ac:dyDescent="0.25">
      <c r="A914" s="14">
        <v>38</v>
      </c>
      <c r="B914" s="103">
        <v>41900</v>
      </c>
      <c r="C914" s="103">
        <v>41893</v>
      </c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48"/>
      <c r="AU914" s="14"/>
      <c r="AV914" s="14"/>
      <c r="AW914" s="14"/>
      <c r="AX914" s="14"/>
    </row>
    <row r="915" spans="1:50" ht="10.199999999999999" customHeight="1" x14ac:dyDescent="0.25">
      <c r="A915" s="14">
        <v>39</v>
      </c>
      <c r="B915" s="103">
        <v>41907</v>
      </c>
      <c r="C915" s="103">
        <v>41900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48"/>
      <c r="AU915" s="14"/>
      <c r="AV915" s="14"/>
      <c r="AW915" s="14"/>
      <c r="AX915" s="14"/>
    </row>
    <row r="916" spans="1:50" ht="10.199999999999999" customHeight="1" x14ac:dyDescent="0.25">
      <c r="A916" s="14">
        <v>40</v>
      </c>
      <c r="B916" s="103">
        <v>41914</v>
      </c>
      <c r="C916" s="103">
        <v>41907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48"/>
      <c r="AU916" s="14"/>
      <c r="AV916" s="14"/>
      <c r="AW916" s="14"/>
      <c r="AX916" s="14"/>
    </row>
    <row r="917" spans="1:50" ht="10.199999999999999" customHeight="1" x14ac:dyDescent="0.25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48"/>
      <c r="AU917" s="14"/>
      <c r="AV917" s="14"/>
      <c r="AW917" s="14"/>
      <c r="AX917" s="14"/>
    </row>
    <row r="918" spans="1:50" ht="10.199999999999999" customHeight="1" x14ac:dyDescent="0.25">
      <c r="A918" s="14">
        <v>42</v>
      </c>
      <c r="B918" s="103">
        <v>41928</v>
      </c>
      <c r="C918" s="103">
        <v>41921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48"/>
      <c r="AU918" s="14"/>
      <c r="AV918" s="14"/>
      <c r="AW918" s="14"/>
      <c r="AX918" s="14"/>
    </row>
    <row r="919" spans="1:50" ht="10.199999999999999" customHeight="1" x14ac:dyDescent="0.25">
      <c r="A919" s="14">
        <v>43</v>
      </c>
      <c r="B919" s="103">
        <v>41935</v>
      </c>
      <c r="C919" s="103">
        <v>41928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48"/>
      <c r="AU919" s="14"/>
      <c r="AV919" s="14"/>
      <c r="AW919" s="14"/>
      <c r="AX919" s="14"/>
    </row>
    <row r="920" spans="1:50" ht="10.199999999999999" customHeight="1" x14ac:dyDescent="0.25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99999999999999" customHeight="1" x14ac:dyDescent="0.25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99999999999999" customHeight="1" x14ac:dyDescent="0.25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99999999999999" customHeight="1" x14ac:dyDescent="0.25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99999999999999" customHeight="1" x14ac:dyDescent="0.25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99999999999999" customHeight="1" x14ac:dyDescent="0.25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99999999999999" customHeight="1" x14ac:dyDescent="0.25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99999999999999" customHeight="1" x14ac:dyDescent="0.25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99999999999999" customHeight="1" x14ac:dyDescent="0.25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99999999999999" customHeight="1" x14ac:dyDescent="0.25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99999999999999" customHeight="1" x14ac:dyDescent="0.25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99999999999999" customHeight="1" x14ac:dyDescent="0.25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99999999999999" customHeight="1" x14ac:dyDescent="0.25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99999999999999" customHeight="1" x14ac:dyDescent="0.25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99999999999999" customHeight="1" x14ac:dyDescent="0.25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99999999999999" customHeight="1" x14ac:dyDescent="0.25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99999999999999" customHeight="1" x14ac:dyDescent="0.25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99999999999999" customHeight="1" x14ac:dyDescent="0.25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99999999999999" customHeight="1" x14ac:dyDescent="0.25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99999999999999" customHeight="1" x14ac:dyDescent="0.25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99999999999999" customHeight="1" x14ac:dyDescent="0.25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99999999999999" customHeight="1" x14ac:dyDescent="0.25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99999999999999" customHeight="1" x14ac:dyDescent="0.25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99999999999999" customHeight="1" x14ac:dyDescent="0.25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99999999999999" customHeight="1" x14ac:dyDescent="0.25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99999999999999" customHeight="1" x14ac:dyDescent="0.25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99999999999999" customHeight="1" x14ac:dyDescent="0.25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99999999999999" customHeight="1" x14ac:dyDescent="0.25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99999999999999" customHeight="1" x14ac:dyDescent="0.25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99999999999999" customHeight="1" x14ac:dyDescent="0.25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99999999999999" customHeight="1" x14ac:dyDescent="0.25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99999999999999" customHeight="1" x14ac:dyDescent="0.25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99999999999999" customHeight="1" x14ac:dyDescent="0.25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99999999999999" customHeight="1" x14ac:dyDescent="0.25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99999999999999" customHeight="1" x14ac:dyDescent="0.25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99999999999999" customHeight="1" x14ac:dyDescent="0.25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99999999999999" customHeight="1" x14ac:dyDescent="0.25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99999999999999" customHeight="1" x14ac:dyDescent="0.25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99999999999999" customHeight="1" x14ac:dyDescent="0.25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99999999999999" customHeight="1" x14ac:dyDescent="0.25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99999999999999" customHeight="1" x14ac:dyDescent="0.25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99999999999999" customHeight="1" x14ac:dyDescent="0.25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99999999999999" customHeight="1" x14ac:dyDescent="0.25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99999999999999" customHeight="1" x14ac:dyDescent="0.25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99999999999999" customHeight="1" x14ac:dyDescent="0.25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99999999999999" customHeight="1" x14ac:dyDescent="0.25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99999999999999" customHeight="1" x14ac:dyDescent="0.25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99999999999999" customHeight="1" x14ac:dyDescent="0.25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99999999999999" customHeight="1" x14ac:dyDescent="0.25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99999999999999" customHeight="1" x14ac:dyDescent="0.25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99999999999999" customHeight="1" x14ac:dyDescent="0.25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99999999999999" customHeight="1" x14ac:dyDescent="0.25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99999999999999" customHeight="1" x14ac:dyDescent="0.25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99999999999999" customHeight="1" x14ac:dyDescent="0.25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99999999999999" customHeight="1" x14ac:dyDescent="0.25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99999999999999" customHeight="1" x14ac:dyDescent="0.25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99999999999999" customHeight="1" x14ac:dyDescent="0.25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99999999999999" customHeight="1" x14ac:dyDescent="0.25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99999999999999" customHeight="1" x14ac:dyDescent="0.25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99999999999999" customHeight="1" x14ac:dyDescent="0.25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99999999999999" customHeight="1" x14ac:dyDescent="0.25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99999999999999" customHeight="1" x14ac:dyDescent="0.25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99999999999999" customHeight="1" x14ac:dyDescent="0.25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99999999999999" customHeight="1" x14ac:dyDescent="0.25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99999999999999" customHeight="1" x14ac:dyDescent="0.25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99999999999999" customHeight="1" x14ac:dyDescent="0.25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99999999999999" customHeight="1" x14ac:dyDescent="0.25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99999999999999" customHeight="1" x14ac:dyDescent="0.25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99999999999999" customHeight="1" x14ac:dyDescent="0.25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99999999999999" customHeight="1" x14ac:dyDescent="0.25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99999999999999" customHeight="1" x14ac:dyDescent="0.25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99999999999999" customHeight="1" x14ac:dyDescent="0.25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99999999999999" customHeight="1" x14ac:dyDescent="0.25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99999999999999" customHeight="1" x14ac:dyDescent="0.25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99999999999999" customHeight="1" x14ac:dyDescent="0.25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99999999999999" customHeight="1" x14ac:dyDescent="0.25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99999999999999" customHeight="1" x14ac:dyDescent="0.25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99999999999999" customHeight="1" x14ac:dyDescent="0.25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99999999999999" customHeight="1" x14ac:dyDescent="0.25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99999999999999" customHeight="1" x14ac:dyDescent="0.25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99999999999999" customHeight="1" x14ac:dyDescent="0.25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99999999999999" customHeight="1" x14ac:dyDescent="0.25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99999999999999" customHeight="1" x14ac:dyDescent="0.25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99999999999999" customHeight="1" x14ac:dyDescent="0.25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99999999999999" customHeight="1" x14ac:dyDescent="0.25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99999999999999" customHeight="1" x14ac:dyDescent="0.25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99999999999999" customHeight="1" x14ac:dyDescent="0.25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99999999999999" customHeight="1" x14ac:dyDescent="0.25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99999999999999" customHeight="1" x14ac:dyDescent="0.25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99999999999999" customHeight="1" x14ac:dyDescent="0.25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99999999999999" customHeight="1" x14ac:dyDescent="0.25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99999999999999" customHeight="1" x14ac:dyDescent="0.25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99999999999999" customHeight="1" x14ac:dyDescent="0.25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99999999999999" customHeight="1" x14ac:dyDescent="0.25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99999999999999" customHeight="1" x14ac:dyDescent="0.25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99999999999999" customHeight="1" x14ac:dyDescent="0.25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99999999999999" customHeight="1" x14ac:dyDescent="0.25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99999999999999" customHeight="1" x14ac:dyDescent="0.25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99999999999999" customHeight="1" x14ac:dyDescent="0.25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99999999999999" customHeight="1" x14ac:dyDescent="0.25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99999999999999" customHeight="1" x14ac:dyDescent="0.25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99999999999999" customHeight="1" x14ac:dyDescent="0.25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99999999999999" customHeight="1" x14ac:dyDescent="0.25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99999999999999" customHeight="1" x14ac:dyDescent="0.25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99999999999999" customHeight="1" x14ac:dyDescent="0.25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99999999999999" customHeight="1" x14ac:dyDescent="0.25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99999999999999" customHeight="1" x14ac:dyDescent="0.25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99999999999999" customHeight="1" x14ac:dyDescent="0.25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99999999999999" customHeight="1" x14ac:dyDescent="0.25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99999999999999" customHeight="1" x14ac:dyDescent="0.25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99999999999999" customHeight="1" x14ac:dyDescent="0.25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99999999999999" customHeight="1" x14ac:dyDescent="0.25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99999999999999" customHeight="1" x14ac:dyDescent="0.25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99999999999999" customHeight="1" x14ac:dyDescent="0.25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99999999999999" customHeight="1" x14ac:dyDescent="0.25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99999999999999" customHeight="1" x14ac:dyDescent="0.25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99999999999999" customHeight="1" x14ac:dyDescent="0.25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99999999999999" customHeight="1" x14ac:dyDescent="0.25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99999999999999" customHeight="1" x14ac:dyDescent="0.25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99999999999999" customHeight="1" x14ac:dyDescent="0.25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99999999999999" customHeight="1" x14ac:dyDescent="0.25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99999999999999" customHeight="1" x14ac:dyDescent="0.25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99999999999999" customHeight="1" x14ac:dyDescent="0.25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99999999999999" customHeight="1" x14ac:dyDescent="0.25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99999999999999" customHeight="1" x14ac:dyDescent="0.25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99999999999999" customHeight="1" x14ac:dyDescent="0.25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99999999999999" customHeight="1" x14ac:dyDescent="0.25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99999999999999" customHeight="1" x14ac:dyDescent="0.25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99999999999999" customHeight="1" x14ac:dyDescent="0.25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99999999999999" customHeight="1" x14ac:dyDescent="0.25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99999999999999" customHeight="1" x14ac:dyDescent="0.25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99999999999999" customHeight="1" x14ac:dyDescent="0.25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99999999999999" customHeight="1" x14ac:dyDescent="0.25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99999999999999" customHeight="1" x14ac:dyDescent="0.25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99999999999999" customHeight="1" x14ac:dyDescent="0.25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99999999999999" customHeight="1" x14ac:dyDescent="0.25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99999999999999" customHeight="1" x14ac:dyDescent="0.25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99999999999999" customHeight="1" x14ac:dyDescent="0.25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99999999999999" customHeight="1" x14ac:dyDescent="0.25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99999999999999" customHeight="1" x14ac:dyDescent="0.25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99999999999999" customHeight="1" x14ac:dyDescent="0.25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99999999999999" customHeight="1" x14ac:dyDescent="0.25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99999999999999" customHeight="1" x14ac:dyDescent="0.25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99999999999999" customHeight="1" x14ac:dyDescent="0.25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99999999999999" customHeight="1" x14ac:dyDescent="0.25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99999999999999" customHeight="1" x14ac:dyDescent="0.25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99999999999999" customHeight="1" x14ac:dyDescent="0.25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99999999999999" customHeight="1" x14ac:dyDescent="0.25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99999999999999" customHeight="1" x14ac:dyDescent="0.25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99999999999999" customHeight="1" x14ac:dyDescent="0.25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99999999999999" customHeight="1" x14ac:dyDescent="0.25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99999999999999" customHeight="1" x14ac:dyDescent="0.25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99999999999999" customHeight="1" x14ac:dyDescent="0.25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99999999999999" customHeight="1" x14ac:dyDescent="0.25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99999999999999" customHeight="1" x14ac:dyDescent="0.25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99999999999999" customHeight="1" x14ac:dyDescent="0.25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99999999999999" customHeight="1" x14ac:dyDescent="0.25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99999999999999" customHeight="1" x14ac:dyDescent="0.25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99999999999999" customHeight="1" x14ac:dyDescent="0.25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99999999999999" customHeight="1" x14ac:dyDescent="0.25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99999999999999" customHeight="1" x14ac:dyDescent="0.25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99999999999999" customHeight="1" x14ac:dyDescent="0.25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99999999999999" customHeight="1" x14ac:dyDescent="0.25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99999999999999" customHeight="1" x14ac:dyDescent="0.25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99999999999999" customHeight="1" x14ac:dyDescent="0.25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99999999999999" customHeight="1" x14ac:dyDescent="0.25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AF6:AH6"/>
    <mergeCell ref="AJ6:AL6"/>
    <mergeCell ref="AV6:AX6"/>
    <mergeCell ref="AR6:AT6"/>
    <mergeCell ref="AN6:AP6"/>
    <mergeCell ref="T6:V6"/>
    <mergeCell ref="AB6:AD6"/>
    <mergeCell ref="D6:F6"/>
    <mergeCell ref="L6:N6"/>
    <mergeCell ref="H6:J6"/>
    <mergeCell ref="P6:R6"/>
    <mergeCell ref="X6:Z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K15" sqref="K15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0</v>
      </c>
      <c r="B1" s="42"/>
      <c r="C1" s="42"/>
      <c r="D1" s="42"/>
      <c r="E1" s="42"/>
      <c r="F1" s="42"/>
      <c r="G1" s="30"/>
    </row>
    <row r="2" spans="1:11" x14ac:dyDescent="0.25">
      <c r="A2" s="43" t="s">
        <v>291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I10" sqref="I10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183</v>
      </c>
      <c r="B1" s="42"/>
      <c r="C1" s="42"/>
      <c r="D1" s="42"/>
      <c r="E1" s="42"/>
      <c r="F1" s="42"/>
      <c r="G1" s="30"/>
    </row>
    <row r="2" spans="1:11" x14ac:dyDescent="0.25">
      <c r="A2" s="43" t="s">
        <v>306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J12" sqref="J12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149</v>
      </c>
      <c r="B1" s="42"/>
      <c r="C1" s="42"/>
      <c r="D1" s="42"/>
      <c r="E1" s="42"/>
      <c r="F1" s="42"/>
      <c r="G1" s="30"/>
    </row>
    <row r="2" spans="1:11" x14ac:dyDescent="0.25">
      <c r="A2" s="43" t="s">
        <v>307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AS1" zoomScaleNormal="100" workbookViewId="0">
      <pane ySplit="7" topLeftCell="A48" activePane="bottomLeft" state="frozen"/>
      <selection pane="bottomLeft" activeCell="CF12" sqref="CF12"/>
    </sheetView>
  </sheetViews>
  <sheetFormatPr defaultRowHeight="15" x14ac:dyDescent="0.25"/>
  <cols>
    <col min="4" max="7" width="8.81640625" style="34"/>
    <col min="8" max="8" width="9.81640625" style="34" bestFit="1" customWidth="1"/>
    <col min="9" max="9" width="9.453125" style="34" bestFit="1" customWidth="1"/>
    <col min="10" max="11" width="8.81640625" style="34"/>
    <col min="12" max="12" width="9.81640625" bestFit="1" customWidth="1"/>
    <col min="14" max="14" width="8.81640625" style="34"/>
    <col min="32" max="32" width="9" bestFit="1" customWidth="1"/>
    <col min="36" max="36" width="14.453125" bestFit="1" customWidth="1"/>
    <col min="74" max="74" width="8.81640625" style="34"/>
    <col min="78" max="78" width="8.81640625" style="34"/>
    <col min="82" max="82" width="8.81640625" style="34"/>
  </cols>
  <sheetData>
    <row r="1" spans="1:85" ht="15.6" x14ac:dyDescent="0.3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5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5">
      <c r="D3"/>
      <c r="E3"/>
      <c r="F3"/>
      <c r="G3"/>
      <c r="H3"/>
      <c r="I3"/>
      <c r="J3"/>
      <c r="K3"/>
      <c r="N3"/>
    </row>
    <row r="4" spans="1:85" ht="15.6" x14ac:dyDescent="0.3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6" x14ac:dyDescent="0.3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6" x14ac:dyDescent="0.3">
      <c r="B6" s="143" t="s">
        <v>262</v>
      </c>
      <c r="C6" s="143"/>
      <c r="D6" s="25"/>
      <c r="E6" s="143" t="s">
        <v>263</v>
      </c>
      <c r="F6" s="143"/>
      <c r="G6" s="25"/>
      <c r="H6" s="143" t="s">
        <v>264</v>
      </c>
      <c r="I6" s="143"/>
      <c r="J6" s="25"/>
      <c r="K6" s="96"/>
      <c r="L6" s="143" t="s">
        <v>265</v>
      </c>
      <c r="M6" s="143"/>
      <c r="N6" s="25"/>
      <c r="O6" s="143" t="s">
        <v>266</v>
      </c>
      <c r="P6" s="143"/>
      <c r="Q6" s="26"/>
      <c r="R6" s="143" t="s">
        <v>267</v>
      </c>
      <c r="S6" s="143"/>
      <c r="T6" s="25"/>
      <c r="U6" s="96"/>
      <c r="V6" s="143" t="s">
        <v>268</v>
      </c>
      <c r="W6" s="143"/>
      <c r="X6" s="25"/>
      <c r="Y6" s="143" t="s">
        <v>269</v>
      </c>
      <c r="Z6" s="143"/>
      <c r="AA6" s="25"/>
      <c r="AB6" s="143" t="s">
        <v>270</v>
      </c>
      <c r="AC6" s="143"/>
      <c r="AD6" s="25"/>
      <c r="AE6" s="25"/>
      <c r="AF6" s="143" t="s">
        <v>271</v>
      </c>
      <c r="AG6" s="143"/>
      <c r="AH6" s="25"/>
      <c r="AI6" s="25"/>
      <c r="AJ6" s="143" t="s">
        <v>290</v>
      </c>
      <c r="AK6" s="143"/>
      <c r="AL6" s="25"/>
      <c r="AM6" s="25"/>
      <c r="AN6" s="143" t="s">
        <v>293</v>
      </c>
      <c r="AO6" s="143"/>
      <c r="AP6" s="25"/>
      <c r="AS6" s="143" t="s">
        <v>262</v>
      </c>
      <c r="AT6" s="143"/>
      <c r="AU6" s="25"/>
      <c r="AV6" s="143" t="s">
        <v>263</v>
      </c>
      <c r="AW6" s="143"/>
      <c r="AX6" s="25"/>
      <c r="AY6" s="143" t="s">
        <v>264</v>
      </c>
      <c r="AZ6" s="143"/>
      <c r="BA6" s="25"/>
      <c r="BB6" s="96"/>
      <c r="BC6" s="143" t="s">
        <v>265</v>
      </c>
      <c r="BD6" s="143"/>
      <c r="BE6" s="25"/>
      <c r="BF6" s="144" t="s">
        <v>272</v>
      </c>
      <c r="BG6" s="144"/>
      <c r="BH6" s="26"/>
      <c r="BI6" s="143" t="s">
        <v>273</v>
      </c>
      <c r="BJ6" s="143"/>
      <c r="BK6" s="25"/>
      <c r="BL6" s="96"/>
      <c r="BM6" s="143" t="s">
        <v>268</v>
      </c>
      <c r="BN6" s="143"/>
      <c r="BO6" s="25"/>
      <c r="BP6" s="143" t="s">
        <v>269</v>
      </c>
      <c r="BQ6" s="143"/>
      <c r="BR6" s="25"/>
      <c r="BS6" s="143" t="s">
        <v>270</v>
      </c>
      <c r="BT6" s="143"/>
      <c r="BU6" s="25"/>
      <c r="BV6" s="88"/>
      <c r="BW6" s="143" t="s">
        <v>274</v>
      </c>
      <c r="BX6" s="143"/>
      <c r="BY6" s="25"/>
      <c r="BZ6" s="88"/>
      <c r="CA6" s="143" t="s">
        <v>290</v>
      </c>
      <c r="CB6" s="143"/>
      <c r="CC6" s="25"/>
      <c r="CD6" s="88"/>
      <c r="CE6" s="143" t="s">
        <v>293</v>
      </c>
      <c r="CF6" s="143"/>
    </row>
    <row r="7" spans="1:85" ht="15.6" thickBot="1" x14ac:dyDescent="0.3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5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5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5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Bids'!AN733,'Shuttle Bids'!AN837,'Shuttle Bids'!AN785)</f>
        <v>550</v>
      </c>
      <c r="BX10" s="77">
        <f>AVERAGE('Shuttle Bids'!AO733,'Shuttle Bids'!AO837,'Shuttle Bids'!AO785)</f>
        <v>475</v>
      </c>
      <c r="BY10" s="78">
        <f>AVERAGE('Shuttle Bids'!AP733,'Shuttle Bids'!AP837,'Shuttle Bids'!AP785)</f>
        <v>500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5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Bids'!AO838,'Shuttle Bids'!AO786)</f>
        <v>500</v>
      </c>
      <c r="BY11" s="78">
        <f>AVERAGE('Shuttle Bids'!AP734,'Shuttle Bids'!AP838,'Shuttle Bids'!AP786)</f>
        <v>500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5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Bids'!AO839,'Shuttle Bids'!AO787)</f>
        <v>600</v>
      </c>
      <c r="BY12" s="78">
        <f>AVERAGE('Shuttle Bids'!AP735,'Shuttle Bids'!AP839,'Shuttle Bids'!AP787)</f>
        <v>600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5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Bids'!AN840,'Shuttle Bids'!AN788)</f>
        <v>250</v>
      </c>
      <c r="BX13" s="77">
        <f>AVERAGE('Shuttle Bids'!AO736,'Shuttle Bids'!AO840,'Shuttle Bids'!AO788)</f>
        <v>662.5</v>
      </c>
      <c r="BY13" s="78">
        <f>AVERAGE('Shuttle Bids'!AP736,'Shuttle Bids'!AP840,'Shuttle Bids'!AP788)</f>
        <v>606.25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5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Bids'!AN841,'Shuttle Bids'!AN789)</f>
        <v>200</v>
      </c>
      <c r="BX14" s="77">
        <f>AVERAGE('Shuttle Bids'!AO737,'Shuttle Bids'!AO841,'Shuttle Bids'!AO789)</f>
        <v>562.5</v>
      </c>
      <c r="BY14" s="78">
        <f>AVERAGE('Shuttle Bids'!AP737,'Shuttle Bids'!AP841,'Shuttle Bids'!AP789)</f>
        <v>493.75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5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Bids'!AO842,'Non-shuttle Bids'!AO790)</f>
        <v>93</v>
      </c>
      <c r="AH15" s="78">
        <f>AVERAGE('Non-shuttle Bids'!AP738,'Non-shuttle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Bids'!AN842,'Shuttle Bids'!AN790)</f>
        <v>500</v>
      </c>
      <c r="BX15" s="77">
        <f>AVERAGE('Shuttle Bids'!AO738,'Shuttle Bids'!AO842,'Shuttle Bids'!AO790)</f>
        <v>575</v>
      </c>
      <c r="BY15" s="78">
        <f>AVERAGE('Shuttle Bids'!AP738,'Shuttle Bids'!AP842,'Shuttle Bids'!AP790)</f>
        <v>575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5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Bids'!AO843,'Non-shuttle Bids'!AO791)</f>
        <v>93</v>
      </c>
      <c r="AH16" s="78">
        <f>AVERAGE('Non-shuttle Bids'!AP739,'Non-shuttle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Bids'!AN843,'Shuttle Bids'!AN791)</f>
        <v>700</v>
      </c>
      <c r="BX16" s="77">
        <f>AVERAGE('Shuttle Bids'!AO739,'Shuttle Bids'!AO843,'Shuttle Bids'!AO791)</f>
        <v>625</v>
      </c>
      <c r="BY16" s="78">
        <f>AVERAGE('Shuttle Bids'!AP739,'Shuttle Bids'!AP843,'Shuttle Bids'!AP791)</f>
        <v>675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5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Bids'!AO844,'Non-shuttle Bids'!AO792)</f>
        <v>93</v>
      </c>
      <c r="AH17" s="78">
        <f>AVERAGE('Non-shuttle Bids'!AP740,'Non-shuttle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Bids'!AO844,'Shuttle Bids'!AO792)</f>
        <v>625</v>
      </c>
      <c r="BY17" s="78">
        <f>AVERAGE('Shuttle Bids'!AP740,'Shuttle Bids'!AP844,'Shuttle Bids'!AP792)</f>
        <v>625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5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Bids'!AO845,'Non-shuttle Bids'!AO793)</f>
        <v>93</v>
      </c>
      <c r="AH18" s="78">
        <f>AVERAGE('Non-shuttle Bids'!AP741,'Non-shuttle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Bids'!AO845,'Shuttle Bids'!AO793)</f>
        <v>550</v>
      </c>
      <c r="BY18" s="78">
        <f>AVERAGE('Shuttle Bids'!AP741,'Shuttle Bids'!AP845,'Shuttle Bids'!AP793)</f>
        <v>550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5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Bids'!AO846,'Non-shuttle Bids'!AO794)</f>
        <v>100</v>
      </c>
      <c r="AH19" s="78">
        <f>AVERAGE('Non-shuttle Bids'!AP742,'Non-shuttle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Bids'!AO846,'Shuttle Bids'!AO794)</f>
        <v>587.5</v>
      </c>
      <c r="BY19" s="78">
        <f>AVERAGE('Shuttle Bids'!AP742,'Shuttle Bids'!AP846,'Shuttle Bids'!AP794)</f>
        <v>587.5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5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Bids'!AO847,'Non-shuttle Bids'!AO795)</f>
        <v>100</v>
      </c>
      <c r="AH20" s="78">
        <f>AVERAGE('Non-shuttle Bids'!AP743,'Non-shuttle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Bids'!AO847,'Shuttle Bids'!AO795)</f>
        <v>575</v>
      </c>
      <c r="BY20" s="78">
        <f>AVERAGE('Shuttle Bids'!AP743,'Shuttle Bids'!AP847,'Shuttle Bids'!AP795)</f>
        <v>575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5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Bids'!AO848,'Non-shuttle Bids'!AO796)</f>
        <v>138</v>
      </c>
      <c r="AH21" s="78">
        <f>AVERAGE('Non-shuttle Bids'!AP744,'Non-shuttle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Bids'!AO848,'Shuttle Bids'!AO796)</f>
        <v>512.5</v>
      </c>
      <c r="BY21" s="78">
        <f>AVERAGE('Shuttle Bids'!AP744,'Shuttle Bids'!AP848,'Shuttle Bids'!AP796)</f>
        <v>512.5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5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Bids'!AO849,'Non-shuttle Bids'!AO797)</f>
        <v>100</v>
      </c>
      <c r="AH22" s="78">
        <f>AVERAGE('Non-shuttle Bids'!AP745,'Non-shuttle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Bids'!AO849,'Shuttle Bids'!AO797)</f>
        <v>412.5</v>
      </c>
      <c r="BY22" s="78">
        <f>AVERAGE('Shuttle Bids'!AP745,'Shuttle Bids'!AP849,'Shuttle Bids'!AP797)</f>
        <v>412.5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5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Bids'!AO850,'Non-shuttle Bids'!AO798)</f>
        <v>100</v>
      </c>
      <c r="AH23" s="78">
        <f>AVERAGE('Non-shuttle Bids'!AP746,'Non-shuttle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Bids'!AO850,'Shuttle Bids'!AO798)</f>
        <v>394</v>
      </c>
      <c r="BY23" s="78">
        <f>AVERAGE('Shuttle Bids'!AP746,'Shuttle Bids'!AP850,'Shuttle Bids'!AP798)</f>
        <v>394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5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Bids'!AO851,'Non-shuttle Bids'!AO799)</f>
        <v>100</v>
      </c>
      <c r="AH24" s="78">
        <f>AVERAGE('Non-shuttle Bids'!AP747,'Non-shuttle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Bids'!AN851,'Shuttle Bids'!AN799)</f>
        <v>100</v>
      </c>
      <c r="BX24" s="77">
        <f>AVERAGE('Shuttle Bids'!AO747,'Shuttle Bids'!AO851,'Shuttle Bids'!AO799)</f>
        <v>441.66666666666669</v>
      </c>
      <c r="BY24" s="78">
        <f>AVERAGE('Shuttle Bids'!AP747,'Shuttle Bids'!AP851,'Shuttle Bids'!AP799)</f>
        <v>408.33333333333331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5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Bids'!AN852,'Non-shuttle Bids'!AN800)</f>
        <v>400</v>
      </c>
      <c r="AG25" s="77">
        <f>AVERAGE('Non-shuttle Bids'!AO748,'Non-shuttle Bids'!AO852,'Non-shuttle Bids'!AO800)</f>
        <v>100</v>
      </c>
      <c r="AH25" s="78">
        <f>AVERAGE('Non-shuttle Bids'!AP748,'Non-shuttle Bids'!AP852,'Non-shuttle Bids'!AP800)</f>
        <v>250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Bids'!AO748,'Shuttle Bids'!AO852,'Shuttle Bids'!AO800)</f>
        <v>391.66666666666669</v>
      </c>
      <c r="BY25" s="78">
        <f>AVERAGE('Shuttle Bids'!AP748,'Shuttle Bids'!AP852,'Shuttle Bids'!AP800)</f>
        <v>391.66666666666669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5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Bids'!AN853,'Non-shuttle Bids'!AN801)</f>
        <v>400</v>
      </c>
      <c r="AG26" s="77">
        <f>AVERAGE('Non-shuttle Bids'!AO749,'Non-shuttle Bids'!AO853,'Non-shuttle Bids'!AO801)</f>
        <v>100</v>
      </c>
      <c r="AH26" s="78">
        <f>AVERAGE('Non-shuttle Bids'!AP749,'Non-shuttle Bids'!AP853,'Non-shuttle Bids'!AP801)</f>
        <v>250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Bids'!AN853,'Shuttle Bids'!AN801)</f>
        <v>300</v>
      </c>
      <c r="BX26" s="77">
        <f>AVERAGE('Shuttle Bids'!AO749,'Shuttle Bids'!AO853,'Shuttle Bids'!AO801)</f>
        <v>375</v>
      </c>
      <c r="BY26" s="78">
        <f>AVERAGE('Shuttle Bids'!AP749,'Shuttle Bids'!AP853,'Shuttle Bids'!AP801)</f>
        <v>350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5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Bids'!AN854,'Non-shuttle Bids'!AN802)</f>
        <v>400</v>
      </c>
      <c r="AG27" s="77">
        <f>AVERAGE('Non-shuttle Bids'!AO750,'Non-shuttle Bids'!AO854,'Non-shuttle Bids'!AO802)</f>
        <v>100</v>
      </c>
      <c r="AH27" s="78">
        <f>AVERAGE('Non-shuttle Bids'!AP750,'Non-shuttle Bids'!AP854,'Non-shuttle Bids'!AP802)</f>
        <v>250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Bids'!AN854,'Shuttle Bids'!AN802)</f>
        <v>687.5</v>
      </c>
      <c r="BX27" s="77">
        <f>AVERAGE('Shuttle Bids'!AO750,'Shuttle Bids'!AO854,'Shuttle Bids'!AO802)</f>
        <v>325</v>
      </c>
      <c r="BY27" s="78">
        <f>AVERAGE('Shuttle Bids'!AP750,'Shuttle Bids'!AP854,'Shuttle Bids'!AP802)</f>
        <v>412.5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5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Bids'!AN855,'Non-shuttle Bids'!AN803)</f>
        <v>400</v>
      </c>
      <c r="AG28" s="77">
        <f>AVERAGE('Non-shuttle Bids'!AO751,'Non-shuttle Bids'!AO855,'Non-shuttle Bids'!AO803)</f>
        <v>100</v>
      </c>
      <c r="AH28" s="78">
        <f>AVERAGE('Non-shuttle Bids'!AP751,'Non-shuttle Bids'!AP855,'Non-shuttle Bids'!AP803)</f>
        <v>250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/>
      <c r="AT28" s="100">
        <f>AVERAGE('Shuttle Bids'!E709,'Shuttle Bids'!E761,'Shuttle Bids'!E813)</f>
        <v>-100</v>
      </c>
      <c r="AU28" s="78">
        <f>AVERAGE('Shuttle Bids'!F709,'Shuttle Bids'!F761,'Shuttle Bids'!F813)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Bids'!AO855,'Shuttle Bids'!AO803)</f>
        <v>362.5</v>
      </c>
      <c r="BY28" s="78">
        <f>AVERAGE('Shuttle Bids'!AP751,'Shuttle Bids'!AP855,'Shuttle Bids'!AP803)</f>
        <v>362.5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5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Bids'!AN856,'Non-shuttle Bids'!AN804)</f>
        <v>175</v>
      </c>
      <c r="AG29" s="77">
        <f>AVERAGE('Non-shuttle Bids'!AO752,'Non-shuttle Bids'!AO856,'Non-shuttle Bids'!AO804)</f>
        <v>100</v>
      </c>
      <c r="AH29" s="78">
        <f>AVERAGE('Non-shuttle Bids'!AP752,'Non-shuttle Bids'!AP856,'Non-shuttle Bids'!AP804)</f>
        <v>150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Bids'!P814)</f>
        <v>-400</v>
      </c>
      <c r="BD29" s="100"/>
      <c r="BE29" s="78">
        <f>AVERAGE('Shuttle Bids'!R710,'Shuttle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Bids'!AN856,'Shuttle Bids'!AN804)</f>
        <v>-112</v>
      </c>
      <c r="BX29" s="77">
        <f>AVERAGE('Shuttle Bids'!AO752,'Shuttle Bids'!AO856,'Shuttle Bids'!AO804)</f>
        <v>262.66666666666669</v>
      </c>
      <c r="BY29" s="78">
        <f>AVERAGE('Shuttle Bids'!AP752,'Shuttle Bids'!AP856,'Shuttle Bids'!AP804)</f>
        <v>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5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Bids'!AN857,'Non-shuttle Bids'!AN805)</f>
        <v>175</v>
      </c>
      <c r="AG30" s="77"/>
      <c r="AH30" s="78">
        <f>AVERAGE('Non-shuttle Bids'!AP753,'Non-shuttle Bids'!AP857,'Non-shuttle Bids'!AP805)</f>
        <v>175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>
        <f>AVERAGE('Shuttle Bids'!D711,'Shuttle Bids'!D763,'Shuttle Bids'!D815)</f>
        <v>-350</v>
      </c>
      <c r="AT30" s="100">
        <f>AVERAGE('Shuttle Bids'!E711,'Shuttle Bids'!E763,'Shuttle Bids'!E815)</f>
        <v>-250</v>
      </c>
      <c r="AU30" s="78">
        <f>AVERAGE('Shuttle Bids'!F711,'Shuttle Bids'!F763,'Shuttle Bids'!F815)</f>
        <v>-300</v>
      </c>
      <c r="AV30" s="100">
        <f>AVERAGE('Shuttle Bids'!H710,'Shuttle Bids'!H762,'Shuttle Bids'!H814)</f>
        <v>-200</v>
      </c>
      <c r="AW30" s="100"/>
      <c r="AX30" s="78">
        <f>AVERAGE('Shuttle Bids'!J710,'Shuttle Bids'!J762,'Shuttle Bids'!J814)</f>
        <v>-200</v>
      </c>
      <c r="AY30" s="100"/>
      <c r="AZ30" s="100"/>
      <c r="BA30" s="78"/>
      <c r="BB30" s="12">
        <v>42</v>
      </c>
      <c r="BC30" s="100">
        <f>AVERAGE('Shuttle Bids'!P711,'Shuttle Bids'!P763,'Shuttle Bids'!P815)</f>
        <v>-800</v>
      </c>
      <c r="BD30" s="100"/>
      <c r="BE30" s="78">
        <f>AVERAGE('Shuttle Bids'!R711,'Shuttle Bids'!R763,'Shuttle Bids'!R815)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Bids'!AN857,'Shuttle Bids'!AN805)</f>
        <v>450</v>
      </c>
      <c r="BX30" s="77">
        <f>AVERAGE('Shuttle Bids'!AO753,'Shuttle Bids'!AO857,'Shuttle Bids'!AO805)</f>
        <v>300</v>
      </c>
      <c r="BY30" s="78">
        <f>AVERAGE('Shuttle Bids'!AP753,'Shuttle Bids'!AP857,'Shuttle Bids'!AP805)</f>
        <v>325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5">
      <c r="A31" s="12">
        <f>+'Non-shuttle Bids'!A137</f>
        <v>43</v>
      </c>
      <c r="B31" s="85">
        <f>AVERAGE('Non-shuttle Bids'!D712,'Non-shuttle Bids'!D764,'Non-shuttle Bids'!D816)</f>
        <v>-125</v>
      </c>
      <c r="C31" s="85"/>
      <c r="D31" s="83">
        <f>AVERAGE('Non-shuttle Bids'!F712,'Non-shuttle Bids'!F764,'Non-shuttle Bids'!F816)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Bids'!AN858,'Non-shuttle Bids'!AN806)</f>
        <v>66.5</v>
      </c>
      <c r="AG31" s="77"/>
      <c r="AH31" s="78">
        <f>AVERAGE('Non-shuttle Bids'!AP754,'Non-shuttle Bids'!AP858,'Non-shuttle Bids'!AP806)</f>
        <v>66.5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/>
      <c r="AT31" s="100">
        <f>AVERAGE('Shuttle Bids'!E712,'Shuttle Bids'!E764,'Shuttle Bids'!E816)</f>
        <v>-300</v>
      </c>
      <c r="AU31" s="78">
        <f>AVERAGE('Shuttle Bids'!F712,'Shuttle Bids'!F764,'Shuttle Bids'!F816)</f>
        <v>-300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Bids'!T816)</f>
        <v>-800</v>
      </c>
      <c r="BG31" s="100">
        <f>AVERAGE('Shuttle Bids'!U712,'Shuttle Bids'!U764,'Shuttle Bids'!U816)</f>
        <v>-900</v>
      </c>
      <c r="BH31" s="78">
        <f>AVERAGE('Shuttle Bids'!V712,'Shuttle Bids'!V764,'Shuttle Bids'!V816)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Bids'!AN858,'Shuttle Bids'!AN806)</f>
        <v>625</v>
      </c>
      <c r="BX31" s="77">
        <f>AVERAGE('Shuttle Bids'!AO754,'Shuttle Bids'!AO858,'Shuttle Bids'!AO806)</f>
        <v>333.33333333333331</v>
      </c>
      <c r="BY31" s="78">
        <f>AVERAGE('Shuttle Bids'!AP754,'Shuttle Bids'!AP858,'Shuttle Bids'!AP806)</f>
        <v>425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5">
      <c r="A32" s="12">
        <f>+'Non-shuttle Bids'!A138</f>
        <v>44</v>
      </c>
      <c r="B32" s="85">
        <f>AVERAGE('Non-shuttle Bids'!D713,'Non-shuttle Bids'!D765,'Non-shuttle Bids'!D817)</f>
        <v>-125</v>
      </c>
      <c r="C32" s="85"/>
      <c r="D32" s="83">
        <f>AVERAGE('Non-shuttle Bids'!F713,'Non-shuttle Bids'!F765,'Non-shuttle Bids'!F817)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Bids'!AN859,'Non-shuttle Bids'!AN807)</f>
        <v>100</v>
      </c>
      <c r="AG32" s="77"/>
      <c r="AH32" s="78">
        <f>AVERAGE('Non-shuttle Bids'!AP755,'Non-shuttle Bids'!AP859,'Non-shuttle Bids'!AP807)</f>
        <v>100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/>
      <c r="AU32" s="78"/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Bids'!T817)</f>
        <v>-725</v>
      </c>
      <c r="BG32" s="100"/>
      <c r="BH32" s="78">
        <f>AVERAGE('Shuttle Bids'!V713,'Shuttle Bids'!V765,'Shuttle Bids'!V817)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Bids'!AN859,'Shuttle Bids'!AN807)</f>
        <v>350</v>
      </c>
      <c r="BX32" s="77">
        <f>AVERAGE('Shuttle Bids'!AO755,'Shuttle Bids'!AO859,'Shuttle Bids'!AO807)</f>
        <v>350</v>
      </c>
      <c r="BY32" s="78">
        <f>AVERAGE('Shuttle Bids'!AP755,'Shuttle Bids'!AP859,'Shuttle Bids'!AP807)</f>
        <v>333.33333333333331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5">
      <c r="A33" s="12">
        <f>+'Non-shuttle Bids'!A139</f>
        <v>45</v>
      </c>
      <c r="B33" s="85">
        <f>AVERAGE('Non-shuttle Bids'!D714,'Non-shuttle Bids'!D766,'Non-shuttle Bids'!D818)</f>
        <v>-125</v>
      </c>
      <c r="C33" s="85">
        <f>AVERAGE('Non-shuttle Bids'!E714,'Non-shuttle Bids'!E766,'Non-shuttle Bids'!E818)</f>
        <v>-50</v>
      </c>
      <c r="D33" s="83">
        <f>AVERAGE('Non-shuttle Bids'!F714,'Non-shuttle Bids'!F766,'Non-shuttle Bids'!F818)</f>
        <v>-87.5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Bids'!AN860,'Non-shuttle Bids'!AN808)</f>
        <v>237.5</v>
      </c>
      <c r="AG33" s="77"/>
      <c r="AH33" s="78">
        <f>AVERAGE('Non-shuttle Bids'!AP756,'Non-shuttle Bids'!AP860,'Non-shuttle Bids'!AP808)</f>
        <v>237.5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/>
      <c r="AT33" s="100">
        <f>AVERAGE('Shuttle Bids'!E714,'Shuttle Bids'!E766,'Shuttle Bids'!E818)</f>
        <v>-312.66666666666669</v>
      </c>
      <c r="AU33" s="78">
        <f>AVERAGE('Shuttle Bids'!F714,'Shuttle Bids'!F766,'Shuttle Bids'!F818)</f>
        <v>-312.66666666666669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Bids'!T818)</f>
        <v>-675</v>
      </c>
      <c r="BG33" s="100">
        <f>AVERAGE('Shuttle Bids'!U714,'Shuttle Bids'!U766,'Shuttle Bids'!U818)</f>
        <v>-800</v>
      </c>
      <c r="BH33" s="78">
        <f>AVERAGE('Shuttle Bids'!V714,'Shuttle Bids'!V766,'Shuttle Bids'!V818)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Bids'!AN860,'Shuttle Bids'!AN808)</f>
        <v>600</v>
      </c>
      <c r="BX33" s="77">
        <f>AVERAGE('Shuttle Bids'!AO756,'Shuttle Bids'!AO860,'Shuttle Bids'!AO808)</f>
        <v>525</v>
      </c>
      <c r="BY33" s="78">
        <f>AVERAGE('Shuttle Bids'!AP756,'Shuttle Bids'!AP860,'Shuttle Bids'!AP808)</f>
        <v>491.66666666666669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5">
      <c r="A34" s="12">
        <f>+'Non-shuttle Bids'!A140</f>
        <v>46</v>
      </c>
      <c r="B34" s="85">
        <f>AVERAGE('Non-shuttle Bids'!D715,'Non-shuttle Bids'!D767,'Non-shuttle Bids'!D819)</f>
        <v>-16.5</v>
      </c>
      <c r="C34" s="85">
        <f>AVERAGE('Non-shuttle Bids'!E715,'Non-shuttle Bids'!E767,'Non-shuttle Bids'!E819)</f>
        <v>0</v>
      </c>
      <c r="D34" s="83">
        <f>AVERAGE('Non-shuttle Bids'!F715,'Non-shuttle Bids'!F767,'Non-shuttle Bids'!F819)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Bids'!AN861,'Non-shuttle Bids'!AN809)</f>
        <v>158.33333333333334</v>
      </c>
      <c r="AG34" s="77">
        <f>AVERAGE('Non-shuttle Bids'!AO757,'Non-shuttle Bids'!AO861,'Non-shuttle Bids'!AO809)</f>
        <v>0</v>
      </c>
      <c r="AH34" s="78">
        <f>AVERAGE('Non-shuttle Bids'!AP757,'Non-shuttle Bids'!AP861,'Non-shuttle Bids'!AP809)</f>
        <v>154.16666666666666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Bids'!E715,'Shuttle Bids'!E767,'Shuttle Bids'!E819)</f>
        <v>-300</v>
      </c>
      <c r="AU34" s="78">
        <f>AVERAGE('Shuttle Bids'!F715,'Shuttle Bids'!F767,'Shuttle Bids'!F819)</f>
        <v>-300</v>
      </c>
      <c r="AV34" s="100"/>
      <c r="AW34" s="100"/>
      <c r="AX34" s="78"/>
      <c r="AY34" s="100"/>
      <c r="AZ34" s="100">
        <f>AVERAGE('Shuttle Bids'!M715,'Shuttle Bids'!M767,'Shuttle Bids'!M819)</f>
        <v>-350</v>
      </c>
      <c r="BA34" s="78">
        <f>AVERAGE('Shuttle Bids'!N715,'Shuttle Bids'!N767,'Shuttle Bids'!N819)</f>
        <v>-350</v>
      </c>
      <c r="BB34" s="12">
        <v>46</v>
      </c>
      <c r="BC34" s="100"/>
      <c r="BD34" s="100">
        <f>AVERAGE('Shuttle Bids'!Q715,'Shuttle Bids'!Q767,'Shuttle Bids'!Q819)</f>
        <v>-625</v>
      </c>
      <c r="BE34" s="78">
        <f>AVERAGE('Shuttle Bids'!R715,'Shuttle Bids'!R767,'Shuttle Bids'!R819)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Bids'!AN861,'Shuttle Bids'!AN809)</f>
        <v>375</v>
      </c>
      <c r="BX34" s="77">
        <f>AVERAGE('Shuttle Bids'!AO757,'Shuttle Bids'!AO861,'Shuttle Bids'!AO809)</f>
        <v>383.33333333333331</v>
      </c>
      <c r="BY34" s="78">
        <f>AVERAGE('Shuttle Bids'!AP757,'Shuttle Bids'!AP861,'Shuttle Bids'!AP809)</f>
        <v>379.16666666666669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5">
      <c r="A35" s="12">
        <f>+'Non-shuttle Bids'!A141</f>
        <v>47</v>
      </c>
      <c r="B35" s="85">
        <f>AVERAGE('Non-shuttle Bids'!D716,'Non-shuttle Bids'!D768,'Non-shuttle Bids'!D820)</f>
        <v>5</v>
      </c>
      <c r="C35" s="85">
        <f>AVERAGE('Non-shuttle Bids'!E716,'Non-shuttle Bids'!E768,'Non-shuttle Bids'!E820)</f>
        <v>-13</v>
      </c>
      <c r="D35" s="83">
        <f>AVERAGE('Non-shuttle Bids'!F716,'Non-shuttle Bids'!F768,'Non-shuttle Bids'!F820)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Bids'!AN862,'Non-shuttle Bids'!AN810)</f>
        <v>171</v>
      </c>
      <c r="AG35" s="77">
        <f>AVERAGE('Non-shuttle Bids'!AO758,'Non-shuttle Bids'!AO862,'Non-shuttle Bids'!AO810)</f>
        <v>79</v>
      </c>
      <c r="AH35" s="78">
        <f>AVERAGE('Non-shuttle Bids'!AP758,'Non-shuttle Bids'!AP862,'Non-shuttle Bids'!AP810)</f>
        <v>178.5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Bids'!E716,'Shuttle Bids'!E768,'Shuttle Bids'!E820)</f>
        <v>-262.5</v>
      </c>
      <c r="AU35" s="78">
        <f>AVERAGE('Shuttle Bids'!F716,'Shuttle Bids'!F768,'Shuttle Bids'!F820)</f>
        <v>-262.5</v>
      </c>
      <c r="AV35" s="100"/>
      <c r="AW35" s="100">
        <f>AVERAGE('Shuttle Bids'!I715,'Shuttle Bids'!I767,'Shuttle Bids'!I819)</f>
        <v>-350</v>
      </c>
      <c r="AX35" s="78">
        <f>AVERAGE('Shuttle Bids'!J715,'Shuttle Bids'!J767,'Shuttle Bids'!J819)</f>
        <v>-350</v>
      </c>
      <c r="AY35" s="100"/>
      <c r="AZ35" s="100">
        <f>AVERAGE('Shuttle Bids'!M716,'Shuttle Bids'!M768,'Shuttle Bids'!M820)</f>
        <v>-300</v>
      </c>
      <c r="BA35" s="78">
        <f>AVERAGE('Shuttle Bids'!N716,'Shuttle Bids'!N768,'Shuttle Bids'!N820)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>
        <f>AVERAGE('Shuttle Bids'!Y715,'Shuttle Bids'!Y767,'Shuttle Bids'!Y819)</f>
        <v>-125</v>
      </c>
      <c r="BK35" s="78">
        <f>AVERAGE('Shuttle Bids'!Z715,'Shuttle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Bids'!AN862,'Shuttle Bids'!AN810)</f>
        <v>508.33333333333331</v>
      </c>
      <c r="BX35" s="77">
        <f>AVERAGE('Shuttle Bids'!AO758,'Shuttle Bids'!AO862,'Shuttle Bids'!AO810)</f>
        <v>416.66666666666669</v>
      </c>
      <c r="BY35" s="78">
        <f>AVERAGE('Shuttle Bids'!AP758,'Shuttle Bids'!AP862,'Shuttle Bids'!AP810)</f>
        <v>462.5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5">
      <c r="A36" s="12">
        <f>+'Non-shuttle Bids'!A142</f>
        <v>48</v>
      </c>
      <c r="B36" s="85">
        <f>AVERAGE('Non-shuttle Bids'!D717,'Non-shuttle Bids'!D769,'Non-shuttle Bids'!D821)</f>
        <v>-12.5</v>
      </c>
      <c r="C36" s="85">
        <f>AVERAGE('Non-shuttle Bids'!E717,'Non-shuttle Bids'!E769,'Non-shuttle Bids'!E821)</f>
        <v>-13</v>
      </c>
      <c r="D36" s="83">
        <f>AVERAGE('Non-shuttle Bids'!F717,'Non-shuttle Bids'!F769,'Non-shuttle Bids'!F821)</f>
        <v>-9.5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Bids'!AN863,'Non-shuttle Bids'!AN811)</f>
        <v>103.33333333333333</v>
      </c>
      <c r="AG36" s="77">
        <f>AVERAGE('Non-shuttle Bids'!AO759,'Non-shuttle Bids'!AO863,'Non-shuttle Bids'!AO811)</f>
        <v>79.5</v>
      </c>
      <c r="AH36" s="78">
        <f>AVERAGE('Non-shuttle Bids'!AP759,'Non-shuttle Bids'!AP863,'Non-shuttle Bids'!AP811)</f>
        <v>111.5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Bids'!D717,'Shuttle Bids'!D769,'Shuttle Bids'!D821)</f>
        <v>-200</v>
      </c>
      <c r="AT36" s="100">
        <f>AVERAGE('Shuttle Bids'!E717,'Shuttle Bids'!E769,'Shuttle Bids'!E821)</f>
        <v>-208.33333333333334</v>
      </c>
      <c r="AU36" s="78">
        <f>AVERAGE('Shuttle Bids'!F717,'Shuttle Bids'!F769,'Shuttle Bids'!F821)</f>
        <v>-200</v>
      </c>
      <c r="AV36" s="100"/>
      <c r="AW36" s="100">
        <f>AVERAGE('Shuttle Bids'!I716,'Shuttle Bids'!I768,'Shuttle Bids'!I820)</f>
        <v>-250</v>
      </c>
      <c r="AX36" s="78">
        <f>AVERAGE('Shuttle Bids'!J716,'Shuttle Bids'!J768,'Shuttle Bids'!J820)</f>
        <v>-250</v>
      </c>
      <c r="AY36" s="100">
        <f>AVERAGE('Shuttle Bids'!L717,'Shuttle Bids'!L769,'Shuttle Bids'!L821)</f>
        <v>13</v>
      </c>
      <c r="AZ36" s="100">
        <f>AVERAGE('Shuttle Bids'!M717,'Shuttle Bids'!M769,'Shuttle Bids'!M821)</f>
        <v>-250</v>
      </c>
      <c r="BA36" s="78">
        <f>AVERAGE('Shuttle Bids'!N717,'Shuttle Bids'!N769,'Shuttle Bids'!N821)</f>
        <v>-209.25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>
        <f>AVERAGE('Shuttle Bids'!Y716,'Shuttle Bids'!Y768,'Shuttle Bids'!Y820)</f>
        <v>-125</v>
      </c>
      <c r="BK36" s="78">
        <f>AVERAGE('Shuttle Bids'!Z716,'Shuttle Bids'!Z768,'Shuttle Bids'!Z820)</f>
        <v>-125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Bids'!AN863,'Shuttle Bids'!AN811)</f>
        <v>286</v>
      </c>
      <c r="BX36" s="77">
        <f>AVERAGE('Shuttle Bids'!AO759,'Shuttle Bids'!AO863,'Shuttle Bids'!AO811)</f>
        <v>262.66666666666669</v>
      </c>
      <c r="BY36" s="78">
        <f>AVERAGE('Shuttle Bids'!AP759,'Shuttle Bids'!AP863,'Shuttle Bids'!AP811)</f>
        <v>274.33333333333331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5">
      <c r="A37" s="12">
        <f>+'Non-shuttle Bids'!A143</f>
        <v>49</v>
      </c>
      <c r="B37" s="85">
        <f>AVERAGE('Non-shuttle Bids'!D718,'Non-shuttle Bids'!D770,'Non-shuttle Bids'!D822)</f>
        <v>6</v>
      </c>
      <c r="C37" s="85">
        <f>AVERAGE('Non-shuttle Bids'!E718,'Non-shuttle Bids'!E770,'Non-shuttle Bids'!E822)</f>
        <v>-46</v>
      </c>
      <c r="D37" s="83">
        <f>AVERAGE('Non-shuttle Bids'!F718,'Non-shuttle Bids'!F770,'Non-shuttle Bids'!F822)</f>
        <v>-8.1666666666666661</v>
      </c>
      <c r="E37" s="100"/>
      <c r="F37" s="100">
        <f>AVERAGE('Non-shuttle Bids'!I821,'Non-shuttle Bids'!I769,'Non-shuttle Bids'!I717)</f>
        <v>0</v>
      </c>
      <c r="G37" s="83">
        <f>AVERAGE('Non-shuttle Bids'!J821,'Non-shuttle Bids'!J769,'Non-shuttle Bids'!J717)</f>
        <v>0</v>
      </c>
      <c r="H37" s="77"/>
      <c r="I37" s="77">
        <f>AVERAGE('Non-shuttle Bids'!M821,'Non-shuttle Bids'!M769,'Non-shuttle Bids'!M717)</f>
        <v>0</v>
      </c>
      <c r="J37" s="78">
        <f>AVERAGE('Non-shuttle Bids'!N821,'Non-shuttle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Bids'!AN864,'Non-shuttle Bids'!AN812)</f>
        <v>-8.5</v>
      </c>
      <c r="AG37" s="77">
        <f>AVERAGE('Non-shuttle Bids'!AO760,'Non-shuttle Bids'!AO864,'Non-shuttle Bids'!AO812)</f>
        <v>14.5</v>
      </c>
      <c r="AH37" s="78">
        <f>AVERAGE('Non-shuttle Bids'!AP760,'Non-shuttle Bids'!AP864,'Non-shuttle Bids'!AP812)</f>
        <v>3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Bids'!D718,'Shuttle Bids'!D770,'Shuttle Bids'!D822)</f>
        <v>-44</v>
      </c>
      <c r="AT37" s="100">
        <f>AVERAGE('Shuttle Bids'!E718,'Shuttle Bids'!E770,'Shuttle Bids'!E822)</f>
        <v>-100</v>
      </c>
      <c r="AU37" s="78">
        <f>AVERAGE('Shuttle Bids'!F718,'Shuttle Bids'!F770,'Shuttle Bids'!F822)</f>
        <v>-98</v>
      </c>
      <c r="AV37" s="100"/>
      <c r="AW37" s="100">
        <f>AVERAGE('Shuttle Bids'!I717,'Shuttle Bids'!I769,'Shuttle Bids'!I821)</f>
        <v>-350</v>
      </c>
      <c r="AX37" s="78">
        <f>AVERAGE('Shuttle Bids'!J717,'Shuttle Bids'!J769,'Shuttle Bids'!J821)</f>
        <v>-350</v>
      </c>
      <c r="AY37" s="100"/>
      <c r="AZ37" s="100">
        <f>AVERAGE('Shuttle Bids'!M718,'Shuttle Bids'!M770,'Shuttle Bids'!M822)</f>
        <v>-208.33333333333334</v>
      </c>
      <c r="BA37" s="78">
        <f>AVERAGE('Shuttle Bids'!N718,'Shuttle Bids'!N770,'Shuttle Bids'!N822)</f>
        <v>-208.33333333333334</v>
      </c>
      <c r="BB37" s="12">
        <v>49</v>
      </c>
      <c r="BC37" s="100">
        <f>AVERAGE('Shuttle Bids'!P718,'Shuttle Bids'!P770,'Shuttle Bids'!P822)</f>
        <v>-200</v>
      </c>
      <c r="BD37" s="100"/>
      <c r="BE37" s="78">
        <f>AVERAGE('Shuttle Bids'!R718,'Shuttle Bids'!R770,'Shuttle Bids'!R822)</f>
        <v>-200</v>
      </c>
      <c r="BF37" s="100"/>
      <c r="BG37" s="100"/>
      <c r="BH37" s="78"/>
      <c r="BI37" s="100"/>
      <c r="BJ37" s="100">
        <f>AVERAGE('Shuttle Bids'!Y717,'Shuttle Bids'!Y769,'Shuttle Bids'!Y821)</f>
        <v>-100</v>
      </c>
      <c r="BK37" s="78">
        <f>AVERAGE('Shuttle Bids'!Z717,'Shuttle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Bids'!AN864,'Shuttle Bids'!AN812)</f>
        <v>719.33333333333337</v>
      </c>
      <c r="BX37" s="77">
        <f>AVERAGE('Shuttle Bids'!AO760,'Shuttle Bids'!AO864,'Shuttle Bids'!AO812)</f>
        <v>271</v>
      </c>
      <c r="BY37" s="78">
        <f>AVERAGE('Shuttle Bids'!AP760,'Shuttle Bids'!AP864,'Shuttle Bids'!AP812)</f>
        <v>495.16666666666669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5">
      <c r="A38" s="12">
        <f>+'Non-shuttle Bids'!A144</f>
        <v>50</v>
      </c>
      <c r="B38" s="85">
        <f>AVERAGE('Non-shuttle Bids'!D719,'Non-shuttle Bids'!D771,'Non-shuttle Bids'!D823)</f>
        <v>15.666666666666666</v>
      </c>
      <c r="C38" s="85">
        <f>AVERAGE('Non-shuttle Bids'!E719,'Non-shuttle Bids'!E771,'Non-shuttle Bids'!E823)</f>
        <v>-25</v>
      </c>
      <c r="D38" s="83">
        <f>AVERAGE('Non-shuttle Bids'!F719,'Non-shuttle Bids'!F771,'Non-shuttle Bids'!F823)</f>
        <v>1.6666666666666667</v>
      </c>
      <c r="E38" s="100">
        <f>AVERAGE('Non-shuttle Bids'!H822,'Non-shuttle Bids'!H770,'Non-shuttle Bids'!H718)</f>
        <v>-25</v>
      </c>
      <c r="F38" s="100">
        <f>AVERAGE('Non-shuttle Bids'!I822,'Non-shuttle Bids'!I770,'Non-shuttle Bids'!I718)</f>
        <v>0</v>
      </c>
      <c r="G38" s="83">
        <f>AVERAGE('Non-shuttle Bids'!J822,'Non-shuttle Bids'!J770,'Non-shuttle Bids'!J718)</f>
        <v>-12.5</v>
      </c>
      <c r="H38" s="77"/>
      <c r="I38" s="77">
        <f>AVERAGE('Non-shuttle Bids'!M822,'Non-shuttle Bids'!M770,'Non-shuttle Bids'!M718)</f>
        <v>0</v>
      </c>
      <c r="J38" s="78">
        <f>AVERAGE('Non-shuttle Bids'!N822,'Non-shuttle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Bids'!AN865,'Non-shuttle Bids'!AN813)</f>
        <v>245.66666666666666</v>
      </c>
      <c r="AG38" s="77">
        <f>AVERAGE('Non-shuttle Bids'!AO761,'Non-shuttle Bids'!AO865,'Non-shuttle Bids'!AO813)</f>
        <v>31.666666666666668</v>
      </c>
      <c r="AH38" s="78">
        <f>AVERAGE('Non-shuttle Bids'!AP761,'Non-shuttle Bids'!AP865,'Non-shuttle Bids'!AP813)</f>
        <v>138.66666666666666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Bids'!D719,'Shuttle Bids'!D771,'Shuttle Bids'!D823)</f>
        <v>-6.5</v>
      </c>
      <c r="AT38" s="100">
        <f>AVERAGE('Shuttle Bids'!E719,'Shuttle Bids'!E771,'Shuttle Bids'!E823)</f>
        <v>-47</v>
      </c>
      <c r="AU38" s="78">
        <f>AVERAGE('Shuttle Bids'!F719,'Shuttle Bids'!F771,'Shuttle Bids'!F823)</f>
        <v>-12.166666666666666</v>
      </c>
      <c r="AV38" s="100"/>
      <c r="AW38" s="100">
        <f>AVERAGE('Shuttle Bids'!I718,'Shuttle Bids'!I770,'Shuttle Bids'!I822)</f>
        <v>-150</v>
      </c>
      <c r="AX38" s="78">
        <f>AVERAGE('Shuttle Bids'!J718,'Shuttle Bids'!J770,'Shuttle Bids'!J822)</f>
        <v>-150</v>
      </c>
      <c r="AY38" s="100"/>
      <c r="AZ38" s="100">
        <f>AVERAGE('Shuttle Bids'!M719,'Shuttle Bids'!M771,'Shuttle Bids'!M823)</f>
        <v>-200</v>
      </c>
      <c r="BA38" s="78">
        <f>AVERAGE('Shuttle Bids'!N719,'Shuttle Bids'!N771,'Shuttle Bids'!N823)</f>
        <v>-200</v>
      </c>
      <c r="BB38" s="12">
        <v>50</v>
      </c>
      <c r="BC38" s="100"/>
      <c r="BD38" s="100">
        <f>AVERAGE('Shuttle Bids'!Q719,'Shuttle Bids'!Q771,'Shuttle Bids'!Q823)</f>
        <v>-400</v>
      </c>
      <c r="BE38" s="78">
        <f>AVERAGE('Shuttle Bids'!R719,'Shuttle Bids'!R771,'Shuttle Bids'!R823)</f>
        <v>-400</v>
      </c>
      <c r="BF38" s="100"/>
      <c r="BG38" s="100"/>
      <c r="BH38" s="78"/>
      <c r="BI38" s="100"/>
      <c r="BJ38" s="100">
        <f>AVERAGE('Shuttle Bids'!Y718,'Shuttle Bids'!Y770,'Shuttle Bids'!Y822)</f>
        <v>-75</v>
      </c>
      <c r="BK38" s="78">
        <f>AVERAGE('Shuttle Bids'!Z718,'Shuttle Bids'!Z770,'Shuttle Bids'!Z822)</f>
        <v>-75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Bids'!AN865,'Shuttle Bids'!AN813)</f>
        <v>622.33333333333337</v>
      </c>
      <c r="BX38" s="77">
        <f>AVERAGE('Shuttle Bids'!AO761,'Shuttle Bids'!AO865,'Shuttle Bids'!AO813)</f>
        <v>400</v>
      </c>
      <c r="BY38" s="78">
        <f>AVERAGE('Shuttle Bids'!AP761,'Shuttle Bids'!AP865,'Shuttle Bids'!AP813)</f>
        <v>511.16666666666669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5">
      <c r="A39" s="12">
        <f>+'Non-shuttle Bids'!A145</f>
        <v>51</v>
      </c>
      <c r="B39" s="85">
        <f>AVERAGE('Non-shuttle Bids'!D720,'Non-shuttle Bids'!D772,'Non-shuttle Bids'!D824)</f>
        <v>12.666666666666666</v>
      </c>
      <c r="C39" s="85">
        <f>AVERAGE('Non-shuttle Bids'!E720,'Non-shuttle Bids'!E772,'Non-shuttle Bids'!E824)</f>
        <v>0</v>
      </c>
      <c r="D39" s="83">
        <f>AVERAGE('Non-shuttle Bids'!F720,'Non-shuttle Bids'!F772,'Non-shuttle Bids'!F824)</f>
        <v>6.333333333333333</v>
      </c>
      <c r="E39" s="100">
        <f>AVERAGE('Non-shuttle Bids'!H823,'Non-shuttle Bids'!H771,'Non-shuttle Bids'!H719)</f>
        <v>-19</v>
      </c>
      <c r="F39" s="100">
        <f>AVERAGE('Non-shuttle Bids'!I823,'Non-shuttle Bids'!I771,'Non-shuttle Bids'!I719)</f>
        <v>0</v>
      </c>
      <c r="G39" s="83">
        <f>AVERAGE('Non-shuttle Bids'!J823,'Non-shuttle Bids'!J771,'Non-shuttle Bids'!J719)</f>
        <v>-9.5</v>
      </c>
      <c r="H39" s="77"/>
      <c r="I39" s="77">
        <f>AVERAGE('Non-shuttle Bids'!M823,'Non-shuttle Bids'!M771,'Non-shuttle Bids'!M719)</f>
        <v>0</v>
      </c>
      <c r="J39" s="78">
        <f>AVERAGE('Non-shuttle Bids'!N823,'Non-shuttle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Bids'!AN866,'Non-shuttle Bids'!AN814)</f>
        <v>197.33333333333334</v>
      </c>
      <c r="AG39" s="77">
        <f>AVERAGE('Non-shuttle Bids'!AO762,'Non-shuttle Bids'!AO866,'Non-shuttle Bids'!AO814)</f>
        <v>-8.3333333333333339</v>
      </c>
      <c r="AH39" s="78">
        <f>AVERAGE('Non-shuttle Bids'!AP762,'Non-shuttle Bids'!AP866,'Non-shuttle Bids'!AP814)</f>
        <v>94.5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Bids'!D824)</f>
        <v>-156</v>
      </c>
      <c r="AT39" s="100">
        <f>AVERAGE('Shuttle Bids'!E720,'Shuttle Bids'!E772,'Shuttle Bids'!E824)</f>
        <v>-87.333333333333329</v>
      </c>
      <c r="AU39" s="78">
        <f>AVERAGE('Shuttle Bids'!F720,'Shuttle Bids'!F772,'Shuttle Bids'!F824)</f>
        <v>-129</v>
      </c>
      <c r="AV39" s="100">
        <f>AVERAGE('Shuttle Bids'!H719,'Shuttle Bids'!H771,'Shuttle Bids'!H823)</f>
        <v>38</v>
      </c>
      <c r="AW39" s="100">
        <f>AVERAGE('Shuttle Bids'!I719,'Shuttle Bids'!I771,'Shuttle Bids'!I823)</f>
        <v>-127.66666666666667</v>
      </c>
      <c r="AX39" s="78">
        <f>AVERAGE('Shuttle Bids'!J719,'Shuttle Bids'!J771,'Shuttle Bids'!J823)</f>
        <v>-82.5</v>
      </c>
      <c r="AY39" s="100"/>
      <c r="AZ39" s="100">
        <f>AVERAGE('Shuttle Bids'!M720,'Shuttle Bids'!M772,'Shuttle Bids'!M824)</f>
        <v>-212.66666666666666</v>
      </c>
      <c r="BA39" s="78">
        <f>AVERAGE('Shuttle Bids'!N720,'Shuttle Bids'!N772,'Shuttle Bids'!N824)</f>
        <v>-212.66666666666666</v>
      </c>
      <c r="BB39" s="12">
        <v>51</v>
      </c>
      <c r="BC39" s="100"/>
      <c r="BD39" s="100"/>
      <c r="BE39" s="78"/>
      <c r="BF39" s="100"/>
      <c r="BG39" s="100"/>
      <c r="BH39" s="78"/>
      <c r="BI39" s="100"/>
      <c r="BJ39" s="100">
        <f>AVERAGE('Shuttle Bids'!Y719,'Shuttle Bids'!Y771,'Shuttle Bids'!Y823)</f>
        <v>-100</v>
      </c>
      <c r="BK39" s="78">
        <f>AVERAGE('Shuttle Bids'!Z719,'Shuttle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Bids'!AN866,'Shuttle Bids'!AN814)</f>
        <v>239</v>
      </c>
      <c r="BX39" s="77">
        <f>AVERAGE('Shuttle Bids'!AO762,'Shuttle Bids'!AO866,'Shuttle Bids'!AO814)</f>
        <v>183.33333333333334</v>
      </c>
      <c r="BY39" s="78">
        <f>AVERAGE('Shuttle Bids'!AP762,'Shuttle Bids'!AP866,'Shuttle Bids'!AP814)</f>
        <v>211.16666666666666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5">
      <c r="A40" s="12">
        <f>+'Non-shuttle Bids'!A146</f>
        <v>52</v>
      </c>
      <c r="B40" s="85">
        <f>AVERAGE('Non-shuttle Bids'!D721,'Non-shuttle Bids'!D773,'Non-shuttle Bids'!D825)</f>
        <v>28.666666666666668</v>
      </c>
      <c r="C40" s="85">
        <f>AVERAGE('Non-shuttle Bids'!E721,'Non-shuttle Bids'!E773,'Non-shuttle Bids'!E825)</f>
        <v>17</v>
      </c>
      <c r="D40" s="83">
        <f>AVERAGE('Non-shuttle Bids'!F721,'Non-shuttle Bids'!F773,'Non-shuttle Bids'!F825)</f>
        <v>22.833333333333332</v>
      </c>
      <c r="E40" s="100">
        <f>AVERAGE('Non-shuttle Bids'!H824,'Non-shuttle Bids'!H772,'Non-shuttle Bids'!H720)</f>
        <v>-19</v>
      </c>
      <c r="F40" s="100">
        <f>AVERAGE('Non-shuttle Bids'!I824,'Non-shuttle Bids'!I772,'Non-shuttle Bids'!I720)</f>
        <v>0</v>
      </c>
      <c r="G40" s="83">
        <f>AVERAGE('Non-shuttle Bids'!J824,'Non-shuttle Bids'!J772,'Non-shuttle Bids'!J720)</f>
        <v>-9.5</v>
      </c>
      <c r="H40" s="77">
        <f>AVERAGE('Non-shuttle Bids'!L824,'Non-shuttle Bids'!L772,'Non-shuttle Bids'!L720)</f>
        <v>25</v>
      </c>
      <c r="I40" s="77">
        <f>AVERAGE('Non-shuttle Bids'!M824,'Non-shuttle Bids'!M772,'Non-shuttle Bids'!M720)</f>
        <v>0</v>
      </c>
      <c r="J40" s="78">
        <f>AVERAGE('Non-shuttle Bids'!N824,'Non-shuttle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Bids'!D825)</f>
        <v>-118</v>
      </c>
      <c r="AT40" s="100">
        <f>AVERAGE('Shuttle Bids'!E721,'Shuttle Bids'!E773,'Shuttle Bids'!E825)</f>
        <v>-108.33333333333333</v>
      </c>
      <c r="AU40" s="78">
        <f>AVERAGE('Shuttle Bids'!F721,'Shuttle Bids'!F773,'Shuttle Bids'!F825)</f>
        <v>-113.16666666666667</v>
      </c>
      <c r="AV40" s="100">
        <f>AVERAGE('Shuttle Bids'!H720,'Shuttle Bids'!H772,'Shuttle Bids'!H824)</f>
        <v>-325</v>
      </c>
      <c r="AW40" s="100">
        <f>AVERAGE('Shuttle Bids'!I720,'Shuttle Bids'!I772,'Shuttle Bids'!I824)</f>
        <v>-127.66666666666667</v>
      </c>
      <c r="AX40" s="78">
        <f>AVERAGE('Shuttle Bids'!J720,'Shuttle Bids'!J772,'Shuttle Bids'!J824)</f>
        <v>-152.66666666666666</v>
      </c>
      <c r="AY40" s="100">
        <f>AVERAGE('Shuttle Bids'!L721,'Shuttle Bids'!L773,'Shuttle Bids'!L825)</f>
        <v>-100</v>
      </c>
      <c r="AZ40" s="100">
        <f>AVERAGE('Shuttle Bids'!M721,'Shuttle Bids'!M773,'Shuttle Bids'!M825)</f>
        <v>-183.33333333333334</v>
      </c>
      <c r="BA40" s="78">
        <f>AVERAGE('Shuttle Bids'!N721,'Shuttle Bids'!N773,'Shuttle Bids'!N825)</f>
        <v>-200</v>
      </c>
      <c r="BB40" s="12">
        <v>52</v>
      </c>
      <c r="BC40" s="100"/>
      <c r="BD40" s="100"/>
      <c r="BE40" s="78"/>
      <c r="BF40" s="100"/>
      <c r="BG40" s="100"/>
      <c r="BH40" s="78"/>
      <c r="BI40" s="100"/>
      <c r="BJ40" s="100"/>
      <c r="BK40" s="78"/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5">
      <c r="A41" s="12">
        <v>1</v>
      </c>
      <c r="B41" s="85">
        <f>AVERAGE('Non-shuttle Bids'!D722,'Non-shuttle Bids'!D774,'Non-shuttle Bids'!D826)</f>
        <v>23</v>
      </c>
      <c r="C41" s="85">
        <f>AVERAGE('Non-shuttle Bids'!E722,'Non-shuttle Bids'!E774,'Non-shuttle Bids'!E826)</f>
        <v>33.333333333333336</v>
      </c>
      <c r="D41" s="83">
        <f>AVERAGE('Non-shuttle Bids'!F722,'Non-shuttle Bids'!F774,'Non-shuttle Bids'!F826)</f>
        <v>28.166666666666668</v>
      </c>
      <c r="E41" s="100">
        <f>AVERAGE('Non-shuttle Bids'!H825,'Non-shuttle Bids'!H773,'Non-shuttle Bids'!H721)</f>
        <v>50</v>
      </c>
      <c r="F41" s="100">
        <f>AVERAGE('Non-shuttle Bids'!I825,'Non-shuttle Bids'!I773,'Non-shuttle Bids'!I721)</f>
        <v>38</v>
      </c>
      <c r="G41" s="83">
        <f>AVERAGE('Non-shuttle Bids'!J825,'Non-shuttle Bids'!J773,'Non-shuttle Bids'!J721)</f>
        <v>34.5</v>
      </c>
      <c r="H41" s="77">
        <f>AVERAGE('Non-shuttle Bids'!L825,'Non-shuttle Bids'!L773,'Non-shuttle Bids'!L721)</f>
        <v>25</v>
      </c>
      <c r="I41" s="77">
        <f>AVERAGE('Non-shuttle Bids'!M825,'Non-shuttle Bids'!M773,'Non-shuttle Bids'!M721)</f>
        <v>0</v>
      </c>
      <c r="J41" s="78">
        <f>AVERAGE('Non-shuttle Bids'!N825,'Non-shuttle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Bids'!D722,'Shuttle Bids'!D774,'Shuttle Bids'!D826)</f>
        <v>-130.66666666666666</v>
      </c>
      <c r="AT41" s="100">
        <f>AVERAGE('Shuttle Bids'!E722,'Shuttle Bids'!E774,'Shuttle Bids'!E826)</f>
        <v>-212.66666666666666</v>
      </c>
      <c r="AU41" s="78">
        <f>AVERAGE('Shuttle Bids'!F722,'Shuttle Bids'!F774,'Shuttle Bids'!F826)</f>
        <v>-171.66666666666666</v>
      </c>
      <c r="AV41" s="100">
        <f>AVERAGE('Shuttle Bids'!H721,'Shuttle Bids'!H773,'Shuttle Bids'!H825)</f>
        <v>-100</v>
      </c>
      <c r="AW41" s="100">
        <f>AVERAGE('Shuttle Bids'!I721,'Shuttle Bids'!I773,'Shuttle Bids'!I825)</f>
        <v>-167</v>
      </c>
      <c r="AX41" s="78">
        <f>AVERAGE('Shuttle Bids'!J721,'Shuttle Bids'!J773,'Shuttle Bids'!J825)</f>
        <v>-187.83333333333334</v>
      </c>
      <c r="AY41" s="100">
        <f>AVERAGE('Shuttle Bids'!L722,'Shuttle Bids'!L774,'Shuttle Bids'!L826)</f>
        <v>-300</v>
      </c>
      <c r="AZ41" s="100">
        <f>AVERAGE('Shuttle Bids'!M722,'Shuttle Bids'!M774,'Shuttle Bids'!M826)</f>
        <v>-229.33333333333334</v>
      </c>
      <c r="BA41" s="78">
        <f>AVERAGE('Shuttle Bids'!N722,'Shuttle Bids'!N774,'Shuttle Bids'!N826)</f>
        <v>-206.33333333333334</v>
      </c>
      <c r="BB41" s="12">
        <v>1</v>
      </c>
      <c r="BC41" s="100"/>
      <c r="BD41" s="100">
        <f>AVERAGE('Shuttle Bids'!Q722,'Shuttle Bids'!Q774,'Shuttle Bids'!Q826)</f>
        <v>-500</v>
      </c>
      <c r="BE41" s="78">
        <f>AVERAGE('Shuttle Bids'!R722,'Shuttle Bids'!R774,'Shuttle Bids'!R826)</f>
        <v>-500</v>
      </c>
      <c r="BF41" s="100">
        <f>AVERAGE('Shuttle Bids'!T722,'Shuttle Bids'!T774,'Shuttle Bids'!T826)</f>
        <v>-550</v>
      </c>
      <c r="BG41" s="100"/>
      <c r="BH41" s="78">
        <f>AVERAGE('Shuttle Bids'!V722,'Shuttle Bids'!V774,'Shuttle Bids'!V826)</f>
        <v>-550</v>
      </c>
      <c r="BI41" s="100"/>
      <c r="BJ41" s="100"/>
      <c r="BK41" s="78"/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5">
      <c r="A42" s="12">
        <f>+A41+1</f>
        <v>2</v>
      </c>
      <c r="B42" s="85">
        <f>AVERAGE('Non-shuttle Bids'!D723,'Non-shuttle Bids'!D775,'Non-shuttle Bids'!D827)</f>
        <v>37.333333333333336</v>
      </c>
      <c r="C42" s="85">
        <f>AVERAGE('Non-shuttle Bids'!E723,'Non-shuttle Bids'!E775,'Non-shuttle Bids'!E827)</f>
        <v>25</v>
      </c>
      <c r="D42" s="83">
        <f>AVERAGE('Non-shuttle Bids'!F723,'Non-shuttle Bids'!F775,'Non-shuttle Bids'!F827)</f>
        <v>31.166666666666668</v>
      </c>
      <c r="E42" s="100">
        <f>AVERAGE('Non-shuttle Bids'!H826,'Non-shuttle Bids'!H774,'Non-shuttle Bids'!H722)</f>
        <v>23</v>
      </c>
      <c r="F42" s="100">
        <f>AVERAGE('Non-shuttle Bids'!I826,'Non-shuttle Bids'!I774,'Non-shuttle Bids'!I722)</f>
        <v>31.5</v>
      </c>
      <c r="G42" s="83">
        <f>AVERAGE('Non-shuttle Bids'!J826,'Non-shuttle Bids'!J774,'Non-shuttle Bids'!J722)</f>
        <v>27.25</v>
      </c>
      <c r="H42" s="77">
        <f>AVERAGE('Non-shuttle Bids'!L826,'Non-shuttle Bids'!L774,'Non-shuttle Bids'!L722)</f>
        <v>17</v>
      </c>
      <c r="I42" s="77">
        <f>AVERAGE('Non-shuttle Bids'!M826,'Non-shuttle Bids'!M774,'Non-shuttle Bids'!M722)</f>
        <v>0</v>
      </c>
      <c r="J42" s="78">
        <f>AVERAGE('Non-shuttle Bids'!N826,'Non-shuttle Bids'!N774,'Non-shuttle Bids'!N722)</f>
        <v>8.5</v>
      </c>
      <c r="K42" s="12">
        <f>+K41+1</f>
        <v>2</v>
      </c>
      <c r="L42" s="77"/>
      <c r="M42" s="77">
        <f>AVERAGE('Non-shuttle Bids'!Q827,'Non-shuttle Bids'!Q723,'Non-shuttle Bids'!Q775)</f>
        <v>0</v>
      </c>
      <c r="N42" s="78">
        <f>AVERAGE('Non-shuttle Bids'!R827,'Non-shuttle Bids'!R723,'Non-shuttle Bids'!R775)</f>
        <v>0</v>
      </c>
      <c r="O42" s="106"/>
      <c r="P42" s="106">
        <f>AVERAGE('Non-shuttle Bids'!U827,'Non-shuttle Bids'!U723,'Non-shuttle Bids'!U775)</f>
        <v>0</v>
      </c>
      <c r="Q42" s="107">
        <f>AVERAGE('Non-shuttle Bids'!V827,'Non-shuttle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Bids'!D827)</f>
        <v>-179.33333333333334</v>
      </c>
      <c r="AT42" s="100">
        <f>AVERAGE('Shuttle Bids'!E723,'Shuttle Bids'!E775,'Shuttle Bids'!E827)</f>
        <v>-125</v>
      </c>
      <c r="AU42" s="78">
        <f>AVERAGE('Shuttle Bids'!F723,'Shuttle Bids'!F775,'Shuttle Bids'!F827)</f>
        <v>-135.5</v>
      </c>
      <c r="AV42" s="100">
        <f>AVERAGE('Shuttle Bids'!H722,'Shuttle Bids'!H774,'Shuttle Bids'!H826)</f>
        <v>-50</v>
      </c>
      <c r="AW42" s="100">
        <f>AVERAGE('Shuttle Bids'!I722,'Shuttle Bids'!I774,'Shuttle Bids'!I826)</f>
        <v>-196</v>
      </c>
      <c r="AX42" s="78">
        <f>AVERAGE('Shuttle Bids'!J722,'Shuttle Bids'!J774,'Shuttle Bids'!J826)</f>
        <v>-146</v>
      </c>
      <c r="AY42" s="100">
        <f>AVERAGE('Shuttle Bids'!L723,'Shuttle Bids'!L775,'Shuttle Bids'!L827)</f>
        <v>-350</v>
      </c>
      <c r="AZ42" s="100">
        <f>AVERAGE('Shuttle Bids'!M723,'Shuttle Bids'!M775,'Shuttle Bids'!M827)</f>
        <v>-246</v>
      </c>
      <c r="BA42" s="78">
        <f>AVERAGE('Shuttle Bids'!N723,'Shuttle Bids'!N775,'Shuttle Bids'!N827)</f>
        <v>-223</v>
      </c>
      <c r="BB42" s="12">
        <v>2</v>
      </c>
      <c r="BC42" s="100"/>
      <c r="BD42" s="100"/>
      <c r="BE42" s="78"/>
      <c r="BF42" s="100"/>
      <c r="BG42" s="100"/>
      <c r="BH42" s="78"/>
      <c r="BI42" s="100"/>
      <c r="BJ42" s="100"/>
      <c r="BK42" s="78"/>
      <c r="BL42" s="12">
        <v>2</v>
      </c>
      <c r="BM42" s="100"/>
      <c r="BN42" s="100"/>
      <c r="BO42" s="78"/>
      <c r="BP42" s="49"/>
      <c r="BQ42" s="49"/>
    </row>
    <row r="43" spans="1:85" x14ac:dyDescent="0.25">
      <c r="A43" s="12">
        <f>+A42+1</f>
        <v>3</v>
      </c>
      <c r="B43" s="100"/>
      <c r="C43" s="100"/>
      <c r="D43" s="85"/>
      <c r="E43" s="100">
        <f>AVERAGE('Non-shuttle Bids'!H827,'Non-shuttle Bids'!H775,'Non-shuttle Bids'!H723)</f>
        <v>20</v>
      </c>
      <c r="F43" s="100">
        <f>AVERAGE('Non-shuttle Bids'!I827,'Non-shuttle Bids'!I775,'Non-shuttle Bids'!I723)</f>
        <v>25</v>
      </c>
      <c r="G43" s="83">
        <f>AVERAGE('Non-shuttle Bids'!J827,'Non-shuttle Bids'!J775,'Non-shuttle Bids'!J723)</f>
        <v>22.5</v>
      </c>
      <c r="H43" s="77">
        <f>AVERAGE('Non-shuttle Bids'!L827,'Non-shuttle Bids'!L775,'Non-shuttle Bids'!L723)</f>
        <v>67</v>
      </c>
      <c r="I43" s="77">
        <f>AVERAGE('Non-shuttle Bids'!M827,'Non-shuttle Bids'!M775,'Non-shuttle Bids'!M723)</f>
        <v>0</v>
      </c>
      <c r="J43" s="78">
        <f>AVERAGE('Non-shuttle Bids'!N827,'Non-shuttle Bids'!N775,'Non-shuttle Bids'!N723)</f>
        <v>33.5</v>
      </c>
      <c r="K43" s="12">
        <f>+K42+1</f>
        <v>3</v>
      </c>
      <c r="L43" s="77">
        <f>AVERAGE('Non-shuttle Bids'!P828,'Non-shuttle Bids'!P724,'Non-shuttle Bids'!P776)</f>
        <v>75</v>
      </c>
      <c r="M43" s="77">
        <f>AVERAGE('Non-shuttle Bids'!Q828,'Non-shuttle Bids'!Q724,'Non-shuttle Bids'!Q776)</f>
        <v>0</v>
      </c>
      <c r="N43" s="78">
        <f>AVERAGE('Non-shuttle Bids'!R828,'Non-shuttle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Bids'!H827)</f>
        <v>-138</v>
      </c>
      <c r="AW43" s="100">
        <f>AVERAGE('Shuttle Bids'!I723,'Shuttle Bids'!I775,'Shuttle Bids'!I827)</f>
        <v>-208.33333333333334</v>
      </c>
      <c r="AX43" s="78">
        <f>AVERAGE('Shuttle Bids'!J723,'Shuttle Bids'!J775,'Shuttle Bids'!J827)</f>
        <v>-160.5</v>
      </c>
      <c r="AY43" s="100">
        <f>AVERAGE('Shuttle Bids'!L724,'Shuttle Bids'!L776,'Shuttle Bids'!L828)</f>
        <v>-300</v>
      </c>
      <c r="AZ43" s="100">
        <f>AVERAGE('Shuttle Bids'!M724,'Shuttle Bids'!M776,'Shuttle Bids'!M828)</f>
        <v>-250</v>
      </c>
      <c r="BA43" s="78">
        <f>AVERAGE('Shuttle Bids'!N724,'Shuttle Bids'!N776,'Shuttle Bids'!N828)</f>
        <v>-220.83333333333334</v>
      </c>
      <c r="BB43" s="12">
        <v>3</v>
      </c>
      <c r="BC43" s="100"/>
      <c r="BD43" s="100">
        <f>AVERAGE('Shuttle Bids'!Q724,'Shuttle Bids'!Q776,'Shuttle Bids'!Q828)</f>
        <v>-550</v>
      </c>
      <c r="BE43" s="78">
        <f>AVERAGE('Shuttle Bids'!R724,'Shuttle Bids'!R776,'Shuttle Bids'!R828)</f>
        <v>-550</v>
      </c>
      <c r="BF43" s="100"/>
      <c r="BG43" s="100"/>
      <c r="BH43" s="78"/>
      <c r="BI43" s="100"/>
      <c r="BJ43" s="100"/>
      <c r="BK43" s="78"/>
      <c r="BL43" s="12">
        <v>3</v>
      </c>
      <c r="BM43" s="100">
        <f>AVERAGE('Shuttle Bids'!AB723,'Shuttle Bids'!AB775,'Shuttle Bids'!AB827)</f>
        <v>-300</v>
      </c>
      <c r="BN43" s="100">
        <f>AVERAGE('Shuttle Bids'!AC723,'Shuttle Bids'!AC775,'Shuttle Bids'!AC827)</f>
        <v>-275</v>
      </c>
      <c r="BO43" s="78">
        <f>AVERAGE('Shuttle Bids'!AD723,'Shuttle Bids'!AD775,'Shuttle Bids'!AD827)</f>
        <v>-287.5</v>
      </c>
      <c r="BP43" s="49"/>
      <c r="BQ43" s="49"/>
    </row>
    <row r="44" spans="1:85" x14ac:dyDescent="0.25">
      <c r="A44" s="12">
        <v>4</v>
      </c>
      <c r="B44" s="100"/>
      <c r="C44" s="100"/>
      <c r="D44" s="85"/>
      <c r="E44" s="100">
        <f>AVERAGE('Non-shuttle Bids'!H828,'Non-shuttle Bids'!H776,'Non-shuttle Bids'!H724)</f>
        <v>28.5</v>
      </c>
      <c r="F44" s="100">
        <f>AVERAGE('Non-shuttle Bids'!I828,'Non-shuttle Bids'!I776,'Non-shuttle Bids'!I724)</f>
        <v>25.5</v>
      </c>
      <c r="G44" s="83">
        <f>AVERAGE('Non-shuttle Bids'!J828,'Non-shuttle Bids'!J776,'Non-shuttle Bids'!J724)</f>
        <v>27</v>
      </c>
      <c r="H44" s="77">
        <f>AVERAGE('Non-shuttle Bids'!L828,'Non-shuttle Bids'!L776,'Non-shuttle Bids'!L724)</f>
        <v>29</v>
      </c>
      <c r="I44" s="77">
        <f>AVERAGE('Non-shuttle Bids'!M828,'Non-shuttle Bids'!M776,'Non-shuttle Bids'!M724)</f>
        <v>0</v>
      </c>
      <c r="J44" s="78">
        <f>AVERAGE('Non-shuttle Bids'!N828,'Non-shuttle Bids'!N776,'Non-shuttle Bids'!N724)</f>
        <v>14.5</v>
      </c>
      <c r="K44" s="12">
        <v>4</v>
      </c>
      <c r="L44" s="77"/>
      <c r="M44" s="77">
        <f>AVERAGE('Non-shuttle Bids'!Q829,'Non-shuttle Bids'!Q725,'Non-shuttle Bids'!Q777)</f>
        <v>0</v>
      </c>
      <c r="N44" s="78">
        <f>AVERAGE('Non-shuttle Bids'!R829,'Non-shuttle Bids'!R725,'Non-shuttle Bids'!R777)</f>
        <v>0</v>
      </c>
      <c r="O44" s="106"/>
      <c r="P44" s="106">
        <f>AVERAGE('Non-shuttle Bids'!U829,'Non-shuttle Bids'!U725,'Non-shuttle Bids'!U777)</f>
        <v>0</v>
      </c>
      <c r="Q44" s="107">
        <f>AVERAGE('Non-shuttle Bids'!V829,'Non-shuttle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Bids'!H828)</f>
        <v>-109</v>
      </c>
      <c r="AW44" s="100">
        <f>AVERAGE('Shuttle Bids'!I724,'Shuttle Bids'!I776,'Shuttle Bids'!I828)</f>
        <v>-248</v>
      </c>
      <c r="AX44" s="78">
        <f>AVERAGE('Shuttle Bids'!J724,'Shuttle Bids'!J776,'Shuttle Bids'!J828)</f>
        <v>-178.5</v>
      </c>
      <c r="AY44" s="100">
        <f>AVERAGE('Shuttle Bids'!L725,'Shuttle Bids'!L777,'Shuttle Bids'!L829)</f>
        <v>-225</v>
      </c>
      <c r="AZ44" s="100">
        <f>AVERAGE('Shuttle Bids'!M725,'Shuttle Bids'!M777,'Shuttle Bids'!M829)</f>
        <v>-241.66666666666666</v>
      </c>
      <c r="BA44" s="78">
        <f>AVERAGE('Shuttle Bids'!N725,'Shuttle Bids'!N777,'Shuttle Bids'!N829)</f>
        <v>-208.33333333333334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/>
      <c r="BK44" s="78"/>
      <c r="BL44" s="12">
        <v>4</v>
      </c>
      <c r="BM44" s="100"/>
      <c r="BN44" s="100"/>
      <c r="BO44" s="78"/>
      <c r="BP44" s="100"/>
      <c r="BQ44" s="100">
        <f>AVERAGE('Shuttle Bids'!AG724,'Shuttle Bids'!AG776,'Shuttle Bids'!AG828)</f>
        <v>-50</v>
      </c>
      <c r="BR44" s="78">
        <f>AVERAGE('Shuttle Bids'!AH724,'Shuttle Bids'!AH776,'Shuttle Bids'!AH828)</f>
        <v>-50</v>
      </c>
    </row>
    <row r="45" spans="1:85" x14ac:dyDescent="0.25">
      <c r="A45" s="12">
        <v>5</v>
      </c>
      <c r="B45" s="100"/>
      <c r="C45" s="100"/>
      <c r="D45" s="85"/>
      <c r="E45" s="100">
        <f>AVERAGE('Non-shuttle Bids'!H829,'Non-shuttle Bids'!H777,'Non-shuttle Bids'!H725)</f>
        <v>71</v>
      </c>
      <c r="F45" s="100">
        <f>AVERAGE('Non-shuttle Bids'!I829,'Non-shuttle Bids'!I777,'Non-shuttle Bids'!I725)</f>
        <v>9</v>
      </c>
      <c r="G45" s="83">
        <f>AVERAGE('Non-shuttle Bids'!J829,'Non-shuttle Bids'!J777,'Non-shuttle Bids'!J725)</f>
        <v>29.833333333333332</v>
      </c>
      <c r="H45" s="77">
        <f>AVERAGE('Non-shuttle Bids'!L829,'Non-shuttle Bids'!L777,'Non-shuttle Bids'!L725)</f>
        <v>35</v>
      </c>
      <c r="I45" s="77">
        <f>AVERAGE('Non-shuttle Bids'!M829,'Non-shuttle Bids'!M777,'Non-shuttle Bids'!M725)</f>
        <v>0</v>
      </c>
      <c r="J45" s="78">
        <f>AVERAGE('Non-shuttle Bids'!N829,'Non-shuttle Bids'!N777,'Non-shuttle Bids'!N725)</f>
        <v>17.5</v>
      </c>
      <c r="K45" s="12">
        <v>5</v>
      </c>
      <c r="L45" s="77"/>
      <c r="M45" s="77">
        <f>AVERAGE('Non-shuttle Bids'!Q830,'Non-shuttle Bids'!Q726,'Non-shuttle Bids'!Q778)</f>
        <v>0</v>
      </c>
      <c r="N45" s="78">
        <f>AVERAGE('Non-shuttle Bids'!R830,'Non-shuttle Bids'!R726,'Non-shuttle Bids'!R778)</f>
        <v>0</v>
      </c>
      <c r="O45" s="106"/>
      <c r="P45" s="106">
        <f>AVERAGE('Non-shuttle Bids'!U830,'Non-shuttle Bids'!U726,'Non-shuttle Bids'!U778)</f>
        <v>0</v>
      </c>
      <c r="Q45" s="107">
        <f>AVERAGE('Non-shuttle Bids'!V830,'Non-shuttle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Bids'!H829)</f>
        <v>-121</v>
      </c>
      <c r="AW45" s="100">
        <f>AVERAGE('Shuttle Bids'!I725,'Shuttle Bids'!I777,'Shuttle Bids'!I829)</f>
        <v>-183.66666666666666</v>
      </c>
      <c r="AX45" s="78">
        <f>AVERAGE('Shuttle Bids'!J725,'Shuttle Bids'!J777,'Shuttle Bids'!J829)</f>
        <v>-152.33333333333334</v>
      </c>
      <c r="AY45" s="100">
        <f>AVERAGE('Shuttle Bids'!L726,'Shuttle Bids'!L778,'Shuttle Bids'!L830)</f>
        <v>-71</v>
      </c>
      <c r="AZ45" s="100">
        <f>AVERAGE('Shuttle Bids'!M726,'Shuttle Bids'!M778,'Shuttle Bids'!M830)</f>
        <v>-254.33333333333334</v>
      </c>
      <c r="BA45" s="78">
        <f>AVERAGE('Shuttle Bids'!N726,'Shuttle Bids'!N778,'Shuttle Bids'!N830)</f>
        <v>-205.66666666666666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Bids'!AG725,'Shuttle Bids'!AG777,'Shuttle Bids'!AG829)</f>
        <v>-50</v>
      </c>
      <c r="BR45" s="78">
        <f>AVERAGE('Shuttle Bids'!AH725,'Shuttle Bids'!AH777,'Shuttle Bids'!AH829)</f>
        <v>-50</v>
      </c>
    </row>
    <row r="46" spans="1:85" x14ac:dyDescent="0.25">
      <c r="A46" s="12">
        <v>6</v>
      </c>
      <c r="B46" s="100"/>
      <c r="C46" s="100"/>
      <c r="D46" s="85"/>
      <c r="E46" s="100">
        <f>AVERAGE('Non-shuttle Bids'!H830,'Non-shuttle Bids'!H778,'Non-shuttle Bids'!H726)</f>
        <v>62.333333333333336</v>
      </c>
      <c r="F46" s="100">
        <f>AVERAGE('Non-shuttle Bids'!I830,'Non-shuttle Bids'!I778,'Non-shuttle Bids'!I726)</f>
        <v>27</v>
      </c>
      <c r="G46" s="83">
        <f>AVERAGE('Non-shuttle Bids'!J830,'Non-shuttle Bids'!J778,'Non-shuttle Bids'!J726)</f>
        <v>38</v>
      </c>
      <c r="H46" s="77">
        <f>AVERAGE('Non-shuttle Bids'!L830,'Non-shuttle Bids'!L778,'Non-shuttle Bids'!L726)</f>
        <v>37.5</v>
      </c>
      <c r="I46" s="77">
        <f>AVERAGE('Non-shuttle Bids'!M830,'Non-shuttle Bids'!M778,'Non-shuttle Bids'!M726)</f>
        <v>0</v>
      </c>
      <c r="J46" s="78">
        <f>AVERAGE('Non-shuttle Bids'!N830,'Non-shuttle Bids'!N778,'Non-shuttle Bids'!N726)</f>
        <v>12.5</v>
      </c>
      <c r="K46" s="12">
        <v>6</v>
      </c>
      <c r="L46" s="77"/>
      <c r="M46" s="77">
        <f>AVERAGE('Non-shuttle Bids'!Q831,'Non-shuttle Bids'!Q727,'Non-shuttle Bids'!Q779)</f>
        <v>0</v>
      </c>
      <c r="N46" s="78">
        <f>AVERAGE('Non-shuttle Bids'!R831,'Non-shuttle Bids'!R727,'Non-shuttle Bids'!R779)</f>
        <v>0</v>
      </c>
      <c r="O46" s="106"/>
      <c r="P46" s="106">
        <f>AVERAGE('Non-shuttle Bids'!U831,'Non-shuttle Bids'!U727,'Non-shuttle Bids'!U779)</f>
        <v>-13</v>
      </c>
      <c r="Q46" s="107">
        <f>AVERAGE('Non-shuttle Bids'!V831,'Non-shuttle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Bids'!H830)</f>
        <v>76.666666666666671</v>
      </c>
      <c r="AW46" s="100">
        <f>AVERAGE('Shuttle Bids'!I726,'Shuttle Bids'!I778,'Shuttle Bids'!I830)</f>
        <v>-96</v>
      </c>
      <c r="AX46" s="78">
        <f>AVERAGE('Shuttle Bids'!J726,'Shuttle Bids'!J778,'Shuttle Bids'!J830)</f>
        <v>-9.6666666666666661</v>
      </c>
      <c r="AY46" s="100">
        <f>AVERAGE('Shuttle Bids'!L727,'Shuttle Bids'!L779,'Shuttle Bids'!L831)</f>
        <v>-125</v>
      </c>
      <c r="AZ46" s="100">
        <f>AVERAGE('Shuttle Bids'!M727,'Shuttle Bids'!M779,'Shuttle Bids'!M831)</f>
        <v>-201.33333333333334</v>
      </c>
      <c r="BA46" s="78">
        <f>AVERAGE('Shuttle Bids'!N727,'Shuttle Bids'!N779,'Shuttle Bids'!N831)</f>
        <v>-163.16666666666666</v>
      </c>
      <c r="BB46" s="12">
        <v>6</v>
      </c>
      <c r="BC46" s="100">
        <f>AVERAGE('Shuttle Bids'!P727,'Shuttle Bids'!P779,'Shuttle Bids'!P831)</f>
        <v>-375</v>
      </c>
      <c r="BD46" s="100"/>
      <c r="BE46" s="78">
        <f>AVERAGE('Shuttle Bids'!R727,'Shuttle Bids'!R779,'Shuttle Bids'!R831)</f>
        <v>-375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Bids'!AG726,'Shuttle Bids'!AG778,'Shuttle Bids'!AG830)</f>
        <v>-50</v>
      </c>
      <c r="BR46" s="78">
        <f>AVERAGE('Shuttle Bids'!AH726,'Shuttle Bids'!AH778,'Shuttle Bids'!AH830)</f>
        <v>-50</v>
      </c>
    </row>
    <row r="47" spans="1:85" x14ac:dyDescent="0.25">
      <c r="A47" s="12">
        <v>7</v>
      </c>
      <c r="B47" s="100"/>
      <c r="C47" s="100"/>
      <c r="D47" s="85"/>
      <c r="E47" s="100">
        <f>AVERAGE('Non-shuttle Bids'!H831,'Non-shuttle Bids'!H779,'Non-shuttle Bids'!H727)</f>
        <v>74.666666666666671</v>
      </c>
      <c r="F47" s="100">
        <f>AVERAGE('Non-shuttle Bids'!I831,'Non-shuttle Bids'!I779,'Non-shuttle Bids'!I727)</f>
        <v>8.3333333333333339</v>
      </c>
      <c r="G47" s="83">
        <f>AVERAGE('Non-shuttle Bids'!J831,'Non-shuttle Bids'!J779,'Non-shuttle Bids'!J727)</f>
        <v>41.5</v>
      </c>
      <c r="H47" s="77">
        <f>AVERAGE('Non-shuttle Bids'!L831,'Non-shuttle Bids'!L779,'Non-shuttle Bids'!L727)</f>
        <v>85</v>
      </c>
      <c r="I47" s="77">
        <f>AVERAGE('Non-shuttle Bids'!M831,'Non-shuttle Bids'!M779,'Non-shuttle Bids'!M727)</f>
        <v>4.333333333333333</v>
      </c>
      <c r="J47" s="78">
        <f>AVERAGE('Non-shuttle Bids'!N831,'Non-shuttle Bids'!N779,'Non-shuttle Bids'!N727)</f>
        <v>32.666666666666664</v>
      </c>
      <c r="K47" s="12">
        <v>7</v>
      </c>
      <c r="L47" s="77">
        <f>AVERAGE('Non-shuttle Bids'!P832,'Non-shuttle Bids'!P728,'Non-shuttle Bids'!P780)</f>
        <v>25</v>
      </c>
      <c r="M47" s="77">
        <f>AVERAGE('Non-shuttle Bids'!Q832,'Non-shuttle Bids'!Q728,'Non-shuttle Bids'!Q780)</f>
        <v>-5</v>
      </c>
      <c r="N47" s="78">
        <f>AVERAGE('Non-shuttle Bids'!R832,'Non-shuttle Bids'!R728,'Non-shuttle Bids'!R780)</f>
        <v>10</v>
      </c>
      <c r="O47" s="106">
        <f>AVERAGE('Non-shuttle Bids'!T832,'Non-shuttle Bids'!T728,'Non-shuttle Bids'!T780)</f>
        <v>25</v>
      </c>
      <c r="P47" s="106">
        <f>AVERAGE('Non-shuttle Bids'!U832,'Non-shuttle Bids'!U728,'Non-shuttle Bids'!U780)</f>
        <v>0</v>
      </c>
      <c r="Q47" s="107">
        <f>AVERAGE('Non-shuttle Bids'!V832,'Non-shuttle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Bids'!H831)</f>
        <v>-22.333333333333332</v>
      </c>
      <c r="AW47" s="100">
        <f>AVERAGE('Shuttle Bids'!I727,'Shuttle Bids'!I779,'Shuttle Bids'!I831)</f>
        <v>-104.33333333333333</v>
      </c>
      <c r="AX47" s="78">
        <f>AVERAGE('Shuttle Bids'!J727,'Shuttle Bids'!J779,'Shuttle Bids'!J831)</f>
        <v>-63.333333333333336</v>
      </c>
      <c r="AY47" s="100">
        <f>AVERAGE('Shuttle Bids'!L728,'Shuttle Bids'!L780,'Shuttle Bids'!L832)</f>
        <v>43.333333333333336</v>
      </c>
      <c r="AZ47" s="100">
        <f>AVERAGE('Shuttle Bids'!M728,'Shuttle Bids'!M780,'Shuttle Bids'!M832)</f>
        <v>-185</v>
      </c>
      <c r="BA47" s="78">
        <f>AVERAGE('Shuttle Bids'!N728,'Shuttle Bids'!N780,'Shuttle Bids'!N832)</f>
        <v>-70.833333333333329</v>
      </c>
      <c r="BB47" s="12">
        <v>7</v>
      </c>
      <c r="BC47" s="100">
        <f>AVERAGE('Shuttle Bids'!P728,'Shuttle Bids'!P780,'Shuttle Bids'!P832)</f>
        <v>-219</v>
      </c>
      <c r="BD47" s="100">
        <f>AVERAGE('Shuttle Bids'!Q728,'Shuttle Bids'!Q780,'Shuttle Bids'!Q832)</f>
        <v>-362.5</v>
      </c>
      <c r="BE47" s="78">
        <f>AVERAGE('Shuttle Bids'!R728,'Shuttle Bids'!R780,'Shuttle Bids'!R832)</f>
        <v>-335.5</v>
      </c>
      <c r="BF47" s="100"/>
      <c r="BG47" s="100">
        <f>AVERAGE('Shuttle Bids'!U728,'Shuttle Bids'!U780,'Shuttle Bids'!U832)</f>
        <v>-500</v>
      </c>
      <c r="BH47" s="78">
        <f>AVERAGE('Shuttle Bids'!V728,'Shuttle Bids'!V780,'Shuttle Bids'!V832)</f>
        <v>-500</v>
      </c>
      <c r="BI47" s="100"/>
      <c r="BJ47" s="100"/>
      <c r="BK47" s="78"/>
      <c r="BL47" s="12">
        <v>7</v>
      </c>
      <c r="BM47" s="100">
        <f>AVERAGE('Shuttle Bids'!AB727,'Shuttle Bids'!AB779,'Shuttle Bids'!AB831)</f>
        <v>-300</v>
      </c>
      <c r="BN47" s="100"/>
      <c r="BO47" s="78">
        <f>AVERAGE('Shuttle Bids'!AD727,'Shuttle Bids'!AD779,'Shuttle Bids'!AD831)</f>
        <v>-300</v>
      </c>
      <c r="BP47" s="100">
        <f>AVERAGE('Shuttle Bids'!AF727,'Shuttle Bids'!AF779,'Shuttle Bids'!AF831)</f>
        <v>-300</v>
      </c>
      <c r="BQ47" s="100">
        <f>AVERAGE('Shuttle Bids'!AG727,'Shuttle Bids'!AG779,'Shuttle Bids'!AG831)</f>
        <v>-50</v>
      </c>
      <c r="BR47" s="78">
        <f>AVERAGE('Shuttle Bids'!AH727,'Shuttle Bids'!AH779,'Shuttle Bids'!AH831)</f>
        <v>-175</v>
      </c>
      <c r="BS47" s="49"/>
      <c r="BT47" s="49"/>
      <c r="BU47" s="49"/>
    </row>
    <row r="48" spans="1:85" x14ac:dyDescent="0.25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Bids'!L728)</f>
        <v>150.5</v>
      </c>
      <c r="I48" s="77">
        <f>AVERAGE('Non-shuttle Bids'!M832,'Non-shuttle Bids'!M780,'Non-shuttle Bids'!M728)</f>
        <v>6</v>
      </c>
      <c r="J48" s="78">
        <f>AVERAGE('Non-shuttle Bids'!N832,'Non-shuttle Bids'!N780,'Non-shuttle Bids'!N728)</f>
        <v>54</v>
      </c>
      <c r="K48" s="12">
        <v>8</v>
      </c>
      <c r="L48" s="77">
        <f>AVERAGE('Non-shuttle Bids'!P833,'Non-shuttle Bids'!P729,'Non-shuttle Bids'!P781)</f>
        <v>92</v>
      </c>
      <c r="M48" s="77">
        <f>AVERAGE('Non-shuttle Bids'!Q833,'Non-shuttle Bids'!Q729,'Non-shuttle Bids'!Q781)</f>
        <v>0</v>
      </c>
      <c r="N48" s="78">
        <f>AVERAGE('Non-shuttle Bids'!R833,'Non-shuttle Bids'!R729,'Non-shuttle Bids'!R781)</f>
        <v>46</v>
      </c>
      <c r="O48" s="106">
        <f>AVERAGE('Non-shuttle Bids'!T833,'Non-shuttle Bids'!T729,'Non-shuttle Bids'!T781)</f>
        <v>25</v>
      </c>
      <c r="P48" s="106">
        <f>AVERAGE('Non-shuttle Bids'!U833,'Non-shuttle Bids'!U729,'Non-shuttle Bids'!U781)</f>
        <v>0</v>
      </c>
      <c r="Q48" s="107">
        <f>AVERAGE('Non-shuttle Bids'!V833,'Non-shuttle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Bids'!L833)</f>
        <v>2.6666666666666665</v>
      </c>
      <c r="AZ48" s="100">
        <f>AVERAGE('Shuttle Bids'!M729,'Shuttle Bids'!M781,'Shuttle Bids'!M833)</f>
        <v>-59</v>
      </c>
      <c r="BA48" s="78">
        <f>AVERAGE('Shuttle Bids'!N729,'Shuttle Bids'!N781,'Shuttle Bids'!N833)</f>
        <v>-28.166666666666668</v>
      </c>
      <c r="BB48" s="12">
        <v>8</v>
      </c>
      <c r="BC48" s="100">
        <f>AVERAGE('Shuttle Bids'!P729,'Shuttle Bids'!P781,'Shuttle Bids'!P833)</f>
        <v>-325</v>
      </c>
      <c r="BD48" s="100">
        <f>AVERAGE('Shuttle Bids'!Q729,'Shuttle Bids'!Q781,'Shuttle Bids'!Q833)</f>
        <v>-275</v>
      </c>
      <c r="BE48" s="78">
        <f>AVERAGE('Shuttle Bids'!R729,'Shuttle Bids'!R781,'Shuttle Bids'!R833)</f>
        <v>-256.25</v>
      </c>
      <c r="BF48" s="100"/>
      <c r="BG48" s="100">
        <f>AVERAGE('Shuttle Bids'!U729,'Shuttle Bids'!U781,'Shuttle Bids'!U833)</f>
        <v>-300</v>
      </c>
      <c r="BH48" s="78">
        <f>AVERAGE('Shuttle Bids'!V729,'Shuttle Bids'!V781,'Shuttle Bids'!V833)</f>
        <v>-300</v>
      </c>
      <c r="BI48" s="100"/>
      <c r="BJ48" s="100">
        <f>AVERAGE('Shuttle Bids'!Y728,'Shuttle Bids'!Y780,'Shuttle Bids'!Y832)</f>
        <v>-350</v>
      </c>
      <c r="BK48" s="78">
        <f>AVERAGE('Shuttle Bids'!Z728,'Shuttle Bids'!Z780,'Shuttle Bids'!Z832)</f>
        <v>-350</v>
      </c>
      <c r="BL48" s="12">
        <v>8</v>
      </c>
      <c r="BM48" s="100"/>
      <c r="BN48" s="100">
        <f>AVERAGE('Shuttle Bids'!AC728,'Shuttle Bids'!AC780,'Shuttle Bids'!AC832)</f>
        <v>-250</v>
      </c>
      <c r="BO48" s="78">
        <f>AVERAGE('Shuttle Bids'!AD728,'Shuttle Bids'!AD780,'Shuttle Bids'!AD832)</f>
        <v>-250</v>
      </c>
      <c r="BP48" s="100">
        <f>AVERAGE('Shuttle Bids'!AF728,'Shuttle Bids'!AF780,'Shuttle Bids'!AF832)</f>
        <v>-350</v>
      </c>
      <c r="BQ48" s="100">
        <f>AVERAGE('Shuttle Bids'!AG728,'Shuttle Bids'!AG780,'Shuttle Bids'!AG832)</f>
        <v>-150</v>
      </c>
      <c r="BR48" s="78">
        <f>AVERAGE('Shuttle Bids'!AH728,'Shuttle Bids'!AH780,'Shuttle Bids'!AH832)</f>
        <v>-175</v>
      </c>
      <c r="BS48" s="100"/>
      <c r="BT48" s="100">
        <f>AVERAGE('Shuttle Bids'!AK728,'Shuttle Bids'!AK780,'Shuttle Bids'!AK832)</f>
        <v>-200</v>
      </c>
      <c r="BU48" s="78">
        <f>AVERAGE('Shuttle Bids'!AL728,'Shuttle Bids'!AL780,'Shuttle Bids'!AL832)</f>
        <v>-200</v>
      </c>
      <c r="BV48" s="80"/>
    </row>
    <row r="49" spans="1:74" x14ac:dyDescent="0.25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Bids'!L729)</f>
        <v>91.666666666666671</v>
      </c>
      <c r="I49" s="77">
        <f>AVERAGE('Non-shuttle Bids'!M833,'Non-shuttle Bids'!M781,'Non-shuttle Bids'!M729)</f>
        <v>6.666666666666667</v>
      </c>
      <c r="J49" s="78">
        <f>AVERAGE('Non-shuttle Bids'!N833,'Non-shuttle Bids'!N781,'Non-shuttle Bids'!N729)</f>
        <v>49.166666666666664</v>
      </c>
      <c r="K49" s="12">
        <v>9</v>
      </c>
      <c r="L49" s="77">
        <f>AVERAGE('Non-shuttle Bids'!P834,'Non-shuttle Bids'!P730,'Non-shuttle Bids'!P782)</f>
        <v>100</v>
      </c>
      <c r="M49" s="77">
        <f>AVERAGE('Non-shuttle Bids'!Q834,'Non-shuttle Bids'!Q730,'Non-shuttle Bids'!Q782)</f>
        <v>0</v>
      </c>
      <c r="N49" s="78">
        <f>AVERAGE('Non-shuttle Bids'!R834,'Non-shuttle Bids'!R730,'Non-shuttle Bids'!R782)</f>
        <v>50</v>
      </c>
      <c r="O49" s="106">
        <f>AVERAGE('Non-shuttle Bids'!T834,'Non-shuttle Bids'!T730,'Non-shuttle Bids'!T782)</f>
        <v>25</v>
      </c>
      <c r="P49" s="106">
        <f>AVERAGE('Non-shuttle Bids'!U834,'Non-shuttle Bids'!U730,'Non-shuttle Bids'!U782)</f>
        <v>0</v>
      </c>
      <c r="Q49" s="107">
        <f>AVERAGE('Non-shuttle Bids'!V834,'Non-shuttle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Bids'!L834)</f>
        <v>45</v>
      </c>
      <c r="AZ49" s="100">
        <f>AVERAGE('Shuttle Bids'!M730,'Shuttle Bids'!M782,'Shuttle Bids'!M834)</f>
        <v>-37.666666666666664</v>
      </c>
      <c r="BA49" s="78">
        <f>AVERAGE('Shuttle Bids'!N730,'Shuttle Bids'!N782,'Shuttle Bids'!N834)</f>
        <v>3.6666666666666665</v>
      </c>
      <c r="BB49" s="12">
        <v>9</v>
      </c>
      <c r="BC49" s="100">
        <f>AVERAGE('Shuttle Bids'!P730,'Shuttle Bids'!P782,'Shuttle Bids'!P834)</f>
        <v>-256</v>
      </c>
      <c r="BD49" s="100">
        <f>AVERAGE('Shuttle Bids'!Q730,'Shuttle Bids'!Q782,'Shuttle Bids'!Q834)</f>
        <v>-229.33333333333334</v>
      </c>
      <c r="BE49" s="78">
        <f>AVERAGE('Shuttle Bids'!R730,'Shuttle Bids'!R782,'Shuttle Bids'!R834)</f>
        <v>-222</v>
      </c>
      <c r="BF49" s="100"/>
      <c r="BG49" s="100">
        <f>AVERAGE('Shuttle Bids'!U730,'Shuttle Bids'!U782,'Shuttle Bids'!U834)</f>
        <v>-275</v>
      </c>
      <c r="BH49" s="78">
        <f>AVERAGE('Shuttle Bids'!V730,'Shuttle Bids'!V782,'Shuttle Bids'!V834)</f>
        <v>-275</v>
      </c>
      <c r="BI49" s="100"/>
      <c r="BJ49" s="100">
        <f>AVERAGE('Shuttle Bids'!Y729,'Shuttle Bids'!Y781,'Shuttle Bids'!Y833)</f>
        <v>-350</v>
      </c>
      <c r="BK49" s="78">
        <f>AVERAGE('Shuttle Bids'!Z729,'Shuttle Bids'!Z781,'Shuttle Bids'!Z833)</f>
        <v>-350</v>
      </c>
      <c r="BL49" s="12">
        <v>9</v>
      </c>
      <c r="BM49" s="100">
        <f>AVERAGE('Shuttle Bids'!AB729,'Shuttle Bids'!AB781,'Shuttle Bids'!AB833)</f>
        <v>-125</v>
      </c>
      <c r="BN49" s="100">
        <f>AVERAGE('Shuttle Bids'!AC729,'Shuttle Bids'!AC781,'Shuttle Bids'!AC833)</f>
        <v>-250</v>
      </c>
      <c r="BO49" s="78">
        <f>AVERAGE('Shuttle Bids'!AD729,'Shuttle Bids'!AD781,'Shuttle Bids'!AD833)</f>
        <v>-187.5</v>
      </c>
      <c r="BP49" s="100">
        <f>AVERAGE('Shuttle Bids'!AF729,'Shuttle Bids'!AF781,'Shuttle Bids'!AF833)</f>
        <v>-237.5</v>
      </c>
      <c r="BQ49" s="100">
        <f>AVERAGE('Shuttle Bids'!AG729,'Shuttle Bids'!AG781,'Shuttle Bids'!AG833)</f>
        <v>-150</v>
      </c>
      <c r="BR49" s="78">
        <f>AVERAGE('Shuttle Bids'!AH729,'Shuttle Bids'!AH781,'Shuttle Bids'!AH833)</f>
        <v>-193.75</v>
      </c>
      <c r="BS49" s="100">
        <f>AVERAGE('Shuttle Bids'!AJ729,'Shuttle Bids'!AJ781,'Shuttle Bids'!AJ833)</f>
        <v>-125</v>
      </c>
      <c r="BT49" s="100">
        <f>AVERAGE('Shuttle Bids'!AK729,'Shuttle Bids'!AK781,'Shuttle Bids'!AK833)</f>
        <v>-150</v>
      </c>
      <c r="BU49" s="78">
        <f>AVERAGE('Shuttle Bids'!AL729,'Shuttle Bids'!AL781,'Shuttle Bids'!AL833)</f>
        <v>-158.33333333333334</v>
      </c>
      <c r="BV49" s="80"/>
    </row>
    <row r="50" spans="1:74" x14ac:dyDescent="0.25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Bids'!L730)</f>
        <v>100</v>
      </c>
      <c r="I50" s="77">
        <f>AVERAGE('Non-shuttle Bids'!M834,'Non-shuttle Bids'!M782,'Non-shuttle Bids'!M730)</f>
        <v>-1.6666666666666667</v>
      </c>
      <c r="J50" s="78">
        <f>AVERAGE('Non-shuttle Bids'!N834,'Non-shuttle Bids'!N782,'Non-shuttle Bids'!N730)</f>
        <v>49.166666666666664</v>
      </c>
      <c r="K50" s="12">
        <v>10</v>
      </c>
      <c r="L50" s="77">
        <f>AVERAGE('Non-shuttle Bids'!P835,'Non-shuttle Bids'!P731,'Non-shuttle Bids'!P783)</f>
        <v>100</v>
      </c>
      <c r="M50" s="77">
        <f>AVERAGE('Non-shuttle Bids'!Q835,'Non-shuttle Bids'!Q731,'Non-shuttle Bids'!Q783)</f>
        <v>0</v>
      </c>
      <c r="N50" s="78">
        <f>AVERAGE('Non-shuttle Bids'!R835,'Non-shuttle Bids'!R731,'Non-shuttle Bids'!R783)</f>
        <v>50</v>
      </c>
      <c r="O50" s="106"/>
      <c r="P50" s="106">
        <f>AVERAGE('Non-shuttle Bids'!U835,'Non-shuttle Bids'!U731,'Non-shuttle Bids'!U783)</f>
        <v>0</v>
      </c>
      <c r="Q50" s="107">
        <f>AVERAGE('Non-shuttle Bids'!V835,'Non-shuttle Bids'!V731,'Non-shuttle Bids'!V783)</f>
        <v>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Bids'!L835)</f>
        <v>85.333333333333329</v>
      </c>
      <c r="AZ50" s="100">
        <f>AVERAGE('Shuttle Bids'!M731,'Shuttle Bids'!M783,'Shuttle Bids'!M835)</f>
        <v>33</v>
      </c>
      <c r="BA50" s="78">
        <f>AVERAGE('Shuttle Bids'!N731,'Shuttle Bids'!N783,'Shuttle Bids'!N835)</f>
        <v>59.166666666666664</v>
      </c>
      <c r="BB50" s="12">
        <v>10</v>
      </c>
      <c r="BC50" s="100">
        <f>AVERAGE('Shuttle Bids'!P731,'Shuttle Bids'!P783,'Shuttle Bids'!P835)</f>
        <v>-275</v>
      </c>
      <c r="BD50" s="100">
        <f>AVERAGE('Shuttle Bids'!Q731,'Shuttle Bids'!Q783,'Shuttle Bids'!Q835)</f>
        <v>-250.33333333333334</v>
      </c>
      <c r="BE50" s="78">
        <f>AVERAGE('Shuttle Bids'!R731,'Shuttle Bids'!R783,'Shuttle Bids'!R835)</f>
        <v>-239.83333333333334</v>
      </c>
      <c r="BF50" s="100">
        <f>AVERAGE('Shuttle Bids'!T731,'Shuttle Bids'!T783,'Shuttle Bids'!T835)</f>
        <v>-650</v>
      </c>
      <c r="BG50" s="100">
        <f>AVERAGE('Shuttle Bids'!U731,'Shuttle Bids'!U783,'Shuttle Bids'!U835)</f>
        <v>-350</v>
      </c>
      <c r="BH50" s="78">
        <f>AVERAGE('Shuttle Bids'!V731,'Shuttle Bids'!V783,'Shuttle Bids'!V835)</f>
        <v>-370.83333333333331</v>
      </c>
      <c r="BI50" s="100"/>
      <c r="BJ50" s="100">
        <f>AVERAGE('Shuttle Bids'!Y730,'Shuttle Bids'!Y782,'Shuttle Bids'!Y834)</f>
        <v>-350</v>
      </c>
      <c r="BK50" s="78">
        <f>AVERAGE('Shuttle Bids'!Z730,'Shuttle Bids'!Z782,'Shuttle Bids'!Z834)</f>
        <v>-350</v>
      </c>
      <c r="BL50" s="12">
        <v>10</v>
      </c>
      <c r="BM50" s="100"/>
      <c r="BN50" s="100">
        <f>AVERAGE('Shuttle Bids'!AC730,'Shuttle Bids'!AC782,'Shuttle Bids'!AC834)</f>
        <v>-250</v>
      </c>
      <c r="BO50" s="78">
        <f>AVERAGE('Shuttle Bids'!AD730,'Shuttle Bids'!AD782,'Shuttle Bids'!AD834)</f>
        <v>-250</v>
      </c>
      <c r="BP50" s="100"/>
      <c r="BQ50" s="100">
        <f>AVERAGE('Shuttle Bids'!AG730,'Shuttle Bids'!AG782,'Shuttle Bids'!AG834)</f>
        <v>-175</v>
      </c>
      <c r="BR50" s="78">
        <f>AVERAGE('Shuttle Bids'!AH730,'Shuttle Bids'!AH782,'Shuttle Bids'!AH834)</f>
        <v>-175</v>
      </c>
      <c r="BS50" s="100">
        <f>AVERAGE('Shuttle Bids'!AJ730,'Shuttle Bids'!AJ782,'Shuttle Bids'!AJ834)</f>
        <v>-262.5</v>
      </c>
      <c r="BT50" s="100">
        <f>AVERAGE('Shuttle Bids'!AK730,'Shuttle Bids'!AK782,'Shuttle Bids'!AK834)</f>
        <v>-150</v>
      </c>
      <c r="BU50" s="78">
        <f>AVERAGE('Shuttle Bids'!AL730,'Shuttle Bids'!AL782,'Shuttle Bids'!AL834)</f>
        <v>-187.5</v>
      </c>
      <c r="BV50" s="80"/>
    </row>
    <row r="51" spans="1:74" x14ac:dyDescent="0.25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Bids'!L731)</f>
        <v>102.66666666666667</v>
      </c>
      <c r="I51" s="77">
        <f>AVERAGE('Non-shuttle Bids'!M835,'Non-shuttle Bids'!M783,'Non-shuttle Bids'!M731)</f>
        <v>0</v>
      </c>
      <c r="J51" s="78">
        <f>AVERAGE('Non-shuttle Bids'!N835,'Non-shuttle Bids'!N783,'Non-shuttle Bids'!N731)</f>
        <v>50.666666666666664</v>
      </c>
      <c r="K51" s="12">
        <v>11</v>
      </c>
      <c r="L51" s="77">
        <f>AVERAGE('Non-shuttle Bids'!P836,'Non-shuttle Bids'!P732,'Non-shuttle Bids'!P784)</f>
        <v>300</v>
      </c>
      <c r="M51" s="77"/>
      <c r="N51" s="78">
        <f>AVERAGE('Non-shuttle Bids'!R836,'Non-shuttle Bids'!R732,'Non-shuttle Bids'!R784)</f>
        <v>300</v>
      </c>
      <c r="O51" s="106"/>
      <c r="P51" s="106">
        <f>AVERAGE('Non-shuttle Bids'!U836,'Non-shuttle Bids'!U732,'Non-shuttle Bids'!U784)</f>
        <v>0</v>
      </c>
      <c r="Q51" s="107">
        <f>AVERAGE('Non-shuttle Bids'!V836,'Non-shuttle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Bids'!P836)</f>
        <v>-81.333333333333329</v>
      </c>
      <c r="BD51" s="100">
        <f>AVERAGE('Shuttle Bids'!Q732,'Shuttle Bids'!Q784,'Shuttle Bids'!Q836)</f>
        <v>-221</v>
      </c>
      <c r="BE51" s="78">
        <f>AVERAGE('Shuttle Bids'!R732,'Shuttle Bids'!R784,'Shuttle Bids'!R836)</f>
        <v>-151.16666666666666</v>
      </c>
      <c r="BF51" s="100">
        <f>AVERAGE('Shuttle Bids'!T732,'Shuttle Bids'!T784,'Shuttle Bids'!T836)</f>
        <v>-575</v>
      </c>
      <c r="BG51" s="100">
        <f>AVERAGE('Shuttle Bids'!U732,'Shuttle Bids'!U784,'Shuttle Bids'!U836)</f>
        <v>-275</v>
      </c>
      <c r="BH51" s="78">
        <f>AVERAGE('Shuttle Bids'!V732,'Shuttle Bids'!V784,'Shuttle Bids'!V836)</f>
        <v>-304.16666666666669</v>
      </c>
      <c r="BI51" s="100"/>
      <c r="BJ51" s="100">
        <f>AVERAGE('Shuttle Bids'!Y731,'Shuttle Bids'!Y783,'Shuttle Bids'!Y835)</f>
        <v>-350</v>
      </c>
      <c r="BK51" s="78">
        <f>AVERAGE('Shuttle Bids'!Z731,'Shuttle Bids'!Z783,'Shuttle Bids'!Z835)</f>
        <v>-350</v>
      </c>
      <c r="BL51" s="12">
        <v>11</v>
      </c>
      <c r="BM51" s="100"/>
      <c r="BN51" s="100">
        <f>AVERAGE('Shuttle Bids'!AC731,'Shuttle Bids'!AC783,'Shuttle Bids'!AC835)</f>
        <v>-262.5</v>
      </c>
      <c r="BO51" s="78">
        <f>AVERAGE('Shuttle Bids'!AD731,'Shuttle Bids'!AD783,'Shuttle Bids'!AD835)</f>
        <v>-262.5</v>
      </c>
      <c r="BP51" s="100"/>
      <c r="BQ51" s="100">
        <f>AVERAGE('Shuttle Bids'!AG731,'Shuttle Bids'!AG783,'Shuttle Bids'!AG835)</f>
        <v>-187.5</v>
      </c>
      <c r="BR51" s="78">
        <f>AVERAGE('Shuttle Bids'!AH731,'Shuttle Bids'!AH783,'Shuttle Bids'!AH835)</f>
        <v>-187.5</v>
      </c>
      <c r="BS51" s="100">
        <f>AVERAGE('Shuttle Bids'!AJ731,'Shuttle Bids'!AJ783,'Shuttle Bids'!AJ835)</f>
        <v>-100</v>
      </c>
      <c r="BT51" s="100">
        <f>AVERAGE('Shuttle Bids'!AK731,'Shuttle Bids'!AK783,'Shuttle Bids'!AK835)</f>
        <v>-183.33333333333334</v>
      </c>
      <c r="BU51" s="78">
        <f>AVERAGE('Shuttle Bids'!AL731,'Shuttle Bids'!AL783,'Shuttle Bids'!AL835)</f>
        <v>-158.33333333333334</v>
      </c>
      <c r="BV51" s="80"/>
    </row>
    <row r="52" spans="1:74" x14ac:dyDescent="0.25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Bids'!P733,'Non-shuttle Bids'!P785)</f>
        <v>99.333333333333329</v>
      </c>
      <c r="M52" s="77">
        <f>AVERAGE('Non-shuttle Bids'!Q837,'Non-shuttle Bids'!Q733,'Non-shuttle Bids'!Q785)</f>
        <v>19</v>
      </c>
      <c r="N52" s="78">
        <f>AVERAGE('Non-shuttle Bids'!R837,'Non-shuttle Bids'!R733,'Non-shuttle Bids'!R785)</f>
        <v>56</v>
      </c>
      <c r="O52" s="106">
        <f>AVERAGE('Non-shuttle Bids'!T837,'Non-shuttle Bids'!T733,'Non-shuttle Bids'!T785)</f>
        <v>81.5</v>
      </c>
      <c r="P52" s="106">
        <f>AVERAGE('Non-shuttle Bids'!U837,'Non-shuttle Bids'!U733,'Non-shuttle Bids'!U785)</f>
        <v>0</v>
      </c>
      <c r="Q52" s="107">
        <f>AVERAGE('Non-shuttle Bids'!V837,'Non-shuttle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Bids'!P837)</f>
        <v>-68</v>
      </c>
      <c r="BD52" s="100">
        <f>AVERAGE('Shuttle Bids'!Q733,'Shuttle Bids'!Q785,'Shuttle Bids'!Q837)</f>
        <v>-141.66666666666666</v>
      </c>
      <c r="BE52" s="78">
        <f>AVERAGE('Shuttle Bids'!R733,'Shuttle Bids'!R785,'Shuttle Bids'!R837)</f>
        <v>-104.83333333333333</v>
      </c>
      <c r="BF52" s="100"/>
      <c r="BG52" s="100">
        <f>AVERAGE('Shuttle Bids'!U733,'Shuttle Bids'!U785,'Shuttle Bids'!U837)</f>
        <v>-252.66666666666666</v>
      </c>
      <c r="BH52" s="78">
        <f>AVERAGE('Shuttle Bids'!V733,'Shuttle Bids'!V785,'Shuttle Bids'!V837)</f>
        <v>-252.66666666666666</v>
      </c>
      <c r="BI52" s="100">
        <f>AVERAGE('Shuttle Bids'!X732,'Shuttle Bids'!X784,'Shuttle Bids'!X836)</f>
        <v>-500</v>
      </c>
      <c r="BJ52" s="100">
        <f>AVERAGE('Shuttle Bids'!Y732,'Shuttle Bids'!Y784,'Shuttle Bids'!Y836)</f>
        <v>-350</v>
      </c>
      <c r="BK52" s="78">
        <f>AVERAGE('Shuttle Bids'!Z732,'Shuttle Bids'!Z784,'Shuttle Bids'!Z836)</f>
        <v>-425</v>
      </c>
      <c r="BL52" s="12">
        <v>12</v>
      </c>
      <c r="BM52" s="100">
        <f>AVERAGE('Shuttle Bids'!AB732,'Shuttle Bids'!AB784,'Shuttle Bids'!AB836)</f>
        <v>-400</v>
      </c>
      <c r="BN52" s="100">
        <f>AVERAGE('Shuttle Bids'!AC732,'Shuttle Bids'!AC784,'Shuttle Bids'!AC836)</f>
        <v>-275</v>
      </c>
      <c r="BO52" s="78">
        <f>AVERAGE('Shuttle Bids'!AD732,'Shuttle Bids'!AD784,'Shuttle Bids'!AD836)</f>
        <v>-312.5</v>
      </c>
      <c r="BP52" s="100"/>
      <c r="BQ52" s="100">
        <f>AVERAGE('Shuttle Bids'!AG732,'Shuttle Bids'!AG784,'Shuttle Bids'!AG836)</f>
        <v>-175</v>
      </c>
      <c r="BR52" s="78">
        <f>AVERAGE('Shuttle Bids'!AH732,'Shuttle Bids'!AH784,'Shuttle Bids'!AH836)</f>
        <v>-175</v>
      </c>
      <c r="BS52" s="100">
        <f>AVERAGE('Shuttle Bids'!AJ732,'Shuttle Bids'!AJ784,'Shuttle Bids'!AJ836)</f>
        <v>-200</v>
      </c>
      <c r="BT52" s="100">
        <f>AVERAGE('Shuttle Bids'!AK732,'Shuttle Bids'!AK784,'Shuttle Bids'!AK836)</f>
        <v>-166.66666666666666</v>
      </c>
      <c r="BU52" s="78">
        <f>AVERAGE('Shuttle Bids'!AL732,'Shuttle Bids'!AL784,'Shuttle Bids'!AL836)</f>
        <v>-166.66666666666666</v>
      </c>
      <c r="BV52" s="80"/>
    </row>
    <row r="53" spans="1:74" x14ac:dyDescent="0.25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Bids'!P734,'Non-shuttle Bids'!P786)</f>
        <v>75</v>
      </c>
      <c r="M53" s="77">
        <f>AVERAGE('Non-shuttle Bids'!Q838,'Non-shuttle Bids'!Q734,'Non-shuttle Bids'!Q786)</f>
        <v>12.666666666666666</v>
      </c>
      <c r="N53" s="78">
        <f>AVERAGE('Non-shuttle Bids'!R838,'Non-shuttle Bids'!R734,'Non-shuttle Bids'!R786)</f>
        <v>43.833333333333336</v>
      </c>
      <c r="O53" s="106">
        <f>AVERAGE('Non-shuttle Bids'!T838,'Non-shuttle Bids'!T734,'Non-shuttle Bids'!T786)</f>
        <v>150</v>
      </c>
      <c r="P53" s="106">
        <f>AVERAGE('Non-shuttle Bids'!U838,'Non-shuttle Bids'!U734,'Non-shuttle Bids'!U786)</f>
        <v>25</v>
      </c>
      <c r="Q53" s="107">
        <f>AVERAGE('Non-shuttle Bids'!V838,'Non-shuttle Bids'!V734,'Non-shuttle Bids'!V786)</f>
        <v>81.25</v>
      </c>
      <c r="R53" s="106"/>
      <c r="S53" s="106">
        <f>AVERAGE('Non-shuttle Bids'!Y733,'Non-shuttle Bids'!Y837,'Non-shuttle Bids'!Y785)</f>
        <v>0</v>
      </c>
      <c r="T53" s="107">
        <f>AVERAGE('Non-shuttle Bids'!Z733,'Non-shuttle Bids'!Z837,'Non-shuttle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Bids'!P838)</f>
        <v>-228.66666666666666</v>
      </c>
      <c r="BD53" s="100">
        <f>AVERAGE('Shuttle Bids'!Q734,'Shuttle Bids'!Q786,'Shuttle Bids'!Q838)</f>
        <v>-233.66666666666666</v>
      </c>
      <c r="BE53" s="78">
        <f>AVERAGE('Shuttle Bids'!R734,'Shuttle Bids'!R786,'Shuttle Bids'!R838)</f>
        <v>-231.16666666666666</v>
      </c>
      <c r="BF53" s="100">
        <f>AVERAGE('Shuttle Bids'!T734,'Shuttle Bids'!T786,'Shuttle Bids'!T838)</f>
        <v>-244</v>
      </c>
      <c r="BG53" s="100">
        <f>AVERAGE('Shuttle Bids'!U734,'Shuttle Bids'!U786,'Shuttle Bids'!U838)</f>
        <v>-291.66666666666669</v>
      </c>
      <c r="BH53" s="78">
        <f>AVERAGE('Shuttle Bids'!V734,'Shuttle Bids'!V786,'Shuttle Bids'!V838)</f>
        <v>-277.16666666666669</v>
      </c>
      <c r="BI53" s="100"/>
      <c r="BJ53" s="100">
        <f>AVERAGE('Shuttle Bids'!Y733,'Shuttle Bids'!Y785,'Shuttle Bids'!Y837)</f>
        <v>-300</v>
      </c>
      <c r="BK53" s="78">
        <f>AVERAGE('Shuttle Bids'!Z733,'Shuttle Bids'!Z785,'Shuttle Bids'!Z837)</f>
        <v>-300</v>
      </c>
      <c r="BL53" s="12">
        <v>13</v>
      </c>
      <c r="BM53" s="100">
        <f>AVERAGE('Shuttle Bids'!AB733,'Shuttle Bids'!AB785,'Shuttle Bids'!AB837)</f>
        <v>-350</v>
      </c>
      <c r="BN53" s="100">
        <f>AVERAGE('Shuttle Bids'!AC733,'Shuttle Bids'!AC785,'Shuttle Bids'!AC837)</f>
        <v>-250</v>
      </c>
      <c r="BO53" s="78">
        <f>AVERAGE('Shuttle Bids'!AD733,'Shuttle Bids'!AD785,'Shuttle Bids'!AD837)</f>
        <v>-262.5</v>
      </c>
      <c r="BP53" s="100"/>
      <c r="BQ53" s="100">
        <f>AVERAGE('Shuttle Bids'!AG733,'Shuttle Bids'!AG785,'Shuttle Bids'!AG837)</f>
        <v>-162.5</v>
      </c>
      <c r="BR53" s="78">
        <f>AVERAGE('Shuttle Bids'!AH733,'Shuttle Bids'!AH785,'Shuttle Bids'!AH837)</f>
        <v>-162.5</v>
      </c>
      <c r="BS53" s="100">
        <f>AVERAGE('Shuttle Bids'!AJ733,'Shuttle Bids'!AJ785,'Shuttle Bids'!AJ837)</f>
        <v>-163</v>
      </c>
      <c r="BT53" s="100">
        <f>AVERAGE('Shuttle Bids'!AK733,'Shuttle Bids'!AK785,'Shuttle Bids'!AK837)</f>
        <v>-158.33333333333334</v>
      </c>
      <c r="BU53" s="78">
        <f>AVERAGE('Shuttle Bids'!AL733,'Shuttle Bids'!AL785,'Shuttle Bids'!AL837)</f>
        <v>-152.16666666666666</v>
      </c>
      <c r="BV53" s="80"/>
    </row>
    <row r="54" spans="1:74" x14ac:dyDescent="0.25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Bids'!P735,'Non-shuttle Bids'!P787)</f>
        <v>118</v>
      </c>
      <c r="M54" s="77">
        <f>AVERAGE('Non-shuttle Bids'!Q839,'Non-shuttle Bids'!Q735,'Non-shuttle Bids'!Q787)</f>
        <v>6.333333333333333</v>
      </c>
      <c r="N54" s="78">
        <f>AVERAGE('Non-shuttle Bids'!R839,'Non-shuttle Bids'!R735,'Non-shuttle Bids'!R787)</f>
        <v>62.166666666666664</v>
      </c>
      <c r="O54" s="106">
        <f>AVERAGE('Non-shuttle Bids'!T839,'Non-shuttle Bids'!T735,'Non-shuttle Bids'!T787)</f>
        <v>150</v>
      </c>
      <c r="P54" s="106">
        <f>AVERAGE('Non-shuttle Bids'!U839,'Non-shuttle Bids'!U735,'Non-shuttle Bids'!U787)</f>
        <v>17</v>
      </c>
      <c r="Q54" s="107">
        <f>AVERAGE('Non-shuttle Bids'!V839,'Non-shuttle Bids'!V735,'Non-shuttle Bids'!V787)</f>
        <v>79.25</v>
      </c>
      <c r="R54" s="106"/>
      <c r="S54" s="106">
        <f>AVERAGE('Non-shuttle Bids'!Y734,'Non-shuttle Bids'!Y838,'Non-shuttle Bids'!Y786)</f>
        <v>25</v>
      </c>
      <c r="T54" s="107">
        <f>AVERAGE('Non-shuttle Bids'!Z734,'Non-shuttle Bids'!Z838,'Non-shuttle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Bids'!P839)</f>
        <v>-303.66666666666669</v>
      </c>
      <c r="BD54" s="100">
        <f>AVERAGE('Shuttle Bids'!Q735,'Shuttle Bids'!Q787,'Shuttle Bids'!Q839)</f>
        <v>-237.66666666666666</v>
      </c>
      <c r="BE54" s="78">
        <f>AVERAGE('Shuttle Bids'!R735,'Shuttle Bids'!R787,'Shuttle Bids'!R839)</f>
        <v>-270.66666666666669</v>
      </c>
      <c r="BF54" s="100">
        <f>AVERAGE('Shuttle Bids'!T735,'Shuttle Bids'!T787,'Shuttle Bids'!T839)</f>
        <v>-412.5</v>
      </c>
      <c r="BG54" s="100">
        <f>AVERAGE('Shuttle Bids'!U735,'Shuttle Bids'!U787,'Shuttle Bids'!U839)</f>
        <v>-347.33333333333331</v>
      </c>
      <c r="BH54" s="78">
        <f>AVERAGE('Shuttle Bids'!V735,'Shuttle Bids'!V787,'Shuttle Bids'!V839)</f>
        <v>-347.33333333333331</v>
      </c>
      <c r="BI54" s="100"/>
      <c r="BJ54" s="100">
        <f>AVERAGE('Shuttle Bids'!Y734,'Shuttle Bids'!Y786,'Shuttle Bids'!Y838)</f>
        <v>-300</v>
      </c>
      <c r="BK54" s="78">
        <f>AVERAGE('Shuttle Bids'!Z734,'Shuttle Bids'!Z786,'Shuttle Bids'!Z838)</f>
        <v>-300</v>
      </c>
      <c r="BL54" s="12">
        <v>14</v>
      </c>
      <c r="BM54" s="100">
        <f>AVERAGE('Shuttle Bids'!AB734,'Shuttle Bids'!AB786,'Shuttle Bids'!AB838)</f>
        <v>-300</v>
      </c>
      <c r="BN54" s="100">
        <f>AVERAGE('Shuttle Bids'!AC734,'Shuttle Bids'!AC786,'Shuttle Bids'!AC838)</f>
        <v>-275</v>
      </c>
      <c r="BO54" s="78">
        <f>AVERAGE('Shuttle Bids'!AD734,'Shuttle Bids'!AD786,'Shuttle Bids'!AD838)</f>
        <v>-275</v>
      </c>
      <c r="BP54" s="100"/>
      <c r="BQ54" s="100">
        <f>AVERAGE('Shuttle Bids'!AG734,'Shuttle Bids'!AG786,'Shuttle Bids'!AG838)</f>
        <v>-200</v>
      </c>
      <c r="BR54" s="78">
        <f>AVERAGE('Shuttle Bids'!AH734,'Shuttle Bids'!AH786,'Shuttle Bids'!AH838)</f>
        <v>-200</v>
      </c>
      <c r="BS54" s="100">
        <f>AVERAGE('Shuttle Bids'!AJ734,'Shuttle Bids'!AJ786,'Shuttle Bids'!AJ838)</f>
        <v>-106.5</v>
      </c>
      <c r="BT54" s="100">
        <f>AVERAGE('Shuttle Bids'!AK734,'Shuttle Bids'!AK786,'Shuttle Bids'!AK838)</f>
        <v>-137.5</v>
      </c>
      <c r="BU54" s="78">
        <f>AVERAGE('Shuttle Bids'!AL734,'Shuttle Bids'!AL786,'Shuttle Bids'!AL838)</f>
        <v>-135.5</v>
      </c>
      <c r="BV54" s="80"/>
    </row>
    <row r="55" spans="1:74" x14ac:dyDescent="0.25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Bids'!P736,'Non-shuttle Bids'!P788)</f>
        <v>91.333333333333329</v>
      </c>
      <c r="M55" s="77">
        <f>AVERAGE('Non-shuttle Bids'!Q840,'Non-shuttle Bids'!Q736,'Non-shuttle Bids'!Q788)</f>
        <v>-8.3333333333333339</v>
      </c>
      <c r="N55" s="78">
        <f>AVERAGE('Non-shuttle Bids'!R840,'Non-shuttle Bids'!R736,'Non-shuttle Bids'!R788)</f>
        <v>41.5</v>
      </c>
      <c r="O55" s="106">
        <f>AVERAGE('Non-shuttle Bids'!T840,'Non-shuttle Bids'!T736,'Non-shuttle Bids'!T788)</f>
        <v>33.5</v>
      </c>
      <c r="P55" s="106">
        <f>AVERAGE('Non-shuttle Bids'!U840,'Non-shuttle Bids'!U736,'Non-shuttle Bids'!U788)</f>
        <v>17</v>
      </c>
      <c r="Q55" s="107">
        <f>AVERAGE('Non-shuttle Bids'!V840,'Non-shuttle Bids'!V736,'Non-shuttle Bids'!V788)</f>
        <v>21</v>
      </c>
      <c r="R55" s="106"/>
      <c r="S55" s="106">
        <f>AVERAGE('Non-shuttle Bids'!Y735,'Non-shuttle Bids'!Y839,'Non-shuttle Bids'!Y787)</f>
        <v>25</v>
      </c>
      <c r="T55" s="107">
        <f>AVERAGE('Non-shuttle Bids'!Z735,'Non-shuttle Bids'!Z839,'Non-shuttle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Bids'!P840)</f>
        <v>-290.66666666666669</v>
      </c>
      <c r="BD55" s="100">
        <f>AVERAGE('Shuttle Bids'!Q736,'Shuttle Bids'!Q788,'Shuttle Bids'!Q840)</f>
        <v>-208.33333333333334</v>
      </c>
      <c r="BE55" s="78">
        <f>AVERAGE('Shuttle Bids'!R736,'Shuttle Bids'!R788,'Shuttle Bids'!R840)</f>
        <v>-249.5</v>
      </c>
      <c r="BF55" s="100">
        <f>AVERAGE('Shuttle Bids'!T736,'Shuttle Bids'!T788,'Shuttle Bids'!T840)</f>
        <v>-450</v>
      </c>
      <c r="BG55" s="100">
        <f>AVERAGE('Shuttle Bids'!U736,'Shuttle Bids'!U788,'Shuttle Bids'!U840)</f>
        <v>-332.66666666666669</v>
      </c>
      <c r="BH55" s="78">
        <f>AVERAGE('Shuttle Bids'!V736,'Shuttle Bids'!V788,'Shuttle Bids'!V840)</f>
        <v>-332.66666666666669</v>
      </c>
      <c r="BI55" s="100">
        <f>AVERAGE('Shuttle Bids'!X735,'Shuttle Bids'!X787,'Shuttle Bids'!X839)</f>
        <v>-213</v>
      </c>
      <c r="BJ55" s="100">
        <f>AVERAGE('Shuttle Bids'!Y735,'Shuttle Bids'!Y787,'Shuttle Bids'!Y839)</f>
        <v>-300</v>
      </c>
      <c r="BK55" s="78">
        <f>AVERAGE('Shuttle Bids'!Z735,'Shuttle Bids'!Z787,'Shuttle Bids'!Z839)</f>
        <v>-256.5</v>
      </c>
      <c r="BL55" s="12">
        <v>15</v>
      </c>
      <c r="BM55" s="100">
        <f>AVERAGE('Shuttle Bids'!AB735,'Shuttle Bids'!AB787,'Shuttle Bids'!AB839)</f>
        <v>-300</v>
      </c>
      <c r="BN55" s="100">
        <f>AVERAGE('Shuttle Bids'!AC735,'Shuttle Bids'!AC787,'Shuttle Bids'!AC839)</f>
        <v>-275</v>
      </c>
      <c r="BO55" s="78">
        <f>AVERAGE('Shuttle Bids'!AD735,'Shuttle Bids'!AD787,'Shuttle Bids'!AD839)</f>
        <v>-275</v>
      </c>
      <c r="BP55" s="100"/>
      <c r="BQ55" s="100">
        <f>AVERAGE('Shuttle Bids'!AG735,'Shuttle Bids'!AG787,'Shuttle Bids'!AG839)</f>
        <v>-200</v>
      </c>
      <c r="BR55" s="78">
        <f>AVERAGE('Shuttle Bids'!AH735,'Shuttle Bids'!AH787,'Shuttle Bids'!AH839)</f>
        <v>-200</v>
      </c>
      <c r="BS55" s="100">
        <f>AVERAGE('Shuttle Bids'!AJ735,'Shuttle Bids'!AJ787,'Shuttle Bids'!AJ839)</f>
        <v>-200</v>
      </c>
      <c r="BT55" s="100">
        <f>AVERAGE('Shuttle Bids'!AK735,'Shuttle Bids'!AK787,'Shuttle Bids'!AK839)</f>
        <v>-175</v>
      </c>
      <c r="BU55" s="78">
        <f>AVERAGE('Shuttle Bids'!AL735,'Shuttle Bids'!AL787,'Shuttle Bids'!AL839)</f>
        <v>-183.33333333333334</v>
      </c>
      <c r="BV55" s="80"/>
    </row>
    <row r="56" spans="1:74" x14ac:dyDescent="0.25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Bids'!T737,'Non-shuttle Bids'!T789)</f>
        <v>29</v>
      </c>
      <c r="P56" s="106">
        <f>AVERAGE('Non-shuttle Bids'!U841,'Non-shuttle Bids'!U737,'Non-shuttle Bids'!U789)</f>
        <v>-6.5</v>
      </c>
      <c r="Q56" s="107">
        <f>AVERAGE('Non-shuttle Bids'!V841,'Non-shuttle Bids'!V737,'Non-shuttle Bids'!V789)</f>
        <v>11.25</v>
      </c>
      <c r="R56" s="106"/>
      <c r="S56" s="106">
        <f>AVERAGE('Non-shuttle Bids'!Y736,'Non-shuttle Bids'!Y840,'Non-shuttle Bids'!Y788)</f>
        <v>25</v>
      </c>
      <c r="T56" s="107">
        <f>AVERAGE('Non-shuttle Bids'!Z736,'Non-shuttle Bids'!Z840,'Non-shuttle Bids'!Z788)</f>
        <v>25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Bids'!T841)</f>
        <v>-267.33333333333331</v>
      </c>
      <c r="BG56" s="100">
        <f>AVERAGE('Shuttle Bids'!U737,'Shuttle Bids'!U789,'Shuttle Bids'!U841)</f>
        <v>-300</v>
      </c>
      <c r="BH56" s="78">
        <f>AVERAGE('Shuttle Bids'!V737,'Shuttle Bids'!V789,'Shuttle Bids'!V841)</f>
        <v>-283.66666666666669</v>
      </c>
      <c r="BI56" s="100">
        <f>AVERAGE('Shuttle Bids'!X736,'Shuttle Bids'!X788,'Shuttle Bids'!X840)</f>
        <v>-213</v>
      </c>
      <c r="BJ56" s="100">
        <f>AVERAGE('Shuttle Bids'!Y736,'Shuttle Bids'!Y788,'Shuttle Bids'!Y840)</f>
        <v>-300</v>
      </c>
      <c r="BK56" s="78">
        <f>AVERAGE('Shuttle Bids'!Z736,'Shuttle Bids'!Z788,'Shuttle Bids'!Z840)</f>
        <v>-256.5</v>
      </c>
      <c r="BL56" s="12">
        <v>16</v>
      </c>
      <c r="BM56" s="100">
        <f>AVERAGE('Shuttle Bids'!AB736,'Shuttle Bids'!AB788,'Shuttle Bids'!AB840)</f>
        <v>-300</v>
      </c>
      <c r="BN56" s="100">
        <f>AVERAGE('Shuttle Bids'!AC736,'Shuttle Bids'!AC788,'Shuttle Bids'!AC840)</f>
        <v>-250</v>
      </c>
      <c r="BO56" s="78">
        <f>AVERAGE('Shuttle Bids'!AD736,'Shuttle Bids'!AD788,'Shuttle Bids'!AD840)</f>
        <v>-275</v>
      </c>
      <c r="BP56" s="100"/>
      <c r="BQ56" s="100">
        <f>AVERAGE('Shuttle Bids'!AG736,'Shuttle Bids'!AG788,'Shuttle Bids'!AG840)</f>
        <v>-200</v>
      </c>
      <c r="BR56" s="78">
        <f>AVERAGE('Shuttle Bids'!AH736,'Shuttle Bids'!AH788,'Shuttle Bids'!AH840)</f>
        <v>-200</v>
      </c>
      <c r="BS56" s="100">
        <f>AVERAGE('Shuttle Bids'!AJ736,'Shuttle Bids'!AJ788,'Shuttle Bids'!AJ840)</f>
        <v>-225</v>
      </c>
      <c r="BT56" s="100">
        <f>AVERAGE('Shuttle Bids'!AK736,'Shuttle Bids'!AK788,'Shuttle Bids'!AK840)</f>
        <v>-175</v>
      </c>
      <c r="BU56" s="78">
        <f>AVERAGE('Shuttle Bids'!AL736,'Shuttle Bids'!AL788,'Shuttle Bids'!AL840)</f>
        <v>-191.66666666666666</v>
      </c>
      <c r="BV56" s="80"/>
    </row>
    <row r="57" spans="1:74" x14ac:dyDescent="0.25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Bids'!T738,'Non-shuttle Bids'!T790)</f>
        <v>7</v>
      </c>
      <c r="P57" s="106">
        <f>AVERAGE('Non-shuttle Bids'!U842,'Non-shuttle Bids'!U738,'Non-shuttle Bids'!U790)</f>
        <v>-4.333333333333333</v>
      </c>
      <c r="Q57" s="107">
        <f>AVERAGE('Non-shuttle Bids'!V842,'Non-shuttle Bids'!V738,'Non-shuttle Bids'!V790)</f>
        <v>1.3333333333333333</v>
      </c>
      <c r="R57" s="106">
        <f>AVERAGE('Non-shuttle Bids'!X737,'Non-shuttle Bids'!X841,'Non-shuttle Bids'!X789)</f>
        <v>100</v>
      </c>
      <c r="S57" s="106">
        <f>AVERAGE('Non-shuttle Bids'!Y737,'Non-shuttle Bids'!Y841,'Non-shuttle Bids'!Y789)</f>
        <v>25</v>
      </c>
      <c r="T57" s="107">
        <f>AVERAGE('Non-shuttle Bids'!Z737,'Non-shuttle Bids'!Z841,'Non-shuttle Bids'!Z789)</f>
        <v>62.5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Bids'!T842)</f>
        <v>-291.66666666666669</v>
      </c>
      <c r="BG57" s="100">
        <f>AVERAGE('Shuttle Bids'!U738,'Shuttle Bids'!U790,'Shuttle Bids'!U842)</f>
        <v>-305.66666666666669</v>
      </c>
      <c r="BH57" s="78">
        <f>AVERAGE('Shuttle Bids'!V738,'Shuttle Bids'!V790,'Shuttle Bids'!V842)</f>
        <v>-298.66666666666669</v>
      </c>
      <c r="BI57" s="100">
        <f>AVERAGE('Shuttle Bids'!X737,'Shuttle Bids'!X789,'Shuttle Bids'!X841)</f>
        <v>-225</v>
      </c>
      <c r="BJ57" s="100">
        <f>AVERAGE('Shuttle Bids'!Y737,'Shuttle Bids'!Y789,'Shuttle Bids'!Y841)</f>
        <v>-233.33333333333334</v>
      </c>
      <c r="BK57" s="78">
        <f>AVERAGE('Shuttle Bids'!Z737,'Shuttle Bids'!Z789,'Shuttle Bids'!Z841)</f>
        <v>-245.83333333333334</v>
      </c>
      <c r="BL57" s="12">
        <v>17</v>
      </c>
      <c r="BM57" s="100"/>
      <c r="BN57" s="100">
        <f>AVERAGE('Shuttle Bids'!AC737,'Shuttle Bids'!AC789,'Shuttle Bids'!AC841)</f>
        <v>-150</v>
      </c>
      <c r="BO57" s="78">
        <f>AVERAGE('Shuttle Bids'!AD737,'Shuttle Bids'!AD789,'Shuttle Bids'!AD841)</f>
        <v>-150</v>
      </c>
      <c r="BP57" s="100"/>
      <c r="BQ57" s="100">
        <f>AVERAGE('Shuttle Bids'!AG737,'Shuttle Bids'!AG789,'Shuttle Bids'!AG841)</f>
        <v>-225</v>
      </c>
      <c r="BR57" s="78">
        <f>AVERAGE('Shuttle Bids'!AH737,'Shuttle Bids'!AH789,'Shuttle Bids'!AH841)</f>
        <v>-225</v>
      </c>
      <c r="BS57" s="100">
        <f>AVERAGE('Shuttle Bids'!AJ737,'Shuttle Bids'!AJ789,'Shuttle Bids'!AJ841)</f>
        <v>-200</v>
      </c>
      <c r="BT57" s="100">
        <f>AVERAGE('Shuttle Bids'!AK737,'Shuttle Bids'!AK789,'Shuttle Bids'!AK841)</f>
        <v>-175</v>
      </c>
      <c r="BU57" s="78">
        <f>AVERAGE('Shuttle Bids'!AL737,'Shuttle Bids'!AL789,'Shuttle Bids'!AL841)</f>
        <v>-183.33333333333334</v>
      </c>
      <c r="BV57" s="80"/>
    </row>
    <row r="58" spans="1:74" x14ac:dyDescent="0.25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Bids'!T739,'Non-shuttle Bids'!T791)</f>
        <v>14.333333333333334</v>
      </c>
      <c r="P58" s="106">
        <f>AVERAGE('Non-shuttle Bids'!U843,'Non-shuttle Bids'!U739,'Non-shuttle Bids'!U791)</f>
        <v>4</v>
      </c>
      <c r="Q58" s="107">
        <f>AVERAGE('Non-shuttle Bids'!V843,'Non-shuttle Bids'!V739,'Non-shuttle Bids'!V791)</f>
        <v>9.1666666666666661</v>
      </c>
      <c r="R58" s="106">
        <f>AVERAGE('Non-shuttle Bids'!X738,'Non-shuttle Bids'!X842,'Non-shuttle Bids'!X790)</f>
        <v>75</v>
      </c>
      <c r="S58" s="106">
        <f>AVERAGE('Non-shuttle Bids'!Y738,'Non-shuttle Bids'!Y842,'Non-shuttle Bids'!Y790)</f>
        <v>15</v>
      </c>
      <c r="T58" s="107">
        <f>AVERAGE('Non-shuttle Bids'!Z738,'Non-shuttle Bids'!Z842,'Non-shuttle Bids'!Z790)</f>
        <v>45</v>
      </c>
      <c r="U58" s="12">
        <v>18</v>
      </c>
      <c r="V58" s="100">
        <f>AVERAGE('Non-shuttle Bids'!AB738,'Non-shuttle Bids'!AB842,'Non-shuttle Bids'!AB790)</f>
        <v>100</v>
      </c>
      <c r="W58" s="100"/>
      <c r="X58" s="83">
        <f>AVERAGE('Non-shuttle Bids'!AD738,'Non-shuttle Bids'!AD842,'Non-shuttle Bids'!AD790)</f>
        <v>100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Bids'!T843)</f>
        <v>-223</v>
      </c>
      <c r="BG58" s="100">
        <f>AVERAGE('Shuttle Bids'!U739,'Shuttle Bids'!U791,'Shuttle Bids'!U843)</f>
        <v>-251.33333333333334</v>
      </c>
      <c r="BH58" s="78">
        <f>AVERAGE('Shuttle Bids'!V739,'Shuttle Bids'!V791,'Shuttle Bids'!V843)</f>
        <v>-237.16666666666666</v>
      </c>
      <c r="BI58" s="100">
        <f>AVERAGE('Shuttle Bids'!X738,'Shuttle Bids'!X790,'Shuttle Bids'!X842)</f>
        <v>-262.5</v>
      </c>
      <c r="BJ58" s="100">
        <f>AVERAGE('Shuttle Bids'!Y738,'Shuttle Bids'!Y790,'Shuttle Bids'!Y842)</f>
        <v>-258.33333333333331</v>
      </c>
      <c r="BK58" s="78">
        <f>AVERAGE('Shuttle Bids'!Z738,'Shuttle Bids'!Z790,'Shuttle Bids'!Z842)</f>
        <v>-275</v>
      </c>
      <c r="BL58" s="12">
        <v>18</v>
      </c>
      <c r="BM58" s="100">
        <f>AVERAGE('Shuttle Bids'!AB738,'Shuttle Bids'!AB790,'Shuttle Bids'!AB842)</f>
        <v>-250</v>
      </c>
      <c r="BN58" s="100">
        <f>AVERAGE('Shuttle Bids'!AC738,'Shuttle Bids'!AC790,'Shuttle Bids'!AC842)</f>
        <v>-175</v>
      </c>
      <c r="BO58" s="78">
        <f>AVERAGE('Shuttle Bids'!AD738,'Shuttle Bids'!AD790,'Shuttle Bids'!AD842)</f>
        <v>-212.5</v>
      </c>
      <c r="BP58" s="100"/>
      <c r="BQ58" s="100">
        <f>AVERAGE('Shuttle Bids'!AG738,'Shuttle Bids'!AG790,'Shuttle Bids'!AG842)</f>
        <v>-237.5</v>
      </c>
      <c r="BR58" s="78">
        <f>AVERAGE('Shuttle Bids'!AH738,'Shuttle Bids'!AH790,'Shuttle Bids'!AH842)</f>
        <v>-237.5</v>
      </c>
      <c r="BS58" s="100">
        <f>AVERAGE('Shuttle Bids'!AJ738,'Shuttle Bids'!AJ790,'Shuttle Bids'!AJ842)</f>
        <v>-100</v>
      </c>
      <c r="BT58" s="100">
        <f>AVERAGE('Shuttle Bids'!AK738,'Shuttle Bids'!AK790,'Shuttle Bids'!AK842)</f>
        <v>-25</v>
      </c>
      <c r="BU58" s="78">
        <f>AVERAGE('Shuttle Bids'!AL738,'Shuttle Bids'!AL790,'Shuttle Bids'!AL842)</f>
        <v>-50</v>
      </c>
      <c r="BV58" s="80"/>
    </row>
    <row r="59" spans="1:74" x14ac:dyDescent="0.25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Bids'!T740,'Non-shuttle Bids'!T792)</f>
        <v>15.666666666666666</v>
      </c>
      <c r="P59" s="106">
        <f>AVERAGE('Non-shuttle Bids'!U844,'Non-shuttle Bids'!U740,'Non-shuttle Bids'!U792)</f>
        <v>-6.5</v>
      </c>
      <c r="Q59" s="107">
        <f>AVERAGE('Non-shuttle Bids'!V844,'Non-shuttle Bids'!V740,'Non-shuttle Bids'!V792)</f>
        <v>9.3333333333333339</v>
      </c>
      <c r="R59" s="106">
        <f>AVERAGE('Non-shuttle Bids'!X739,'Non-shuttle Bids'!X843,'Non-shuttle Bids'!X791)</f>
        <v>33.333333333333336</v>
      </c>
      <c r="S59" s="106">
        <f>AVERAGE('Non-shuttle Bids'!Y739,'Non-shuttle Bids'!Y843,'Non-shuttle Bids'!Y791)</f>
        <v>6.5</v>
      </c>
      <c r="T59" s="107">
        <f>AVERAGE('Non-shuttle Bids'!Z739,'Non-shuttle Bids'!Z843,'Non-shuttle Bids'!Z791)</f>
        <v>23</v>
      </c>
      <c r="U59" s="12">
        <v>19</v>
      </c>
      <c r="V59" s="100">
        <f>AVERAGE('Non-shuttle Bids'!AB739,'Non-shuttle Bids'!AB843,'Non-shuttle Bids'!AB791)</f>
        <v>100</v>
      </c>
      <c r="W59" s="100"/>
      <c r="X59" s="83">
        <f>AVERAGE('Non-shuttle Bids'!AD739,'Non-shuttle Bids'!AD843,'Non-shuttle Bids'!AD791)</f>
        <v>100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Bids'!T844)</f>
        <v>-102</v>
      </c>
      <c r="BG59" s="100">
        <f>AVERAGE('Shuttle Bids'!U740,'Shuttle Bids'!U792,'Shuttle Bids'!U844)</f>
        <v>-253</v>
      </c>
      <c r="BH59" s="78">
        <f>AVERAGE('Shuttle Bids'!V740,'Shuttle Bids'!V792,'Shuttle Bids'!V844)</f>
        <v>-177.5</v>
      </c>
      <c r="BI59" s="100">
        <f>AVERAGE('Shuttle Bids'!X739,'Shuttle Bids'!X791,'Shuttle Bids'!X843)</f>
        <v>-341.5</v>
      </c>
      <c r="BJ59" s="100">
        <f>AVERAGE('Shuttle Bids'!Y739,'Shuttle Bids'!Y791,'Shuttle Bids'!Y843)</f>
        <v>-291.66666666666669</v>
      </c>
      <c r="BK59" s="78">
        <f>AVERAGE('Shuttle Bids'!Z739,'Shuttle Bids'!Z791,'Shuttle Bids'!Z843)</f>
        <v>-284.66666666666669</v>
      </c>
      <c r="BL59" s="12">
        <v>19</v>
      </c>
      <c r="BM59" s="100">
        <f>AVERAGE('Shuttle Bids'!AB739,'Shuttle Bids'!AB791,'Shuttle Bids'!AB843)</f>
        <v>-400</v>
      </c>
      <c r="BN59" s="100">
        <f>AVERAGE('Shuttle Bids'!AC739,'Shuttle Bids'!AC791,'Shuttle Bids'!AC843)</f>
        <v>-213</v>
      </c>
      <c r="BO59" s="78">
        <f>AVERAGE('Shuttle Bids'!AD739,'Shuttle Bids'!AD791,'Shuttle Bids'!AD843)</f>
        <v>-306.5</v>
      </c>
      <c r="BP59" s="100"/>
      <c r="BQ59" s="100">
        <f>AVERAGE('Shuttle Bids'!AG739,'Shuttle Bids'!AG791,'Shuttle Bids'!AG843)</f>
        <v>-256.5</v>
      </c>
      <c r="BR59" s="78">
        <f>AVERAGE('Shuttle Bids'!AH739,'Shuttle Bids'!AH791,'Shuttle Bids'!AH843)</f>
        <v>-256.5</v>
      </c>
      <c r="BS59" s="100">
        <f>AVERAGE('Shuttle Bids'!AJ739,'Shuttle Bids'!AJ791,'Shuttle Bids'!AJ843)</f>
        <v>-200</v>
      </c>
      <c r="BT59" s="100">
        <f>AVERAGE('Shuttle Bids'!AK739,'Shuttle Bids'!AK791,'Shuttle Bids'!AK843)</f>
        <v>-131.5</v>
      </c>
      <c r="BU59" s="78">
        <f>AVERAGE('Shuttle Bids'!AL739,'Shuttle Bids'!AL791,'Shuttle Bids'!AL843)</f>
        <v>-154.33333333333334</v>
      </c>
      <c r="BV59" s="80"/>
    </row>
    <row r="60" spans="1:74" x14ac:dyDescent="0.25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Bids'!X844,'Non-shuttle Bids'!X792)</f>
        <v>30.666666666666668</v>
      </c>
      <c r="S60" s="106">
        <f>AVERAGE('Non-shuttle Bids'!Y740,'Non-shuttle Bids'!Y844,'Non-shuttle Bids'!Y792)</f>
        <v>6.5</v>
      </c>
      <c r="T60" s="107">
        <f>AVERAGE('Non-shuttle Bids'!Z740,'Non-shuttle Bids'!Z844,'Non-shuttle Bids'!Z792)</f>
        <v>21.666666666666668</v>
      </c>
      <c r="U60" s="12">
        <v>20</v>
      </c>
      <c r="V60" s="100">
        <f>AVERAGE('Non-shuttle Bids'!AB740,'Non-shuttle Bids'!AB844,'Non-shuttle Bids'!AB792)</f>
        <v>50</v>
      </c>
      <c r="W60" s="100"/>
      <c r="X60" s="83">
        <f>AVERAGE('Non-shuttle Bids'!AD740,'Non-shuttle Bids'!AD844,'Non-shuttle Bids'!AD792)</f>
        <v>50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Bids'!X844)</f>
        <v>-310.5</v>
      </c>
      <c r="BJ60" s="100">
        <f>AVERAGE('Shuttle Bids'!Y740,'Shuttle Bids'!Y792,'Shuttle Bids'!Y844)</f>
        <v>-329.33333333333331</v>
      </c>
      <c r="BK60" s="78">
        <f>AVERAGE('Shuttle Bids'!Z740,'Shuttle Bids'!Z792,'Shuttle Bids'!Z844)</f>
        <v>-293.16666666666669</v>
      </c>
      <c r="BL60" s="12">
        <v>20</v>
      </c>
      <c r="BM60" s="100">
        <f>AVERAGE('Shuttle Bids'!AB740,'Shuttle Bids'!AB792,'Shuttle Bids'!AB844)</f>
        <v>-400</v>
      </c>
      <c r="BN60" s="100">
        <f>AVERAGE('Shuttle Bids'!AC740,'Shuttle Bids'!AC792,'Shuttle Bids'!AC844)</f>
        <v>-250</v>
      </c>
      <c r="BO60" s="78">
        <f>AVERAGE('Shuttle Bids'!AD740,'Shuttle Bids'!AD792,'Shuttle Bids'!AD844)</f>
        <v>-250</v>
      </c>
      <c r="BP60" s="100">
        <f>AVERAGE('Shuttle Bids'!AF740,'Shuttle Bids'!AF792,'Shuttle Bids'!AF844)</f>
        <v>-400</v>
      </c>
      <c r="BQ60" s="100">
        <f>AVERAGE('Shuttle Bids'!AG740,'Shuttle Bids'!AG792,'Shuttle Bids'!AG844)</f>
        <v>-291.66666666666669</v>
      </c>
      <c r="BR60" s="78">
        <f>AVERAGE('Shuttle Bids'!AH740,'Shuttle Bids'!AH792,'Shuttle Bids'!AH844)</f>
        <v>-308.33333333333331</v>
      </c>
      <c r="BS60" s="100"/>
      <c r="BT60" s="100">
        <f>AVERAGE('Shuttle Bids'!AK740,'Shuttle Bids'!AK792,'Shuttle Bids'!AK844)</f>
        <v>-225</v>
      </c>
      <c r="BU60" s="78">
        <f>AVERAGE('Shuttle Bids'!AL740,'Shuttle Bids'!AL792,'Shuttle Bids'!AL844)</f>
        <v>-225</v>
      </c>
      <c r="BV60" s="80"/>
    </row>
    <row r="61" spans="1:74" x14ac:dyDescent="0.25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Bids'!X845,'Non-shuttle Bids'!X793)</f>
        <v>18.666666666666668</v>
      </c>
      <c r="S61" s="106">
        <f>AVERAGE('Non-shuttle Bids'!Y741,'Non-shuttle Bids'!Y845,'Non-shuttle Bids'!Y793)</f>
        <v>5.666666666666667</v>
      </c>
      <c r="T61" s="107">
        <f>AVERAGE('Non-shuttle Bids'!Z741,'Non-shuttle Bids'!Z845,'Non-shuttle Bids'!Z793)</f>
        <v>12.166666666666666</v>
      </c>
      <c r="U61" s="12">
        <v>21</v>
      </c>
      <c r="V61" s="100">
        <f>AVERAGE('Non-shuttle Bids'!AB741,'Non-shuttle Bids'!AB845,'Non-shuttle Bids'!AB793)</f>
        <v>33.333333333333336</v>
      </c>
      <c r="W61" s="100"/>
      <c r="X61" s="83">
        <f>AVERAGE('Non-shuttle Bids'!AD741,'Non-shuttle Bids'!AD845,'Non-shuttle Bids'!AD793)</f>
        <v>33.333333333333336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Bids'!X845)</f>
        <v>-125.33333333333333</v>
      </c>
      <c r="BJ61" s="100">
        <f>AVERAGE('Shuttle Bids'!Y741,'Shuttle Bids'!Y793,'Shuttle Bids'!Y845)</f>
        <v>-287.66666666666669</v>
      </c>
      <c r="BK61" s="78">
        <f>AVERAGE('Shuttle Bids'!Z741,'Shuttle Bids'!Z793,'Shuttle Bids'!Z845)</f>
        <v>-206.5</v>
      </c>
      <c r="BL61" s="12">
        <v>21</v>
      </c>
      <c r="BM61" s="100">
        <f>AVERAGE('Shuttle Bids'!AB741,'Shuttle Bids'!AB793,'Shuttle Bids'!AB845)</f>
        <v>-400</v>
      </c>
      <c r="BN61" s="100">
        <f>AVERAGE('Shuttle Bids'!AC741,'Shuttle Bids'!AC793,'Shuttle Bids'!AC845)</f>
        <v>-266.66666666666669</v>
      </c>
      <c r="BO61" s="78">
        <f>AVERAGE('Shuttle Bids'!AD741,'Shuttle Bids'!AD793,'Shuttle Bids'!AD845)</f>
        <v>-270.83333333333331</v>
      </c>
      <c r="BP61" s="100"/>
      <c r="BQ61" s="100">
        <f>AVERAGE('Shuttle Bids'!AG741,'Shuttle Bids'!AG793,'Shuttle Bids'!AG845)</f>
        <v>-283.33333333333331</v>
      </c>
      <c r="BR61" s="78">
        <f>AVERAGE('Shuttle Bids'!AH741,'Shuttle Bids'!AH793,'Shuttle Bids'!AH845)</f>
        <v>-283.33333333333331</v>
      </c>
      <c r="BS61" s="100"/>
      <c r="BT61" s="100">
        <f>AVERAGE('Shuttle Bids'!AK741,'Shuttle Bids'!AK793,'Shuttle Bids'!AK845)</f>
        <v>-208.33333333333334</v>
      </c>
      <c r="BU61" s="78">
        <f>AVERAGE('Shuttle Bids'!AL741,'Shuttle Bids'!AL793,'Shuttle Bids'!AL845)</f>
        <v>-208.33333333333334</v>
      </c>
      <c r="BV61" s="80"/>
    </row>
    <row r="62" spans="1:74" x14ac:dyDescent="0.25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Bids'!X846,'Non-shuttle Bids'!X794)</f>
        <v>21</v>
      </c>
      <c r="S62" s="106">
        <f>AVERAGE('Non-shuttle Bids'!Y742,'Non-shuttle Bids'!Y846,'Non-shuttle Bids'!Y794)</f>
        <v>11.666666666666666</v>
      </c>
      <c r="T62" s="107">
        <f>AVERAGE('Non-shuttle Bids'!Z742,'Non-shuttle Bids'!Z846,'Non-shuttle Bids'!Z794)</f>
        <v>16.333333333333332</v>
      </c>
      <c r="U62" s="12">
        <v>22</v>
      </c>
      <c r="V62" s="100">
        <f>AVERAGE('Non-shuttle Bids'!AB742,'Non-shuttle Bids'!AB846,'Non-shuttle Bids'!AB794)</f>
        <v>33.333333333333336</v>
      </c>
      <c r="W62" s="100">
        <f>AVERAGE('Non-shuttle Bids'!AC742,'Non-shuttle Bids'!AC846,'Non-shuttle Bids'!AC794)</f>
        <v>25</v>
      </c>
      <c r="X62" s="83">
        <f>AVERAGE('Non-shuttle Bids'!AD742,'Non-shuttle Bids'!AD846,'Non-shuttle Bids'!AD794)</f>
        <v>25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Bids'!X846)</f>
        <v>-150</v>
      </c>
      <c r="BJ62" s="100">
        <f>AVERAGE('Shuttle Bids'!Y742,'Shuttle Bids'!Y794,'Shuttle Bids'!Y846)</f>
        <v>-267.66666666666669</v>
      </c>
      <c r="BK62" s="78">
        <f>AVERAGE('Shuttle Bids'!Z742,'Shuttle Bids'!Z794,'Shuttle Bids'!Z846)</f>
        <v>-208.83333333333334</v>
      </c>
      <c r="BL62" s="12">
        <v>22</v>
      </c>
      <c r="BM62" s="100"/>
      <c r="BN62" s="100">
        <f>AVERAGE('Shuttle Bids'!AC742,'Shuttle Bids'!AC794,'Shuttle Bids'!AC846)</f>
        <v>-266.66666666666669</v>
      </c>
      <c r="BO62" s="78">
        <f>AVERAGE('Shuttle Bids'!AD742,'Shuttle Bids'!AD794,'Shuttle Bids'!AD846)</f>
        <v>-266.66666666666669</v>
      </c>
      <c r="BP62" s="100"/>
      <c r="BQ62" s="100">
        <f>AVERAGE('Shuttle Bids'!AG742,'Shuttle Bids'!AG794,'Shuttle Bids'!AG846)</f>
        <v>-275</v>
      </c>
      <c r="BR62" s="78">
        <f>AVERAGE('Shuttle Bids'!AH742,'Shuttle Bids'!AH794,'Shuttle Bids'!AH846)</f>
        <v>-275</v>
      </c>
      <c r="BS62" s="100">
        <f>AVERAGE('Shuttle Bids'!AJ742,'Shuttle Bids'!AJ794,'Shuttle Bids'!AJ846)</f>
        <v>300</v>
      </c>
      <c r="BT62" s="100">
        <f>AVERAGE('Shuttle Bids'!AK742,'Shuttle Bids'!AK794,'Shuttle Bids'!AK846)</f>
        <v>-208.33333333333334</v>
      </c>
      <c r="BU62" s="78">
        <f>AVERAGE('Shuttle Bids'!AL742,'Shuttle Bids'!AL794,'Shuttle Bids'!AL846)</f>
        <v>-116.66666666666667</v>
      </c>
      <c r="BV62" s="80"/>
    </row>
    <row r="63" spans="1:74" x14ac:dyDescent="0.25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Bids'!X847,'Non-shuttle Bids'!X795)</f>
        <v>14</v>
      </c>
      <c r="S63" s="106">
        <f>AVERAGE('Non-shuttle Bids'!Y743,'Non-shuttle Bids'!Y847,'Non-shuttle Bids'!Y795)</f>
        <v>16.666666666666668</v>
      </c>
      <c r="T63" s="107">
        <f>AVERAGE('Non-shuttle Bids'!Z743,'Non-shuttle Bids'!Z847,'Non-shuttle Bids'!Z795)</f>
        <v>15.333333333333334</v>
      </c>
      <c r="U63" s="12">
        <v>23</v>
      </c>
      <c r="V63" s="100">
        <f>AVERAGE('Non-shuttle Bids'!AB743,'Non-shuttle Bids'!AB847,'Non-shuttle Bids'!AB795)</f>
        <v>33.333333333333336</v>
      </c>
      <c r="W63" s="100">
        <f>AVERAGE('Non-shuttle Bids'!AC743,'Non-shuttle Bids'!AC847,'Non-shuttle Bids'!AC795)</f>
        <v>12.5</v>
      </c>
      <c r="X63" s="83">
        <f>AVERAGE('Non-shuttle Bids'!AD743,'Non-shuttle Bids'!AD847,'Non-shuttle Bids'!AD795)</f>
        <v>20.833333333333332</v>
      </c>
      <c r="Y63" s="100"/>
      <c r="Z63" s="100">
        <f>AVERAGE('Non-shuttle Bids'!AG743,'Non-shuttle Bids'!AG795,'Non-shuttle Bids'!AG847)</f>
        <v>25</v>
      </c>
      <c r="AA63" s="83">
        <f>AVERAGE('Non-shuttle Bids'!AH743,'Non-shuttle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Bids'!X847)</f>
        <v>-55.666666666666664</v>
      </c>
      <c r="BJ63" s="100">
        <f>AVERAGE('Shuttle Bids'!Y743,'Shuttle Bids'!Y795,'Shuttle Bids'!Y847)</f>
        <v>-248.66666666666666</v>
      </c>
      <c r="BK63" s="78">
        <f>AVERAGE('Shuttle Bids'!Z743,'Shuttle Bids'!Z795,'Shuttle Bids'!Z847)</f>
        <v>-152.16666666666666</v>
      </c>
      <c r="BL63" s="12">
        <v>23</v>
      </c>
      <c r="BM63" s="100">
        <f>AVERAGE('Shuttle Bids'!AB743,'Shuttle Bids'!AB795,'Shuttle Bids'!AB847)</f>
        <v>-225</v>
      </c>
      <c r="BN63" s="100">
        <f>AVERAGE('Shuttle Bids'!AC743,'Shuttle Bids'!AC795,'Shuttle Bids'!AC847)</f>
        <v>-283.33333333333331</v>
      </c>
      <c r="BO63" s="78">
        <f>AVERAGE('Shuttle Bids'!AD743,'Shuttle Bids'!AD795,'Shuttle Bids'!AD847)</f>
        <v>-266.66666666666669</v>
      </c>
      <c r="BP63" s="100"/>
      <c r="BQ63" s="100">
        <f>AVERAGE('Shuttle Bids'!AG743,'Shuttle Bids'!AG795,'Shuttle Bids'!AG847)</f>
        <v>-241.66666666666666</v>
      </c>
      <c r="BR63" s="78">
        <f>AVERAGE('Shuttle Bids'!AH743,'Shuttle Bids'!AH795,'Shuttle Bids'!AH847)</f>
        <v>-241.66666666666666</v>
      </c>
      <c r="BS63" s="100"/>
      <c r="BT63" s="100">
        <f>AVERAGE('Shuttle Bids'!AK743,'Shuttle Bids'!AK795,'Shuttle Bids'!AK847)</f>
        <v>-208.33333333333334</v>
      </c>
      <c r="BU63" s="78">
        <f>AVERAGE('Shuttle Bids'!AL743,'Shuttle Bids'!AL795,'Shuttle Bids'!AL847)</f>
        <v>-208.33333333333334</v>
      </c>
      <c r="BV63" s="80"/>
    </row>
    <row r="64" spans="1:74" x14ac:dyDescent="0.25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Bids'!X848,'Non-shuttle Bids'!X796)</f>
        <v>7.666666666666667</v>
      </c>
      <c r="S64" s="106">
        <f>AVERAGE('Non-shuttle Bids'!Y744,'Non-shuttle Bids'!Y848,'Non-shuttle Bids'!Y796)</f>
        <v>5</v>
      </c>
      <c r="T64" s="107">
        <f>AVERAGE('Non-shuttle Bids'!Z744,'Non-shuttle Bids'!Z848,'Non-shuttle Bids'!Z796)</f>
        <v>6.333333333333333</v>
      </c>
      <c r="U64" s="12">
        <v>24</v>
      </c>
      <c r="V64" s="100">
        <f>AVERAGE('Non-shuttle Bids'!AB744,'Non-shuttle Bids'!AB848,'Non-shuttle Bids'!AB796)</f>
        <v>33.333333333333336</v>
      </c>
      <c r="W64" s="100">
        <f>AVERAGE('Non-shuttle Bids'!AC744,'Non-shuttle Bids'!AC848,'Non-shuttle Bids'!AC796)</f>
        <v>18.333333333333332</v>
      </c>
      <c r="X64" s="83">
        <f>AVERAGE('Non-shuttle Bids'!AD744,'Non-shuttle Bids'!AD848,'Non-shuttle Bids'!AD796)</f>
        <v>25.833333333333332</v>
      </c>
      <c r="Y64" s="100"/>
      <c r="Z64" s="100">
        <f>AVERAGE('Non-shuttle Bids'!AG744,'Non-shuttle Bids'!AG796,'Non-shuttle Bids'!AG848)</f>
        <v>25</v>
      </c>
      <c r="AA64" s="83">
        <f>AVERAGE('Non-shuttle Bids'!AH744,'Non-shuttle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Bids'!X848)</f>
        <v>-133.33333333333334</v>
      </c>
      <c r="BJ64" s="100">
        <f>AVERAGE('Shuttle Bids'!Y744,'Shuttle Bids'!Y796,'Shuttle Bids'!Y848)</f>
        <v>-358.33333333333331</v>
      </c>
      <c r="BK64" s="78">
        <f>AVERAGE('Shuttle Bids'!Z744,'Shuttle Bids'!Z796,'Shuttle Bids'!Z848)</f>
        <v>-245.83333333333334</v>
      </c>
      <c r="BL64" s="12">
        <v>24</v>
      </c>
      <c r="BM64" s="100">
        <f>AVERAGE('Shuttle Bids'!AB744,'Shuttle Bids'!AB796,'Shuttle Bids'!AB848)</f>
        <v>0</v>
      </c>
      <c r="BN64" s="100">
        <f>AVERAGE('Shuttle Bids'!AC744,'Shuttle Bids'!AC796,'Shuttle Bids'!AC848)</f>
        <v>-280.66666666666669</v>
      </c>
      <c r="BO64" s="78">
        <f>AVERAGE('Shuttle Bids'!AD744,'Shuttle Bids'!AD796,'Shuttle Bids'!AD848)</f>
        <v>-222.33333333333334</v>
      </c>
      <c r="BP64" s="100"/>
      <c r="BQ64" s="100">
        <f>AVERAGE('Shuttle Bids'!AG744,'Shuttle Bids'!AG796,'Shuttle Bids'!AG848)</f>
        <v>-283.33333333333331</v>
      </c>
      <c r="BR64" s="78">
        <f>AVERAGE('Shuttle Bids'!AH744,'Shuttle Bids'!AH796,'Shuttle Bids'!AH848)</f>
        <v>-283.33333333333331</v>
      </c>
      <c r="BS64" s="100"/>
      <c r="BT64" s="100">
        <f>AVERAGE('Shuttle Bids'!AK744,'Shuttle Bids'!AK796,'Shuttle Bids'!AK848)</f>
        <v>-208.33333333333334</v>
      </c>
      <c r="BU64" s="78">
        <f>AVERAGE('Shuttle Bids'!AL744,'Shuttle Bids'!AL796,'Shuttle Bids'!AL848)</f>
        <v>-208.33333333333334</v>
      </c>
      <c r="BV64" s="80"/>
    </row>
    <row r="65" spans="1:74" x14ac:dyDescent="0.25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Bids'!X849,'Non-shuttle Bids'!X797)</f>
        <v>12.5</v>
      </c>
      <c r="S65" s="106">
        <f>AVERAGE('Non-shuttle Bids'!Y745,'Non-shuttle Bids'!Y849,'Non-shuttle Bids'!Y797)</f>
        <v>0</v>
      </c>
      <c r="T65" s="107">
        <f>AVERAGE('Non-shuttle Bids'!Z745,'Non-shuttle Bids'!Z849,'Non-shuttle Bids'!Z797)</f>
        <v>6.25</v>
      </c>
      <c r="U65" s="12">
        <v>25</v>
      </c>
      <c r="V65" s="100">
        <f>AVERAGE('Non-shuttle Bids'!AB745,'Non-shuttle Bids'!AB849,'Non-shuttle Bids'!AB797)</f>
        <v>12.333333333333334</v>
      </c>
      <c r="W65" s="100">
        <f>AVERAGE('Non-shuttle Bids'!AC745,'Non-shuttle Bids'!AC849,'Non-shuttle Bids'!AC797)</f>
        <v>14.333333333333334</v>
      </c>
      <c r="X65" s="83">
        <f>AVERAGE('Non-shuttle Bids'!AD745,'Non-shuttle Bids'!AD849,'Non-shuttle Bids'!AD797)</f>
        <v>13.333333333333334</v>
      </c>
      <c r="Y65" s="100">
        <f>AVERAGE('Non-shuttle Bids'!AF745,'Non-shuttle Bids'!AF797,'Non-shuttle Bids'!AF849)</f>
        <v>-75</v>
      </c>
      <c r="Z65" s="100">
        <f>AVERAGE('Non-shuttle Bids'!AG745,'Non-shuttle Bids'!AG797,'Non-shuttle Bids'!AG849)</f>
        <v>37.5</v>
      </c>
      <c r="AA65" s="83">
        <f>AVERAGE('Non-shuttle Bids'!AH745,'Non-shuttle Bids'!AH797,'Non-shuttle Bids'!AH849)</f>
        <v>-18.75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Bids'!X849)</f>
        <v>-194</v>
      </c>
      <c r="BJ65" s="100">
        <f>AVERAGE('Shuttle Bids'!Y745,'Shuttle Bids'!Y797,'Shuttle Bids'!Y849)</f>
        <v>-625</v>
      </c>
      <c r="BK65" s="78">
        <f>AVERAGE('Shuttle Bids'!Z745,'Shuttle Bids'!Z797,'Shuttle Bids'!Z849)</f>
        <v>-228.25</v>
      </c>
      <c r="BL65" s="12">
        <v>25</v>
      </c>
      <c r="BM65" s="100">
        <f>AVERAGE('Shuttle Bids'!AB745,'Shuttle Bids'!AB797,'Shuttle Bids'!AB849)</f>
        <v>-265.33333333333331</v>
      </c>
      <c r="BN65" s="100">
        <f>AVERAGE('Shuttle Bids'!AC745,'Shuttle Bids'!AC797,'Shuttle Bids'!AC849)</f>
        <v>-475</v>
      </c>
      <c r="BO65" s="78">
        <f>AVERAGE('Shuttle Bids'!AD745,'Shuttle Bids'!AD797,'Shuttle Bids'!AD849)</f>
        <v>-284</v>
      </c>
      <c r="BP65" s="100">
        <f>AVERAGE('Shuttle Bids'!AF745,'Shuttle Bids'!AF797,'Shuttle Bids'!AF849)</f>
        <v>-200</v>
      </c>
      <c r="BQ65" s="100">
        <f>AVERAGE('Shuttle Bids'!AG745,'Shuttle Bids'!AG797,'Shuttle Bids'!AG849)</f>
        <v>-350</v>
      </c>
      <c r="BR65" s="78">
        <f>AVERAGE('Shuttle Bids'!AH745,'Shuttle Bids'!AH797,'Shuttle Bids'!AH849)</f>
        <v>-300</v>
      </c>
      <c r="BS65" s="100"/>
      <c r="BT65" s="100">
        <f>AVERAGE('Shuttle Bids'!AK745,'Shuttle Bids'!AK797,'Shuttle Bids'!AK849)</f>
        <v>-250</v>
      </c>
      <c r="BU65" s="78">
        <f>AVERAGE('Shuttle Bids'!AL745,'Shuttle Bids'!AL797,'Shuttle Bids'!AL849)</f>
        <v>-250</v>
      </c>
      <c r="BV65" s="80"/>
    </row>
    <row r="66" spans="1:74" x14ac:dyDescent="0.25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Bids'!AB850,'Non-shuttle Bids'!AB798)</f>
        <v>3.6666666666666665</v>
      </c>
      <c r="W66" s="100">
        <f>AVERAGE('Non-shuttle Bids'!AC746,'Non-shuttle Bids'!AC850,'Non-shuttle Bids'!AC798)</f>
        <v>8.6666666666666661</v>
      </c>
      <c r="X66" s="83">
        <f>AVERAGE('Non-shuttle Bids'!AD746,'Non-shuttle Bids'!AD850,'Non-shuttle Bids'!AD798)</f>
        <v>6.166666666666667</v>
      </c>
      <c r="Y66" s="100">
        <f>AVERAGE('Non-shuttle Bids'!AF746,'Non-shuttle Bids'!AF798,'Non-shuttle Bids'!AF850)</f>
        <v>0</v>
      </c>
      <c r="Z66" s="100">
        <f>AVERAGE('Non-shuttle Bids'!AG746,'Non-shuttle Bids'!AG798,'Non-shuttle Bids'!AG850)</f>
        <v>37.5</v>
      </c>
      <c r="AA66" s="83">
        <f>AVERAGE('Non-shuttle Bids'!AH746,'Non-shuttle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Bids'!AB850)</f>
        <v>-150.5</v>
      </c>
      <c r="BN66" s="100">
        <f>AVERAGE('Shuttle Bids'!AC746,'Shuttle Bids'!AC798,'Shuttle Bids'!AC850)</f>
        <v>-358.33333333333331</v>
      </c>
      <c r="BO66" s="78">
        <f>AVERAGE('Shuttle Bids'!AD746,'Shuttle Bids'!AD798,'Shuttle Bids'!AD850)</f>
        <v>-316.83333333333331</v>
      </c>
      <c r="BP66" s="100">
        <f>AVERAGE('Shuttle Bids'!AF746,'Shuttle Bids'!AF798,'Shuttle Bids'!AF850)</f>
        <v>-150</v>
      </c>
      <c r="BQ66" s="100">
        <f>AVERAGE('Shuttle Bids'!AG746,'Shuttle Bids'!AG798,'Shuttle Bids'!AG850)</f>
        <v>-383.33333333333331</v>
      </c>
      <c r="BR66" s="78">
        <f>AVERAGE('Shuttle Bids'!AH746,'Shuttle Bids'!AH798,'Shuttle Bids'!AH850)</f>
        <v>-387.5</v>
      </c>
      <c r="BS66" s="100">
        <f>AVERAGE('Shuttle Bids'!AJ746,'Shuttle Bids'!AJ798,'Shuttle Bids'!AJ850)</f>
        <v>0</v>
      </c>
      <c r="BT66" s="100">
        <f>AVERAGE('Shuttle Bids'!AK746,'Shuttle Bids'!AK798,'Shuttle Bids'!AK850)</f>
        <v>-266.66666666666669</v>
      </c>
      <c r="BU66" s="78">
        <f>AVERAGE('Shuttle Bids'!AL746,'Shuttle Bids'!AL798,'Shuttle Bids'!AL850)</f>
        <v>-175</v>
      </c>
      <c r="BV66" s="80"/>
    </row>
    <row r="67" spans="1:74" x14ac:dyDescent="0.25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Bids'!AB851,'Non-shuttle Bids'!AB799)</f>
        <v>1</v>
      </c>
      <c r="W67" s="100">
        <f>AVERAGE('Non-shuttle Bids'!AC747,'Non-shuttle Bids'!AC851,'Non-shuttle Bids'!AC799)</f>
        <v>-1</v>
      </c>
      <c r="X67" s="83">
        <f>AVERAGE('Non-shuttle Bids'!AD747,'Non-shuttle Bids'!AD851,'Non-shuttle Bids'!AD799)</f>
        <v>0</v>
      </c>
      <c r="Y67" s="100">
        <f>AVERAGE('Non-shuttle Bids'!AF747,'Non-shuttle Bids'!AF799,'Non-shuttle Bids'!AF851)</f>
        <v>0</v>
      </c>
      <c r="Z67" s="100">
        <f>AVERAGE('Non-shuttle Bids'!AG747,'Non-shuttle Bids'!AG799,'Non-shuttle Bids'!AG851)</f>
        <v>19</v>
      </c>
      <c r="AA67" s="83">
        <f>AVERAGE('Non-shuttle Bids'!AH747,'Non-shuttle Bids'!AH799,'Non-shuttle Bids'!AH851)</f>
        <v>15.75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Bids'!AB851)</f>
        <v>-216.66666666666666</v>
      </c>
      <c r="BN67" s="100">
        <f>AVERAGE('Shuttle Bids'!AC747,'Shuttle Bids'!AC799,'Shuttle Bids'!AC851)</f>
        <v>-307</v>
      </c>
      <c r="BO67" s="78">
        <f>AVERAGE('Shuttle Bids'!AD747,'Shuttle Bids'!AD799,'Shuttle Bids'!AD851)</f>
        <v>-261.83333333333331</v>
      </c>
      <c r="BP67" s="100"/>
      <c r="BQ67" s="100">
        <f>AVERAGE('Shuttle Bids'!AG747,'Shuttle Bids'!AG799,'Shuttle Bids'!AG851)</f>
        <v>-308.33333333333331</v>
      </c>
      <c r="BR67" s="78">
        <f>AVERAGE('Shuttle Bids'!AH747,'Shuttle Bids'!AH799,'Shuttle Bids'!AH851)</f>
        <v>-308.33333333333331</v>
      </c>
      <c r="BS67" s="100">
        <f>AVERAGE('Shuttle Bids'!AJ747,'Shuttle Bids'!AJ799,'Shuttle Bids'!AJ851)</f>
        <v>-12.5</v>
      </c>
      <c r="BT67" s="100">
        <f>AVERAGE('Shuttle Bids'!AK747,'Shuttle Bids'!AK799,'Shuttle Bids'!AK851)</f>
        <v>-266.66666666666669</v>
      </c>
      <c r="BU67" s="78">
        <f>AVERAGE('Shuttle Bids'!AL747,'Shuttle Bids'!AL799,'Shuttle Bids'!AL851)</f>
        <v>-179.16666666666666</v>
      </c>
      <c r="BV67" s="80"/>
    </row>
    <row r="68" spans="1:74" x14ac:dyDescent="0.25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Bids'!AB852,'Non-shuttle Bids'!AB800)</f>
        <v>-4</v>
      </c>
      <c r="W68" s="100">
        <f>AVERAGE('Non-shuttle Bids'!AC748,'Non-shuttle Bids'!AC852,'Non-shuttle Bids'!AC800)</f>
        <v>-4.333333333333333</v>
      </c>
      <c r="X68" s="83">
        <f>AVERAGE('Non-shuttle Bids'!AD748,'Non-shuttle Bids'!AD852,'Non-shuttle Bids'!AD800)</f>
        <v>-4.166666666666667</v>
      </c>
      <c r="Y68" s="100">
        <f>AVERAGE('Non-shuttle Bids'!AF748,'Non-shuttle Bids'!AF800,'Non-shuttle Bids'!AF852)</f>
        <v>13</v>
      </c>
      <c r="Z68" s="100">
        <f>AVERAGE('Non-shuttle Bids'!AG748,'Non-shuttle Bids'!AG800,'Non-shuttle Bids'!AG852)</f>
        <v>19</v>
      </c>
      <c r="AA68" s="83">
        <f>AVERAGE('Non-shuttle Bids'!AH748,'Non-shuttle Bids'!AH800,'Non-shuttle Bids'!AH852)</f>
        <v>19</v>
      </c>
      <c r="AB68" s="100">
        <f>AVERAGE('Non-shuttle Bids'!AJ748,'Non-shuttle Bids'!AJ800,'Non-shuttle Bids'!AJ852)</f>
        <v>100</v>
      </c>
      <c r="AC68" s="100"/>
      <c r="AD68" s="83">
        <f>AVERAGE('Non-shuttle Bids'!AL748,'Non-shuttle Bids'!AL800,'Non-shuttle Bids'!AL852)</f>
        <v>100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Bids'!AB852)</f>
        <v>-260.33333333333331</v>
      </c>
      <c r="BN68" s="100">
        <f>AVERAGE('Shuttle Bids'!AC748,'Shuttle Bids'!AC800,'Shuttle Bids'!AC852)</f>
        <v>-312.66666666666669</v>
      </c>
      <c r="BO68" s="78">
        <f>AVERAGE('Shuttle Bids'!AD748,'Shuttle Bids'!AD800,'Shuttle Bids'!AD852)</f>
        <v>-286.5</v>
      </c>
      <c r="BP68" s="100">
        <f>AVERAGE('Shuttle Bids'!AF748,'Shuttle Bids'!AF800,'Shuttle Bids'!AF852)</f>
        <v>-306.5</v>
      </c>
      <c r="BQ68" s="100">
        <f>AVERAGE('Shuttle Bids'!AG748,'Shuttle Bids'!AG800,'Shuttle Bids'!AG852)</f>
        <v>-266.66666666666669</v>
      </c>
      <c r="BR68" s="78">
        <f>AVERAGE('Shuttle Bids'!AH748,'Shuttle Bids'!AH800,'Shuttle Bids'!AH852)</f>
        <v>-285.5</v>
      </c>
      <c r="BS68" s="100"/>
      <c r="BT68" s="100">
        <f>AVERAGE('Shuttle Bids'!AK748,'Shuttle Bids'!AK800,'Shuttle Bids'!AK852)</f>
        <v>-233.33333333333334</v>
      </c>
      <c r="BU68" s="78">
        <f>AVERAGE('Shuttle Bids'!AL748,'Shuttle Bids'!AL800,'Shuttle Bids'!AL852)</f>
        <v>-233.33333333333334</v>
      </c>
      <c r="BV68" s="80"/>
    </row>
    <row r="69" spans="1:74" x14ac:dyDescent="0.25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Bids'!AB853,'Non-shuttle Bids'!AB801)</f>
        <v>25.333333333333332</v>
      </c>
      <c r="W69" s="100">
        <f>AVERAGE('Non-shuttle Bids'!AC749,'Non-shuttle Bids'!AC853,'Non-shuttle Bids'!AC801)</f>
        <v>0</v>
      </c>
      <c r="X69" s="83">
        <f>AVERAGE('Non-shuttle Bids'!AD749,'Non-shuttle Bids'!AD853,'Non-shuttle Bids'!AD801)</f>
        <v>12.666666666666666</v>
      </c>
      <c r="Y69" s="100">
        <f>AVERAGE('Non-shuttle Bids'!AF749,'Non-shuttle Bids'!AF801,'Non-shuttle Bids'!AF853)</f>
        <v>25</v>
      </c>
      <c r="Z69" s="100">
        <f>AVERAGE('Non-shuttle Bids'!AG749,'Non-shuttle Bids'!AG801,'Non-shuttle Bids'!AG853)</f>
        <v>19.666666666666668</v>
      </c>
      <c r="AA69" s="83">
        <f>AVERAGE('Non-shuttle Bids'!AH749,'Non-shuttle Bids'!AH801,'Non-shuttle Bids'!AH853)</f>
        <v>22.333333333333332</v>
      </c>
      <c r="AB69" s="100">
        <f>AVERAGE('Non-shuttle Bids'!AJ749,'Non-shuttle Bids'!AJ801,'Non-shuttle Bids'!AJ853)</f>
        <v>150</v>
      </c>
      <c r="AC69" s="100">
        <f>AVERAGE('Non-shuttle Bids'!AK749,'Non-shuttle Bids'!AK801,'Non-shuttle Bids'!AK853)</f>
        <v>56</v>
      </c>
      <c r="AD69" s="83">
        <f>AVERAGE('Non-shuttle Bids'!AL749,'Non-shuttle Bids'!AL801,'Non-shuttle Bids'!AL853)</f>
        <v>103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Bids'!AB853)</f>
        <v>-212.66666666666666</v>
      </c>
      <c r="BN69" s="100">
        <f>AVERAGE('Shuttle Bids'!AC749,'Shuttle Bids'!AC801,'Shuttle Bids'!AC853)</f>
        <v>-250</v>
      </c>
      <c r="BO69" s="78">
        <f>AVERAGE('Shuttle Bids'!AD749,'Shuttle Bids'!AD801,'Shuttle Bids'!AD853)</f>
        <v>-231.33333333333334</v>
      </c>
      <c r="BP69" s="100">
        <f>AVERAGE('Shuttle Bids'!AF749,'Shuttle Bids'!AF801,'Shuttle Bids'!AF853)</f>
        <v>-289</v>
      </c>
      <c r="BQ69" s="100">
        <f>AVERAGE('Shuttle Bids'!AG749,'Shuttle Bids'!AG801,'Shuttle Bids'!AG853)</f>
        <v>-316.66666666666669</v>
      </c>
      <c r="BR69" s="78">
        <f>AVERAGE('Shuttle Bids'!AH749,'Shuttle Bids'!AH801,'Shuttle Bids'!AH853)</f>
        <v>-302.83333333333331</v>
      </c>
      <c r="BS69" s="100">
        <f>AVERAGE('Shuttle Bids'!AJ749,'Shuttle Bids'!AJ801,'Shuttle Bids'!AJ853)</f>
        <v>-344</v>
      </c>
      <c r="BT69" s="100">
        <f>AVERAGE('Shuttle Bids'!AK749,'Shuttle Bids'!AK801,'Shuttle Bids'!AK853)</f>
        <v>-283.33333333333331</v>
      </c>
      <c r="BU69" s="78">
        <f>AVERAGE('Shuttle Bids'!AL749,'Shuttle Bids'!AL801,'Shuttle Bids'!AL853)</f>
        <v>-277.16666666666669</v>
      </c>
      <c r="BV69" s="80"/>
    </row>
    <row r="70" spans="1:74" x14ac:dyDescent="0.25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Bids'!AF854)</f>
        <v>31.5</v>
      </c>
      <c r="Z70" s="100">
        <f>AVERAGE('Non-shuttle Bids'!AG750,'Non-shuttle Bids'!AG802,'Non-shuttle Bids'!AG854)</f>
        <v>9.6666666666666661</v>
      </c>
      <c r="AA70" s="83">
        <f>AVERAGE('Non-shuttle Bids'!AH750,'Non-shuttle Bids'!AH802,'Non-shuttle Bids'!AH854)</f>
        <v>15.333333333333334</v>
      </c>
      <c r="AB70" s="100">
        <f>AVERAGE('Non-shuttle Bids'!AJ750,'Non-shuttle Bids'!AJ802,'Non-shuttle Bids'!AJ854)</f>
        <v>117</v>
      </c>
      <c r="AC70" s="100">
        <f>AVERAGE('Non-shuttle Bids'!AK750,'Non-shuttle Bids'!AK802,'Non-shuttle Bids'!AK854)</f>
        <v>56</v>
      </c>
      <c r="AD70" s="83">
        <f>AVERAGE('Non-shuttle Bids'!AL750,'Non-shuttle Bids'!AL802,'Non-shuttle Bids'!AL854)</f>
        <v>86.5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Bids'!AF854)</f>
        <v>-344.66666666666669</v>
      </c>
      <c r="BQ70" s="100">
        <f>AVERAGE('Shuttle Bids'!AG750,'Shuttle Bids'!AG802,'Shuttle Bids'!AG854)</f>
        <v>-383.33333333333331</v>
      </c>
      <c r="BR70" s="78">
        <f>AVERAGE('Shuttle Bids'!AH750,'Shuttle Bids'!AH802,'Shuttle Bids'!AH854)</f>
        <v>-364</v>
      </c>
      <c r="BS70" s="100">
        <f>AVERAGE('Shuttle Bids'!AJ750,'Shuttle Bids'!AJ802,'Shuttle Bids'!AJ854)</f>
        <v>-244</v>
      </c>
      <c r="BT70" s="100">
        <f>AVERAGE('Shuttle Bids'!AK750,'Shuttle Bids'!AK802,'Shuttle Bids'!AK854)</f>
        <v>-341.66666666666669</v>
      </c>
      <c r="BU70" s="78">
        <f>AVERAGE('Shuttle Bids'!AL750,'Shuttle Bids'!AL802,'Shuttle Bids'!AL854)</f>
        <v>-335.5</v>
      </c>
      <c r="BV70" s="80"/>
    </row>
    <row r="71" spans="1:74" x14ac:dyDescent="0.25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Bids'!AF855)</f>
        <v>-84.666666666666671</v>
      </c>
      <c r="Z71" s="100">
        <f>AVERAGE('Non-shuttle Bids'!AG751,'Non-shuttle Bids'!AG803,'Non-shuttle Bids'!AG855)</f>
        <v>19.333333333333332</v>
      </c>
      <c r="AA71" s="83">
        <f>AVERAGE('Non-shuttle Bids'!AH751,'Non-shuttle Bids'!AH803,'Non-shuttle Bids'!AH855)</f>
        <v>-32.666666666666664</v>
      </c>
      <c r="AB71" s="100">
        <f>AVERAGE('Non-shuttle Bids'!AJ751,'Non-shuttle Bids'!AJ803,'Non-shuttle Bids'!AJ855)</f>
        <v>-83</v>
      </c>
      <c r="AC71" s="100">
        <f>AVERAGE('Non-shuttle Bids'!AK751,'Non-shuttle Bids'!AK803,'Non-shuttle Bids'!AK855)</f>
        <v>48</v>
      </c>
      <c r="AD71" s="83">
        <f>AVERAGE('Non-shuttle Bids'!AL751,'Non-shuttle Bids'!AL803,'Non-shuttle Bids'!AL855)</f>
        <v>-17.5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Bids'!AF855)</f>
        <v>-322.66666666666669</v>
      </c>
      <c r="BQ71" s="100">
        <f>AVERAGE('Shuttle Bids'!AG751,'Shuttle Bids'!AG803,'Shuttle Bids'!AG855)</f>
        <v>-421</v>
      </c>
      <c r="BR71" s="78">
        <f>AVERAGE('Shuttle Bids'!AH751,'Shuttle Bids'!AH803,'Shuttle Bids'!AH855)</f>
        <v>-371.83333333333331</v>
      </c>
      <c r="BS71" s="100">
        <f>AVERAGE('Shuttle Bids'!AJ751,'Shuttle Bids'!AJ803,'Shuttle Bids'!AJ855)</f>
        <v>-241.5</v>
      </c>
      <c r="BT71" s="100">
        <f>AVERAGE('Shuttle Bids'!AK751,'Shuttle Bids'!AK803,'Shuttle Bids'!AK855)</f>
        <v>-383.33333333333331</v>
      </c>
      <c r="BU71" s="78">
        <f>AVERAGE('Shuttle Bids'!AL751,'Shuttle Bids'!AL803,'Shuttle Bids'!AL855)</f>
        <v>-309.66666666666669</v>
      </c>
      <c r="BV71" s="80"/>
    </row>
    <row r="72" spans="1:74" x14ac:dyDescent="0.25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Bids'!AF856)</f>
        <v>-81.666666666666671</v>
      </c>
      <c r="Z72" s="100">
        <f>AVERAGE('Non-shuttle Bids'!AG752,'Non-shuttle Bids'!AG804,'Non-shuttle Bids'!AG856)</f>
        <v>16</v>
      </c>
      <c r="AA72" s="83">
        <f>AVERAGE('Non-shuttle Bids'!AH752,'Non-shuttle Bids'!AH804,'Non-shuttle Bids'!AH856)</f>
        <v>-32.833333333333336</v>
      </c>
      <c r="AB72" s="100">
        <f>AVERAGE('Non-shuttle Bids'!AJ752,'Non-shuttle Bids'!AJ804,'Non-shuttle Bids'!AJ856)</f>
        <v>52</v>
      </c>
      <c r="AC72" s="100">
        <f>AVERAGE('Non-shuttle Bids'!AK752,'Non-shuttle Bids'!AK804,'Non-shuttle Bids'!AK856)</f>
        <v>51.5</v>
      </c>
      <c r="AD72" s="83">
        <f>AVERAGE('Non-shuttle Bids'!AL752,'Non-shuttle Bids'!AL804,'Non-shuttle Bids'!AL856)</f>
        <v>39.5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Bids'!AF856)</f>
        <v>-284.33333333333331</v>
      </c>
      <c r="BQ72" s="100">
        <f>AVERAGE('Shuttle Bids'!AG752,'Shuttle Bids'!AG804,'Shuttle Bids'!AG856)</f>
        <v>-316.66666666666669</v>
      </c>
      <c r="BR72" s="78">
        <f>AVERAGE('Shuttle Bids'!AH752,'Shuttle Bids'!AH804,'Shuttle Bids'!AH856)</f>
        <v>-300.5</v>
      </c>
      <c r="BS72" s="100">
        <f>AVERAGE('Shuttle Bids'!AJ752,'Shuttle Bids'!AJ804,'Shuttle Bids'!AJ856)</f>
        <v>-246.33333333333334</v>
      </c>
      <c r="BT72" s="100">
        <f>AVERAGE('Shuttle Bids'!AK752,'Shuttle Bids'!AK804,'Shuttle Bids'!AK856)</f>
        <v>-291</v>
      </c>
      <c r="BU72" s="78">
        <f>AVERAGE('Shuttle Bids'!AL752,'Shuttle Bids'!AL804,'Shuttle Bids'!AL856)</f>
        <v>-268.66666666666669</v>
      </c>
      <c r="BV72" s="80"/>
    </row>
    <row r="73" spans="1:74" x14ac:dyDescent="0.25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Bids'!AF857)</f>
        <v>5</v>
      </c>
      <c r="Z73" s="100">
        <f>AVERAGE('Non-shuttle Bids'!AG753,'Non-shuttle Bids'!AG805,'Non-shuttle Bids'!AG857)</f>
        <v>-12.333333333333334</v>
      </c>
      <c r="AA73" s="83">
        <f>AVERAGE('Non-shuttle Bids'!AH753,'Non-shuttle Bids'!AH805,'Non-shuttle Bids'!AH857)</f>
        <v>-4.5</v>
      </c>
      <c r="AB73" s="100">
        <f>AVERAGE('Non-shuttle Bids'!AJ753,'Non-shuttle Bids'!AJ805,'Non-shuttle Bids'!AJ857)</f>
        <v>51.5</v>
      </c>
      <c r="AC73" s="100">
        <f>AVERAGE('Non-shuttle Bids'!AK753,'Non-shuttle Bids'!AK805,'Non-shuttle Bids'!AK857)</f>
        <v>32.5</v>
      </c>
      <c r="AD73" s="83">
        <f>AVERAGE('Non-shuttle Bids'!AL753,'Non-shuttle Bids'!AL805,'Non-shuttle Bids'!AL857)</f>
        <v>28.833333333333332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Bids'!AF857)</f>
        <v>-269.66666666666669</v>
      </c>
      <c r="BQ73" s="100">
        <f>AVERAGE('Shuttle Bids'!AG753,'Shuttle Bids'!AG805,'Shuttle Bids'!AG857)</f>
        <v>-325</v>
      </c>
      <c r="BR73" s="78">
        <f>AVERAGE('Shuttle Bids'!AH753,'Shuttle Bids'!AH805,'Shuttle Bids'!AH857)</f>
        <v>-297.33333333333331</v>
      </c>
      <c r="BS73" s="100">
        <f>AVERAGE('Shuttle Bids'!AJ753,'Shuttle Bids'!AJ805,'Shuttle Bids'!AJ857)</f>
        <v>-275.66666666666669</v>
      </c>
      <c r="BT73" s="100">
        <f>AVERAGE('Shuttle Bids'!AK753,'Shuttle Bids'!AK805,'Shuttle Bids'!AK857)</f>
        <v>-325</v>
      </c>
      <c r="BU73" s="78">
        <f>AVERAGE('Shuttle Bids'!AL753,'Shuttle Bids'!AL805,'Shuttle Bids'!AL857)</f>
        <v>-300.33333333333331</v>
      </c>
      <c r="BV73" s="80"/>
    </row>
    <row r="74" spans="1:74" ht="15.6" x14ac:dyDescent="0.3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Bids'!AJ858)</f>
        <v>33.5</v>
      </c>
      <c r="AC74" s="100">
        <f>AVERAGE('Non-shuttle Bids'!AK754,'Non-shuttle Bids'!AK806,'Non-shuttle Bids'!AK858)</f>
        <v>26.5</v>
      </c>
      <c r="AD74" s="83">
        <f>AVERAGE('Non-shuttle Bids'!AL754,'Non-shuttle Bids'!AL806,'Non-shuttle Bids'!AL858)</f>
        <v>22.5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Bids'!AJ858)</f>
        <v>-267.66666666666669</v>
      </c>
      <c r="BT74" s="100">
        <f>AVERAGE('Shuttle Bids'!AK754,'Shuttle Bids'!AK806,'Shuttle Bids'!AK858)</f>
        <v>-341.66666666666669</v>
      </c>
      <c r="BU74" s="78">
        <f>AVERAGE('Shuttle Bids'!AL754,'Shuttle Bids'!AL806,'Shuttle Bids'!AL858)</f>
        <v>-304.66666666666669</v>
      </c>
      <c r="BV74" s="80"/>
    </row>
    <row r="75" spans="1:74" ht="15.6" x14ac:dyDescent="0.3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Bids'!AJ859)</f>
        <v>47.333333333333336</v>
      </c>
      <c r="AC75" s="100">
        <f>AVERAGE('Non-shuttle Bids'!AK755,'Non-shuttle Bids'!AK807,'Non-shuttle Bids'!AK859)</f>
        <v>18.666666666666668</v>
      </c>
      <c r="AD75" s="83">
        <f>AVERAGE('Non-shuttle Bids'!AL755,'Non-shuttle Bids'!AL807,'Non-shuttle Bids'!AL859)</f>
        <v>33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Bids'!AJ859)</f>
        <v>-206.66666666666666</v>
      </c>
      <c r="BT75" s="100">
        <f>AVERAGE('Shuttle Bids'!AK755,'Shuttle Bids'!AK807,'Shuttle Bids'!AK859)</f>
        <v>-287.66666666666669</v>
      </c>
      <c r="BU75" s="78">
        <f>AVERAGE('Shuttle Bids'!AL755,'Shuttle Bids'!AL807,'Shuttle Bids'!AL859)</f>
        <v>-247.16666666666666</v>
      </c>
      <c r="BV75" s="80"/>
    </row>
    <row r="76" spans="1:74" ht="15.6" x14ac:dyDescent="0.3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Bids'!AJ860)</f>
        <v>102.66666666666667</v>
      </c>
      <c r="AC76" s="100">
        <f>AVERAGE('Non-shuttle Bids'!AK756,'Non-shuttle Bids'!AK808,'Non-shuttle Bids'!AK860)</f>
        <v>29.333333333333332</v>
      </c>
      <c r="AD76" s="83">
        <f>AVERAGE('Non-shuttle Bids'!AL756,'Non-shuttle Bids'!AL808,'Non-shuttle Bids'!AL860)</f>
        <v>66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Bids'!AJ860)</f>
        <v>-137</v>
      </c>
      <c r="BT76" s="100">
        <f>AVERAGE('Shuttle Bids'!AK756,'Shuttle Bids'!AK808,'Shuttle Bids'!AK860)</f>
        <v>-316.66666666666669</v>
      </c>
      <c r="BU76" s="78">
        <f>AVERAGE('Shuttle Bids'!AL756,'Shuttle Bids'!AL808,'Shuttle Bids'!AL860)</f>
        <v>-226.83333333333334</v>
      </c>
      <c r="BV76" s="80"/>
    </row>
    <row r="77" spans="1:74" ht="15.6" x14ac:dyDescent="0.3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Bids'!AJ861)</f>
        <v>-6.5</v>
      </c>
      <c r="AC77" s="100">
        <f>AVERAGE('Non-shuttle Bids'!AK757,'Non-shuttle Bids'!AK809,'Non-shuttle Bids'!AK861)</f>
        <v>37.666666666666664</v>
      </c>
      <c r="AD77" s="83">
        <f>AVERAGE('Non-shuttle Bids'!AL757,'Non-shuttle Bids'!AL809,'Non-shuttle Bids'!AL861)</f>
        <v>29.166666666666668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Bids'!AJ861)</f>
        <v>36</v>
      </c>
      <c r="BT77" s="100">
        <f>AVERAGE('Shuttle Bids'!AK757,'Shuttle Bids'!AK809,'Shuttle Bids'!AK861)</f>
        <v>-244.33333333333334</v>
      </c>
      <c r="BU77" s="78">
        <f>AVERAGE('Shuttle Bids'!AL757,'Shuttle Bids'!AL809,'Shuttle Bids'!AL861)</f>
        <v>-104.16666666666667</v>
      </c>
      <c r="BV77" s="80"/>
    </row>
    <row r="78" spans="1:74" ht="15.6" x14ac:dyDescent="0.3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Bids'!AJ862)</f>
        <v>250</v>
      </c>
      <c r="AC78" s="100">
        <f>AVERAGE('Non-shuttle Bids'!AK758,'Non-shuttle Bids'!AK810,'Non-shuttle Bids'!AK862)</f>
        <v>47.5</v>
      </c>
      <c r="AD78" s="83">
        <f>AVERAGE('Non-shuttle Bids'!AL758,'Non-shuttle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Bids'!AJ862)</f>
        <v>400</v>
      </c>
      <c r="BT78" s="100">
        <f>AVERAGE('Shuttle Bids'!AK758,'Shuttle Bids'!AK810,'Shuttle Bids'!AK862)</f>
        <v>0</v>
      </c>
      <c r="BU78" s="78">
        <f>AVERAGE('Shuttle Bids'!AL758,'Shuttle Bids'!AL810,'Shuttle Bids'!AL862)</f>
        <v>325</v>
      </c>
      <c r="BV78" s="80"/>
    </row>
    <row r="79" spans="1:74" ht="15.6" x14ac:dyDescent="0.3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6" x14ac:dyDescent="0.3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6" x14ac:dyDescent="0.3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6" x14ac:dyDescent="0.3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6" x14ac:dyDescent="0.3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6" x14ac:dyDescent="0.3">
      <c r="AD84" s="86"/>
      <c r="AH84" s="8"/>
    </row>
    <row r="85" spans="1:64" x14ac:dyDescent="0.25">
      <c r="AD85" s="86"/>
    </row>
    <row r="86" spans="1:64" x14ac:dyDescent="0.25">
      <c r="AD86" s="86"/>
    </row>
    <row r="87" spans="1:64" x14ac:dyDescent="0.25">
      <c r="AD87" s="86"/>
    </row>
    <row r="88" spans="1:64" x14ac:dyDescent="0.25">
      <c r="AD88" s="86"/>
    </row>
    <row r="89" spans="1:64" x14ac:dyDescent="0.25">
      <c r="AD89" s="86"/>
    </row>
    <row r="90" spans="1:64" x14ac:dyDescent="0.25">
      <c r="AD90" s="86"/>
    </row>
    <row r="91" spans="1:64" x14ac:dyDescent="0.25">
      <c r="AD91" s="86"/>
    </row>
    <row r="92" spans="1:64" x14ac:dyDescent="0.25">
      <c r="AD92" s="86"/>
    </row>
  </sheetData>
  <mergeCells count="24">
    <mergeCell ref="CE6:CF6"/>
    <mergeCell ref="BM6:BN6"/>
    <mergeCell ref="BP6:BQ6"/>
    <mergeCell ref="BS6:BT6"/>
    <mergeCell ref="BW6:BX6"/>
    <mergeCell ref="CA6:CB6"/>
    <mergeCell ref="BI6:BJ6"/>
    <mergeCell ref="AV6:AW6"/>
    <mergeCell ref="BF6:BG6"/>
    <mergeCell ref="BC6:BD6"/>
    <mergeCell ref="AY6:AZ6"/>
    <mergeCell ref="AS6:AT6"/>
    <mergeCell ref="V6:W6"/>
    <mergeCell ref="R6:S6"/>
    <mergeCell ref="AN6:AO6"/>
    <mergeCell ref="AB6:AC6"/>
    <mergeCell ref="AF6:AG6"/>
    <mergeCell ref="AJ6:AK6"/>
    <mergeCell ref="B6:C6"/>
    <mergeCell ref="E6:F6"/>
    <mergeCell ref="H6:I6"/>
    <mergeCell ref="L6:M6"/>
    <mergeCell ref="Y6:Z6"/>
    <mergeCell ref="O6:P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196" activePane="bottomLeft" state="frozen"/>
      <selection pane="bottomLeft" activeCell="A206" sqref="A206:XFD206"/>
    </sheetView>
  </sheetViews>
  <sheetFormatPr defaultColWidth="9.81640625" defaultRowHeight="15" x14ac:dyDescent="0.25"/>
  <cols>
    <col min="1" max="5" width="9.81640625" style="1"/>
    <col min="6" max="6" width="1.81640625" style="1" customWidth="1"/>
    <col min="7" max="10" width="9.81640625" style="1"/>
    <col min="11" max="11" width="1.81640625" style="1" customWidth="1"/>
    <col min="12" max="13" width="9.81640625" style="1"/>
    <col min="14" max="17" width="7.81640625" style="1" customWidth="1"/>
    <col min="18" max="18" width="2.08984375" style="1" customWidth="1"/>
    <col min="19" max="22" width="7.81640625" style="1" customWidth="1"/>
    <col min="23" max="23" width="1.54296875" style="1" customWidth="1"/>
    <col min="24" max="27" width="7.81640625" style="1" customWidth="1"/>
    <col min="28" max="28" width="2" style="1" customWidth="1"/>
    <col min="29" max="32" width="7.81640625" style="1" customWidth="1"/>
    <col min="33" max="33" width="1.81640625" style="1" customWidth="1"/>
    <col min="34" max="37" width="6.81640625" style="1" customWidth="1"/>
    <col min="38" max="38" width="1.1796875" style="1" customWidth="1"/>
    <col min="39" max="42" width="6.81640625" style="1" customWidth="1"/>
    <col min="43" max="43" width="1.1796875" style="1" customWidth="1"/>
    <col min="44" max="47" width="6.81640625" style="1" customWidth="1"/>
    <col min="48" max="48" width="1.453125" style="1" customWidth="1"/>
    <col min="49" max="52" width="6.81640625" style="1" customWidth="1"/>
    <col min="53" max="53" width="1.1796875" style="1" customWidth="1"/>
    <col min="54" max="57" width="6.81640625" style="1" customWidth="1"/>
    <col min="58" max="58" width="1.1796875" style="1" customWidth="1"/>
    <col min="59" max="62" width="6.81640625" style="1" customWidth="1"/>
    <col min="63" max="63" width="1.1796875" style="1" customWidth="1"/>
    <col min="64" max="67" width="6.81640625" style="1" customWidth="1"/>
    <col min="68" max="68" width="1.54296875" style="1" customWidth="1"/>
    <col min="69" max="72" width="6.81640625" style="1" customWidth="1"/>
    <col min="73" max="16384" width="9.81640625" style="1"/>
  </cols>
  <sheetData>
    <row r="1" spans="1:10" ht="15.6" x14ac:dyDescent="0.3">
      <c r="A1" s="110" t="s">
        <v>241</v>
      </c>
    </row>
    <row r="2" spans="1:10" ht="15.6" thickBot="1" x14ac:dyDescent="0.3">
      <c r="A2" s="146" t="s">
        <v>165</v>
      </c>
      <c r="B2" s="146"/>
      <c r="C2" s="146"/>
      <c r="D2" s="146"/>
      <c r="E2" s="146"/>
      <c r="G2" s="146" t="s">
        <v>166</v>
      </c>
      <c r="H2" s="146"/>
      <c r="I2" s="146"/>
      <c r="J2" s="146"/>
    </row>
    <row r="3" spans="1:10" x14ac:dyDescent="0.25">
      <c r="A3" s="1" t="s">
        <v>163</v>
      </c>
    </row>
    <row r="4" spans="1:10" x14ac:dyDescent="0.25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5">
      <c r="A5" s="2"/>
      <c r="B5" s="2"/>
      <c r="C5" s="2"/>
      <c r="D5" s="2"/>
      <c r="E5" s="2"/>
      <c r="F5" s="2"/>
    </row>
    <row r="6" spans="1:10" x14ac:dyDescent="0.25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5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5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5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5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5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5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5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5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5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5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5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5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5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5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5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5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5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5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5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5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5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5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5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5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5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5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5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5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5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5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5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5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5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5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5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5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5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5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5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5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5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5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5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5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5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5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5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5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5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5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5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5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5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5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5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5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5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5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5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5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5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5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5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5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5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5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5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5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5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5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5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5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5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5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5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5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5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5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5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5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5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5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5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5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5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5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5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5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5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5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5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5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5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5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5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5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5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5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5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5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5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5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5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5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5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5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5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5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5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5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5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5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5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5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5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5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5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5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5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5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5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5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5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5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5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5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5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5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5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5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5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5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5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5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5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5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5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5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5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5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5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5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5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5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5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5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5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5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5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5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5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5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5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5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5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5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5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5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5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5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5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5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5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5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5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5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5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5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5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5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5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5" t="s">
        <v>159</v>
      </c>
      <c r="O177" s="145"/>
      <c r="P177" s="145"/>
      <c r="Q177" s="54"/>
      <c r="R177" s="54"/>
      <c r="S177" s="145" t="s">
        <v>160</v>
      </c>
      <c r="T177" s="145"/>
      <c r="U177" s="145"/>
      <c r="V177" s="54"/>
      <c r="X177" s="145" t="s">
        <v>124</v>
      </c>
      <c r="Y177" s="145"/>
      <c r="Z177" s="145"/>
      <c r="AA177" s="54"/>
      <c r="AC177" s="145" t="s">
        <v>125</v>
      </c>
      <c r="AD177" s="145"/>
      <c r="AE177" s="145"/>
      <c r="AF177" s="54"/>
      <c r="AH177" s="145" t="s">
        <v>126</v>
      </c>
      <c r="AI177" s="145"/>
      <c r="AJ177" s="145"/>
      <c r="AK177" s="54"/>
      <c r="AM177" s="145" t="s">
        <v>127</v>
      </c>
      <c r="AN177" s="145"/>
      <c r="AO177" s="145"/>
      <c r="AP177" s="54"/>
      <c r="AR177" s="145" t="s">
        <v>128</v>
      </c>
      <c r="AS177" s="145"/>
      <c r="AT177" s="145"/>
      <c r="AU177" s="54"/>
      <c r="AW177" s="145" t="s">
        <v>129</v>
      </c>
      <c r="AX177" s="145"/>
      <c r="AY177" s="145"/>
      <c r="AZ177" s="54"/>
      <c r="BB177" s="145" t="s">
        <v>162</v>
      </c>
      <c r="BC177" s="145"/>
      <c r="BD177" s="145"/>
      <c r="BE177" s="54"/>
      <c r="BG177" s="145" t="s">
        <v>135</v>
      </c>
      <c r="BH177" s="145"/>
      <c r="BI177" s="145"/>
      <c r="BJ177" s="54"/>
      <c r="BL177" s="145" t="s">
        <v>136</v>
      </c>
      <c r="BM177" s="145"/>
      <c r="BN177" s="145"/>
      <c r="BO177" s="54"/>
      <c r="BQ177" s="145" t="s">
        <v>138</v>
      </c>
      <c r="BR177" s="145"/>
      <c r="BS177" s="145"/>
      <c r="BT177" s="54"/>
    </row>
    <row r="178" spans="1:72" ht="15.6" thickBot="1" x14ac:dyDescent="0.3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5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5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5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5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5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5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5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5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5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5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5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5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5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5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5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5">
      <c r="A194" s="24" t="s">
        <v>275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5">
      <c r="A195" s="92" t="s">
        <v>276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5">
      <c r="A196" s="92" t="s">
        <v>277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5">
      <c r="A197" s="92" t="s">
        <v>278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5">
      <c r="A198" s="92" t="s">
        <v>279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5">
      <c r="A199" s="92" t="s">
        <v>280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5" t="s">
        <v>159</v>
      </c>
      <c r="O199" s="145"/>
      <c r="P199" s="145"/>
      <c r="Q199" s="54"/>
      <c r="R199" s="54"/>
      <c r="S199" s="145" t="s">
        <v>160</v>
      </c>
      <c r="T199" s="145"/>
      <c r="U199" s="145"/>
      <c r="V199" s="54"/>
      <c r="X199" s="145" t="s">
        <v>124</v>
      </c>
      <c r="Y199" s="145"/>
      <c r="Z199" s="145"/>
      <c r="AA199" s="54"/>
      <c r="AC199" s="145" t="s">
        <v>125</v>
      </c>
      <c r="AD199" s="145"/>
      <c r="AE199" s="145"/>
      <c r="AF199" s="54"/>
      <c r="AH199" s="145" t="s">
        <v>126</v>
      </c>
      <c r="AI199" s="145"/>
      <c r="AJ199" s="145"/>
      <c r="AK199" s="54"/>
      <c r="AM199" s="145" t="s">
        <v>127</v>
      </c>
      <c r="AN199" s="145"/>
      <c r="AO199" s="145"/>
      <c r="AP199" s="54"/>
      <c r="AR199" s="145" t="s">
        <v>128</v>
      </c>
      <c r="AS199" s="145"/>
      <c r="AT199" s="145"/>
      <c r="AU199" s="54"/>
      <c r="AW199" s="145" t="s">
        <v>129</v>
      </c>
      <c r="AX199" s="145"/>
      <c r="AY199" s="145"/>
      <c r="AZ199" s="54"/>
      <c r="BB199" s="145" t="s">
        <v>162</v>
      </c>
      <c r="BC199" s="145"/>
      <c r="BD199" s="145"/>
      <c r="BE199" s="54"/>
      <c r="BG199" s="145" t="s">
        <v>135</v>
      </c>
      <c r="BH199" s="145"/>
      <c r="BI199" s="145"/>
      <c r="BJ199" s="54"/>
      <c r="BL199" s="145" t="s">
        <v>136</v>
      </c>
      <c r="BM199" s="145"/>
      <c r="BN199" s="145"/>
      <c r="BO199" s="54"/>
      <c r="BQ199" s="145" t="s">
        <v>138</v>
      </c>
      <c r="BR199" s="145"/>
      <c r="BS199" s="145"/>
      <c r="BT199" s="54"/>
    </row>
    <row r="200" spans="1:72" ht="15.6" thickBot="1" x14ac:dyDescent="0.3">
      <c r="A200" s="92" t="s">
        <v>281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5">
      <c r="A201" s="92" t="s">
        <v>282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5">
      <c r="A202" s="92" t="s">
        <v>283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5">
      <c r="A203" s="92" t="s">
        <v>284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5">
      <c r="A204" s="92" t="s">
        <v>285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5">
      <c r="A205" s="92" t="s">
        <v>286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5">
      <c r="A206" s="24" t="s">
        <v>294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5">
      <c r="A207" s="92" t="s">
        <v>295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5">
      <c r="A208" s="92" t="s">
        <v>296</v>
      </c>
      <c r="B208" s="64">
        <f>MAX('Non-shuttle Bids'!$L858:$M888)</f>
        <v>1600</v>
      </c>
      <c r="C208" s="64">
        <f>MIN('Non-shuttle Bids'!$L858:$M888)</f>
        <v>200</v>
      </c>
      <c r="D208" s="64">
        <f>AVERAGE('Non-shuttle Bids'!$L858:$M888)</f>
        <v>807.14285714285711</v>
      </c>
      <c r="E208" s="64">
        <f>STDEV('Non-shuttle Bids'!$L858:$M888)</f>
        <v>529.48762294990706</v>
      </c>
      <c r="F208" s="109"/>
      <c r="G208" s="64">
        <f>MAX('Shuttle Bids'!$L858:$M888)</f>
        <v>2800</v>
      </c>
      <c r="H208" s="64">
        <f>MIN('Shuttle Bids'!$L858:$M888)</f>
        <v>0</v>
      </c>
      <c r="I208" s="66">
        <f>AVERAGE('Shuttle Bids'!$L858:$M888)</f>
        <v>681</v>
      </c>
      <c r="J208" s="66">
        <f>STDEV('Shuttle Bids'!$L858:$M888)</f>
        <v>758.79072453237302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5">
      <c r="A209" s="92" t="s">
        <v>297</v>
      </c>
      <c r="B209" s="64">
        <f>MAX('Non-shuttle Bids'!$P863:$Q893)</f>
        <v>1000</v>
      </c>
      <c r="C209" s="64">
        <f>MIN('Non-shuttle Bids'!$P863:$Q893)</f>
        <v>1000</v>
      </c>
      <c r="D209" s="64">
        <f>AVERAGE('Non-shuttle Bids'!$P863:$Q893)</f>
        <v>1000</v>
      </c>
      <c r="E209" s="64" t="e">
        <f>STDEV('Non-shuttle Bids'!$P863:$Q893)</f>
        <v>#DIV/0!</v>
      </c>
      <c r="F209" s="109"/>
      <c r="G209" s="64">
        <f>MAX('Shuttle Bids'!$P863:$Q893)</f>
        <v>350</v>
      </c>
      <c r="H209" s="64">
        <f>MIN('Shuttle Bids'!$P863:$Q893)</f>
        <v>-125</v>
      </c>
      <c r="I209" s="66">
        <f>AVERAGE('Shuttle Bids'!$P863:$Q893)</f>
        <v>4.5454545454545459</v>
      </c>
      <c r="J209" s="66">
        <f>STDEV('Shuttle Bids'!$P863:$Q893)</f>
        <v>172.77810256879408</v>
      </c>
    </row>
    <row r="210" spans="1:10" x14ac:dyDescent="0.25">
      <c r="A210" s="92" t="s">
        <v>298</v>
      </c>
      <c r="B210" s="64">
        <f>MAX('Non-shuttle Bids'!$T867:$U897)</f>
        <v>800</v>
      </c>
      <c r="C210" s="64">
        <f>MIN('Non-shuttle Bids'!$T867:$U897)</f>
        <v>800</v>
      </c>
      <c r="D210" s="64">
        <f>AVERAGE('Non-shuttle Bids'!$T867:$U897)</f>
        <v>800</v>
      </c>
      <c r="E210" s="64" t="e">
        <f>STDEV('Non-shuttle Bids'!$T867:$U897)</f>
        <v>#DIV/0!</v>
      </c>
      <c r="F210" s="109"/>
      <c r="G210" s="64">
        <f>MAX('Shuttle Bids'!$T867:$U897)</f>
        <v>100</v>
      </c>
      <c r="H210" s="64">
        <f>MIN('Shuttle Bids'!$T867:$U897)</f>
        <v>-150</v>
      </c>
      <c r="I210" s="66">
        <f>AVERAGE('Shuttle Bids'!$T867:$U897)</f>
        <v>-60</v>
      </c>
      <c r="J210" s="66">
        <f>STDEV('Shuttle Bids'!$T867:$U897)</f>
        <v>73.786478737262186</v>
      </c>
    </row>
    <row r="211" spans="1:10" x14ac:dyDescent="0.25">
      <c r="A211" s="92" t="s">
        <v>299</v>
      </c>
      <c r="B211" s="64">
        <f>MAX('Non-shuttle Bids'!$X871:$Y901)</f>
        <v>0</v>
      </c>
      <c r="C211" s="64">
        <f>MIN('Non-shuttle Bids'!$X871:$Y901)</f>
        <v>0</v>
      </c>
      <c r="D211" s="64" t="e">
        <f>AVERAGE('Non-shuttle Bids'!$X871:$Y901)</f>
        <v>#DIV/0!</v>
      </c>
      <c r="E211" s="64" t="e">
        <f>STDEV('Non-shuttle Bids'!$X871:$Y901)</f>
        <v>#DIV/0!</v>
      </c>
      <c r="F211" s="109"/>
      <c r="G211" s="64">
        <f>MAX('Shuttle Bids'!$X871:$Y901)</f>
        <v>0</v>
      </c>
      <c r="H211" s="64">
        <f>MIN('Shuttle Bids'!$X871:$Y901)</f>
        <v>-100</v>
      </c>
      <c r="I211" s="66">
        <f>AVERAGE('Shuttle Bids'!$X871:$Y901)</f>
        <v>-85</v>
      </c>
      <c r="J211" s="66">
        <f>STDEV('Shuttle Bids'!$X871:$Y901)</f>
        <v>33.747427885527642</v>
      </c>
    </row>
    <row r="212" spans="1:10" x14ac:dyDescent="0.25">
      <c r="A212" s="92" t="s">
        <v>300</v>
      </c>
      <c r="B212" s="64">
        <f>MAX('Non-shuttle Bids'!$AB876:$AC906)</f>
        <v>0</v>
      </c>
      <c r="C212" s="64">
        <f>MIN('Non-shuttle Bids'!$AB876:$AC906)</f>
        <v>0</v>
      </c>
      <c r="D212" s="64" t="e">
        <f>AVERAGE('Non-shuttle Bids'!$AB876:$AC906)</f>
        <v>#DIV/0!</v>
      </c>
      <c r="E212" s="64" t="e">
        <f>STDEV('Non-shuttle Bids'!$AB876:$AC906)</f>
        <v>#DIV/0!</v>
      </c>
      <c r="F212" s="56"/>
      <c r="G212" s="64">
        <f>MAX('Shuttle Bids'!$AB876:$AC906)</f>
        <v>0</v>
      </c>
      <c r="H212" s="64">
        <f>MIN('Shuttle Bids'!$AB876:$AC906)</f>
        <v>-100</v>
      </c>
      <c r="I212" s="66">
        <f>AVERAGE('Shuttle Bids'!$AB876:$AC906)</f>
        <v>-80</v>
      </c>
      <c r="J212" s="66">
        <f>STDEV('Shuttle Bids'!$AB876:$AC906)</f>
        <v>44.721359549995796</v>
      </c>
    </row>
    <row r="213" spans="1:10" x14ac:dyDescent="0.25">
      <c r="A213" s="92" t="s">
        <v>301</v>
      </c>
      <c r="B213" s="64">
        <f>MAX('Non-shuttle Bids'!$AF880:$AG910)</f>
        <v>0</v>
      </c>
      <c r="C213" s="64">
        <f>MIN('Non-shuttle Bids'!$AF880:$AG910)</f>
        <v>0</v>
      </c>
      <c r="D213" s="64" t="e">
        <f>AVERAGE('Non-shuttle Bids'!$AF880:$AG910)</f>
        <v>#DIV/0!</v>
      </c>
      <c r="E213" s="64" t="e">
        <f>STDEV('Non-shuttle Bids'!$AF880:$AG910)</f>
        <v>#DIV/0!</v>
      </c>
      <c r="F213" s="56"/>
      <c r="G213" s="64">
        <f>MAX('Shuttle Bids'!$AF880:$AG910)</f>
        <v>100</v>
      </c>
      <c r="H213" s="64">
        <f>MIN('Shuttle Bids'!$AF880:$AG910)</f>
        <v>100</v>
      </c>
      <c r="I213" s="66">
        <f>AVERAGE('Shuttle Bids'!$AF880:$AG910)</f>
        <v>100</v>
      </c>
      <c r="J213" s="66" t="e">
        <f>STDEV('Shuttle Bids'!$AF880:$AG910)</f>
        <v>#DIV/0!</v>
      </c>
    </row>
    <row r="214" spans="1:10" x14ac:dyDescent="0.25">
      <c r="A214" s="92" t="s">
        <v>302</v>
      </c>
      <c r="B214" s="64">
        <f>MAX('Non-shuttle Bids'!$AJ884:$AK914)</f>
        <v>0</v>
      </c>
      <c r="C214" s="64">
        <f>MIN('Non-shuttle Bids'!$AJ884:$AK914)</f>
        <v>0</v>
      </c>
      <c r="D214" s="142" t="e">
        <f>AVERAGE('Non-shuttle Bids'!$AJ884:$AK914)</f>
        <v>#DIV/0!</v>
      </c>
      <c r="E214" s="142" t="e">
        <f>STDEV('Non-shuttle Bids'!$AJ884:$AK914)</f>
        <v>#DIV/0!</v>
      </c>
      <c r="F214" s="56"/>
      <c r="G214" s="64">
        <f>MAX('Shuttle Bids'!$AJ884:$AK914)</f>
        <v>1200</v>
      </c>
      <c r="H214" s="64">
        <f>MIN('Shuttle Bids'!$AJ884:$AK914)</f>
        <v>1200</v>
      </c>
      <c r="I214" s="66">
        <f>AVERAGE('Shuttle Bids'!$AJ884:$AK914)</f>
        <v>1200</v>
      </c>
      <c r="J214" s="66">
        <f>STDEV('Shuttle Bids'!$AJ884:$AK914)</f>
        <v>0</v>
      </c>
    </row>
    <row r="215" spans="1:10" x14ac:dyDescent="0.25">
      <c r="A215" s="92" t="s">
        <v>303</v>
      </c>
      <c r="B215" s="64">
        <f>MAX('Non-shuttle Bids'!$AN889:$AO919)</f>
        <v>0</v>
      </c>
      <c r="C215" s="64">
        <f>MIN('Non-shuttle Bids'!$AN889:$AO919)</f>
        <v>0</v>
      </c>
      <c r="D215" s="142" t="e">
        <f>AVERAGE('Non-shuttle Bids'!$AN889:$AO919)</f>
        <v>#DIV/0!</v>
      </c>
      <c r="E215" s="142" t="e">
        <f>STDEV('Non-shuttle Bids'!$AN889:$AO919)</f>
        <v>#DIV/0!</v>
      </c>
      <c r="F215" s="56"/>
      <c r="G215" s="64">
        <f>MAX('Shuttle Bids'!$AN889:$AO919)</f>
        <v>0</v>
      </c>
      <c r="H215" s="64">
        <f>MIN('Shuttle Bids'!$AN889:$AO919)</f>
        <v>0</v>
      </c>
      <c r="I215" s="66" t="e">
        <f>AVERAGE('Shuttle Bids'!$AN889:$AO919)</f>
        <v>#DIV/0!</v>
      </c>
      <c r="J215" s="66" t="e">
        <f>STDEV('Shuttle Bids'!$AN889:$AO919)</f>
        <v>#DIV/0!</v>
      </c>
    </row>
    <row r="216" spans="1:10" x14ac:dyDescent="0.25">
      <c r="A216" s="92" t="s">
        <v>304</v>
      </c>
      <c r="B216" s="64">
        <f>MAX('Non-shuttle Bids'!$AR893:$AS923)</f>
        <v>0</v>
      </c>
      <c r="C216" s="64">
        <f>MIN('Non-shuttle Bids'!$AR893:$AS923)</f>
        <v>0</v>
      </c>
      <c r="D216" s="64" t="e">
        <f>AVERAGE('Non-shuttle Bids'!$AR893:$AS923)</f>
        <v>#DIV/0!</v>
      </c>
      <c r="E216" s="64" t="e">
        <f>STDEV('Non-shuttle Bids'!$AR893:$AS923)</f>
        <v>#DIV/0!</v>
      </c>
      <c r="G216" s="64">
        <f>MAX('Shuttle Bids'!$AR893:$AS923)</f>
        <v>0</v>
      </c>
      <c r="H216" s="64">
        <f>MIN('Shuttle Bids'!$AR893:$AS923)</f>
        <v>0</v>
      </c>
      <c r="I216" s="66" t="e">
        <f>AVERAGE('Shuttle Bids'!$AR893:$AS923)</f>
        <v>#DIV/0!</v>
      </c>
      <c r="J216" s="66" t="e">
        <f>STDEV('Shuttle Bids'!$AR893:$AS923)</f>
        <v>#DIV/0!</v>
      </c>
    </row>
    <row r="217" spans="1:10" x14ac:dyDescent="0.25">
      <c r="A217" s="92" t="s">
        <v>305</v>
      </c>
      <c r="B217" s="64">
        <f>MAX('Non-shuttle Bids'!$AV897:$AW927)</f>
        <v>0</v>
      </c>
      <c r="C217" s="64">
        <f>MIN('Non-shuttle Bids'!$AV897:$AW927)</f>
        <v>0</v>
      </c>
      <c r="D217" s="64" t="e">
        <f>AVERAGE('Non-shuttle Bids'!$AV897:$AW927)</f>
        <v>#DIV/0!</v>
      </c>
      <c r="E217" s="64" t="e">
        <f>STDEV('Non-shuttle Bids'!$AV897:$AW927)</f>
        <v>#DIV/0!</v>
      </c>
      <c r="G217" s="64">
        <f>MAX('Shuttle Bids'!$AV897:$AW927)</f>
        <v>0</v>
      </c>
      <c r="H217" s="64">
        <f>MIN('Shuttle Bids'!$AV897:$AW927)</f>
        <v>0</v>
      </c>
      <c r="I217" s="66" t="e">
        <f>AVERAGE('Shuttle Bids'!$AV897:$AW927)</f>
        <v>#DIV/0!</v>
      </c>
      <c r="J217" s="66" t="e">
        <f>STDEV('Shuttle Bids'!$AV897:$AW927)</f>
        <v>#DIV/0!</v>
      </c>
    </row>
    <row r="218" spans="1:10" x14ac:dyDescent="0.25">
      <c r="A218" s="92"/>
      <c r="B218" s="95"/>
      <c r="C218" s="95"/>
      <c r="D218" s="95"/>
      <c r="E218" s="95"/>
    </row>
    <row r="219" spans="1:10" x14ac:dyDescent="0.25">
      <c r="B219" s="95"/>
      <c r="C219" s="95"/>
      <c r="D219" s="95"/>
      <c r="E219" s="95"/>
    </row>
    <row r="220" spans="1:10" x14ac:dyDescent="0.25">
      <c r="A220" s="95"/>
      <c r="B220" s="95"/>
      <c r="C220" s="95"/>
      <c r="D220" s="95"/>
      <c r="E220" s="95"/>
    </row>
    <row r="221" spans="1:10" x14ac:dyDescent="0.25">
      <c r="A221" s="95"/>
      <c r="B221" s="95"/>
      <c r="C221" s="95"/>
      <c r="D221" s="95"/>
      <c r="E221" s="95"/>
    </row>
  </sheetData>
  <mergeCells count="26"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J2" activePane="bottomRight" state="frozen"/>
      <selection pane="topRight" activeCell="D1" sqref="D1"/>
      <selection pane="bottomLeft" activeCell="A2" sqref="A2"/>
      <selection pane="bottomRight" activeCell="AI15" sqref="AI15:AK20"/>
    </sheetView>
  </sheetViews>
  <sheetFormatPr defaultRowHeight="15.6" x14ac:dyDescent="0.3"/>
  <cols>
    <col min="2" max="2" width="20.81640625" customWidth="1"/>
    <col min="27" max="29" width="8.81640625" style="8"/>
  </cols>
  <sheetData>
    <row r="1" spans="1:49" x14ac:dyDescent="0.3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3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5">
      <c r="A3" s="12" t="s">
        <v>206</v>
      </c>
      <c r="C3" s="117" t="str">
        <f>IF('Non-shuttle Bids'!D879="", "n/a", 'Non-shuttle Bids'!D879)</f>
        <v>n/a</v>
      </c>
      <c r="D3" s="117" t="str">
        <f>IF('Non-shuttle Bids'!E879="", "n/a", 'Non-shuttle Bids'!E879)</f>
        <v>n/a</v>
      </c>
      <c r="E3" s="117" t="str">
        <f>IF('Non-shuttle Bids'!F879="", "n/a", 'Non-shuttle Bids'!F879)</f>
        <v>n/a</v>
      </c>
      <c r="F3" s="12"/>
      <c r="G3" s="117" t="str">
        <f>IF('Non-shuttle Bids'!H884="", "n/a", 'Non-shuttle Bids'!H884)</f>
        <v>n/a</v>
      </c>
      <c r="H3" s="117" t="str">
        <f>IF('Non-shuttle Bids'!I884="", "n/a", 'Non-shuttle Bids'!I884)</f>
        <v>n/a</v>
      </c>
      <c r="I3" s="117" t="str">
        <f>IF('Non-shuttle Bids'!J884="", "n/a", 'Non-shuttle Bids'!J884)</f>
        <v>n/a</v>
      </c>
      <c r="J3" s="12"/>
      <c r="K3" s="117">
        <f>IF('Non-shuttle Bids'!L886="", "n/a", 'Non-shuttle Bids'!L886)</f>
        <v>1600</v>
      </c>
      <c r="L3" s="117">
        <f>IF('Non-shuttle Bids'!M886="", "n/a", 'Non-shuttle Bids'!M886)</f>
        <v>650</v>
      </c>
      <c r="M3" s="117">
        <f>IF('Non-shuttle Bids'!N886="", "n/a", 'Non-shuttle Bids'!N886)</f>
        <v>1125</v>
      </c>
      <c r="N3" s="12"/>
      <c r="O3" s="117">
        <f>IF('Non-shuttle Bids'!P886="", "n/a", 'Non-shuttle Bids'!P886)</f>
        <v>1000</v>
      </c>
      <c r="P3" s="117" t="str">
        <f>IF('Non-shuttle Bids'!Q886="", "n/a", 'Non-shuttle Bids'!Q886)</f>
        <v>n/a</v>
      </c>
      <c r="Q3" s="117">
        <f>IF('Non-shuttle Bids'!R886="", "n/a", 'Non-shuttle Bids'!R886)</f>
        <v>1000</v>
      </c>
      <c r="R3" s="12"/>
      <c r="S3" s="117">
        <f>IF('Non-shuttle Bids'!T886="", "n/a", 'Non-shuttle Bids'!T886)</f>
        <v>800</v>
      </c>
      <c r="T3" s="117" t="str">
        <f>IF('Non-shuttle Bids'!U886="", "n/a", 'Non-shuttle Bids'!U886)</f>
        <v>n/a</v>
      </c>
      <c r="U3" s="117">
        <f>IF('Non-shuttle Bids'!V886="", "n/a", 'Non-shuttle Bids'!V886)</f>
        <v>800</v>
      </c>
      <c r="V3" s="12"/>
      <c r="W3" s="117" t="str">
        <f>IF('Non-shuttle Bids'!X886="", "n/a", 'Non-shuttle Bids'!X886)</f>
        <v>n/a</v>
      </c>
      <c r="X3" s="117" t="str">
        <f>IF('Non-shuttle Bids'!Y886="", "n/a", 'Non-shuttle Bids'!Y886)</f>
        <v>n/a</v>
      </c>
      <c r="Y3" s="117" t="str">
        <f>IF('Non-shuttle Bids'!Z886="", "n/a", 'Non-shuttle Bids'!Z886)</f>
        <v>n/a</v>
      </c>
      <c r="Z3" s="12"/>
      <c r="AA3" s="117" t="str">
        <f>IF('Non-shuttle Bids'!AB886="", "n/a", 'Non-shuttle Bids'!AB886)</f>
        <v>n/a</v>
      </c>
      <c r="AB3" s="117" t="str">
        <f>IF('Non-shuttle Bids'!AC886="", "n/a", 'Non-shuttle Bids'!AC886)</f>
        <v>n/a</v>
      </c>
      <c r="AC3" s="117" t="str">
        <f>IF('Non-shuttle Bids'!AD886="", "n/a", 'Non-shuttle Bids'!AD886)</f>
        <v>n/a</v>
      </c>
      <c r="AD3" s="12"/>
      <c r="AE3" s="117" t="str">
        <f>IF('Non-shuttle Bids'!AF886="", "n/a", 'Non-shuttle Bids'!AF886)</f>
        <v>n/a</v>
      </c>
      <c r="AF3" s="117" t="str">
        <f>IF('Non-shuttle Bids'!AG886="", "n/a", 'Non-shuttle Bids'!AG886)</f>
        <v>n/a</v>
      </c>
      <c r="AG3" s="117" t="str">
        <f>IF('Non-shuttle Bids'!AH886="", "n/a", 'Non-shuttle Bids'!AH886)</f>
        <v>n/a</v>
      </c>
      <c r="AH3" s="12"/>
      <c r="AI3" s="117" t="str">
        <f>IF('Non-shuttle Bids'!AJ886="", "n/a", 'Non-shuttle Bids'!AJ886)</f>
        <v>n/a</v>
      </c>
      <c r="AJ3" s="117" t="str">
        <f>IF('Non-shuttle Bids'!AK886="", "n/a", 'Non-shuttle Bids'!AK886)</f>
        <v>n/a</v>
      </c>
      <c r="AK3" s="117" t="str">
        <f>IF('Non-shuttle Bids'!AL886="", "n/a", 'Non-shuttle Bids'!AL886)</f>
        <v>n/a</v>
      </c>
      <c r="AL3" s="12"/>
      <c r="AM3" s="117" t="str">
        <f>IF('Non-shuttle Bids'!AN876="", "n/a", 'Non-shuttle Bids'!AN876)</f>
        <v>n/a</v>
      </c>
      <c r="AN3" s="117" t="str">
        <f>IF('Non-shuttle Bids'!AO876="", "n/a", 'Non-shuttle Bids'!AO876)</f>
        <v>n/a</v>
      </c>
      <c r="AO3" s="117" t="str">
        <f>IF('Non-shuttle Bids'!AP876="", "n/a", 'Non-shuttle Bids'!AP876)</f>
        <v>n/a</v>
      </c>
      <c r="AP3" s="12"/>
      <c r="AQ3" s="117" t="str">
        <f>IF('Non-shuttle Bids'!AR876="", "n/a", 'Non-shuttle Bids'!AR876)</f>
        <v>n/a</v>
      </c>
      <c r="AR3" s="117" t="str">
        <f>IF('Non-shuttle Bids'!AS876="", "n/a", 'Non-shuttle Bids'!AS876)</f>
        <v>n/a</v>
      </c>
      <c r="AS3" s="117" t="str">
        <f>IF('Non-shuttle Bids'!AT876="", "n/a", 'Non-shuttle Bids'!AT876)</f>
        <v>n/a</v>
      </c>
      <c r="AT3" s="12"/>
      <c r="AU3" s="117" t="str">
        <f>IF('Non-shuttle Bids'!AV876="", "n/a", 'Non-shuttle Bids'!AV876)</f>
        <v>n/a</v>
      </c>
      <c r="AV3" s="117" t="str">
        <f>IF('Non-shuttle Bids'!AW876="", "n/a", 'Non-shuttle Bids'!AW876)</f>
        <v>n/a</v>
      </c>
      <c r="AW3" s="117" t="str">
        <f>IF('Non-shuttle Bids'!AX876="", "n/a", 'Non-shuttle Bids'!AX876)</f>
        <v>n/a</v>
      </c>
    </row>
    <row r="4" spans="1:49" ht="15" x14ac:dyDescent="0.25">
      <c r="A4" s="12" t="s">
        <v>109</v>
      </c>
      <c r="B4" s="14"/>
      <c r="C4" s="117" t="str">
        <f>IF('Non-shuttle Bids'!D879="","n/a",IF('Non-shuttle Bids'!D878="","n/a",'Non-shuttle Bids'!D879-'Non-shuttle Bids'!D878))</f>
        <v>n/a</v>
      </c>
      <c r="D4" s="117" t="str">
        <f>IF('Non-shuttle Bids'!E879="","n/a",IF('Non-shuttle Bids'!E878="","n/a",'Non-shuttle Bids'!E879-'Non-shuttle Bids'!E878))</f>
        <v>n/a</v>
      </c>
      <c r="E4" s="117" t="str">
        <f>IF('Non-shuttle Bids'!F879="","n/a",IF('Non-shuttle Bids'!F878="","n/a",'Non-shuttle Bids'!F879-'Non-shuttle Bids'!F878))</f>
        <v>n/a</v>
      </c>
      <c r="F4" s="118"/>
      <c r="G4" s="117" t="str">
        <f>IF('Non-shuttle Bids'!H884="","n/a",IF('Non-shuttle Bids'!H883="","n/a",'Non-shuttle Bids'!H884-'Non-shuttle Bids'!H883))</f>
        <v>n/a</v>
      </c>
      <c r="H4" s="117" t="str">
        <f>IF('Non-shuttle Bids'!I884="","n/a",IF('Non-shuttle Bids'!I883="","n/a",'Non-shuttle Bids'!I884-'Non-shuttle Bids'!I883))</f>
        <v>n/a</v>
      </c>
      <c r="I4" s="117" t="str">
        <f>IF('Non-shuttle Bids'!J884="","n/a",IF('Non-shuttle Bids'!J883="","n/a",'Non-shuttle Bids'!J884-'Non-shuttle Bids'!J883))</f>
        <v>n/a</v>
      </c>
      <c r="J4" s="12"/>
      <c r="K4" s="117" t="str">
        <f>IF('Non-shuttle Bids'!L886="","n/a",IF('Non-shuttle Bids'!L885="","n/a",'Non-shuttle Bids'!L886-'Non-shuttle Bids'!L885))</f>
        <v>n/a</v>
      </c>
      <c r="L4" s="117" t="str">
        <f>IF('Non-shuttle Bids'!M886="","n/a",IF('Non-shuttle Bids'!M885="","n/a",'Non-shuttle Bids'!M886-'Non-shuttle Bids'!M885))</f>
        <v>n/a</v>
      </c>
      <c r="M4" s="117" t="str">
        <f>IF('Non-shuttle Bids'!N886="","n/a",IF('Non-shuttle Bids'!N885="","n/a",'Non-shuttle Bids'!N886-'Non-shuttle Bids'!N885))</f>
        <v>n/a</v>
      </c>
      <c r="N4" s="118"/>
      <c r="O4" s="117" t="str">
        <f>IF('Non-shuttle Bids'!P886="","n/a",IF('Non-shuttle Bids'!P885="","n/a",'Non-shuttle Bids'!P886-'Non-shuttle Bids'!P885))</f>
        <v>n/a</v>
      </c>
      <c r="P4" s="117" t="str">
        <f>IF('Non-shuttle Bids'!Q886="","n/a",IF('Non-shuttle Bids'!Q885="","n/a",'Non-shuttle Bids'!Q886-'Non-shuttle Bids'!Q885))</f>
        <v>n/a</v>
      </c>
      <c r="Q4" s="117" t="str">
        <f>IF('Non-shuttle Bids'!R886="","n/a",IF('Non-shuttle Bids'!R885="","n/a",'Non-shuttle Bids'!R886-'Non-shuttle Bids'!R885))</f>
        <v>n/a</v>
      </c>
      <c r="R4" s="118"/>
      <c r="S4" s="117" t="str">
        <f>IF('Non-shuttle Bids'!T886="","n/a",IF('Non-shuttle Bids'!T885="","n/a",'Non-shuttle Bids'!T886-'Non-shuttle Bids'!T885))</f>
        <v>n/a</v>
      </c>
      <c r="T4" s="117" t="str">
        <f>IF('Non-shuttle Bids'!U886="","n/a",IF('Non-shuttle Bids'!U885="","n/a",'Non-shuttle Bids'!U886-'Non-shuttle Bids'!U885))</f>
        <v>n/a</v>
      </c>
      <c r="U4" s="117" t="str">
        <f>IF('Non-shuttle Bids'!V886="","n/a",IF('Non-shuttle Bids'!V885="","n/a",'Non-shuttle Bids'!V886-'Non-shuttle Bids'!V885))</f>
        <v>n/a</v>
      </c>
      <c r="V4" s="12"/>
      <c r="W4" s="117" t="str">
        <f>IF('Non-shuttle Bids'!X886="","n/a",IF('Non-shuttle Bids'!X885="","n/a",'Non-shuttle Bids'!X886-'Non-shuttle Bids'!X885))</f>
        <v>n/a</v>
      </c>
      <c r="X4" s="117" t="str">
        <f>IF('Non-shuttle Bids'!Y886="","n/a",IF('Non-shuttle Bids'!Y885="","n/a",'Non-shuttle Bids'!Y886-'Non-shuttle Bids'!Y885))</f>
        <v>n/a</v>
      </c>
      <c r="Y4" s="117" t="str">
        <f>IF('Non-shuttle Bids'!Z886="","n/a",IF('Non-shuttle Bids'!Z885="","n/a",'Non-shuttle Bids'!Z886-'Non-shuttle Bids'!Z885))</f>
        <v>n/a</v>
      </c>
      <c r="Z4" s="12"/>
      <c r="AA4" s="117" t="str">
        <f>IF('Non-shuttle Bids'!AB886="","n/a",IF('Non-shuttle Bids'!AB885="","n/a",'Non-shuttle Bids'!AB886-'Non-shuttle Bids'!AB885))</f>
        <v>n/a</v>
      </c>
      <c r="AB4" s="117" t="str">
        <f>IF('Non-shuttle Bids'!AC886="","n/a",IF('Non-shuttle Bids'!AC885="","n/a",'Non-shuttle Bids'!AC886-'Non-shuttle Bids'!AC885))</f>
        <v>n/a</v>
      </c>
      <c r="AC4" s="117" t="str">
        <f>IF('Non-shuttle Bids'!AD886="","n/a",IF('Non-shuttle Bids'!AD885="","n/a",'Non-shuttle Bids'!AD886-'Non-shuttle Bids'!AD885))</f>
        <v>n/a</v>
      </c>
      <c r="AD4" s="12"/>
      <c r="AE4" s="117" t="str">
        <f>IF('Non-shuttle Bids'!AF886="","n/a",IF('Non-shuttle Bids'!AF885="","n/a",'Non-shuttle Bids'!AF886-'Non-shuttle Bids'!AF885))</f>
        <v>n/a</v>
      </c>
      <c r="AF4" s="117" t="str">
        <f>IF('Non-shuttle Bids'!AG886="","n/a",IF('Non-shuttle Bids'!AG885="","n/a",'Non-shuttle Bids'!AG886-'Non-shuttle Bids'!AG885))</f>
        <v>n/a</v>
      </c>
      <c r="AG4" s="117" t="str">
        <f>IF('Non-shuttle Bids'!AH886="","n/a",IF('Non-shuttle Bids'!AH885="","n/a",'Non-shuttle Bids'!AH886-'Non-shuttle Bids'!AH885))</f>
        <v>n/a</v>
      </c>
      <c r="AH4" s="12"/>
      <c r="AI4" s="117" t="str">
        <f>IF('Non-shuttle Bids'!AJ886="","n/a",IF('Non-shuttle Bids'!AJ885="","n/a",'Non-shuttle Bids'!AJ886-'Non-shuttle Bids'!AJ885))</f>
        <v>n/a</v>
      </c>
      <c r="AJ4" s="117" t="str">
        <f>IF('Non-shuttle Bids'!AK886="","n/a",IF('Non-shuttle Bids'!AK885="","n/a",'Non-shuttle Bids'!AK886-'Non-shuttle Bids'!AK885))</f>
        <v>n/a</v>
      </c>
      <c r="AK4" s="117" t="str">
        <f>IF('Non-shuttle Bids'!AL886="","n/a",IF('Non-shuttle Bids'!AL885="","n/a",'Non-shuttle Bids'!AL886-'Non-shuttle Bids'!AL885))</f>
        <v>n/a</v>
      </c>
      <c r="AL4" s="84"/>
      <c r="AM4" s="117" t="str">
        <f>IF('Non-shuttle Bids'!AN876="","n/a",IF('Non-shuttle Bids'!AN875="","n/a",'Non-shuttle Bids'!AN876-'Non-shuttle Bids'!AN875))</f>
        <v>n/a</v>
      </c>
      <c r="AN4" s="117" t="str">
        <f>IF('Non-shuttle Bids'!AO876="","n/a",IF('Non-shuttle Bids'!AO875="","n/a",'Non-shuttle Bids'!AO876-'Non-shuttle Bids'!AO875))</f>
        <v>n/a</v>
      </c>
      <c r="AO4" s="117" t="str">
        <f>IF('Non-shuttle Bids'!AP876="","n/a",IF('Non-shuttle Bids'!AP875="","n/a",'Non-shuttle Bids'!AP876-'Non-shuttle Bids'!AP875))</f>
        <v>n/a</v>
      </c>
      <c r="AP4" s="84"/>
      <c r="AQ4" s="117" t="str">
        <f>IF('Non-shuttle Bids'!AR876="","n/a",IF('Non-shuttle Bids'!AR875="","n/a",'Non-shuttle Bids'!AR876-'Non-shuttle Bids'!AR875))</f>
        <v>n/a</v>
      </c>
      <c r="AR4" s="117" t="str">
        <f>IF('Non-shuttle Bids'!AS876="","n/a",IF('Non-shuttle Bids'!AS875="","n/a",'Non-shuttle Bids'!AS876-'Non-shuttle Bids'!AS875))</f>
        <v>n/a</v>
      </c>
      <c r="AS4" s="117" t="str">
        <f>IF('Non-shuttle Bids'!AT876="","n/a",IF('Non-shuttle Bids'!AT875="","n/a",'Non-shuttle Bids'!AT876-'Non-shuttle Bids'!AT875))</f>
        <v>n/a</v>
      </c>
      <c r="AT4" s="84"/>
      <c r="AU4" s="117" t="str">
        <f>IF('Non-shuttle Bids'!AV876="","n/a",IF('Non-shuttle Bids'!AV875="","n/a",'Non-shuttle Bids'!AV876-'Non-shuttle Bids'!AV875))</f>
        <v>n/a</v>
      </c>
      <c r="AV4" s="117" t="str">
        <f>IF('Non-shuttle Bids'!AW876="","n/a",IF('Non-shuttle Bids'!AW875="","n/a",'Non-shuttle Bids'!AW876-'Non-shuttle Bids'!AW875))</f>
        <v>n/a</v>
      </c>
      <c r="AW4" s="117" t="str">
        <f>IF('Non-shuttle Bids'!AX876="","n/a",IF('Non-shuttle Bids'!AX875="","n/a",'Non-shuttle Bids'!AX876-'Non-shuttle Bids'!AX875))</f>
        <v>n/a</v>
      </c>
    </row>
    <row r="5" spans="1:49" ht="15" x14ac:dyDescent="0.25">
      <c r="A5" s="114" t="s">
        <v>150</v>
      </c>
      <c r="B5" s="14"/>
      <c r="C5" s="117" t="str">
        <f>IF('Non-shuttle Bids'!D879="","n/a",IF('Non-shuttle Bids'!D827="","n/a",'Non-shuttle Bids'!D879-'Non-shuttle Bids'!D827))</f>
        <v>n/a</v>
      </c>
      <c r="D5" s="117" t="str">
        <f>IF('Non-shuttle Bids'!E879="","n/a",IF('Non-shuttle Bids'!E827="","n/a",'Non-shuttle Bids'!E879-'Non-shuttle Bids'!E827))</f>
        <v>n/a</v>
      </c>
      <c r="E5" s="117" t="str">
        <f>IF('Non-shuttle Bids'!F879="","n/a",IF('Non-shuttle Bids'!F827="","n/a",'Non-shuttle Bids'!F879-'Non-shuttle Bids'!F827))</f>
        <v>n/a</v>
      </c>
      <c r="F5" s="12"/>
      <c r="G5" s="117" t="str">
        <f>IF('Non-shuttle Bids'!H884="","n/a",IF('Non-shuttle Bids'!H832="","n/a",'Non-shuttle Bids'!H884-'Non-shuttle Bids'!H832))</f>
        <v>n/a</v>
      </c>
      <c r="H5" s="117" t="str">
        <f>IF('Non-shuttle Bids'!I884="","n/a",IF('Non-shuttle Bids'!I832="","n/a",'Non-shuttle Bids'!I884-'Non-shuttle Bids'!I832))</f>
        <v>n/a</v>
      </c>
      <c r="I5" s="117" t="str">
        <f>IF('Non-shuttle Bids'!J884="","n/a",IF('Non-shuttle Bids'!J832="","n/a",'Non-shuttle Bids'!J884-'Non-shuttle Bids'!J832))</f>
        <v>n/a</v>
      </c>
      <c r="J5" s="12"/>
      <c r="K5" s="117">
        <f>IF('Non-shuttle Bids'!L886="","n/a",IF('Non-shuttle Bids'!L834="","n/a",'Non-shuttle Bids'!L886-'Non-shuttle Bids'!L834))</f>
        <v>1625</v>
      </c>
      <c r="L5" s="117">
        <f>IF('Non-shuttle Bids'!M886="","n/a",IF('Non-shuttle Bids'!M834="","n/a",'Non-shuttle Bids'!M886-'Non-shuttle Bids'!M834))</f>
        <v>655</v>
      </c>
      <c r="M5" s="117">
        <f>IF('Non-shuttle Bids'!N886="","n/a",IF('Non-shuttle Bids'!N834="","n/a",'Non-shuttle Bids'!N886-'Non-shuttle Bids'!N834))</f>
        <v>1140</v>
      </c>
      <c r="N5" s="12"/>
      <c r="O5" s="117" t="str">
        <f>IF('Non-shuttle Bids'!P886="","n/a",IF('Non-shuttle Bids'!P834="","n/a",'Non-shuttle Bids'!P886-'Non-shuttle Bids'!P834))</f>
        <v>n/a</v>
      </c>
      <c r="P5" s="117" t="str">
        <f>IF('Non-shuttle Bids'!Q886="","n/a",IF('Non-shuttle Bids'!Q834="","n/a",'Non-shuttle Bids'!Q886-'Non-shuttle Bids'!Q834))</f>
        <v>n/a</v>
      </c>
      <c r="Q5" s="117" t="str">
        <f>IF('Non-shuttle Bids'!R886="","n/a",IF('Non-shuttle Bids'!R834="","n/a",'Non-shuttle Bids'!R886-'Non-shuttle Bids'!R834))</f>
        <v>n/a</v>
      </c>
      <c r="R5" s="12"/>
      <c r="S5" s="117" t="str">
        <f>IF('Non-shuttle Bids'!T886="","n/a",IF('Non-shuttle Bids'!T834="","n/a",'Non-shuttle Bids'!T886-'Non-shuttle Bids'!T834))</f>
        <v>n/a</v>
      </c>
      <c r="T5" s="117" t="str">
        <f>IF('Non-shuttle Bids'!U886="","n/a",IF('Non-shuttle Bids'!U834="","n/a",'Non-shuttle Bids'!U886-'Non-shuttle Bids'!U834))</f>
        <v>n/a</v>
      </c>
      <c r="U5" s="117" t="str">
        <f>IF('Non-shuttle Bids'!V886="","n/a",IF('Non-shuttle Bids'!V834="","n/a",'Non-shuttle Bids'!V886-'Non-shuttle Bids'!V834))</f>
        <v>n/a</v>
      </c>
      <c r="V5" s="12"/>
      <c r="W5" s="117" t="str">
        <f>IF('Non-shuttle Bids'!X886="","n/a",IF('Non-shuttle Bids'!X834="","n/a",'Non-shuttle Bids'!X886-'Non-shuttle Bids'!X834))</f>
        <v>n/a</v>
      </c>
      <c r="X5" s="117" t="str">
        <f>IF('Non-shuttle Bids'!Y886="","n/a",IF('Non-shuttle Bids'!Y834="","n/a",'Non-shuttle Bids'!Y886-'Non-shuttle Bids'!Y834))</f>
        <v>n/a</v>
      </c>
      <c r="Y5" s="117" t="str">
        <f>IF('Non-shuttle Bids'!Z886="","n/a",IF('Non-shuttle Bids'!Z834="","n/a",'Non-shuttle Bids'!Z886-'Non-shuttle Bids'!Z834))</f>
        <v>n/a</v>
      </c>
      <c r="Z5" s="12"/>
      <c r="AA5" s="117" t="str">
        <f>IF('Non-shuttle Bids'!AB886="","n/a",IF('Non-shuttle Bids'!AB834="","n/a",'Non-shuttle Bids'!AB886-'Non-shuttle Bids'!AB834))</f>
        <v>n/a</v>
      </c>
      <c r="AB5" s="117" t="str">
        <f>IF('Non-shuttle Bids'!AC886="","n/a",IF('Non-shuttle Bids'!AC834="","n/a",'Non-shuttle Bids'!AC886-'Non-shuttle Bids'!AC834))</f>
        <v>n/a</v>
      </c>
      <c r="AC5" s="117" t="str">
        <f>IF('Non-shuttle Bids'!AD886="","n/a",IF('Non-shuttle Bids'!AD834="","n/a",'Non-shuttle Bids'!AD886-'Non-shuttle Bids'!AD834))</f>
        <v>n/a</v>
      </c>
      <c r="AD5" s="12"/>
      <c r="AE5" s="117" t="str">
        <f>IF('Non-shuttle Bids'!AF886="","n/a",IF('Non-shuttle Bids'!AF834="","n/a",'Non-shuttle Bids'!AF886-'Non-shuttle Bids'!AF834))</f>
        <v>n/a</v>
      </c>
      <c r="AF5" s="117" t="str">
        <f>IF('Non-shuttle Bids'!AG886="","n/a",IF('Non-shuttle Bids'!AG834="","n/a",'Non-shuttle Bids'!AG886-'Non-shuttle Bids'!AG834))</f>
        <v>n/a</v>
      </c>
      <c r="AG5" s="117" t="str">
        <f>IF('Non-shuttle Bids'!AH886="","n/a",IF('Non-shuttle Bids'!AH834="","n/a",'Non-shuttle Bids'!AH886-'Non-shuttle Bids'!AH834))</f>
        <v>n/a</v>
      </c>
      <c r="AH5" s="12"/>
      <c r="AI5" s="117" t="str">
        <f>IF('Non-shuttle Bids'!AJ886="","n/a",IF('Non-shuttle Bids'!AJ834="","n/a",'Non-shuttle Bids'!AJ886-'Non-shuttle Bids'!AJ834))</f>
        <v>n/a</v>
      </c>
      <c r="AJ5" s="117" t="str">
        <f>IF('Non-shuttle Bids'!AK886="","n/a",IF('Non-shuttle Bids'!AK834="","n/a",'Non-shuttle Bids'!AK886-'Non-shuttle Bids'!AK834))</f>
        <v>n/a</v>
      </c>
      <c r="AK5" s="117" t="str">
        <f>IF('Non-shuttle Bids'!AL886="","n/a",IF('Non-shuttle Bids'!AL834="","n/a",'Non-shuttle Bids'!AL886-'Non-shuttle Bids'!AL834))</f>
        <v>n/a</v>
      </c>
      <c r="AL5" s="84"/>
      <c r="AM5" s="117" t="str">
        <f>IF('Non-shuttle Bids'!AN876="","n/a",IF('Non-shuttle Bids'!AN824="","n/a",'Non-shuttle Bids'!AN876-'Non-shuttle Bids'!AN824))</f>
        <v>n/a</v>
      </c>
      <c r="AN5" s="117" t="str">
        <f>IF('Non-shuttle Bids'!AO876="","n/a",IF('Non-shuttle Bids'!AO824="","n/a",'Non-shuttle Bids'!AO876-'Non-shuttle Bids'!AO824))</f>
        <v>n/a</v>
      </c>
      <c r="AO5" s="117" t="str">
        <f>IF('Non-shuttle Bids'!AP876="","n/a",IF('Non-shuttle Bids'!AP824="","n/a",'Non-shuttle Bids'!AP876-'Non-shuttle Bids'!AP824))</f>
        <v>n/a</v>
      </c>
      <c r="AP5" s="84"/>
      <c r="AQ5" s="117" t="str">
        <f>IF('Non-shuttle Bids'!AR876="","n/a",IF('Non-shuttle Bids'!AR824="","n/a",'Non-shuttle Bids'!AR876-'Non-shuttle Bids'!AR824))</f>
        <v>n/a</v>
      </c>
      <c r="AR5" s="117" t="str">
        <f>IF('Non-shuttle Bids'!AS876="","n/a",IF('Non-shuttle Bids'!AS824="","n/a",'Non-shuttle Bids'!AS876-'Non-shuttle Bids'!AS824))</f>
        <v>n/a</v>
      </c>
      <c r="AS5" s="117" t="str">
        <f>IF('Non-shuttle Bids'!AT876="","n/a",IF('Non-shuttle Bids'!AT824="","n/a",'Non-shuttle Bids'!AT876-'Non-shuttle Bids'!AT824))</f>
        <v>n/a</v>
      </c>
      <c r="AT5" s="84"/>
      <c r="AU5" s="117" t="str">
        <f>IF('Non-shuttle Bids'!AV876="","n/a",IF('Non-shuttle Bids'!AV824="","n/a",'Non-shuttle Bids'!AV876-'Non-shuttle Bids'!AV824))</f>
        <v>n/a</v>
      </c>
      <c r="AV5" s="117" t="str">
        <f>IF('Non-shuttle Bids'!AW876="","n/a",IF('Non-shuttle Bids'!AW824="","n/a",'Non-shuttle Bids'!AW876-'Non-shuttle Bids'!AW824))</f>
        <v>n/a</v>
      </c>
      <c r="AW5" s="117" t="str">
        <f>IF('Non-shuttle Bids'!AX876="","n/a",IF('Non-shuttle Bids'!AX824="","n/a",'Non-shuttle Bids'!AX876-'Non-shuttle Bids'!AX824))</f>
        <v>n/a</v>
      </c>
    </row>
    <row r="6" spans="1:49" ht="15" x14ac:dyDescent="0.25">
      <c r="A6" s="12" t="s">
        <v>144</v>
      </c>
      <c r="B6" s="14"/>
      <c r="C6" s="148" t="str">
        <f>IF('Non-shuttle Bids'!F879="","n/a",'Non-shuttle Bids'!F879)</f>
        <v>n/a</v>
      </c>
      <c r="D6" s="148"/>
      <c r="E6" s="119"/>
      <c r="F6" s="12"/>
      <c r="G6" s="148" t="str">
        <f>IF('Non-shuttle Bids'!J884="","n/a",'Non-shuttle Bids'!J884)</f>
        <v>n/a</v>
      </c>
      <c r="H6" s="148"/>
      <c r="I6" s="119"/>
      <c r="J6" s="12"/>
      <c r="K6" s="148">
        <f>IF('Non-shuttle Bids'!N886="","n/a",'Non-shuttle Bids'!N886)</f>
        <v>1125</v>
      </c>
      <c r="L6" s="148"/>
      <c r="M6" s="119"/>
      <c r="N6" s="120"/>
      <c r="O6" s="148">
        <f>IF('Non-shuttle Bids'!R886="","n/a",'Non-shuttle Bids'!R886)</f>
        <v>1000</v>
      </c>
      <c r="P6" s="148"/>
      <c r="Q6" s="119"/>
      <c r="R6" s="120"/>
      <c r="S6" s="148">
        <f>IF('Non-shuttle Bids'!V886="","n/a",'Non-shuttle Bids'!V886)</f>
        <v>800</v>
      </c>
      <c r="T6" s="148"/>
      <c r="U6" s="119"/>
      <c r="V6" s="120"/>
      <c r="W6" s="148" t="str">
        <f>IF('Non-shuttle Bids'!Z886="","n/a",'Non-shuttle Bids'!Z886)</f>
        <v>n/a</v>
      </c>
      <c r="X6" s="148"/>
      <c r="Y6" s="119"/>
      <c r="Z6" s="120"/>
      <c r="AA6" s="148" t="str">
        <f>IF('Non-shuttle Bids'!AD886="","n/a",'Non-shuttle Bids'!AD886)</f>
        <v>n/a</v>
      </c>
      <c r="AB6" s="148"/>
      <c r="AC6" s="119"/>
      <c r="AD6" s="120"/>
      <c r="AE6" s="148" t="str">
        <f>IF('Non-shuttle Bids'!AH886="","n/a",'Non-shuttle Bids'!AH886)</f>
        <v>n/a</v>
      </c>
      <c r="AF6" s="148"/>
      <c r="AG6" s="119"/>
      <c r="AH6" s="120"/>
      <c r="AI6" s="148" t="str">
        <f>IF('Non-shuttle Bids'!AL886="","n/a",'Non-shuttle Bids'!AL886)</f>
        <v>n/a</v>
      </c>
      <c r="AJ6" s="148"/>
      <c r="AK6" s="119"/>
      <c r="AL6" s="121"/>
      <c r="AM6" s="148" t="str">
        <f>IF('Non-shuttle Bids'!AP876="","n/a",'Non-shuttle Bids'!AP876)</f>
        <v>n/a</v>
      </c>
      <c r="AN6" s="148"/>
      <c r="AO6" s="119"/>
      <c r="AP6" s="121"/>
      <c r="AQ6" s="148" t="str">
        <f>IF('Non-shuttle Bids'!AT876="","n/a",'Non-shuttle Bids'!AT876)</f>
        <v>n/a</v>
      </c>
      <c r="AR6" s="148"/>
      <c r="AS6" s="119"/>
      <c r="AT6" s="121"/>
      <c r="AU6" s="148" t="str">
        <f>IF('Non-shuttle Bids'!AX876="","n/a",'Non-shuttle Bids'!AX876)</f>
        <v>n/a</v>
      </c>
      <c r="AV6" s="148"/>
      <c r="AW6" s="119"/>
    </row>
    <row r="7" spans="1:49" ht="15" x14ac:dyDescent="0.25">
      <c r="A7" s="115" t="s">
        <v>145</v>
      </c>
      <c r="B7" s="14"/>
      <c r="C7" s="149" t="str">
        <f>IF('Non-shuttle Bids'!F879="","n/a",IF('Non-shuttle Bids'!F878="","n/a",'Non-shuttle Bids'!F879-'Non-shuttle Bids'!F878))</f>
        <v>n/a</v>
      </c>
      <c r="D7" s="149"/>
      <c r="E7" s="122"/>
      <c r="F7" s="12"/>
      <c r="G7" s="149" t="str">
        <f>IF('Non-shuttle Bids'!J884="","n/a",IF('Non-shuttle Bids'!J883="","n/a",'Non-shuttle Bids'!J884-'Non-shuttle Bids'!J883))</f>
        <v>n/a</v>
      </c>
      <c r="H7" s="149"/>
      <c r="I7" s="122"/>
      <c r="J7" s="12"/>
      <c r="K7" s="149" t="str">
        <f>IF('Non-shuttle Bids'!N886="","n/a",IF('Non-shuttle Bids'!N885="","n/a",'Non-shuttle Bids'!N886-'Non-shuttle Bids'!N885))</f>
        <v>n/a</v>
      </c>
      <c r="L7" s="149"/>
      <c r="M7" s="122"/>
      <c r="N7" s="123"/>
      <c r="O7" s="149" t="str">
        <f>IF('Non-shuttle Bids'!R886="","n/a",IF('Non-shuttle Bids'!R885="","n/a",'Non-shuttle Bids'!R886-'Non-shuttle Bids'!R885))</f>
        <v>n/a</v>
      </c>
      <c r="P7" s="149"/>
      <c r="Q7" s="122"/>
      <c r="R7" s="123"/>
      <c r="S7" s="149" t="str">
        <f>IF('Non-shuttle Bids'!V886="","n/a",IF('Non-shuttle Bids'!V885="","n/a",'Non-shuttle Bids'!V886-'Non-shuttle Bids'!V885))</f>
        <v>n/a</v>
      </c>
      <c r="T7" s="149"/>
      <c r="U7" s="122"/>
      <c r="V7" s="123"/>
      <c r="W7" s="149" t="str">
        <f>IF('Non-shuttle Bids'!Z886="","n/a",IF('Non-shuttle Bids'!Z885="","n/a",'Non-shuttle Bids'!Z886-'Non-shuttle Bids'!Z885))</f>
        <v>n/a</v>
      </c>
      <c r="X7" s="149"/>
      <c r="Y7" s="122"/>
      <c r="Z7" s="123"/>
      <c r="AA7" s="149" t="str">
        <f>IF('Non-shuttle Bids'!AD886="","n/a",IF('Non-shuttle Bids'!AD885="","n/a",'Non-shuttle Bids'!AD886-'Non-shuttle Bids'!AD885))</f>
        <v>n/a</v>
      </c>
      <c r="AB7" s="149"/>
      <c r="AC7" s="122"/>
      <c r="AD7" s="124"/>
      <c r="AE7" s="149" t="str">
        <f>IF('Non-shuttle Bids'!AH886="","n/a",IF('Non-shuttle Bids'!AH885="","n/a",'Non-shuttle Bids'!AH886-'Non-shuttle Bids'!AH885))</f>
        <v>n/a</v>
      </c>
      <c r="AF7" s="149"/>
      <c r="AG7" s="122"/>
      <c r="AH7" s="124"/>
      <c r="AI7" s="149" t="str">
        <f>IF('Non-shuttle Bids'!AL886="","n/a",IF('Non-shuttle Bids'!AL885="","n/a",'Non-shuttle Bids'!AL886-'Non-shuttle Bids'!AL885))</f>
        <v>n/a</v>
      </c>
      <c r="AJ7" s="149"/>
      <c r="AK7" s="122"/>
      <c r="AL7" s="125"/>
      <c r="AM7" s="149" t="str">
        <f>IF('Non-shuttle Bids'!AP876="","n/a",IF('Non-shuttle Bids'!AP875="","n/a",'Non-shuttle Bids'!AP876-'Non-shuttle Bids'!AP875))</f>
        <v>n/a</v>
      </c>
      <c r="AN7" s="149"/>
      <c r="AO7" s="122"/>
      <c r="AP7" s="125"/>
      <c r="AQ7" s="149" t="str">
        <f>IF('Non-shuttle Bids'!AT876="","n/a",IF('Non-shuttle Bids'!AT875="","n/a",'Non-shuttle Bids'!AT876-'Non-shuttle Bids'!AT875))</f>
        <v>n/a</v>
      </c>
      <c r="AR7" s="149"/>
      <c r="AS7" s="122"/>
      <c r="AT7" s="125"/>
      <c r="AU7" s="149" t="str">
        <f>IF('Non-shuttle Bids'!AX876="","n/a",IF('Non-shuttle Bids'!AX875="","n/a",'Non-shuttle Bids'!AX876-'Non-shuttle Bids'!AX875))</f>
        <v>n/a</v>
      </c>
      <c r="AV7" s="149"/>
      <c r="AW7" s="122"/>
    </row>
    <row r="8" spans="1:49" ht="15" x14ac:dyDescent="0.25">
      <c r="A8" s="12" t="s">
        <v>146</v>
      </c>
      <c r="B8" s="14"/>
      <c r="C8" s="148" t="str">
        <f>IF('Non-shuttle Bids'!F879="","n/a",IF('Non-shuttle Bids'!F875="","n/a",'Non-shuttle Bids'!F879-'Non-shuttle Bids'!F875))</f>
        <v>n/a</v>
      </c>
      <c r="D8" s="148"/>
      <c r="E8" s="126"/>
      <c r="F8" s="12"/>
      <c r="G8" s="148" t="str">
        <f>IF('Non-shuttle Bids'!J884="","n/a",IF('Non-shuttle Bids'!J880="","n/a",'Non-shuttle Bids'!J884-'Non-shuttle Bids'!J880))</f>
        <v>n/a</v>
      </c>
      <c r="H8" s="148"/>
      <c r="I8" s="126"/>
      <c r="J8" s="12"/>
      <c r="K8" s="148">
        <f>IF('Non-shuttle Bids'!N886="","n/a",IF('Non-shuttle Bids'!N882="","n/a",'Non-shuttle Bids'!N886-'Non-shuttle Bids'!N882))</f>
        <v>525</v>
      </c>
      <c r="L8" s="148"/>
      <c r="M8" s="126"/>
      <c r="N8" s="127"/>
      <c r="O8" s="148" t="str">
        <f>IF('Non-shuttle Bids'!R886="","n/a",IF('Non-shuttle Bids'!R882="","n/a",'Non-shuttle Bids'!R886-'Non-shuttle Bids'!R882))</f>
        <v>n/a</v>
      </c>
      <c r="P8" s="148"/>
      <c r="Q8" s="126"/>
      <c r="R8" s="127"/>
      <c r="S8" s="148" t="str">
        <f>IF('Non-shuttle Bids'!V886="","n/a",IF('Non-shuttle Bids'!V882="","n/a",'Non-shuttle Bids'!V886-'Non-shuttle Bids'!V882))</f>
        <v>n/a</v>
      </c>
      <c r="T8" s="148"/>
      <c r="U8" s="126"/>
      <c r="V8" s="127"/>
      <c r="W8" s="148" t="str">
        <f>IF('Non-shuttle Bids'!Z886="","n/a",IF('Non-shuttle Bids'!Z882="","n/a",'Non-shuttle Bids'!Z886-'Non-shuttle Bids'!Z882))</f>
        <v>n/a</v>
      </c>
      <c r="X8" s="148"/>
      <c r="Y8" s="126"/>
      <c r="Z8" s="127"/>
      <c r="AA8" s="148" t="str">
        <f>IF('Non-shuttle Bids'!AD886="","n/a",IF('Non-shuttle Bids'!AD882="","n/a",'Non-shuttle Bids'!AD886-'Non-shuttle Bids'!AD882))</f>
        <v>n/a</v>
      </c>
      <c r="AB8" s="148"/>
      <c r="AC8" s="126"/>
      <c r="AD8" s="127"/>
      <c r="AE8" s="148" t="str">
        <f>IF('Non-shuttle Bids'!AH886="","n/a",IF('Non-shuttle Bids'!AH882="","n/a",'Non-shuttle Bids'!AH886-'Non-shuttle Bids'!AH882))</f>
        <v>n/a</v>
      </c>
      <c r="AF8" s="148"/>
      <c r="AG8" s="126"/>
      <c r="AH8" s="127"/>
      <c r="AI8" s="148" t="str">
        <f>IF('Non-shuttle Bids'!AL886="","n/a",IF('Non-shuttle Bids'!AL882="","n/a",'Non-shuttle Bids'!AL886-'Non-shuttle Bids'!AL882))</f>
        <v>n/a</v>
      </c>
      <c r="AJ8" s="148"/>
      <c r="AK8" s="126"/>
      <c r="AL8" s="128"/>
      <c r="AM8" s="148" t="str">
        <f>IF('Non-shuttle Bids'!AP876="","n/a",IF('Non-shuttle Bids'!AP872="","n/a",'Non-shuttle Bids'!AP876-'Non-shuttle Bids'!AP872))</f>
        <v>n/a</v>
      </c>
      <c r="AN8" s="148"/>
      <c r="AO8" s="126"/>
      <c r="AP8" s="128"/>
      <c r="AQ8" s="148" t="str">
        <f>IF('Non-shuttle Bids'!AT876="","n/a",IF('Non-shuttle Bids'!AT872="","n/a",'Non-shuttle Bids'!AT876-'Non-shuttle Bids'!AT872))</f>
        <v>n/a</v>
      </c>
      <c r="AR8" s="148"/>
      <c r="AS8" s="126"/>
      <c r="AT8" s="128"/>
      <c r="AU8" s="148" t="str">
        <f>IF('Non-shuttle Bids'!AX876="","n/a",IF('Non-shuttle Bids'!AX872="","n/a",'Non-shuttle Bids'!AX876-'Non-shuttle Bids'!AX872))</f>
        <v>n/a</v>
      </c>
      <c r="AV8" s="148"/>
      <c r="AW8" s="126"/>
    </row>
    <row r="9" spans="1:49" ht="15" x14ac:dyDescent="0.25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5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5">
      <c r="A11" s="116" t="s">
        <v>140</v>
      </c>
      <c r="B11" s="14"/>
      <c r="C11" s="147">
        <f>MAX('Non-shuttle Bids'!F850:F880)</f>
        <v>650</v>
      </c>
      <c r="D11" s="147"/>
      <c r="E11" s="141" t="s">
        <v>254</v>
      </c>
      <c r="F11" s="12"/>
      <c r="G11" s="147">
        <f>MAX('Non-shuttle Bids'!J854:J884)</f>
        <v>1000</v>
      </c>
      <c r="H11" s="147"/>
      <c r="I11" s="141" t="s">
        <v>255</v>
      </c>
      <c r="J11" s="12"/>
      <c r="K11" s="147">
        <f>MAX('Non-shuttle Bids'!N858:N888)</f>
        <v>1125</v>
      </c>
      <c r="L11" s="147"/>
      <c r="M11" s="141" t="s">
        <v>256</v>
      </c>
      <c r="N11" s="123"/>
      <c r="O11" s="147">
        <f>MAX('Non-shuttle Bids'!R863:R893)</f>
        <v>1000</v>
      </c>
      <c r="P11" s="147"/>
      <c r="Q11" s="141" t="s">
        <v>257</v>
      </c>
      <c r="R11" s="123"/>
      <c r="S11" s="147">
        <f>MAX('Non-shuttle Bids'!V867:V897)</f>
        <v>800</v>
      </c>
      <c r="T11" s="147"/>
      <c r="U11" s="141" t="s">
        <v>258</v>
      </c>
      <c r="V11" s="123"/>
      <c r="W11" s="147">
        <f>MAX('Non-shuttle Bids'!Z871:Z901)</f>
        <v>0</v>
      </c>
      <c r="X11" s="147"/>
      <c r="Y11" s="141" t="s">
        <v>259</v>
      </c>
      <c r="Z11" s="123"/>
      <c r="AA11" s="147">
        <f>MAX('Non-shuttle Bids'!AD876:AD906)</f>
        <v>0</v>
      </c>
      <c r="AB11" s="147"/>
      <c r="AC11" s="141" t="s">
        <v>260</v>
      </c>
      <c r="AD11" s="123"/>
      <c r="AE11" s="147">
        <f>MAX('Non-shuttle Bids'!AH880:AH910)</f>
        <v>0</v>
      </c>
      <c r="AF11" s="147"/>
      <c r="AG11" s="141" t="s">
        <v>261</v>
      </c>
      <c r="AH11" s="123"/>
      <c r="AI11" s="147">
        <f>MAX('Non-shuttle Bids'!AL884:AL914)</f>
        <v>0</v>
      </c>
      <c r="AJ11" s="147"/>
      <c r="AK11" s="141" t="s">
        <v>287</v>
      </c>
      <c r="AL11" s="129"/>
      <c r="AM11" s="147">
        <f>MAX('Non-shuttle Bids'!AP889:AP919)</f>
        <v>0</v>
      </c>
      <c r="AN11" s="147"/>
      <c r="AO11" s="141" t="s">
        <v>288</v>
      </c>
      <c r="AP11" s="129"/>
      <c r="AQ11" s="147">
        <f>MAX('Non-shuttle Bids'!AT893:AT923)</f>
        <v>0</v>
      </c>
      <c r="AR11" s="147"/>
      <c r="AS11" s="141" t="s">
        <v>289</v>
      </c>
      <c r="AT11" s="129"/>
      <c r="AU11" s="147">
        <f>MAX('Non-shuttle Bids'!AX897:AX927)</f>
        <v>0</v>
      </c>
      <c r="AV11" s="147"/>
      <c r="AW11" s="140" t="s">
        <v>292</v>
      </c>
    </row>
    <row r="12" spans="1:49" ht="15" x14ac:dyDescent="0.25">
      <c r="A12" s="115" t="s">
        <v>141</v>
      </c>
      <c r="B12" s="14"/>
      <c r="C12" s="147" t="e">
        <f>C6-C11</f>
        <v>#VALUE!</v>
      </c>
      <c r="D12" s="147"/>
      <c r="E12" s="140"/>
      <c r="F12" s="12"/>
      <c r="G12" s="147" t="e">
        <f>G6-G11</f>
        <v>#VALUE!</v>
      </c>
      <c r="H12" s="147"/>
      <c r="I12" s="140"/>
      <c r="J12" s="12"/>
      <c r="K12" s="147">
        <f>K6-K11</f>
        <v>0</v>
      </c>
      <c r="L12" s="147"/>
      <c r="M12" s="140"/>
      <c r="N12" s="123"/>
      <c r="O12" s="147">
        <f>O6-O11</f>
        <v>0</v>
      </c>
      <c r="P12" s="147"/>
      <c r="Q12" s="140"/>
      <c r="R12" s="123"/>
      <c r="S12" s="147">
        <f>S6-S11</f>
        <v>0</v>
      </c>
      <c r="T12" s="147"/>
      <c r="U12" s="140"/>
      <c r="V12" s="123"/>
      <c r="W12" s="147" t="e">
        <f>W6-W11</f>
        <v>#VALUE!</v>
      </c>
      <c r="X12" s="147"/>
      <c r="Y12" s="140"/>
      <c r="Z12" s="123"/>
      <c r="AA12" s="147" t="e">
        <f>AA6-AA11</f>
        <v>#VALUE!</v>
      </c>
      <c r="AB12" s="147"/>
      <c r="AC12" s="140"/>
      <c r="AD12" s="123"/>
      <c r="AE12" s="147" t="e">
        <f>AE6-AE11</f>
        <v>#VALUE!</v>
      </c>
      <c r="AF12" s="147"/>
      <c r="AG12" s="140"/>
      <c r="AH12" s="123"/>
      <c r="AI12" s="147" t="e">
        <f>AI6-AI11</f>
        <v>#VALUE!</v>
      </c>
      <c r="AJ12" s="147"/>
      <c r="AK12" s="140"/>
      <c r="AL12" s="129"/>
      <c r="AM12" s="147" t="e">
        <f>AM6-AM11</f>
        <v>#VALUE!</v>
      </c>
      <c r="AN12" s="147"/>
      <c r="AO12" s="140"/>
      <c r="AP12" s="129"/>
      <c r="AQ12" s="147" t="e">
        <f>AQ6-AQ11</f>
        <v>#VALUE!</v>
      </c>
      <c r="AR12" s="147"/>
      <c r="AS12" s="140"/>
      <c r="AT12" s="129"/>
      <c r="AU12" s="147" t="e">
        <f>AU6-AU11</f>
        <v>#VALUE!</v>
      </c>
      <c r="AV12" s="147"/>
      <c r="AW12" s="140"/>
    </row>
    <row r="13" spans="1:49" ht="15" x14ac:dyDescent="0.25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3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5">
      <c r="A15" s="12" t="s">
        <v>206</v>
      </c>
      <c r="C15" s="117">
        <f>IF('Shuttle Bids'!D879="", "n/a", 'Shuttle Bids'!D879)</f>
        <v>3250</v>
      </c>
      <c r="D15" s="117">
        <f>IF('Shuttle Bids'!E879="", "n/a", 'Shuttle Bids'!E879)</f>
        <v>750</v>
      </c>
      <c r="E15" s="117">
        <f>IF('Shuttle Bids'!F879="", "n/a", 'Shuttle Bids'!F879)</f>
        <v>2000</v>
      </c>
      <c r="F15" s="12"/>
      <c r="G15" s="117">
        <f>IF('Shuttle Bids'!H884="", "n/a", 'Shuttle Bids'!H884)</f>
        <v>2500</v>
      </c>
      <c r="H15" s="117">
        <f>IF('Shuttle Bids'!I884="", "n/a", 'Shuttle Bids'!I884)</f>
        <v>600</v>
      </c>
      <c r="I15" s="117">
        <f>IF('Shuttle Bids'!J884="", "n/a", 'Shuttle Bids'!J884)</f>
        <v>1550</v>
      </c>
      <c r="J15" s="12"/>
      <c r="K15" s="117">
        <f>IF('Shuttle Bids'!L886="", "n/a", 'Shuttle Bids'!L886)</f>
        <v>2717</v>
      </c>
      <c r="L15" s="117">
        <f>IF('Shuttle Bids'!M886="", "n/a", 'Shuttle Bids'!M886)</f>
        <v>750</v>
      </c>
      <c r="M15" s="117">
        <f>IF('Shuttle Bids'!N886="", "n/a", 'Shuttle Bids'!N886)</f>
        <v>1733.5</v>
      </c>
      <c r="N15" s="12"/>
      <c r="O15" s="117" t="str">
        <f>IF('Shuttle Bids'!P886="", "n/a", 'Shuttle Bids'!P886)</f>
        <v>n/a</v>
      </c>
      <c r="P15" s="117">
        <f>IF('Shuttle Bids'!Q886="", "n/a", 'Shuttle Bids'!Q886)</f>
        <v>350</v>
      </c>
      <c r="Q15" s="117">
        <f>IF('Shuttle Bids'!R886="", "n/a", 'Shuttle Bids'!R886)</f>
        <v>350</v>
      </c>
      <c r="R15" s="12"/>
      <c r="S15" s="117" t="str">
        <f>IF('Shuttle Bids'!T886="", "n/a", 'Shuttle Bids'!T886)</f>
        <v>n/a</v>
      </c>
      <c r="T15" s="117" t="str">
        <f>IF('Shuttle Bids'!U886="", "n/a", 'Shuttle Bids'!U886)</f>
        <v>n/a</v>
      </c>
      <c r="U15" s="117" t="str">
        <f>IF('Shuttle Bids'!V886="", "n/a", 'Shuttle Bids'!V886)</f>
        <v>n/a</v>
      </c>
      <c r="V15" s="12"/>
      <c r="W15" s="117" t="str">
        <f>IF('Shuttle Bids'!X886="", "n/a", 'Shuttle Bids'!X886)</f>
        <v>n/a</v>
      </c>
      <c r="X15" s="117" t="str">
        <f>IF('Shuttle Bids'!Y886="", "n/a", 'Shuttle Bids'!Y886)</f>
        <v>n/a</v>
      </c>
      <c r="Y15" s="117" t="str">
        <f>IF('Shuttle Bids'!Z886="", "n/a", 'Shuttle Bids'!Z886)</f>
        <v>n/a</v>
      </c>
      <c r="Z15" s="12"/>
      <c r="AA15" s="117" t="str">
        <f>IF('Shuttle Bids'!AB886="", "n/a", 'Shuttle Bids'!AB886)</f>
        <v>n/a</v>
      </c>
      <c r="AB15" s="117" t="str">
        <f>IF('Shuttle Bids'!AC886="", "n/a", 'Shuttle Bids'!AC886)</f>
        <v>n/a</v>
      </c>
      <c r="AC15" s="117" t="str">
        <f>IF('Shuttle Bids'!AD886="", "n/a", 'Shuttle Bids'!AD886)</f>
        <v>n/a</v>
      </c>
      <c r="AD15" s="12"/>
      <c r="AE15" s="117" t="str">
        <f>IF('Shuttle Bids'!AF886="", "n/a", 'Shuttle Bids'!AF886)</f>
        <v>n/a</v>
      </c>
      <c r="AF15" s="117" t="str">
        <f>IF('Shuttle Bids'!AG886="", "n/a", 'Shuttle Bids'!AG886)</f>
        <v>n/a</v>
      </c>
      <c r="AG15" s="117" t="str">
        <f>IF('Shuttle Bids'!AH886="", "n/a", 'Shuttle Bids'!AH886)</f>
        <v>n/a</v>
      </c>
      <c r="AH15" s="12"/>
      <c r="AI15" s="117">
        <f>IF('Shuttle Bids'!AJ886="", "n/a", 'Shuttle Bids'!AJ886)</f>
        <v>1200</v>
      </c>
      <c r="AJ15" s="117" t="str">
        <f>IF('Shuttle Bids'!AK886="", "n/a", 'Shuttle Bids'!AK886)</f>
        <v>n/a</v>
      </c>
      <c r="AK15" s="117">
        <f>IF('Shuttle Bids'!AL886="", "n/a", 'Shuttle Bids'!AL886)</f>
        <v>1200</v>
      </c>
      <c r="AL15" s="12"/>
      <c r="AM15" s="117" t="str">
        <f>IF('Shuttle Bids'!AN881="", "n/a", 'Shuttle Bids'!AN881)</f>
        <v>n/a</v>
      </c>
      <c r="AN15" s="117" t="str">
        <f>IF('Shuttle Bids'!AO881="", "n/a", 'Shuttle Bids'!AO881)</f>
        <v>n/a</v>
      </c>
      <c r="AO15" s="117" t="str">
        <f>IF('Shuttle Bids'!AP881="", "n/a", 'Shuttle Bids'!AP881)</f>
        <v>n/a</v>
      </c>
      <c r="AP15" s="12"/>
      <c r="AQ15" s="117" t="str">
        <f>IF('Shuttle Bids'!AR876="", "n/a", 'Shuttle Bids'!AR876)</f>
        <v>n/a</v>
      </c>
      <c r="AR15" s="117" t="str">
        <f>IF('Shuttle Bids'!AS876="", "n/a", 'Shuttle Bids'!AS876)</f>
        <v>n/a</v>
      </c>
      <c r="AS15" s="117" t="str">
        <f>IF('Shuttle Bids'!AT876="", "n/a", 'Shuttle Bids'!AT876)</f>
        <v>n/a</v>
      </c>
      <c r="AT15" s="12"/>
      <c r="AU15" s="117" t="str">
        <f>IF('Shuttle Bids'!AV876="", "n/a", 'Shuttle Bids'!AV876)</f>
        <v>n/a</v>
      </c>
      <c r="AV15" s="117" t="str">
        <f>IF('Shuttle Bids'!AW876="", "n/a", 'Shuttle Bids'!AW876)</f>
        <v>n/a</v>
      </c>
      <c r="AW15" s="117" t="str">
        <f>IF('Shuttle Bids'!AX876="", "n/a", 'Shuttle Bids'!AX876)</f>
        <v>n/a</v>
      </c>
    </row>
    <row r="16" spans="1:49" ht="15" x14ac:dyDescent="0.25">
      <c r="A16" s="12" t="s">
        <v>109</v>
      </c>
      <c r="B16" s="14"/>
      <c r="C16" s="117">
        <f>IF('Shuttle Bids'!D879="","n/a",IF('Shuttle Bids'!D878="","n/a",'Shuttle Bids'!D879-'Shuttle Bids'!D878))</f>
        <v>417</v>
      </c>
      <c r="D16" s="117">
        <f>IF('Shuttle Bids'!E879="","n/a",IF('Shuttle Bids'!E878="","n/a",'Shuttle Bids'!E879-'Shuttle Bids'!E878))</f>
        <v>225</v>
      </c>
      <c r="E16" s="117">
        <f>IF('Shuttle Bids'!F879="","n/a",IF('Shuttle Bids'!F878="","n/a",'Shuttle Bids'!F879-'Shuttle Bids'!F878))</f>
        <v>321</v>
      </c>
      <c r="F16" s="118"/>
      <c r="G16" s="117">
        <f>IF('Shuttle Bids'!H884="","n/a",IF('Shuttle Bids'!H883="","n/a",'Shuttle Bids'!H884-'Shuttle Bids'!H883))</f>
        <v>-600</v>
      </c>
      <c r="H16" s="117">
        <f>IF('Shuttle Bids'!I884="","n/a",IF('Shuttle Bids'!I883="","n/a",'Shuttle Bids'!I884-'Shuttle Bids'!I883))</f>
        <v>0</v>
      </c>
      <c r="I16" s="117">
        <f>IF('Shuttle Bids'!J884="","n/a",IF('Shuttle Bids'!J883="","n/a",'Shuttle Bids'!J884-'Shuttle Bids'!J883))</f>
        <v>-300</v>
      </c>
      <c r="J16" s="12"/>
      <c r="K16" s="117">
        <f>IF('Shuttle Bids'!L886="","n/a",IF('Shuttle Bids'!L885="","n/a",'Shuttle Bids'!L886-'Shuttle Bids'!L885))</f>
        <v>-83</v>
      </c>
      <c r="L16" s="117">
        <f>IF('Shuttle Bids'!M886="","n/a",IF('Shuttle Bids'!M885="","n/a",'Shuttle Bids'!M886-'Shuttle Bids'!M885))</f>
        <v>125</v>
      </c>
      <c r="M16" s="117">
        <f>IF('Shuttle Bids'!N886="","n/a",IF('Shuttle Bids'!N885="","n/a",'Shuttle Bids'!N886-'Shuttle Bids'!N885))</f>
        <v>21</v>
      </c>
      <c r="N16" s="118"/>
      <c r="O16" s="117" t="str">
        <f>IF('Shuttle Bids'!P886="","n/a",IF('Shuttle Bids'!P885="","n/a",'Shuttle Bids'!P886-'Shuttle Bids'!P885))</f>
        <v>n/a</v>
      </c>
      <c r="P16" s="117">
        <f>IF('Shuttle Bids'!Q886="","n/a",IF('Shuttle Bids'!Q885="","n/a",'Shuttle Bids'!Q886-'Shuttle Bids'!Q885))</f>
        <v>25</v>
      </c>
      <c r="Q16" s="117">
        <f>IF('Shuttle Bids'!R886="","n/a",IF('Shuttle Bids'!R885="","n/a",'Shuttle Bids'!R886-'Shuttle Bids'!R885))</f>
        <v>25</v>
      </c>
      <c r="R16" s="118"/>
      <c r="S16" s="117" t="str">
        <f>IF('Shuttle Bids'!T886="","n/a",IF('Shuttle Bids'!T885="","n/a",'Shuttle Bids'!T886-'Shuttle Bids'!T885))</f>
        <v>n/a</v>
      </c>
      <c r="T16" s="117" t="str">
        <f>IF('Shuttle Bids'!U886="","n/a",IF('Shuttle Bids'!U885="","n/a",'Shuttle Bids'!U886-'Shuttle Bids'!U885))</f>
        <v>n/a</v>
      </c>
      <c r="U16" s="117" t="str">
        <f>IF('Shuttle Bids'!V886="","n/a",IF('Shuttle Bids'!V885="","n/a",'Shuttle Bids'!V886-'Shuttle Bids'!V885))</f>
        <v>n/a</v>
      </c>
      <c r="V16" s="12"/>
      <c r="W16" s="117" t="str">
        <f>IF('Shuttle Bids'!X886="","n/a",IF('Shuttle Bids'!X885="","n/a",'Shuttle Bids'!X886-'Shuttle Bids'!X885))</f>
        <v>n/a</v>
      </c>
      <c r="X16" s="117" t="str">
        <f>IF('Shuttle Bids'!Y886="","n/a",IF('Shuttle Bids'!Y885="","n/a",'Shuttle Bids'!Y886-'Shuttle Bids'!Y885))</f>
        <v>n/a</v>
      </c>
      <c r="Y16" s="117" t="str">
        <f>IF('Shuttle Bids'!Z886="","n/a",IF('Shuttle Bids'!Z885="","n/a",'Shuttle Bids'!Z886-'Shuttle Bids'!Z885))</f>
        <v>n/a</v>
      </c>
      <c r="Z16" s="12"/>
      <c r="AA16" s="117" t="str">
        <f>IF('Shuttle Bids'!AB886="","n/a",IF('Shuttle Bids'!AB885="","n/a",'Shuttle Bids'!AB886-'Shuttle Bids'!AB885))</f>
        <v>n/a</v>
      </c>
      <c r="AB16" s="117" t="str">
        <f>IF('Shuttle Bids'!AC886="","n/a",IF('Shuttle Bids'!AC885="","n/a",'Shuttle Bids'!AC886-'Shuttle Bids'!AC885))</f>
        <v>n/a</v>
      </c>
      <c r="AC16" s="117" t="str">
        <f>IF('Shuttle Bids'!AD886="","n/a",IF('Shuttle Bids'!AD885="","n/a",'Shuttle Bids'!AD886-'Shuttle Bids'!AD885))</f>
        <v>n/a</v>
      </c>
      <c r="AD16" s="12"/>
      <c r="AE16" s="117" t="str">
        <f>IF('Shuttle Bids'!AF886="","n/a",IF('Shuttle Bids'!AF885="","n/a",'Shuttle Bids'!AF886-'Shuttle Bids'!AF885))</f>
        <v>n/a</v>
      </c>
      <c r="AF16" s="117" t="str">
        <f>IF('Shuttle Bids'!AG886="","n/a",IF('Shuttle Bids'!AG885="","n/a",'Shuttle Bids'!AG886-'Shuttle Bids'!AG885))</f>
        <v>n/a</v>
      </c>
      <c r="AG16" s="117" t="str">
        <f>IF('Shuttle Bids'!AH886="","n/a",IF('Shuttle Bids'!AH885="","n/a",'Shuttle Bids'!AH886-'Shuttle Bids'!AH885))</f>
        <v>n/a</v>
      </c>
      <c r="AH16" s="12"/>
      <c r="AI16" s="117">
        <f>IF('Shuttle Bids'!AJ886="","n/a",IF('Shuttle Bids'!AJ885="","n/a",'Shuttle Bids'!AJ886-'Shuttle Bids'!AJ885))</f>
        <v>0</v>
      </c>
      <c r="AJ16" s="117" t="str">
        <f>IF('Shuttle Bids'!AK886="","n/a",IF('Shuttle Bids'!AK885="","n/a",'Shuttle Bids'!AK886-'Shuttle Bids'!AK885))</f>
        <v>n/a</v>
      </c>
      <c r="AK16" s="117">
        <f>IF('Shuttle Bids'!AL886="","n/a",IF('Shuttle Bids'!AL885="","n/a",'Shuttle Bids'!AL886-'Shuttle Bids'!AL885))</f>
        <v>0</v>
      </c>
      <c r="AL16" s="84"/>
      <c r="AM16" s="117" t="str">
        <f>IF('Shuttle Bids'!AN881="","n/a",IF('Shuttle Bids'!AN880="","n/a",'Shuttle Bids'!AN881-'Shuttle Bids'!AN880))</f>
        <v>n/a</v>
      </c>
      <c r="AN16" s="117" t="str">
        <f>IF('Shuttle Bids'!AO881="","n/a",IF('Shuttle Bids'!AO880="","n/a",'Shuttle Bids'!AO881-'Shuttle Bids'!AO880))</f>
        <v>n/a</v>
      </c>
      <c r="AO16" s="117" t="str">
        <f>IF('Shuttle Bids'!AP881="","n/a",IF('Shuttle Bids'!AP880="","n/a",'Shuttle Bids'!AP881-'Shuttle Bids'!AP880))</f>
        <v>n/a</v>
      </c>
      <c r="AP16" s="84"/>
      <c r="AQ16" s="117" t="str">
        <f>IF('Shuttle Bids'!AR876="","n/a",IF('Shuttle Bids'!AR875="","n/a",'Shuttle Bids'!AR876-'Shuttle Bids'!AR875))</f>
        <v>n/a</v>
      </c>
      <c r="AR16" s="117" t="str">
        <f>IF('Shuttle Bids'!AS876="","n/a",IF('Shuttle Bids'!AS875="","n/a",'Shuttle Bids'!AS876-'Shuttle Bids'!AS875))</f>
        <v>n/a</v>
      </c>
      <c r="AS16" s="117" t="str">
        <f>IF('Shuttle Bids'!AT876="","n/a",IF('Shuttle Bids'!AT875="","n/a",'Shuttle Bids'!AT876-'Shuttle Bids'!AT875))</f>
        <v>n/a</v>
      </c>
      <c r="AT16" s="84"/>
      <c r="AU16" s="117" t="str">
        <f>IF('Shuttle Bids'!AV876="","n/a",IF('Shuttle Bids'!AV875="","n/a",'Shuttle Bids'!AV876-'Shuttle Bids'!AV875))</f>
        <v>n/a</v>
      </c>
      <c r="AV16" s="117" t="str">
        <f>IF('Shuttle Bids'!AW876="","n/a",IF('Shuttle Bids'!AW875="","n/a",'Shuttle Bids'!AW876-'Shuttle Bids'!AW875))</f>
        <v>n/a</v>
      </c>
      <c r="AW16" s="117" t="str">
        <f>IF('Shuttle Bids'!AX876="","n/a",IF('Shuttle Bids'!AX875="","n/a",'Shuttle Bids'!AX876-'Shuttle Bids'!AX875))</f>
        <v>n/a</v>
      </c>
    </row>
    <row r="17" spans="1:49" ht="15" x14ac:dyDescent="0.25">
      <c r="A17" s="114" t="s">
        <v>151</v>
      </c>
      <c r="B17" s="14"/>
      <c r="C17" s="117">
        <f>IF('Shuttle Bids'!D879="","n/a",IF('Shuttle Bids'!D827="","n/a",'Shuttle Bids'!D879-'Shuttle Bids'!D827))</f>
        <v>3350</v>
      </c>
      <c r="D17" s="117">
        <f>IF('Shuttle Bids'!E879="","n/a",IF('Shuttle Bids'!E827="","n/a",'Shuttle Bids'!E879-'Shuttle Bids'!E827))</f>
        <v>775</v>
      </c>
      <c r="E17" s="117">
        <f>IF('Shuttle Bids'!F879="","n/a",IF('Shuttle Bids'!F827="","n/a",'Shuttle Bids'!F879-'Shuttle Bids'!F827))</f>
        <v>2062.5</v>
      </c>
      <c r="F17" s="12"/>
      <c r="G17" s="117">
        <f>IF('Shuttle Bids'!H884="","n/a",IF('Shuttle Bids'!H832="","n/a",'Shuttle Bids'!H884-'Shuttle Bids'!H832))</f>
        <v>2258</v>
      </c>
      <c r="H17" s="117">
        <f>IF('Shuttle Bids'!I884="","n/a",IF('Shuttle Bids'!I832="","n/a",'Shuttle Bids'!I884-'Shuttle Bids'!I832))</f>
        <v>500</v>
      </c>
      <c r="I17" s="117">
        <f>IF('Shuttle Bids'!J884="","n/a",IF('Shuttle Bids'!J832="","n/a",'Shuttle Bids'!J884-'Shuttle Bids'!J832))</f>
        <v>1379</v>
      </c>
      <c r="J17" s="12"/>
      <c r="K17" s="117">
        <f>IF('Shuttle Bids'!L886="","n/a",IF('Shuttle Bids'!L834="","n/a",'Shuttle Bids'!L886-'Shuttle Bids'!L834))</f>
        <v>2728</v>
      </c>
      <c r="L17" s="117">
        <f>IF('Shuttle Bids'!M886="","n/a",IF('Shuttle Bids'!M834="","n/a",'Shuttle Bids'!M886-'Shuttle Bids'!M834))</f>
        <v>850</v>
      </c>
      <c r="M17" s="117">
        <f>IF('Shuttle Bids'!N886="","n/a",IF('Shuttle Bids'!N834="","n/a",'Shuttle Bids'!N886-'Shuttle Bids'!N834))</f>
        <v>1789</v>
      </c>
      <c r="N17" s="12"/>
      <c r="O17" s="117" t="str">
        <f>IF('Shuttle Bids'!P886="","n/a",IF('Shuttle Bids'!P834="","n/a",'Shuttle Bids'!P886-'Shuttle Bids'!P834))</f>
        <v>n/a</v>
      </c>
      <c r="P17" s="117">
        <f>IF('Shuttle Bids'!Q886="","n/a",IF('Shuttle Bids'!Q834="","n/a",'Shuttle Bids'!Q886-'Shuttle Bids'!Q834))</f>
        <v>488</v>
      </c>
      <c r="Q17" s="117">
        <f>IF('Shuttle Bids'!R886="","n/a",IF('Shuttle Bids'!R834="","n/a",'Shuttle Bids'!R886-'Shuttle Bids'!R834))</f>
        <v>488</v>
      </c>
      <c r="R17" s="12"/>
      <c r="S17" s="117" t="str">
        <f>IF('Shuttle Bids'!T886="","n/a",IF('Shuttle Bids'!T834="","n/a",'Shuttle Bids'!T886-'Shuttle Bids'!T834))</f>
        <v>n/a</v>
      </c>
      <c r="T17" s="117" t="str">
        <f>IF('Shuttle Bids'!U886="","n/a",IF('Shuttle Bids'!U834="","n/a",'Shuttle Bids'!U886-'Shuttle Bids'!U834))</f>
        <v>n/a</v>
      </c>
      <c r="U17" s="117" t="str">
        <f>IF('Shuttle Bids'!V886="","n/a",IF('Shuttle Bids'!V834="","n/a",'Shuttle Bids'!V886-'Shuttle Bids'!V834))</f>
        <v>n/a</v>
      </c>
      <c r="V17" s="12"/>
      <c r="W17" s="117" t="str">
        <f>IF('Shuttle Bids'!X886="","n/a",IF('Shuttle Bids'!X834="","n/a",'Shuttle Bids'!X886-'Shuttle Bids'!X834))</f>
        <v>n/a</v>
      </c>
      <c r="X17" s="117" t="str">
        <f>IF('Shuttle Bids'!Y886="","n/a",IF('Shuttle Bids'!Y834="","n/a",'Shuttle Bids'!Y886-'Shuttle Bids'!Y834))</f>
        <v>n/a</v>
      </c>
      <c r="Y17" s="117" t="str">
        <f>IF('Shuttle Bids'!Z886="","n/a",IF('Shuttle Bids'!Z834="","n/a",'Shuttle Bids'!Z886-'Shuttle Bids'!Z834))</f>
        <v>n/a</v>
      </c>
      <c r="Z17" s="12"/>
      <c r="AA17" s="117" t="str">
        <f>IF('Shuttle Bids'!AB886="","n/a",IF('Shuttle Bids'!AB834="","n/a",'Shuttle Bids'!AB886-'Shuttle Bids'!AB834))</f>
        <v>n/a</v>
      </c>
      <c r="AB17" s="117" t="str">
        <f>IF('Shuttle Bids'!AC886="","n/a",IF('Shuttle Bids'!AC834="","n/a",'Shuttle Bids'!AC886-'Shuttle Bids'!AC834))</f>
        <v>n/a</v>
      </c>
      <c r="AC17" s="117" t="str">
        <f>IF('Shuttle Bids'!AD886="","n/a",IF('Shuttle Bids'!AD834="","n/a",'Shuttle Bids'!AD886-'Shuttle Bids'!AD834))</f>
        <v>n/a</v>
      </c>
      <c r="AD17" s="12"/>
      <c r="AE17" s="117" t="str">
        <f>IF('Shuttle Bids'!AF886="","n/a",IF('Shuttle Bids'!AF834="","n/a",'Shuttle Bids'!AF886-'Shuttle Bids'!AF834))</f>
        <v>n/a</v>
      </c>
      <c r="AF17" s="117" t="str">
        <f>IF('Shuttle Bids'!AG886="","n/a",IF('Shuttle Bids'!AG834="","n/a",'Shuttle Bids'!AG886-'Shuttle Bids'!AG834))</f>
        <v>n/a</v>
      </c>
      <c r="AG17" s="117" t="str">
        <f>IF('Shuttle Bids'!AH886="","n/a",IF('Shuttle Bids'!AH834="","n/a",'Shuttle Bids'!AH886-'Shuttle Bids'!AH834))</f>
        <v>n/a</v>
      </c>
      <c r="AH17" s="12"/>
      <c r="AI17" s="117" t="str">
        <f>IF('Shuttle Bids'!AJ886="","n/a",IF('Shuttle Bids'!AJ834="","n/a",'Shuttle Bids'!AJ886-'Shuttle Bids'!AJ834))</f>
        <v>n/a</v>
      </c>
      <c r="AJ17" s="117" t="str">
        <f>IF('Shuttle Bids'!AK886="","n/a",IF('Shuttle Bids'!AK834="","n/a",'Shuttle Bids'!AK886-'Shuttle Bids'!AK834))</f>
        <v>n/a</v>
      </c>
      <c r="AK17" s="117">
        <f>IF('Shuttle Bids'!AL886="","n/a",IF('Shuttle Bids'!AL834="","n/a",'Shuttle Bids'!AL886-'Shuttle Bids'!AL834))</f>
        <v>1300</v>
      </c>
      <c r="AL17" s="84"/>
      <c r="AM17" s="117" t="str">
        <f>IF('Shuttle Bids'!AN881="","n/a",IF('Shuttle Bids'!AN829="","n/a",'Shuttle Bids'!AN881-'Shuttle Bids'!AN829))</f>
        <v>n/a</v>
      </c>
      <c r="AN17" s="117" t="str">
        <f>IF('Shuttle Bids'!AO881="","n/a",IF('Shuttle Bids'!AO829="","n/a",'Shuttle Bids'!AO881-'Shuttle Bids'!AO829))</f>
        <v>n/a</v>
      </c>
      <c r="AO17" s="117" t="str">
        <f>IF('Shuttle Bids'!AP881="","n/a",IF('Shuttle Bids'!AP829="","n/a",'Shuttle Bids'!AP881-'Shuttle Bids'!AP829))</f>
        <v>n/a</v>
      </c>
      <c r="AP17" s="84"/>
      <c r="AQ17" s="117" t="str">
        <f>IF('Shuttle Bids'!AR876="","n/a",IF('Shuttle Bids'!AR824="","n/a",'Shuttle Bids'!AR876-'Shuttle Bids'!AR824))</f>
        <v>n/a</v>
      </c>
      <c r="AR17" s="117" t="str">
        <f>IF('Shuttle Bids'!AS876="","n/a",IF('Shuttle Bids'!AS824="","n/a",'Shuttle Bids'!AS876-'Shuttle Bids'!AS824))</f>
        <v>n/a</v>
      </c>
      <c r="AS17" s="117" t="str">
        <f>IF('Shuttle Bids'!AT876="","n/a",IF('Shuttle Bids'!AT824="","n/a",'Shuttle Bids'!AT876-'Shuttle Bids'!AT824))</f>
        <v>n/a</v>
      </c>
      <c r="AT17" s="84"/>
      <c r="AU17" s="117" t="str">
        <f>IF('Shuttle Bids'!AV876="","n/a",IF('Shuttle Bids'!AV824="","n/a",'Shuttle Bids'!AV876-'Shuttle Bids'!AV824))</f>
        <v>n/a</v>
      </c>
      <c r="AV17" s="117" t="str">
        <f>IF('Shuttle Bids'!AW876="","n/a",IF('Shuttle Bids'!AW824="","n/a",'Shuttle Bids'!AW876-'Shuttle Bids'!AW824))</f>
        <v>n/a</v>
      </c>
      <c r="AW17" s="117" t="str">
        <f>IF('Shuttle Bids'!AX876="","n/a",IF('Shuttle Bids'!AX824="","n/a",'Shuttle Bids'!AX876-'Shuttle Bids'!AX824))</f>
        <v>n/a</v>
      </c>
    </row>
    <row r="18" spans="1:49" ht="15" x14ac:dyDescent="0.25">
      <c r="A18" s="12" t="s">
        <v>144</v>
      </c>
      <c r="B18" s="14"/>
      <c r="C18" s="148">
        <f>IF('Shuttle Bids'!F879="","n/a",'Shuttle Bids'!F879)</f>
        <v>2000</v>
      </c>
      <c r="D18" s="148"/>
      <c r="E18" s="119"/>
      <c r="F18" s="12"/>
      <c r="G18" s="148">
        <f>IF('Shuttle Bids'!J884="","n/a",'Shuttle Bids'!J884)</f>
        <v>1550</v>
      </c>
      <c r="H18" s="148"/>
      <c r="I18" s="119"/>
      <c r="J18" s="12"/>
      <c r="K18" s="148">
        <f>IF('Shuttle Bids'!N886="","n/a",'Shuttle Bids'!N886)</f>
        <v>1733.5</v>
      </c>
      <c r="L18" s="148"/>
      <c r="M18" s="119"/>
      <c r="N18" s="120"/>
      <c r="O18" s="148">
        <f>IF('Shuttle Bids'!R886="","n/a",'Shuttle Bids'!R886)</f>
        <v>350</v>
      </c>
      <c r="P18" s="148"/>
      <c r="Q18" s="119"/>
      <c r="R18" s="120"/>
      <c r="S18" s="148" t="str">
        <f>IF('Shuttle Bids'!V886="","n/a",'Shuttle Bids'!V886)</f>
        <v>n/a</v>
      </c>
      <c r="T18" s="148"/>
      <c r="U18" s="119"/>
      <c r="V18" s="120"/>
      <c r="W18" s="148" t="str">
        <f>IF('Shuttle Bids'!Z886="","n/a",'Shuttle Bids'!Z886)</f>
        <v>n/a</v>
      </c>
      <c r="X18" s="148"/>
      <c r="Y18" s="119"/>
      <c r="Z18" s="120"/>
      <c r="AA18" s="148" t="str">
        <f>IF('Shuttle Bids'!AD886="","n/a",'Shuttle Bids'!AD886)</f>
        <v>n/a</v>
      </c>
      <c r="AB18" s="148"/>
      <c r="AC18" s="119"/>
      <c r="AD18" s="120"/>
      <c r="AE18" s="148" t="str">
        <f>IF('Shuttle Bids'!AH886="","n/a",'Shuttle Bids'!AH886)</f>
        <v>n/a</v>
      </c>
      <c r="AF18" s="148"/>
      <c r="AG18" s="119"/>
      <c r="AH18" s="120"/>
      <c r="AI18" s="148">
        <f>IF('Shuttle Bids'!AL886="","n/a",'Shuttle Bids'!AL886)</f>
        <v>1200</v>
      </c>
      <c r="AJ18" s="148"/>
      <c r="AK18" s="119"/>
      <c r="AL18" s="121"/>
      <c r="AM18" s="148" t="str">
        <f>IF('Shuttle Bids'!AP881="","n/a",'Shuttle Bids'!AP881)</f>
        <v>n/a</v>
      </c>
      <c r="AN18" s="148"/>
      <c r="AO18" s="119"/>
      <c r="AP18" s="121"/>
      <c r="AQ18" s="148" t="str">
        <f>IF('Shuttle Bids'!AT876="","n/a",'Shuttle Bids'!AT876)</f>
        <v>n/a</v>
      </c>
      <c r="AR18" s="148"/>
      <c r="AS18" s="119"/>
      <c r="AT18" s="121"/>
      <c r="AU18" s="148" t="str">
        <f>IF('Shuttle Bids'!AX876="","n/a",'Shuttle Bids'!AX876)</f>
        <v>n/a</v>
      </c>
      <c r="AV18" s="148"/>
      <c r="AW18" s="119"/>
    </row>
    <row r="19" spans="1:49" ht="15" x14ac:dyDescent="0.25">
      <c r="A19" s="115" t="s">
        <v>145</v>
      </c>
      <c r="B19" s="14"/>
      <c r="C19" s="149">
        <f>IF('Shuttle Bids'!F879="","n/a",IF('Shuttle Bids'!F878="","n/a",'Shuttle Bids'!F879-'Shuttle Bids'!F878))</f>
        <v>321</v>
      </c>
      <c r="D19" s="149"/>
      <c r="E19" s="122"/>
      <c r="F19" s="12"/>
      <c r="G19" s="149">
        <f>IF('Shuttle Bids'!J884="","n/a",IF('Shuttle Bids'!J883="","n/a",'Shuttle Bids'!J884-'Shuttle Bids'!J883))</f>
        <v>-300</v>
      </c>
      <c r="H19" s="149"/>
      <c r="I19" s="122"/>
      <c r="J19" s="12"/>
      <c r="K19" s="149">
        <f>IF('Shuttle Bids'!N886="","n/a",IF('Shuttle Bids'!N885="","n/a",'Shuttle Bids'!N886-'Shuttle Bids'!N885))</f>
        <v>21</v>
      </c>
      <c r="L19" s="149"/>
      <c r="M19" s="122"/>
      <c r="N19" s="123"/>
      <c r="O19" s="149">
        <f>IF('Shuttle Bids'!R886="","n/a",IF('Shuttle Bids'!R885="","n/a",'Shuttle Bids'!R886-'Shuttle Bids'!R885))</f>
        <v>25</v>
      </c>
      <c r="P19" s="149"/>
      <c r="Q19" s="122"/>
      <c r="R19" s="123"/>
      <c r="S19" s="149" t="str">
        <f>IF('Shuttle Bids'!V886="","n/a",IF('Shuttle Bids'!V885="","n/a",'Shuttle Bids'!V886-'Shuttle Bids'!V885))</f>
        <v>n/a</v>
      </c>
      <c r="T19" s="149"/>
      <c r="U19" s="122"/>
      <c r="V19" s="123"/>
      <c r="W19" s="149" t="str">
        <f>IF('Shuttle Bids'!Z886="","n/a",IF('Shuttle Bids'!Z885="","n/a",'Shuttle Bids'!Z886-'Shuttle Bids'!Z885))</f>
        <v>n/a</v>
      </c>
      <c r="X19" s="149"/>
      <c r="Y19" s="122"/>
      <c r="Z19" s="123"/>
      <c r="AA19" s="149" t="str">
        <f>IF('Shuttle Bids'!AD886="","n/a",IF('Shuttle Bids'!AD885="","n/a",'Shuttle Bids'!AD886-'Shuttle Bids'!AD885))</f>
        <v>n/a</v>
      </c>
      <c r="AB19" s="149"/>
      <c r="AC19" s="122"/>
      <c r="AD19" s="124"/>
      <c r="AE19" s="149" t="str">
        <f>IF('Shuttle Bids'!AH886="","n/a",IF('Shuttle Bids'!AH885="","n/a",'Shuttle Bids'!AH886-'Shuttle Bids'!AH885))</f>
        <v>n/a</v>
      </c>
      <c r="AF19" s="149"/>
      <c r="AG19" s="122"/>
      <c r="AH19" s="124"/>
      <c r="AI19" s="149">
        <f>IF('Shuttle Bids'!AL886="","n/a",IF('Shuttle Bids'!AL885="","n/a",'Shuttle Bids'!AL886-'Shuttle Bids'!AL885))</f>
        <v>0</v>
      </c>
      <c r="AJ19" s="149"/>
      <c r="AK19" s="122"/>
      <c r="AL19" s="125"/>
      <c r="AM19" s="149" t="str">
        <f>IF('Shuttle Bids'!AP881="","n/a",IF('Shuttle Bids'!AP880="","n/a",'Shuttle Bids'!AP881-'Shuttle Bids'!AP880))</f>
        <v>n/a</v>
      </c>
      <c r="AN19" s="149"/>
      <c r="AO19" s="122"/>
      <c r="AP19" s="125"/>
      <c r="AQ19" s="149" t="str">
        <f>IF('Shuttle Bids'!AT876="","n/a",IF('Shuttle Bids'!AT875="","n/a",'Shuttle Bids'!AT876-'Shuttle Bids'!AT875))</f>
        <v>n/a</v>
      </c>
      <c r="AR19" s="149"/>
      <c r="AS19" s="122"/>
      <c r="AT19" s="125"/>
      <c r="AU19" s="149" t="str">
        <f>IF('Shuttle Bids'!AX876="","n/a",IF('Shuttle Bids'!AX875="","n/a",'Shuttle Bids'!AX876-'Shuttle Bids'!AX875))</f>
        <v>n/a</v>
      </c>
      <c r="AV19" s="149"/>
      <c r="AW19" s="122"/>
    </row>
    <row r="20" spans="1:49" ht="15" x14ac:dyDescent="0.25">
      <c r="A20" s="12" t="s">
        <v>146</v>
      </c>
      <c r="B20" s="14"/>
      <c r="C20" s="148">
        <f>IF('Shuttle Bids'!F879="","n/a",IF('Shuttle Bids'!F875="","n/a",'Shuttle Bids'!F879-'Shuttle Bids'!F875))</f>
        <v>1225</v>
      </c>
      <c r="D20" s="148"/>
      <c r="E20" s="126"/>
      <c r="F20" s="12"/>
      <c r="G20" s="148">
        <f>IF('Shuttle Bids'!J884="","n/a",IF('Shuttle Bids'!J880="","n/a",'Shuttle Bids'!J884-'Shuttle Bids'!J880))</f>
        <v>-187.5</v>
      </c>
      <c r="H20" s="148"/>
      <c r="I20" s="126"/>
      <c r="J20" s="12"/>
      <c r="K20" s="148">
        <f>IF('Shuttle Bids'!N886="","n/a",IF('Shuttle Bids'!N882="","n/a",'Shuttle Bids'!N886-'Shuttle Bids'!N882))</f>
        <v>1071</v>
      </c>
      <c r="L20" s="148"/>
      <c r="M20" s="126"/>
      <c r="N20" s="127"/>
      <c r="O20" s="148" t="str">
        <f>IF('Shuttle Bids'!R886="","n/a",IF('Shuttle Bids'!R882="","n/a",'Shuttle Bids'!R886-'Shuttle Bids'!R882))</f>
        <v>n/a</v>
      </c>
      <c r="P20" s="148"/>
      <c r="Q20" s="126"/>
      <c r="R20" s="127"/>
      <c r="S20" s="148" t="str">
        <f>IF('Shuttle Bids'!V886="","n/a",IF('Shuttle Bids'!V882="","n/a",'Shuttle Bids'!V886-'Shuttle Bids'!V882))</f>
        <v>n/a</v>
      </c>
      <c r="T20" s="148"/>
      <c r="U20" s="126"/>
      <c r="V20" s="127"/>
      <c r="W20" s="148" t="str">
        <f>IF('Shuttle Bids'!Z886="","n/a",IF('Shuttle Bids'!Z882="","n/a",'Shuttle Bids'!Z886-'Shuttle Bids'!Z882))</f>
        <v>n/a</v>
      </c>
      <c r="X20" s="148"/>
      <c r="Y20" s="126"/>
      <c r="Z20" s="127"/>
      <c r="AA20" s="148" t="str">
        <f>IF('Shuttle Bids'!AD886="","n/a",IF('Shuttle Bids'!AD882="","n/a",'Shuttle Bids'!AD886-'Shuttle Bids'!AD882))</f>
        <v>n/a</v>
      </c>
      <c r="AB20" s="148"/>
      <c r="AC20" s="126"/>
      <c r="AD20" s="127"/>
      <c r="AE20" s="148" t="str">
        <f>IF('Shuttle Bids'!AH886="","n/a",IF('Shuttle Bids'!AH882="","n/a",'Shuttle Bids'!AH886-'Shuttle Bids'!AH882))</f>
        <v>n/a</v>
      </c>
      <c r="AF20" s="148"/>
      <c r="AG20" s="126"/>
      <c r="AH20" s="127"/>
      <c r="AI20" s="148" t="str">
        <f>IF('Shuttle Bids'!AL886="","n/a",IF('Shuttle Bids'!AL882="","n/a",'Shuttle Bids'!AL886-'Shuttle Bids'!AL882))</f>
        <v>n/a</v>
      </c>
      <c r="AJ20" s="148"/>
      <c r="AK20" s="126"/>
      <c r="AL20" s="128"/>
      <c r="AM20" s="148" t="str">
        <f>IF('Shuttle Bids'!AP881="","n/a",IF('Shuttle Bids'!AP877="","n/a",'Shuttle Bids'!AP881-'Shuttle Bids'!AP877))</f>
        <v>n/a</v>
      </c>
      <c r="AN20" s="148"/>
      <c r="AO20" s="126"/>
      <c r="AP20" s="128"/>
      <c r="AQ20" s="148" t="str">
        <f>IF('Shuttle Bids'!AT876="","n/a",IF('Shuttle Bids'!AT872="","n/a",'Shuttle Bids'!AT876-'Shuttle Bids'!AT872))</f>
        <v>n/a</v>
      </c>
      <c r="AR20" s="148"/>
      <c r="AS20" s="126"/>
      <c r="AT20" s="128"/>
      <c r="AU20" s="148" t="str">
        <f>IF('Shuttle Bids'!AX876="","n/a",IF('Shuttle Bids'!AX872="","n/a",'Shuttle Bids'!AX876-'Shuttle Bids'!AX872))</f>
        <v>n/a</v>
      </c>
      <c r="AV20" s="148"/>
      <c r="AW20" s="126"/>
    </row>
    <row r="21" spans="1:49" ht="15" x14ac:dyDescent="0.25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5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5">
      <c r="A23" s="116" t="s">
        <v>140</v>
      </c>
      <c r="B23" s="14"/>
      <c r="C23" s="147">
        <f>MAX('Shuttle Bids'!F850:F880)</f>
        <v>2000</v>
      </c>
      <c r="D23" s="147"/>
      <c r="E23" s="141" t="s">
        <v>254</v>
      </c>
      <c r="F23" s="12"/>
      <c r="G23" s="147">
        <f>MAX('Shuttle Bids'!J854:J884)</f>
        <v>1850</v>
      </c>
      <c r="H23" s="147"/>
      <c r="I23" s="141" t="s">
        <v>255</v>
      </c>
      <c r="J23" s="12"/>
      <c r="K23" s="147">
        <f>MAX('Shuttle Bids'!N858:N888)</f>
        <v>1733.5</v>
      </c>
      <c r="L23" s="147"/>
      <c r="M23" s="141" t="s">
        <v>256</v>
      </c>
      <c r="N23" s="123"/>
      <c r="O23" s="147">
        <f>MAX('Shuttle Bids'!R863:R893)</f>
        <v>350</v>
      </c>
      <c r="P23" s="147"/>
      <c r="Q23" s="141" t="s">
        <v>257</v>
      </c>
      <c r="R23" s="123"/>
      <c r="S23" s="147">
        <f>MAX('Shuttle Bids'!V867:V897)</f>
        <v>100</v>
      </c>
      <c r="T23" s="147"/>
      <c r="U23" s="141" t="s">
        <v>258</v>
      </c>
      <c r="V23" s="123"/>
      <c r="W23" s="147">
        <f>MAX('Shuttle Bids'!Z871:Z901)</f>
        <v>0</v>
      </c>
      <c r="X23" s="147"/>
      <c r="Y23" s="141" t="s">
        <v>259</v>
      </c>
      <c r="Z23" s="123"/>
      <c r="AA23" s="147">
        <f>MAX('Shuttle Bids'!AD876:AD906)</f>
        <v>0</v>
      </c>
      <c r="AB23" s="147"/>
      <c r="AC23" s="141" t="s">
        <v>260</v>
      </c>
      <c r="AD23" s="123"/>
      <c r="AE23" s="147">
        <f>MAX('Shuttle Bids'!AH880:AH910)</f>
        <v>100</v>
      </c>
      <c r="AF23" s="147"/>
      <c r="AG23" s="141" t="s">
        <v>261</v>
      </c>
      <c r="AH23" s="123"/>
      <c r="AI23" s="147">
        <f>MAX('Shuttle Bids'!AL884:AL914)</f>
        <v>1200</v>
      </c>
      <c r="AJ23" s="147"/>
      <c r="AK23" s="141" t="s">
        <v>287</v>
      </c>
      <c r="AL23" s="129"/>
      <c r="AM23" s="147">
        <f>MAX('Shuttle Bids'!AP889:AP919)</f>
        <v>0</v>
      </c>
      <c r="AN23" s="147"/>
      <c r="AO23" s="141" t="s">
        <v>288</v>
      </c>
      <c r="AP23" s="129"/>
      <c r="AQ23" s="147">
        <f>MAX('Shuttle Bids'!AT893:AT923)</f>
        <v>0</v>
      </c>
      <c r="AR23" s="147"/>
      <c r="AS23" s="141" t="s">
        <v>289</v>
      </c>
      <c r="AT23" s="129"/>
      <c r="AU23" s="147">
        <f>MAX('Shuttle Bids'!AX897:AX927)</f>
        <v>0</v>
      </c>
      <c r="AV23" s="147"/>
      <c r="AW23" s="140" t="s">
        <v>292</v>
      </c>
    </row>
    <row r="24" spans="1:49" ht="15" x14ac:dyDescent="0.25">
      <c r="A24" s="115" t="s">
        <v>141</v>
      </c>
      <c r="B24" s="14"/>
      <c r="C24" s="147">
        <f>C18-C23</f>
        <v>0</v>
      </c>
      <c r="D24" s="147"/>
      <c r="E24" s="140"/>
      <c r="F24" s="12"/>
      <c r="G24" s="147">
        <f>G18-G23</f>
        <v>-300</v>
      </c>
      <c r="H24" s="147"/>
      <c r="I24" s="140"/>
      <c r="J24" s="12"/>
      <c r="K24" s="147">
        <f>K18-K23</f>
        <v>0</v>
      </c>
      <c r="L24" s="147"/>
      <c r="M24" s="140"/>
      <c r="N24" s="123"/>
      <c r="O24" s="147">
        <f>O18-O23</f>
        <v>0</v>
      </c>
      <c r="P24" s="147"/>
      <c r="Q24" s="140"/>
      <c r="R24" s="123"/>
      <c r="S24" s="147" t="e">
        <f>S18-S23</f>
        <v>#VALUE!</v>
      </c>
      <c r="T24" s="147"/>
      <c r="U24" s="140"/>
      <c r="V24" s="123"/>
      <c r="W24" s="147" t="e">
        <f>W18-W23</f>
        <v>#VALUE!</v>
      </c>
      <c r="X24" s="147"/>
      <c r="Y24" s="140"/>
      <c r="Z24" s="123"/>
      <c r="AA24" s="147" t="e">
        <f>AA18-AA23</f>
        <v>#VALUE!</v>
      </c>
      <c r="AB24" s="147"/>
      <c r="AC24" s="140"/>
      <c r="AD24" s="123"/>
      <c r="AE24" s="147" t="e">
        <f>AE18-AE23</f>
        <v>#VALUE!</v>
      </c>
      <c r="AF24" s="147"/>
      <c r="AG24" s="140"/>
      <c r="AH24" s="123"/>
      <c r="AI24" s="147">
        <f>AI18-AI23</f>
        <v>0</v>
      </c>
      <c r="AJ24" s="147"/>
      <c r="AK24" s="140"/>
      <c r="AL24" s="129"/>
      <c r="AM24" s="147" t="e">
        <f>AM18-AM23</f>
        <v>#VALUE!</v>
      </c>
      <c r="AN24" s="147"/>
      <c r="AO24" s="140"/>
      <c r="AP24" s="129"/>
      <c r="AQ24" s="147" t="e">
        <f>AQ18-AQ23</f>
        <v>#VALUE!</v>
      </c>
      <c r="AR24" s="147"/>
      <c r="AS24" s="140"/>
      <c r="AT24" s="129"/>
      <c r="AU24" s="147" t="e">
        <f>AU18-AU23</f>
        <v>#VALUE!</v>
      </c>
      <c r="AV24" s="147"/>
      <c r="AW24" s="140"/>
    </row>
  </sheetData>
  <mergeCells count="120"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</mergeCells>
  <phoneticPr fontId="16" type="noConversion"/>
  <pageMargins left="0.7" right="0.7" top="0.75" bottom="0.75" header="0.3" footer="0.3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D31" workbookViewId="0">
      <selection activeCell="G45" sqref="G45"/>
    </sheetView>
  </sheetViews>
  <sheetFormatPr defaultRowHeight="15" x14ac:dyDescent="0.25"/>
  <sheetData>
    <row r="1" spans="1:17" ht="15.6" x14ac:dyDescent="0.3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6" x14ac:dyDescent="0.3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6" x14ac:dyDescent="0.3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6" x14ac:dyDescent="0.3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6" x14ac:dyDescent="0.3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6" x14ac:dyDescent="0.3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6" x14ac:dyDescent="0.3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6" x14ac:dyDescent="0.3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6" x14ac:dyDescent="0.3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6" x14ac:dyDescent="0.3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6" x14ac:dyDescent="0.3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6" x14ac:dyDescent="0.3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6" x14ac:dyDescent="0.3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6" x14ac:dyDescent="0.3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6" x14ac:dyDescent="0.3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6" x14ac:dyDescent="0.3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6" x14ac:dyDescent="0.3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6" x14ac:dyDescent="0.3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6" x14ac:dyDescent="0.3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6" x14ac:dyDescent="0.3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6" x14ac:dyDescent="0.3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6" x14ac:dyDescent="0.3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6" x14ac:dyDescent="0.3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6" x14ac:dyDescent="0.3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6" x14ac:dyDescent="0.3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6" x14ac:dyDescent="0.3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6" x14ac:dyDescent="0.3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6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6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6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6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6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6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6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6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6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6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6" x14ac:dyDescent="0.3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6" x14ac:dyDescent="0.3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6" x14ac:dyDescent="0.3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6" x14ac:dyDescent="0.3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6" x14ac:dyDescent="0.3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6" x14ac:dyDescent="0.3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5">
      <c r="J44" s="112"/>
      <c r="K44" s="112"/>
      <c r="L44" s="112"/>
      <c r="M44" s="112"/>
      <c r="N44" s="112"/>
      <c r="O44" s="112"/>
      <c r="P44" s="112"/>
    </row>
    <row r="45" spans="1:16" x14ac:dyDescent="0.25">
      <c r="J45" s="112"/>
      <c r="K45" s="112"/>
      <c r="L45" s="112"/>
      <c r="M45" s="112"/>
      <c r="N45" s="112"/>
      <c r="O45" s="112"/>
      <c r="P45" s="112"/>
    </row>
    <row r="46" spans="1:16" x14ac:dyDescent="0.25">
      <c r="J46" s="112"/>
      <c r="K46" s="112"/>
      <c r="L46" s="112"/>
      <c r="M46" s="112"/>
      <c r="N46" s="112"/>
      <c r="O46" s="112"/>
      <c r="P46" s="112"/>
    </row>
    <row r="47" spans="1:16" x14ac:dyDescent="0.25">
      <c r="J47" s="112"/>
      <c r="K47" s="112"/>
      <c r="L47" s="112"/>
      <c r="M47" s="112"/>
      <c r="N47" s="112"/>
      <c r="O47" s="112"/>
      <c r="P47" s="112"/>
    </row>
    <row r="48" spans="1:16" x14ac:dyDescent="0.25">
      <c r="J48" s="112"/>
      <c r="K48" s="112"/>
      <c r="L48" s="112"/>
      <c r="M48" s="112"/>
      <c r="N48" s="112"/>
      <c r="O48" s="112"/>
      <c r="P48" s="112"/>
    </row>
    <row r="49" spans="10:16" x14ac:dyDescent="0.25">
      <c r="J49" s="112"/>
      <c r="K49" s="112"/>
      <c r="L49" s="112"/>
      <c r="M49" s="112"/>
      <c r="N49" s="112"/>
      <c r="O49" s="112"/>
      <c r="P49" s="112"/>
    </row>
    <row r="50" spans="10:16" x14ac:dyDescent="0.25">
      <c r="J50" s="112"/>
      <c r="K50" s="112"/>
      <c r="L50" s="112"/>
      <c r="M50" s="112"/>
      <c r="N50" s="112"/>
      <c r="O50" s="112"/>
      <c r="P50" s="112"/>
    </row>
    <row r="51" spans="10:16" x14ac:dyDescent="0.25">
      <c r="J51" s="112"/>
      <c r="K51" s="112"/>
      <c r="L51" s="112"/>
      <c r="M51" s="112"/>
      <c r="N51" s="112"/>
      <c r="O51" s="112"/>
      <c r="P51" s="112"/>
    </row>
    <row r="52" spans="10:16" x14ac:dyDescent="0.25">
      <c r="J52" s="112"/>
      <c r="K52" s="112"/>
      <c r="L52" s="112"/>
      <c r="M52" s="112"/>
      <c r="N52" s="112"/>
      <c r="O52" s="112"/>
      <c r="P52" s="112"/>
    </row>
    <row r="53" spans="10:16" x14ac:dyDescent="0.25">
      <c r="J53" s="112"/>
      <c r="K53" s="112"/>
      <c r="L53" s="112"/>
      <c r="M53" s="112"/>
      <c r="N53" s="112"/>
      <c r="O53" s="112"/>
      <c r="P53" s="112"/>
    </row>
    <row r="54" spans="10:16" x14ac:dyDescent="0.25">
      <c r="J54" s="112"/>
      <c r="K54" s="112"/>
      <c r="L54" s="112"/>
      <c r="M54" s="112"/>
      <c r="N54" s="112"/>
      <c r="O54" s="112"/>
      <c r="P54" s="112"/>
    </row>
    <row r="55" spans="10:16" x14ac:dyDescent="0.25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2013-11-18T16:40:18Z</cp:lastPrinted>
  <dcterms:created xsi:type="dcterms:W3CDTF">2004-01-15T18:17:56Z</dcterms:created>
  <dcterms:modified xsi:type="dcterms:W3CDTF">2014-03-03T21:26:14Z</dcterms:modified>
</cp:coreProperties>
</file>