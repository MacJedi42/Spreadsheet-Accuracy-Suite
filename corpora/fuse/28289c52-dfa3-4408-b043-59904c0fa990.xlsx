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O23" i="1" l="1"/>
  <c r="P23" i="1"/>
  <c r="O24" i="1"/>
  <c r="P24" i="1"/>
  <c r="O25" i="1"/>
  <c r="P25" i="1"/>
  <c r="O26" i="1"/>
  <c r="P26" i="1"/>
  <c r="K9" i="1"/>
  <c r="N9" i="1"/>
  <c r="O5" i="1"/>
  <c r="O15" i="1" s="1"/>
  <c r="P5" i="1"/>
  <c r="P15" i="1" s="1"/>
  <c r="O6" i="1"/>
  <c r="O16" i="1" s="1"/>
  <c r="P6" i="1"/>
  <c r="P16" i="1" s="1"/>
  <c r="O7" i="1"/>
  <c r="O17" i="1" s="1"/>
  <c r="P7" i="1"/>
  <c r="P17" i="1" s="1"/>
  <c r="O8" i="1"/>
  <c r="P8" i="1"/>
  <c r="N5" i="1"/>
  <c r="N6" i="1"/>
  <c r="N7" i="1"/>
  <c r="N8" i="1"/>
  <c r="B20" i="1" l="1"/>
  <c r="B12" i="1"/>
  <c r="H9" i="1" l="1"/>
  <c r="E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D15" i="1" l="1"/>
  <c r="F15" i="1"/>
  <c r="H15" i="1"/>
  <c r="J15" i="1"/>
  <c r="L15" i="1"/>
  <c r="N15" i="1"/>
  <c r="B15" i="1"/>
  <c r="M17" i="1" l="1"/>
  <c r="K17" i="1"/>
  <c r="I17" i="1"/>
  <c r="G17" i="1"/>
  <c r="E17" i="1"/>
  <c r="C17" i="1"/>
  <c r="M16" i="1"/>
  <c r="K16" i="1"/>
  <c r="I16" i="1"/>
  <c r="G16" i="1"/>
  <c r="E16" i="1"/>
  <c r="C16" i="1"/>
  <c r="M15" i="1"/>
  <c r="K15" i="1"/>
  <c r="I15" i="1"/>
  <c r="G15" i="1"/>
  <c r="E15" i="1"/>
  <c r="C15" i="1"/>
  <c r="N17" i="1"/>
  <c r="L17" i="1"/>
  <c r="J17" i="1"/>
  <c r="H17" i="1"/>
  <c r="F17" i="1"/>
  <c r="D17" i="1"/>
  <c r="B17" i="1"/>
  <c r="N16" i="1"/>
  <c r="L16" i="1"/>
  <c r="J16" i="1"/>
  <c r="H16" i="1"/>
  <c r="F16" i="1"/>
  <c r="D16" i="1"/>
  <c r="B16" i="1"/>
  <c r="E23" i="1"/>
  <c r="F23" i="1"/>
  <c r="G23" i="1"/>
  <c r="H23" i="1"/>
  <c r="I23" i="1"/>
  <c r="J23" i="1"/>
  <c r="K23" i="1"/>
  <c r="L23" i="1"/>
  <c r="M23" i="1"/>
  <c r="N23" i="1"/>
  <c r="E24" i="1"/>
  <c r="F24" i="1"/>
  <c r="G24" i="1"/>
  <c r="H24" i="1"/>
  <c r="I24" i="1"/>
  <c r="J24" i="1"/>
  <c r="K24" i="1"/>
  <c r="L24" i="1"/>
  <c r="M24" i="1"/>
  <c r="N24" i="1"/>
  <c r="E25" i="1"/>
  <c r="F25" i="1"/>
  <c r="G25" i="1"/>
  <c r="H25" i="1"/>
  <c r="I25" i="1"/>
  <c r="J25" i="1"/>
  <c r="K25" i="1"/>
  <c r="L25" i="1"/>
  <c r="M25" i="1"/>
  <c r="N25" i="1"/>
  <c r="E26" i="1"/>
  <c r="F26" i="1"/>
  <c r="G26" i="1"/>
  <c r="H26" i="1"/>
  <c r="I26" i="1"/>
  <c r="J26" i="1"/>
  <c r="K26" i="1"/>
  <c r="L26" i="1"/>
  <c r="M26" i="1"/>
  <c r="N26" i="1"/>
  <c r="C26" i="1"/>
  <c r="D26" i="1"/>
  <c r="B26" i="1"/>
  <c r="B24" i="1"/>
  <c r="C24" i="1"/>
  <c r="D24" i="1"/>
  <c r="B25" i="1"/>
  <c r="C25" i="1"/>
  <c r="D25" i="1"/>
  <c r="C23" i="1"/>
  <c r="D23" i="1"/>
  <c r="B23" i="1"/>
</calcChain>
</file>

<file path=xl/sharedStrings.xml><?xml version="1.0" encoding="utf-8"?>
<sst xmlns="http://schemas.openxmlformats.org/spreadsheetml/2006/main" count="83" uniqueCount="34">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</sst>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0" fillId="0" borderId="0" xfId="0"/>
    <xf numFmtId="0" fontId="16" fillId="0" borderId="26" xfId="45" applyFont="1" applyBorder="1" applyAlignment="1">
      <alignment horizontal="center" vertical="center"/>
    </xf>
    <xf numFmtId="9" fontId="24" fillId="0" borderId="22" xfId="2" applyFont="1" applyBorder="1" applyAlignment="1" applyProtection="1">
      <alignment horizontal="center" vertical="center"/>
    </xf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2" fillId="34" borderId="32" xfId="45" applyFont="1" applyFill="1" applyBorder="1" applyAlignment="1">
      <alignment horizontal="center" vertical="center"/>
    </xf>
    <xf numFmtId="0" fontId="22" fillId="34" borderId="33" xfId="45" applyFont="1" applyFill="1" applyBorder="1" applyAlignment="1">
      <alignment horizontal="center" vertical="center"/>
    </xf>
    <xf numFmtId="0" fontId="22" fillId="34" borderId="31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164" fontId="26" fillId="0" borderId="34" xfId="1" applyNumberFormat="1" applyFont="1" applyBorder="1" applyAlignment="1" applyProtection="1">
      <alignment horizontal="center" vertical="center"/>
    </xf>
    <xf numFmtId="9" fontId="24" fillId="0" borderId="10" xfId="2" applyFont="1" applyBorder="1" applyAlignment="1" applyProtection="1">
      <alignment horizontal="center" vertical="center"/>
    </xf>
    <xf numFmtId="9" fontId="24" fillId="0" borderId="23" xfId="2" applyFont="1" applyBorder="1" applyAlignment="1" applyProtection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9" fontId="24" fillId="0" borderId="20" xfId="2" applyFont="1" applyBorder="1" applyAlignment="1" applyProtection="1">
      <alignment horizontal="center" vertical="center"/>
    </xf>
    <xf numFmtId="9" fontId="24" fillId="0" borderId="21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9" fontId="24" fillId="0" borderId="17" xfId="2" applyFont="1" applyBorder="1" applyAlignment="1" applyProtection="1">
      <alignment horizontal="center" vertical="center"/>
    </xf>
    <xf numFmtId="0" fontId="26" fillId="0" borderId="36" xfId="47" applyFont="1" applyBorder="1" applyAlignment="1" applyProtection="1"/>
    <xf numFmtId="0" fontId="26" fillId="0" borderId="27" xfId="47" applyFont="1" applyBorder="1" applyAlignment="1" applyProtection="1"/>
    <xf numFmtId="0" fontId="26" fillId="0" borderId="35" xfId="47" applyFont="1" applyBorder="1" applyAlignment="1" applyProtection="1"/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6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4" fillId="0" borderId="46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9" fontId="24" fillId="0" borderId="16" xfId="2" applyFont="1" applyBorder="1" applyAlignment="1" applyProtection="1">
      <alignment horizontal="center" vertical="center"/>
    </xf>
    <xf numFmtId="9" fontId="24" fillId="0" borderId="46" xfId="2" applyFont="1" applyBorder="1" applyAlignment="1" applyProtection="1">
      <alignment horizontal="center" vertical="center"/>
    </xf>
    <xf numFmtId="9" fontId="24" fillId="0" borderId="41" xfId="2" applyFont="1" applyBorder="1" applyAlignment="1" applyProtection="1">
      <alignment horizontal="center" vertical="center"/>
    </xf>
    <xf numFmtId="9" fontId="24" fillId="0" borderId="48" xfId="2" applyFont="1" applyBorder="1" applyAlignment="1" applyProtection="1">
      <alignment horizontal="center" vertical="center"/>
    </xf>
    <xf numFmtId="9" fontId="24" fillId="0" borderId="45" xfId="2" applyFont="1" applyBorder="1" applyAlignment="1" applyProtection="1">
      <alignment horizontal="center" vertical="center"/>
    </xf>
    <xf numFmtId="9" fontId="24" fillId="0" borderId="40" xfId="2" applyFont="1" applyBorder="1" applyAlignment="1" applyProtection="1">
      <alignment horizontal="center" vertical="center"/>
    </xf>
    <xf numFmtId="9" fontId="24" fillId="0" borderId="47" xfId="2" applyFont="1" applyBorder="1" applyAlignment="1" applyProtection="1">
      <alignment horizontal="center" vertical="center"/>
    </xf>
    <xf numFmtId="9" fontId="24" fillId="0" borderId="31" xfId="2" applyFont="1" applyBorder="1" applyAlignment="1" applyProtection="1">
      <alignment horizontal="center" vertical="center"/>
    </xf>
    <xf numFmtId="9" fontId="24" fillId="0" borderId="32" xfId="2" applyFont="1" applyBorder="1" applyAlignment="1" applyProtection="1">
      <alignment horizontal="center" vertical="center"/>
    </xf>
    <xf numFmtId="9" fontId="24" fillId="0" borderId="33" xfId="2" applyFont="1" applyBorder="1" applyAlignment="1" applyProtection="1">
      <alignment horizontal="center" vertical="center"/>
    </xf>
    <xf numFmtId="9" fontId="26" fillId="0" borderId="51" xfId="2" applyFont="1" applyBorder="1" applyAlignment="1" applyProtection="1">
      <alignment horizontal="center" vertical="center"/>
    </xf>
    <xf numFmtId="9" fontId="26" fillId="0" borderId="52" xfId="2" applyFont="1" applyBorder="1" applyAlignment="1" applyProtection="1">
      <alignment horizontal="center" vertical="center"/>
    </xf>
    <xf numFmtId="9" fontId="26" fillId="0" borderId="34" xfId="2" applyFont="1" applyBorder="1" applyAlignment="1" applyProtection="1">
      <alignment horizontal="center" vertical="center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8" xfId="45" applyFont="1" applyFill="1" applyBorder="1" applyAlignment="1">
      <alignment horizontal="center"/>
    </xf>
    <xf numFmtId="0" fontId="19" fillId="35" borderId="29" xfId="45" applyFont="1" applyFill="1" applyBorder="1" applyAlignment="1">
      <alignment horizontal="center"/>
    </xf>
    <xf numFmtId="0" fontId="19" fillId="35" borderId="30" xfId="45" applyFont="1" applyFill="1" applyBorder="1" applyAlignment="1">
      <alignment horizontal="center"/>
    </xf>
    <xf numFmtId="0" fontId="25" fillId="35" borderId="25" xfId="45" applyFont="1" applyFill="1" applyBorder="1" applyAlignment="1">
      <alignment horizontal="center"/>
    </xf>
    <xf numFmtId="0" fontId="25" fillId="35" borderId="0" xfId="45" applyFont="1" applyFill="1" applyBorder="1" applyAlignment="1">
      <alignment horizontal="center"/>
    </xf>
    <xf numFmtId="0" fontId="25" fillId="35" borderId="24" xfId="45" applyFont="1" applyFill="1" applyBorder="1" applyAlignment="1">
      <alignment horizont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25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4" xfId="45" applyFont="1" applyFill="1" applyBorder="1" applyAlignment="1">
      <alignment horizontal="center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3" fontId="28" fillId="0" borderId="42" xfId="1" applyNumberFormat="1" applyFont="1" applyFill="1" applyBorder="1" applyAlignment="1" applyProtection="1">
      <alignment horizontal="center" vertical="center"/>
    </xf>
    <xf numFmtId="3" fontId="28" fillId="0" borderId="43" xfId="1" applyNumberFormat="1" applyFont="1" applyFill="1" applyBorder="1" applyAlignment="1" applyProtection="1">
      <alignment horizontal="center" vertical="center"/>
    </xf>
    <xf numFmtId="3" fontId="28" fillId="0" borderId="44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MVC%20Service%20Area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MVC%20Service%20Area/Demographics/All%20Students/Ethnicity/edit.mvc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  <sheetName val="sort.gender.headcount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955</v>
          </cell>
          <cell r="C4">
            <v>3392</v>
          </cell>
          <cell r="D4">
            <v>3390</v>
          </cell>
          <cell r="E4">
            <v>1083</v>
          </cell>
          <cell r="F4">
            <v>3817</v>
          </cell>
          <cell r="G4">
            <v>3916</v>
          </cell>
          <cell r="H4">
            <v>535</v>
          </cell>
          <cell r="I4">
            <v>4347</v>
          </cell>
          <cell r="J4">
            <v>4267</v>
          </cell>
          <cell r="K4">
            <v>295</v>
          </cell>
          <cell r="L4">
            <v>3865</v>
          </cell>
          <cell r="M4">
            <v>3981</v>
          </cell>
          <cell r="N4">
            <v>2</v>
          </cell>
          <cell r="O4">
            <v>3732</v>
          </cell>
          <cell r="P4">
            <v>3858</v>
          </cell>
        </row>
        <row r="5">
          <cell r="A5" t="str">
            <v>Female</v>
          </cell>
          <cell r="B5">
            <v>1546</v>
          </cell>
          <cell r="C5">
            <v>5216</v>
          </cell>
          <cell r="D5">
            <v>5030</v>
          </cell>
          <cell r="E5">
            <v>1709</v>
          </cell>
          <cell r="F5">
            <v>5546</v>
          </cell>
          <cell r="G5">
            <v>5605</v>
          </cell>
          <cell r="H5">
            <v>945</v>
          </cell>
          <cell r="I5">
            <v>5999</v>
          </cell>
          <cell r="J5">
            <v>5773</v>
          </cell>
          <cell r="K5">
            <v>455</v>
          </cell>
          <cell r="L5">
            <v>5176</v>
          </cell>
          <cell r="M5">
            <v>5095</v>
          </cell>
          <cell r="N5">
            <v>34</v>
          </cell>
          <cell r="O5">
            <v>4719</v>
          </cell>
          <cell r="P5">
            <v>4979</v>
          </cell>
        </row>
        <row r="6">
          <cell r="A6" t="str">
            <v>Undeclared</v>
          </cell>
          <cell r="B6">
            <v>10</v>
          </cell>
          <cell r="C6">
            <v>61</v>
          </cell>
          <cell r="D6">
            <v>57</v>
          </cell>
          <cell r="E6">
            <v>29</v>
          </cell>
          <cell r="F6">
            <v>127</v>
          </cell>
          <cell r="G6">
            <v>134</v>
          </cell>
          <cell r="H6">
            <v>23</v>
          </cell>
          <cell r="I6">
            <v>128</v>
          </cell>
          <cell r="J6">
            <v>113</v>
          </cell>
          <cell r="K6">
            <v>13</v>
          </cell>
          <cell r="L6">
            <v>92</v>
          </cell>
          <cell r="M6">
            <v>99</v>
          </cell>
          <cell r="N6">
            <v>1</v>
          </cell>
          <cell r="O6">
            <v>72</v>
          </cell>
          <cell r="P6">
            <v>86</v>
          </cell>
        </row>
        <row r="7">
          <cell r="A7" t="str">
            <v>Term Total</v>
          </cell>
          <cell r="B7">
            <v>2511</v>
          </cell>
          <cell r="C7">
            <v>8669</v>
          </cell>
          <cell r="D7">
            <v>8477</v>
          </cell>
          <cell r="E7">
            <v>2821</v>
          </cell>
          <cell r="F7">
            <v>9490</v>
          </cell>
          <cell r="G7">
            <v>9655</v>
          </cell>
          <cell r="H7">
            <v>1503</v>
          </cell>
          <cell r="I7">
            <v>10474</v>
          </cell>
          <cell r="J7">
            <v>10153</v>
          </cell>
          <cell r="K7">
            <v>763</v>
          </cell>
          <cell r="L7">
            <v>9133</v>
          </cell>
          <cell r="M7">
            <v>9175</v>
          </cell>
          <cell r="N7">
            <v>37</v>
          </cell>
          <cell r="O7">
            <v>8523</v>
          </cell>
          <cell r="P7">
            <v>8923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mvc.ethnicity"/>
    </sheetNames>
    <sheetDataSet>
      <sheetData sheetId="0">
        <row r="15">
          <cell r="B15">
            <v>13221</v>
          </cell>
          <cell r="E15">
            <v>14790</v>
          </cell>
          <cell r="H15">
            <v>14991</v>
          </cell>
          <cell r="K15">
            <v>12920</v>
          </cell>
          <cell r="N15"/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0.81678082191780821</v>
          </cell>
          <cell r="C4">
            <v>0.61822181959363276</v>
          </cell>
          <cell r="D4">
            <v>0.63995339202485757</v>
          </cell>
          <cell r="E4">
            <v>0.80723781388478577</v>
          </cell>
          <cell r="F4">
            <v>0.63936500632692972</v>
          </cell>
          <cell r="G4">
            <v>0.65192110363698552</v>
          </cell>
          <cell r="H4">
            <v>0.79771615008156604</v>
          </cell>
          <cell r="I4">
            <v>0.65966342636145081</v>
          </cell>
          <cell r="J4">
            <v>0.66724249622111853</v>
          </cell>
          <cell r="K4">
            <v>0.82108626198083068</v>
          </cell>
          <cell r="L4">
            <v>0.69191744494407936</v>
          </cell>
          <cell r="M4">
            <v>0.68604261965859648</v>
          </cell>
          <cell r="N4">
            <v>1</v>
          </cell>
          <cell r="O4">
            <v>0.7</v>
          </cell>
          <cell r="P4">
            <v>0.67653521452526888</v>
          </cell>
        </row>
        <row r="5">
          <cell r="A5" t="str">
            <v>Female</v>
          </cell>
          <cell r="B5">
            <v>0.83467525496511008</v>
          </cell>
          <cell r="C5">
            <v>0.675122893258427</v>
          </cell>
          <cell r="D5">
            <v>0.71160502823829475</v>
          </cell>
          <cell r="E5">
            <v>0.8392689784442362</v>
          </cell>
          <cell r="F5">
            <v>0.70394790394790396</v>
          </cell>
          <cell r="G5">
            <v>0.70345776985990771</v>
          </cell>
          <cell r="H5">
            <v>0.86172161172161177</v>
          </cell>
          <cell r="I5">
            <v>0.7334247828074989</v>
          </cell>
          <cell r="J5">
            <v>0.71450680133583122</v>
          </cell>
          <cell r="K5">
            <v>0.82886597938144335</v>
          </cell>
          <cell r="L5">
            <v>0.74579887970125369</v>
          </cell>
          <cell r="M5">
            <v>0.73886894075403953</v>
          </cell>
          <cell r="N5">
            <v>1</v>
          </cell>
          <cell r="O5">
            <v>0.75696178221624733</v>
          </cell>
          <cell r="P5">
            <v>0.72986516034985427</v>
          </cell>
        </row>
        <row r="6">
          <cell r="A6" t="str">
            <v>Undeclared</v>
          </cell>
          <cell r="B6">
            <v>0.75</v>
          </cell>
          <cell r="C6">
            <v>0.68382352941176472</v>
          </cell>
          <cell r="D6">
            <v>0.71052631578947367</v>
          </cell>
          <cell r="E6">
            <v>0.91891891891891897</v>
          </cell>
          <cell r="F6">
            <v>0.71217712177121772</v>
          </cell>
          <cell r="G6">
            <v>0.72535211267605637</v>
          </cell>
          <cell r="H6">
            <v>0.92</v>
          </cell>
          <cell r="I6">
            <v>0.74061433447098979</v>
          </cell>
          <cell r="J6">
            <v>0.73577235772357719</v>
          </cell>
          <cell r="K6">
            <v>1</v>
          </cell>
          <cell r="L6">
            <v>0.74178403755868549</v>
          </cell>
          <cell r="M6">
            <v>0.71489361702127663</v>
          </cell>
          <cell r="N6">
            <v>1</v>
          </cell>
          <cell r="O6">
            <v>0.7142857142857143</v>
          </cell>
          <cell r="P6">
            <v>0.74731182795698925</v>
          </cell>
        </row>
        <row r="7">
          <cell r="A7" t="str">
            <v>Term Total</v>
          </cell>
          <cell r="B7">
            <v>0.82747288859677948</v>
          </cell>
          <cell r="C7">
            <v>0.65235003895092181</v>
          </cell>
          <cell r="D7">
            <v>0.68218537414965985</v>
          </cell>
          <cell r="E7">
            <v>0.82780141843971633</v>
          </cell>
          <cell r="F7">
            <v>0.67763188855946166</v>
          </cell>
          <cell r="G7">
            <v>0.6826294150626051</v>
          </cell>
          <cell r="H7">
            <v>0.83988439306358387</v>
          </cell>
          <cell r="I7">
            <v>0.70281089548342179</v>
          </cell>
          <cell r="J7">
            <v>0.69465228368143217</v>
          </cell>
          <cell r="K7">
            <v>0.82902829028290281</v>
          </cell>
          <cell r="L7">
            <v>0.72254507524959022</v>
          </cell>
          <cell r="M7">
            <v>0.71531124004326874</v>
          </cell>
          <cell r="N7">
            <v>1</v>
          </cell>
          <cell r="O7">
            <v>0.73150989313300185</v>
          </cell>
          <cell r="P7">
            <v>0.70674945731738104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R24" sqref="R24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16" ht="15.75" x14ac:dyDescent="0.25">
      <c r="A1" s="77"/>
      <c r="B1" s="80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</row>
    <row r="2" spans="1:16" ht="16.5" thickBot="1" x14ac:dyDescent="0.3">
      <c r="A2" s="78"/>
      <c r="B2" s="83" t="s">
        <v>33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</row>
    <row r="3" spans="1:16" ht="15.75" thickBot="1" x14ac:dyDescent="0.3">
      <c r="A3" s="79"/>
      <c r="B3" s="71" t="s">
        <v>1</v>
      </c>
      <c r="C3" s="72"/>
      <c r="D3" s="73"/>
      <c r="E3" s="74" t="s">
        <v>2</v>
      </c>
      <c r="F3" s="75"/>
      <c r="G3" s="76"/>
      <c r="H3" s="71" t="s">
        <v>3</v>
      </c>
      <c r="I3" s="72"/>
      <c r="J3" s="73"/>
      <c r="K3" s="74" t="s">
        <v>4</v>
      </c>
      <c r="L3" s="75"/>
      <c r="M3" s="76"/>
      <c r="N3" s="71" t="s">
        <v>5</v>
      </c>
      <c r="O3" s="72"/>
      <c r="P3" s="73"/>
    </row>
    <row r="4" spans="1:16" ht="15.75" thickBot="1" x14ac:dyDescent="0.3">
      <c r="A4" s="2" t="s">
        <v>7</v>
      </c>
      <c r="B4" s="4" t="s">
        <v>8</v>
      </c>
      <c r="C4" s="5" t="s">
        <v>9</v>
      </c>
      <c r="D4" s="6" t="s">
        <v>10</v>
      </c>
      <c r="E4" s="9" t="s">
        <v>11</v>
      </c>
      <c r="F4" s="7" t="s">
        <v>12</v>
      </c>
      <c r="G4" s="8" t="s">
        <v>13</v>
      </c>
      <c r="H4" s="4" t="s">
        <v>14</v>
      </c>
      <c r="I4" s="5" t="s">
        <v>15</v>
      </c>
      <c r="J4" s="6" t="s">
        <v>16</v>
      </c>
      <c r="K4" s="9" t="s">
        <v>17</v>
      </c>
      <c r="L4" s="7" t="s">
        <v>18</v>
      </c>
      <c r="M4" s="8" t="s">
        <v>19</v>
      </c>
      <c r="N4" s="4" t="s">
        <v>20</v>
      </c>
      <c r="O4" s="5" t="s">
        <v>21</v>
      </c>
      <c r="P4" s="6" t="s">
        <v>22</v>
      </c>
    </row>
    <row r="5" spans="1:16" x14ac:dyDescent="0.25">
      <c r="A5" s="23" t="s">
        <v>23</v>
      </c>
      <c r="B5" s="34">
        <f>VLOOKUP($A5,'[1]credit ethnic graded seats'!$A:$P,HLOOKUP(B$4,'[1]credit ethnic graded seats'!$1:$2,2,FALSE),FALSE)</f>
        <v>955</v>
      </c>
      <c r="C5" s="34">
        <f>VLOOKUP($A5,'[1]credit ethnic graded seats'!$A:$P,HLOOKUP(C$4,'[1]credit ethnic graded seats'!$1:$2,2,FALSE),FALSE)</f>
        <v>3392</v>
      </c>
      <c r="D5" s="35">
        <f>VLOOKUP($A5,'[1]credit ethnic graded seats'!$A:$P,HLOOKUP(D$4,'[1]credit ethnic graded seats'!$1:$2,2,FALSE),FALSE)</f>
        <v>3390</v>
      </c>
      <c r="E5" s="38">
        <f>VLOOKUP($A5,'[1]credit ethnic graded seats'!$A:$P,HLOOKUP(E$4,'[1]credit ethnic graded seats'!$1:$2,2,FALSE),FALSE)</f>
        <v>1083</v>
      </c>
      <c r="F5" s="34">
        <f>VLOOKUP($A5,'[1]credit ethnic graded seats'!$A:$P,HLOOKUP(F$4,'[1]credit ethnic graded seats'!$1:$2,2,FALSE),FALSE)</f>
        <v>3817</v>
      </c>
      <c r="G5" s="39">
        <f>VLOOKUP($A5,'[1]credit ethnic graded seats'!$A:$P,HLOOKUP(G$4,'[1]credit ethnic graded seats'!$1:$2,2,FALSE),FALSE)</f>
        <v>3916</v>
      </c>
      <c r="H5" s="10">
        <f>VLOOKUP($A5,'[1]credit ethnic graded seats'!$A:$P,HLOOKUP(H$4,'[1]credit ethnic graded seats'!$1:$2,2,FALSE),FALSE)</f>
        <v>535</v>
      </c>
      <c r="I5" s="34">
        <f>VLOOKUP($A5,'[1]credit ethnic graded seats'!$A:$P,HLOOKUP(I$4,'[1]credit ethnic graded seats'!$1:$2,2,FALSE),FALSE)</f>
        <v>4347</v>
      </c>
      <c r="J5" s="35">
        <f>VLOOKUP($A5,'[1]credit ethnic graded seats'!$A:$P,HLOOKUP(J$4,'[1]credit ethnic graded seats'!$1:$2,2,FALSE),FALSE)</f>
        <v>4267</v>
      </c>
      <c r="K5" s="38">
        <f>VLOOKUP($A5,'[1]credit ethnic graded seats'!$A:$P,HLOOKUP(K$4,'[1]credit ethnic graded seats'!$1:$2,2,FALSE),FALSE)</f>
        <v>295</v>
      </c>
      <c r="L5" s="34">
        <f>VLOOKUP($A5,'[1]credit ethnic graded seats'!$A:$P,HLOOKUP(L$4,'[1]credit ethnic graded seats'!$1:$2,2,FALSE),FALSE)</f>
        <v>3865</v>
      </c>
      <c r="M5" s="39">
        <f>VLOOKUP($A5,'[1]credit ethnic graded seats'!$A:$P,HLOOKUP(M$4,'[1]credit ethnic graded seats'!$1:$2,2,FALSE),FALSE)</f>
        <v>3981</v>
      </c>
      <c r="N5" s="10">
        <f>VLOOKUP($A5,'[1]credit ethnic graded seats'!$A:$P,HLOOKUP(N$4,'[1]credit ethnic graded seats'!$1:$2,2,FALSE),FALSE)</f>
        <v>2</v>
      </c>
      <c r="O5" s="10">
        <f>VLOOKUP($A5,'[1]credit ethnic graded seats'!$A:$P,HLOOKUP(O$4,'[1]credit ethnic graded seats'!$1:$2,2,FALSE),FALSE)</f>
        <v>3732</v>
      </c>
      <c r="P5" s="10">
        <f>VLOOKUP($A5,'[1]credit ethnic graded seats'!$A:$P,HLOOKUP(P$4,'[1]credit ethnic graded seats'!$1:$2,2,FALSE),FALSE)</f>
        <v>3858</v>
      </c>
    </row>
    <row r="6" spans="1:16" x14ac:dyDescent="0.25">
      <c r="A6" s="24" t="s">
        <v>24</v>
      </c>
      <c r="B6" s="36">
        <f>VLOOKUP($A6,'[1]credit ethnic graded seats'!$A:$P,HLOOKUP(B$4,'[1]credit ethnic graded seats'!$1:$2,2,FALSE),FALSE)</f>
        <v>1546</v>
      </c>
      <c r="C6" s="32">
        <f>VLOOKUP($A6,'[1]credit ethnic graded seats'!$A:$P,HLOOKUP(C$4,'[1]credit ethnic graded seats'!$1:$2,2,FALSE),FALSE)</f>
        <v>5216</v>
      </c>
      <c r="D6" s="11">
        <f>VLOOKUP($A6,'[1]credit ethnic graded seats'!$A:$P,HLOOKUP(D$4,'[1]credit ethnic graded seats'!$1:$2,2,FALSE),FALSE)</f>
        <v>5030</v>
      </c>
      <c r="E6" s="33">
        <f>VLOOKUP($A6,'[1]credit ethnic graded seats'!$A:$P,HLOOKUP(E$4,'[1]credit ethnic graded seats'!$1:$2,2,FALSE),FALSE)</f>
        <v>1709</v>
      </c>
      <c r="F6" s="32">
        <f>VLOOKUP($A6,'[1]credit ethnic graded seats'!$A:$P,HLOOKUP(F$4,'[1]credit ethnic graded seats'!$1:$2,2,FALSE),FALSE)</f>
        <v>5546</v>
      </c>
      <c r="G6" s="37">
        <f>VLOOKUP($A6,'[1]credit ethnic graded seats'!$A:$P,HLOOKUP(G$4,'[1]credit ethnic graded seats'!$1:$2,2,FALSE),FALSE)</f>
        <v>5605</v>
      </c>
      <c r="H6" s="36">
        <f>VLOOKUP($A6,'[1]credit ethnic graded seats'!$A:$P,HLOOKUP(H$4,'[1]credit ethnic graded seats'!$1:$2,2,FALSE),FALSE)</f>
        <v>945</v>
      </c>
      <c r="I6" s="32">
        <f>VLOOKUP($A6,'[1]credit ethnic graded seats'!$A:$P,HLOOKUP(I$4,'[1]credit ethnic graded seats'!$1:$2,2,FALSE),FALSE)</f>
        <v>5999</v>
      </c>
      <c r="J6" s="11">
        <f>VLOOKUP($A6,'[1]credit ethnic graded seats'!$A:$P,HLOOKUP(J$4,'[1]credit ethnic graded seats'!$1:$2,2,FALSE),FALSE)</f>
        <v>5773</v>
      </c>
      <c r="K6" s="33">
        <f>VLOOKUP($A6,'[1]credit ethnic graded seats'!$A:$P,HLOOKUP(K$4,'[1]credit ethnic graded seats'!$1:$2,2,FALSE),FALSE)</f>
        <v>455</v>
      </c>
      <c r="L6" s="32">
        <f>VLOOKUP($A6,'[1]credit ethnic graded seats'!$A:$P,HLOOKUP(L$4,'[1]credit ethnic graded seats'!$1:$2,2,FALSE),FALSE)</f>
        <v>5176</v>
      </c>
      <c r="M6" s="37">
        <f>VLOOKUP($A6,'[1]credit ethnic graded seats'!$A:$P,HLOOKUP(M$4,'[1]credit ethnic graded seats'!$1:$2,2,FALSE),FALSE)</f>
        <v>5095</v>
      </c>
      <c r="N6" s="36">
        <f>VLOOKUP($A6,'[1]credit ethnic graded seats'!$A:$P,HLOOKUP(N$4,'[1]credit ethnic graded seats'!$1:$2,2,FALSE),FALSE)</f>
        <v>34</v>
      </c>
      <c r="O6" s="36">
        <f>VLOOKUP($A6,'[1]credit ethnic graded seats'!$A:$P,HLOOKUP(O$4,'[1]credit ethnic graded seats'!$1:$2,2,FALSE),FALSE)</f>
        <v>4719</v>
      </c>
      <c r="P6" s="36">
        <f>VLOOKUP($A6,'[1]credit ethnic graded seats'!$A:$P,HLOOKUP(P$4,'[1]credit ethnic graded seats'!$1:$2,2,FALSE),FALSE)</f>
        <v>4979</v>
      </c>
    </row>
    <row r="7" spans="1:16" ht="15.75" thickBot="1" x14ac:dyDescent="0.3">
      <c r="A7" s="25" t="s">
        <v>25</v>
      </c>
      <c r="B7" s="40">
        <f>VLOOKUP($A7,'[1]credit ethnic graded seats'!$A:$P,HLOOKUP(B$4,'[1]credit ethnic graded seats'!$1:$2,2,FALSE),FALSE)</f>
        <v>10</v>
      </c>
      <c r="C7" s="41">
        <f>VLOOKUP($A7,'[1]credit ethnic graded seats'!$A:$P,HLOOKUP(C$4,'[1]credit ethnic graded seats'!$1:$2,2,FALSE),FALSE)</f>
        <v>61</v>
      </c>
      <c r="D7" s="42">
        <f>VLOOKUP($A7,'[1]credit ethnic graded seats'!$A:$P,HLOOKUP(D$4,'[1]credit ethnic graded seats'!$1:$2,2,FALSE),FALSE)</f>
        <v>57</v>
      </c>
      <c r="E7" s="43">
        <f>VLOOKUP($A7,'[1]credit ethnic graded seats'!$A:$P,HLOOKUP(E$4,'[1]credit ethnic graded seats'!$1:$2,2,FALSE),FALSE)</f>
        <v>29</v>
      </c>
      <c r="F7" s="41">
        <f>VLOOKUP($A7,'[1]credit ethnic graded seats'!$A:$P,HLOOKUP(F$4,'[1]credit ethnic graded seats'!$1:$2,2,FALSE),FALSE)</f>
        <v>127</v>
      </c>
      <c r="G7" s="44">
        <f>VLOOKUP($A7,'[1]credit ethnic graded seats'!$A:$P,HLOOKUP(G$4,'[1]credit ethnic graded seats'!$1:$2,2,FALSE),FALSE)</f>
        <v>134</v>
      </c>
      <c r="H7" s="40">
        <f>VLOOKUP($A7,'[1]credit ethnic graded seats'!$A:$P,HLOOKUP(H$4,'[1]credit ethnic graded seats'!$1:$2,2,FALSE),FALSE)</f>
        <v>23</v>
      </c>
      <c r="I7" s="41">
        <f>VLOOKUP($A7,'[1]credit ethnic graded seats'!$A:$P,HLOOKUP(I$4,'[1]credit ethnic graded seats'!$1:$2,2,FALSE),FALSE)</f>
        <v>128</v>
      </c>
      <c r="J7" s="42">
        <f>VLOOKUP($A7,'[1]credit ethnic graded seats'!$A:$P,HLOOKUP(J$4,'[1]credit ethnic graded seats'!$1:$2,2,FALSE),FALSE)</f>
        <v>113</v>
      </c>
      <c r="K7" s="43">
        <f>VLOOKUP($A7,'[1]credit ethnic graded seats'!$A:$P,HLOOKUP(K$4,'[1]credit ethnic graded seats'!$1:$2,2,FALSE),FALSE)</f>
        <v>13</v>
      </c>
      <c r="L7" s="41">
        <f>VLOOKUP($A7,'[1]credit ethnic graded seats'!$A:$P,HLOOKUP(L$4,'[1]credit ethnic graded seats'!$1:$2,2,FALSE),FALSE)</f>
        <v>92</v>
      </c>
      <c r="M7" s="44">
        <f>VLOOKUP($A7,'[1]credit ethnic graded seats'!$A:$P,HLOOKUP(M$4,'[1]credit ethnic graded seats'!$1:$2,2,FALSE),FALSE)</f>
        <v>99</v>
      </c>
      <c r="N7" s="40">
        <f>VLOOKUP($A7,'[1]credit ethnic graded seats'!$A:$P,HLOOKUP(N$4,'[1]credit ethnic graded seats'!$1:$2,2,FALSE),FALSE)</f>
        <v>1</v>
      </c>
      <c r="O7" s="40">
        <f>VLOOKUP($A7,'[1]credit ethnic graded seats'!$A:$P,HLOOKUP(O$4,'[1]credit ethnic graded seats'!$1:$2,2,FALSE),FALSE)</f>
        <v>72</v>
      </c>
      <c r="P7" s="40">
        <f>VLOOKUP($A7,'[1]credit ethnic graded seats'!$A:$P,HLOOKUP(P$4,'[1]credit ethnic graded seats'!$1:$2,2,FALSE),FALSE)</f>
        <v>86</v>
      </c>
    </row>
    <row r="8" spans="1:16" ht="15.75" thickBot="1" x14ac:dyDescent="0.3">
      <c r="A8" s="20" t="s">
        <v>26</v>
      </c>
      <c r="B8" s="45">
        <f>VLOOKUP($A8,'[1]credit ethnic graded seats'!$A:$P,HLOOKUP(B$4,'[1]credit ethnic graded seats'!$1:$2,2,FALSE),FALSE)</f>
        <v>2511</v>
      </c>
      <c r="C8" s="46">
        <f>VLOOKUP($A8,'[1]credit ethnic graded seats'!$A:$P,HLOOKUP(C$4,'[1]credit ethnic graded seats'!$1:$2,2,FALSE),FALSE)</f>
        <v>8669</v>
      </c>
      <c r="D8" s="12">
        <f>VLOOKUP($A8,'[1]credit ethnic graded seats'!$A:$P,HLOOKUP(D$4,'[1]credit ethnic graded seats'!$1:$2,2,FALSE),FALSE)</f>
        <v>8477</v>
      </c>
      <c r="E8" s="47">
        <f>VLOOKUP($A8,'[1]credit ethnic graded seats'!$A:$P,HLOOKUP(E$4,'[1]credit ethnic graded seats'!$1:$2,2,FALSE),FALSE)</f>
        <v>2821</v>
      </c>
      <c r="F8" s="46">
        <f>VLOOKUP($A8,'[1]credit ethnic graded seats'!$A:$P,HLOOKUP(F$4,'[1]credit ethnic graded seats'!$1:$2,2,FALSE),FALSE)</f>
        <v>9490</v>
      </c>
      <c r="G8" s="48">
        <f>VLOOKUP($A8,'[1]credit ethnic graded seats'!$A:$P,HLOOKUP(G$4,'[1]credit ethnic graded seats'!$1:$2,2,FALSE),FALSE)</f>
        <v>9655</v>
      </c>
      <c r="H8" s="45">
        <f>VLOOKUP($A8,'[1]credit ethnic graded seats'!$A:$P,HLOOKUP(H$4,'[1]credit ethnic graded seats'!$1:$2,2,FALSE),FALSE)</f>
        <v>1503</v>
      </c>
      <c r="I8" s="46">
        <f>VLOOKUP($A8,'[1]credit ethnic graded seats'!$A:$P,HLOOKUP(I$4,'[1]credit ethnic graded seats'!$1:$2,2,FALSE),FALSE)</f>
        <v>10474</v>
      </c>
      <c r="J8" s="12">
        <f>VLOOKUP($A8,'[1]credit ethnic graded seats'!$A:$P,HLOOKUP(J$4,'[1]credit ethnic graded seats'!$1:$2,2,FALSE),FALSE)</f>
        <v>10153</v>
      </c>
      <c r="K8" s="47">
        <f>VLOOKUP($A8,'[1]credit ethnic graded seats'!$A:$P,HLOOKUP(K$4,'[1]credit ethnic graded seats'!$1:$2,2,FALSE),FALSE)</f>
        <v>763</v>
      </c>
      <c r="L8" s="46">
        <f>VLOOKUP($A8,'[1]credit ethnic graded seats'!$A:$P,HLOOKUP(L$4,'[1]credit ethnic graded seats'!$1:$2,2,FALSE),FALSE)</f>
        <v>9133</v>
      </c>
      <c r="M8" s="48">
        <f>VLOOKUP($A8,'[1]credit ethnic graded seats'!$A:$P,HLOOKUP(M$4,'[1]credit ethnic graded seats'!$1:$2,2,FALSE),FALSE)</f>
        <v>9175</v>
      </c>
      <c r="N8" s="45">
        <f>VLOOKUP($A8,'[1]credit ethnic graded seats'!$A:$P,HLOOKUP(N$4,'[1]credit ethnic graded seats'!$1:$2,2,FALSE),FALSE)</f>
        <v>37</v>
      </c>
      <c r="O8" s="45">
        <f>VLOOKUP($A8,'[1]credit ethnic graded seats'!$A:$P,HLOOKUP(O$4,'[1]credit ethnic graded seats'!$1:$2,2,FALSE),FALSE)</f>
        <v>8523</v>
      </c>
      <c r="P8" s="45">
        <f>VLOOKUP($A8,'[1]credit ethnic graded seats'!$A:$P,HLOOKUP(P$4,'[1]credit ethnic graded seats'!$1:$2,2,FALSE),FALSE)</f>
        <v>8923</v>
      </c>
    </row>
    <row r="9" spans="1:16" s="1" customFormat="1" ht="15.75" thickBot="1" x14ac:dyDescent="0.3">
      <c r="A9" s="31" t="s">
        <v>6</v>
      </c>
      <c r="B9" s="89">
        <f>[2]Totals!B$15</f>
        <v>13221</v>
      </c>
      <c r="C9" s="90"/>
      <c r="D9" s="91"/>
      <c r="E9" s="89">
        <f>[2]Totals!E$15</f>
        <v>14790</v>
      </c>
      <c r="F9" s="90"/>
      <c r="G9" s="91"/>
      <c r="H9" s="89">
        <f>[2]Totals!H$15</f>
        <v>14991</v>
      </c>
      <c r="I9" s="90"/>
      <c r="J9" s="91"/>
      <c r="K9" s="89">
        <f>[2]Totals!K$15</f>
        <v>12920</v>
      </c>
      <c r="L9" s="90"/>
      <c r="M9" s="91"/>
      <c r="N9" s="89">
        <f>[2]Totals!N$15</f>
        <v>0</v>
      </c>
      <c r="O9" s="90"/>
      <c r="P9" s="91"/>
    </row>
    <row r="10" spans="1:1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x14ac:dyDescent="0.25">
      <c r="A11" s="62" t="s">
        <v>27</v>
      </c>
      <c r="B11" s="65" t="s">
        <v>28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spans="1:16" ht="16.5" thickBot="1" x14ac:dyDescent="0.3">
      <c r="A12" s="63"/>
      <c r="B12" s="68" t="str">
        <f>B2</f>
        <v>MSJC MVC Total by Gender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0"/>
    </row>
    <row r="13" spans="1:16" ht="15.75" thickBot="1" x14ac:dyDescent="0.3">
      <c r="A13" s="64"/>
      <c r="B13" s="71" t="s">
        <v>1</v>
      </c>
      <c r="C13" s="72"/>
      <c r="D13" s="73"/>
      <c r="E13" s="74" t="s">
        <v>2</v>
      </c>
      <c r="F13" s="75"/>
      <c r="G13" s="76"/>
      <c r="H13" s="71" t="s">
        <v>3</v>
      </c>
      <c r="I13" s="72"/>
      <c r="J13" s="73"/>
      <c r="K13" s="74" t="s">
        <v>4</v>
      </c>
      <c r="L13" s="75"/>
      <c r="M13" s="76"/>
      <c r="N13" s="71" t="s">
        <v>5</v>
      </c>
      <c r="O13" s="72"/>
      <c r="P13" s="73"/>
    </row>
    <row r="14" spans="1:16" ht="15.75" thickBot="1" x14ac:dyDescent="0.3">
      <c r="A14" s="2" t="s">
        <v>7</v>
      </c>
      <c r="B14" s="4" t="s">
        <v>8</v>
      </c>
      <c r="C14" s="5" t="s">
        <v>9</v>
      </c>
      <c r="D14" s="6" t="s">
        <v>10</v>
      </c>
      <c r="E14" s="9" t="s">
        <v>11</v>
      </c>
      <c r="F14" s="7" t="s">
        <v>12</v>
      </c>
      <c r="G14" s="8" t="s">
        <v>13</v>
      </c>
      <c r="H14" s="4" t="s">
        <v>14</v>
      </c>
      <c r="I14" s="5" t="s">
        <v>15</v>
      </c>
      <c r="J14" s="6" t="s">
        <v>16</v>
      </c>
      <c r="K14" s="9" t="s">
        <v>17</v>
      </c>
      <c r="L14" s="7" t="s">
        <v>18</v>
      </c>
      <c r="M14" s="8" t="s">
        <v>19</v>
      </c>
      <c r="N14" s="4" t="s">
        <v>20</v>
      </c>
      <c r="O14" s="5" t="s">
        <v>21</v>
      </c>
      <c r="P14" s="6" t="s">
        <v>22</v>
      </c>
    </row>
    <row r="15" spans="1:16" x14ac:dyDescent="0.25">
      <c r="A15" s="23" t="s">
        <v>23</v>
      </c>
      <c r="B15" s="21">
        <f>B5/B$8</f>
        <v>0.38032656312226204</v>
      </c>
      <c r="C15" s="49">
        <f t="shared" ref="C15:N15" si="0">C5/C$8</f>
        <v>0.3912792709655093</v>
      </c>
      <c r="D15" s="50">
        <f t="shared" si="0"/>
        <v>0.39990562699068066</v>
      </c>
      <c r="E15" s="21">
        <f t="shared" si="0"/>
        <v>0.38390641616448068</v>
      </c>
      <c r="F15" s="49">
        <f t="shared" si="0"/>
        <v>0.40221285563751319</v>
      </c>
      <c r="G15" s="49">
        <f t="shared" si="0"/>
        <v>0.40559295701708958</v>
      </c>
      <c r="H15" s="49">
        <f t="shared" si="0"/>
        <v>0.35595475715236197</v>
      </c>
      <c r="I15" s="49">
        <f t="shared" si="0"/>
        <v>0.41502768760740882</v>
      </c>
      <c r="J15" s="22">
        <f t="shared" si="0"/>
        <v>0.42026987097409635</v>
      </c>
      <c r="K15" s="53">
        <f t="shared" si="0"/>
        <v>0.38663171690694625</v>
      </c>
      <c r="L15" s="49">
        <f t="shared" si="0"/>
        <v>0.42319062739516039</v>
      </c>
      <c r="M15" s="50">
        <f t="shared" si="0"/>
        <v>0.4338964577656676</v>
      </c>
      <c r="N15" s="21">
        <f t="shared" si="0"/>
        <v>5.4054054054054057E-2</v>
      </c>
      <c r="O15" s="21">
        <f t="shared" ref="O15:P15" si="1">O5/O$8</f>
        <v>0.43787398803238298</v>
      </c>
      <c r="P15" s="21">
        <f t="shared" si="1"/>
        <v>0.43236579625686428</v>
      </c>
    </row>
    <row r="16" spans="1:16" x14ac:dyDescent="0.25">
      <c r="A16" s="24" t="s">
        <v>24</v>
      </c>
      <c r="B16" s="3">
        <f t="shared" ref="B16:N17" si="2">B6/B$8</f>
        <v>0.61569095977698129</v>
      </c>
      <c r="C16" s="13">
        <f t="shared" si="2"/>
        <v>0.6016841619563964</v>
      </c>
      <c r="D16" s="51">
        <f t="shared" si="2"/>
        <v>0.59337029609531677</v>
      </c>
      <c r="E16" s="3">
        <f t="shared" si="2"/>
        <v>0.60581354129741227</v>
      </c>
      <c r="F16" s="13">
        <f t="shared" si="2"/>
        <v>0.58440463645943097</v>
      </c>
      <c r="G16" s="13">
        <f t="shared" si="2"/>
        <v>0.58052822371828072</v>
      </c>
      <c r="H16" s="13">
        <f t="shared" si="2"/>
        <v>0.62874251497005984</v>
      </c>
      <c r="I16" s="13">
        <f t="shared" si="2"/>
        <v>0.57275157532938703</v>
      </c>
      <c r="J16" s="14">
        <f t="shared" si="2"/>
        <v>0.56860041367083625</v>
      </c>
      <c r="K16" s="54">
        <f t="shared" si="2"/>
        <v>0.59633027522935778</v>
      </c>
      <c r="L16" s="13">
        <f t="shared" si="2"/>
        <v>0.56673601226322123</v>
      </c>
      <c r="M16" s="51">
        <f t="shared" si="2"/>
        <v>0.55531335149863759</v>
      </c>
      <c r="N16" s="3">
        <f t="shared" si="2"/>
        <v>0.91891891891891897</v>
      </c>
      <c r="O16" s="3">
        <f t="shared" ref="O16:P16" si="3">O6/O$8</f>
        <v>0.55367828229496652</v>
      </c>
      <c r="P16" s="3">
        <f t="shared" si="3"/>
        <v>0.55799618962232433</v>
      </c>
    </row>
    <row r="17" spans="1:16" ht="15.75" thickBot="1" x14ac:dyDescent="0.3">
      <c r="A17" s="25" t="s">
        <v>25</v>
      </c>
      <c r="B17" s="15">
        <f t="shared" si="2"/>
        <v>3.9824771007566703E-3</v>
      </c>
      <c r="C17" s="16">
        <f t="shared" si="2"/>
        <v>7.0365670780943596E-3</v>
      </c>
      <c r="D17" s="52">
        <f t="shared" si="2"/>
        <v>6.7240769140025957E-3</v>
      </c>
      <c r="E17" s="15">
        <f t="shared" si="2"/>
        <v>1.0280042538107055E-2</v>
      </c>
      <c r="F17" s="16">
        <f t="shared" si="2"/>
        <v>1.3382507903055849E-2</v>
      </c>
      <c r="G17" s="16">
        <f t="shared" si="2"/>
        <v>1.3878819264629725E-2</v>
      </c>
      <c r="H17" s="16">
        <f t="shared" si="2"/>
        <v>1.5302727877578177E-2</v>
      </c>
      <c r="I17" s="16">
        <f t="shared" si="2"/>
        <v>1.2220737063204125E-2</v>
      </c>
      <c r="J17" s="17">
        <f t="shared" si="2"/>
        <v>1.1129715355067469E-2</v>
      </c>
      <c r="K17" s="55">
        <f t="shared" si="2"/>
        <v>1.7038007863695939E-2</v>
      </c>
      <c r="L17" s="16">
        <f t="shared" si="2"/>
        <v>1.0073360341618307E-2</v>
      </c>
      <c r="M17" s="52">
        <f t="shared" si="2"/>
        <v>1.0790190735694823E-2</v>
      </c>
      <c r="N17" s="15">
        <f t="shared" si="2"/>
        <v>2.7027027027027029E-2</v>
      </c>
      <c r="O17" s="15">
        <f t="shared" ref="O17:P17" si="4">O7/O$8</f>
        <v>8.4477296726504746E-3</v>
      </c>
      <c r="P17" s="15">
        <f t="shared" si="4"/>
        <v>9.6380141208113855E-3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62" t="s">
        <v>29</v>
      </c>
      <c r="B19" s="65" t="s">
        <v>29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7"/>
    </row>
    <row r="20" spans="1:16" ht="16.5" thickBot="1" x14ac:dyDescent="0.3">
      <c r="A20" s="63"/>
      <c r="B20" s="68" t="str">
        <f>B12</f>
        <v>MSJC MVC Total by Gender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70"/>
    </row>
    <row r="21" spans="1:16" ht="15.75" thickBot="1" x14ac:dyDescent="0.3">
      <c r="A21" s="64"/>
      <c r="B21" s="86" t="s">
        <v>1</v>
      </c>
      <c r="C21" s="87"/>
      <c r="D21" s="88"/>
      <c r="E21" s="74" t="s">
        <v>2</v>
      </c>
      <c r="F21" s="75"/>
      <c r="G21" s="76"/>
      <c r="H21" s="71" t="s">
        <v>3</v>
      </c>
      <c r="I21" s="72"/>
      <c r="J21" s="73"/>
      <c r="K21" s="74" t="s">
        <v>4</v>
      </c>
      <c r="L21" s="75"/>
      <c r="M21" s="76"/>
      <c r="N21" s="71" t="s">
        <v>5</v>
      </c>
      <c r="O21" s="72"/>
      <c r="P21" s="73"/>
    </row>
    <row r="22" spans="1:16" ht="15.75" thickBot="1" x14ac:dyDescent="0.3">
      <c r="A22" s="2" t="s">
        <v>7</v>
      </c>
      <c r="B22" s="26" t="s">
        <v>8</v>
      </c>
      <c r="C22" s="27" t="s">
        <v>9</v>
      </c>
      <c r="D22" s="28" t="s">
        <v>10</v>
      </c>
      <c r="E22" s="26" t="s">
        <v>11</v>
      </c>
      <c r="F22" s="27" t="s">
        <v>12</v>
      </c>
      <c r="G22" s="28" t="s">
        <v>13</v>
      </c>
      <c r="H22" s="26" t="s">
        <v>14</v>
      </c>
      <c r="I22" s="27" t="s">
        <v>15</v>
      </c>
      <c r="J22" s="28" t="s">
        <v>16</v>
      </c>
      <c r="K22" s="26" t="s">
        <v>17</v>
      </c>
      <c r="L22" s="27" t="s">
        <v>18</v>
      </c>
      <c r="M22" s="28" t="s">
        <v>19</v>
      </c>
      <c r="N22" s="26" t="s">
        <v>20</v>
      </c>
      <c r="O22" s="27" t="s">
        <v>21</v>
      </c>
      <c r="P22" s="28" t="s">
        <v>22</v>
      </c>
    </row>
    <row r="23" spans="1:16" x14ac:dyDescent="0.25">
      <c r="A23" s="23" t="s">
        <v>23</v>
      </c>
      <c r="B23" s="3">
        <f>VLOOKUP($A23,'[3]success rates'!$A:P,HLOOKUP(B$22,'[3]success rates'!$1:$2,2,FALSE),FALSE)</f>
        <v>0.81678082191780821</v>
      </c>
      <c r="C23" s="13">
        <f>VLOOKUP($A23,'[3]success rates'!$A:Q,HLOOKUP(C$22,'[3]success rates'!$1:$2,2,FALSE),FALSE)</f>
        <v>0.61822181959363276</v>
      </c>
      <c r="D23" s="14">
        <f>VLOOKUP($A23,'[3]success rates'!$A:R,HLOOKUP(D$22,'[3]success rates'!$1:$2,2,FALSE),FALSE)</f>
        <v>0.63995339202485757</v>
      </c>
      <c r="E23" s="3">
        <f>VLOOKUP($A23,'[3]success rates'!$A:S,HLOOKUP(E$22,'[3]success rates'!$1:$2,2,FALSE),FALSE)</f>
        <v>0.80723781388478577</v>
      </c>
      <c r="F23" s="13">
        <f>VLOOKUP($A23,'[3]success rates'!$A:T,HLOOKUP(F$22,'[3]success rates'!$1:$2,2,FALSE),FALSE)</f>
        <v>0.63936500632692972</v>
      </c>
      <c r="G23" s="14">
        <f>VLOOKUP($A23,'[3]success rates'!$A:U,HLOOKUP(G$22,'[3]success rates'!$1:$2,2,FALSE),FALSE)</f>
        <v>0.65192110363698552</v>
      </c>
      <c r="H23" s="3">
        <f>VLOOKUP($A23,'[3]success rates'!$A:V,HLOOKUP(H$22,'[3]success rates'!$1:$2,2,FALSE),FALSE)</f>
        <v>0.79771615008156604</v>
      </c>
      <c r="I23" s="13">
        <f>VLOOKUP($A23,'[3]success rates'!$A:W,HLOOKUP(I$22,'[3]success rates'!$1:$2,2,FALSE),FALSE)</f>
        <v>0.65966342636145081</v>
      </c>
      <c r="J23" s="14">
        <f>VLOOKUP($A23,'[3]success rates'!$A:X,HLOOKUP(J$22,'[3]success rates'!$1:$2,2,FALSE),FALSE)</f>
        <v>0.66724249622111853</v>
      </c>
      <c r="K23" s="3">
        <f>VLOOKUP($A23,'[3]success rates'!$A:Y,HLOOKUP(K$22,'[3]success rates'!$1:$2,2,FALSE),FALSE)</f>
        <v>0.82108626198083068</v>
      </c>
      <c r="L23" s="13">
        <f>VLOOKUP($A23,'[3]success rates'!$A:Z,HLOOKUP(L$22,'[3]success rates'!$1:$2,2,FALSE),FALSE)</f>
        <v>0.69191744494407936</v>
      </c>
      <c r="M23" s="14">
        <f>VLOOKUP($A23,'[3]success rates'!$A:AA,HLOOKUP(M$22,'[3]success rates'!$1:$2,2,FALSE),FALSE)</f>
        <v>0.68604261965859648</v>
      </c>
      <c r="N23" s="3">
        <f>VLOOKUP($A23,'[3]success rates'!$A:AB,HLOOKUP(N$22,'[3]success rates'!$1:$2,2,FALSE),FALSE)</f>
        <v>1</v>
      </c>
      <c r="O23" s="3">
        <f>VLOOKUP($A23,'[3]success rates'!$A:AC,HLOOKUP(O$22,'[3]success rates'!$1:$2,2,FALSE),FALSE)</f>
        <v>0.7</v>
      </c>
      <c r="P23" s="3">
        <f>VLOOKUP($A23,'[3]success rates'!$A:AD,HLOOKUP(P$22,'[3]success rates'!$1:$2,2,FALSE),FALSE)</f>
        <v>0.67653521452526888</v>
      </c>
    </row>
    <row r="24" spans="1:16" x14ac:dyDescent="0.25">
      <c r="A24" s="24" t="s">
        <v>24</v>
      </c>
      <c r="B24" s="3">
        <f>VLOOKUP($A24,'[3]success rates'!$A:P,HLOOKUP(B$22,'[3]success rates'!$1:$2,2,FALSE),FALSE)</f>
        <v>0.83467525496511008</v>
      </c>
      <c r="C24" s="13">
        <f>VLOOKUP($A24,'[3]success rates'!$A:Q,HLOOKUP(C$22,'[3]success rates'!$1:$2,2,FALSE),FALSE)</f>
        <v>0.675122893258427</v>
      </c>
      <c r="D24" s="14">
        <f>VLOOKUP($A24,'[3]success rates'!$A:R,HLOOKUP(D$22,'[3]success rates'!$1:$2,2,FALSE),FALSE)</f>
        <v>0.71160502823829475</v>
      </c>
      <c r="E24" s="3">
        <f>VLOOKUP($A24,'[3]success rates'!$A:S,HLOOKUP(E$22,'[3]success rates'!$1:$2,2,FALSE),FALSE)</f>
        <v>0.8392689784442362</v>
      </c>
      <c r="F24" s="13">
        <f>VLOOKUP($A24,'[3]success rates'!$A:T,HLOOKUP(F$22,'[3]success rates'!$1:$2,2,FALSE),FALSE)</f>
        <v>0.70394790394790396</v>
      </c>
      <c r="G24" s="14">
        <f>VLOOKUP($A24,'[3]success rates'!$A:U,HLOOKUP(G$22,'[3]success rates'!$1:$2,2,FALSE),FALSE)</f>
        <v>0.70345776985990771</v>
      </c>
      <c r="H24" s="3">
        <f>VLOOKUP($A24,'[3]success rates'!$A:V,HLOOKUP(H$22,'[3]success rates'!$1:$2,2,FALSE),FALSE)</f>
        <v>0.86172161172161177</v>
      </c>
      <c r="I24" s="13">
        <f>VLOOKUP($A24,'[3]success rates'!$A:W,HLOOKUP(I$22,'[3]success rates'!$1:$2,2,FALSE),FALSE)</f>
        <v>0.7334247828074989</v>
      </c>
      <c r="J24" s="14">
        <f>VLOOKUP($A24,'[3]success rates'!$A:X,HLOOKUP(J$22,'[3]success rates'!$1:$2,2,FALSE),FALSE)</f>
        <v>0.71450680133583122</v>
      </c>
      <c r="K24" s="3">
        <f>VLOOKUP($A24,'[3]success rates'!$A:Y,HLOOKUP(K$22,'[3]success rates'!$1:$2,2,FALSE),FALSE)</f>
        <v>0.82886597938144335</v>
      </c>
      <c r="L24" s="13">
        <f>VLOOKUP($A24,'[3]success rates'!$A:Z,HLOOKUP(L$22,'[3]success rates'!$1:$2,2,FALSE),FALSE)</f>
        <v>0.74579887970125369</v>
      </c>
      <c r="M24" s="14">
        <f>VLOOKUP($A24,'[3]success rates'!$A:AA,HLOOKUP(M$22,'[3]success rates'!$1:$2,2,FALSE),FALSE)</f>
        <v>0.73886894075403953</v>
      </c>
      <c r="N24" s="3">
        <f>VLOOKUP($A24,'[3]success rates'!$A:AB,HLOOKUP(N$22,'[3]success rates'!$1:$2,2,FALSE),FALSE)</f>
        <v>1</v>
      </c>
      <c r="O24" s="3">
        <f>VLOOKUP($A24,'[3]success rates'!$A:AC,HLOOKUP(O$22,'[3]success rates'!$1:$2,2,FALSE),FALSE)</f>
        <v>0.75696178221624733</v>
      </c>
      <c r="P24" s="3">
        <f>VLOOKUP($A24,'[3]success rates'!$A:AD,HLOOKUP(P$22,'[3]success rates'!$1:$2,2,FALSE),FALSE)</f>
        <v>0.72986516034985427</v>
      </c>
    </row>
    <row r="25" spans="1:16" ht="15.75" thickBot="1" x14ac:dyDescent="0.3">
      <c r="A25" s="25" t="s">
        <v>25</v>
      </c>
      <c r="B25" s="56">
        <f>VLOOKUP($A25,'[3]success rates'!$A:P,HLOOKUP(B$22,'[3]success rates'!$1:$2,2,FALSE),FALSE)</f>
        <v>0.75</v>
      </c>
      <c r="C25" s="57">
        <f>VLOOKUP($A25,'[3]success rates'!$A:Q,HLOOKUP(C$22,'[3]success rates'!$1:$2,2,FALSE),FALSE)</f>
        <v>0.68382352941176472</v>
      </c>
      <c r="D25" s="58">
        <f>VLOOKUP($A25,'[3]success rates'!$A:R,HLOOKUP(D$22,'[3]success rates'!$1:$2,2,FALSE),FALSE)</f>
        <v>0.71052631578947367</v>
      </c>
      <c r="E25" s="56">
        <f>VLOOKUP($A25,'[3]success rates'!$A:S,HLOOKUP(E$22,'[3]success rates'!$1:$2,2,FALSE),FALSE)</f>
        <v>0.91891891891891897</v>
      </c>
      <c r="F25" s="57">
        <f>VLOOKUP($A25,'[3]success rates'!$A:T,HLOOKUP(F$22,'[3]success rates'!$1:$2,2,FALSE),FALSE)</f>
        <v>0.71217712177121772</v>
      </c>
      <c r="G25" s="58">
        <f>VLOOKUP($A25,'[3]success rates'!$A:U,HLOOKUP(G$22,'[3]success rates'!$1:$2,2,FALSE),FALSE)</f>
        <v>0.72535211267605637</v>
      </c>
      <c r="H25" s="56">
        <f>VLOOKUP($A25,'[3]success rates'!$A:V,HLOOKUP(H$22,'[3]success rates'!$1:$2,2,FALSE),FALSE)</f>
        <v>0.92</v>
      </c>
      <c r="I25" s="57">
        <f>VLOOKUP($A25,'[3]success rates'!$A:W,HLOOKUP(I$22,'[3]success rates'!$1:$2,2,FALSE),FALSE)</f>
        <v>0.74061433447098979</v>
      </c>
      <c r="J25" s="58">
        <f>VLOOKUP($A25,'[3]success rates'!$A:X,HLOOKUP(J$22,'[3]success rates'!$1:$2,2,FALSE),FALSE)</f>
        <v>0.73577235772357719</v>
      </c>
      <c r="K25" s="56">
        <f>VLOOKUP($A25,'[3]success rates'!$A:Y,HLOOKUP(K$22,'[3]success rates'!$1:$2,2,FALSE),FALSE)</f>
        <v>1</v>
      </c>
      <c r="L25" s="57">
        <f>VLOOKUP($A25,'[3]success rates'!$A:Z,HLOOKUP(L$22,'[3]success rates'!$1:$2,2,FALSE),FALSE)</f>
        <v>0.74178403755868549</v>
      </c>
      <c r="M25" s="58">
        <f>VLOOKUP($A25,'[3]success rates'!$A:AA,HLOOKUP(M$22,'[3]success rates'!$1:$2,2,FALSE),FALSE)</f>
        <v>0.71489361702127663</v>
      </c>
      <c r="N25" s="56">
        <f>VLOOKUP($A25,'[3]success rates'!$A:AB,HLOOKUP(N$22,'[3]success rates'!$1:$2,2,FALSE),FALSE)</f>
        <v>1</v>
      </c>
      <c r="O25" s="56">
        <f>VLOOKUP($A25,'[3]success rates'!$A:AC,HLOOKUP(O$22,'[3]success rates'!$1:$2,2,FALSE),FALSE)</f>
        <v>0.7142857142857143</v>
      </c>
      <c r="P25" s="56">
        <f>VLOOKUP($A25,'[3]success rates'!$A:AD,HLOOKUP(P$22,'[3]success rates'!$1:$2,2,FALSE),FALSE)</f>
        <v>0.74731182795698925</v>
      </c>
    </row>
    <row r="26" spans="1:16" s="1" customFormat="1" ht="15.75" thickBot="1" x14ac:dyDescent="0.3">
      <c r="A26" s="25" t="s">
        <v>30</v>
      </c>
      <c r="B26" s="59">
        <f>VLOOKUP('[3]success rates'!$A$7,'[3]success rates'!$A:$P,HLOOKUP(B$22,'[3]success rates'!$1:$2,2,FALSE),FALSE)</f>
        <v>0.82747288859677948</v>
      </c>
      <c r="C26" s="60">
        <f>VLOOKUP('[3]success rates'!$A$7,'[3]success rates'!$A:$P,HLOOKUP(C$22,'[3]success rates'!$1:$2,2,FALSE),FALSE)</f>
        <v>0.65235003895092181</v>
      </c>
      <c r="D26" s="61">
        <f>VLOOKUP('[3]success rates'!$A$7,'[3]success rates'!$A:$P,HLOOKUP(D$22,'[3]success rates'!$1:$2,2,FALSE),FALSE)</f>
        <v>0.68218537414965985</v>
      </c>
      <c r="E26" s="59">
        <f>VLOOKUP('[3]success rates'!$A$7,'[3]success rates'!$A:$P,HLOOKUP(E$22,'[3]success rates'!$1:$2,2,FALSE),FALSE)</f>
        <v>0.82780141843971633</v>
      </c>
      <c r="F26" s="60">
        <f>VLOOKUP('[3]success rates'!$A$7,'[3]success rates'!$A:$P,HLOOKUP(F$22,'[3]success rates'!$1:$2,2,FALSE),FALSE)</f>
        <v>0.67763188855946166</v>
      </c>
      <c r="G26" s="61">
        <f>VLOOKUP('[3]success rates'!$A$7,'[3]success rates'!$A:$P,HLOOKUP(G$22,'[3]success rates'!$1:$2,2,FALSE),FALSE)</f>
        <v>0.6826294150626051</v>
      </c>
      <c r="H26" s="59">
        <f>VLOOKUP('[3]success rates'!$A$7,'[3]success rates'!$A:$P,HLOOKUP(H$22,'[3]success rates'!$1:$2,2,FALSE),FALSE)</f>
        <v>0.83988439306358387</v>
      </c>
      <c r="I26" s="60">
        <f>VLOOKUP('[3]success rates'!$A$7,'[3]success rates'!$A:$P,HLOOKUP(I$22,'[3]success rates'!$1:$2,2,FALSE),FALSE)</f>
        <v>0.70281089548342179</v>
      </c>
      <c r="J26" s="61">
        <f>VLOOKUP('[3]success rates'!$A$7,'[3]success rates'!$A:$P,HLOOKUP(J$22,'[3]success rates'!$1:$2,2,FALSE),FALSE)</f>
        <v>0.69465228368143217</v>
      </c>
      <c r="K26" s="59">
        <f>VLOOKUP('[3]success rates'!$A$7,'[3]success rates'!$A:$P,HLOOKUP(K$22,'[3]success rates'!$1:$2,2,FALSE),FALSE)</f>
        <v>0.82902829028290281</v>
      </c>
      <c r="L26" s="60">
        <f>VLOOKUP('[3]success rates'!$A$7,'[3]success rates'!$A:$P,HLOOKUP(L$22,'[3]success rates'!$1:$2,2,FALSE),FALSE)</f>
        <v>0.72254507524959022</v>
      </c>
      <c r="M26" s="61">
        <f>VLOOKUP('[3]success rates'!$A$7,'[3]success rates'!$A:$P,HLOOKUP(M$22,'[3]success rates'!$1:$2,2,FALSE),FALSE)</f>
        <v>0.71531124004326874</v>
      </c>
      <c r="N26" s="59">
        <f>VLOOKUP('[3]success rates'!$A$7,'[3]success rates'!$A:$P,HLOOKUP(N$22,'[3]success rates'!$1:$2,2,FALSE),FALSE)</f>
        <v>1</v>
      </c>
      <c r="O26" s="59">
        <f>VLOOKUP('[3]success rates'!$A$7,'[3]success rates'!$A:$P,HLOOKUP(O$22,'[3]success rates'!$1:$2,2,FALSE),FALSE)</f>
        <v>0.73150989313300185</v>
      </c>
      <c r="P26" s="59">
        <f>VLOOKUP('[3]success rates'!$A$7,'[3]success rates'!$A:$P,HLOOKUP(P$22,'[3]success rates'!$1:$2,2,FALSE),FALSE)</f>
        <v>0.70674945731738104</v>
      </c>
    </row>
    <row r="27" spans="1:16" x14ac:dyDescent="0.25">
      <c r="A27" s="29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30" t="s">
        <v>32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"/>
    </row>
    <row r="29" spans="1:16" x14ac:dyDescent="0.25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"/>
    </row>
  </sheetData>
  <mergeCells count="29">
    <mergeCell ref="B9:D9"/>
    <mergeCell ref="E9:G9"/>
    <mergeCell ref="H9:J9"/>
    <mergeCell ref="K9:M9"/>
    <mergeCell ref="N9:P9"/>
    <mergeCell ref="A19:A21"/>
    <mergeCell ref="B19:P19"/>
    <mergeCell ref="B20:P20"/>
    <mergeCell ref="B21:D21"/>
    <mergeCell ref="E21:G21"/>
    <mergeCell ref="H21:J21"/>
    <mergeCell ref="K21:M21"/>
    <mergeCell ref="N21:P21"/>
    <mergeCell ref="A1:A3"/>
    <mergeCell ref="B1:P1"/>
    <mergeCell ref="B2:P2"/>
    <mergeCell ref="B3:D3"/>
    <mergeCell ref="E3:G3"/>
    <mergeCell ref="H3:J3"/>
    <mergeCell ref="K3:M3"/>
    <mergeCell ref="N3:P3"/>
    <mergeCell ref="A11:A13"/>
    <mergeCell ref="B11:P11"/>
    <mergeCell ref="B12:P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EC27176-2E2D-482A-8931-3C838B5D9782}"/>
</file>

<file path=customXml/itemProps2.xml><?xml version="1.0" encoding="utf-8"?>
<ds:datastoreItem xmlns:ds="http://schemas.openxmlformats.org/officeDocument/2006/customXml" ds:itemID="{D4636998-B70F-4EF1-8F76-06B7C2A44B27}"/>
</file>

<file path=customXml/itemProps3.xml><?xml version="1.0" encoding="utf-8"?>
<ds:datastoreItem xmlns:ds="http://schemas.openxmlformats.org/officeDocument/2006/customXml" ds:itemID="{FD35BF33-82B7-4ADE-AA32-1804F46938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