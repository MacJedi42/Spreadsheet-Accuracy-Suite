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1721"/>
  <workbookPr showInkAnnotation="0" autoCompressPictures="0"/>
  <bookViews>
    <workbookView xWindow="0" yWindow="0" windowWidth="33600" windowHeight="18800" tabRatio="827" activeTab="3"/>
  </bookViews>
  <sheets>
    <sheet name="Directions and Score" sheetId="1" r:id="rId1"/>
    <sheet name="Contact Info" sheetId="9" r:id="rId2"/>
    <sheet name="Recycling &amp; Events" sheetId="5" r:id="rId3"/>
    <sheet name="Energy" sheetId="2" r:id="rId4"/>
    <sheet name="Purchasing" sheetId="13" r:id="rId5"/>
    <sheet name="Reduction of Waste" sheetId="11" r:id="rId6"/>
    <sheet name="Transportation" sheetId="6" r:id="rId7"/>
    <sheet name="Innovation" sheetId="12" r:id="rId8"/>
  </sheets>
  <definedNames>
    <definedName name="_xlnm.Print_Area" localSheetId="1">'Contact Info'!$A$2:$H$17</definedName>
    <definedName name="_xlnm.Print_Area" localSheetId="0">'Directions and Score'!$A$19:$J$38</definedName>
    <definedName name="_xlnm.Print_Area" localSheetId="3">Energy!$A$1:$F$29</definedName>
    <definedName name="_xlnm.Print_Area" localSheetId="2">'Recycling &amp; Events'!$C$1:$F$31</definedName>
    <definedName name="_xlnm.Print_Area" localSheetId="5">'Reduction of Waste'!$A$1:$F$48</definedName>
    <definedName name="_xlnm.Print_Area" localSheetId="6">Transportation!$A$1:$E$24</definedName>
  </definedName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D19" i="2" l="1"/>
  <c r="E51" i="2"/>
  <c r="E21" i="1"/>
  <c r="G21" i="1"/>
  <c r="E23" i="1"/>
  <c r="F30" i="5"/>
  <c r="F18" i="5"/>
  <c r="E18" i="5"/>
  <c r="D16" i="2"/>
  <c r="D38" i="11"/>
  <c r="E38" i="11"/>
  <c r="D14" i="11"/>
  <c r="E25" i="1"/>
  <c r="E27" i="1"/>
  <c r="E29" i="1"/>
  <c r="E37" i="1"/>
  <c r="D5" i="2"/>
  <c r="D22" i="2"/>
  <c r="D25" i="2"/>
  <c r="D29" i="2"/>
  <c r="D32" i="2"/>
  <c r="D45" i="2"/>
  <c r="D34" i="2"/>
  <c r="D35" i="2"/>
  <c r="D36" i="2"/>
  <c r="D39" i="2"/>
  <c r="D42" i="2"/>
  <c r="D48" i="2"/>
  <c r="D51" i="2"/>
  <c r="E32" i="2"/>
  <c r="E39" i="2"/>
  <c r="E42" i="2"/>
  <c r="E45" i="2"/>
  <c r="E34" i="2"/>
  <c r="E48" i="2"/>
  <c r="E31" i="1"/>
  <c r="E7" i="5"/>
  <c r="E10" i="5"/>
  <c r="E21" i="5"/>
  <c r="E24" i="5"/>
  <c r="E28" i="5"/>
  <c r="E14" i="5"/>
  <c r="E15" i="5"/>
  <c r="E16" i="5"/>
  <c r="E30" i="5"/>
  <c r="G23" i="1"/>
  <c r="D7" i="13"/>
  <c r="D9" i="13"/>
  <c r="D10" i="13"/>
  <c r="D12" i="13"/>
  <c r="D15" i="13"/>
  <c r="D18" i="13"/>
  <c r="D21" i="13"/>
  <c r="D24" i="13"/>
  <c r="D27" i="13"/>
  <c r="G25" i="1"/>
  <c r="D7" i="11"/>
  <c r="D11" i="11"/>
  <c r="D17" i="11"/>
  <c r="D20" i="11"/>
  <c r="D23" i="11"/>
  <c r="D26" i="11"/>
  <c r="D29" i="11"/>
  <c r="D32" i="11"/>
  <c r="D35" i="11"/>
  <c r="G27" i="1"/>
  <c r="D7" i="6"/>
  <c r="D14" i="6"/>
  <c r="D17" i="6"/>
  <c r="D20" i="6"/>
  <c r="D23" i="6"/>
  <c r="G29" i="1"/>
  <c r="D8" i="12"/>
  <c r="D12" i="12"/>
  <c r="D15" i="12"/>
  <c r="D18" i="12"/>
  <c r="D21" i="12"/>
  <c r="G35" i="1"/>
  <c r="G37" i="1"/>
  <c r="G31" i="1"/>
  <c r="E12" i="13"/>
  <c r="E15" i="13"/>
  <c r="E27" i="13"/>
  <c r="E32" i="11"/>
  <c r="E21" i="12"/>
  <c r="E35" i="1"/>
  <c r="E14" i="6"/>
  <c r="E23" i="6"/>
  <c r="G39" i="1"/>
  <c r="D15" i="2"/>
  <c r="E15" i="2"/>
  <c r="F21" i="5"/>
  <c r="F24" i="5"/>
  <c r="F15" i="5"/>
  <c r="F16" i="5"/>
  <c r="F27" i="5"/>
</calcChain>
</file>

<file path=xl/comments1.xml><?xml version="1.0" encoding="utf-8"?>
<comments xmlns="http://schemas.openxmlformats.org/spreadsheetml/2006/main">
  <authors>
    <author>E C</author>
  </authors>
  <commentList>
    <comment ref="B9" authorId="0">
      <text>
        <r>
          <rPr>
            <sz val="22"/>
            <color indexed="81"/>
            <rFont val="Arial"/>
          </rPr>
          <t xml:space="preserve">When you see a </t>
        </r>
        <r>
          <rPr>
            <b/>
            <sz val="22"/>
            <color indexed="81"/>
            <rFont val="Arial"/>
          </rPr>
          <t>red tab</t>
        </r>
        <r>
          <rPr>
            <sz val="22"/>
            <color indexed="81"/>
            <rFont val="Arial"/>
          </rPr>
          <t xml:space="preserve"> in the top right corner of a field, that means there's a </t>
        </r>
        <r>
          <rPr>
            <b/>
            <sz val="22"/>
            <color indexed="81"/>
            <rFont val="Arial"/>
          </rPr>
          <t>pop-up like this one</t>
        </r>
        <r>
          <rPr>
            <sz val="22"/>
            <color indexed="81"/>
            <rFont val="Arial"/>
          </rPr>
          <t xml:space="preserve"> with more information or a fun fact about that topic.  </t>
        </r>
        <r>
          <rPr>
            <b/>
            <sz val="22"/>
            <color indexed="81"/>
            <rFont val="Arial"/>
          </rPr>
          <t>Simply hover your mouse over that cell to see the comment</t>
        </r>
        <r>
          <rPr>
            <sz val="22"/>
            <color indexed="81"/>
            <rFont val="Arial"/>
          </rPr>
          <t>.</t>
        </r>
        <r>
          <rPr>
            <b/>
            <sz val="22"/>
            <color indexed="81"/>
            <rFont val="Arial"/>
          </rPr>
          <t xml:space="preserve">
</t>
        </r>
        <r>
          <rPr>
            <sz val="16"/>
            <color indexed="81"/>
            <rFont val="Arial"/>
          </rPr>
          <t xml:space="preserve">
</t>
        </r>
      </text>
    </comment>
  </commentList>
</comments>
</file>

<file path=xl/comments2.xml><?xml version="1.0" encoding="utf-8"?>
<comments xmlns="http://schemas.openxmlformats.org/spreadsheetml/2006/main">
  <authors>
    <author>Rachel Roberta Hawkins</author>
    <author>E C</author>
  </authors>
  <commentList>
    <comment ref="C21" authorId="0">
      <text>
        <r>
          <rPr>
            <b/>
            <sz val="16"/>
            <color indexed="81"/>
            <rFont val="Arial"/>
          </rPr>
          <t>Fun Fact!</t>
        </r>
        <r>
          <rPr>
            <sz val="16"/>
            <color indexed="81"/>
            <rFont val="Arial"/>
          </rPr>
          <t xml:space="preserve"> Just send toners, disks, transparencies, and tyvek items to Campus Box #209.  It's that easy!</t>
        </r>
      </text>
    </comment>
    <comment ref="C28" authorId="1">
      <text>
        <r>
          <rPr>
            <b/>
            <sz val="16"/>
            <color indexed="81"/>
            <rFont val="Arial"/>
          </rPr>
          <t xml:space="preserve">What is a Zero Waste Event?  </t>
        </r>
        <r>
          <rPr>
            <sz val="16"/>
            <color indexed="81"/>
            <rFont val="Arial"/>
          </rPr>
          <t xml:space="preserve">Plan ahead to reduce waste from the event: reuse various elements such as banners, and set up recycling and composting for those recyclable materials such as paper cups, food scraps, and plastic water bottles.
</t>
        </r>
      </text>
    </comment>
  </commentList>
</comments>
</file>

<file path=xl/comments3.xml><?xml version="1.0" encoding="utf-8"?>
<comments xmlns="http://schemas.openxmlformats.org/spreadsheetml/2006/main">
  <authors>
    <author>Rachel Roberta Hawkins</author>
    <author>E C</author>
  </authors>
  <commentList>
    <comment ref="B11" authorId="0">
      <text>
        <r>
          <rPr>
            <b/>
            <sz val="16"/>
            <color indexed="81"/>
            <rFont val="Arial"/>
          </rPr>
          <t>In one week:</t>
        </r>
        <r>
          <rPr>
            <sz val="16"/>
            <color indexed="81"/>
            <rFont val="Arial"/>
          </rPr>
          <t xml:space="preserve"> The average desk-side printer prints less than 20 pages and produces over 2 lbs of CO2. To save energy, set up sleep settings and unplug when not in use. Or better yet, get rid of it and print to your shared printer.</t>
        </r>
        <r>
          <rPr>
            <sz val="9"/>
            <color indexed="81"/>
            <rFont val="Arial"/>
          </rPr>
          <t xml:space="preserve">
</t>
        </r>
      </text>
    </comment>
    <comment ref="B29" authorId="1">
      <text>
        <r>
          <rPr>
            <b/>
            <sz val="16"/>
            <color indexed="81"/>
            <rFont val="Arial"/>
          </rPr>
          <t xml:space="preserve">Fun Fact!  </t>
        </r>
        <r>
          <rPr>
            <sz val="16"/>
            <color indexed="81"/>
            <rFont val="Arial"/>
          </rPr>
          <t xml:space="preserve">Almost all computers, printers, modems, scanners and home entertainment products draw an idle electrical current even after they have been turned off. If you use a power strip, you can easily unplug it when you leave for the night, weekend, or for longer periods. </t>
        </r>
      </text>
    </comment>
  </commentList>
</comments>
</file>

<file path=xl/comments4.xml><?xml version="1.0" encoding="utf-8"?>
<comments xmlns="http://schemas.openxmlformats.org/spreadsheetml/2006/main">
  <authors>
    <author>E C</author>
  </authors>
  <commentList>
    <comment ref="B8" authorId="0">
      <text>
        <r>
          <rPr>
            <b/>
            <sz val="16"/>
            <color indexed="81"/>
            <rFont val="Arial"/>
          </rPr>
          <t>Did you know?</t>
        </r>
        <r>
          <rPr>
            <sz val="16"/>
            <color indexed="81"/>
            <rFont val="Arial"/>
          </rPr>
          <t xml:space="preserve"> If everyone on campus switched to 100% recycled paper, we would save 153,258 lbs of CO</t>
        </r>
        <r>
          <rPr>
            <sz val="10"/>
            <color indexed="81"/>
            <rFont val="Arial"/>
          </rPr>
          <t>2</t>
        </r>
        <r>
          <rPr>
            <sz val="16"/>
            <color indexed="81"/>
            <rFont val="Arial"/>
          </rPr>
          <t xml:space="preserve"> per year.
</t>
        </r>
      </text>
    </comment>
  </commentList>
</comments>
</file>

<file path=xl/comments5.xml><?xml version="1.0" encoding="utf-8"?>
<comments xmlns="http://schemas.openxmlformats.org/spreadsheetml/2006/main">
  <authors>
    <author>E C</author>
  </authors>
  <commentList>
    <comment ref="B23" authorId="0">
      <text>
        <r>
          <rPr>
            <b/>
            <sz val="16"/>
            <color indexed="81"/>
            <rFont val="Arial"/>
          </rPr>
          <t>Did you know?</t>
        </r>
        <r>
          <rPr>
            <sz val="16"/>
            <color indexed="81"/>
            <rFont val="Arial"/>
          </rPr>
          <t xml:space="preserve"> Bright/dark paper, including Goldenrod, cannot be recycled.  The dyes in bright paper can ruin an entire batch of paper, just like one red sock in a wash load of whites.</t>
        </r>
      </text>
    </comment>
    <comment ref="B32" authorId="0">
      <text>
        <r>
          <rPr>
            <b/>
            <sz val="16"/>
            <color indexed="81"/>
            <rFont val="Arial"/>
          </rPr>
          <t xml:space="preserve">Don't have access to a sink?  </t>
        </r>
        <r>
          <rPr>
            <sz val="16"/>
            <color indexed="81"/>
            <rFont val="Arial"/>
          </rPr>
          <t>Consider purchasing compostable plates and utensils instead of paper/plastic.</t>
        </r>
        <r>
          <rPr>
            <sz val="9"/>
            <color indexed="81"/>
            <rFont val="Arial"/>
          </rPr>
          <t xml:space="preserve">
</t>
        </r>
      </text>
    </comment>
  </commentList>
</comments>
</file>

<file path=xl/comments6.xml><?xml version="1.0" encoding="utf-8"?>
<comments xmlns="http://schemas.openxmlformats.org/spreadsheetml/2006/main">
  <authors>
    <author>E C</author>
  </authors>
  <commentList>
    <comment ref="B9" authorId="0">
      <text>
        <r>
          <rPr>
            <b/>
            <sz val="16"/>
            <color indexed="81"/>
            <rFont val="Arial"/>
          </rPr>
          <t>Fun Fact!</t>
        </r>
        <r>
          <rPr>
            <sz val="16"/>
            <color indexed="81"/>
            <rFont val="Arial"/>
          </rPr>
          <t xml:space="preserve"> Commuting physical activity, independent of leisure time physical activity, is associated with a healthier level of most of the cardiovascular risk factors (e.g., Obesity, HDL cholesterol, LDL cholesterol, and triglycerides).
</t>
        </r>
      </text>
    </comment>
  </commentList>
</comments>
</file>

<file path=xl/sharedStrings.xml><?xml version="1.0" encoding="utf-8"?>
<sst xmlns="http://schemas.openxmlformats.org/spreadsheetml/2006/main" count="265" uniqueCount="161">
  <si>
    <r>
      <t>We want to hear your ideas!</t>
    </r>
    <r>
      <rPr>
        <b/>
        <sz val="14"/>
        <color indexed="8"/>
        <rFont val="Arial"/>
        <family val="2"/>
      </rPr>
      <t xml:space="preserve">  This section is an opportunity for you to provide any innovative practices that might have been missed in the Green Office self- assessment.  This section is not mandatory, however, if you have interesting practices we would love to hear them and share with other departments!</t>
    </r>
    <phoneticPr fontId="1" type="noConversion"/>
  </si>
  <si>
    <t>1. Recycling &amp; Events</t>
    <phoneticPr fontId="1" type="noConversion"/>
  </si>
  <si>
    <t xml:space="preserve">2. Energy  </t>
    <phoneticPr fontId="1" type="noConversion"/>
  </si>
  <si>
    <t xml:space="preserve">Thank you for taking the first step towards becoming Green Office Certified.  Your contribution to the sustainability successes at CU-Boulder is important.  This form can be completed and continuously revised to reflect ongoing improvements your office makes during and following certification. </t>
    <phoneticPr fontId="1" type="noConversion"/>
  </si>
  <si>
    <r>
      <t xml:space="preserve">A) Purchase </t>
    </r>
    <r>
      <rPr>
        <b/>
        <i/>
        <sz val="14"/>
        <color indexed="8"/>
        <rFont val="Arial"/>
      </rPr>
      <t>white</t>
    </r>
    <r>
      <rPr>
        <b/>
        <sz val="14"/>
        <color indexed="8"/>
        <rFont val="Arial"/>
        <family val="2"/>
      </rPr>
      <t xml:space="preserve"> paper with at least 30% recycled content: * choose only one category (30%,50%,100%)</t>
    </r>
    <phoneticPr fontId="24" type="noConversion"/>
  </si>
  <si>
    <t>30% recycled content</t>
    <phoneticPr fontId="24" type="noConversion"/>
  </si>
  <si>
    <t xml:space="preserve">C) Purchase Green Cleaners (non-toxic; biodegradable).  </t>
    <phoneticPr fontId="24" type="noConversion"/>
  </si>
  <si>
    <t>A) Memos, forms, and newsletters are sent electronically.  Other documents are printed only when necessary</t>
    <phoneticPr fontId="1" type="noConversion"/>
  </si>
  <si>
    <t>Please type comments in the margins if you feel as though your score needs explanation or if the question requests you do so.</t>
    <phoneticPr fontId="1" type="noConversion"/>
  </si>
  <si>
    <t>Note: Some sections require that you collect information from your colleagues.  This will take more or less time depending on the size of your department.</t>
    <phoneticPr fontId="1" type="noConversion"/>
  </si>
  <si>
    <r>
      <t>Questions?</t>
    </r>
    <r>
      <rPr>
        <b/>
        <sz val="26"/>
        <rFont val="Arial"/>
      </rPr>
      <t xml:space="preserve"> Please do not hesitate to call or email: Rachel Hawkins, Program Coordinator at 303-492-8308 or Greenoffice@colorado.edu</t>
    </r>
    <phoneticPr fontId="1" type="noConversion"/>
  </si>
  <si>
    <t xml:space="preserve">ENTER CONTACT TITLE </t>
    <phoneticPr fontId="24" type="noConversion"/>
  </si>
  <si>
    <t>General Office Members' Contact Information</t>
    <phoneticPr fontId="24" type="noConversion"/>
  </si>
  <si>
    <t>ENTER DEPARTMENT NAME</t>
    <phoneticPr fontId="24" type="noConversion"/>
  </si>
  <si>
    <t>Dept.</t>
    <phoneticPr fontId="24" type="noConversion"/>
  </si>
  <si>
    <t>Tit.</t>
    <phoneticPr fontId="24" type="noConversion"/>
  </si>
  <si>
    <t>F) Check with Property Services to see if they have surplus office furniture before purchasing</t>
    <phoneticPr fontId="24" type="noConversion"/>
  </si>
  <si>
    <t>D) Do you have a designated department bike?</t>
    <phoneticPr fontId="1" type="noConversion"/>
  </si>
  <si>
    <t>TOTAL PERCENTAGE: Your Score=</t>
    <phoneticPr fontId="1" type="noConversion"/>
  </si>
  <si>
    <t xml:space="preserve">If a practice doesn't apply to you type N/A in green cell. </t>
    <phoneticPr fontId="1" type="noConversion"/>
  </si>
  <si>
    <t>EXAMPLE: Have all staff bring own bowls/utensils to events or office parties</t>
    <phoneticPr fontId="1" type="noConversion"/>
  </si>
  <si>
    <t xml:space="preserve"> If yes...Are they Zero Waste events?</t>
    <phoneticPr fontId="1" type="noConversion"/>
  </si>
  <si>
    <t>E) Purchase furniture with recycled content, certified wood</t>
    <phoneticPr fontId="24" type="noConversion"/>
  </si>
  <si>
    <t>4. Reduction of Waste</t>
    <phoneticPr fontId="1" type="noConversion"/>
  </si>
  <si>
    <t>5. Transportation</t>
    <phoneticPr fontId="1" type="noConversion"/>
  </si>
  <si>
    <t>B)Both sides of paper are used/Double Sided is set as Default</t>
    <phoneticPr fontId="1" type="noConversion"/>
  </si>
  <si>
    <t>Energy</t>
    <phoneticPr fontId="1" type="noConversion"/>
  </si>
  <si>
    <t>2 Pts, Enter "YES"  "NO" or "N/A" in cell below this one.</t>
    <phoneticPr fontId="1" type="noConversion"/>
  </si>
  <si>
    <t>A) Computer Monitors</t>
    <phoneticPr fontId="1" type="noConversion"/>
  </si>
  <si>
    <t>B) Do you ever check out vehicles from Transportation Services? If so are they hybrids?</t>
    <phoneticPr fontId="1" type="noConversion"/>
  </si>
  <si>
    <t>A) Modes of Transport Used Majority of Time to Get to Work</t>
    <phoneticPr fontId="1" type="noConversion"/>
  </si>
  <si>
    <t>Enter # of People</t>
    <phoneticPr fontId="1" type="noConversion"/>
  </si>
  <si>
    <t>Points Earned</t>
    <phoneticPr fontId="1" type="noConversion"/>
  </si>
  <si>
    <t>Total Possible Points</t>
  </si>
  <si>
    <t>Points Earned</t>
  </si>
  <si>
    <t>5. Number of light switches</t>
    <phoneticPr fontId="1" type="noConversion"/>
  </si>
  <si>
    <t>Innovation            BONUS</t>
    <phoneticPr fontId="1" type="noConversion"/>
  </si>
  <si>
    <t>Reduction of Waste</t>
    <phoneticPr fontId="1" type="noConversion"/>
  </si>
  <si>
    <t>D) Purchase environmentally friendly--recycled content, non-toxic, remanufactured-- products (colored paper, notepads, legal pads, post-its...)</t>
    <phoneticPr fontId="1" type="noConversion"/>
  </si>
  <si>
    <t>6. Innovation</t>
    <phoneticPr fontId="1" type="noConversion"/>
  </si>
  <si>
    <t>ENTER PRACTICE DESCRIPTION HERE</t>
    <phoneticPr fontId="1" type="noConversion"/>
  </si>
  <si>
    <t>Deskside-next to all trash bins</t>
    <phoneticPr fontId="1" type="noConversion"/>
  </si>
  <si>
    <t>Kitchen/lounge</t>
    <phoneticPr fontId="1" type="noConversion"/>
  </si>
  <si>
    <t>Mail room/copy room</t>
    <phoneticPr fontId="1" type="noConversion"/>
  </si>
  <si>
    <t>FILL IN THE GREEN CELLS ONLY</t>
    <phoneticPr fontId="1" type="noConversion"/>
  </si>
  <si>
    <t>6 Pts, Enter "YES", "NO", or "N/A" in cell below this one.</t>
    <phoneticPr fontId="1" type="noConversion"/>
  </si>
  <si>
    <t>8  Pts, Enter "YES", "NO", or "N/A" in cell below this one.</t>
    <phoneticPr fontId="1" type="noConversion"/>
  </si>
  <si>
    <t>You do not need to enter all office member's information, but please include those who are interested in the program</t>
    <phoneticPr fontId="24" type="noConversion"/>
  </si>
  <si>
    <t xml:space="preserve">2 Pts, Enter "YES" or "NO" in cell below this one.  </t>
    <phoneticPr fontId="24" type="noConversion"/>
  </si>
  <si>
    <t xml:space="preserve">3 Pt, Enter "YES" or "NO" in cell below this one.  </t>
    <phoneticPr fontId="1" type="noConversion"/>
  </si>
  <si>
    <t>Possible Points</t>
    <phoneticPr fontId="1" type="noConversion"/>
  </si>
  <si>
    <t xml:space="preserve">     ENTER DEPARTMENT NAME</t>
    <phoneticPr fontId="24" type="noConversion"/>
  </si>
  <si>
    <t>ENTER CONTACT EMAIL</t>
    <phoneticPr fontId="24" type="noConversion"/>
  </si>
  <si>
    <t>1. Natural Light is used</t>
    <phoneticPr fontId="1" type="noConversion"/>
  </si>
  <si>
    <t>Total # People that carpool/vanpool (3 points for every 25%)</t>
  </si>
  <si>
    <t>2 Pts, Enter "YES" or "NO" in cell below this one.</t>
  </si>
  <si>
    <t>Total # Monitors on 15 min timers for stand-by/sleep mode</t>
    <phoneticPr fontId="1" type="noConversion"/>
  </si>
  <si>
    <t>EcoLeader Information</t>
    <phoneticPr fontId="24" type="noConversion"/>
  </si>
  <si>
    <t>Enter text in boxes with green font</t>
    <phoneticPr fontId="24" type="noConversion"/>
  </si>
  <si>
    <t>Total # People that take public transportation (3 points for every 25%)</t>
  </si>
  <si>
    <t>The Green Office Program is designed to promote sustainable practices for faculty and staff at the University of Colorado through our Green Office Certification which integrates many of CU’s campus sustainability initiatives, including transportation, recycling, and energy. The goal of this program is to help people reduce their footprint and impact the overall wellbeing of our planet.</t>
    <phoneticPr fontId="1" type="noConversion"/>
  </si>
  <si>
    <t>EXAMPLE:Use plants as natural air quality control</t>
    <phoneticPr fontId="1" type="noConversion"/>
  </si>
  <si>
    <t>BONUS</t>
    <phoneticPr fontId="1" type="noConversion"/>
  </si>
  <si>
    <t>2. Light sensors are used</t>
    <phoneticPr fontId="1" type="noConversion"/>
  </si>
  <si>
    <t>BONUS</t>
    <phoneticPr fontId="1" type="noConversion"/>
  </si>
  <si>
    <t>2 Pts, Enter "YES", "NO", or N/A in cell below this one.</t>
  </si>
  <si>
    <t>NO</t>
  </si>
  <si>
    <t>Pts, Enter "YES" or "NO" in cell below this one.</t>
    <phoneticPr fontId="24" type="noConversion"/>
  </si>
  <si>
    <t>3.Purchasing</t>
    <phoneticPr fontId="1" type="noConversion"/>
  </si>
  <si>
    <t>ACTION</t>
  </si>
  <si>
    <t>ACTION</t>
    <phoneticPr fontId="1" type="noConversion"/>
  </si>
  <si>
    <t>Name</t>
  </si>
  <si>
    <t>Credit</t>
  </si>
  <si>
    <t xml:space="preserve">2 Pt, Enter "YES" or "NO" in cell below this one. </t>
  </si>
  <si>
    <t>Employee Name</t>
    <phoneticPr fontId="24" type="noConversion"/>
  </si>
  <si>
    <t>TOTAL</t>
  </si>
  <si>
    <t>CALCULATIONS ARE DONE AUTOMATICALLY</t>
  </si>
  <si>
    <t>Total Recycling Points</t>
  </si>
  <si>
    <t>Total Innovation Points</t>
  </si>
  <si>
    <t>Total # Bikers/walkers (3 points for every 25%)</t>
  </si>
  <si>
    <t>Points Eearned</t>
  </si>
  <si>
    <t>Comments</t>
    <phoneticPr fontId="1" type="noConversion"/>
  </si>
  <si>
    <t>Comments</t>
    <phoneticPr fontId="1" type="noConversion"/>
  </si>
  <si>
    <t>Comments</t>
    <phoneticPr fontId="24" type="noConversion"/>
  </si>
  <si>
    <t>ENTER EMAILS</t>
    <phoneticPr fontId="24" type="noConversion"/>
  </si>
  <si>
    <t>Total # Monitors</t>
  </si>
  <si>
    <t>Total Green IT Points</t>
  </si>
  <si>
    <t>1 Pt for every 33%</t>
  </si>
  <si>
    <t>Email</t>
  </si>
  <si>
    <t>Total Transportation Points</t>
  </si>
  <si>
    <t>Green Transportation Actions</t>
  </si>
  <si>
    <t>Green Recycling Actions</t>
  </si>
  <si>
    <t>Green Actions</t>
  </si>
  <si>
    <t>TOTAL (+Bonus)</t>
    <phoneticPr fontId="1" type="noConversion"/>
  </si>
  <si>
    <t>Total # Computers turned off at night</t>
    <phoneticPr fontId="1" type="noConversion"/>
  </si>
  <si>
    <t>Recycling &amp; Events</t>
    <phoneticPr fontId="1" type="noConversion"/>
  </si>
  <si>
    <t>Purchasing</t>
    <phoneticPr fontId="1" type="noConversion"/>
  </si>
  <si>
    <t>2 Pts, Enter "YES", "NO", or "N/A" in cell below this one.</t>
  </si>
  <si>
    <t>Click here to return to Summary page</t>
  </si>
  <si>
    <t>NO</t>
    <phoneticPr fontId="1" type="noConversion"/>
  </si>
  <si>
    <t>NO</t>
    <phoneticPr fontId="1" type="noConversion"/>
  </si>
  <si>
    <t>ENTER NAMES</t>
    <phoneticPr fontId="24" type="noConversion"/>
  </si>
  <si>
    <t>YES</t>
    <phoneticPr fontId="1" type="noConversion"/>
  </si>
  <si>
    <t>NO</t>
    <phoneticPr fontId="1" type="noConversion"/>
  </si>
  <si>
    <t>FILL IN THE GREEN CELLS ONLY</t>
  </si>
  <si>
    <t>Total Events &amp; Waste Points</t>
  </si>
  <si>
    <t>Total # Employees in office</t>
    <phoneticPr fontId="1" type="noConversion"/>
  </si>
  <si>
    <t>ENTER CONTACT NAME</t>
    <phoneticPr fontId="24" type="noConversion"/>
  </si>
  <si>
    <t>3. Lights are turned off when not in use</t>
    <phoneticPr fontId="1" type="noConversion"/>
  </si>
  <si>
    <t>4. Signs are posted on/near switches</t>
    <phoneticPr fontId="1" type="noConversion"/>
  </si>
  <si>
    <t>Green Office Categories</t>
    <phoneticPr fontId="1" type="noConversion"/>
  </si>
  <si>
    <t>Office/ Department Name</t>
    <phoneticPr fontId="24" type="noConversion"/>
  </si>
  <si>
    <t>Directions:</t>
    <phoneticPr fontId="1" type="noConversion"/>
  </si>
  <si>
    <r>
      <t xml:space="preserve">Use the </t>
    </r>
    <r>
      <rPr>
        <b/>
        <u/>
        <sz val="26"/>
        <rFont val="Arial"/>
      </rPr>
      <t>tabs</t>
    </r>
    <r>
      <rPr>
        <b/>
        <sz val="26"/>
        <rFont val="Arial"/>
      </rPr>
      <t xml:space="preserve"> below (Contact Info, Energy, Recycling &amp; Events, etc.) to navigate to individual sections and enter the data about your office practices.               Scroll down on </t>
    </r>
    <r>
      <rPr>
        <b/>
        <u/>
        <sz val="26"/>
        <rFont val="Arial"/>
      </rPr>
      <t>this page</t>
    </r>
    <r>
      <rPr>
        <b/>
        <sz val="26"/>
        <rFont val="Arial"/>
      </rPr>
      <t xml:space="preserve"> to see a summary report.</t>
    </r>
    <phoneticPr fontId="1" type="noConversion"/>
  </si>
  <si>
    <r>
      <t xml:space="preserve">If people use more than one of these methods to get to work please enter them in only one category. (i.e. If John bikes some days and carpools others enter him for </t>
    </r>
    <r>
      <rPr>
        <i/>
        <sz val="24"/>
        <color indexed="10"/>
        <rFont val="Arial"/>
      </rPr>
      <t xml:space="preserve">either </t>
    </r>
    <r>
      <rPr>
        <sz val="24"/>
        <color indexed="10"/>
        <rFont val="Arial"/>
      </rPr>
      <t>the bike/walk or carpool cell).  If you are unsure of how many people bike/walk- feel free to estimate.</t>
    </r>
    <phoneticPr fontId="1" type="noConversion"/>
  </si>
  <si>
    <t xml:space="preserve">2 Pts, Enter "YES" or "NO" in cell below this one.  </t>
  </si>
  <si>
    <t>B) New appliances are purchased with Energy Star or similar models.</t>
    <phoneticPr fontId="42" type="noConversion"/>
  </si>
  <si>
    <t>50% recycled content</t>
    <phoneticPr fontId="24" type="noConversion"/>
  </si>
  <si>
    <t>100% recycled content</t>
    <phoneticPr fontId="24" type="noConversion"/>
  </si>
  <si>
    <t>NO</t>
    <phoneticPr fontId="24" type="noConversion"/>
  </si>
  <si>
    <t>B) Recycling signs/posters are posted</t>
    <phoneticPr fontId="1" type="noConversion"/>
  </si>
  <si>
    <t>Total # Computers</t>
  </si>
  <si>
    <t>C) Do you ever rent bikes from the CU Bike Station to run errands? (there are bike trucks available too!)</t>
    <phoneticPr fontId="1" type="noConversion"/>
  </si>
  <si>
    <t>A) Recycling procedures were discussed at staff meeting</t>
    <phoneticPr fontId="1" type="noConversion"/>
  </si>
  <si>
    <t>Total Energy Points</t>
  </si>
  <si>
    <t xml:space="preserve">1 Pt, Enter "YES" or "NO" in cell below this one. </t>
  </si>
  <si>
    <t>Transportation</t>
  </si>
  <si>
    <t>1 Pts, Enter "YES", "NO", or "N/A" in cell below this one.</t>
  </si>
  <si>
    <t>YOUR INNOVATION HERE</t>
  </si>
  <si>
    <t xml:space="preserve">C)  Recycling Bins in all common areas where trash bins are present </t>
  </si>
  <si>
    <t>B) Equipment Inventory</t>
  </si>
  <si>
    <t># Multi-function Copiers</t>
  </si>
  <si>
    <t># Desk-side Printers</t>
  </si>
  <si>
    <t># Fax Machines</t>
  </si>
  <si>
    <t># Scanners</t>
  </si>
  <si>
    <t>C) Is your Copier Energy Star rated?</t>
  </si>
  <si>
    <t>YES</t>
  </si>
  <si>
    <t>No point value</t>
  </si>
  <si>
    <t>D) Copier and Printer Toners are recyled</t>
  </si>
  <si>
    <t>E) Special materials are collected            -Disks, transparencies, tyvek</t>
  </si>
  <si>
    <t>F) Contact Property Services to dispose of big office equipment to see if they can be salvaged</t>
  </si>
  <si>
    <t xml:space="preserve">G) Do you ever have and/or plan events? </t>
  </si>
  <si>
    <r>
      <rPr>
        <b/>
        <sz val="14"/>
        <color rgb="FFFF0000"/>
        <rFont val="Arial"/>
      </rPr>
      <t>COMMENT REQURIED</t>
    </r>
    <r>
      <rPr>
        <b/>
        <sz val="14"/>
        <color indexed="8"/>
        <rFont val="Arial"/>
        <family val="2"/>
      </rPr>
      <t>: Please note where they are purchased and what kind.</t>
    </r>
  </si>
  <si>
    <t>E) Compact fluorescent light bulbs are in all floor and desk lamps with screw-in bulbs.</t>
  </si>
  <si>
    <t>F) Computers shut down completely at night</t>
  </si>
  <si>
    <t>G) Office has installed power strips that are turned off when staff leaves office for the day (for small appliances too)</t>
  </si>
  <si>
    <r>
      <t xml:space="preserve">H) </t>
    </r>
    <r>
      <rPr>
        <b/>
        <sz val="16"/>
        <color indexed="8"/>
        <rFont val="Arial"/>
      </rPr>
      <t>Light</t>
    </r>
    <r>
      <rPr>
        <b/>
        <sz val="14"/>
        <color indexed="8"/>
        <rFont val="Arial"/>
        <family val="2"/>
      </rPr>
      <t xml:space="preserve">                                            </t>
    </r>
  </si>
  <si>
    <t xml:space="preserve">I)Thermostat settings are regulated    68° or below in winter&amp; 75° or above in sum                                             </t>
  </si>
  <si>
    <t>J) Windows are shut at night and during cold weather</t>
  </si>
  <si>
    <t>K) Refrigerator Temperature is 37° F and freezer is 3-5°F</t>
  </si>
  <si>
    <t>L) Signs are posted about turning off appliances</t>
  </si>
  <si>
    <t>C) There a printer/copier tray desginated for single sided printing that uses scrap paper only</t>
  </si>
  <si>
    <t>D) There is an area designated for sharing office supplies that can be reused - folders, file clips, covers, pens…</t>
  </si>
  <si>
    <t>E) Reuse used paper for scratch paper and area designated for this scratch paper</t>
  </si>
  <si>
    <r>
      <t xml:space="preserve">F) Are Bright/dark (astrobright) paper and/or plastic covers used in print jobs?                                                                                                      If yes,  2 points will be </t>
    </r>
    <r>
      <rPr>
        <b/>
        <u/>
        <sz val="14"/>
        <color indexed="8"/>
        <rFont val="Arial"/>
      </rPr>
      <t>deducted</t>
    </r>
  </si>
  <si>
    <t>G) Do you accurately estimate large quantities of copies, catalogs, brochures so that there isn't a huge surplus</t>
  </si>
  <si>
    <t>H) Make an effort to minimize packaging by consolidating purchasing orders to once a week/twice a week...</t>
  </si>
  <si>
    <t>I) Use resuable cups, dishes, mugs, utensils in the kitchen</t>
  </si>
  <si>
    <t>J) Reuse plastic grocery bags</t>
  </si>
  <si>
    <r>
      <t xml:space="preserve">D) Do you have any standalone machines including desk-side printers, fax machines, or scanners?                                               If yes, 3 points will be </t>
    </r>
    <r>
      <rPr>
        <b/>
        <u/>
        <sz val="14"/>
        <color indexed="8"/>
        <rFont val="Arial"/>
      </rPr>
      <t>deducted.</t>
    </r>
  </si>
  <si>
    <t xml:space="preserve">3 Pts, Enter "YES" or "NO" in cell below this one.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</si>
</sst>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76" x14ac:knownFonts="1">
    <font>
      <sz val="10"/>
      <name val="Arial"/>
    </font>
    <font>
      <sz val="8"/>
      <name val="Arial"/>
      <family val="2"/>
    </font>
    <font>
      <u/>
      <sz val="10"/>
      <color indexed="12"/>
      <name val="Arial"/>
    </font>
    <font>
      <sz val="14"/>
      <color indexed="8"/>
      <name val="Arial"/>
      <family val="2"/>
    </font>
    <font>
      <b/>
      <sz val="14"/>
      <color indexed="8"/>
      <name val="Arial"/>
      <family val="2"/>
    </font>
    <font>
      <sz val="10"/>
      <name val="Arial"/>
    </font>
    <font>
      <sz val="14"/>
      <name val="Arial"/>
      <family val="2"/>
    </font>
    <font>
      <b/>
      <sz val="14"/>
      <name val="Arial"/>
      <family val="2"/>
    </font>
    <font>
      <sz val="14"/>
      <name val="Arial"/>
      <family val="2"/>
    </font>
    <font>
      <shadow/>
      <u/>
      <sz val="24"/>
      <color indexed="11"/>
      <name val="Arial"/>
    </font>
    <font>
      <sz val="24"/>
      <color indexed="63"/>
      <name val="Arial"/>
    </font>
    <font>
      <b/>
      <u val="double"/>
      <sz val="20"/>
      <color indexed="63"/>
      <name val="Arial"/>
    </font>
    <font>
      <sz val="28"/>
      <color indexed="63"/>
      <name val="Arial"/>
    </font>
    <font>
      <sz val="12"/>
      <color indexed="9"/>
      <name val="Arial"/>
      <family val="2"/>
    </font>
    <font>
      <b/>
      <sz val="24"/>
      <color indexed="63"/>
      <name val="Arial"/>
    </font>
    <font>
      <b/>
      <u val="double"/>
      <sz val="20"/>
      <color indexed="23"/>
      <name val="Arial"/>
    </font>
    <font>
      <sz val="10"/>
      <color indexed="23"/>
      <name val="Arial"/>
    </font>
    <font>
      <b/>
      <sz val="20"/>
      <color indexed="8"/>
      <name val="Arial"/>
      <family val="2"/>
    </font>
    <font>
      <sz val="20"/>
      <name val="Arial"/>
    </font>
    <font>
      <b/>
      <sz val="20"/>
      <color indexed="8"/>
      <name val="Arial"/>
      <family val="2"/>
    </font>
    <font>
      <b/>
      <sz val="20"/>
      <name val="Arial"/>
      <family val="2"/>
    </font>
    <font>
      <b/>
      <sz val="28"/>
      <color indexed="63"/>
      <name val="Arial"/>
      <family val="2"/>
    </font>
    <font>
      <b/>
      <sz val="10"/>
      <name val="Arial"/>
      <family val="2"/>
    </font>
    <font>
      <b/>
      <u val="double"/>
      <sz val="20"/>
      <name val="Arial"/>
      <family val="2"/>
    </font>
    <font>
      <sz val="8"/>
      <name val="Verdana"/>
    </font>
    <font>
      <b/>
      <sz val="28"/>
      <color indexed="8"/>
      <name val="Arial"/>
    </font>
    <font>
      <b/>
      <sz val="24"/>
      <color indexed="11"/>
      <name val="Arial"/>
    </font>
    <font>
      <sz val="20"/>
      <color indexed="9"/>
      <name val="Arial"/>
    </font>
    <font>
      <b/>
      <sz val="28"/>
      <color indexed="11"/>
      <name val="Arial"/>
    </font>
    <font>
      <b/>
      <sz val="28"/>
      <color indexed="9"/>
      <name val="Arial"/>
    </font>
    <font>
      <b/>
      <sz val="22"/>
      <color indexed="8"/>
      <name val="Arial"/>
    </font>
    <font>
      <b/>
      <sz val="28"/>
      <name val="Arial"/>
    </font>
    <font>
      <sz val="10"/>
      <color indexed="11"/>
      <name val="Arial"/>
    </font>
    <font>
      <b/>
      <sz val="19"/>
      <color indexed="11"/>
      <name val="Arial"/>
    </font>
    <font>
      <sz val="19"/>
      <color indexed="11"/>
      <name val="Arial"/>
    </font>
    <font>
      <b/>
      <u/>
      <sz val="14"/>
      <color indexed="12"/>
      <name val="Arial"/>
      <family val="2"/>
    </font>
    <font>
      <b/>
      <sz val="28"/>
      <color indexed="63"/>
      <name val="Arial"/>
      <family val="2"/>
    </font>
    <font>
      <b/>
      <sz val="26"/>
      <color indexed="11"/>
      <name val="Arial"/>
      <family val="2"/>
    </font>
    <font>
      <sz val="16"/>
      <name val="Arial"/>
    </font>
    <font>
      <sz val="12"/>
      <color indexed="9"/>
      <name val="Arial"/>
      <family val="2"/>
    </font>
    <font>
      <b/>
      <u/>
      <sz val="18"/>
      <color indexed="10"/>
      <name val="Arial"/>
      <family val="2"/>
    </font>
    <font>
      <b/>
      <sz val="16"/>
      <color indexed="8"/>
      <name val="Arial"/>
    </font>
    <font>
      <sz val="10"/>
      <name val="Verdana"/>
    </font>
    <font>
      <sz val="20"/>
      <color indexed="10"/>
      <name val="Arial"/>
    </font>
    <font>
      <b/>
      <u/>
      <sz val="18"/>
      <color indexed="11"/>
      <name val="Arial"/>
    </font>
    <font>
      <b/>
      <sz val="26"/>
      <name val="Arial"/>
    </font>
    <font>
      <b/>
      <sz val="16"/>
      <name val="Arial"/>
    </font>
    <font>
      <b/>
      <sz val="36"/>
      <color indexed="63"/>
      <name val="Arial"/>
    </font>
    <font>
      <b/>
      <sz val="36"/>
      <color indexed="11"/>
      <name val="Arial"/>
    </font>
    <font>
      <sz val="22"/>
      <name val="Arial"/>
    </font>
    <font>
      <b/>
      <u/>
      <sz val="24"/>
      <color indexed="63"/>
      <name val="Arial"/>
    </font>
    <font>
      <b/>
      <u/>
      <sz val="20"/>
      <name val="Arial"/>
    </font>
    <font>
      <sz val="24"/>
      <color indexed="10"/>
      <name val="Arial"/>
    </font>
    <font>
      <b/>
      <i/>
      <sz val="14"/>
      <color indexed="8"/>
      <name val="Arial"/>
    </font>
    <font>
      <sz val="14"/>
      <color indexed="11"/>
      <name val="Arial"/>
    </font>
    <font>
      <i/>
      <sz val="24"/>
      <color indexed="10"/>
      <name val="Arial"/>
    </font>
    <font>
      <b/>
      <sz val="36"/>
      <name val="Arial"/>
    </font>
    <font>
      <b/>
      <sz val="38"/>
      <name val="Arial"/>
    </font>
    <font>
      <b/>
      <sz val="20"/>
      <color indexed="10"/>
      <name val="Arial"/>
    </font>
    <font>
      <sz val="10"/>
      <color indexed="10"/>
      <name val="Arial"/>
    </font>
    <font>
      <b/>
      <u/>
      <sz val="26"/>
      <name val="Arial"/>
    </font>
    <font>
      <b/>
      <sz val="18"/>
      <color indexed="11"/>
      <name val="Arial"/>
    </font>
    <font>
      <b/>
      <sz val="16"/>
      <color indexed="81"/>
      <name val="Arial"/>
    </font>
    <font>
      <sz val="16"/>
      <color indexed="81"/>
      <name val="Arial"/>
    </font>
    <font>
      <sz val="10"/>
      <name val="Arial"/>
    </font>
    <font>
      <sz val="26"/>
      <name val="Arial"/>
    </font>
    <font>
      <b/>
      <u/>
      <sz val="36"/>
      <name val="Arial"/>
    </font>
    <font>
      <sz val="36"/>
      <name val="Arial"/>
    </font>
    <font>
      <sz val="9"/>
      <color indexed="81"/>
      <name val="Arial"/>
    </font>
    <font>
      <b/>
      <u/>
      <sz val="14"/>
      <color indexed="8"/>
      <name val="Arial"/>
    </font>
    <font>
      <sz val="22"/>
      <color indexed="81"/>
      <name val="Arial"/>
    </font>
    <font>
      <b/>
      <sz val="22"/>
      <color indexed="81"/>
      <name val="Arial"/>
    </font>
    <font>
      <u/>
      <sz val="10"/>
      <color theme="11"/>
      <name val="Arial"/>
    </font>
    <font>
      <sz val="10"/>
      <color indexed="81"/>
      <name val="Arial"/>
    </font>
    <font>
      <b/>
      <sz val="24"/>
      <color rgb="FF000000"/>
      <name val="Arial"/>
    </font>
    <font>
      <b/>
      <sz val="14"/>
      <color rgb="FFFF0000"/>
      <name val="Arial"/>
    </font>
  </fonts>
  <fills count="12">
    <fill>
      <patternFill patternType="none"/>
    </fill>
    <fill>
      <patternFill patternType="gray125"/>
    </fill>
    <fill>
      <patternFill patternType="solid">
        <fgColor indexed="8"/>
        <bgColor indexed="64"/>
      </patternFill>
    </fill>
    <fill>
      <patternFill patternType="solid">
        <fgColor indexed="11"/>
        <bgColor indexed="64"/>
      </patternFill>
    </fill>
    <fill>
      <patternFill patternType="solid">
        <fgColor indexed="23"/>
        <bgColor indexed="64"/>
      </patternFill>
    </fill>
    <fill>
      <patternFill patternType="solid">
        <fgColor indexed="43"/>
        <bgColor indexed="64"/>
      </patternFill>
    </fill>
    <fill>
      <patternFill patternType="solid">
        <fgColor indexed="42"/>
        <bgColor indexed="64"/>
      </patternFill>
    </fill>
    <fill>
      <patternFill patternType="solid">
        <fgColor indexed="48"/>
        <bgColor indexed="64"/>
      </patternFill>
    </fill>
    <fill>
      <patternFill patternType="solid">
        <fgColor indexed="42"/>
        <bgColor indexed="51"/>
      </patternFill>
    </fill>
    <fill>
      <patternFill patternType="solid">
        <fgColor indexed="13"/>
        <bgColor indexed="64"/>
      </patternFill>
    </fill>
    <fill>
      <patternFill patternType="solid">
        <fgColor indexed="9"/>
        <bgColor indexed="64"/>
      </patternFill>
    </fill>
    <fill>
      <patternFill patternType="solid">
        <fgColor rgb="FF1FB714"/>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s>
  <cellStyleXfs count="22">
    <xf numFmtId="0" fontId="0" fillId="0" borderId="0"/>
    <xf numFmtId="0" fontId="2" fillId="0" borderId="0" applyNumberFormat="0" applyFill="0" applyBorder="0" applyAlignment="0" applyProtection="0">
      <alignment vertical="top"/>
      <protection locked="0"/>
    </xf>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cellStyleXfs>
  <cellXfs count="310">
    <xf numFmtId="0" fontId="0" fillId="0" borderId="0" xfId="0"/>
    <xf numFmtId="0" fontId="9" fillId="0" borderId="0" xfId="1" applyFont="1" applyBorder="1" applyAlignment="1" applyProtection="1"/>
    <xf numFmtId="0" fontId="0" fillId="0" borderId="0" xfId="0" applyBorder="1"/>
    <xf numFmtId="0" fontId="14" fillId="0" borderId="0" xfId="0" applyFont="1" applyBorder="1" applyAlignment="1">
      <alignment horizontal="center"/>
    </xf>
    <xf numFmtId="0" fontId="0" fillId="2" borderId="0" xfId="0" applyFill="1" applyBorder="1"/>
    <xf numFmtId="0" fontId="9" fillId="0" borderId="0" xfId="1" applyFont="1" applyFill="1" applyBorder="1" applyAlignment="1" applyProtection="1"/>
    <xf numFmtId="0" fontId="0" fillId="0" borderId="0" xfId="0" applyAlignment="1"/>
    <xf numFmtId="0" fontId="0" fillId="0" borderId="2" xfId="0" applyFill="1" applyBorder="1"/>
    <xf numFmtId="0" fontId="29" fillId="3" borderId="0" xfId="0" applyFont="1" applyFill="1" applyBorder="1" applyAlignment="1" applyProtection="1">
      <alignment horizontal="center" vertical="center" wrapText="1"/>
      <protection locked="0"/>
    </xf>
    <xf numFmtId="0" fontId="29" fillId="3" borderId="0" xfId="0" applyFont="1" applyFill="1" applyAlignment="1" applyProtection="1">
      <alignment horizontal="center" vertical="center" wrapText="1"/>
      <protection locked="0"/>
    </xf>
    <xf numFmtId="0" fontId="34" fillId="0" borderId="2" xfId="0" applyFont="1" applyFill="1" applyBorder="1"/>
    <xf numFmtId="2" fontId="26" fillId="0" borderId="0" xfId="0" applyNumberFormat="1" applyFont="1" applyBorder="1" applyAlignment="1">
      <alignment horizontal="center"/>
    </xf>
    <xf numFmtId="0" fontId="0" fillId="0" borderId="0" xfId="0" applyProtection="1"/>
    <xf numFmtId="0" fontId="4" fillId="0" borderId="0" xfId="0" applyFont="1" applyBorder="1" applyAlignment="1" applyProtection="1">
      <alignment vertical="top" wrapText="1"/>
    </xf>
    <xf numFmtId="0" fontId="4" fillId="0" borderId="0" xfId="0" applyFont="1" applyBorder="1" applyAlignment="1" applyProtection="1">
      <alignment horizontal="center" vertical="center" wrapText="1"/>
    </xf>
    <xf numFmtId="0" fontId="29" fillId="3" borderId="0" xfId="0" applyFont="1" applyFill="1" applyBorder="1" applyAlignment="1" applyProtection="1">
      <alignment horizontal="center" vertical="center" wrapText="1"/>
    </xf>
    <xf numFmtId="0" fontId="28" fillId="4" borderId="0" xfId="0" applyFont="1" applyFill="1" applyBorder="1" applyAlignment="1" applyProtection="1">
      <alignment horizontal="center" vertical="center" wrapText="1"/>
    </xf>
    <xf numFmtId="0" fontId="21" fillId="4" borderId="0" xfId="0" applyFont="1" applyFill="1" applyBorder="1" applyAlignment="1" applyProtection="1">
      <alignment horizontal="center" vertical="center" wrapText="1"/>
    </xf>
    <xf numFmtId="0" fontId="30" fillId="4" borderId="0" xfId="0" applyFont="1" applyFill="1" applyBorder="1" applyAlignment="1" applyProtection="1">
      <alignment horizontal="center" vertical="center" wrapText="1"/>
    </xf>
    <xf numFmtId="0" fontId="4" fillId="4" borderId="0" xfId="0" applyFont="1" applyFill="1" applyBorder="1" applyAlignment="1" applyProtection="1">
      <alignment vertical="top" wrapText="1"/>
    </xf>
    <xf numFmtId="0" fontId="17" fillId="0" borderId="0" xfId="0" applyFont="1" applyFill="1" applyBorder="1" applyAlignment="1" applyProtection="1">
      <alignment vertical="top" wrapText="1"/>
    </xf>
    <xf numFmtId="0" fontId="5" fillId="0" borderId="0" xfId="0" applyFont="1" applyBorder="1" applyAlignment="1" applyProtection="1">
      <alignment horizontal="left"/>
    </xf>
    <xf numFmtId="0" fontId="28" fillId="0" borderId="0" xfId="0" applyFont="1" applyBorder="1" applyAlignment="1" applyProtection="1">
      <alignment horizontal="center" vertical="center"/>
    </xf>
    <xf numFmtId="0" fontId="21" fillId="0" borderId="0" xfId="0" applyFont="1" applyBorder="1" applyAlignment="1" applyProtection="1">
      <alignment horizontal="center" vertical="center"/>
    </xf>
    <xf numFmtId="0" fontId="0" fillId="0" borderId="0" xfId="0" applyAlignment="1" applyProtection="1">
      <alignment horizontal="left"/>
    </xf>
    <xf numFmtId="0" fontId="0" fillId="0" borderId="0" xfId="0" applyBorder="1" applyProtection="1"/>
    <xf numFmtId="2" fontId="4" fillId="0" borderId="0" xfId="0" applyNumberFormat="1" applyFont="1" applyBorder="1" applyAlignment="1" applyProtection="1">
      <alignment vertical="top" wrapText="1"/>
    </xf>
    <xf numFmtId="164" fontId="28" fillId="0" borderId="0" xfId="0" applyNumberFormat="1" applyFont="1" applyBorder="1" applyAlignment="1" applyProtection="1">
      <alignment horizontal="center" vertical="center"/>
    </xf>
    <xf numFmtId="2" fontId="0" fillId="0" borderId="0" xfId="0" applyNumberFormat="1" applyBorder="1" applyProtection="1"/>
    <xf numFmtId="0" fontId="4" fillId="0" borderId="0" xfId="0" applyFont="1" applyFill="1" applyBorder="1" applyAlignment="1" applyProtection="1">
      <alignment horizontal="center" vertical="center" wrapText="1"/>
    </xf>
    <xf numFmtId="0" fontId="4" fillId="0" borderId="0" xfId="0" applyFont="1" applyFill="1" applyBorder="1" applyAlignment="1" applyProtection="1">
      <alignment vertical="top" wrapText="1"/>
    </xf>
    <xf numFmtId="0" fontId="27" fillId="0" borderId="0" xfId="0" applyFont="1" applyFill="1" applyAlignment="1" applyProtection="1"/>
    <xf numFmtId="0" fontId="5" fillId="0" borderId="0" xfId="0" applyFont="1" applyBorder="1" applyProtection="1"/>
    <xf numFmtId="0" fontId="0" fillId="0" borderId="0" xfId="0" applyFill="1" applyBorder="1" applyProtection="1"/>
    <xf numFmtId="0" fontId="4" fillId="0" borderId="0" xfId="0" applyFont="1" applyAlignment="1" applyProtection="1">
      <alignment vertical="top" wrapText="1"/>
    </xf>
    <xf numFmtId="0" fontId="31" fillId="0" borderId="0" xfId="0" applyFont="1" applyBorder="1" applyAlignment="1" applyProtection="1">
      <alignment horizontal="center" vertical="center"/>
    </xf>
    <xf numFmtId="0" fontId="0" fillId="0" borderId="0" xfId="0" applyFill="1" applyBorder="1" applyAlignment="1" applyProtection="1"/>
    <xf numFmtId="0" fontId="0" fillId="0" borderId="0" xfId="0" applyFill="1" applyProtection="1"/>
    <xf numFmtId="0" fontId="4" fillId="0" borderId="0" xfId="0" applyFont="1" applyBorder="1" applyAlignment="1" applyProtection="1">
      <alignment horizontal="center" vertical="top" wrapText="1"/>
    </xf>
    <xf numFmtId="0" fontId="22" fillId="0" borderId="0" xfId="0" applyFont="1" applyBorder="1" applyProtection="1"/>
    <xf numFmtId="0" fontId="21" fillId="0" borderId="0" xfId="0" applyFont="1" applyBorder="1" applyAlignment="1" applyProtection="1">
      <alignment horizontal="center" vertical="center" wrapText="1"/>
    </xf>
    <xf numFmtId="0" fontId="3" fillId="0" borderId="0" xfId="0" applyFont="1" applyBorder="1" applyAlignment="1" applyProtection="1">
      <alignment vertical="top" wrapText="1"/>
    </xf>
    <xf numFmtId="0" fontId="17" fillId="0" borderId="0" xfId="0" applyFont="1" applyFill="1" applyBorder="1" applyAlignment="1" applyProtection="1">
      <alignment vertical="center" wrapText="1"/>
    </xf>
    <xf numFmtId="0" fontId="5" fillId="0" borderId="0" xfId="0" applyFont="1" applyBorder="1" applyAlignment="1" applyProtection="1">
      <alignment vertical="center"/>
    </xf>
    <xf numFmtId="0" fontId="0" fillId="0" borderId="0" xfId="0" applyAlignment="1" applyProtection="1">
      <alignment vertical="center"/>
    </xf>
    <xf numFmtId="0" fontId="35" fillId="0" borderId="0" xfId="1" applyFont="1" applyBorder="1" applyAlignment="1" applyProtection="1">
      <alignment horizontal="left" vertical="top" wrapText="1"/>
    </xf>
    <xf numFmtId="1" fontId="21" fillId="0" borderId="0" xfId="0" applyNumberFormat="1" applyFont="1" applyBorder="1" applyAlignment="1" applyProtection="1">
      <alignment horizontal="center" vertical="center"/>
    </xf>
    <xf numFmtId="1" fontId="14" fillId="0" borderId="0" xfId="0" applyNumberFormat="1" applyFont="1" applyBorder="1" applyAlignment="1">
      <alignment horizontal="center"/>
    </xf>
    <xf numFmtId="0" fontId="20" fillId="0" borderId="0" xfId="0" applyFont="1" applyBorder="1" applyAlignment="1" applyProtection="1">
      <alignment horizontal="left" vertical="center"/>
    </xf>
    <xf numFmtId="0" fontId="0" fillId="0" borderId="0" xfId="0" applyBorder="1" applyAlignment="1" applyProtection="1">
      <alignment vertical="center"/>
    </xf>
    <xf numFmtId="0" fontId="22" fillId="0" borderId="0" xfId="0" applyFont="1" applyProtection="1"/>
    <xf numFmtId="164" fontId="0" fillId="0" borderId="0" xfId="0" applyNumberFormat="1" applyBorder="1" applyProtection="1"/>
    <xf numFmtId="0" fontId="28" fillId="0" borderId="0" xfId="0" applyFont="1" applyBorder="1" applyAlignment="1" applyProtection="1">
      <alignment vertical="center" wrapText="1"/>
    </xf>
    <xf numFmtId="2" fontId="4" fillId="0" borderId="0" xfId="0" applyNumberFormat="1" applyFont="1" applyBorder="1" applyAlignment="1" applyProtection="1">
      <alignment horizontal="center" vertical="top" wrapText="1"/>
    </xf>
    <xf numFmtId="2" fontId="0" fillId="0" borderId="0" xfId="0" applyNumberFormat="1" applyBorder="1" applyAlignment="1" applyProtection="1">
      <alignment horizontal="center"/>
    </xf>
    <xf numFmtId="0" fontId="0" fillId="0" borderId="0" xfId="0" applyBorder="1" applyAlignment="1" applyProtection="1">
      <alignment horizontal="center"/>
    </xf>
    <xf numFmtId="0" fontId="38" fillId="0" borderId="0" xfId="0" applyFont="1" applyFill="1" applyAlignment="1">
      <alignment wrapText="1"/>
    </xf>
    <xf numFmtId="0" fontId="0" fillId="0" borderId="0" xfId="0" applyAlignment="1">
      <alignment vertical="center"/>
    </xf>
    <xf numFmtId="0" fontId="20" fillId="0" borderId="0" xfId="0" applyFont="1" applyBorder="1" applyAlignment="1" applyProtection="1">
      <alignment vertical="center"/>
    </xf>
    <xf numFmtId="0" fontId="0" fillId="0" borderId="0" xfId="0" applyAlignment="1">
      <alignment vertical="center" wrapText="1"/>
    </xf>
    <xf numFmtId="0" fontId="21" fillId="0" borderId="0" xfId="0" applyFont="1" applyFill="1" applyBorder="1" applyAlignment="1">
      <alignment horizontal="center" vertical="center"/>
    </xf>
    <xf numFmtId="0" fontId="12" fillId="0" borderId="0" xfId="0" applyFont="1" applyFill="1" applyBorder="1" applyAlignment="1">
      <alignment horizontal="center" vertical="center"/>
    </xf>
    <xf numFmtId="2" fontId="28" fillId="0" borderId="0" xfId="0" applyNumberFormat="1" applyFont="1" applyBorder="1" applyAlignment="1">
      <alignment horizontal="center" vertical="center"/>
    </xf>
    <xf numFmtId="0" fontId="0" fillId="0" borderId="0" xfId="0" applyBorder="1" applyAlignment="1">
      <alignment vertical="center"/>
    </xf>
    <xf numFmtId="0" fontId="35" fillId="0" borderId="0" xfId="1" applyFont="1" applyBorder="1" applyAlignment="1" applyProtection="1">
      <alignment vertical="top" wrapText="1"/>
    </xf>
    <xf numFmtId="0" fontId="40" fillId="5" borderId="1" xfId="1" applyFont="1" applyFill="1" applyBorder="1" applyAlignment="1" applyProtection="1">
      <alignment horizontal="center" vertical="center"/>
    </xf>
    <xf numFmtId="1" fontId="28" fillId="0" borderId="0" xfId="0" applyNumberFormat="1" applyFont="1" applyBorder="1" applyAlignment="1" applyProtection="1">
      <alignment horizontal="center" vertical="center" wrapText="1"/>
    </xf>
    <xf numFmtId="164" fontId="28" fillId="0" borderId="0" xfId="0" applyNumberFormat="1" applyFont="1" applyAlignment="1" applyProtection="1">
      <alignment horizontal="center" vertical="center" wrapText="1"/>
    </xf>
    <xf numFmtId="0" fontId="4" fillId="0" borderId="0" xfId="0" applyFont="1" applyAlignment="1">
      <alignment vertical="top" wrapText="1"/>
    </xf>
    <xf numFmtId="0" fontId="4" fillId="6" borderId="0" xfId="0" applyFont="1" applyFill="1" applyBorder="1" applyAlignment="1" applyProtection="1">
      <alignment vertical="top" wrapText="1"/>
    </xf>
    <xf numFmtId="0" fontId="7" fillId="0" borderId="0" xfId="0" applyFont="1" applyFill="1" applyBorder="1" applyAlignment="1" applyProtection="1">
      <alignment wrapText="1"/>
    </xf>
    <xf numFmtId="0" fontId="7" fillId="0" borderId="0" xfId="0" applyFont="1" applyFill="1" applyAlignment="1" applyProtection="1">
      <alignment wrapText="1"/>
    </xf>
    <xf numFmtId="0" fontId="31" fillId="0" borderId="0" xfId="0" applyFont="1" applyAlignment="1" applyProtection="1">
      <alignment horizontal="center" vertical="center" wrapText="1"/>
    </xf>
    <xf numFmtId="2" fontId="28" fillId="0" borderId="0" xfId="0" applyNumberFormat="1" applyFont="1" applyFill="1" applyBorder="1" applyAlignment="1" applyProtection="1">
      <alignment horizontal="center" vertical="center" wrapText="1"/>
    </xf>
    <xf numFmtId="164" fontId="31" fillId="0" borderId="0" xfId="0" applyNumberFormat="1" applyFont="1" applyBorder="1" applyAlignment="1" applyProtection="1">
      <alignment horizontal="center" vertical="center"/>
    </xf>
    <xf numFmtId="0" fontId="7" fillId="0" borderId="0" xfId="0" applyFont="1" applyAlignment="1">
      <alignment wrapText="1"/>
    </xf>
    <xf numFmtId="0" fontId="43" fillId="0" borderId="0" xfId="0" applyFont="1" applyFill="1" applyProtection="1"/>
    <xf numFmtId="0" fontId="38" fillId="0" borderId="0" xfId="0" applyFont="1" applyFill="1" applyProtection="1"/>
    <xf numFmtId="0" fontId="7" fillId="0" borderId="0" xfId="1" applyFont="1" applyBorder="1" applyAlignment="1" applyProtection="1">
      <alignment vertical="top" wrapText="1"/>
    </xf>
    <xf numFmtId="164" fontId="21" fillId="0" borderId="0" xfId="0" applyNumberFormat="1" applyFont="1" applyBorder="1" applyAlignment="1" applyProtection="1">
      <alignment horizontal="center" vertical="center"/>
    </xf>
    <xf numFmtId="0" fontId="0" fillId="7" borderId="0" xfId="0" applyFill="1" applyAlignment="1"/>
    <xf numFmtId="0" fontId="0" fillId="7" borderId="0" xfId="0" applyFill="1"/>
    <xf numFmtId="0" fontId="8" fillId="7" borderId="0" xfId="0" applyFont="1" applyFill="1" applyBorder="1"/>
    <xf numFmtId="0" fontId="0" fillId="7" borderId="0" xfId="0" applyFill="1" applyBorder="1"/>
    <xf numFmtId="0" fontId="22" fillId="7" borderId="0" xfId="0" applyFont="1" applyFill="1" applyBorder="1"/>
    <xf numFmtId="0" fontId="7" fillId="7" borderId="0" xfId="0" applyFont="1" applyFill="1" applyBorder="1" applyAlignment="1">
      <alignment vertical="center"/>
    </xf>
    <xf numFmtId="0" fontId="14" fillId="7" borderId="0" xfId="0" applyFont="1" applyFill="1" applyBorder="1" applyAlignment="1">
      <alignment horizontal="center"/>
    </xf>
    <xf numFmtId="0" fontId="28" fillId="7" borderId="0" xfId="0" applyFont="1" applyFill="1" applyBorder="1" applyAlignment="1">
      <alignment horizontal="center" vertical="center"/>
    </xf>
    <xf numFmtId="0" fontId="20" fillId="7" borderId="0" xfId="0" applyFont="1" applyFill="1"/>
    <xf numFmtId="0" fontId="32" fillId="7" borderId="0" xfId="0" applyFont="1" applyFill="1"/>
    <xf numFmtId="0" fontId="0" fillId="7" borderId="0" xfId="0" applyFill="1" applyProtection="1"/>
    <xf numFmtId="0" fontId="0" fillId="7" borderId="0" xfId="0" applyFill="1" applyAlignment="1" applyProtection="1">
      <alignment horizontal="left"/>
    </xf>
    <xf numFmtId="0" fontId="0" fillId="7" borderId="0" xfId="0" applyFill="1" applyAlignment="1" applyProtection="1">
      <alignment vertical="center"/>
    </xf>
    <xf numFmtId="0" fontId="18" fillId="7" borderId="0" xfId="0" applyFont="1" applyFill="1" applyBorder="1" applyProtection="1"/>
    <xf numFmtId="0" fontId="0" fillId="7" borderId="0" xfId="0" applyFill="1" applyBorder="1" applyProtection="1"/>
    <xf numFmtId="0" fontId="0" fillId="7" borderId="0" xfId="0" applyFill="1" applyBorder="1" applyAlignment="1" applyProtection="1">
      <alignment vertical="center"/>
    </xf>
    <xf numFmtId="0" fontId="5" fillId="7" borderId="0" xfId="0" applyFont="1" applyFill="1" applyBorder="1" applyProtection="1"/>
    <xf numFmtId="0" fontId="28" fillId="7" borderId="0" xfId="0" applyFont="1" applyFill="1" applyBorder="1" applyAlignment="1" applyProtection="1">
      <alignment horizontal="center" vertical="center"/>
    </xf>
    <xf numFmtId="0" fontId="21" fillId="7" borderId="0" xfId="0" applyFont="1" applyFill="1" applyBorder="1" applyAlignment="1" applyProtection="1">
      <alignment horizontal="center" vertical="center"/>
    </xf>
    <xf numFmtId="0" fontId="4" fillId="7" borderId="0" xfId="0" applyFont="1" applyFill="1" applyBorder="1" applyProtection="1"/>
    <xf numFmtId="0" fontId="6" fillId="7" borderId="0" xfId="0" applyFont="1" applyFill="1" applyBorder="1" applyAlignment="1" applyProtection="1">
      <alignment horizontal="left"/>
    </xf>
    <xf numFmtId="0" fontId="6" fillId="7" borderId="0" xfId="0" applyFont="1" applyFill="1" applyBorder="1" applyProtection="1"/>
    <xf numFmtId="2" fontId="0" fillId="7" borderId="0" xfId="0" applyNumberFormat="1" applyFill="1" applyBorder="1" applyProtection="1"/>
    <xf numFmtId="0" fontId="22" fillId="7" borderId="0" xfId="0" applyFont="1" applyFill="1" applyBorder="1" applyProtection="1"/>
    <xf numFmtId="0" fontId="17" fillId="7" borderId="0" xfId="0" applyFont="1" applyFill="1" applyBorder="1" applyAlignment="1" applyProtection="1">
      <alignment horizontal="center"/>
    </xf>
    <xf numFmtId="2" fontId="5" fillId="7" borderId="0" xfId="0" applyNumberFormat="1" applyFont="1" applyFill="1" applyBorder="1" applyProtection="1"/>
    <xf numFmtId="0" fontId="4" fillId="7" borderId="0" xfId="0" applyFont="1" applyFill="1" applyBorder="1" applyAlignment="1" applyProtection="1">
      <alignment vertical="top" wrapText="1"/>
    </xf>
    <xf numFmtId="0" fontId="29" fillId="7" borderId="0" xfId="0" applyFont="1" applyFill="1" applyBorder="1" applyAlignment="1" applyProtection="1">
      <alignment horizontal="center" vertical="center" wrapText="1"/>
      <protection locked="0"/>
    </xf>
    <xf numFmtId="164" fontId="28" fillId="7" borderId="0" xfId="0" applyNumberFormat="1" applyFont="1" applyFill="1" applyAlignment="1" applyProtection="1">
      <alignment horizontal="center" vertical="center" wrapText="1"/>
    </xf>
    <xf numFmtId="0" fontId="21" fillId="7" borderId="0" xfId="0" applyFont="1" applyFill="1" applyBorder="1" applyAlignment="1" applyProtection="1">
      <alignment horizontal="center" vertical="center" wrapText="1"/>
    </xf>
    <xf numFmtId="0" fontId="29" fillId="0" borderId="0" xfId="0" applyFont="1" applyFill="1" applyAlignment="1" applyProtection="1">
      <alignment horizontal="center" vertical="center" wrapText="1"/>
      <protection locked="0"/>
    </xf>
    <xf numFmtId="0" fontId="5" fillId="7" borderId="0" xfId="0" applyFont="1" applyFill="1" applyBorder="1" applyAlignment="1" applyProtection="1">
      <alignment horizontal="center"/>
    </xf>
    <xf numFmtId="2" fontId="28" fillId="7" borderId="0" xfId="0" applyNumberFormat="1" applyFont="1" applyFill="1" applyBorder="1" applyAlignment="1" applyProtection="1">
      <alignment horizontal="center" vertical="center"/>
    </xf>
    <xf numFmtId="0" fontId="5" fillId="7" borderId="0" xfId="0" applyFont="1" applyFill="1" applyBorder="1" applyAlignment="1" applyProtection="1"/>
    <xf numFmtId="1" fontId="28" fillId="7" borderId="0" xfId="0" applyNumberFormat="1" applyFont="1" applyFill="1" applyBorder="1" applyAlignment="1" applyProtection="1">
      <alignment horizontal="center" vertical="center"/>
    </xf>
    <xf numFmtId="0" fontId="0" fillId="7" borderId="0" xfId="0" applyFill="1" applyBorder="1" applyAlignment="1" applyProtection="1"/>
    <xf numFmtId="2" fontId="0" fillId="7" borderId="0" xfId="0" applyNumberFormat="1" applyFill="1" applyBorder="1" applyAlignment="1" applyProtection="1">
      <alignment horizontal="center"/>
    </xf>
    <xf numFmtId="0" fontId="0" fillId="7" borderId="0" xfId="0" applyFill="1" applyBorder="1" applyAlignment="1" applyProtection="1">
      <alignment horizontal="center"/>
    </xf>
    <xf numFmtId="0" fontId="19" fillId="7" borderId="0" xfId="0" applyFont="1" applyFill="1" applyBorder="1" applyAlignment="1" applyProtection="1">
      <alignment horizontal="center"/>
    </xf>
    <xf numFmtId="2" fontId="5" fillId="7" borderId="0" xfId="0" applyNumberFormat="1" applyFont="1" applyFill="1" applyBorder="1" applyAlignment="1" applyProtection="1">
      <alignment horizontal="center"/>
    </xf>
    <xf numFmtId="0" fontId="4" fillId="7" borderId="0" xfId="0" applyFont="1" applyFill="1" applyBorder="1" applyAlignment="1" applyProtection="1">
      <alignment horizontal="left" vertical="top" wrapText="1"/>
    </xf>
    <xf numFmtId="164" fontId="31" fillId="7" borderId="0" xfId="0" applyNumberFormat="1" applyFont="1" applyFill="1" applyAlignment="1" applyProtection="1">
      <alignment horizontal="center" vertical="center" wrapText="1"/>
    </xf>
    <xf numFmtId="0" fontId="28" fillId="6" borderId="0" xfId="0" applyFont="1" applyFill="1" applyBorder="1" applyAlignment="1">
      <alignment horizontal="center" vertical="center"/>
    </xf>
    <xf numFmtId="0" fontId="0" fillId="6" borderId="0" xfId="0" applyFill="1"/>
    <xf numFmtId="0" fontId="23" fillId="6" borderId="0" xfId="0" applyFont="1" applyFill="1" applyAlignment="1">
      <alignment horizontal="center"/>
    </xf>
    <xf numFmtId="0" fontId="20" fillId="6" borderId="0" xfId="0" applyFont="1" applyFill="1"/>
    <xf numFmtId="0" fontId="0" fillId="6" borderId="0" xfId="0" applyFill="1" applyProtection="1"/>
    <xf numFmtId="0" fontId="25" fillId="6" borderId="0" xfId="0" applyFont="1" applyFill="1" applyBorder="1" applyAlignment="1" applyProtection="1">
      <alignment horizontal="left"/>
    </xf>
    <xf numFmtId="0" fontId="6" fillId="6" borderId="0" xfId="0" applyFont="1" applyFill="1" applyBorder="1" applyProtection="1"/>
    <xf numFmtId="0" fontId="5" fillId="6" borderId="0" xfId="0" applyFont="1" applyFill="1" applyBorder="1" applyProtection="1"/>
    <xf numFmtId="0" fontId="5" fillId="6" borderId="0" xfId="0" applyFont="1" applyFill="1" applyBorder="1" applyAlignment="1" applyProtection="1">
      <alignment horizontal="left"/>
    </xf>
    <xf numFmtId="0" fontId="28" fillId="6" borderId="0" xfId="0" applyFont="1" applyFill="1" applyBorder="1" applyAlignment="1" applyProtection="1">
      <alignment horizontal="center" vertical="center"/>
    </xf>
    <xf numFmtId="0" fontId="21" fillId="6" borderId="0" xfId="0" applyFont="1" applyFill="1" applyBorder="1" applyAlignment="1" applyProtection="1">
      <alignment horizontal="center" vertical="center"/>
    </xf>
    <xf numFmtId="0" fontId="30" fillId="6" borderId="0" xfId="0" applyFont="1" applyFill="1" applyBorder="1" applyAlignment="1" applyProtection="1">
      <alignment horizontal="center" vertical="center" wrapText="1"/>
    </xf>
    <xf numFmtId="0" fontId="28" fillId="6" borderId="0" xfId="0" applyFont="1" applyFill="1" applyBorder="1" applyAlignment="1" applyProtection="1">
      <alignment horizontal="center" vertical="center" wrapText="1"/>
    </xf>
    <xf numFmtId="0" fontId="21" fillId="6" borderId="0" xfId="0" applyFont="1" applyFill="1" applyBorder="1" applyAlignment="1" applyProtection="1">
      <alignment horizontal="center" vertical="center" wrapText="1"/>
    </xf>
    <xf numFmtId="0" fontId="4" fillId="6" borderId="0" xfId="0" applyFont="1" applyFill="1" applyBorder="1" applyAlignment="1" applyProtection="1">
      <alignment horizontal="center" vertical="top" wrapText="1"/>
    </xf>
    <xf numFmtId="0" fontId="29" fillId="6" borderId="0" xfId="0" applyFont="1" applyFill="1" applyBorder="1" applyAlignment="1" applyProtection="1">
      <alignment horizontal="center" vertical="center" wrapText="1"/>
      <protection locked="0"/>
    </xf>
    <xf numFmtId="0" fontId="4" fillId="6" borderId="0" xfId="0" applyFont="1" applyFill="1" applyAlignment="1">
      <alignment vertical="top" wrapText="1"/>
    </xf>
    <xf numFmtId="0" fontId="29" fillId="6" borderId="0" xfId="0" applyFont="1" applyFill="1" applyAlignment="1" applyProtection="1">
      <alignment horizontal="center" vertical="center" wrapText="1"/>
      <protection locked="0"/>
    </xf>
    <xf numFmtId="1" fontId="28" fillId="6" borderId="0" xfId="0" applyNumberFormat="1" applyFont="1" applyFill="1" applyBorder="1" applyAlignment="1" applyProtection="1">
      <alignment horizontal="center" vertical="center" wrapText="1"/>
    </xf>
    <xf numFmtId="0" fontId="31" fillId="6" borderId="0" xfId="0" applyFont="1" applyFill="1" applyBorder="1" applyAlignment="1" applyProtection="1">
      <alignment horizontal="center" vertical="center"/>
    </xf>
    <xf numFmtId="0" fontId="35" fillId="6" borderId="0" xfId="1" applyFont="1" applyFill="1" applyBorder="1" applyAlignment="1" applyProtection="1">
      <alignment vertical="top" wrapText="1"/>
    </xf>
    <xf numFmtId="0" fontId="0" fillId="6" borderId="0" xfId="0" applyFill="1" applyBorder="1" applyProtection="1"/>
    <xf numFmtId="2" fontId="5" fillId="6" borderId="0" xfId="0" applyNumberFormat="1" applyFont="1" applyFill="1" applyBorder="1" applyProtection="1"/>
    <xf numFmtId="0" fontId="3" fillId="6" borderId="0" xfId="0" applyFont="1" applyFill="1" applyBorder="1" applyAlignment="1" applyProtection="1">
      <alignment vertical="top" wrapText="1"/>
    </xf>
    <xf numFmtId="2" fontId="3" fillId="6" borderId="0" xfId="0" applyNumberFormat="1" applyFont="1" applyFill="1" applyBorder="1" applyAlignment="1" applyProtection="1">
      <alignment vertical="top" wrapText="1"/>
    </xf>
    <xf numFmtId="0" fontId="4" fillId="6" borderId="0" xfId="0" applyFont="1" applyFill="1" applyBorder="1" applyAlignment="1" applyProtection="1">
      <alignment horizontal="center" vertical="center" wrapText="1"/>
    </xf>
    <xf numFmtId="2" fontId="28" fillId="6" borderId="0" xfId="0" applyNumberFormat="1" applyFont="1" applyFill="1" applyBorder="1" applyAlignment="1" applyProtection="1">
      <alignment horizontal="center" vertical="center" wrapText="1"/>
    </xf>
    <xf numFmtId="164" fontId="28" fillId="6" borderId="0" xfId="0" applyNumberFormat="1" applyFont="1" applyFill="1" applyAlignment="1" applyProtection="1">
      <alignment horizontal="center" vertical="center" wrapText="1"/>
    </xf>
    <xf numFmtId="1" fontId="31" fillId="6" borderId="0" xfId="0" applyNumberFormat="1" applyFont="1" applyFill="1" applyAlignment="1" applyProtection="1">
      <alignment horizontal="center" vertical="center" wrapText="1"/>
    </xf>
    <xf numFmtId="0" fontId="25" fillId="6" borderId="0" xfId="0" applyFont="1" applyFill="1" applyBorder="1" applyAlignment="1" applyProtection="1">
      <alignment horizontal="center"/>
    </xf>
    <xf numFmtId="0" fontId="3" fillId="6" borderId="0" xfId="0" applyFont="1" applyFill="1" applyBorder="1" applyAlignment="1" applyProtection="1">
      <alignment horizontal="center" vertical="center" wrapText="1"/>
    </xf>
    <xf numFmtId="0" fontId="0" fillId="6" borderId="0" xfId="0" applyFill="1" applyBorder="1" applyAlignment="1" applyProtection="1"/>
    <xf numFmtId="0" fontId="37" fillId="6" borderId="0" xfId="0" applyFont="1" applyFill="1" applyBorder="1" applyProtection="1"/>
    <xf numFmtId="2" fontId="5" fillId="6" borderId="0" xfId="0" applyNumberFormat="1" applyFont="1" applyFill="1" applyBorder="1" applyAlignment="1" applyProtection="1">
      <alignment horizontal="center"/>
    </xf>
    <xf numFmtId="0" fontId="5" fillId="6" borderId="0" xfId="0" applyFont="1" applyFill="1" applyBorder="1" applyAlignment="1" applyProtection="1">
      <alignment horizontal="center"/>
    </xf>
    <xf numFmtId="2" fontId="4" fillId="6" borderId="0" xfId="0" applyNumberFormat="1" applyFont="1" applyFill="1" applyBorder="1" applyAlignment="1" applyProtection="1">
      <alignment horizontal="center" vertical="top" wrapText="1"/>
    </xf>
    <xf numFmtId="0" fontId="44" fillId="9" borderId="1" xfId="1" applyFont="1" applyFill="1" applyBorder="1" applyAlignment="1" applyProtection="1">
      <alignment horizontal="center" vertical="center"/>
    </xf>
    <xf numFmtId="0" fontId="46" fillId="6" borderId="0" xfId="0" applyFont="1" applyFill="1" applyBorder="1" applyAlignment="1" applyProtection="1">
      <alignment horizontal="left"/>
    </xf>
    <xf numFmtId="2" fontId="26" fillId="7" borderId="0" xfId="0" applyNumberFormat="1" applyFont="1" applyFill="1" applyBorder="1" applyAlignment="1">
      <alignment horizontal="center"/>
    </xf>
    <xf numFmtId="1" fontId="21" fillId="0" borderId="0" xfId="0" applyNumberFormat="1" applyFont="1" applyBorder="1" applyAlignment="1">
      <alignment horizontal="center" vertical="center"/>
    </xf>
    <xf numFmtId="0" fontId="21" fillId="7" borderId="0" xfId="0" applyFont="1" applyFill="1" applyBorder="1" applyAlignment="1">
      <alignment horizontal="center" vertical="center"/>
    </xf>
    <xf numFmtId="0" fontId="12" fillId="7" borderId="0" xfId="0" applyFont="1" applyFill="1" applyBorder="1" applyAlignment="1">
      <alignment horizontal="center" vertical="center"/>
    </xf>
    <xf numFmtId="1" fontId="21" fillId="7" borderId="0" xfId="0" applyNumberFormat="1" applyFont="1" applyFill="1" applyBorder="1" applyAlignment="1">
      <alignment horizontal="center" vertical="center"/>
    </xf>
    <xf numFmtId="2" fontId="28" fillId="7" borderId="0" xfId="0" applyNumberFormat="1" applyFont="1" applyFill="1" applyBorder="1" applyAlignment="1">
      <alignment horizontal="center" vertical="center"/>
    </xf>
    <xf numFmtId="0" fontId="12" fillId="6" borderId="0" xfId="0" applyFont="1" applyFill="1" applyBorder="1" applyAlignment="1">
      <alignment horizontal="center" vertical="center"/>
    </xf>
    <xf numFmtId="1" fontId="21" fillId="6" borderId="0" xfId="0" applyNumberFormat="1" applyFont="1" applyFill="1" applyBorder="1" applyAlignment="1">
      <alignment horizontal="center" vertical="center"/>
    </xf>
    <xf numFmtId="2" fontId="28" fillId="6" borderId="0" xfId="0" applyNumberFormat="1" applyFont="1" applyFill="1" applyBorder="1" applyAlignment="1">
      <alignment horizontal="center" vertical="center"/>
    </xf>
    <xf numFmtId="0" fontId="12" fillId="5" borderId="0" xfId="0" applyFont="1" applyFill="1" applyBorder="1" applyAlignment="1">
      <alignment horizontal="center" vertical="center"/>
    </xf>
    <xf numFmtId="0" fontId="21" fillId="6" borderId="0" xfId="0" applyFont="1" applyFill="1" applyBorder="1" applyAlignment="1">
      <alignment horizontal="center" vertical="top"/>
    </xf>
    <xf numFmtId="0" fontId="47" fillId="5" borderId="0" xfId="0" applyFont="1" applyFill="1" applyBorder="1" applyAlignment="1">
      <alignment horizontal="center" vertical="center"/>
    </xf>
    <xf numFmtId="2" fontId="48" fillId="5" borderId="0" xfId="0" applyNumberFormat="1" applyFont="1" applyFill="1" applyBorder="1" applyAlignment="1">
      <alignment horizontal="center" vertical="center"/>
    </xf>
    <xf numFmtId="1" fontId="47" fillId="5" borderId="0" xfId="0" applyNumberFormat="1" applyFont="1" applyFill="1" applyBorder="1" applyAlignment="1">
      <alignment horizontal="center" vertical="center"/>
    </xf>
    <xf numFmtId="0" fontId="20" fillId="6" borderId="0" xfId="0" applyFont="1" applyFill="1" applyAlignment="1">
      <alignment horizontal="center"/>
    </xf>
    <xf numFmtId="0" fontId="33" fillId="7" borderId="0" xfId="0" applyFont="1" applyFill="1" applyAlignment="1"/>
    <xf numFmtId="0" fontId="32" fillId="7" borderId="0" xfId="0" applyFont="1" applyFill="1" applyAlignment="1"/>
    <xf numFmtId="0" fontId="23" fillId="7" borderId="0" xfId="0" applyFont="1" applyFill="1" applyAlignment="1">
      <alignment horizontal="center"/>
    </xf>
    <xf numFmtId="0" fontId="4" fillId="6" borderId="0" xfId="0" applyFont="1" applyFill="1" applyBorder="1" applyAlignment="1" applyProtection="1">
      <alignment horizontal="left" vertical="top" wrapText="1"/>
    </xf>
    <xf numFmtId="1" fontId="31" fillId="0" borderId="0" xfId="0" applyNumberFormat="1" applyFont="1" applyAlignment="1" applyProtection="1">
      <alignment horizontal="center" vertical="center" wrapText="1"/>
    </xf>
    <xf numFmtId="0" fontId="4" fillId="0" borderId="0" xfId="0" applyFont="1" applyBorder="1" applyAlignment="1" applyProtection="1">
      <alignment horizontal="left" vertical="top" wrapText="1"/>
    </xf>
    <xf numFmtId="0" fontId="27" fillId="3" borderId="0" xfId="0" applyFont="1" applyFill="1"/>
    <xf numFmtId="0" fontId="31" fillId="6" borderId="0" xfId="0" applyFont="1" applyFill="1" applyProtection="1"/>
    <xf numFmtId="0" fontId="31" fillId="7" borderId="0" xfId="0" applyFont="1" applyFill="1" applyProtection="1"/>
    <xf numFmtId="0" fontId="27" fillId="7" borderId="0" xfId="0" applyFont="1" applyFill="1" applyAlignment="1" applyProtection="1"/>
    <xf numFmtId="0" fontId="31" fillId="6" borderId="0" xfId="0" applyFont="1" applyFill="1" applyBorder="1" applyProtection="1"/>
    <xf numFmtId="0" fontId="27" fillId="0" borderId="0" xfId="0" applyFont="1" applyFill="1"/>
    <xf numFmtId="0" fontId="0" fillId="0" borderId="0" xfId="0" applyFill="1"/>
    <xf numFmtId="0" fontId="51" fillId="6" borderId="0" xfId="0" applyFont="1" applyFill="1" applyAlignment="1">
      <alignment horizontal="center"/>
    </xf>
    <xf numFmtId="0" fontId="37" fillId="0" borderId="0" xfId="0" applyFont="1"/>
    <xf numFmtId="164" fontId="31" fillId="6" borderId="0" xfId="0" applyNumberFormat="1" applyFont="1" applyFill="1" applyAlignment="1" applyProtection="1">
      <alignment horizontal="center" vertical="center" wrapText="1"/>
    </xf>
    <xf numFmtId="0" fontId="54" fillId="0" borderId="0" xfId="0" applyFont="1" applyFill="1" applyBorder="1" applyAlignment="1" applyProtection="1">
      <alignment vertical="top" wrapText="1"/>
    </xf>
    <xf numFmtId="0" fontId="49" fillId="0" borderId="0" xfId="0" applyFont="1" applyAlignment="1"/>
    <xf numFmtId="0" fontId="27" fillId="0" borderId="0" xfId="0" applyFont="1" applyFill="1" applyAlignment="1"/>
    <xf numFmtId="0" fontId="0" fillId="9" borderId="0" xfId="0" applyFill="1" applyBorder="1"/>
    <xf numFmtId="0" fontId="57" fillId="9" borderId="0" xfId="0" applyFont="1" applyFill="1" applyBorder="1"/>
    <xf numFmtId="0" fontId="58" fillId="0" borderId="0" xfId="0" applyFont="1" applyFill="1" applyAlignment="1" applyProtection="1">
      <alignment wrapText="1"/>
    </xf>
    <xf numFmtId="0" fontId="56" fillId="0" borderId="0" xfId="0" applyFont="1" applyAlignment="1">
      <alignment wrapText="1"/>
    </xf>
    <xf numFmtId="0" fontId="49" fillId="0" borderId="0" xfId="0" applyFont="1" applyAlignment="1">
      <alignment wrapText="1"/>
    </xf>
    <xf numFmtId="0" fontId="0" fillId="0" borderId="0" xfId="0" applyAlignment="1"/>
    <xf numFmtId="0" fontId="51" fillId="6" borderId="0" xfId="0" applyFont="1" applyFill="1" applyAlignment="1">
      <alignment horizontal="center"/>
    </xf>
    <xf numFmtId="0" fontId="23" fillId="6" borderId="0" xfId="0" applyFont="1" applyFill="1" applyAlignment="1">
      <alignment horizontal="center"/>
    </xf>
    <xf numFmtId="0" fontId="49" fillId="0" borderId="0" xfId="0" applyFont="1" applyFill="1" applyAlignment="1"/>
    <xf numFmtId="0" fontId="0" fillId="6" borderId="9" xfId="0" applyFill="1" applyBorder="1" applyAlignment="1">
      <alignment vertical="center" wrapText="1"/>
    </xf>
    <xf numFmtId="0" fontId="0" fillId="6" borderId="10" xfId="0" applyFill="1" applyBorder="1" applyAlignment="1">
      <alignment vertical="center" wrapText="1"/>
    </xf>
    <xf numFmtId="0" fontId="50" fillId="8" borderId="10" xfId="0" applyFont="1" applyFill="1" applyBorder="1" applyAlignment="1">
      <alignment vertical="center" wrapText="1"/>
    </xf>
    <xf numFmtId="0" fontId="11" fillId="8" borderId="10" xfId="0" applyFont="1" applyFill="1" applyBorder="1" applyAlignment="1">
      <alignment vertical="center" wrapText="1"/>
    </xf>
    <xf numFmtId="0" fontId="50" fillId="8" borderId="10" xfId="0" applyFont="1" applyFill="1" applyBorder="1" applyAlignment="1">
      <alignment horizontal="center" vertical="center" wrapText="1"/>
    </xf>
    <xf numFmtId="0" fontId="15" fillId="8" borderId="10" xfId="0" applyFont="1" applyFill="1" applyBorder="1" applyAlignment="1">
      <alignment vertical="center" wrapText="1"/>
    </xf>
    <xf numFmtId="0" fontId="16" fillId="6" borderId="11" xfId="0" applyFont="1" applyFill="1" applyBorder="1" applyAlignment="1">
      <alignment vertical="center" wrapText="1"/>
    </xf>
    <xf numFmtId="0" fontId="0" fillId="7" borderId="12" xfId="0" applyFill="1" applyBorder="1" applyAlignment="1"/>
    <xf numFmtId="0" fontId="39" fillId="7" borderId="0" xfId="0" applyFont="1" applyFill="1" applyBorder="1"/>
    <xf numFmtId="0" fontId="13" fillId="7" borderId="0" xfId="0" applyFont="1" applyFill="1" applyBorder="1"/>
    <xf numFmtId="0" fontId="0" fillId="7" borderId="13" xfId="0" applyFill="1" applyBorder="1"/>
    <xf numFmtId="0" fontId="10" fillId="0" borderId="0" xfId="0" applyFont="1" applyFill="1" applyBorder="1" applyAlignment="1">
      <alignment horizontal="center"/>
    </xf>
    <xf numFmtId="0" fontId="37" fillId="0" borderId="0" xfId="0" applyFont="1" applyBorder="1"/>
    <xf numFmtId="0" fontId="10" fillId="0" borderId="0" xfId="0" applyFont="1" applyBorder="1" applyAlignment="1">
      <alignment horizontal="center"/>
    </xf>
    <xf numFmtId="0" fontId="26" fillId="0" borderId="0" xfId="0" applyFont="1" applyBorder="1" applyAlignment="1"/>
    <xf numFmtId="0" fontId="0" fillId="0" borderId="0" xfId="0" applyBorder="1" applyAlignment="1"/>
    <xf numFmtId="0" fontId="22" fillId="0" borderId="0" xfId="0" applyFont="1" applyBorder="1" applyAlignment="1"/>
    <xf numFmtId="0" fontId="37" fillId="0" borderId="0" xfId="0" applyFont="1" applyBorder="1" applyAlignment="1"/>
    <xf numFmtId="0" fontId="10" fillId="7" borderId="0" xfId="0" applyFont="1" applyFill="1" applyBorder="1" applyAlignment="1">
      <alignment horizontal="center"/>
    </xf>
    <xf numFmtId="0" fontId="37" fillId="7" borderId="0" xfId="0" applyFont="1" applyFill="1" applyBorder="1" applyAlignment="1"/>
    <xf numFmtId="0" fontId="0" fillId="7" borderId="0" xfId="0" applyFill="1" applyBorder="1" applyAlignment="1"/>
    <xf numFmtId="0" fontId="22" fillId="7" borderId="0" xfId="0" applyFont="1" applyFill="1" applyBorder="1" applyAlignment="1"/>
    <xf numFmtId="0" fontId="10" fillId="10" borderId="0" xfId="0" applyFont="1" applyFill="1" applyBorder="1" applyAlignment="1">
      <alignment horizontal="center"/>
    </xf>
    <xf numFmtId="0" fontId="10" fillId="6" borderId="0" xfId="0" applyFont="1" applyFill="1" applyBorder="1" applyAlignment="1">
      <alignment horizontal="center"/>
    </xf>
    <xf numFmtId="0" fontId="45" fillId="7" borderId="0" xfId="0" applyFont="1" applyFill="1" applyBorder="1" applyAlignment="1"/>
    <xf numFmtId="0" fontId="0" fillId="7" borderId="12" xfId="0" applyFill="1" applyBorder="1"/>
    <xf numFmtId="0" fontId="0" fillId="7" borderId="12" xfId="0" applyFill="1" applyBorder="1" applyAlignment="1">
      <alignment vertical="center"/>
    </xf>
    <xf numFmtId="0" fontId="0" fillId="7" borderId="13" xfId="0" applyFill="1" applyBorder="1" applyAlignment="1">
      <alignment vertical="center"/>
    </xf>
    <xf numFmtId="0" fontId="0" fillId="7" borderId="6" xfId="0" applyFill="1" applyBorder="1" applyAlignment="1"/>
    <xf numFmtId="0" fontId="0" fillId="7" borderId="7" xfId="0" applyFill="1" applyBorder="1"/>
    <xf numFmtId="0" fontId="0" fillId="7" borderId="8" xfId="0" applyFill="1" applyBorder="1"/>
    <xf numFmtId="0" fontId="0" fillId="7" borderId="9" xfId="0" applyFill="1" applyBorder="1"/>
    <xf numFmtId="0" fontId="0" fillId="7" borderId="10" xfId="0" applyFill="1" applyBorder="1"/>
    <xf numFmtId="0" fontId="59" fillId="0" borderId="0" xfId="0" applyFont="1"/>
    <xf numFmtId="0" fontId="5" fillId="7" borderId="0" xfId="0" applyFont="1" applyFill="1" applyProtection="1"/>
    <xf numFmtId="0" fontId="64" fillId="7" borderId="0" xfId="0" applyFont="1" applyFill="1" applyProtection="1"/>
    <xf numFmtId="0" fontId="64" fillId="0" borderId="0" xfId="0" applyFont="1" applyProtection="1"/>
    <xf numFmtId="0" fontId="18" fillId="0" borderId="0" xfId="0" applyFont="1" applyFill="1" applyAlignment="1" applyProtection="1"/>
    <xf numFmtId="0" fontId="49" fillId="0" borderId="0" xfId="0" applyFont="1" applyProtection="1"/>
    <xf numFmtId="0" fontId="64" fillId="0" borderId="0" xfId="0" applyFont="1" applyAlignment="1" applyProtection="1">
      <alignment vertical="center"/>
    </xf>
    <xf numFmtId="0" fontId="64" fillId="7" borderId="0" xfId="0" applyFont="1" applyFill="1" applyBorder="1" applyProtection="1"/>
    <xf numFmtId="0" fontId="64" fillId="0" borderId="0" xfId="0" applyFont="1" applyBorder="1" applyProtection="1"/>
    <xf numFmtId="164" fontId="64" fillId="0" borderId="0" xfId="0" applyNumberFormat="1" applyFont="1" applyBorder="1" applyProtection="1"/>
    <xf numFmtId="0" fontId="49" fillId="0" borderId="0" xfId="0" applyFont="1"/>
    <xf numFmtId="0" fontId="64" fillId="0" borderId="0" xfId="0" applyFont="1" applyBorder="1" applyAlignment="1" applyProtection="1">
      <alignment vertical="center"/>
    </xf>
    <xf numFmtId="0" fontId="18" fillId="0" borderId="0" xfId="0" applyFont="1" applyBorder="1" applyProtection="1"/>
    <xf numFmtId="0" fontId="20" fillId="0" borderId="0" xfId="0" applyFont="1" applyBorder="1" applyAlignment="1">
      <alignment wrapText="1"/>
    </xf>
    <xf numFmtId="0" fontId="49" fillId="0" borderId="0" xfId="0" applyFont="1" applyBorder="1" applyAlignment="1"/>
    <xf numFmtId="2" fontId="26" fillId="0" borderId="0" xfId="0" applyNumberFormat="1" applyFont="1" applyAlignment="1">
      <alignment horizontal="center" vertical="center" wrapText="1"/>
    </xf>
    <xf numFmtId="0" fontId="0" fillId="0" borderId="0" xfId="0" applyFill="1" applyAlignment="1">
      <alignment wrapText="1"/>
    </xf>
    <xf numFmtId="0" fontId="0" fillId="0" borderId="0" xfId="0" applyAlignment="1"/>
    <xf numFmtId="49" fontId="4" fillId="0" borderId="0" xfId="0" applyNumberFormat="1" applyFont="1" applyBorder="1" applyAlignment="1" applyProtection="1">
      <alignment horizontal="center" vertical="center" wrapText="1"/>
    </xf>
    <xf numFmtId="0" fontId="0" fillId="0" borderId="0" xfId="0" applyAlignment="1"/>
    <xf numFmtId="0" fontId="4" fillId="6" borderId="0" xfId="0" applyFont="1" applyFill="1" applyBorder="1" applyAlignment="1" applyProtection="1">
      <alignment vertical="top" wrapText="1"/>
    </xf>
    <xf numFmtId="0" fontId="29" fillId="11" borderId="0" xfId="0" applyFont="1" applyFill="1" applyBorder="1" applyAlignment="1" applyProtection="1">
      <alignment horizontal="center" vertical="center" wrapText="1"/>
      <protection locked="0"/>
    </xf>
    <xf numFmtId="1" fontId="74" fillId="0" borderId="0" xfId="0" applyNumberFormat="1" applyFont="1" applyAlignment="1">
      <alignment horizontal="center" vertical="center"/>
    </xf>
    <xf numFmtId="0" fontId="20" fillId="0" borderId="0" xfId="0" applyFont="1" applyAlignment="1">
      <alignment wrapText="1"/>
    </xf>
    <xf numFmtId="0" fontId="0" fillId="0" borderId="0" xfId="0" applyAlignment="1">
      <alignment wrapText="1"/>
    </xf>
    <xf numFmtId="0" fontId="56" fillId="0" borderId="0" xfId="0" applyFont="1" applyFill="1" applyAlignment="1">
      <alignment wrapText="1"/>
    </xf>
    <xf numFmtId="0" fontId="0" fillId="0" borderId="0" xfId="0" applyFill="1" applyAlignment="1">
      <alignment wrapText="1"/>
    </xf>
    <xf numFmtId="0" fontId="60" fillId="0" borderId="0" xfId="0" applyFont="1" applyBorder="1" applyAlignment="1">
      <alignment horizontal="left" vertical="center" wrapText="1"/>
    </xf>
    <xf numFmtId="0" fontId="0" fillId="0" borderId="0" xfId="0" applyBorder="1" applyAlignment="1"/>
    <xf numFmtId="0" fontId="45" fillId="0" borderId="0" xfId="0" applyFont="1" applyBorder="1" applyAlignment="1">
      <alignment vertical="center" wrapText="1"/>
    </xf>
    <xf numFmtId="0" fontId="66" fillId="0" borderId="0" xfId="0" applyFont="1" applyBorder="1" applyAlignment="1">
      <alignment horizontal="left" vertical="center" wrapText="1"/>
    </xf>
    <xf numFmtId="0" fontId="67" fillId="0" borderId="0" xfId="0" applyFont="1" applyBorder="1" applyAlignment="1"/>
    <xf numFmtId="0" fontId="45" fillId="6" borderId="0" xfId="0" applyFont="1" applyFill="1" applyBorder="1" applyAlignment="1">
      <alignment horizontal="center" vertical="center" wrapText="1"/>
    </xf>
    <xf numFmtId="0" fontId="65" fillId="0" borderId="0" xfId="0" applyFont="1" applyBorder="1" applyAlignment="1">
      <alignment vertical="center" wrapText="1"/>
    </xf>
    <xf numFmtId="0" fontId="65" fillId="0" borderId="0" xfId="0" applyFont="1" applyAlignment="1">
      <alignment wrapText="1"/>
    </xf>
    <xf numFmtId="0" fontId="61" fillId="0" borderId="0" xfId="0" applyFont="1" applyAlignment="1"/>
    <xf numFmtId="0" fontId="0" fillId="0" borderId="0" xfId="0" applyAlignment="1"/>
    <xf numFmtId="0" fontId="38" fillId="0" borderId="0" xfId="0" applyFont="1" applyFill="1" applyAlignment="1">
      <alignment horizontal="left" wrapText="1"/>
    </xf>
    <xf numFmtId="0" fontId="0" fillId="0" borderId="2" xfId="0" applyFill="1" applyBorder="1" applyAlignment="1"/>
    <xf numFmtId="0" fontId="52" fillId="0" borderId="0" xfId="0" applyFont="1" applyFill="1" applyAlignment="1">
      <alignment wrapText="1"/>
    </xf>
    <xf numFmtId="0" fontId="33" fillId="0" borderId="0" xfId="0" applyFont="1" applyFill="1" applyAlignment="1"/>
    <xf numFmtId="0" fontId="32" fillId="0" borderId="0" xfId="0" applyFont="1" applyAlignment="1"/>
    <xf numFmtId="0" fontId="0" fillId="7" borderId="0" xfId="0" applyFill="1" applyAlignment="1"/>
    <xf numFmtId="0" fontId="34" fillId="0" borderId="3" xfId="0" applyFont="1" applyFill="1" applyBorder="1" applyAlignment="1"/>
    <xf numFmtId="0" fontId="34" fillId="0" borderId="4" xfId="0" applyFont="1" applyFill="1" applyBorder="1" applyAlignment="1"/>
    <xf numFmtId="0" fontId="34" fillId="0" borderId="5" xfId="0" applyFont="1" applyFill="1" applyBorder="1" applyAlignment="1"/>
    <xf numFmtId="0" fontId="0" fillId="0" borderId="3" xfId="0" applyFill="1" applyBorder="1" applyAlignment="1"/>
    <xf numFmtId="0" fontId="0" fillId="0" borderId="4" xfId="0" applyFill="1" applyBorder="1" applyAlignment="1"/>
    <xf numFmtId="0" fontId="0" fillId="0" borderId="5" xfId="0" applyFill="1" applyBorder="1" applyAlignment="1"/>
    <xf numFmtId="0" fontId="51" fillId="6" borderId="0" xfId="0" applyFont="1" applyFill="1" applyAlignment="1">
      <alignment horizontal="center"/>
    </xf>
    <xf numFmtId="0" fontId="0" fillId="0" borderId="0" xfId="0" applyAlignment="1">
      <alignment horizontal="center"/>
    </xf>
    <xf numFmtId="0" fontId="27" fillId="3" borderId="0" xfId="0" applyFont="1" applyFill="1"/>
    <xf numFmtId="2" fontId="4" fillId="6" borderId="0" xfId="0" applyNumberFormat="1" applyFont="1" applyFill="1" applyBorder="1" applyAlignment="1" applyProtection="1">
      <alignment vertical="top" wrapText="1"/>
    </xf>
    <xf numFmtId="164" fontId="28" fillId="0" borderId="0" xfId="0" applyNumberFormat="1" applyFont="1" applyAlignment="1" applyProtection="1">
      <alignment horizontal="center" vertical="center" wrapText="1"/>
    </xf>
    <xf numFmtId="1" fontId="31" fillId="0" borderId="0" xfId="0" applyNumberFormat="1" applyFont="1" applyAlignment="1" applyProtection="1">
      <alignment horizontal="center" vertical="center" wrapText="1"/>
    </xf>
    <xf numFmtId="0" fontId="21" fillId="0" borderId="0" xfId="0" applyFont="1" applyBorder="1" applyAlignment="1" applyProtection="1">
      <alignment horizontal="center" vertical="center" wrapText="1"/>
    </xf>
    <xf numFmtId="0" fontId="28" fillId="0" borderId="0" xfId="0" applyFont="1" applyAlignment="1">
      <alignment horizontal="center" vertical="center" wrapText="1"/>
    </xf>
    <xf numFmtId="0" fontId="21" fillId="0" borderId="0" xfId="0" applyFont="1" applyAlignment="1">
      <alignment horizontal="center" vertical="center" wrapText="1"/>
    </xf>
    <xf numFmtId="0" fontId="21" fillId="0" borderId="0" xfId="0" applyNumberFormat="1" applyFont="1" applyAlignment="1">
      <alignment horizontal="center" vertical="center" wrapText="1"/>
    </xf>
    <xf numFmtId="0" fontId="4" fillId="6" borderId="0" xfId="0" applyFont="1" applyFill="1" applyBorder="1" applyAlignment="1" applyProtection="1">
      <alignment horizontal="left" vertical="top" wrapText="1"/>
    </xf>
    <xf numFmtId="0" fontId="28" fillId="0" borderId="0" xfId="0" applyFont="1" applyBorder="1" applyAlignment="1" applyProtection="1">
      <alignment horizontal="center" vertical="center" wrapText="1"/>
    </xf>
    <xf numFmtId="1" fontId="28" fillId="0" borderId="0" xfId="0" applyNumberFormat="1" applyFont="1" applyBorder="1" applyAlignment="1" applyProtection="1">
      <alignment horizontal="center" vertical="center" wrapText="1"/>
    </xf>
    <xf numFmtId="0" fontId="28" fillId="0" borderId="0" xfId="0" applyFont="1" applyFill="1" applyBorder="1" applyAlignment="1" applyProtection="1">
      <alignment horizontal="center" vertical="center"/>
    </xf>
    <xf numFmtId="0" fontId="4" fillId="6" borderId="0" xfId="0" applyFont="1" applyFill="1" applyBorder="1" applyAlignment="1" applyProtection="1">
      <alignment vertical="top" wrapText="1"/>
    </xf>
    <xf numFmtId="0" fontId="4" fillId="0" borderId="0" xfId="0" applyFont="1" applyAlignment="1">
      <alignment horizontal="left" vertical="top" wrapText="1"/>
    </xf>
    <xf numFmtId="0" fontId="4" fillId="0" borderId="0" xfId="0" applyFont="1" applyBorder="1" applyAlignment="1" applyProtection="1">
      <alignment horizontal="left" vertical="top" wrapText="1"/>
    </xf>
    <xf numFmtId="0" fontId="36" fillId="0" borderId="0" xfId="0" applyFont="1" applyBorder="1" applyAlignment="1" applyProtection="1">
      <alignment horizontal="center" vertical="center" wrapText="1"/>
    </xf>
    <xf numFmtId="0" fontId="52" fillId="0" borderId="0" xfId="0" applyFont="1" applyAlignment="1">
      <alignment wrapText="1"/>
    </xf>
    <xf numFmtId="2" fontId="28" fillId="0" borderId="0" xfId="0" applyNumberFormat="1" applyFont="1" applyBorder="1" applyAlignment="1" applyProtection="1">
      <alignment horizontal="center" vertical="center" wrapText="1"/>
    </xf>
    <xf numFmtId="2" fontId="0" fillId="0" borderId="0" xfId="0" applyNumberFormat="1" applyAlignment="1" applyProtection="1">
      <alignment horizontal="center"/>
    </xf>
    <xf numFmtId="0" fontId="0" fillId="0" borderId="0" xfId="0" applyAlignment="1" applyProtection="1">
      <alignment horizontal="center"/>
    </xf>
    <xf numFmtId="164" fontId="31" fillId="0" borderId="0" xfId="0" applyNumberFormat="1" applyFont="1" applyAlignment="1" applyProtection="1">
      <alignment horizontal="center" vertical="center" wrapText="1"/>
    </xf>
    <xf numFmtId="0" fontId="30" fillId="5" borderId="0" xfId="0" applyFont="1" applyFill="1" applyBorder="1" applyAlignment="1" applyProtection="1">
      <alignment vertical="center" wrapText="1"/>
    </xf>
    <xf numFmtId="0" fontId="4" fillId="5" borderId="0" xfId="0" applyFont="1" applyFill="1" applyBorder="1" applyAlignment="1" applyProtection="1">
      <alignment vertical="center" wrapText="1"/>
    </xf>
  </cellXfs>
  <cellStyles count="22">
    <cellStyle name="Followed Hyperlink" xfId="2" builtinId="9" hidden="1"/>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Hyperlink" xfId="1" builtinId="8"/>
    <cellStyle name="Normal" xfId="0" builtinId="0"/>
  </cellStyles>
  <dxfs count="0"/>
  <tableStyles count="0" defaultTableStyle="TableStyleMedium9" defaultPivotStyle="PivotStyleMedium4"/>
  <colors>
    <indexedColors>
      <rgbColor rgb="00000000"/>
      <rgbColor rgb="00FFFFFF"/>
      <rgbColor rgb="00DD0806"/>
      <rgbColor rgb="001FB714"/>
      <rgbColor rgb="000000D4"/>
      <rgbColor rgb="00FCF305"/>
      <rgbColor rgb="00F20884"/>
      <rgbColor rgb="0000ABEA"/>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11" Type="http://schemas.openxmlformats.org/officeDocument/2006/relationships/sharedStrings" Target="sharedStrings.xml"/><Relationship Id="rId12"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457199</xdr:colOff>
      <xdr:row>0</xdr:row>
      <xdr:rowOff>0</xdr:rowOff>
    </xdr:from>
    <xdr:to>
      <xdr:col>3</xdr:col>
      <xdr:colOff>0</xdr:colOff>
      <xdr:row>1</xdr:row>
      <xdr:rowOff>317500</xdr:rowOff>
    </xdr:to>
    <xdr:pic>
      <xdr:nvPicPr>
        <xdr:cNvPr id="1252"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770" y="0"/>
          <a:ext cx="6491516" cy="2349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12</xdr:col>
      <xdr:colOff>213487</xdr:colOff>
      <xdr:row>5</xdr:row>
      <xdr:rowOff>25382</xdr:rowOff>
    </xdr:from>
    <xdr:ext cx="184666" cy="261610"/>
    <xdr:sp macro="" textlink="">
      <xdr:nvSpPr>
        <xdr:cNvPr id="2" name="TextBox 1"/>
        <xdr:cNvSpPr txBox="1"/>
      </xdr:nvSpPr>
      <xdr:spPr>
        <a:xfrm>
          <a:off x="22619916" y="1367953"/>
          <a:ext cx="184666" cy="2616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ctr">
          <a:spAutoFit/>
        </a:bodyPr>
        <a:lstStyle/>
        <a:p>
          <a:pPr algn="ctr"/>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3.vml"/><Relationship Id="rId3"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ublished="0" enableFormatConditionsCalculation="0"/>
  <dimension ref="A1:AL72"/>
  <sheetViews>
    <sheetView zoomScale="70" zoomScaleNormal="72" zoomScalePageLayoutView="72" workbookViewId="0">
      <selection activeCell="L5" sqref="L5"/>
    </sheetView>
  </sheetViews>
  <sheetFormatPr baseColWidth="10" defaultColWidth="8.6640625" defaultRowHeight="12" x14ac:dyDescent="0"/>
  <cols>
    <col min="1" max="1" width="4.33203125" customWidth="1"/>
    <col min="2" max="2" width="12.6640625" customWidth="1"/>
    <col min="3" max="3" width="78.5" customWidth="1"/>
    <col min="4" max="4" width="4.33203125" customWidth="1"/>
    <col min="5" max="5" width="34" customWidth="1"/>
    <col min="6" max="6" width="4.33203125" customWidth="1"/>
    <col min="7" max="7" width="34" customWidth="1"/>
    <col min="8" max="10" width="1.33203125" hidden="1" customWidth="1"/>
    <col min="11" max="11" width="4.33203125" customWidth="1"/>
    <col min="12" max="12" width="45.5" customWidth="1"/>
    <col min="13" max="13" width="36.33203125" customWidth="1"/>
  </cols>
  <sheetData>
    <row r="1" spans="1:38" ht="160" customHeight="1"/>
    <row r="2" spans="1:38" ht="116" customHeight="1">
      <c r="C2" s="259" t="s">
        <v>60</v>
      </c>
      <c r="D2" s="260"/>
      <c r="E2" s="260"/>
      <c r="F2" s="260"/>
      <c r="G2" s="260"/>
    </row>
    <row r="3" spans="1:38" ht="22" customHeight="1" thickBot="1">
      <c r="B3" s="2"/>
      <c r="C3" s="249"/>
      <c r="D3" s="2"/>
      <c r="E3" s="2"/>
      <c r="F3" s="2"/>
      <c r="G3" s="2"/>
      <c r="H3" s="2"/>
      <c r="I3" s="2"/>
      <c r="J3" s="2"/>
      <c r="K3" s="2"/>
    </row>
    <row r="4" spans="1:38" ht="20" customHeight="1">
      <c r="A4" s="234"/>
      <c r="B4" s="235"/>
      <c r="C4" s="235"/>
      <c r="D4" s="235"/>
      <c r="E4" s="235"/>
      <c r="F4" s="235"/>
      <c r="G4" s="235"/>
      <c r="H4" s="235"/>
      <c r="I4" s="235"/>
      <c r="J4" s="235"/>
      <c r="K4" s="235"/>
    </row>
    <row r="5" spans="1:38" ht="141" customHeight="1">
      <c r="A5" s="228"/>
      <c r="B5" s="268" t="s">
        <v>3</v>
      </c>
      <c r="C5" s="269"/>
      <c r="D5" s="270"/>
      <c r="E5" s="270"/>
      <c r="F5" s="270"/>
      <c r="G5" s="270"/>
      <c r="H5" s="2"/>
      <c r="I5" s="2"/>
      <c r="J5" s="2"/>
      <c r="K5" s="83"/>
    </row>
    <row r="6" spans="1:38" ht="15" customHeight="1">
      <c r="A6" s="228"/>
      <c r="B6" s="83"/>
      <c r="C6" s="83"/>
      <c r="D6" s="83"/>
      <c r="E6" s="83"/>
      <c r="F6" s="83"/>
      <c r="G6" s="83"/>
      <c r="H6" s="83"/>
      <c r="I6" s="83"/>
      <c r="J6" s="83"/>
      <c r="K6" s="83"/>
    </row>
    <row r="7" spans="1:38" ht="73" customHeight="1">
      <c r="A7" s="228"/>
      <c r="B7" s="266" t="s">
        <v>112</v>
      </c>
      <c r="C7" s="267"/>
      <c r="D7" s="267"/>
      <c r="E7" s="267"/>
      <c r="F7" s="267"/>
      <c r="G7" s="267"/>
      <c r="H7" s="218"/>
      <c r="I7" s="218"/>
      <c r="J7" s="218"/>
      <c r="K7" s="223"/>
    </row>
    <row r="8" spans="1:38" ht="16" customHeight="1">
      <c r="A8" s="228"/>
      <c r="B8" s="83"/>
      <c r="C8" s="83"/>
      <c r="D8" s="83"/>
      <c r="E8" s="83"/>
      <c r="F8" s="83"/>
      <c r="G8" s="83"/>
      <c r="H8" s="83"/>
      <c r="I8" s="83"/>
      <c r="J8" s="83"/>
      <c r="K8" s="83"/>
    </row>
    <row r="9" spans="1:38" ht="99" customHeight="1">
      <c r="A9" s="228"/>
      <c r="B9" s="265" t="s">
        <v>113</v>
      </c>
      <c r="C9" s="264"/>
      <c r="D9" s="264"/>
      <c r="E9" s="264"/>
      <c r="F9" s="264"/>
      <c r="G9" s="264"/>
      <c r="H9" s="2"/>
      <c r="I9" s="2"/>
      <c r="J9" s="2"/>
      <c r="K9" s="83"/>
      <c r="L9" s="236"/>
    </row>
    <row r="10" spans="1:38" ht="16" customHeight="1">
      <c r="A10" s="228"/>
      <c r="B10" s="83"/>
      <c r="C10" s="83"/>
      <c r="D10" s="83"/>
      <c r="E10" s="83"/>
      <c r="F10" s="83"/>
      <c r="G10" s="83"/>
      <c r="H10" s="83"/>
      <c r="I10" s="83"/>
      <c r="J10" s="83"/>
      <c r="K10" s="83"/>
    </row>
    <row r="11" spans="1:38" ht="77" customHeight="1">
      <c r="A11" s="228"/>
      <c r="B11" s="265" t="s">
        <v>9</v>
      </c>
      <c r="C11" s="264"/>
      <c r="D11" s="264"/>
      <c r="E11" s="264"/>
      <c r="F11" s="264"/>
      <c r="G11" s="264"/>
      <c r="H11" s="2"/>
      <c r="I11" s="2"/>
      <c r="J11" s="2"/>
      <c r="K11" s="83"/>
      <c r="L11" s="236"/>
    </row>
    <row r="12" spans="1:38" ht="14" customHeight="1">
      <c r="A12" s="228"/>
      <c r="B12" s="83"/>
      <c r="C12" s="83"/>
      <c r="D12" s="83"/>
      <c r="E12" s="83"/>
      <c r="F12" s="83"/>
      <c r="G12" s="83"/>
      <c r="H12" s="83"/>
      <c r="I12" s="83"/>
      <c r="J12" s="83"/>
      <c r="K12" s="83"/>
    </row>
    <row r="13" spans="1:38" ht="76" customHeight="1">
      <c r="A13" s="228"/>
      <c r="B13" s="265" t="s">
        <v>8</v>
      </c>
      <c r="C13" s="264"/>
      <c r="D13" s="264"/>
      <c r="E13" s="264"/>
      <c r="F13" s="264"/>
      <c r="G13" s="264"/>
      <c r="H13" s="2"/>
      <c r="I13" s="2"/>
      <c r="J13" s="2"/>
      <c r="K13" s="83"/>
    </row>
    <row r="14" spans="1:38" ht="14" customHeight="1">
      <c r="A14" s="83"/>
      <c r="B14" s="83"/>
      <c r="C14" s="83"/>
      <c r="D14" s="83"/>
      <c r="E14" s="83"/>
      <c r="F14" s="83"/>
      <c r="G14" s="83"/>
      <c r="H14" s="83"/>
      <c r="I14" s="83"/>
      <c r="J14" s="83"/>
      <c r="K14" s="83"/>
      <c r="L14" s="250"/>
      <c r="M14" s="192"/>
      <c r="N14" s="192"/>
      <c r="O14" s="192"/>
      <c r="P14" s="192"/>
      <c r="Q14" s="192"/>
      <c r="R14" s="192"/>
      <c r="S14" s="192"/>
      <c r="T14" s="192"/>
      <c r="U14" s="192"/>
      <c r="V14" s="192"/>
      <c r="W14" s="192"/>
      <c r="X14" s="192"/>
      <c r="Y14" s="192"/>
      <c r="Z14" s="192"/>
      <c r="AA14" s="192"/>
      <c r="AB14" s="192"/>
      <c r="AC14" s="192"/>
      <c r="AD14" s="192"/>
      <c r="AE14" s="192"/>
      <c r="AF14" s="192"/>
      <c r="AG14" s="192"/>
      <c r="AH14" s="192"/>
      <c r="AI14" s="192"/>
      <c r="AJ14" s="192"/>
      <c r="AK14" s="192"/>
      <c r="AL14" s="192"/>
    </row>
    <row r="15" spans="1:38" ht="15" customHeight="1">
      <c r="A15" s="83"/>
      <c r="B15" s="83"/>
      <c r="C15" s="83"/>
      <c r="D15" s="83"/>
      <c r="E15" s="83"/>
      <c r="F15" s="83"/>
      <c r="G15" s="83"/>
      <c r="H15" s="83"/>
      <c r="I15" s="83"/>
      <c r="J15" s="83"/>
      <c r="K15" s="83"/>
      <c r="L15" s="2"/>
    </row>
    <row r="16" spans="1:38" ht="73" customHeight="1">
      <c r="A16" s="83"/>
      <c r="B16" s="263" t="s">
        <v>10</v>
      </c>
      <c r="C16" s="264"/>
      <c r="D16" s="264"/>
      <c r="E16" s="264"/>
      <c r="F16" s="264"/>
      <c r="G16" s="264"/>
      <c r="H16" s="218"/>
      <c r="I16" s="218"/>
      <c r="J16" s="218"/>
      <c r="K16" s="223"/>
      <c r="L16" s="2"/>
    </row>
    <row r="17" spans="1:38" ht="16" customHeight="1">
      <c r="A17" s="228"/>
      <c r="B17" s="83"/>
      <c r="C17" s="83"/>
      <c r="D17" s="83"/>
      <c r="E17" s="83"/>
      <c r="F17" s="83"/>
      <c r="G17" s="83"/>
      <c r="H17" s="83"/>
      <c r="I17" s="83"/>
      <c r="J17" s="83"/>
      <c r="K17" s="83"/>
    </row>
    <row r="18" spans="1:38" s="187" customFormat="1" ht="30" customHeight="1" thickBot="1">
      <c r="L18" s="202"/>
      <c r="M18" s="202"/>
      <c r="N18" s="202"/>
      <c r="O18" s="202"/>
      <c r="P18" s="202"/>
      <c r="Q18" s="202"/>
      <c r="R18" s="202"/>
      <c r="S18" s="202"/>
      <c r="T18" s="202"/>
      <c r="U18" s="202"/>
      <c r="V18" s="202"/>
      <c r="W18" s="202"/>
      <c r="X18" s="202"/>
      <c r="Y18" s="202"/>
      <c r="Z18" s="202"/>
      <c r="AA18" s="202"/>
      <c r="AB18" s="202"/>
      <c r="AC18" s="202"/>
      <c r="AD18" s="202"/>
      <c r="AE18" s="202"/>
      <c r="AF18" s="202"/>
      <c r="AG18" s="202"/>
      <c r="AH18" s="202"/>
      <c r="AI18" s="202"/>
      <c r="AJ18" s="202"/>
      <c r="AK18" s="202"/>
      <c r="AL18" s="202"/>
    </row>
    <row r="19" spans="1:38" s="59" customFormat="1" ht="39" customHeight="1">
      <c r="A19" s="203"/>
      <c r="B19" s="204"/>
      <c r="C19" s="205" t="s">
        <v>110</v>
      </c>
      <c r="D19" s="206"/>
      <c r="E19" s="207" t="s">
        <v>50</v>
      </c>
      <c r="F19" s="208"/>
      <c r="G19" s="207" t="s">
        <v>32</v>
      </c>
      <c r="H19" s="204"/>
      <c r="I19" s="204"/>
      <c r="J19" s="204"/>
      <c r="K19" s="209"/>
      <c r="L19" s="192"/>
      <c r="M19" s="192"/>
      <c r="N19" s="192"/>
      <c r="O19" s="192"/>
      <c r="P19" s="192"/>
      <c r="Q19" s="192"/>
      <c r="R19" s="192"/>
      <c r="S19" s="192"/>
      <c r="T19" s="192"/>
      <c r="U19" s="192"/>
      <c r="V19" s="192"/>
      <c r="W19" s="192"/>
      <c r="X19" s="192"/>
      <c r="Y19" s="192"/>
      <c r="Z19" s="192"/>
      <c r="AA19" s="192"/>
      <c r="AB19" s="192"/>
      <c r="AC19" s="192"/>
      <c r="AD19" s="192"/>
      <c r="AE19" s="192"/>
      <c r="AF19" s="192"/>
      <c r="AG19" s="192"/>
      <c r="AH19" s="192"/>
      <c r="AI19" s="192"/>
      <c r="AJ19" s="192"/>
      <c r="AK19" s="192"/>
      <c r="AL19" s="192"/>
    </row>
    <row r="20" spans="1:38" ht="17.25" customHeight="1">
      <c r="A20" s="210"/>
      <c r="B20" s="83"/>
      <c r="C20" s="211"/>
      <c r="D20" s="212"/>
      <c r="E20" s="83"/>
      <c r="F20" s="83"/>
      <c r="G20" s="83"/>
      <c r="H20" s="4"/>
      <c r="I20" s="4"/>
      <c r="J20" s="4"/>
      <c r="K20" s="213"/>
      <c r="L20" s="197"/>
      <c r="M20" s="192"/>
      <c r="N20" s="192"/>
      <c r="O20" s="192"/>
      <c r="P20" s="192"/>
      <c r="Q20" s="192"/>
      <c r="R20" s="192"/>
      <c r="S20" s="192"/>
      <c r="T20" s="192"/>
      <c r="U20" s="192"/>
      <c r="V20" s="192"/>
      <c r="W20" s="192"/>
      <c r="X20" s="192"/>
      <c r="Y20" s="192"/>
      <c r="Z20" s="192"/>
      <c r="AA20" s="192"/>
      <c r="AB20" s="192"/>
      <c r="AC20" s="192"/>
      <c r="AD20" s="192"/>
      <c r="AE20" s="192"/>
      <c r="AF20" s="192"/>
      <c r="AG20" s="192"/>
      <c r="AH20" s="192"/>
      <c r="AI20" s="192"/>
      <c r="AJ20" s="192"/>
      <c r="AK20" s="192"/>
      <c r="AL20" s="192"/>
    </row>
    <row r="21" spans="1:38" ht="31" customHeight="1">
      <c r="A21" s="210"/>
      <c r="B21" s="214">
        <v>1</v>
      </c>
      <c r="C21" s="215" t="s">
        <v>95</v>
      </c>
      <c r="D21" s="5"/>
      <c r="E21" s="258">
        <f>'Recycling &amp; Events'!F30</f>
        <v>19</v>
      </c>
      <c r="F21" s="86"/>
      <c r="G21" s="11">
        <f>'Recycling &amp; Events'!E30</f>
        <v>0</v>
      </c>
      <c r="H21" s="2"/>
      <c r="I21" s="2"/>
      <c r="J21" s="2"/>
      <c r="K21" s="213"/>
      <c r="M21" s="192"/>
      <c r="N21" s="192"/>
      <c r="O21" s="192"/>
      <c r="P21" s="192"/>
      <c r="Q21" s="192"/>
      <c r="R21" s="192"/>
      <c r="S21" s="192"/>
      <c r="T21" s="192"/>
      <c r="U21" s="192"/>
      <c r="V21" s="192"/>
      <c r="W21" s="192"/>
      <c r="X21" s="192"/>
      <c r="Y21" s="192"/>
      <c r="Z21" s="192"/>
      <c r="AA21" s="192"/>
      <c r="AB21" s="192"/>
      <c r="AC21" s="192"/>
      <c r="AD21" s="192"/>
      <c r="AE21" s="192"/>
      <c r="AF21" s="192"/>
      <c r="AG21" s="192"/>
      <c r="AH21" s="192"/>
      <c r="AI21" s="192"/>
      <c r="AJ21" s="192"/>
      <c r="AK21" s="192"/>
      <c r="AL21" s="192"/>
    </row>
    <row r="22" spans="1:38" ht="9.75" customHeight="1">
      <c r="A22" s="210"/>
      <c r="B22" s="216"/>
      <c r="C22" s="217"/>
      <c r="D22" s="218"/>
      <c r="E22" s="219"/>
      <c r="F22" s="86"/>
      <c r="G22" s="11"/>
      <c r="H22" s="2"/>
      <c r="I22" s="2"/>
      <c r="J22" s="2"/>
      <c r="K22" s="213"/>
      <c r="L22" s="198"/>
      <c r="M22" s="192"/>
      <c r="N22" s="192"/>
      <c r="O22" s="192"/>
      <c r="P22" s="192"/>
      <c r="Q22" s="192"/>
      <c r="R22" s="192"/>
      <c r="S22" s="192"/>
      <c r="T22" s="192"/>
      <c r="U22" s="192"/>
      <c r="V22" s="192"/>
      <c r="W22" s="192"/>
      <c r="X22" s="192"/>
      <c r="Y22" s="192"/>
      <c r="Z22" s="192"/>
      <c r="AA22" s="192"/>
      <c r="AB22" s="192"/>
      <c r="AC22" s="192"/>
      <c r="AD22" s="192"/>
      <c r="AE22" s="192"/>
      <c r="AF22" s="192"/>
      <c r="AG22" s="192"/>
      <c r="AH22" s="192"/>
      <c r="AI22" s="192"/>
      <c r="AJ22" s="192"/>
      <c r="AK22" s="192"/>
      <c r="AL22" s="192"/>
    </row>
    <row r="23" spans="1:38" ht="32">
      <c r="A23" s="210"/>
      <c r="B23" s="216">
        <v>2</v>
      </c>
      <c r="C23" s="189" t="s">
        <v>26</v>
      </c>
      <c r="D23" s="1"/>
      <c r="E23" s="47">
        <f>Energy!E51</f>
        <v>32</v>
      </c>
      <c r="F23" s="86"/>
      <c r="G23" s="251">
        <f>Energy!D51</f>
        <v>0</v>
      </c>
      <c r="H23" s="2"/>
      <c r="I23" s="2"/>
      <c r="J23" s="2"/>
      <c r="K23" s="213"/>
      <c r="L23" s="261"/>
      <c r="M23" s="192"/>
      <c r="N23" s="192"/>
      <c r="O23" s="192"/>
      <c r="P23" s="192"/>
      <c r="Q23" s="192"/>
      <c r="R23" s="192"/>
      <c r="S23" s="192"/>
      <c r="T23" s="192"/>
      <c r="U23" s="192"/>
      <c r="V23" s="192"/>
      <c r="W23" s="192"/>
      <c r="X23" s="192"/>
      <c r="Y23" s="192"/>
      <c r="Z23" s="192"/>
      <c r="AA23" s="192"/>
      <c r="AB23" s="192"/>
      <c r="AC23" s="192"/>
      <c r="AD23" s="192"/>
      <c r="AE23" s="192"/>
      <c r="AF23" s="192"/>
      <c r="AG23" s="192"/>
      <c r="AH23" s="192"/>
      <c r="AI23" s="192"/>
      <c r="AJ23" s="192"/>
      <c r="AK23" s="192"/>
      <c r="AL23" s="192"/>
    </row>
    <row r="24" spans="1:38" ht="9.75" customHeight="1">
      <c r="A24" s="210"/>
      <c r="B24" s="216"/>
      <c r="C24" s="220"/>
      <c r="D24" s="218"/>
      <c r="E24" s="219"/>
      <c r="F24" s="86"/>
      <c r="G24" s="11"/>
      <c r="H24" s="2"/>
      <c r="I24" s="2"/>
      <c r="J24" s="2"/>
      <c r="K24" s="213"/>
      <c r="L24" s="262"/>
      <c r="M24" s="192"/>
      <c r="N24" s="192"/>
      <c r="O24" s="192"/>
      <c r="P24" s="192"/>
      <c r="Q24" s="192"/>
      <c r="R24" s="192"/>
      <c r="S24" s="192"/>
      <c r="T24" s="192"/>
      <c r="U24" s="192"/>
      <c r="V24" s="192"/>
      <c r="W24" s="192"/>
      <c r="X24" s="192"/>
      <c r="Y24" s="192"/>
      <c r="Z24" s="192"/>
      <c r="AA24" s="192"/>
      <c r="AB24" s="192"/>
      <c r="AC24" s="192"/>
      <c r="AD24" s="192"/>
      <c r="AE24" s="192"/>
      <c r="AF24" s="192"/>
      <c r="AG24" s="192"/>
      <c r="AH24" s="192"/>
      <c r="AI24" s="192"/>
      <c r="AJ24" s="192"/>
      <c r="AK24" s="192"/>
      <c r="AL24" s="192"/>
    </row>
    <row r="25" spans="1:38" ht="32">
      <c r="A25" s="210"/>
      <c r="B25" s="216">
        <v>3</v>
      </c>
      <c r="C25" s="215" t="s">
        <v>96</v>
      </c>
      <c r="D25" s="1"/>
      <c r="E25" s="47">
        <f>Purchasing!E27</f>
        <v>14</v>
      </c>
      <c r="F25" s="86"/>
      <c r="G25" s="11">
        <f>Purchasing!D27</f>
        <v>0</v>
      </c>
      <c r="H25" s="2"/>
      <c r="I25" s="2"/>
      <c r="J25" s="2"/>
      <c r="K25" s="213"/>
      <c r="L25" s="262"/>
      <c r="M25" s="192"/>
      <c r="N25" s="192"/>
      <c r="O25" s="192"/>
      <c r="P25" s="192"/>
      <c r="Q25" s="192"/>
      <c r="R25" s="192"/>
      <c r="S25" s="192"/>
      <c r="T25" s="192"/>
      <c r="U25" s="192"/>
      <c r="V25" s="192"/>
      <c r="W25" s="192"/>
      <c r="X25" s="192"/>
      <c r="Y25" s="192"/>
      <c r="Z25" s="192"/>
      <c r="AA25" s="192"/>
      <c r="AB25" s="192"/>
      <c r="AC25" s="192"/>
      <c r="AD25" s="192"/>
      <c r="AE25" s="192"/>
      <c r="AF25" s="192"/>
      <c r="AG25" s="192"/>
      <c r="AH25" s="192"/>
      <c r="AI25" s="192"/>
      <c r="AJ25" s="192"/>
      <c r="AK25" s="192"/>
      <c r="AL25" s="192"/>
    </row>
    <row r="26" spans="1:38" ht="9.75" customHeight="1">
      <c r="A26" s="210"/>
      <c r="B26" s="216"/>
      <c r="C26" s="220"/>
      <c r="D26" s="218"/>
      <c r="E26" s="219"/>
      <c r="F26" s="86"/>
      <c r="G26" s="11"/>
      <c r="H26" s="2"/>
      <c r="I26" s="2"/>
      <c r="J26" s="2"/>
      <c r="K26" s="213"/>
      <c r="L26" s="262"/>
      <c r="M26" s="192"/>
      <c r="N26" s="192"/>
      <c r="O26" s="192"/>
      <c r="P26" s="192"/>
      <c r="Q26" s="192"/>
      <c r="R26" s="192"/>
      <c r="S26" s="192"/>
      <c r="T26" s="192"/>
      <c r="U26" s="192"/>
      <c r="V26" s="192"/>
      <c r="W26" s="192"/>
      <c r="X26" s="192"/>
      <c r="Y26" s="192"/>
      <c r="Z26" s="192"/>
      <c r="AA26" s="192"/>
      <c r="AB26" s="192"/>
      <c r="AC26" s="192"/>
      <c r="AD26" s="192"/>
      <c r="AE26" s="192"/>
      <c r="AF26" s="192"/>
      <c r="AG26" s="192"/>
      <c r="AH26" s="192"/>
      <c r="AI26" s="192"/>
      <c r="AJ26" s="192"/>
      <c r="AK26" s="192"/>
      <c r="AL26" s="192"/>
    </row>
    <row r="27" spans="1:38" ht="32">
      <c r="A27" s="210"/>
      <c r="B27" s="216">
        <v>4</v>
      </c>
      <c r="C27" s="215" t="s">
        <v>37</v>
      </c>
      <c r="D27" s="1"/>
      <c r="E27" s="3">
        <f>'Reduction of Waste'!E38</f>
        <v>21</v>
      </c>
      <c r="F27" s="86"/>
      <c r="G27" s="11">
        <f>'Reduction of Waste'!D38</f>
        <v>0</v>
      </c>
      <c r="H27" s="2"/>
      <c r="I27" s="2"/>
      <c r="J27" s="2"/>
      <c r="K27" s="213"/>
      <c r="L27" s="262"/>
      <c r="M27" s="192"/>
      <c r="N27" s="192"/>
      <c r="O27" s="192"/>
      <c r="P27" s="192"/>
      <c r="Q27" s="192"/>
      <c r="R27" s="192"/>
      <c r="S27" s="192"/>
      <c r="T27" s="192"/>
      <c r="U27" s="192"/>
      <c r="V27" s="192"/>
      <c r="W27" s="192"/>
      <c r="X27" s="192"/>
      <c r="Y27" s="192"/>
      <c r="Z27" s="192"/>
      <c r="AA27" s="192"/>
      <c r="AB27" s="192"/>
      <c r="AC27" s="192"/>
      <c r="AD27" s="192"/>
      <c r="AE27" s="192"/>
      <c r="AF27" s="192"/>
      <c r="AG27" s="192"/>
      <c r="AH27" s="192"/>
      <c r="AI27" s="192"/>
      <c r="AJ27" s="192"/>
      <c r="AK27" s="192"/>
      <c r="AL27" s="192"/>
    </row>
    <row r="28" spans="1:38" ht="9" customHeight="1">
      <c r="A28" s="210"/>
      <c r="B28" s="216"/>
      <c r="C28" s="215"/>
      <c r="D28" s="1"/>
      <c r="E28" s="3"/>
      <c r="F28" s="86"/>
      <c r="G28" s="11"/>
      <c r="H28" s="2"/>
      <c r="I28" s="2"/>
      <c r="J28" s="2"/>
      <c r="K28" s="213"/>
      <c r="L28" s="252"/>
      <c r="M28" s="192"/>
      <c r="N28" s="192"/>
      <c r="O28" s="192"/>
      <c r="P28" s="192"/>
      <c r="Q28" s="192"/>
      <c r="R28" s="192"/>
      <c r="S28" s="192"/>
      <c r="T28" s="192"/>
      <c r="U28" s="192"/>
      <c r="V28" s="192"/>
      <c r="W28" s="192"/>
      <c r="X28" s="192"/>
      <c r="Y28" s="192"/>
      <c r="Z28" s="192"/>
      <c r="AA28" s="192"/>
      <c r="AB28" s="192"/>
      <c r="AC28" s="192"/>
      <c r="AD28" s="192"/>
      <c r="AE28" s="192"/>
      <c r="AF28" s="192"/>
      <c r="AG28" s="192"/>
      <c r="AH28" s="192"/>
      <c r="AI28" s="192"/>
      <c r="AJ28" s="192"/>
      <c r="AK28" s="192"/>
      <c r="AL28" s="192"/>
    </row>
    <row r="29" spans="1:38" ht="32">
      <c r="A29" s="210"/>
      <c r="B29" s="216">
        <v>5</v>
      </c>
      <c r="C29" s="215" t="s">
        <v>126</v>
      </c>
      <c r="D29" s="1"/>
      <c r="E29" s="47">
        <f>Transportation!E23</f>
        <v>16</v>
      </c>
      <c r="F29" s="86"/>
      <c r="G29" s="11">
        <f>Transportation!D23</f>
        <v>0</v>
      </c>
      <c r="H29" s="2"/>
      <c r="I29" s="2"/>
      <c r="J29" s="2"/>
      <c r="K29" s="213"/>
      <c r="L29" s="198"/>
      <c r="M29" s="192"/>
      <c r="N29" s="192"/>
      <c r="O29" s="192"/>
      <c r="P29" s="192"/>
      <c r="Q29" s="192"/>
      <c r="R29" s="192"/>
      <c r="S29" s="192"/>
      <c r="T29" s="192"/>
      <c r="U29" s="192"/>
      <c r="V29" s="192"/>
      <c r="W29" s="192"/>
      <c r="X29" s="192"/>
      <c r="Y29" s="192"/>
      <c r="Z29" s="192"/>
      <c r="AA29" s="192"/>
      <c r="AB29" s="192"/>
      <c r="AC29" s="192"/>
      <c r="AD29" s="192"/>
      <c r="AE29" s="192"/>
      <c r="AF29" s="192"/>
      <c r="AG29" s="192"/>
      <c r="AH29" s="192"/>
      <c r="AI29" s="192"/>
      <c r="AJ29" s="192"/>
      <c r="AK29" s="192"/>
      <c r="AL29" s="192"/>
    </row>
    <row r="30" spans="1:38" ht="18" customHeight="1">
      <c r="A30" s="210"/>
      <c r="B30" s="221"/>
      <c r="C30" s="222"/>
      <c r="D30" s="223"/>
      <c r="E30" s="224"/>
      <c r="F30" s="86"/>
      <c r="G30" s="160"/>
      <c r="H30" s="83"/>
      <c r="I30" s="83"/>
      <c r="J30" s="83"/>
      <c r="K30" s="213"/>
      <c r="L30" s="198"/>
      <c r="M30" s="192"/>
      <c r="N30" s="192"/>
      <c r="O30" s="192"/>
      <c r="P30" s="192"/>
      <c r="Q30" s="192"/>
      <c r="R30" s="192"/>
      <c r="S30" s="192"/>
      <c r="T30" s="192"/>
      <c r="U30" s="192"/>
      <c r="V30" s="192"/>
      <c r="W30" s="192"/>
      <c r="X30" s="192"/>
      <c r="Y30" s="192"/>
      <c r="Z30" s="192"/>
      <c r="AA30" s="192"/>
      <c r="AB30" s="192"/>
      <c r="AC30" s="192"/>
      <c r="AD30" s="192"/>
      <c r="AE30" s="192"/>
      <c r="AF30" s="192"/>
      <c r="AG30" s="192"/>
      <c r="AH30" s="192"/>
      <c r="AI30" s="192"/>
      <c r="AJ30" s="192"/>
      <c r="AK30" s="192"/>
      <c r="AL30" s="192"/>
    </row>
    <row r="31" spans="1:38" ht="35" customHeight="1">
      <c r="A31" s="210"/>
      <c r="B31" s="225"/>
      <c r="C31" s="60" t="s">
        <v>75</v>
      </c>
      <c r="D31" s="61"/>
      <c r="E31" s="161">
        <f>SUM(E21+E23+E25+E27+E29)</f>
        <v>102</v>
      </c>
      <c r="F31" s="87"/>
      <c r="G31" s="62">
        <f>SUM(G23+G21+G25+G27)</f>
        <v>0</v>
      </c>
      <c r="H31" s="83"/>
      <c r="I31" s="83"/>
      <c r="J31" s="83"/>
      <c r="K31" s="213"/>
      <c r="L31" s="198"/>
      <c r="M31" s="192"/>
      <c r="N31" s="192"/>
      <c r="O31" s="192"/>
      <c r="P31" s="192"/>
      <c r="Q31" s="192"/>
      <c r="R31" s="192"/>
      <c r="S31" s="192"/>
      <c r="T31" s="192"/>
      <c r="U31" s="192"/>
      <c r="V31" s="192"/>
      <c r="W31" s="192"/>
      <c r="X31" s="192"/>
      <c r="Y31" s="192"/>
      <c r="Z31" s="192"/>
      <c r="AA31" s="192"/>
      <c r="AB31" s="192"/>
      <c r="AC31" s="192"/>
      <c r="AD31" s="192"/>
      <c r="AE31" s="192"/>
      <c r="AF31" s="192"/>
      <c r="AG31" s="192"/>
      <c r="AH31" s="192"/>
      <c r="AI31" s="192"/>
      <c r="AJ31" s="192"/>
      <c r="AK31" s="192"/>
      <c r="AL31" s="192"/>
    </row>
    <row r="32" spans="1:38" ht="16" customHeight="1">
      <c r="A32" s="210"/>
      <c r="B32" s="221"/>
      <c r="C32" s="162"/>
      <c r="D32" s="163"/>
      <c r="E32" s="164"/>
      <c r="F32" s="87"/>
      <c r="G32" s="165"/>
      <c r="H32" s="83"/>
      <c r="I32" s="83"/>
      <c r="J32" s="83"/>
      <c r="K32" s="213"/>
      <c r="L32" s="198"/>
      <c r="M32" s="192"/>
      <c r="N32" s="192"/>
      <c r="O32" s="192"/>
      <c r="P32" s="192"/>
      <c r="Q32" s="192"/>
      <c r="R32" s="192"/>
      <c r="S32" s="192"/>
      <c r="T32" s="192"/>
      <c r="U32" s="192"/>
      <c r="V32" s="192"/>
      <c r="W32" s="192"/>
      <c r="X32" s="192"/>
      <c r="Y32" s="192"/>
      <c r="Z32" s="192"/>
      <c r="AA32" s="192"/>
      <c r="AB32" s="192"/>
      <c r="AC32" s="192"/>
      <c r="AD32" s="192"/>
      <c r="AE32" s="192"/>
      <c r="AF32" s="192"/>
      <c r="AG32" s="192"/>
      <c r="AH32" s="192"/>
      <c r="AI32" s="192"/>
      <c r="AJ32" s="192"/>
      <c r="AK32" s="192"/>
      <c r="AL32" s="192"/>
    </row>
    <row r="33" spans="1:38" ht="35" customHeight="1">
      <c r="A33" s="210"/>
      <c r="B33" s="226"/>
      <c r="C33" s="170" t="s">
        <v>64</v>
      </c>
      <c r="D33" s="166"/>
      <c r="E33" s="167"/>
      <c r="F33" s="122"/>
      <c r="G33" s="168"/>
      <c r="H33" s="83"/>
      <c r="I33" s="83"/>
      <c r="J33" s="83"/>
      <c r="K33" s="213"/>
      <c r="L33" s="198"/>
      <c r="M33" s="192"/>
      <c r="N33" s="192"/>
      <c r="O33" s="192"/>
      <c r="P33" s="192"/>
      <c r="Q33" s="192"/>
      <c r="R33" s="192"/>
      <c r="S33" s="192"/>
      <c r="T33" s="192"/>
      <c r="U33" s="192"/>
      <c r="V33" s="192"/>
      <c r="W33" s="192"/>
      <c r="X33" s="192"/>
      <c r="Y33" s="192"/>
      <c r="Z33" s="192"/>
      <c r="AA33" s="192"/>
      <c r="AB33" s="192"/>
      <c r="AC33" s="192"/>
      <c r="AD33" s="192"/>
      <c r="AE33" s="192"/>
      <c r="AF33" s="192"/>
      <c r="AG33" s="192"/>
      <c r="AH33" s="192"/>
      <c r="AI33" s="192"/>
      <c r="AJ33" s="192"/>
      <c r="AK33" s="192"/>
      <c r="AL33" s="192"/>
    </row>
    <row r="34" spans="1:38" ht="15" customHeight="1">
      <c r="A34" s="210"/>
      <c r="B34" s="221"/>
      <c r="C34" s="227"/>
      <c r="D34" s="223"/>
      <c r="E34" s="224"/>
      <c r="F34" s="86"/>
      <c r="G34" s="160"/>
      <c r="H34" s="83"/>
      <c r="I34" s="83"/>
      <c r="J34" s="83"/>
      <c r="K34" s="213"/>
      <c r="L34" s="198"/>
      <c r="M34" s="192"/>
      <c r="N34" s="192"/>
      <c r="O34" s="192"/>
      <c r="P34" s="192"/>
      <c r="Q34" s="192"/>
      <c r="R34" s="192"/>
      <c r="S34" s="192"/>
      <c r="T34" s="192"/>
      <c r="U34" s="192"/>
      <c r="V34" s="192"/>
      <c r="W34" s="192"/>
      <c r="X34" s="192"/>
      <c r="Y34" s="192"/>
      <c r="Z34" s="192"/>
      <c r="AA34" s="192"/>
      <c r="AB34" s="192"/>
      <c r="AC34" s="192"/>
      <c r="AD34" s="192"/>
      <c r="AE34" s="192"/>
      <c r="AF34" s="192"/>
      <c r="AG34" s="192"/>
      <c r="AH34" s="192"/>
      <c r="AI34" s="192"/>
      <c r="AJ34" s="192"/>
      <c r="AK34" s="192"/>
      <c r="AL34" s="192"/>
    </row>
    <row r="35" spans="1:38" ht="32">
      <c r="A35" s="210"/>
      <c r="B35" s="216">
        <v>6</v>
      </c>
      <c r="C35" s="215" t="s">
        <v>36</v>
      </c>
      <c r="D35" s="1"/>
      <c r="E35" s="3">
        <f>Innovation!E21</f>
        <v>4</v>
      </c>
      <c r="F35" s="86"/>
      <c r="G35" s="11">
        <f>Innovation!D21</f>
        <v>0</v>
      </c>
      <c r="H35" s="2"/>
      <c r="I35" s="2"/>
      <c r="J35" s="2"/>
      <c r="K35" s="213"/>
      <c r="L35" s="198"/>
      <c r="M35" s="192"/>
      <c r="N35" s="192"/>
      <c r="O35" s="192"/>
      <c r="P35" s="192"/>
      <c r="Q35" s="192"/>
      <c r="R35" s="192"/>
      <c r="S35" s="192"/>
      <c r="T35" s="192"/>
      <c r="U35" s="192"/>
      <c r="V35" s="192"/>
      <c r="W35" s="192"/>
      <c r="X35" s="192"/>
      <c r="Y35" s="192"/>
      <c r="Z35" s="192"/>
      <c r="AA35" s="192"/>
      <c r="AB35" s="192"/>
      <c r="AC35" s="192"/>
      <c r="AD35" s="192"/>
      <c r="AE35" s="192"/>
      <c r="AF35" s="192"/>
      <c r="AG35" s="192"/>
      <c r="AH35" s="192"/>
      <c r="AI35" s="192"/>
      <c r="AJ35" s="192"/>
      <c r="AK35" s="192"/>
      <c r="AL35" s="192"/>
    </row>
    <row r="36" spans="1:38" ht="26">
      <c r="A36" s="210"/>
      <c r="B36" s="82"/>
      <c r="C36" s="83"/>
      <c r="D36" s="83"/>
      <c r="E36" s="84"/>
      <c r="F36" s="84"/>
      <c r="G36" s="84"/>
      <c r="H36" s="83"/>
      <c r="I36" s="83"/>
      <c r="J36" s="83"/>
      <c r="K36" s="213"/>
      <c r="L36" s="198"/>
      <c r="M36" s="192"/>
      <c r="N36" s="192"/>
      <c r="O36" s="192"/>
      <c r="P36" s="192"/>
      <c r="Q36" s="192"/>
      <c r="R36" s="192"/>
      <c r="S36" s="192"/>
      <c r="T36" s="192"/>
      <c r="U36" s="192"/>
      <c r="V36" s="192"/>
      <c r="W36" s="192"/>
      <c r="X36" s="192"/>
      <c r="Y36" s="192"/>
      <c r="Z36" s="192"/>
      <c r="AA36" s="192"/>
      <c r="AB36" s="192"/>
      <c r="AC36" s="192"/>
      <c r="AD36" s="192"/>
      <c r="AE36" s="192"/>
      <c r="AF36" s="192"/>
      <c r="AG36" s="192"/>
      <c r="AH36" s="192"/>
      <c r="AI36" s="192"/>
      <c r="AJ36" s="192"/>
      <c r="AK36" s="192"/>
      <c r="AL36" s="192"/>
    </row>
    <row r="37" spans="1:38" s="57" customFormat="1" ht="52.75" customHeight="1">
      <c r="A37" s="229"/>
      <c r="B37" s="85"/>
      <c r="C37" s="171" t="s">
        <v>93</v>
      </c>
      <c r="D37" s="169"/>
      <c r="E37" s="173">
        <f>E21+E23+E25+E27+E29</f>
        <v>102</v>
      </c>
      <c r="F37" s="87"/>
      <c r="G37" s="172">
        <f>SUM(G23+G21+G25+G27+G29+G35)</f>
        <v>0</v>
      </c>
      <c r="H37" s="63"/>
      <c r="I37" s="63"/>
      <c r="J37" s="63"/>
      <c r="K37" s="230"/>
      <c r="L37" s="198"/>
      <c r="M37" s="192"/>
      <c r="N37" s="192"/>
      <c r="O37" s="192"/>
      <c r="P37" s="192"/>
      <c r="Q37" s="192"/>
      <c r="R37" s="192"/>
      <c r="S37" s="192"/>
      <c r="T37" s="192"/>
      <c r="U37" s="192"/>
      <c r="V37" s="192"/>
      <c r="W37" s="192"/>
      <c r="X37" s="192"/>
      <c r="Y37" s="192"/>
      <c r="Z37" s="192"/>
      <c r="AA37" s="192"/>
      <c r="AB37" s="192"/>
      <c r="AC37" s="192"/>
      <c r="AD37" s="192"/>
      <c r="AE37" s="192"/>
      <c r="AF37" s="192"/>
      <c r="AG37" s="192"/>
      <c r="AH37" s="192"/>
      <c r="AI37" s="192"/>
      <c r="AJ37" s="192"/>
      <c r="AK37" s="192"/>
      <c r="AL37" s="192"/>
    </row>
    <row r="38" spans="1:38" ht="26">
      <c r="A38" s="210"/>
      <c r="B38" s="83"/>
      <c r="C38" s="83"/>
      <c r="D38" s="83"/>
      <c r="E38" s="83"/>
      <c r="F38" s="83"/>
      <c r="G38" s="83"/>
      <c r="H38" s="83"/>
      <c r="I38" s="83"/>
      <c r="J38" s="83"/>
      <c r="K38" s="213"/>
      <c r="L38" s="192"/>
      <c r="M38" s="192"/>
      <c r="N38" s="192"/>
      <c r="O38" s="192"/>
      <c r="P38" s="192"/>
      <c r="Q38" s="192"/>
      <c r="R38" s="192"/>
      <c r="S38" s="192"/>
      <c r="T38" s="192"/>
      <c r="U38" s="192"/>
      <c r="V38" s="192"/>
      <c r="W38" s="192"/>
      <c r="X38" s="192"/>
      <c r="Y38" s="192"/>
      <c r="Z38" s="192"/>
      <c r="AA38" s="192"/>
      <c r="AB38" s="192"/>
      <c r="AC38" s="192"/>
      <c r="AD38" s="192"/>
      <c r="AE38" s="192"/>
      <c r="AF38" s="192"/>
      <c r="AG38" s="192"/>
      <c r="AH38" s="192"/>
      <c r="AI38" s="192"/>
      <c r="AJ38" s="192"/>
      <c r="AK38" s="192"/>
      <c r="AL38" s="192"/>
    </row>
    <row r="39" spans="1:38" ht="52" customHeight="1">
      <c r="A39" s="210"/>
      <c r="B39" s="83"/>
      <c r="C39" s="195" t="s">
        <v>18</v>
      </c>
      <c r="D39" s="194"/>
      <c r="E39" s="195"/>
      <c r="F39" s="195"/>
      <c r="G39" s="195">
        <f>(G37/E37)*100</f>
        <v>0</v>
      </c>
      <c r="H39" s="83"/>
      <c r="I39" s="83"/>
      <c r="J39" s="83"/>
      <c r="K39" s="213"/>
      <c r="L39" s="192"/>
      <c r="M39" s="192"/>
      <c r="N39" s="192"/>
      <c r="O39" s="192"/>
      <c r="P39" s="192"/>
      <c r="Q39" s="192"/>
      <c r="R39" s="192"/>
      <c r="S39" s="192"/>
      <c r="T39" s="192"/>
      <c r="U39" s="192"/>
      <c r="V39" s="192"/>
      <c r="W39" s="192"/>
      <c r="X39" s="192"/>
      <c r="Y39" s="192"/>
      <c r="Z39" s="192"/>
      <c r="AA39" s="192"/>
      <c r="AB39" s="192"/>
      <c r="AC39" s="192"/>
      <c r="AD39" s="192"/>
      <c r="AE39" s="192"/>
      <c r="AF39" s="192"/>
      <c r="AG39" s="192"/>
      <c r="AH39" s="192"/>
      <c r="AI39" s="192"/>
      <c r="AJ39" s="192"/>
      <c r="AK39" s="192"/>
      <c r="AL39" s="192"/>
    </row>
    <row r="40" spans="1:38" ht="27" thickBot="1">
      <c r="A40" s="231"/>
      <c r="B40" s="232"/>
      <c r="C40" s="232"/>
      <c r="D40" s="232"/>
      <c r="E40" s="232"/>
      <c r="F40" s="232"/>
      <c r="G40" s="232"/>
      <c r="H40" s="232"/>
      <c r="I40" s="232"/>
      <c r="J40" s="232"/>
      <c r="K40" s="233"/>
      <c r="L40" s="192"/>
      <c r="M40" s="192"/>
      <c r="N40" s="192"/>
      <c r="O40" s="192"/>
      <c r="P40" s="192"/>
      <c r="Q40" s="192"/>
      <c r="R40" s="192"/>
      <c r="S40" s="192"/>
      <c r="T40" s="192"/>
      <c r="U40" s="192"/>
      <c r="V40" s="192"/>
      <c r="W40" s="192"/>
      <c r="X40" s="192"/>
      <c r="Y40" s="192"/>
      <c r="Z40" s="192"/>
      <c r="AA40" s="192"/>
      <c r="AB40" s="192"/>
      <c r="AC40" s="192"/>
      <c r="AD40" s="192"/>
      <c r="AE40" s="192"/>
      <c r="AF40" s="192"/>
      <c r="AG40" s="192"/>
      <c r="AH40" s="192"/>
      <c r="AI40" s="192"/>
      <c r="AJ40" s="192"/>
      <c r="AK40" s="192"/>
      <c r="AL40" s="192"/>
    </row>
    <row r="41" spans="1:38" ht="25" customHeight="1">
      <c r="L41" s="192"/>
      <c r="M41" s="192"/>
      <c r="N41" s="192"/>
      <c r="O41" s="192"/>
      <c r="P41" s="192"/>
      <c r="Q41" s="192"/>
      <c r="R41" s="192"/>
      <c r="S41" s="192"/>
      <c r="T41" s="192"/>
      <c r="U41" s="192"/>
      <c r="V41" s="192"/>
      <c r="W41" s="192"/>
      <c r="X41" s="192"/>
      <c r="Y41" s="192"/>
      <c r="Z41" s="192"/>
      <c r="AA41" s="192"/>
      <c r="AB41" s="192"/>
      <c r="AC41" s="192"/>
      <c r="AD41" s="192"/>
      <c r="AE41" s="192"/>
      <c r="AF41" s="192"/>
      <c r="AG41" s="192"/>
      <c r="AH41" s="192"/>
      <c r="AI41" s="192"/>
      <c r="AJ41" s="192"/>
      <c r="AK41" s="192"/>
      <c r="AL41" s="192"/>
    </row>
    <row r="42" spans="1:38" ht="26">
      <c r="L42" s="192"/>
      <c r="M42" s="192"/>
      <c r="N42" s="192"/>
      <c r="O42" s="192"/>
      <c r="P42" s="192"/>
      <c r="Q42" s="192"/>
      <c r="R42" s="192"/>
      <c r="S42" s="192"/>
      <c r="T42" s="192"/>
      <c r="U42" s="192"/>
      <c r="V42" s="192"/>
      <c r="W42" s="192"/>
      <c r="X42" s="192"/>
      <c r="Y42" s="192"/>
      <c r="Z42" s="192"/>
      <c r="AA42" s="192"/>
      <c r="AB42" s="192"/>
      <c r="AC42" s="192"/>
      <c r="AD42" s="192"/>
      <c r="AE42" s="192"/>
      <c r="AF42" s="192"/>
      <c r="AG42" s="192"/>
      <c r="AH42" s="192"/>
      <c r="AI42" s="192"/>
      <c r="AJ42" s="192"/>
      <c r="AK42" s="192"/>
      <c r="AL42" s="192"/>
    </row>
    <row r="43" spans="1:38" ht="31" customHeight="1">
      <c r="L43" s="192"/>
      <c r="M43" s="192"/>
      <c r="N43" s="192"/>
      <c r="O43" s="192"/>
      <c r="P43" s="192"/>
      <c r="Q43" s="192"/>
      <c r="R43" s="192"/>
      <c r="S43" s="192"/>
      <c r="T43" s="192"/>
      <c r="U43" s="192"/>
      <c r="V43" s="192"/>
      <c r="W43" s="192"/>
      <c r="X43" s="192"/>
      <c r="Y43" s="192"/>
      <c r="Z43" s="192"/>
      <c r="AA43" s="192"/>
      <c r="AB43" s="192"/>
      <c r="AC43" s="192"/>
      <c r="AD43" s="192"/>
      <c r="AE43" s="192"/>
      <c r="AF43" s="192"/>
      <c r="AG43" s="192"/>
      <c r="AH43" s="192"/>
      <c r="AI43" s="192"/>
      <c r="AJ43" s="192"/>
      <c r="AK43" s="192"/>
      <c r="AL43" s="192"/>
    </row>
    <row r="44" spans="1:38" ht="26">
      <c r="L44" s="192"/>
      <c r="M44" s="192"/>
      <c r="N44" s="192"/>
      <c r="O44" s="192"/>
      <c r="P44" s="192"/>
      <c r="Q44" s="192"/>
      <c r="R44" s="192"/>
      <c r="S44" s="192"/>
      <c r="T44" s="192"/>
      <c r="U44" s="192"/>
      <c r="V44" s="192"/>
      <c r="W44" s="192"/>
      <c r="X44" s="192"/>
      <c r="Y44" s="192"/>
      <c r="Z44" s="192"/>
      <c r="AA44" s="192"/>
      <c r="AB44" s="192"/>
      <c r="AC44" s="192"/>
      <c r="AD44" s="192"/>
      <c r="AE44" s="192"/>
      <c r="AF44" s="192"/>
      <c r="AG44" s="192"/>
      <c r="AH44" s="192"/>
      <c r="AI44" s="192"/>
      <c r="AJ44" s="192"/>
      <c r="AK44" s="192"/>
      <c r="AL44" s="192"/>
    </row>
    <row r="45" spans="1:38" ht="199" customHeight="1">
      <c r="L45" s="192"/>
      <c r="M45" s="192"/>
      <c r="N45" s="192"/>
      <c r="O45" s="192"/>
      <c r="P45" s="192"/>
      <c r="Q45" s="192"/>
      <c r="R45" s="192"/>
      <c r="S45" s="192"/>
      <c r="T45" s="192"/>
      <c r="U45" s="192"/>
      <c r="V45" s="192"/>
      <c r="W45" s="192"/>
      <c r="X45" s="192"/>
      <c r="Y45" s="192"/>
      <c r="Z45" s="192"/>
      <c r="AA45" s="192"/>
      <c r="AB45" s="192"/>
      <c r="AC45" s="192"/>
      <c r="AD45" s="192"/>
      <c r="AE45" s="192"/>
      <c r="AF45" s="192"/>
      <c r="AG45" s="192"/>
      <c r="AH45" s="192"/>
      <c r="AI45" s="192"/>
      <c r="AJ45" s="192"/>
      <c r="AK45" s="192"/>
      <c r="AL45" s="192"/>
    </row>
    <row r="46" spans="1:38" ht="26">
      <c r="L46" s="192"/>
      <c r="M46" s="192"/>
      <c r="N46" s="192"/>
      <c r="O46" s="192"/>
      <c r="P46" s="192"/>
      <c r="Q46" s="192"/>
      <c r="R46" s="192"/>
      <c r="S46" s="192"/>
      <c r="T46" s="192"/>
      <c r="U46" s="192"/>
      <c r="V46" s="192"/>
      <c r="W46" s="192"/>
      <c r="X46" s="192"/>
      <c r="Y46" s="192"/>
      <c r="Z46" s="192"/>
      <c r="AA46" s="192"/>
      <c r="AB46" s="192"/>
      <c r="AC46" s="192"/>
      <c r="AD46" s="192"/>
      <c r="AE46" s="192"/>
      <c r="AF46" s="192"/>
      <c r="AG46" s="192"/>
      <c r="AH46" s="192"/>
      <c r="AI46" s="192"/>
      <c r="AJ46" s="192"/>
      <c r="AK46" s="192"/>
      <c r="AL46" s="192"/>
    </row>
    <row r="47" spans="1:38" ht="95" customHeight="1">
      <c r="L47" s="192"/>
      <c r="M47" s="192"/>
      <c r="N47" s="192"/>
      <c r="O47" s="192"/>
      <c r="P47" s="192"/>
      <c r="Q47" s="192"/>
      <c r="R47" s="192"/>
      <c r="S47" s="192"/>
      <c r="T47" s="192"/>
      <c r="U47" s="192"/>
      <c r="V47" s="192"/>
      <c r="W47" s="192"/>
      <c r="X47" s="192"/>
      <c r="Y47" s="192"/>
      <c r="Z47" s="192"/>
      <c r="AA47" s="192"/>
      <c r="AB47" s="192"/>
      <c r="AC47" s="192"/>
      <c r="AD47" s="192"/>
      <c r="AE47" s="192"/>
      <c r="AF47" s="192"/>
      <c r="AG47" s="192"/>
      <c r="AH47" s="192"/>
      <c r="AI47" s="192"/>
      <c r="AJ47" s="192"/>
      <c r="AK47" s="192"/>
      <c r="AL47" s="192"/>
    </row>
    <row r="48" spans="1:38" ht="15" customHeight="1">
      <c r="L48" s="192"/>
      <c r="M48" s="192"/>
      <c r="N48" s="192"/>
      <c r="O48" s="192"/>
      <c r="P48" s="192"/>
      <c r="Q48" s="192"/>
      <c r="R48" s="192"/>
      <c r="S48" s="192"/>
      <c r="T48" s="192"/>
      <c r="U48" s="192"/>
      <c r="V48" s="192"/>
      <c r="W48" s="192"/>
      <c r="X48" s="192"/>
      <c r="Y48" s="192"/>
      <c r="Z48" s="192"/>
      <c r="AA48" s="192"/>
      <c r="AB48" s="192"/>
      <c r="AC48" s="192"/>
      <c r="AD48" s="192"/>
      <c r="AE48" s="192"/>
      <c r="AF48" s="192"/>
      <c r="AG48" s="192"/>
      <c r="AH48" s="192"/>
      <c r="AI48" s="192"/>
      <c r="AJ48" s="192"/>
      <c r="AK48" s="192"/>
      <c r="AL48" s="192"/>
    </row>
    <row r="49" spans="1:38" ht="131" customHeight="1">
      <c r="L49" s="192"/>
      <c r="M49" s="192"/>
      <c r="N49" s="192"/>
      <c r="O49" s="192"/>
      <c r="P49" s="192"/>
      <c r="Q49" s="192"/>
      <c r="R49" s="192"/>
      <c r="S49" s="192"/>
      <c r="T49" s="192"/>
      <c r="U49" s="192"/>
      <c r="V49" s="192"/>
      <c r="W49" s="192"/>
      <c r="X49" s="192"/>
      <c r="Y49" s="192"/>
      <c r="Z49" s="192"/>
      <c r="AA49" s="192"/>
      <c r="AB49" s="192"/>
      <c r="AC49" s="192"/>
      <c r="AD49" s="192"/>
      <c r="AE49" s="192"/>
      <c r="AF49" s="192"/>
      <c r="AG49" s="192"/>
      <c r="AH49" s="192"/>
      <c r="AI49" s="192"/>
      <c r="AJ49" s="192"/>
      <c r="AK49" s="192"/>
      <c r="AL49" s="192"/>
    </row>
    <row r="50" spans="1:38" ht="26">
      <c r="L50" s="192"/>
      <c r="M50" s="192"/>
      <c r="N50" s="192"/>
      <c r="O50" s="192"/>
      <c r="P50" s="192"/>
      <c r="Q50" s="192"/>
      <c r="R50" s="192"/>
      <c r="S50" s="192"/>
      <c r="T50" s="192"/>
      <c r="U50" s="192"/>
      <c r="V50" s="192"/>
      <c r="W50" s="192"/>
      <c r="X50" s="192"/>
      <c r="Y50" s="192"/>
      <c r="Z50" s="192"/>
      <c r="AA50" s="192"/>
      <c r="AB50" s="192"/>
      <c r="AC50" s="192"/>
      <c r="AD50" s="192"/>
      <c r="AE50" s="192"/>
      <c r="AF50" s="192"/>
      <c r="AG50" s="192"/>
      <c r="AH50" s="192"/>
      <c r="AI50" s="192"/>
      <c r="AJ50" s="192"/>
      <c r="AK50" s="192"/>
      <c r="AL50" s="192"/>
    </row>
    <row r="51" spans="1:38" ht="26">
      <c r="A51" s="187"/>
      <c r="B51" s="187"/>
      <c r="L51" s="192"/>
      <c r="M51" s="192"/>
      <c r="N51" s="192"/>
      <c r="O51" s="192"/>
      <c r="P51" s="192"/>
      <c r="Q51" s="192"/>
      <c r="R51" s="192"/>
      <c r="S51" s="192"/>
      <c r="T51" s="192"/>
      <c r="U51" s="192"/>
      <c r="V51" s="192"/>
      <c r="W51" s="192"/>
      <c r="X51" s="192"/>
      <c r="Y51" s="192"/>
      <c r="Z51" s="192"/>
      <c r="AA51" s="192"/>
      <c r="AB51" s="192"/>
      <c r="AC51" s="192"/>
      <c r="AD51" s="192"/>
      <c r="AE51" s="192"/>
      <c r="AF51" s="192"/>
      <c r="AG51" s="192"/>
      <c r="AH51" s="192"/>
      <c r="AI51" s="192"/>
      <c r="AJ51" s="192"/>
      <c r="AK51" s="192"/>
      <c r="AL51" s="192"/>
    </row>
    <row r="52" spans="1:38" ht="26">
      <c r="A52" s="187"/>
      <c r="B52" s="187"/>
      <c r="L52" s="192"/>
      <c r="M52" s="192"/>
      <c r="N52" s="192"/>
      <c r="O52" s="192"/>
      <c r="P52" s="192"/>
      <c r="Q52" s="192"/>
      <c r="R52" s="192"/>
      <c r="S52" s="192"/>
      <c r="T52" s="192"/>
      <c r="U52" s="192"/>
      <c r="V52" s="192"/>
      <c r="W52" s="192"/>
      <c r="X52" s="192"/>
      <c r="Y52" s="192"/>
      <c r="Z52" s="192"/>
      <c r="AA52" s="192"/>
      <c r="AB52" s="192"/>
      <c r="AC52" s="192"/>
      <c r="AD52" s="192"/>
      <c r="AE52" s="192"/>
      <c r="AF52" s="192"/>
      <c r="AG52" s="192"/>
      <c r="AH52" s="192"/>
      <c r="AI52" s="192"/>
      <c r="AJ52" s="192"/>
      <c r="AK52" s="192"/>
      <c r="AL52" s="192"/>
    </row>
    <row r="53" spans="1:38" ht="26">
      <c r="A53" s="187"/>
      <c r="B53" s="187"/>
      <c r="L53" s="192"/>
      <c r="M53" s="192"/>
      <c r="N53" s="192"/>
      <c r="O53" s="192"/>
      <c r="P53" s="192"/>
      <c r="Q53" s="192"/>
      <c r="R53" s="192"/>
      <c r="S53" s="192"/>
      <c r="T53" s="192"/>
      <c r="U53" s="192"/>
      <c r="V53" s="192"/>
      <c r="W53" s="192"/>
      <c r="X53" s="192"/>
      <c r="Y53" s="192"/>
      <c r="Z53" s="192"/>
      <c r="AA53" s="192"/>
      <c r="AB53" s="192"/>
      <c r="AC53" s="192"/>
      <c r="AD53" s="192"/>
      <c r="AE53" s="192"/>
      <c r="AF53" s="192"/>
      <c r="AG53" s="192"/>
      <c r="AH53" s="192"/>
      <c r="AI53" s="192"/>
      <c r="AJ53" s="192"/>
      <c r="AK53" s="192"/>
      <c r="AL53" s="192"/>
    </row>
    <row r="54" spans="1:38" ht="26">
      <c r="A54" s="187"/>
      <c r="B54" s="187"/>
      <c r="L54" s="192"/>
      <c r="M54" s="192"/>
      <c r="N54" s="192"/>
      <c r="O54" s="192"/>
      <c r="P54" s="192"/>
      <c r="Q54" s="192"/>
      <c r="R54" s="192"/>
      <c r="S54" s="192"/>
      <c r="T54" s="192"/>
      <c r="U54" s="192"/>
      <c r="V54" s="192"/>
      <c r="W54" s="192"/>
      <c r="X54" s="192"/>
      <c r="Y54" s="192"/>
      <c r="Z54" s="192"/>
      <c r="AA54" s="192"/>
      <c r="AB54" s="192"/>
      <c r="AC54" s="192"/>
      <c r="AD54" s="192"/>
      <c r="AE54" s="192"/>
      <c r="AF54" s="192"/>
      <c r="AG54" s="192"/>
      <c r="AH54" s="192"/>
      <c r="AI54" s="192"/>
      <c r="AJ54" s="192"/>
      <c r="AK54" s="192"/>
      <c r="AL54" s="192"/>
    </row>
    <row r="55" spans="1:38" ht="26">
      <c r="A55" s="187"/>
      <c r="B55" s="187"/>
      <c r="L55" s="192"/>
      <c r="M55" s="192"/>
      <c r="N55" s="192"/>
      <c r="O55" s="192"/>
      <c r="P55" s="192"/>
      <c r="Q55" s="192"/>
      <c r="R55" s="192"/>
      <c r="S55" s="192"/>
      <c r="T55" s="192"/>
      <c r="U55" s="192"/>
      <c r="V55" s="192"/>
      <c r="W55" s="192"/>
      <c r="X55" s="192"/>
      <c r="Y55" s="192"/>
      <c r="Z55" s="192"/>
      <c r="AA55" s="192"/>
      <c r="AB55" s="192"/>
      <c r="AC55" s="192"/>
      <c r="AD55" s="192"/>
      <c r="AE55" s="192"/>
      <c r="AF55" s="192"/>
      <c r="AG55" s="192"/>
      <c r="AH55" s="192"/>
      <c r="AI55" s="192"/>
      <c r="AJ55" s="192"/>
      <c r="AK55" s="192"/>
      <c r="AL55" s="192"/>
    </row>
    <row r="56" spans="1:38" ht="26">
      <c r="L56" s="192"/>
      <c r="M56" s="192"/>
      <c r="N56" s="192"/>
      <c r="O56" s="192"/>
      <c r="P56" s="192"/>
      <c r="Q56" s="192"/>
      <c r="R56" s="192"/>
      <c r="S56" s="192"/>
      <c r="T56" s="192"/>
      <c r="U56" s="192"/>
      <c r="V56" s="192"/>
      <c r="W56" s="192"/>
      <c r="X56" s="192"/>
      <c r="Y56" s="192"/>
      <c r="Z56" s="192"/>
      <c r="AA56" s="192"/>
      <c r="AB56" s="192"/>
      <c r="AC56" s="192"/>
      <c r="AD56" s="192"/>
      <c r="AE56" s="192"/>
      <c r="AF56" s="192"/>
      <c r="AG56" s="192"/>
      <c r="AH56" s="192"/>
      <c r="AI56" s="192"/>
      <c r="AJ56" s="192"/>
      <c r="AK56" s="192"/>
      <c r="AL56" s="192"/>
    </row>
    <row r="57" spans="1:38" ht="26">
      <c r="L57" s="192"/>
      <c r="M57" s="192"/>
      <c r="N57" s="192"/>
      <c r="O57" s="192"/>
      <c r="P57" s="192"/>
      <c r="Q57" s="192"/>
      <c r="R57" s="192"/>
      <c r="S57" s="192"/>
      <c r="T57" s="192"/>
      <c r="U57" s="192"/>
      <c r="V57" s="192"/>
      <c r="W57" s="192"/>
      <c r="X57" s="192"/>
      <c r="Y57" s="192"/>
      <c r="Z57" s="192"/>
      <c r="AA57" s="192"/>
      <c r="AB57" s="192"/>
      <c r="AC57" s="192"/>
      <c r="AD57" s="192"/>
      <c r="AE57" s="192"/>
      <c r="AF57" s="192"/>
      <c r="AG57" s="192"/>
      <c r="AH57" s="192"/>
      <c r="AI57" s="192"/>
      <c r="AJ57" s="192"/>
      <c r="AK57" s="192"/>
      <c r="AL57" s="192"/>
    </row>
    <row r="58" spans="1:38" ht="26">
      <c r="L58" s="192"/>
      <c r="M58" s="192"/>
      <c r="N58" s="192"/>
      <c r="O58" s="192"/>
      <c r="P58" s="192"/>
      <c r="Q58" s="192"/>
      <c r="R58" s="192"/>
      <c r="S58" s="192"/>
      <c r="T58" s="192"/>
      <c r="U58" s="192"/>
      <c r="V58" s="192"/>
      <c r="W58" s="192"/>
      <c r="X58" s="192"/>
      <c r="Y58" s="192"/>
      <c r="Z58" s="192"/>
      <c r="AA58" s="192"/>
      <c r="AB58" s="192"/>
      <c r="AC58" s="192"/>
      <c r="AD58" s="192"/>
      <c r="AE58" s="192"/>
      <c r="AF58" s="192"/>
      <c r="AG58" s="192"/>
      <c r="AH58" s="192"/>
      <c r="AI58" s="192"/>
      <c r="AJ58" s="192"/>
      <c r="AK58" s="192"/>
      <c r="AL58" s="192"/>
    </row>
    <row r="59" spans="1:38" ht="26">
      <c r="L59" s="192"/>
      <c r="M59" s="192"/>
      <c r="N59" s="192"/>
      <c r="O59" s="192"/>
      <c r="P59" s="192"/>
      <c r="Q59" s="192"/>
      <c r="R59" s="192"/>
      <c r="S59" s="192"/>
      <c r="T59" s="192"/>
      <c r="U59" s="192"/>
      <c r="V59" s="192"/>
      <c r="W59" s="192"/>
      <c r="X59" s="192"/>
      <c r="Y59" s="192"/>
      <c r="Z59" s="192"/>
      <c r="AA59" s="192"/>
      <c r="AB59" s="192"/>
      <c r="AC59" s="192"/>
      <c r="AD59" s="192"/>
      <c r="AE59" s="192"/>
      <c r="AF59" s="192"/>
      <c r="AG59" s="192"/>
      <c r="AH59" s="192"/>
      <c r="AI59" s="192"/>
      <c r="AJ59" s="192"/>
      <c r="AK59" s="192"/>
      <c r="AL59" s="192"/>
    </row>
    <row r="60" spans="1:38" ht="26">
      <c r="L60" s="192"/>
      <c r="M60" s="192"/>
      <c r="N60" s="192"/>
      <c r="O60" s="192"/>
      <c r="P60" s="192"/>
      <c r="Q60" s="192"/>
      <c r="R60" s="192"/>
      <c r="S60" s="192"/>
      <c r="T60" s="192"/>
      <c r="U60" s="192"/>
      <c r="V60" s="192"/>
      <c r="W60" s="192"/>
      <c r="X60" s="192"/>
      <c r="Y60" s="192"/>
      <c r="Z60" s="192"/>
      <c r="AA60" s="192"/>
      <c r="AB60" s="192"/>
      <c r="AC60" s="192"/>
      <c r="AD60" s="192"/>
      <c r="AE60" s="192"/>
      <c r="AF60" s="192"/>
      <c r="AG60" s="192"/>
      <c r="AH60" s="192"/>
      <c r="AI60" s="192"/>
      <c r="AJ60" s="192"/>
      <c r="AK60" s="192"/>
      <c r="AL60" s="192"/>
    </row>
    <row r="61" spans="1:38" ht="26">
      <c r="L61" s="192"/>
      <c r="M61" s="192"/>
      <c r="N61" s="192"/>
      <c r="O61" s="192"/>
      <c r="P61" s="192"/>
      <c r="Q61" s="192"/>
      <c r="R61" s="192"/>
      <c r="S61" s="192"/>
      <c r="T61" s="192"/>
      <c r="U61" s="192"/>
      <c r="V61" s="192"/>
      <c r="W61" s="192"/>
      <c r="X61" s="192"/>
      <c r="Y61" s="192"/>
      <c r="Z61" s="192"/>
      <c r="AA61" s="192"/>
      <c r="AB61" s="192"/>
      <c r="AC61" s="192"/>
      <c r="AD61" s="192"/>
      <c r="AE61" s="192"/>
      <c r="AF61" s="192"/>
      <c r="AG61" s="192"/>
      <c r="AH61" s="192"/>
      <c r="AI61" s="192"/>
      <c r="AJ61" s="192"/>
      <c r="AK61" s="192"/>
      <c r="AL61" s="192"/>
    </row>
    <row r="62" spans="1:38" ht="26">
      <c r="L62" s="192"/>
      <c r="M62" s="192"/>
      <c r="N62" s="192"/>
      <c r="O62" s="192"/>
      <c r="P62" s="192"/>
      <c r="Q62" s="192"/>
      <c r="R62" s="192"/>
      <c r="S62" s="192"/>
      <c r="T62" s="192"/>
      <c r="U62" s="192"/>
      <c r="V62" s="192"/>
      <c r="W62" s="192"/>
      <c r="X62" s="192"/>
      <c r="Y62" s="192"/>
      <c r="Z62" s="192"/>
      <c r="AA62" s="192"/>
      <c r="AB62" s="192"/>
      <c r="AC62" s="192"/>
      <c r="AD62" s="192"/>
      <c r="AE62" s="192"/>
      <c r="AF62" s="192"/>
      <c r="AG62" s="192"/>
      <c r="AH62" s="192"/>
      <c r="AI62" s="192"/>
      <c r="AJ62" s="192"/>
      <c r="AK62" s="192"/>
      <c r="AL62" s="192"/>
    </row>
    <row r="63" spans="1:38" ht="26">
      <c r="L63" s="192"/>
      <c r="M63" s="192"/>
      <c r="N63" s="192"/>
      <c r="O63" s="192"/>
      <c r="P63" s="192"/>
      <c r="Q63" s="192"/>
      <c r="R63" s="192"/>
      <c r="S63" s="192"/>
      <c r="T63" s="192"/>
      <c r="U63" s="192"/>
      <c r="V63" s="192"/>
      <c r="W63" s="192"/>
      <c r="X63" s="192"/>
      <c r="Y63" s="192"/>
      <c r="Z63" s="192"/>
      <c r="AA63" s="192"/>
      <c r="AB63" s="192"/>
      <c r="AC63" s="192"/>
      <c r="AD63" s="192"/>
      <c r="AE63" s="192"/>
      <c r="AF63" s="192"/>
      <c r="AG63" s="192"/>
      <c r="AH63" s="192"/>
      <c r="AI63" s="192"/>
      <c r="AJ63" s="192"/>
      <c r="AK63" s="192"/>
      <c r="AL63" s="192"/>
    </row>
    <row r="64" spans="1:38" ht="26">
      <c r="L64" s="192"/>
      <c r="M64" s="192"/>
      <c r="N64" s="192"/>
      <c r="O64" s="192"/>
      <c r="P64" s="192"/>
      <c r="Q64" s="192"/>
      <c r="R64" s="192"/>
      <c r="S64" s="192"/>
      <c r="T64" s="192"/>
      <c r="U64" s="192"/>
      <c r="V64" s="192"/>
      <c r="W64" s="192"/>
      <c r="X64" s="192"/>
      <c r="Y64" s="192"/>
      <c r="Z64" s="192"/>
      <c r="AA64" s="192"/>
      <c r="AB64" s="192"/>
      <c r="AC64" s="192"/>
      <c r="AD64" s="192"/>
      <c r="AE64" s="192"/>
      <c r="AF64" s="192"/>
      <c r="AG64" s="192"/>
      <c r="AH64" s="192"/>
      <c r="AI64" s="192"/>
      <c r="AJ64" s="192"/>
      <c r="AK64" s="192"/>
      <c r="AL64" s="192"/>
    </row>
    <row r="65" spans="12:38" ht="26">
      <c r="L65" s="192"/>
      <c r="M65" s="192"/>
      <c r="N65" s="192"/>
      <c r="O65" s="192"/>
      <c r="P65" s="192"/>
      <c r="Q65" s="192"/>
      <c r="R65" s="192"/>
      <c r="S65" s="192"/>
      <c r="T65" s="192"/>
      <c r="U65" s="192"/>
      <c r="V65" s="192"/>
      <c r="W65" s="192"/>
      <c r="X65" s="192"/>
      <c r="Y65" s="192"/>
      <c r="Z65" s="192"/>
      <c r="AA65" s="192"/>
      <c r="AB65" s="192"/>
      <c r="AC65" s="192"/>
      <c r="AD65" s="192"/>
      <c r="AE65" s="192"/>
      <c r="AF65" s="192"/>
      <c r="AG65" s="192"/>
      <c r="AH65" s="192"/>
      <c r="AI65" s="192"/>
      <c r="AJ65" s="192"/>
      <c r="AK65" s="192"/>
      <c r="AL65" s="192"/>
    </row>
    <row r="66" spans="12:38" ht="26">
      <c r="L66" s="192"/>
      <c r="M66" s="192"/>
      <c r="N66" s="192"/>
      <c r="O66" s="192"/>
      <c r="P66" s="192"/>
      <c r="Q66" s="192"/>
      <c r="R66" s="192"/>
      <c r="S66" s="192"/>
      <c r="T66" s="192"/>
      <c r="U66" s="192"/>
      <c r="V66" s="192"/>
      <c r="W66" s="192"/>
      <c r="X66" s="192"/>
      <c r="Y66" s="192"/>
      <c r="Z66" s="192"/>
      <c r="AA66" s="192"/>
      <c r="AB66" s="192"/>
      <c r="AC66" s="192"/>
      <c r="AD66" s="192"/>
      <c r="AE66" s="192"/>
      <c r="AF66" s="192"/>
      <c r="AG66" s="192"/>
      <c r="AH66" s="192"/>
      <c r="AI66" s="192"/>
      <c r="AJ66" s="192"/>
      <c r="AK66" s="192"/>
      <c r="AL66" s="192"/>
    </row>
    <row r="67" spans="12:38" ht="26">
      <c r="L67" s="192"/>
      <c r="M67" s="192"/>
      <c r="N67" s="192"/>
      <c r="O67" s="192"/>
      <c r="P67" s="192"/>
      <c r="Q67" s="192"/>
      <c r="R67" s="192"/>
      <c r="S67" s="192"/>
      <c r="T67" s="192"/>
      <c r="U67" s="192"/>
      <c r="V67" s="192"/>
      <c r="W67" s="192"/>
      <c r="X67" s="192"/>
      <c r="Y67" s="192"/>
      <c r="Z67" s="192"/>
      <c r="AA67" s="192"/>
      <c r="AB67" s="192"/>
      <c r="AC67" s="192"/>
      <c r="AD67" s="192"/>
      <c r="AE67" s="192"/>
      <c r="AF67" s="192"/>
      <c r="AG67" s="192"/>
      <c r="AH67" s="192"/>
      <c r="AI67" s="192"/>
      <c r="AJ67" s="192"/>
      <c r="AK67" s="192"/>
      <c r="AL67" s="192"/>
    </row>
    <row r="68" spans="12:38" ht="26">
      <c r="L68" s="192"/>
      <c r="M68" s="192"/>
      <c r="N68" s="192"/>
      <c r="O68" s="192"/>
      <c r="P68" s="192"/>
      <c r="Q68" s="192"/>
      <c r="R68" s="192"/>
      <c r="S68" s="192"/>
      <c r="T68" s="192"/>
      <c r="U68" s="192"/>
      <c r="V68" s="192"/>
      <c r="W68" s="192"/>
      <c r="X68" s="192"/>
      <c r="Y68" s="192"/>
      <c r="Z68" s="192"/>
      <c r="AA68" s="192"/>
      <c r="AB68" s="192"/>
      <c r="AC68" s="192"/>
      <c r="AD68" s="192"/>
      <c r="AE68" s="192"/>
      <c r="AF68" s="192"/>
      <c r="AG68" s="192"/>
      <c r="AH68" s="192"/>
      <c r="AI68" s="192"/>
      <c r="AJ68" s="192"/>
      <c r="AK68" s="192"/>
      <c r="AL68" s="192"/>
    </row>
    <row r="69" spans="12:38" ht="26">
      <c r="L69" s="192"/>
      <c r="M69" s="192"/>
      <c r="N69" s="192"/>
      <c r="O69" s="192"/>
      <c r="P69" s="192"/>
      <c r="Q69" s="192"/>
      <c r="R69" s="192"/>
      <c r="S69" s="192"/>
      <c r="T69" s="192"/>
      <c r="U69" s="192"/>
      <c r="V69" s="192"/>
      <c r="W69" s="192"/>
      <c r="X69" s="192"/>
      <c r="Y69" s="192"/>
      <c r="Z69" s="192"/>
      <c r="AA69" s="192"/>
      <c r="AB69" s="192"/>
      <c r="AC69" s="192"/>
      <c r="AD69" s="192"/>
      <c r="AE69" s="192"/>
      <c r="AF69" s="192"/>
      <c r="AG69" s="192"/>
      <c r="AH69" s="192"/>
      <c r="AI69" s="192"/>
      <c r="AJ69" s="192"/>
      <c r="AK69" s="192"/>
      <c r="AL69" s="192"/>
    </row>
    <row r="70" spans="12:38" ht="26">
      <c r="L70" s="192"/>
      <c r="M70" s="192"/>
      <c r="N70" s="192"/>
      <c r="O70" s="192"/>
      <c r="P70" s="192"/>
      <c r="Q70" s="192"/>
      <c r="R70" s="192"/>
      <c r="S70" s="192"/>
      <c r="T70" s="192"/>
      <c r="U70" s="192"/>
      <c r="V70" s="192"/>
      <c r="W70" s="192"/>
      <c r="X70" s="192"/>
      <c r="Y70" s="192"/>
      <c r="Z70" s="192"/>
      <c r="AA70" s="192"/>
      <c r="AB70" s="192"/>
      <c r="AC70" s="192"/>
      <c r="AD70" s="192"/>
      <c r="AE70" s="192"/>
      <c r="AF70" s="192"/>
      <c r="AG70" s="192"/>
      <c r="AH70" s="192"/>
      <c r="AI70" s="192"/>
      <c r="AJ70" s="192"/>
      <c r="AK70" s="192"/>
      <c r="AL70" s="192"/>
    </row>
    <row r="71" spans="12:38" ht="26">
      <c r="L71" s="192"/>
      <c r="M71" s="192"/>
      <c r="N71" s="192"/>
      <c r="O71" s="192"/>
      <c r="P71" s="192"/>
      <c r="Q71" s="192"/>
      <c r="R71" s="192"/>
      <c r="S71" s="192"/>
      <c r="T71" s="192"/>
      <c r="U71" s="192"/>
      <c r="V71" s="192"/>
      <c r="W71" s="192"/>
      <c r="X71" s="192"/>
      <c r="Y71" s="192"/>
      <c r="Z71" s="192"/>
      <c r="AA71" s="192"/>
      <c r="AB71" s="192"/>
      <c r="AC71" s="192"/>
      <c r="AD71" s="192"/>
      <c r="AE71" s="192"/>
      <c r="AF71" s="192"/>
      <c r="AG71" s="192"/>
      <c r="AH71" s="192"/>
      <c r="AI71" s="192"/>
      <c r="AJ71" s="192"/>
      <c r="AK71" s="192"/>
      <c r="AL71" s="192"/>
    </row>
    <row r="72" spans="12:38" ht="26">
      <c r="L72" s="192"/>
      <c r="M72" s="192"/>
      <c r="N72" s="192"/>
      <c r="O72" s="192"/>
      <c r="P72" s="192"/>
      <c r="Q72" s="192"/>
      <c r="R72" s="192"/>
      <c r="S72" s="192"/>
      <c r="T72" s="192"/>
      <c r="U72" s="192"/>
      <c r="V72" s="192"/>
      <c r="W72" s="192"/>
      <c r="X72" s="192"/>
      <c r="Y72" s="192"/>
      <c r="Z72" s="192"/>
      <c r="AA72" s="192"/>
      <c r="AB72" s="192"/>
      <c r="AC72" s="192"/>
      <c r="AD72" s="192"/>
      <c r="AE72" s="192"/>
      <c r="AF72" s="192"/>
      <c r="AG72" s="192"/>
      <c r="AH72" s="192"/>
      <c r="AI72" s="192"/>
      <c r="AJ72" s="192"/>
      <c r="AK72" s="192"/>
      <c r="AL72" s="192"/>
    </row>
  </sheetData>
  <mergeCells count="8">
    <mergeCell ref="C2:G2"/>
    <mergeCell ref="L23:L27"/>
    <mergeCell ref="B16:G16"/>
    <mergeCell ref="B11:G11"/>
    <mergeCell ref="B13:G13"/>
    <mergeCell ref="B7:G7"/>
    <mergeCell ref="B5:G5"/>
    <mergeCell ref="B9:G9"/>
  </mergeCells>
  <phoneticPr fontId="1" type="noConversion"/>
  <pageMargins left="0.75" right="0.75" top="1" bottom="1" header="0.5" footer="0.5"/>
  <pageSetup orientation="portrait" horizontalDpi="4294967292" verticalDpi="4294967292"/>
  <drawing r:id="rId1"/>
  <legacy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zoomScale="70" workbookViewId="0">
      <selection activeCell="I17" sqref="I17:I20"/>
    </sheetView>
  </sheetViews>
  <sheetFormatPr baseColWidth="10" defaultColWidth="11.5" defaultRowHeight="12" x14ac:dyDescent="0"/>
  <cols>
    <col min="1" max="1" width="3.33203125" customWidth="1"/>
    <col min="2" max="2" width="9.6640625" customWidth="1"/>
    <col min="3" max="3" width="49.5" customWidth="1"/>
    <col min="4" max="4" width="2.5" customWidth="1"/>
    <col min="7" max="7" width="34.33203125" customWidth="1"/>
    <col min="8" max="8" width="2.6640625" customWidth="1"/>
    <col min="9" max="9" width="55.1640625" customWidth="1"/>
  </cols>
  <sheetData>
    <row r="1" spans="1:11" ht="23" customHeight="1">
      <c r="A1" s="81"/>
      <c r="B1" s="81"/>
      <c r="C1" s="81"/>
      <c r="D1" s="81"/>
      <c r="E1" s="81"/>
      <c r="F1" s="81"/>
      <c r="G1" s="81"/>
      <c r="H1" s="81"/>
    </row>
    <row r="2" spans="1:11" ht="23">
      <c r="A2" s="80"/>
      <c r="B2" s="123"/>
      <c r="C2" s="188" t="s">
        <v>111</v>
      </c>
      <c r="D2" s="123"/>
      <c r="E2" s="123"/>
      <c r="F2" s="123"/>
      <c r="G2" s="123"/>
      <c r="H2" s="81"/>
    </row>
    <row r="3" spans="1:11" ht="49" customHeight="1">
      <c r="A3" s="175" t="s">
        <v>51</v>
      </c>
      <c r="B3" s="174" t="s">
        <v>14</v>
      </c>
      <c r="C3" s="271" t="s">
        <v>13</v>
      </c>
      <c r="D3" s="272"/>
      <c r="E3" s="272"/>
      <c r="F3" s="272"/>
      <c r="G3" s="272"/>
      <c r="H3" s="81"/>
    </row>
    <row r="4" spans="1:11" ht="18" customHeight="1">
      <c r="A4" s="176"/>
      <c r="B4" s="174"/>
      <c r="C4" s="272"/>
      <c r="D4" s="272"/>
      <c r="E4" s="272"/>
      <c r="F4" s="272"/>
      <c r="G4" s="272"/>
      <c r="H4" s="81"/>
    </row>
    <row r="5" spans="1:11" ht="15" customHeight="1">
      <c r="A5" s="80"/>
      <c r="B5" s="81"/>
      <c r="C5" s="81"/>
      <c r="D5" s="81"/>
      <c r="E5" s="81"/>
      <c r="F5" s="81"/>
      <c r="G5" s="81"/>
      <c r="H5" s="81"/>
    </row>
    <row r="6" spans="1:11" ht="23">
      <c r="A6" s="177"/>
      <c r="B6" s="201"/>
      <c r="C6" s="188" t="s">
        <v>57</v>
      </c>
      <c r="D6" s="124"/>
      <c r="E6" s="124"/>
      <c r="F6" s="124"/>
      <c r="G6" s="124"/>
      <c r="H6" s="81"/>
    </row>
    <row r="7" spans="1:11" ht="23">
      <c r="A7" s="177"/>
      <c r="B7" s="201"/>
      <c r="C7" s="200"/>
      <c r="D7" s="201"/>
      <c r="E7" s="201"/>
      <c r="F7" s="201"/>
      <c r="G7" s="201"/>
      <c r="H7" s="81"/>
    </row>
    <row r="8" spans="1:11" ht="33" customHeight="1">
      <c r="A8" s="177"/>
      <c r="B8" s="125" t="s">
        <v>15</v>
      </c>
      <c r="C8" s="276" t="s">
        <v>11</v>
      </c>
      <c r="D8" s="277"/>
      <c r="E8" s="277"/>
      <c r="F8" s="277"/>
      <c r="G8" s="277"/>
      <c r="H8" s="81"/>
    </row>
    <row r="9" spans="1:11" ht="14" customHeight="1">
      <c r="A9" s="80"/>
      <c r="B9" s="81"/>
      <c r="C9" s="81"/>
      <c r="D9" s="81"/>
      <c r="E9" s="81"/>
      <c r="F9" s="81"/>
      <c r="G9" s="81"/>
      <c r="H9" s="80"/>
      <c r="I9" s="199"/>
    </row>
    <row r="10" spans="1:11" ht="42" customHeight="1">
      <c r="A10" s="80"/>
      <c r="B10" s="174" t="s">
        <v>71</v>
      </c>
      <c r="C10" s="276" t="s">
        <v>107</v>
      </c>
      <c r="D10" s="277"/>
      <c r="E10" s="277"/>
      <c r="F10" s="277"/>
      <c r="G10" s="277"/>
      <c r="H10" s="80"/>
      <c r="I10" s="189" t="s">
        <v>58</v>
      </c>
    </row>
    <row r="11" spans="1:11" ht="15" customHeight="1">
      <c r="A11" s="80"/>
      <c r="B11" s="81"/>
      <c r="C11" s="81"/>
      <c r="D11" s="81"/>
      <c r="E11" s="81"/>
      <c r="F11" s="81"/>
      <c r="G11" s="81"/>
      <c r="H11" s="80"/>
      <c r="I11" s="6"/>
    </row>
    <row r="12" spans="1:11" ht="33" customHeight="1">
      <c r="A12" s="80"/>
      <c r="B12" s="174" t="s">
        <v>88</v>
      </c>
      <c r="C12" s="276" t="s">
        <v>52</v>
      </c>
      <c r="D12" s="277"/>
      <c r="E12" s="277"/>
      <c r="F12" s="277"/>
      <c r="G12" s="277"/>
      <c r="H12" s="80"/>
      <c r="I12" s="6"/>
    </row>
    <row r="13" spans="1:11" ht="15" customHeight="1">
      <c r="A13" s="81"/>
      <c r="B13" s="81"/>
      <c r="C13" s="81"/>
      <c r="D13" s="81"/>
      <c r="E13" s="81"/>
      <c r="F13" s="81"/>
      <c r="G13" s="81"/>
      <c r="H13" s="80"/>
      <c r="I13" s="199"/>
    </row>
    <row r="14" spans="1:11" ht="23">
      <c r="A14" s="81"/>
      <c r="B14" s="177"/>
      <c r="C14" s="285" t="s">
        <v>12</v>
      </c>
      <c r="D14" s="286"/>
      <c r="E14" s="286"/>
      <c r="F14" s="286"/>
      <c r="G14" s="286"/>
      <c r="H14" s="81"/>
    </row>
    <row r="15" spans="1:11">
      <c r="A15" s="80"/>
      <c r="B15" s="81"/>
      <c r="C15" s="81"/>
      <c r="D15" s="81"/>
      <c r="E15" s="278"/>
      <c r="F15" s="278"/>
      <c r="G15" s="278"/>
      <c r="H15" s="81"/>
    </row>
    <row r="16" spans="1:11" ht="86" customHeight="1">
      <c r="A16" s="80"/>
      <c r="B16" s="81"/>
      <c r="C16" s="125" t="s">
        <v>74</v>
      </c>
      <c r="D16" s="88"/>
      <c r="E16" s="125" t="s">
        <v>88</v>
      </c>
      <c r="F16" s="123"/>
      <c r="G16" s="123"/>
      <c r="H16" s="81"/>
      <c r="I16" s="273"/>
      <c r="J16" s="273"/>
      <c r="K16" s="273"/>
    </row>
    <row r="17" spans="1:11" ht="39" customHeight="1">
      <c r="A17" s="80"/>
      <c r="B17" s="81"/>
      <c r="C17" s="10" t="s">
        <v>101</v>
      </c>
      <c r="D17" s="89"/>
      <c r="E17" s="279" t="s">
        <v>84</v>
      </c>
      <c r="F17" s="280"/>
      <c r="G17" s="281"/>
      <c r="H17" s="81"/>
      <c r="I17" s="275" t="s">
        <v>47</v>
      </c>
      <c r="J17" s="56"/>
      <c r="K17" s="56"/>
    </row>
    <row r="18" spans="1:11" ht="28.75" customHeight="1">
      <c r="A18" s="80"/>
      <c r="B18" s="81"/>
      <c r="C18" s="7"/>
      <c r="D18" s="81"/>
      <c r="E18" s="282"/>
      <c r="F18" s="283"/>
      <c r="G18" s="284"/>
      <c r="H18" s="81"/>
      <c r="I18" s="272"/>
    </row>
    <row r="19" spans="1:11" ht="28.75" customHeight="1">
      <c r="A19" s="80"/>
      <c r="B19" s="81"/>
      <c r="C19" s="7"/>
      <c r="D19" s="81"/>
      <c r="E19" s="274"/>
      <c r="F19" s="274"/>
      <c r="G19" s="274"/>
      <c r="H19" s="81"/>
      <c r="I19" s="272"/>
    </row>
    <row r="20" spans="1:11" ht="28.75" customHeight="1">
      <c r="A20" s="80"/>
      <c r="B20" s="81"/>
      <c r="C20" s="7"/>
      <c r="D20" s="81"/>
      <c r="E20" s="274"/>
      <c r="F20" s="274"/>
      <c r="G20" s="274"/>
      <c r="H20" s="81"/>
      <c r="I20" s="272"/>
    </row>
    <row r="21" spans="1:11" ht="28.75" customHeight="1">
      <c r="A21" s="80"/>
      <c r="B21" s="81"/>
      <c r="C21" s="7"/>
      <c r="D21" s="81"/>
      <c r="E21" s="274"/>
      <c r="F21" s="274"/>
      <c r="G21" s="274"/>
      <c r="H21" s="81"/>
      <c r="I21" s="6"/>
    </row>
    <row r="22" spans="1:11" ht="28.75" customHeight="1">
      <c r="A22" s="80"/>
      <c r="B22" s="81"/>
      <c r="C22" s="7"/>
      <c r="D22" s="81"/>
      <c r="E22" s="274"/>
      <c r="F22" s="274"/>
      <c r="G22" s="274"/>
      <c r="H22" s="81"/>
    </row>
    <row r="23" spans="1:11" ht="28.75" customHeight="1">
      <c r="A23" s="80"/>
      <c r="B23" s="81"/>
      <c r="C23" s="7"/>
      <c r="D23" s="81"/>
      <c r="E23" s="274"/>
      <c r="F23" s="274"/>
      <c r="G23" s="274"/>
      <c r="H23" s="81"/>
    </row>
    <row r="24" spans="1:11" ht="28.75" customHeight="1">
      <c r="A24" s="80"/>
      <c r="B24" s="81"/>
      <c r="C24" s="7"/>
      <c r="D24" s="81"/>
      <c r="E24" s="274"/>
      <c r="F24" s="274"/>
      <c r="G24" s="274"/>
      <c r="H24" s="81"/>
    </row>
    <row r="25" spans="1:11" ht="28.75" customHeight="1">
      <c r="A25" s="80"/>
      <c r="B25" s="81"/>
      <c r="C25" s="7"/>
      <c r="D25" s="81"/>
      <c r="E25" s="274"/>
      <c r="F25" s="274"/>
      <c r="G25" s="274"/>
      <c r="H25" s="81"/>
    </row>
    <row r="26" spans="1:11" ht="28.75" customHeight="1">
      <c r="A26" s="80"/>
      <c r="B26" s="81"/>
      <c r="C26" s="7"/>
      <c r="D26" s="81"/>
      <c r="E26" s="274"/>
      <c r="F26" s="274"/>
      <c r="G26" s="274"/>
      <c r="H26" s="81"/>
    </row>
    <row r="27" spans="1:11" ht="28.75" customHeight="1">
      <c r="A27" s="80"/>
      <c r="B27" s="81"/>
      <c r="C27" s="7"/>
      <c r="D27" s="81"/>
      <c r="E27" s="274"/>
      <c r="F27" s="274"/>
      <c r="G27" s="274"/>
      <c r="H27" s="81"/>
    </row>
    <row r="28" spans="1:11" ht="28.75" customHeight="1">
      <c r="A28" s="80"/>
      <c r="B28" s="81"/>
      <c r="C28" s="7"/>
      <c r="D28" s="81"/>
      <c r="E28" s="274"/>
      <c r="F28" s="274"/>
      <c r="G28" s="274"/>
      <c r="H28" s="81"/>
    </row>
    <row r="29" spans="1:11" ht="28.75" customHeight="1">
      <c r="A29" s="80"/>
      <c r="B29" s="81"/>
      <c r="C29" s="7"/>
      <c r="D29" s="81"/>
      <c r="E29" s="274"/>
      <c r="F29" s="274"/>
      <c r="G29" s="274"/>
      <c r="H29" s="81"/>
    </row>
    <row r="30" spans="1:11" ht="28.75" customHeight="1">
      <c r="A30" s="80"/>
      <c r="B30" s="81"/>
      <c r="C30" s="7"/>
      <c r="D30" s="81"/>
      <c r="E30" s="274"/>
      <c r="F30" s="274"/>
      <c r="G30" s="274"/>
      <c r="H30" s="81"/>
    </row>
    <row r="31" spans="1:11" ht="28.75" customHeight="1">
      <c r="A31" s="80"/>
      <c r="B31" s="81"/>
      <c r="C31" s="7"/>
      <c r="D31" s="81"/>
      <c r="E31" s="274"/>
      <c r="F31" s="274"/>
      <c r="G31" s="274"/>
      <c r="H31" s="81"/>
    </row>
    <row r="32" spans="1:11" ht="28.75" customHeight="1">
      <c r="A32" s="80"/>
      <c r="B32" s="81"/>
      <c r="C32" s="7"/>
      <c r="D32" s="81"/>
      <c r="E32" s="274"/>
      <c r="F32" s="274"/>
      <c r="G32" s="274"/>
      <c r="H32" s="81"/>
    </row>
    <row r="33" spans="1:8" ht="28.75" customHeight="1">
      <c r="A33" s="80"/>
      <c r="B33" s="81"/>
      <c r="C33" s="7"/>
      <c r="D33" s="81"/>
      <c r="E33" s="274"/>
      <c r="F33" s="274"/>
      <c r="G33" s="274"/>
      <c r="H33" s="81"/>
    </row>
    <row r="34" spans="1:8" ht="28.75" customHeight="1">
      <c r="A34" s="80"/>
      <c r="B34" s="81"/>
      <c r="C34" s="7"/>
      <c r="D34" s="81"/>
      <c r="E34" s="274"/>
      <c r="F34" s="274"/>
      <c r="G34" s="274"/>
      <c r="H34" s="81"/>
    </row>
    <row r="35" spans="1:8" ht="28.75" customHeight="1">
      <c r="A35" s="80"/>
      <c r="B35" s="81"/>
      <c r="C35" s="7"/>
      <c r="D35" s="81"/>
      <c r="E35" s="274"/>
      <c r="F35" s="274"/>
      <c r="G35" s="274"/>
      <c r="H35" s="81"/>
    </row>
    <row r="36" spans="1:8" ht="28.75" customHeight="1">
      <c r="A36" s="80"/>
      <c r="B36" s="81"/>
      <c r="C36" s="7"/>
      <c r="D36" s="81"/>
      <c r="E36" s="274"/>
      <c r="F36" s="274"/>
      <c r="G36" s="274"/>
      <c r="H36" s="81"/>
    </row>
    <row r="37" spans="1:8" ht="28.75" customHeight="1">
      <c r="A37" s="80"/>
      <c r="B37" s="81"/>
      <c r="C37" s="7"/>
      <c r="D37" s="81"/>
      <c r="E37" s="274"/>
      <c r="F37" s="274"/>
      <c r="G37" s="274"/>
      <c r="H37" s="81"/>
    </row>
    <row r="38" spans="1:8" ht="28.75" customHeight="1">
      <c r="A38" s="80"/>
      <c r="B38" s="81"/>
      <c r="C38" s="7"/>
      <c r="D38" s="81"/>
      <c r="E38" s="274"/>
      <c r="F38" s="274"/>
      <c r="G38" s="274"/>
      <c r="H38" s="81"/>
    </row>
    <row r="39" spans="1:8" ht="28.75" customHeight="1">
      <c r="A39" s="80"/>
      <c r="B39" s="81"/>
      <c r="C39" s="7"/>
      <c r="D39" s="81"/>
      <c r="E39" s="274"/>
      <c r="F39" s="274"/>
      <c r="G39" s="274"/>
      <c r="H39" s="81"/>
    </row>
    <row r="40" spans="1:8" ht="28.75" customHeight="1">
      <c r="A40" s="80"/>
      <c r="B40" s="81"/>
      <c r="C40" s="7"/>
      <c r="D40" s="81"/>
      <c r="E40" s="274"/>
      <c r="F40" s="274"/>
      <c r="G40" s="274"/>
      <c r="H40" s="81"/>
    </row>
    <row r="41" spans="1:8" ht="28.75" customHeight="1">
      <c r="A41" s="80"/>
      <c r="B41" s="81"/>
      <c r="C41" s="7"/>
      <c r="D41" s="81"/>
      <c r="E41" s="274"/>
      <c r="F41" s="274"/>
      <c r="G41" s="274"/>
      <c r="H41" s="81"/>
    </row>
    <row r="42" spans="1:8" ht="28.75" customHeight="1">
      <c r="A42" s="80"/>
      <c r="B42" s="81"/>
      <c r="C42" s="7"/>
      <c r="D42" s="81"/>
      <c r="E42" s="274"/>
      <c r="F42" s="274"/>
      <c r="G42" s="274"/>
      <c r="H42" s="81"/>
    </row>
    <row r="43" spans="1:8" ht="28.75" customHeight="1">
      <c r="A43" s="80"/>
      <c r="B43" s="81"/>
      <c r="C43" s="7"/>
      <c r="D43" s="81"/>
      <c r="E43" s="274"/>
      <c r="F43" s="274"/>
      <c r="G43" s="274"/>
      <c r="H43" s="81"/>
    </row>
    <row r="44" spans="1:8" ht="28.75" customHeight="1">
      <c r="A44" s="80"/>
      <c r="B44" s="81"/>
      <c r="C44" s="7"/>
      <c r="D44" s="81"/>
      <c r="E44" s="274"/>
      <c r="F44" s="274"/>
      <c r="G44" s="274"/>
      <c r="H44" s="81"/>
    </row>
    <row r="45" spans="1:8" ht="28.75" customHeight="1">
      <c r="A45" s="80"/>
      <c r="B45" s="81"/>
      <c r="C45" s="7"/>
      <c r="D45" s="81"/>
      <c r="E45" s="274"/>
      <c r="F45" s="274"/>
      <c r="G45" s="274"/>
      <c r="H45" s="81"/>
    </row>
    <row r="46" spans="1:8" ht="28.75" customHeight="1">
      <c r="A46" s="80"/>
      <c r="B46" s="81"/>
      <c r="C46" s="7"/>
      <c r="D46" s="81"/>
      <c r="E46" s="274"/>
      <c r="F46" s="274"/>
      <c r="G46" s="274"/>
      <c r="H46" s="81"/>
    </row>
    <row r="47" spans="1:8" ht="28.75" customHeight="1">
      <c r="A47" s="80"/>
      <c r="B47" s="81"/>
      <c r="C47" s="7"/>
      <c r="D47" s="81"/>
      <c r="E47" s="274"/>
      <c r="F47" s="274"/>
      <c r="G47" s="274"/>
      <c r="H47" s="81"/>
    </row>
    <row r="48" spans="1:8" ht="28.75" customHeight="1">
      <c r="A48" s="80"/>
      <c r="B48" s="81"/>
      <c r="C48" s="7"/>
      <c r="D48" s="81"/>
      <c r="E48" s="274"/>
      <c r="F48" s="274"/>
      <c r="G48" s="274"/>
      <c r="H48" s="81"/>
    </row>
    <row r="49" spans="1:8" ht="28.75" customHeight="1">
      <c r="A49" s="80"/>
      <c r="B49" s="81"/>
      <c r="C49" s="7"/>
      <c r="D49" s="81"/>
      <c r="E49" s="274"/>
      <c r="F49" s="274"/>
      <c r="G49" s="274"/>
      <c r="H49" s="81"/>
    </row>
    <row r="50" spans="1:8" ht="28.75" customHeight="1">
      <c r="A50" s="80"/>
      <c r="B50" s="81"/>
      <c r="C50" s="7"/>
      <c r="D50" s="81"/>
      <c r="E50" s="274"/>
      <c r="F50" s="274"/>
      <c r="G50" s="274"/>
      <c r="H50" s="81"/>
    </row>
    <row r="51" spans="1:8">
      <c r="A51" s="80"/>
      <c r="B51" s="81"/>
      <c r="C51" s="81"/>
      <c r="D51" s="81"/>
      <c r="E51" s="81"/>
      <c r="F51" s="81"/>
      <c r="G51" s="81"/>
      <c r="H51" s="81"/>
    </row>
  </sheetData>
  <mergeCells count="42">
    <mergeCell ref="E29:G29"/>
    <mergeCell ref="E30:G30"/>
    <mergeCell ref="E31:G31"/>
    <mergeCell ref="E32:G32"/>
    <mergeCell ref="E38:G38"/>
    <mergeCell ref="E33:G33"/>
    <mergeCell ref="E34:G34"/>
    <mergeCell ref="E35:G35"/>
    <mergeCell ref="E36:G36"/>
    <mergeCell ref="E37:G37"/>
    <mergeCell ref="E50:G50"/>
    <mergeCell ref="E39:G39"/>
    <mergeCell ref="E40:G40"/>
    <mergeCell ref="E41:G41"/>
    <mergeCell ref="E42:G42"/>
    <mergeCell ref="E43:G43"/>
    <mergeCell ref="E48:G48"/>
    <mergeCell ref="E49:G49"/>
    <mergeCell ref="E44:G44"/>
    <mergeCell ref="E45:G45"/>
    <mergeCell ref="E46:G46"/>
    <mergeCell ref="E47:G47"/>
    <mergeCell ref="E28:G28"/>
    <mergeCell ref="E21:G21"/>
    <mergeCell ref="E22:G22"/>
    <mergeCell ref="C8:G8"/>
    <mergeCell ref="E15:G15"/>
    <mergeCell ref="E17:G17"/>
    <mergeCell ref="E18:G18"/>
    <mergeCell ref="E23:G23"/>
    <mergeCell ref="E24:G24"/>
    <mergeCell ref="E25:G25"/>
    <mergeCell ref="E26:G26"/>
    <mergeCell ref="E27:G27"/>
    <mergeCell ref="C14:G14"/>
    <mergeCell ref="C3:G4"/>
    <mergeCell ref="I16:K16"/>
    <mergeCell ref="E19:G19"/>
    <mergeCell ref="I17:I20"/>
    <mergeCell ref="E20:G20"/>
    <mergeCell ref="C10:G10"/>
    <mergeCell ref="C12:G12"/>
  </mergeCells>
  <phoneticPr fontId="24" type="noConversion"/>
  <pageMargins left="0.75" right="0.75" top="1" bottom="1" header="0.5" footer="0.5"/>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ublished="0" enableFormatConditionsCalculation="0"/>
  <dimension ref="A1:M57"/>
  <sheetViews>
    <sheetView topLeftCell="A13" zoomScale="70" workbookViewId="0">
      <selection activeCell="C13" sqref="C13"/>
    </sheetView>
  </sheetViews>
  <sheetFormatPr baseColWidth="10" defaultColWidth="8.6640625" defaultRowHeight="12" x14ac:dyDescent="0"/>
  <cols>
    <col min="1" max="1" width="2.33203125" style="12" customWidth="1"/>
    <col min="2" max="2" width="0.83203125" style="12" customWidth="1"/>
    <col min="3" max="3" width="40.6640625" style="12" customWidth="1"/>
    <col min="4" max="6" width="20.6640625" style="12" customWidth="1"/>
    <col min="7" max="7" width="2.33203125" style="12" customWidth="1"/>
    <col min="8" max="8" width="25" style="239" customWidth="1"/>
    <col min="9" max="9" width="3.33203125" style="12" customWidth="1"/>
    <col min="10" max="10" width="83.6640625" style="12" customWidth="1"/>
    <col min="11" max="16384" width="8.6640625" style="12"/>
  </cols>
  <sheetData>
    <row r="1" spans="1:11">
      <c r="A1" s="94"/>
      <c r="B1" s="94"/>
      <c r="C1" s="94"/>
      <c r="D1" s="94"/>
      <c r="E1" s="102"/>
      <c r="F1" s="94"/>
      <c r="G1" s="94"/>
      <c r="H1" s="96"/>
      <c r="I1" s="94"/>
    </row>
    <row r="2" spans="1:11" ht="33" customHeight="1">
      <c r="A2" s="143"/>
      <c r="B2" s="143"/>
      <c r="C2" s="127" t="s">
        <v>1</v>
      </c>
      <c r="D2" s="129"/>
      <c r="E2" s="144"/>
      <c r="F2" s="129"/>
      <c r="G2" s="94"/>
      <c r="H2" s="185" t="s">
        <v>82</v>
      </c>
      <c r="I2" s="94"/>
      <c r="J2" s="65" t="s">
        <v>98</v>
      </c>
    </row>
    <row r="3" spans="1:11" ht="12" customHeight="1">
      <c r="A3" s="94"/>
      <c r="B3" s="94"/>
      <c r="C3" s="104"/>
      <c r="D3" s="96"/>
      <c r="E3" s="105"/>
      <c r="F3" s="96"/>
      <c r="G3" s="94"/>
      <c r="H3" s="243"/>
      <c r="I3" s="94"/>
    </row>
    <row r="4" spans="1:11" ht="20.25" customHeight="1">
      <c r="A4" s="94"/>
      <c r="B4" s="143"/>
      <c r="C4" s="288" t="s">
        <v>92</v>
      </c>
      <c r="D4" s="288"/>
      <c r="E4" s="288"/>
      <c r="F4" s="288"/>
      <c r="G4" s="94"/>
      <c r="H4" s="244"/>
      <c r="I4" s="94"/>
    </row>
    <row r="5" spans="1:11" s="50" customFormat="1" ht="35.25" customHeight="1">
      <c r="A5" s="103"/>
      <c r="B5" s="103"/>
      <c r="C5" s="13" t="s">
        <v>69</v>
      </c>
      <c r="D5" s="13" t="s">
        <v>72</v>
      </c>
      <c r="E5" s="26" t="s">
        <v>80</v>
      </c>
      <c r="F5" s="13" t="s">
        <v>33</v>
      </c>
      <c r="G5" s="103"/>
      <c r="H5" s="39"/>
      <c r="I5" s="103"/>
    </row>
    <row r="6" spans="1:11" ht="15" customHeight="1">
      <c r="A6" s="94"/>
      <c r="B6" s="94"/>
      <c r="C6" s="145"/>
      <c r="D6" s="145"/>
      <c r="E6" s="146"/>
      <c r="F6" s="145"/>
      <c r="G6" s="94"/>
      <c r="H6" s="244"/>
      <c r="I6" s="94"/>
    </row>
    <row r="7" spans="1:11" ht="100.5" customHeight="1">
      <c r="A7" s="94"/>
      <c r="B7" s="94"/>
      <c r="C7" s="30" t="s">
        <v>123</v>
      </c>
      <c r="D7" s="14" t="s">
        <v>55</v>
      </c>
      <c r="E7" s="289">
        <f>IF(D8="Yes", "3", 0)</f>
        <v>0</v>
      </c>
      <c r="F7" s="291">
        <v>3</v>
      </c>
      <c r="G7" s="94"/>
      <c r="H7" s="244"/>
      <c r="I7" s="94"/>
    </row>
    <row r="8" spans="1:11" ht="52.75" customHeight="1">
      <c r="A8" s="94"/>
      <c r="B8" s="94"/>
      <c r="C8" s="30"/>
      <c r="D8" s="8" t="s">
        <v>99</v>
      </c>
      <c r="E8" s="289"/>
      <c r="F8" s="291"/>
      <c r="G8" s="94"/>
      <c r="H8" s="244"/>
      <c r="I8" s="94"/>
    </row>
    <row r="9" spans="1:11" ht="15" customHeight="1">
      <c r="A9" s="94"/>
      <c r="B9" s="94"/>
      <c r="C9" s="69"/>
      <c r="D9" s="147"/>
      <c r="E9" s="148"/>
      <c r="F9" s="135"/>
      <c r="G9" s="94"/>
      <c r="H9" s="244"/>
      <c r="I9" s="94"/>
    </row>
    <row r="10" spans="1:11" ht="90" customHeight="1">
      <c r="A10" s="94"/>
      <c r="B10" s="94"/>
      <c r="C10" s="13" t="s">
        <v>120</v>
      </c>
      <c r="D10" s="14" t="s">
        <v>115</v>
      </c>
      <c r="E10" s="289">
        <f>IF(D11="Yes", "2", 0)</f>
        <v>0</v>
      </c>
      <c r="F10" s="290">
        <v>2</v>
      </c>
      <c r="G10" s="94"/>
      <c r="H10" s="240"/>
      <c r="I10" s="184"/>
      <c r="J10" s="287" t="s">
        <v>104</v>
      </c>
      <c r="K10" s="287"/>
    </row>
    <row r="11" spans="1:11" ht="54" customHeight="1">
      <c r="A11" s="94"/>
      <c r="B11" s="94"/>
      <c r="C11" s="13"/>
      <c r="D11" s="8" t="s">
        <v>99</v>
      </c>
      <c r="E11" s="289"/>
      <c r="F11" s="290"/>
      <c r="G11" s="94"/>
      <c r="H11" s="240"/>
      <c r="I11" s="184"/>
      <c r="J11" s="287" t="s">
        <v>76</v>
      </c>
      <c r="K11" s="287"/>
    </row>
    <row r="12" spans="1:11" ht="20" customHeight="1">
      <c r="A12" s="94"/>
      <c r="B12" s="94"/>
      <c r="C12" s="69"/>
      <c r="D12" s="137"/>
      <c r="E12" s="149"/>
      <c r="F12" s="150"/>
      <c r="G12" s="94"/>
      <c r="H12" s="240"/>
      <c r="I12" s="184"/>
      <c r="J12" s="181"/>
      <c r="K12" s="181"/>
    </row>
    <row r="13" spans="1:11" ht="71" customHeight="1">
      <c r="A13" s="94"/>
      <c r="B13" s="94"/>
      <c r="C13" s="13" t="s">
        <v>129</v>
      </c>
      <c r="D13" s="14" t="s">
        <v>45</v>
      </c>
      <c r="E13" s="67"/>
      <c r="F13" s="179"/>
      <c r="G13" s="94"/>
      <c r="H13" s="240"/>
      <c r="I13" s="184"/>
      <c r="J13" s="181"/>
      <c r="K13" s="181"/>
    </row>
    <row r="14" spans="1:11" ht="54" customHeight="1">
      <c r="A14" s="94"/>
      <c r="B14" s="94"/>
      <c r="C14" s="13" t="s">
        <v>41</v>
      </c>
      <c r="D14" s="8" t="s">
        <v>99</v>
      </c>
      <c r="E14" s="67">
        <f>IF(D14="yes","2",0)</f>
        <v>0</v>
      </c>
      <c r="F14" s="179">
        <v>2</v>
      </c>
      <c r="G14" s="94"/>
      <c r="H14" s="240"/>
      <c r="I14" s="184"/>
      <c r="J14" s="181"/>
      <c r="K14" s="181"/>
    </row>
    <row r="15" spans="1:11" ht="54" customHeight="1">
      <c r="A15" s="94"/>
      <c r="B15" s="94"/>
      <c r="C15" s="13" t="s">
        <v>42</v>
      </c>
      <c r="D15" s="8" t="s">
        <v>99</v>
      </c>
      <c r="E15" s="67">
        <f>IF(D15="yes","2",0)</f>
        <v>0</v>
      </c>
      <c r="F15" s="72" t="str">
        <f>(IF(OR(D15="yes",D15="no"),"2","0"))</f>
        <v>2</v>
      </c>
      <c r="G15" s="94"/>
      <c r="H15" s="241"/>
      <c r="I15" s="184"/>
      <c r="J15" s="181"/>
      <c r="K15" s="181"/>
    </row>
    <row r="16" spans="1:11" ht="54" customHeight="1">
      <c r="A16" s="94"/>
      <c r="B16" s="94"/>
      <c r="C16" s="13" t="s">
        <v>43</v>
      </c>
      <c r="D16" s="8" t="s">
        <v>99</v>
      </c>
      <c r="E16" s="67">
        <f>IF(D16="yes","2",0)</f>
        <v>0</v>
      </c>
      <c r="F16" s="72" t="str">
        <f>(IF(OR(D16="yes",D16="no"),"2","0"))</f>
        <v>2</v>
      </c>
      <c r="G16" s="94"/>
      <c r="H16" s="241"/>
      <c r="I16" s="184"/>
      <c r="J16" s="181"/>
      <c r="K16" s="181"/>
    </row>
    <row r="17" spans="1:13" ht="15" customHeight="1">
      <c r="A17" s="94"/>
      <c r="B17" s="94"/>
      <c r="C17" s="69"/>
      <c r="D17" s="137"/>
      <c r="E17" s="149"/>
      <c r="F17" s="150"/>
      <c r="G17" s="94"/>
      <c r="H17" s="240"/>
      <c r="I17" s="184"/>
      <c r="J17" s="181"/>
      <c r="K17" s="181"/>
    </row>
    <row r="18" spans="1:13" ht="105" customHeight="1">
      <c r="A18" s="94"/>
      <c r="B18" s="94"/>
      <c r="C18" s="13" t="s">
        <v>138</v>
      </c>
      <c r="D18" s="14" t="s">
        <v>27</v>
      </c>
      <c r="E18" s="289">
        <f>IF(D19="Yes", "2", 0)</f>
        <v>0</v>
      </c>
      <c r="F18" s="291" t="str">
        <f>(IF(OR(D19="yes",D19="no"),"2","0"))</f>
        <v>2</v>
      </c>
      <c r="G18" s="94"/>
      <c r="I18" s="90"/>
      <c r="J18" s="31"/>
    </row>
    <row r="19" spans="1:13" ht="50" customHeight="1">
      <c r="A19" s="94"/>
      <c r="B19" s="94"/>
      <c r="C19" s="13"/>
      <c r="D19" s="8" t="s">
        <v>103</v>
      </c>
      <c r="E19" s="289"/>
      <c r="F19" s="291"/>
      <c r="G19" s="94"/>
      <c r="H19" s="244"/>
      <c r="I19" s="94"/>
    </row>
    <row r="20" spans="1:13" ht="17" customHeight="1">
      <c r="A20" s="94"/>
      <c r="B20" s="94"/>
      <c r="C20" s="256"/>
      <c r="D20" s="147"/>
      <c r="E20" s="148"/>
      <c r="F20" s="135"/>
      <c r="G20" s="94"/>
      <c r="H20" s="244"/>
      <c r="I20" s="94"/>
    </row>
    <row r="21" spans="1:13" ht="105" customHeight="1">
      <c r="A21" s="94"/>
      <c r="B21" s="94"/>
      <c r="C21" s="13" t="s">
        <v>139</v>
      </c>
      <c r="D21" s="14" t="s">
        <v>27</v>
      </c>
      <c r="E21" s="289">
        <f>IF(D22="Yes", "2", 0)</f>
        <v>0</v>
      </c>
      <c r="F21" s="291" t="str">
        <f>(IF(OR(D22="yes",D22="no"),"2","0"))</f>
        <v>2</v>
      </c>
      <c r="G21" s="94"/>
      <c r="I21" s="90"/>
      <c r="J21" s="31"/>
    </row>
    <row r="22" spans="1:13" ht="50" customHeight="1">
      <c r="A22" s="94"/>
      <c r="B22" s="94"/>
      <c r="C22" s="13"/>
      <c r="D22" s="8" t="s">
        <v>103</v>
      </c>
      <c r="E22" s="289"/>
      <c r="F22" s="291"/>
      <c r="G22" s="94"/>
      <c r="H22" s="244"/>
      <c r="I22" s="94"/>
    </row>
    <row r="23" spans="1:13" ht="17" customHeight="1">
      <c r="A23" s="94"/>
      <c r="B23" s="94"/>
      <c r="C23" s="69"/>
      <c r="D23" s="147"/>
      <c r="E23" s="148"/>
      <c r="F23" s="135"/>
      <c r="G23" s="94"/>
      <c r="H23" s="244"/>
      <c r="I23" s="94"/>
    </row>
    <row r="24" spans="1:13" ht="74" customHeight="1">
      <c r="A24" s="94"/>
      <c r="B24" s="94"/>
      <c r="C24" s="30" t="s">
        <v>140</v>
      </c>
      <c r="D24" s="14" t="s">
        <v>97</v>
      </c>
      <c r="E24" s="289">
        <f>IF(D25="Yes", "2", 0)</f>
        <v>0</v>
      </c>
      <c r="F24" s="294" t="str">
        <f>(IF(OR(D25="yes",D25="no"),"2","0"))</f>
        <v>2</v>
      </c>
      <c r="G24" s="94"/>
      <c r="H24" s="241"/>
      <c r="I24" s="94"/>
    </row>
    <row r="25" spans="1:13" ht="74" customHeight="1">
      <c r="A25" s="94"/>
      <c r="B25" s="94"/>
      <c r="C25" s="30"/>
      <c r="D25" s="15" t="s">
        <v>99</v>
      </c>
      <c r="E25" s="289"/>
      <c r="F25" s="293"/>
      <c r="G25" s="94"/>
      <c r="H25" s="244"/>
      <c r="I25" s="94"/>
    </row>
    <row r="26" spans="1:13" ht="20" customHeight="1">
      <c r="A26" s="94"/>
      <c r="B26" s="94"/>
      <c r="C26" s="69"/>
      <c r="D26" s="147"/>
      <c r="E26" s="148"/>
      <c r="F26" s="135"/>
      <c r="G26" s="94"/>
      <c r="H26" s="244"/>
      <c r="I26" s="94"/>
    </row>
    <row r="27" spans="1:13" ht="78" customHeight="1">
      <c r="A27" s="94"/>
      <c r="B27" s="94"/>
      <c r="C27" s="68" t="s">
        <v>141</v>
      </c>
      <c r="D27" s="14" t="s">
        <v>65</v>
      </c>
      <c r="E27" s="73"/>
      <c r="F27" s="294" t="str">
        <f>(IF(OR(D28="yes",D28="no"),"2","0"))</f>
        <v>2</v>
      </c>
      <c r="G27" s="94"/>
      <c r="H27" s="244"/>
      <c r="I27" s="94"/>
    </row>
    <row r="28" spans="1:13" ht="66" customHeight="1">
      <c r="A28" s="94"/>
      <c r="B28" s="94"/>
      <c r="C28" s="13" t="s">
        <v>21</v>
      </c>
      <c r="D28" s="8" t="s">
        <v>103</v>
      </c>
      <c r="E28" s="67">
        <f>IF(D28="Yes","2",0)</f>
        <v>0</v>
      </c>
      <c r="F28" s="293"/>
      <c r="G28" s="94"/>
      <c r="H28" s="244"/>
      <c r="I28" s="94"/>
    </row>
    <row r="29" spans="1:13" ht="27" customHeight="1">
      <c r="A29" s="94"/>
      <c r="B29" s="94"/>
      <c r="C29" s="106"/>
      <c r="D29" s="107"/>
      <c r="E29" s="108"/>
      <c r="F29" s="109"/>
      <c r="G29" s="94"/>
      <c r="H29" s="243"/>
      <c r="I29" s="94"/>
    </row>
    <row r="30" spans="1:13" ht="52.75" customHeight="1">
      <c r="A30" s="94"/>
      <c r="B30" s="94"/>
      <c r="C30" s="20" t="s">
        <v>105</v>
      </c>
      <c r="D30" s="32"/>
      <c r="E30" s="27">
        <f>SUM(E7+E10+E21+E24+E28+E14+E15+E16)</f>
        <v>0</v>
      </c>
      <c r="F30" s="46">
        <f>SUM(F7+F10+F13+F21+F24+F14+F15+F16+F18+F27)</f>
        <v>19</v>
      </c>
      <c r="G30" s="94"/>
      <c r="H30" s="244"/>
      <c r="I30" s="25"/>
      <c r="J30" s="68"/>
      <c r="K30" s="110"/>
      <c r="L30" s="292"/>
      <c r="M30" s="293"/>
    </row>
    <row r="31" spans="1:13" ht="22" customHeight="1">
      <c r="A31" s="94"/>
      <c r="B31" s="94"/>
      <c r="C31" s="94"/>
      <c r="D31" s="94"/>
      <c r="E31" s="102"/>
      <c r="F31" s="94"/>
      <c r="G31" s="94"/>
      <c r="H31" s="244"/>
      <c r="I31" s="25"/>
      <c r="J31" s="68"/>
      <c r="K31" s="110"/>
      <c r="L31" s="292"/>
      <c r="M31" s="293"/>
    </row>
    <row r="32" spans="1:13" ht="22" customHeight="1">
      <c r="A32" s="33"/>
      <c r="B32" s="33"/>
      <c r="C32" s="33"/>
      <c r="D32" s="33"/>
      <c r="E32" s="28"/>
      <c r="F32" s="25"/>
      <c r="G32" s="33"/>
      <c r="H32" s="244"/>
      <c r="I32" s="25"/>
    </row>
    <row r="33" spans="1:9" ht="15" customHeight="1">
      <c r="A33" s="33"/>
      <c r="B33" s="33"/>
      <c r="C33" s="25"/>
      <c r="D33" s="25"/>
      <c r="E33" s="28"/>
      <c r="F33" s="25"/>
      <c r="G33" s="33"/>
      <c r="H33" s="244"/>
      <c r="I33" s="25"/>
    </row>
    <row r="34" spans="1:9" ht="50.25" customHeight="1">
      <c r="A34" s="33"/>
      <c r="B34" s="33"/>
      <c r="C34" s="25"/>
      <c r="D34" s="25"/>
      <c r="E34" s="28"/>
      <c r="F34" s="25"/>
      <c r="G34" s="33"/>
      <c r="H34" s="245"/>
      <c r="I34" s="51"/>
    </row>
    <row r="35" spans="1:9">
      <c r="A35" s="33"/>
      <c r="B35" s="33"/>
      <c r="C35" s="25"/>
      <c r="D35" s="25"/>
      <c r="E35" s="28"/>
      <c r="F35" s="25"/>
      <c r="G35" s="33"/>
      <c r="H35" s="244"/>
      <c r="I35" s="25"/>
    </row>
    <row r="36" spans="1:9">
      <c r="A36" s="25"/>
      <c r="B36" s="25"/>
      <c r="C36" s="25"/>
      <c r="D36" s="25"/>
      <c r="E36" s="28"/>
      <c r="F36" s="25"/>
      <c r="G36" s="33"/>
      <c r="H36" s="244"/>
      <c r="I36" s="25"/>
    </row>
    <row r="37" spans="1:9">
      <c r="A37" s="25"/>
      <c r="B37" s="25"/>
      <c r="C37" s="25"/>
      <c r="D37" s="25"/>
      <c r="E37" s="28"/>
      <c r="F37" s="25"/>
      <c r="G37" s="33"/>
      <c r="H37" s="244"/>
      <c r="I37" s="25"/>
    </row>
    <row r="38" spans="1:9">
      <c r="A38" s="25"/>
      <c r="B38" s="25"/>
      <c r="C38" s="25"/>
      <c r="D38" s="25"/>
      <c r="E38" s="28"/>
      <c r="F38" s="25"/>
      <c r="G38" s="33"/>
      <c r="H38" s="244"/>
      <c r="I38" s="25"/>
    </row>
    <row r="39" spans="1:9">
      <c r="A39" s="25"/>
      <c r="B39" s="25"/>
      <c r="C39" s="25"/>
      <c r="D39" s="25"/>
      <c r="E39" s="28"/>
      <c r="F39" s="25"/>
      <c r="G39" s="25"/>
      <c r="H39" s="244"/>
      <c r="I39" s="25"/>
    </row>
    <row r="40" spans="1:9">
      <c r="A40" s="25"/>
      <c r="B40" s="25"/>
      <c r="C40" s="25"/>
      <c r="D40" s="25"/>
      <c r="E40" s="28"/>
      <c r="F40" s="25"/>
      <c r="G40" s="25"/>
      <c r="H40" s="244"/>
      <c r="I40" s="25"/>
    </row>
    <row r="41" spans="1:9">
      <c r="A41" s="25"/>
      <c r="B41" s="25"/>
      <c r="C41" s="25"/>
      <c r="D41" s="25"/>
      <c r="E41" s="28"/>
      <c r="F41" s="25"/>
      <c r="G41" s="25"/>
      <c r="H41" s="244"/>
      <c r="I41" s="25"/>
    </row>
    <row r="42" spans="1:9">
      <c r="A42" s="25"/>
      <c r="B42" s="25"/>
      <c r="C42" s="25"/>
      <c r="D42" s="25"/>
      <c r="E42" s="28"/>
      <c r="F42" s="25"/>
      <c r="G42" s="25"/>
      <c r="H42" s="244"/>
      <c r="I42" s="25"/>
    </row>
    <row r="43" spans="1:9">
      <c r="A43" s="25"/>
      <c r="B43" s="25"/>
      <c r="C43" s="25"/>
      <c r="D43" s="25"/>
      <c r="E43" s="28"/>
      <c r="F43" s="25"/>
      <c r="G43" s="25"/>
      <c r="H43" s="244"/>
      <c r="I43" s="25"/>
    </row>
    <row r="44" spans="1:9">
      <c r="A44" s="25"/>
      <c r="B44" s="25"/>
      <c r="C44" s="25"/>
      <c r="D44" s="25"/>
      <c r="E44" s="28"/>
      <c r="F44" s="25"/>
      <c r="G44" s="25"/>
      <c r="H44" s="244"/>
      <c r="I44" s="25"/>
    </row>
    <row r="45" spans="1:9">
      <c r="A45" s="25"/>
      <c r="B45" s="25"/>
      <c r="C45" s="25"/>
      <c r="D45" s="25"/>
      <c r="E45" s="28"/>
      <c r="F45" s="25"/>
      <c r="G45" s="25"/>
      <c r="H45" s="244"/>
      <c r="I45" s="25"/>
    </row>
    <row r="46" spans="1:9">
      <c r="A46" s="25"/>
      <c r="B46" s="25"/>
      <c r="C46" s="25"/>
      <c r="D46" s="25"/>
      <c r="E46" s="28"/>
      <c r="F46" s="25"/>
      <c r="G46" s="25"/>
      <c r="H46" s="244"/>
      <c r="I46" s="25"/>
    </row>
    <row r="47" spans="1:9">
      <c r="A47" s="25"/>
      <c r="B47" s="25"/>
      <c r="C47" s="25"/>
      <c r="D47" s="25"/>
      <c r="E47" s="28"/>
      <c r="F47" s="25"/>
      <c r="G47" s="25"/>
      <c r="H47" s="244"/>
      <c r="I47" s="25"/>
    </row>
    <row r="48" spans="1:9">
      <c r="A48" s="25"/>
      <c r="B48" s="25"/>
      <c r="C48" s="25"/>
      <c r="D48" s="25"/>
      <c r="E48" s="28"/>
      <c r="F48" s="25"/>
      <c r="G48" s="25"/>
      <c r="H48" s="244"/>
      <c r="I48" s="25"/>
    </row>
    <row r="49" spans="1:9">
      <c r="A49" s="25"/>
      <c r="B49" s="25"/>
      <c r="C49" s="25"/>
      <c r="D49" s="25"/>
      <c r="E49" s="28"/>
      <c r="F49" s="25"/>
      <c r="G49" s="25"/>
      <c r="H49" s="244"/>
      <c r="I49" s="25"/>
    </row>
    <row r="50" spans="1:9">
      <c r="A50" s="25"/>
      <c r="B50" s="25"/>
      <c r="C50" s="25"/>
      <c r="D50" s="25"/>
      <c r="E50" s="28"/>
      <c r="F50" s="25"/>
      <c r="G50" s="25"/>
      <c r="H50" s="244"/>
      <c r="I50" s="25"/>
    </row>
    <row r="51" spans="1:9">
      <c r="A51" s="25"/>
      <c r="B51" s="25"/>
      <c r="C51" s="25"/>
      <c r="D51" s="25"/>
      <c r="E51" s="28"/>
      <c r="F51" s="25"/>
      <c r="G51" s="25"/>
      <c r="H51" s="244"/>
      <c r="I51" s="25"/>
    </row>
    <row r="52" spans="1:9">
      <c r="A52" s="25"/>
      <c r="B52" s="25"/>
      <c r="C52" s="25"/>
      <c r="D52" s="25"/>
      <c r="E52" s="28"/>
      <c r="F52" s="25"/>
      <c r="G52" s="25"/>
      <c r="H52" s="244"/>
      <c r="I52" s="25"/>
    </row>
    <row r="53" spans="1:9">
      <c r="A53" s="25"/>
      <c r="B53" s="25"/>
      <c r="G53" s="25"/>
      <c r="H53" s="244"/>
      <c r="I53" s="25"/>
    </row>
    <row r="54" spans="1:9">
      <c r="A54" s="25"/>
      <c r="B54" s="25"/>
      <c r="G54" s="25"/>
      <c r="H54" s="244"/>
      <c r="I54" s="25"/>
    </row>
    <row r="55" spans="1:9">
      <c r="A55" s="25"/>
      <c r="B55" s="25"/>
      <c r="G55" s="25"/>
      <c r="H55" s="244"/>
      <c r="I55" s="25"/>
    </row>
    <row r="56" spans="1:9">
      <c r="A56" s="25"/>
      <c r="B56" s="25"/>
      <c r="G56" s="25"/>
      <c r="H56" s="244"/>
      <c r="I56" s="25"/>
    </row>
    <row r="57" spans="1:9">
      <c r="A57" s="25"/>
      <c r="B57" s="25"/>
      <c r="G57" s="25"/>
      <c r="H57" s="244"/>
      <c r="I57" s="25"/>
    </row>
  </sheetData>
  <mergeCells count="16">
    <mergeCell ref="L30:L31"/>
    <mergeCell ref="M30:M31"/>
    <mergeCell ref="E24:E25"/>
    <mergeCell ref="F24:F25"/>
    <mergeCell ref="J11:K11"/>
    <mergeCell ref="F27:F28"/>
    <mergeCell ref="F21:F22"/>
    <mergeCell ref="E21:E22"/>
    <mergeCell ref="E18:E19"/>
    <mergeCell ref="F18:F19"/>
    <mergeCell ref="J10:K10"/>
    <mergeCell ref="C4:F4"/>
    <mergeCell ref="E10:E11"/>
    <mergeCell ref="F10:F11"/>
    <mergeCell ref="E7:E8"/>
    <mergeCell ref="F7:F8"/>
  </mergeCells>
  <phoneticPr fontId="1" type="noConversion"/>
  <hyperlinks>
    <hyperlink ref="J2" location="Summary!A1" display="Click here to return to Summary page"/>
  </hyperlinks>
  <pageMargins left="0.75" right="0.75" top="1" bottom="1" header="0.5" footer="0.5"/>
  <pageSetup orientation="portrait" horizontalDpi="4294967292" verticalDpi="4294967292"/>
  <legacy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ublished="0" enableFormatConditionsCalculation="0"/>
  <dimension ref="A1:J71"/>
  <sheetViews>
    <sheetView tabSelected="1" topLeftCell="A30" zoomScale="70" zoomScaleNormal="70" zoomScalePageLayoutView="70" workbookViewId="0">
      <selection activeCell="B19" sqref="B19"/>
    </sheetView>
  </sheetViews>
  <sheetFormatPr baseColWidth="10" defaultColWidth="8.6640625" defaultRowHeight="12" x14ac:dyDescent="0"/>
  <cols>
    <col min="1" max="1" width="2.33203125" style="12" customWidth="1"/>
    <col min="2" max="2" width="40.6640625" style="12" customWidth="1"/>
    <col min="3" max="5" width="20.6640625" style="12" customWidth="1"/>
    <col min="6" max="6" width="2.1640625" style="12" customWidth="1"/>
    <col min="7" max="7" width="30.33203125" style="239" customWidth="1"/>
    <col min="8" max="8" width="2.6640625" style="12" customWidth="1"/>
    <col min="9" max="9" width="82" style="12" customWidth="1"/>
    <col min="10" max="10" width="54.6640625" style="12" customWidth="1"/>
    <col min="11" max="16384" width="8.6640625" style="12"/>
  </cols>
  <sheetData>
    <row r="1" spans="1:9" ht="12" customHeight="1">
      <c r="A1" s="90"/>
      <c r="B1" s="90"/>
      <c r="C1" s="91"/>
      <c r="D1" s="90"/>
      <c r="E1" s="90"/>
      <c r="F1" s="90"/>
      <c r="G1" s="237"/>
      <c r="H1" s="90"/>
    </row>
    <row r="2" spans="1:9" ht="33" customHeight="1">
      <c r="A2" s="126"/>
      <c r="B2" s="127" t="s">
        <v>2</v>
      </c>
      <c r="C2" s="159"/>
      <c r="D2" s="128"/>
      <c r="E2" s="128"/>
      <c r="F2" s="90"/>
      <c r="G2" s="182" t="s">
        <v>81</v>
      </c>
      <c r="H2" s="183"/>
      <c r="I2" s="65" t="s">
        <v>98</v>
      </c>
    </row>
    <row r="3" spans="1:9" ht="10.5" customHeight="1">
      <c r="A3" s="90"/>
      <c r="B3" s="99"/>
      <c r="C3" s="100"/>
      <c r="D3" s="101"/>
      <c r="E3" s="101"/>
      <c r="F3" s="90"/>
      <c r="G3" s="238"/>
      <c r="H3" s="90"/>
    </row>
    <row r="4" spans="1:9" ht="15" customHeight="1">
      <c r="A4" s="90"/>
      <c r="B4" s="295"/>
      <c r="C4" s="295"/>
      <c r="D4" s="295"/>
      <c r="E4" s="295"/>
      <c r="F4" s="90"/>
      <c r="H4" s="90"/>
    </row>
    <row r="5" spans="1:9" ht="35.25" customHeight="1">
      <c r="A5" s="90"/>
      <c r="B5" s="30" t="s">
        <v>28</v>
      </c>
      <c r="C5" s="14" t="s">
        <v>87</v>
      </c>
      <c r="D5" s="296" t="str">
        <f>IF(C6=0,"0",(3*(C7/C6)))</f>
        <v>0</v>
      </c>
      <c r="E5" s="291">
        <v>3</v>
      </c>
      <c r="F5" s="90"/>
      <c r="G5" s="240"/>
      <c r="H5" s="184"/>
      <c r="I5" s="31"/>
    </row>
    <row r="6" spans="1:9" ht="50.25" customHeight="1">
      <c r="A6" s="90"/>
      <c r="B6" s="30" t="s">
        <v>85</v>
      </c>
      <c r="C6" s="257">
        <v>0</v>
      </c>
      <c r="D6" s="296"/>
      <c r="E6" s="291"/>
      <c r="F6" s="90"/>
      <c r="G6" s="240"/>
      <c r="H6" s="184"/>
      <c r="I6" s="196" t="s">
        <v>19</v>
      </c>
    </row>
    <row r="7" spans="1:9" ht="50.25" customHeight="1">
      <c r="A7" s="90"/>
      <c r="B7" s="30" t="s">
        <v>56</v>
      </c>
      <c r="C7" s="8">
        <v>0</v>
      </c>
      <c r="D7" s="296"/>
      <c r="E7" s="291"/>
      <c r="F7" s="90"/>
      <c r="H7" s="90"/>
      <c r="I7" s="6"/>
    </row>
    <row r="8" spans="1:9" ht="19" customHeight="1">
      <c r="A8" s="90"/>
      <c r="B8" s="129"/>
      <c r="C8" s="130"/>
      <c r="D8" s="131"/>
      <c r="E8" s="132"/>
      <c r="F8" s="90"/>
      <c r="H8" s="90"/>
      <c r="I8" s="253"/>
    </row>
    <row r="9" spans="1:9" ht="50.25" customHeight="1">
      <c r="A9" s="90"/>
      <c r="B9" s="30" t="s">
        <v>130</v>
      </c>
      <c r="C9" s="254" t="s">
        <v>137</v>
      </c>
      <c r="D9" s="296"/>
      <c r="E9" s="291"/>
      <c r="F9" s="90"/>
      <c r="H9" s="90"/>
      <c r="I9" s="253"/>
    </row>
    <row r="10" spans="1:9" ht="50.25" customHeight="1">
      <c r="A10" s="90"/>
      <c r="B10" s="30" t="s">
        <v>131</v>
      </c>
      <c r="C10" s="257">
        <v>0</v>
      </c>
      <c r="D10" s="296"/>
      <c r="E10" s="291"/>
      <c r="F10" s="90"/>
      <c r="H10" s="90"/>
      <c r="I10" s="255"/>
    </row>
    <row r="11" spans="1:9" ht="50.25" customHeight="1">
      <c r="A11" s="90"/>
      <c r="B11" s="30" t="s">
        <v>132</v>
      </c>
      <c r="C11" s="8">
        <v>0</v>
      </c>
      <c r="D11" s="296"/>
      <c r="E11" s="291"/>
      <c r="F11" s="90"/>
      <c r="H11" s="90"/>
      <c r="I11" s="255"/>
    </row>
    <row r="12" spans="1:9" ht="50.25" customHeight="1">
      <c r="A12" s="90"/>
      <c r="B12" s="30" t="s">
        <v>133</v>
      </c>
      <c r="C12" s="257">
        <v>0</v>
      </c>
      <c r="D12" s="296"/>
      <c r="E12" s="291"/>
      <c r="F12" s="90"/>
      <c r="H12" s="90"/>
      <c r="I12" s="255"/>
    </row>
    <row r="13" spans="1:9" ht="50.25" customHeight="1">
      <c r="A13" s="90"/>
      <c r="B13" s="30" t="s">
        <v>134</v>
      </c>
      <c r="C13" s="8">
        <v>0</v>
      </c>
      <c r="D13" s="296"/>
      <c r="E13" s="291"/>
      <c r="F13" s="90"/>
      <c r="H13" s="90"/>
      <c r="I13" s="255"/>
    </row>
    <row r="14" spans="1:9" ht="15" customHeight="1">
      <c r="A14" s="90"/>
      <c r="B14" s="129"/>
      <c r="C14" s="130"/>
      <c r="D14" s="131"/>
      <c r="E14" s="132"/>
      <c r="F14" s="90"/>
      <c r="H14" s="90"/>
    </row>
    <row r="15" spans="1:9" ht="19.5" hidden="1" customHeight="1">
      <c r="A15" s="90"/>
      <c r="B15" s="20" t="s">
        <v>86</v>
      </c>
      <c r="C15" s="21"/>
      <c r="D15" s="22" t="e">
        <f>#REF!+#REF!+#REF!+#REF!+D5</f>
        <v>#REF!</v>
      </c>
      <c r="E15" s="23" t="e">
        <f>SUM(E5:E7)+#REF!</f>
        <v>#REF!</v>
      </c>
      <c r="F15" s="90"/>
      <c r="H15" s="90"/>
    </row>
    <row r="16" spans="1:9" ht="78" customHeight="1">
      <c r="A16" s="90"/>
      <c r="B16" s="30" t="s">
        <v>135</v>
      </c>
      <c r="C16" s="38" t="s">
        <v>115</v>
      </c>
      <c r="D16" s="297">
        <f>IF(C17="Yes", "2", 0)</f>
        <v>0</v>
      </c>
      <c r="E16" s="291">
        <v>2</v>
      </c>
      <c r="F16" s="90"/>
      <c r="H16" s="90"/>
    </row>
    <row r="17" spans="1:10" ht="59" customHeight="1">
      <c r="A17" s="90"/>
      <c r="B17" s="30"/>
      <c r="C17" s="8" t="s">
        <v>66</v>
      </c>
      <c r="D17" s="297"/>
      <c r="E17" s="291"/>
      <c r="F17" s="90"/>
      <c r="H17" s="90"/>
    </row>
    <row r="18" spans="1:10" ht="15" customHeight="1">
      <c r="A18" s="90"/>
      <c r="B18" s="129"/>
      <c r="C18" s="130"/>
      <c r="D18" s="131"/>
      <c r="E18" s="132"/>
      <c r="F18" s="90"/>
      <c r="H18" s="90"/>
    </row>
    <row r="19" spans="1:10" ht="90" customHeight="1">
      <c r="A19" s="90"/>
      <c r="B19" s="30" t="s">
        <v>159</v>
      </c>
      <c r="C19" s="38" t="s">
        <v>160</v>
      </c>
      <c r="D19" s="297" t="str">
        <f>IF(C20="Yes", "0", 3)</f>
        <v>0</v>
      </c>
      <c r="E19" s="291">
        <v>3</v>
      </c>
      <c r="F19" s="90"/>
      <c r="H19" s="90"/>
      <c r="I19" s="287" t="s">
        <v>104</v>
      </c>
      <c r="J19" s="287"/>
    </row>
    <row r="20" spans="1:10" ht="50.25" customHeight="1">
      <c r="A20" s="90"/>
      <c r="B20" s="30"/>
      <c r="C20" s="8" t="s">
        <v>136</v>
      </c>
      <c r="D20" s="297"/>
      <c r="E20" s="291"/>
      <c r="F20" s="90"/>
      <c r="H20" s="90"/>
      <c r="I20" s="287" t="s">
        <v>76</v>
      </c>
      <c r="J20" s="287"/>
    </row>
    <row r="21" spans="1:10" ht="15" customHeight="1">
      <c r="A21" s="90"/>
      <c r="B21" s="69"/>
      <c r="C21" s="133"/>
      <c r="D21" s="134"/>
      <c r="E21" s="135"/>
      <c r="F21" s="90"/>
      <c r="H21" s="90"/>
    </row>
    <row r="22" spans="1:10" ht="68">
      <c r="A22" s="90"/>
      <c r="B22" s="30" t="s">
        <v>143</v>
      </c>
      <c r="C22" s="38" t="s">
        <v>115</v>
      </c>
      <c r="D22" s="297">
        <f>IF(C23="Yes", "3", 0)</f>
        <v>0</v>
      </c>
      <c r="E22" s="291">
        <v>3</v>
      </c>
      <c r="F22" s="90"/>
      <c r="H22" s="90"/>
    </row>
    <row r="23" spans="1:10" ht="32">
      <c r="A23" s="90"/>
      <c r="B23" s="30"/>
      <c r="C23" s="9" t="s">
        <v>66</v>
      </c>
      <c r="D23" s="297"/>
      <c r="E23" s="291"/>
      <c r="F23" s="93"/>
      <c r="H23" s="90"/>
    </row>
    <row r="24" spans="1:10" ht="15" customHeight="1">
      <c r="A24" s="90"/>
      <c r="B24" s="69"/>
      <c r="C24" s="136"/>
      <c r="D24" s="134"/>
      <c r="E24" s="135"/>
      <c r="F24" s="90"/>
      <c r="H24" s="90"/>
    </row>
    <row r="25" spans="1:10" ht="49.75" customHeight="1">
      <c r="A25" s="90"/>
      <c r="B25" s="13" t="s">
        <v>144</v>
      </c>
      <c r="C25" s="14" t="s">
        <v>87</v>
      </c>
      <c r="D25" s="296" t="str">
        <f>IF(C26=0,"0",(3*(C27/C26)))</f>
        <v>0</v>
      </c>
      <c r="E25" s="291">
        <v>3</v>
      </c>
      <c r="F25" s="90"/>
      <c r="H25" s="90"/>
    </row>
    <row r="26" spans="1:10" ht="50.25" customHeight="1">
      <c r="A26" s="90"/>
      <c r="B26" s="13" t="s">
        <v>121</v>
      </c>
      <c r="C26" s="8">
        <v>0</v>
      </c>
      <c r="D26" s="296"/>
      <c r="E26" s="291"/>
      <c r="F26" s="90"/>
      <c r="H26" s="90"/>
    </row>
    <row r="27" spans="1:10" ht="50.25" customHeight="1">
      <c r="A27" s="90"/>
      <c r="B27" s="13" t="s">
        <v>94</v>
      </c>
      <c r="C27" s="8">
        <v>0</v>
      </c>
      <c r="D27" s="296"/>
      <c r="E27" s="291"/>
      <c r="F27" s="90"/>
      <c r="H27" s="90"/>
    </row>
    <row r="28" spans="1:10" ht="15" customHeight="1">
      <c r="A28" s="90"/>
      <c r="B28" s="69"/>
      <c r="C28" s="137"/>
      <c r="D28" s="134"/>
      <c r="E28" s="135"/>
      <c r="F28" s="90"/>
      <c r="H28" s="90"/>
    </row>
    <row r="29" spans="1:10" ht="68">
      <c r="A29" s="90"/>
      <c r="B29" s="13" t="s">
        <v>145</v>
      </c>
      <c r="C29" s="38" t="s">
        <v>115</v>
      </c>
      <c r="D29" s="297">
        <f>IF(C30="Yes", "2", 0)</f>
        <v>0</v>
      </c>
      <c r="E29" s="291">
        <v>2</v>
      </c>
      <c r="F29" s="90"/>
      <c r="H29" s="90"/>
    </row>
    <row r="30" spans="1:10" ht="51" customHeight="1">
      <c r="A30" s="90"/>
      <c r="B30" s="13"/>
      <c r="C30" s="15" t="s">
        <v>99</v>
      </c>
      <c r="D30" s="297"/>
      <c r="E30" s="291"/>
      <c r="F30" s="90"/>
      <c r="H30" s="90"/>
    </row>
    <row r="31" spans="1:10" ht="15" customHeight="1">
      <c r="A31" s="90"/>
      <c r="B31" s="69"/>
      <c r="C31" s="136"/>
      <c r="D31" s="134"/>
      <c r="E31" s="135"/>
      <c r="F31" s="90"/>
      <c r="H31" s="90"/>
    </row>
    <row r="32" spans="1:10" ht="68">
      <c r="A32" s="90"/>
      <c r="B32" s="13" t="s">
        <v>146</v>
      </c>
      <c r="C32" s="14" t="s">
        <v>46</v>
      </c>
      <c r="D32" s="297">
        <f>IF(C33="Yes", "2", 0)</f>
        <v>0</v>
      </c>
      <c r="E32" s="294" t="str">
        <f>(IF(OR(C33="yes",C33="no"),"2","0"))</f>
        <v>2</v>
      </c>
      <c r="F32" s="90"/>
      <c r="H32" s="90"/>
    </row>
    <row r="33" spans="1:9" ht="32">
      <c r="A33" s="90"/>
      <c r="B33" s="13" t="s">
        <v>53</v>
      </c>
      <c r="C33" s="9" t="s">
        <v>99</v>
      </c>
      <c r="D33" s="297"/>
      <c r="E33" s="293"/>
      <c r="F33" s="93"/>
      <c r="H33" s="90"/>
    </row>
    <row r="34" spans="1:9" ht="32">
      <c r="A34" s="90"/>
      <c r="B34" s="13" t="s">
        <v>63</v>
      </c>
      <c r="C34" s="9" t="s">
        <v>99</v>
      </c>
      <c r="D34" s="66">
        <f>IF(C34="yes","2",0)</f>
        <v>0</v>
      </c>
      <c r="E34" s="40" t="str">
        <f>(IF(OR(C34="yes",C34="no"),"2","0"))</f>
        <v>2</v>
      </c>
      <c r="F34" s="93"/>
      <c r="G34" s="241"/>
      <c r="H34" s="90"/>
      <c r="I34" s="77"/>
    </row>
    <row r="35" spans="1:9" ht="34">
      <c r="A35" s="90"/>
      <c r="B35" s="68" t="s">
        <v>108</v>
      </c>
      <c r="C35" s="9" t="s">
        <v>99</v>
      </c>
      <c r="D35" s="66">
        <f>IF(C35="Yes","2",0)</f>
        <v>0</v>
      </c>
      <c r="E35" s="40">
        <v>2</v>
      </c>
      <c r="F35" s="93"/>
      <c r="H35" s="90"/>
    </row>
    <row r="36" spans="1:9" ht="34">
      <c r="A36" s="90"/>
      <c r="B36" s="68" t="s">
        <v>109</v>
      </c>
      <c r="C36" s="9" t="s">
        <v>99</v>
      </c>
      <c r="D36" s="66">
        <f>IF(C36="Yes","2",0)</f>
        <v>0</v>
      </c>
      <c r="E36" s="40">
        <v>2</v>
      </c>
      <c r="F36" s="93"/>
      <c r="H36" s="90"/>
    </row>
    <row r="37" spans="1:9" ht="32">
      <c r="A37" s="90"/>
      <c r="B37" s="68" t="s">
        <v>35</v>
      </c>
      <c r="C37" s="9">
        <v>0</v>
      </c>
      <c r="D37" s="66"/>
      <c r="E37" s="40"/>
      <c r="F37" s="93"/>
      <c r="H37" s="90"/>
    </row>
    <row r="38" spans="1:9" ht="18" customHeight="1">
      <c r="A38" s="90"/>
      <c r="B38" s="138"/>
      <c r="C38" s="139"/>
      <c r="D38" s="140"/>
      <c r="E38" s="135"/>
      <c r="F38" s="93"/>
      <c r="H38" s="90"/>
    </row>
    <row r="39" spans="1:9" ht="77" customHeight="1">
      <c r="A39" s="90"/>
      <c r="B39" s="70" t="s">
        <v>147</v>
      </c>
      <c r="C39" s="14" t="s">
        <v>97</v>
      </c>
      <c r="D39" s="298">
        <f>IF(C40="Yes","2",0)</f>
        <v>0</v>
      </c>
      <c r="E39" s="294" t="str">
        <f>(IF(OR(C40="yes",C40="no"),"2","0"))</f>
        <v>2</v>
      </c>
      <c r="F39" s="94"/>
      <c r="G39" s="241"/>
      <c r="H39" s="90"/>
    </row>
    <row r="40" spans="1:9" ht="52" customHeight="1">
      <c r="A40" s="90"/>
      <c r="B40" s="70"/>
      <c r="C40" s="9" t="s">
        <v>99</v>
      </c>
      <c r="D40" s="298"/>
      <c r="E40" s="293"/>
      <c r="F40" s="94"/>
      <c r="H40" s="90"/>
    </row>
    <row r="41" spans="1:9" ht="15" customHeight="1">
      <c r="A41" s="90"/>
      <c r="B41" s="129"/>
      <c r="C41" s="129"/>
      <c r="D41" s="131"/>
      <c r="E41" s="141"/>
      <c r="F41" s="94"/>
      <c r="H41" s="90"/>
    </row>
    <row r="42" spans="1:9" ht="78" customHeight="1">
      <c r="A42" s="90"/>
      <c r="B42" s="71" t="s">
        <v>148</v>
      </c>
      <c r="C42" s="14" t="s">
        <v>97</v>
      </c>
      <c r="D42" s="298">
        <f>IF(C43="Yes","2",0)</f>
        <v>0</v>
      </c>
      <c r="E42" s="294" t="str">
        <f>(IF(OR(C43="yes",C43="no"),"2","0"))</f>
        <v>2</v>
      </c>
      <c r="F42" s="94"/>
      <c r="G42" s="241"/>
      <c r="H42" s="90"/>
    </row>
    <row r="43" spans="1:9" ht="54" customHeight="1">
      <c r="A43" s="90"/>
      <c r="B43" s="71"/>
      <c r="C43" s="9" t="s">
        <v>99</v>
      </c>
      <c r="D43" s="298"/>
      <c r="E43" s="293"/>
      <c r="F43" s="94"/>
      <c r="H43" s="90"/>
    </row>
    <row r="44" spans="1:9" ht="15" customHeight="1">
      <c r="A44" s="90"/>
      <c r="B44" s="129"/>
      <c r="C44" s="129"/>
      <c r="D44" s="131"/>
      <c r="E44" s="132"/>
      <c r="F44" s="94"/>
      <c r="H44" s="90"/>
    </row>
    <row r="45" spans="1:9" ht="72" customHeight="1">
      <c r="A45" s="90"/>
      <c r="B45" s="13" t="s">
        <v>149</v>
      </c>
      <c r="C45" s="14" t="s">
        <v>97</v>
      </c>
      <c r="D45" s="297">
        <f>IF(C46="Yes","2",0)</f>
        <v>0</v>
      </c>
      <c r="E45" s="294" t="str">
        <f>(IF(OR(C46="yes",C46="no"),"2","0"))</f>
        <v>2</v>
      </c>
      <c r="F45" s="90"/>
      <c r="G45" s="241"/>
      <c r="H45" s="90"/>
    </row>
    <row r="46" spans="1:9" ht="53" customHeight="1">
      <c r="A46" s="90"/>
      <c r="B46" s="64"/>
      <c r="C46" s="9" t="s">
        <v>99</v>
      </c>
      <c r="D46" s="297"/>
      <c r="E46" s="293"/>
      <c r="F46" s="93"/>
      <c r="H46" s="90"/>
    </row>
    <row r="47" spans="1:9" ht="15" customHeight="1">
      <c r="A47" s="90"/>
      <c r="B47" s="142"/>
      <c r="C47" s="139"/>
      <c r="D47" s="140"/>
      <c r="E47" s="135"/>
      <c r="F47" s="93"/>
      <c r="H47" s="90"/>
    </row>
    <row r="48" spans="1:9" ht="75" customHeight="1">
      <c r="A48" s="90"/>
      <c r="B48" s="78" t="s">
        <v>150</v>
      </c>
      <c r="C48" s="14" t="s">
        <v>97</v>
      </c>
      <c r="D48" s="297">
        <f>IF(C49="Yes","2",0)</f>
        <v>0</v>
      </c>
      <c r="E48" s="294" t="str">
        <f>(IF(OR(C49="yes",C49="no"),"2","0"))</f>
        <v>2</v>
      </c>
      <c r="F48" s="93"/>
      <c r="G48" s="241"/>
      <c r="H48" s="90"/>
    </row>
    <row r="49" spans="1:8" ht="53" customHeight="1">
      <c r="A49" s="90"/>
      <c r="B49" s="78"/>
      <c r="C49" s="9" t="s">
        <v>99</v>
      </c>
      <c r="D49" s="297"/>
      <c r="E49" s="293"/>
      <c r="F49" s="93"/>
      <c r="H49" s="90"/>
    </row>
    <row r="50" spans="1:8" ht="15" customHeight="1">
      <c r="A50" s="90"/>
      <c r="B50" s="96"/>
      <c r="C50" s="96"/>
      <c r="D50" s="97"/>
      <c r="E50" s="98"/>
      <c r="F50" s="94"/>
      <c r="G50" s="238"/>
      <c r="H50" s="90"/>
    </row>
    <row r="51" spans="1:8" s="44" customFormat="1" ht="32">
      <c r="A51" s="92"/>
      <c r="B51" s="42" t="s">
        <v>124</v>
      </c>
      <c r="C51" s="43"/>
      <c r="D51" s="27">
        <f>SUM(D5+D9+D19+D22+D25+D29+D32+D45+D34+D35+D36+D39+D42+D48)</f>
        <v>0</v>
      </c>
      <c r="E51" s="35">
        <f>E5+E9+E19+E22+E25+E29+E32+E39+E42+E45+E34+E35+E36+E16+E48</f>
        <v>32</v>
      </c>
      <c r="F51" s="95"/>
      <c r="G51" s="242"/>
      <c r="H51" s="37"/>
    </row>
    <row r="52" spans="1:8" ht="18" customHeight="1">
      <c r="A52" s="90"/>
      <c r="B52" s="94"/>
      <c r="C52" s="94"/>
      <c r="D52" s="94"/>
      <c r="E52" s="94"/>
      <c r="F52" s="94"/>
    </row>
    <row r="53" spans="1:8">
      <c r="D53" s="24"/>
      <c r="F53" s="33"/>
    </row>
    <row r="54" spans="1:8">
      <c r="D54" s="24"/>
      <c r="F54" s="33"/>
    </row>
    <row r="55" spans="1:8">
      <c r="D55" s="24"/>
      <c r="F55" s="33"/>
    </row>
    <row r="56" spans="1:8">
      <c r="D56" s="24"/>
      <c r="F56" s="33"/>
    </row>
    <row r="57" spans="1:8">
      <c r="D57" s="24"/>
      <c r="F57" s="33"/>
    </row>
    <row r="58" spans="1:8">
      <c r="F58" s="33"/>
    </row>
    <row r="59" spans="1:8">
      <c r="F59" s="33"/>
    </row>
    <row r="60" spans="1:8">
      <c r="F60" s="33"/>
    </row>
    <row r="61" spans="1:8">
      <c r="F61" s="33"/>
    </row>
    <row r="62" spans="1:8">
      <c r="F62" s="33"/>
    </row>
    <row r="63" spans="1:8">
      <c r="F63" s="33"/>
    </row>
    <row r="64" spans="1:8">
      <c r="F64" s="33"/>
    </row>
    <row r="65" spans="6:6">
      <c r="F65" s="33"/>
    </row>
    <row r="66" spans="6:6">
      <c r="F66" s="33"/>
    </row>
    <row r="67" spans="6:6">
      <c r="F67" s="33"/>
    </row>
    <row r="68" spans="6:6">
      <c r="F68" s="33"/>
    </row>
    <row r="69" spans="6:6">
      <c r="F69" s="33"/>
    </row>
    <row r="70" spans="6:6">
      <c r="F70" s="33"/>
    </row>
    <row r="71" spans="6:6">
      <c r="F71" s="33"/>
    </row>
  </sheetData>
  <mergeCells count="27">
    <mergeCell ref="I19:J19"/>
    <mergeCell ref="I20:J20"/>
    <mergeCell ref="E39:E40"/>
    <mergeCell ref="D39:D40"/>
    <mergeCell ref="E42:E43"/>
    <mergeCell ref="D42:D43"/>
    <mergeCell ref="D48:D49"/>
    <mergeCell ref="E48:E49"/>
    <mergeCell ref="D45:D46"/>
    <mergeCell ref="E45:E46"/>
    <mergeCell ref="D25:D27"/>
    <mergeCell ref="E25:E27"/>
    <mergeCell ref="D29:D30"/>
    <mergeCell ref="E29:E30"/>
    <mergeCell ref="D32:D33"/>
    <mergeCell ref="E32:E33"/>
    <mergeCell ref="B4:E4"/>
    <mergeCell ref="D5:D7"/>
    <mergeCell ref="E5:E7"/>
    <mergeCell ref="D22:D23"/>
    <mergeCell ref="E22:E23"/>
    <mergeCell ref="D19:D20"/>
    <mergeCell ref="E19:E20"/>
    <mergeCell ref="D9:D13"/>
    <mergeCell ref="E9:E13"/>
    <mergeCell ref="D16:D17"/>
    <mergeCell ref="E16:E17"/>
  </mergeCells>
  <phoneticPr fontId="1" type="noConversion"/>
  <hyperlinks>
    <hyperlink ref="I2" location="Summary!A1" display="Click here to return to Summary page"/>
  </hyperlinks>
  <pageMargins left="0.75" right="0.75" top="1" bottom="1" header="0.5" footer="0.5"/>
  <pageSetup orientation="portrait" horizontalDpi="4294967292" verticalDpi="4294967292"/>
  <drawing r:id="rId1"/>
  <legacyDrawing r:id="rId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54"/>
  <sheetViews>
    <sheetView zoomScale="70" workbookViewId="0">
      <selection activeCell="B16" sqref="B16"/>
    </sheetView>
  </sheetViews>
  <sheetFormatPr baseColWidth="10" defaultColWidth="8.6640625" defaultRowHeight="12" x14ac:dyDescent="0"/>
  <cols>
    <col min="1" max="1" width="2.33203125" style="12" customWidth="1"/>
    <col min="2" max="2" width="34.83203125" style="12" customWidth="1"/>
    <col min="3" max="3" width="19" style="12" customWidth="1"/>
    <col min="4" max="4" width="22.1640625" style="12" customWidth="1"/>
    <col min="5" max="5" width="20.6640625" style="12" customWidth="1"/>
    <col min="6" max="6" width="2.33203125" style="12" customWidth="1"/>
    <col min="7" max="7" width="31.6640625" style="239" customWidth="1"/>
    <col min="8" max="8" width="2.83203125" style="12" customWidth="1"/>
    <col min="9" max="9" width="83.6640625" style="12" customWidth="1"/>
    <col min="10" max="16384" width="8.6640625" style="12"/>
  </cols>
  <sheetData>
    <row r="1" spans="1:10">
      <c r="A1" s="94"/>
      <c r="B1" s="94"/>
      <c r="C1" s="94"/>
      <c r="D1" s="102"/>
      <c r="E1" s="94"/>
      <c r="F1" s="94"/>
      <c r="G1" s="96"/>
      <c r="H1" s="94"/>
    </row>
    <row r="2" spans="1:10" ht="27" customHeight="1">
      <c r="A2" s="143"/>
      <c r="B2" s="127" t="s">
        <v>68</v>
      </c>
      <c r="C2" s="129"/>
      <c r="D2" s="144"/>
      <c r="E2" s="129"/>
      <c r="F2" s="94"/>
      <c r="G2" s="185" t="s">
        <v>83</v>
      </c>
      <c r="H2" s="94"/>
      <c r="I2" s="65" t="s">
        <v>98</v>
      </c>
    </row>
    <row r="3" spans="1:10" ht="9.75" customHeight="1">
      <c r="A3" s="94"/>
      <c r="B3" s="104"/>
      <c r="C3" s="96"/>
      <c r="D3" s="105"/>
      <c r="E3" s="96"/>
      <c r="F3" s="94"/>
      <c r="G3" s="243"/>
      <c r="H3" s="94"/>
    </row>
    <row r="4" spans="1:10" ht="20.25" customHeight="1">
      <c r="A4" s="94"/>
      <c r="B4" s="288" t="s">
        <v>92</v>
      </c>
      <c r="C4" s="288"/>
      <c r="D4" s="288"/>
      <c r="E4" s="288"/>
      <c r="F4" s="94"/>
      <c r="G4" s="244"/>
      <c r="H4" s="94"/>
    </row>
    <row r="5" spans="1:10" s="50" customFormat="1" ht="35.25" customHeight="1">
      <c r="A5" s="103"/>
      <c r="B5" s="13" t="s">
        <v>69</v>
      </c>
      <c r="C5" s="13" t="s">
        <v>72</v>
      </c>
      <c r="D5" s="26" t="s">
        <v>80</v>
      </c>
      <c r="E5" s="13" t="s">
        <v>33</v>
      </c>
      <c r="F5" s="103"/>
      <c r="G5" s="39"/>
      <c r="H5" s="103"/>
    </row>
    <row r="6" spans="1:10" ht="15" customHeight="1">
      <c r="A6" s="94"/>
      <c r="B6" s="145"/>
      <c r="C6" s="145"/>
      <c r="D6" s="146"/>
      <c r="E6" s="145"/>
      <c r="F6" s="94"/>
      <c r="G6" s="244"/>
      <c r="H6" s="94"/>
    </row>
    <row r="7" spans="1:10" ht="82" customHeight="1">
      <c r="A7" s="94"/>
      <c r="B7" s="30" t="s">
        <v>4</v>
      </c>
      <c r="C7" s="14" t="s">
        <v>67</v>
      </c>
      <c r="D7" s="289">
        <f>IF(C8="Yes", "2", 0)</f>
        <v>0</v>
      </c>
      <c r="E7" s="291">
        <v>2</v>
      </c>
      <c r="F7" s="94"/>
      <c r="G7" s="244"/>
      <c r="H7" s="94"/>
    </row>
    <row r="8" spans="1:10" ht="45" customHeight="1">
      <c r="A8" s="94"/>
      <c r="B8" s="30" t="s">
        <v>5</v>
      </c>
      <c r="C8" s="8" t="s">
        <v>119</v>
      </c>
      <c r="D8" s="289"/>
      <c r="E8" s="291"/>
      <c r="F8" s="94"/>
      <c r="G8" s="244"/>
      <c r="H8" s="94"/>
      <c r="I8" s="76"/>
    </row>
    <row r="9" spans="1:10" ht="52.75" customHeight="1">
      <c r="A9" s="94"/>
      <c r="B9" s="30" t="s">
        <v>117</v>
      </c>
      <c r="C9" s="8" t="s">
        <v>119</v>
      </c>
      <c r="D9" s="67">
        <f>IF(C9="Yes","3",0)</f>
        <v>0</v>
      </c>
      <c r="E9" s="40">
        <v>3</v>
      </c>
      <c r="F9" s="94"/>
      <c r="G9" s="244"/>
      <c r="H9" s="94"/>
    </row>
    <row r="10" spans="1:10" ht="52.75" customHeight="1">
      <c r="A10" s="94"/>
      <c r="B10" s="30" t="s">
        <v>118</v>
      </c>
      <c r="C10" s="8" t="s">
        <v>119</v>
      </c>
      <c r="D10" s="67">
        <f>IF(C10="Yes","4",0)</f>
        <v>0</v>
      </c>
      <c r="E10" s="40">
        <v>4</v>
      </c>
      <c r="F10" s="94"/>
      <c r="G10" s="244"/>
      <c r="H10" s="94"/>
    </row>
    <row r="11" spans="1:10" ht="15" customHeight="1">
      <c r="A11" s="94"/>
      <c r="B11" s="69"/>
      <c r="C11" s="147"/>
      <c r="D11" s="148"/>
      <c r="E11" s="135"/>
      <c r="F11" s="94"/>
      <c r="G11" s="244"/>
      <c r="H11" s="94"/>
    </row>
    <row r="12" spans="1:10" ht="76" customHeight="1">
      <c r="A12" s="94"/>
      <c r="B12" s="75" t="s">
        <v>116</v>
      </c>
      <c r="C12" s="14" t="s">
        <v>48</v>
      </c>
      <c r="D12" s="289">
        <f>IF(C13="Yes", "2", 0)</f>
        <v>0</v>
      </c>
      <c r="E12" s="290">
        <f>IF(C13="n/a", "N/A", 2)</f>
        <v>2</v>
      </c>
      <c r="F12" s="94"/>
      <c r="G12" s="240"/>
      <c r="H12" s="184"/>
      <c r="I12" s="287" t="s">
        <v>104</v>
      </c>
      <c r="J12" s="287"/>
    </row>
    <row r="13" spans="1:10" ht="54" customHeight="1">
      <c r="A13" s="94"/>
      <c r="B13" s="13"/>
      <c r="C13" s="8" t="s">
        <v>99</v>
      </c>
      <c r="D13" s="289"/>
      <c r="E13" s="290"/>
      <c r="F13" s="94"/>
      <c r="G13" s="240"/>
      <c r="H13" s="184"/>
      <c r="I13" s="287" t="s">
        <v>76</v>
      </c>
      <c r="J13" s="287"/>
    </row>
    <row r="14" spans="1:10" ht="15" customHeight="1">
      <c r="A14" s="94"/>
      <c r="B14" s="69"/>
      <c r="C14" s="147"/>
      <c r="D14" s="148"/>
      <c r="E14" s="135"/>
      <c r="F14" s="94"/>
      <c r="H14" s="90"/>
    </row>
    <row r="15" spans="1:10" ht="105" customHeight="1">
      <c r="A15" s="94"/>
      <c r="B15" s="13" t="s">
        <v>6</v>
      </c>
      <c r="C15" s="14" t="s">
        <v>97</v>
      </c>
      <c r="D15" s="289">
        <f>IF(C16="Yes", "2", 0)</f>
        <v>0</v>
      </c>
      <c r="E15" s="294" t="str">
        <f>(IF(OR(C16="yes",C16="no"),"2","0"))</f>
        <v>2</v>
      </c>
      <c r="F15" s="94"/>
      <c r="G15" s="246"/>
      <c r="H15" s="90"/>
      <c r="I15" s="31"/>
    </row>
    <row r="16" spans="1:10" ht="63" customHeight="1">
      <c r="A16" s="94"/>
      <c r="B16" s="13" t="s">
        <v>142</v>
      </c>
      <c r="C16" s="8" t="s">
        <v>119</v>
      </c>
      <c r="D16" s="289"/>
      <c r="E16" s="293"/>
      <c r="F16" s="94"/>
      <c r="G16" s="244"/>
      <c r="H16" s="94"/>
    </row>
    <row r="17" spans="1:8" ht="20.25" customHeight="1">
      <c r="A17" s="94"/>
      <c r="B17" s="69"/>
      <c r="C17" s="147"/>
      <c r="D17" s="148"/>
      <c r="E17" s="135"/>
      <c r="F17" s="94"/>
      <c r="G17" s="244"/>
      <c r="H17" s="94"/>
    </row>
    <row r="18" spans="1:8" ht="103" customHeight="1">
      <c r="A18" s="94"/>
      <c r="B18" s="13" t="s">
        <v>38</v>
      </c>
      <c r="C18" s="14" t="s">
        <v>55</v>
      </c>
      <c r="D18" s="289">
        <f>IF(C19="Yes", "2", 0)</f>
        <v>0</v>
      </c>
      <c r="E18" s="291">
        <v>2</v>
      </c>
      <c r="F18" s="94"/>
      <c r="G18" s="244"/>
      <c r="H18" s="94"/>
    </row>
    <row r="19" spans="1:8" ht="50.25" customHeight="1">
      <c r="A19" s="94"/>
      <c r="B19" s="13"/>
      <c r="C19" s="8" t="s">
        <v>99</v>
      </c>
      <c r="D19" s="289"/>
      <c r="E19" s="291"/>
      <c r="F19" s="94"/>
      <c r="G19" s="244"/>
      <c r="H19" s="94"/>
    </row>
    <row r="20" spans="1:8" ht="19" customHeight="1">
      <c r="A20" s="94"/>
      <c r="B20" s="69"/>
      <c r="C20" s="147"/>
      <c r="D20" s="148"/>
      <c r="E20" s="135"/>
      <c r="F20" s="94"/>
      <c r="G20" s="244"/>
      <c r="H20" s="94"/>
    </row>
    <row r="21" spans="1:8" ht="81" customHeight="1">
      <c r="A21" s="94"/>
      <c r="B21" s="13" t="s">
        <v>22</v>
      </c>
      <c r="C21" s="14" t="s">
        <v>55</v>
      </c>
      <c r="D21" s="289">
        <f>IF(C22="Yes", "2", 0)</f>
        <v>0</v>
      </c>
      <c r="E21" s="291">
        <v>2</v>
      </c>
      <c r="F21" s="94"/>
      <c r="G21" s="244"/>
      <c r="H21" s="94"/>
    </row>
    <row r="22" spans="1:8" ht="80" customHeight="1">
      <c r="A22" s="94"/>
      <c r="B22" s="13"/>
      <c r="C22" s="8" t="s">
        <v>119</v>
      </c>
      <c r="D22" s="289"/>
      <c r="E22" s="291"/>
      <c r="F22" s="94"/>
      <c r="G22" s="244"/>
      <c r="H22" s="94"/>
    </row>
    <row r="23" spans="1:8" ht="20" customHeight="1">
      <c r="A23" s="94"/>
      <c r="B23" s="69"/>
      <c r="C23" s="147"/>
      <c r="D23" s="148"/>
      <c r="E23" s="135"/>
      <c r="F23" s="94"/>
      <c r="G23" s="244"/>
      <c r="H23" s="94"/>
    </row>
    <row r="24" spans="1:8" ht="79" customHeight="1">
      <c r="A24" s="94"/>
      <c r="B24" s="30" t="s">
        <v>16</v>
      </c>
      <c r="C24" s="14" t="s">
        <v>55</v>
      </c>
      <c r="D24" s="289">
        <f>IF(C25="Yes", "2", 0)</f>
        <v>0</v>
      </c>
      <c r="E24" s="291">
        <v>2</v>
      </c>
      <c r="F24" s="94"/>
      <c r="G24" s="244"/>
      <c r="H24" s="94"/>
    </row>
    <row r="25" spans="1:8" ht="61" customHeight="1">
      <c r="A25" s="94"/>
      <c r="B25" s="45"/>
      <c r="C25" s="8" t="s">
        <v>99</v>
      </c>
      <c r="D25" s="289"/>
      <c r="E25" s="291"/>
      <c r="F25" s="94"/>
      <c r="G25" s="244"/>
      <c r="H25" s="94"/>
    </row>
    <row r="26" spans="1:8" ht="22" customHeight="1">
      <c r="A26" s="94"/>
      <c r="B26" s="96"/>
      <c r="C26" s="111"/>
      <c r="D26" s="112"/>
      <c r="E26" s="98"/>
      <c r="F26" s="94"/>
      <c r="G26" s="243"/>
      <c r="H26" s="94"/>
    </row>
    <row r="27" spans="1:8" ht="71" customHeight="1">
      <c r="A27" s="94"/>
      <c r="B27" s="20" t="s">
        <v>105</v>
      </c>
      <c r="C27" s="32"/>
      <c r="D27" s="27">
        <f>SUM(D7+D9+D10+D12+D15+D18+D21+D24)</f>
        <v>0</v>
      </c>
      <c r="E27" s="46">
        <f>E10+E12+E15+E18+E21+E24</f>
        <v>14</v>
      </c>
      <c r="F27" s="94"/>
      <c r="G27" s="244"/>
      <c r="H27" s="25"/>
    </row>
    <row r="28" spans="1:8" ht="21" customHeight="1">
      <c r="A28" s="94"/>
      <c r="B28" s="94"/>
      <c r="C28" s="94"/>
      <c r="D28" s="102"/>
      <c r="E28" s="94"/>
      <c r="F28" s="94"/>
      <c r="G28" s="244"/>
      <c r="H28" s="25"/>
    </row>
    <row r="29" spans="1:8" ht="52.75" customHeight="1">
      <c r="A29" s="33"/>
      <c r="B29" s="25"/>
      <c r="C29" s="25"/>
      <c r="D29" s="28"/>
      <c r="E29" s="25"/>
      <c r="F29" s="33"/>
      <c r="G29" s="244"/>
      <c r="H29" s="25"/>
    </row>
    <row r="30" spans="1:8" ht="15" customHeight="1">
      <c r="A30" s="33"/>
      <c r="B30" s="25"/>
      <c r="C30" s="25"/>
      <c r="D30" s="28"/>
      <c r="E30" s="25"/>
      <c r="F30" s="33"/>
      <c r="G30" s="244"/>
      <c r="H30" s="25"/>
    </row>
    <row r="31" spans="1:8" ht="50.25" customHeight="1">
      <c r="A31" s="33"/>
      <c r="B31" s="25"/>
      <c r="C31" s="25"/>
      <c r="D31" s="28"/>
      <c r="E31" s="25"/>
      <c r="F31" s="33"/>
      <c r="G31" s="245"/>
      <c r="H31" s="51"/>
    </row>
    <row r="32" spans="1:8">
      <c r="A32" s="33"/>
      <c r="B32" s="25"/>
      <c r="C32" s="25"/>
      <c r="D32" s="28"/>
      <c r="E32" s="25"/>
      <c r="F32" s="33"/>
      <c r="G32" s="244"/>
      <c r="H32" s="25"/>
    </row>
    <row r="33" spans="1:8">
      <c r="A33" s="25"/>
      <c r="B33" s="25"/>
      <c r="C33" s="25"/>
      <c r="D33" s="28"/>
      <c r="E33" s="25"/>
      <c r="F33" s="25"/>
      <c r="G33" s="244"/>
      <c r="H33" s="25"/>
    </row>
    <row r="34" spans="1:8">
      <c r="A34" s="25"/>
      <c r="B34" s="25"/>
      <c r="C34" s="25"/>
      <c r="D34" s="28"/>
      <c r="E34" s="25"/>
      <c r="F34" s="25"/>
      <c r="G34" s="244"/>
      <c r="H34" s="25"/>
    </row>
    <row r="35" spans="1:8">
      <c r="A35" s="25"/>
      <c r="B35" s="25"/>
      <c r="C35" s="25"/>
      <c r="D35" s="28"/>
      <c r="E35" s="25"/>
      <c r="F35" s="25"/>
      <c r="G35" s="244"/>
      <c r="H35" s="25"/>
    </row>
    <row r="36" spans="1:8">
      <c r="A36" s="25"/>
      <c r="B36" s="25"/>
      <c r="C36" s="25"/>
      <c r="D36" s="28"/>
      <c r="E36" s="25"/>
      <c r="F36" s="25"/>
      <c r="G36" s="244"/>
      <c r="H36" s="25"/>
    </row>
    <row r="37" spans="1:8">
      <c r="A37" s="25"/>
      <c r="B37" s="25"/>
      <c r="C37" s="25"/>
      <c r="D37" s="28"/>
      <c r="E37" s="25"/>
      <c r="F37" s="25"/>
      <c r="G37" s="244"/>
      <c r="H37" s="25"/>
    </row>
    <row r="38" spans="1:8">
      <c r="A38" s="25"/>
      <c r="B38" s="25"/>
      <c r="C38" s="25"/>
      <c r="D38" s="28"/>
      <c r="E38" s="25"/>
      <c r="F38" s="25"/>
      <c r="G38" s="244"/>
      <c r="H38" s="25"/>
    </row>
    <row r="39" spans="1:8">
      <c r="A39" s="25"/>
      <c r="B39" s="25"/>
      <c r="C39" s="25"/>
      <c r="D39" s="28"/>
      <c r="E39" s="25"/>
      <c r="F39" s="25"/>
      <c r="G39" s="244"/>
      <c r="H39" s="25"/>
    </row>
    <row r="40" spans="1:8">
      <c r="A40" s="25"/>
      <c r="B40" s="25"/>
      <c r="C40" s="25"/>
      <c r="D40" s="28"/>
      <c r="E40" s="25"/>
      <c r="F40" s="25"/>
      <c r="G40" s="244"/>
      <c r="H40" s="25"/>
    </row>
    <row r="41" spans="1:8">
      <c r="A41" s="25"/>
      <c r="B41" s="25"/>
      <c r="C41" s="25"/>
      <c r="D41" s="28"/>
      <c r="E41" s="25"/>
      <c r="F41" s="25"/>
      <c r="G41" s="244"/>
      <c r="H41" s="25"/>
    </row>
    <row r="42" spans="1:8">
      <c r="A42" s="25"/>
      <c r="B42" s="25"/>
      <c r="C42" s="25"/>
      <c r="D42" s="28"/>
      <c r="E42" s="25"/>
      <c r="F42" s="25"/>
      <c r="G42" s="244"/>
      <c r="H42" s="25"/>
    </row>
    <row r="43" spans="1:8">
      <c r="A43" s="25"/>
      <c r="B43" s="25"/>
      <c r="C43" s="25"/>
      <c r="D43" s="28"/>
      <c r="E43" s="25"/>
      <c r="F43" s="25"/>
      <c r="G43" s="244"/>
      <c r="H43" s="25"/>
    </row>
    <row r="44" spans="1:8">
      <c r="A44" s="25"/>
      <c r="B44" s="25"/>
      <c r="C44" s="25"/>
      <c r="D44" s="28"/>
      <c r="E44" s="25"/>
      <c r="F44" s="25"/>
      <c r="G44" s="244"/>
      <c r="H44" s="25"/>
    </row>
    <row r="45" spans="1:8">
      <c r="A45" s="25"/>
      <c r="B45" s="25"/>
      <c r="C45" s="25"/>
      <c r="D45" s="28"/>
      <c r="E45" s="25"/>
      <c r="F45" s="25"/>
      <c r="G45" s="244"/>
      <c r="H45" s="25"/>
    </row>
    <row r="46" spans="1:8">
      <c r="A46" s="25"/>
      <c r="B46" s="25"/>
      <c r="C46" s="25"/>
      <c r="D46" s="28"/>
      <c r="E46" s="25"/>
      <c r="F46" s="25"/>
      <c r="G46" s="244"/>
      <c r="H46" s="25"/>
    </row>
    <row r="47" spans="1:8">
      <c r="A47" s="25"/>
      <c r="B47" s="25"/>
      <c r="C47" s="25"/>
      <c r="D47" s="28"/>
      <c r="E47" s="25"/>
      <c r="F47" s="25"/>
      <c r="G47" s="244"/>
      <c r="H47" s="25"/>
    </row>
    <row r="48" spans="1:8">
      <c r="A48" s="25"/>
      <c r="B48" s="25"/>
      <c r="C48" s="25"/>
      <c r="D48" s="28"/>
      <c r="E48" s="25"/>
      <c r="F48" s="25"/>
      <c r="G48" s="244"/>
      <c r="H48" s="25"/>
    </row>
    <row r="49" spans="1:8">
      <c r="A49" s="25"/>
      <c r="B49" s="25"/>
      <c r="C49" s="25"/>
      <c r="D49" s="28"/>
      <c r="E49" s="25"/>
      <c r="F49" s="25"/>
      <c r="G49" s="244"/>
      <c r="H49" s="25"/>
    </row>
    <row r="50" spans="1:8">
      <c r="A50" s="25"/>
      <c r="B50" s="25"/>
      <c r="C50" s="25"/>
      <c r="D50" s="28"/>
      <c r="E50" s="25"/>
      <c r="F50" s="25"/>
      <c r="G50" s="244"/>
      <c r="H50" s="25"/>
    </row>
    <row r="51" spans="1:8">
      <c r="A51" s="25"/>
      <c r="F51" s="25"/>
      <c r="G51" s="244"/>
      <c r="H51" s="25"/>
    </row>
    <row r="52" spans="1:8">
      <c r="A52" s="25"/>
      <c r="F52" s="25"/>
      <c r="G52" s="244"/>
      <c r="H52" s="25"/>
    </row>
    <row r="53" spans="1:8">
      <c r="A53" s="25"/>
      <c r="F53" s="25"/>
      <c r="G53" s="244"/>
      <c r="H53" s="25"/>
    </row>
    <row r="54" spans="1:8">
      <c r="A54" s="25"/>
      <c r="F54" s="25"/>
      <c r="G54" s="244"/>
      <c r="H54" s="25"/>
    </row>
  </sheetData>
  <mergeCells count="15">
    <mergeCell ref="D21:D22"/>
    <mergeCell ref="D24:D25"/>
    <mergeCell ref="D18:D19"/>
    <mergeCell ref="I12:J12"/>
    <mergeCell ref="I13:J13"/>
    <mergeCell ref="D12:D13"/>
    <mergeCell ref="E18:E19"/>
    <mergeCell ref="E21:E22"/>
    <mergeCell ref="E24:E25"/>
    <mergeCell ref="B4:E4"/>
    <mergeCell ref="E7:E8"/>
    <mergeCell ref="E12:E13"/>
    <mergeCell ref="E15:E16"/>
    <mergeCell ref="D7:D8"/>
    <mergeCell ref="D15:D16"/>
  </mergeCells>
  <phoneticPr fontId="24" type="noConversion"/>
  <hyperlinks>
    <hyperlink ref="I2" location="Summary!A1" display="Click here to return to Summary page"/>
  </hyperlinks>
  <pageMargins left="0.75" right="0.75" top="1" bottom="1" header="0.5" footer="0.5"/>
  <pageSetup orientation="portrait" horizontalDpi="4294967292" verticalDpi="4294967292"/>
  <legacyDrawing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ublished="0" enableFormatConditionsCalculation="0"/>
  <dimension ref="A1:J91"/>
  <sheetViews>
    <sheetView topLeftCell="B23" zoomScale="70" workbookViewId="0">
      <selection activeCell="B23" sqref="B23:B24"/>
    </sheetView>
  </sheetViews>
  <sheetFormatPr baseColWidth="10" defaultColWidth="8.6640625" defaultRowHeight="12" x14ac:dyDescent="0"/>
  <cols>
    <col min="1" max="1" width="4" style="12" customWidth="1"/>
    <col min="2" max="2" width="40.6640625" style="12" customWidth="1"/>
    <col min="3" max="3" width="23.1640625" style="12" customWidth="1"/>
    <col min="4" max="5" width="20.6640625" style="12" customWidth="1"/>
    <col min="6" max="6" width="2.6640625" style="12" customWidth="1"/>
    <col min="7" max="7" width="26.33203125" style="239" customWidth="1"/>
    <col min="8" max="8" width="4.1640625" style="12" customWidth="1"/>
    <col min="9" max="9" width="78.5" style="12" customWidth="1"/>
    <col min="10" max="16384" width="8.6640625" style="12"/>
  </cols>
  <sheetData>
    <row r="1" spans="1:10" ht="15.75" customHeight="1">
      <c r="A1" s="94"/>
      <c r="B1" s="94"/>
      <c r="C1" s="94"/>
      <c r="D1" s="94"/>
      <c r="E1" s="94"/>
      <c r="F1" s="94"/>
      <c r="G1" s="96"/>
      <c r="H1" s="94"/>
    </row>
    <row r="2" spans="1:10" ht="31" customHeight="1">
      <c r="A2" s="143"/>
      <c r="B2" s="151" t="s">
        <v>23</v>
      </c>
      <c r="C2" s="129"/>
      <c r="D2" s="129"/>
      <c r="E2" s="129"/>
      <c r="F2" s="94"/>
      <c r="G2" s="185" t="s">
        <v>82</v>
      </c>
      <c r="H2" s="94"/>
      <c r="I2" s="65" t="s">
        <v>98</v>
      </c>
    </row>
    <row r="3" spans="1:10" ht="9.75" customHeight="1">
      <c r="A3" s="94"/>
      <c r="B3" s="104"/>
      <c r="C3" s="96"/>
      <c r="D3" s="96"/>
      <c r="E3" s="96"/>
      <c r="F3" s="94"/>
      <c r="G3" s="243"/>
      <c r="H3" s="94"/>
    </row>
    <row r="4" spans="1:10" ht="20.25" customHeight="1">
      <c r="A4" s="94"/>
      <c r="B4" s="299" t="s">
        <v>91</v>
      </c>
      <c r="C4" s="299"/>
      <c r="D4" s="299"/>
      <c r="E4" s="299"/>
      <c r="F4" s="94"/>
      <c r="G4" s="244"/>
      <c r="H4" s="94"/>
    </row>
    <row r="5" spans="1:10" ht="35.25" customHeight="1">
      <c r="A5" s="94"/>
      <c r="B5" s="13" t="s">
        <v>69</v>
      </c>
      <c r="C5" s="13" t="s">
        <v>72</v>
      </c>
      <c r="D5" s="13" t="s">
        <v>34</v>
      </c>
      <c r="E5" s="13" t="s">
        <v>33</v>
      </c>
      <c r="F5" s="94"/>
      <c r="G5" s="244"/>
      <c r="H5" s="94"/>
    </row>
    <row r="6" spans="1:10" ht="18" customHeight="1">
      <c r="A6" s="94"/>
      <c r="B6" s="69"/>
      <c r="C6" s="69"/>
      <c r="D6" s="69"/>
      <c r="E6" s="69"/>
      <c r="F6" s="94"/>
      <c r="G6" s="244"/>
      <c r="H6" s="94"/>
    </row>
    <row r="7" spans="1:10" ht="76" customHeight="1">
      <c r="A7" s="94"/>
      <c r="B7" s="13" t="s">
        <v>7</v>
      </c>
      <c r="C7" s="14" t="s">
        <v>49</v>
      </c>
      <c r="D7" s="297">
        <f>IF(C8="Yes", "3", 0)</f>
        <v>0</v>
      </c>
      <c r="E7" s="291">
        <v>3</v>
      </c>
      <c r="F7" s="94"/>
      <c r="G7" s="240"/>
      <c r="H7" s="184"/>
      <c r="I7" s="287" t="s">
        <v>104</v>
      </c>
      <c r="J7" s="287"/>
    </row>
    <row r="8" spans="1:10" ht="45" customHeight="1">
      <c r="A8" s="94"/>
      <c r="B8" s="41"/>
      <c r="C8" s="8" t="s">
        <v>99</v>
      </c>
      <c r="D8" s="297"/>
      <c r="E8" s="291"/>
      <c r="F8" s="94"/>
      <c r="G8" s="240"/>
      <c r="H8" s="184"/>
      <c r="I8" s="287" t="s">
        <v>76</v>
      </c>
      <c r="J8" s="287"/>
    </row>
    <row r="9" spans="1:10" ht="15.75" customHeight="1">
      <c r="A9" s="94"/>
      <c r="B9" s="69"/>
      <c r="C9" s="133"/>
      <c r="D9" s="134"/>
      <c r="E9" s="135"/>
      <c r="F9" s="94"/>
      <c r="G9" s="244"/>
      <c r="H9" s="94"/>
    </row>
    <row r="10" spans="1:10" ht="57" hidden="1" customHeight="1">
      <c r="A10" s="94"/>
      <c r="B10" s="19"/>
      <c r="C10" s="18"/>
      <c r="D10" s="16"/>
      <c r="E10" s="17"/>
      <c r="F10" s="94"/>
      <c r="G10" s="244"/>
      <c r="H10" s="94"/>
    </row>
    <row r="11" spans="1:10" ht="66.75" customHeight="1">
      <c r="A11" s="94"/>
      <c r="B11" s="13" t="s">
        <v>25</v>
      </c>
      <c r="C11" s="14" t="s">
        <v>49</v>
      </c>
      <c r="D11" s="297">
        <f>IF(C12="Yes", "3", 0)</f>
        <v>0</v>
      </c>
      <c r="E11" s="302">
        <v>3</v>
      </c>
      <c r="F11" s="94"/>
      <c r="H11" s="90"/>
    </row>
    <row r="12" spans="1:10" ht="51" customHeight="1">
      <c r="A12" s="94"/>
      <c r="B12" s="13"/>
      <c r="C12" s="8" t="s">
        <v>99</v>
      </c>
      <c r="D12" s="297"/>
      <c r="E12" s="302"/>
      <c r="F12" s="94"/>
      <c r="H12" s="90"/>
    </row>
    <row r="13" spans="1:10" ht="15" customHeight="1">
      <c r="A13" s="94"/>
      <c r="B13" s="145"/>
      <c r="C13" s="152"/>
      <c r="D13" s="140"/>
      <c r="E13" s="135"/>
      <c r="F13" s="94"/>
      <c r="H13" s="90"/>
    </row>
    <row r="14" spans="1:10" ht="51" customHeight="1">
      <c r="A14" s="94"/>
      <c r="B14" s="13" t="s">
        <v>151</v>
      </c>
      <c r="C14" s="29" t="s">
        <v>73</v>
      </c>
      <c r="D14" s="297">
        <f>IF(C15="Yes", "2", 0)</f>
        <v>0</v>
      </c>
      <c r="E14" s="291">
        <v>2</v>
      </c>
      <c r="F14" s="94"/>
      <c r="H14" s="90"/>
    </row>
    <row r="15" spans="1:10" ht="51" customHeight="1">
      <c r="A15" s="94"/>
      <c r="B15" s="41"/>
      <c r="C15" s="8" t="s">
        <v>99</v>
      </c>
      <c r="D15" s="297"/>
      <c r="E15" s="291"/>
      <c r="F15" s="94"/>
      <c r="H15" s="90"/>
    </row>
    <row r="16" spans="1:10" ht="18.75" customHeight="1">
      <c r="A16" s="94"/>
      <c r="B16" s="145"/>
      <c r="C16" s="152"/>
      <c r="D16" s="140"/>
      <c r="E16" s="135"/>
      <c r="F16" s="94"/>
      <c r="G16" s="244"/>
      <c r="H16" s="94"/>
    </row>
    <row r="17" spans="1:8" ht="74" customHeight="1">
      <c r="A17" s="94"/>
      <c r="B17" s="13" t="s">
        <v>152</v>
      </c>
      <c r="C17" s="29" t="s">
        <v>73</v>
      </c>
      <c r="D17" s="297">
        <f>IF(C18="Yes", "2", 0)</f>
        <v>0</v>
      </c>
      <c r="E17" s="291">
        <v>2</v>
      </c>
      <c r="F17" s="94"/>
      <c r="G17" s="244"/>
      <c r="H17" s="94"/>
    </row>
    <row r="18" spans="1:8" ht="48" customHeight="1">
      <c r="A18" s="94"/>
      <c r="B18" s="41"/>
      <c r="C18" s="8" t="s">
        <v>99</v>
      </c>
      <c r="D18" s="297"/>
      <c r="E18" s="291"/>
      <c r="F18" s="94"/>
      <c r="G18" s="244"/>
      <c r="H18" s="94"/>
    </row>
    <row r="19" spans="1:8" ht="16.75" customHeight="1">
      <c r="A19" s="94"/>
      <c r="B19" s="145"/>
      <c r="C19" s="152"/>
      <c r="D19" s="140"/>
      <c r="E19" s="135"/>
      <c r="F19" s="94"/>
      <c r="G19" s="244"/>
      <c r="H19" s="94"/>
    </row>
    <row r="20" spans="1:8" ht="78" customHeight="1">
      <c r="A20" s="94"/>
      <c r="B20" s="301" t="s">
        <v>153</v>
      </c>
      <c r="C20" s="29" t="s">
        <v>73</v>
      </c>
      <c r="D20" s="297">
        <f>IF(C21="Yes", "2", 0)</f>
        <v>0</v>
      </c>
      <c r="E20" s="291">
        <v>2</v>
      </c>
      <c r="F20" s="94"/>
      <c r="G20" s="244"/>
      <c r="H20" s="94"/>
    </row>
    <row r="21" spans="1:8" ht="48.75" customHeight="1">
      <c r="A21" s="94"/>
      <c r="B21" s="301"/>
      <c r="C21" s="8" t="s">
        <v>99</v>
      </c>
      <c r="D21" s="297"/>
      <c r="E21" s="291"/>
      <c r="F21" s="94"/>
      <c r="G21" s="244"/>
      <c r="H21" s="94"/>
    </row>
    <row r="22" spans="1:8" ht="15" customHeight="1">
      <c r="A22" s="94"/>
      <c r="B22" s="69"/>
      <c r="C22" s="147"/>
      <c r="D22" s="148"/>
      <c r="E22" s="135"/>
      <c r="F22" s="106"/>
      <c r="G22" s="244"/>
      <c r="H22" s="94"/>
    </row>
    <row r="23" spans="1:8" ht="87" customHeight="1">
      <c r="A23" s="94"/>
      <c r="B23" s="300" t="s">
        <v>154</v>
      </c>
      <c r="C23" s="14" t="s">
        <v>55</v>
      </c>
      <c r="D23" s="297" t="str">
        <f>IF(C24="Yes", "0", 2)</f>
        <v>0</v>
      </c>
      <c r="E23" s="291">
        <v>2</v>
      </c>
      <c r="F23" s="106"/>
      <c r="G23" s="244"/>
      <c r="H23" s="94"/>
    </row>
    <row r="24" spans="1:8" ht="60" customHeight="1">
      <c r="A24" s="94"/>
      <c r="B24" s="300"/>
      <c r="C24" s="8" t="s">
        <v>102</v>
      </c>
      <c r="D24" s="297"/>
      <c r="E24" s="291"/>
      <c r="F24" s="106"/>
      <c r="G24" s="244"/>
      <c r="H24" s="94"/>
    </row>
    <row r="25" spans="1:8" ht="18" customHeight="1">
      <c r="A25" s="94"/>
      <c r="B25" s="69"/>
      <c r="C25" s="137"/>
      <c r="D25" s="140"/>
      <c r="E25" s="135"/>
      <c r="F25" s="106"/>
      <c r="G25" s="244"/>
      <c r="H25" s="94"/>
    </row>
    <row r="26" spans="1:8" ht="79" customHeight="1">
      <c r="A26" s="94"/>
      <c r="B26" s="68" t="s">
        <v>155</v>
      </c>
      <c r="C26" s="14" t="s">
        <v>55</v>
      </c>
      <c r="D26" s="297">
        <f>IF(C27="Yes", "2", 0)</f>
        <v>0</v>
      </c>
      <c r="E26" s="291">
        <v>2</v>
      </c>
      <c r="F26" s="106"/>
      <c r="G26" s="244"/>
      <c r="H26" s="94"/>
    </row>
    <row r="27" spans="1:8" ht="70" customHeight="1">
      <c r="A27" s="94"/>
      <c r="B27" s="68"/>
      <c r="C27" s="8" t="s">
        <v>99</v>
      </c>
      <c r="D27" s="297"/>
      <c r="E27" s="291"/>
      <c r="F27" s="106"/>
      <c r="G27" s="244"/>
      <c r="H27" s="94"/>
    </row>
    <row r="28" spans="1:8" ht="23" customHeight="1">
      <c r="A28" s="94"/>
      <c r="B28" s="138"/>
      <c r="C28" s="137"/>
      <c r="D28" s="140"/>
      <c r="E28" s="135"/>
      <c r="F28" s="106"/>
      <c r="G28" s="244"/>
      <c r="H28" s="94"/>
    </row>
    <row r="29" spans="1:8" ht="70" customHeight="1">
      <c r="A29" s="94"/>
      <c r="B29" s="68" t="s">
        <v>156</v>
      </c>
      <c r="C29" s="14" t="s">
        <v>55</v>
      </c>
      <c r="D29" s="297">
        <f>IF(C30="Yes", "2", 0)</f>
        <v>0</v>
      </c>
      <c r="E29" s="291">
        <v>2</v>
      </c>
      <c r="F29" s="106"/>
      <c r="G29" s="244"/>
      <c r="H29" s="94"/>
    </row>
    <row r="30" spans="1:8" ht="70" customHeight="1">
      <c r="A30" s="94"/>
      <c r="B30" s="68"/>
      <c r="C30" s="8" t="s">
        <v>99</v>
      </c>
      <c r="D30" s="297"/>
      <c r="E30" s="291"/>
      <c r="F30" s="106"/>
      <c r="G30" s="244"/>
      <c r="H30" s="94"/>
    </row>
    <row r="31" spans="1:8" ht="18" customHeight="1">
      <c r="A31" s="94"/>
      <c r="B31" s="138"/>
      <c r="C31" s="137"/>
      <c r="D31" s="140"/>
      <c r="E31" s="135"/>
      <c r="F31" s="106"/>
      <c r="G31" s="244"/>
      <c r="H31" s="94"/>
    </row>
    <row r="32" spans="1:8" ht="76" customHeight="1">
      <c r="A32" s="94"/>
      <c r="B32" s="68" t="s">
        <v>157</v>
      </c>
      <c r="C32" s="14" t="s">
        <v>97</v>
      </c>
      <c r="D32" s="297">
        <f>IF(C33="Yes", "2", 0)</f>
        <v>0</v>
      </c>
      <c r="E32" s="294" t="str">
        <f>(IF(OR(C33="yes",C33="no"),"2","0"))</f>
        <v>2</v>
      </c>
      <c r="F32" s="106"/>
      <c r="G32" s="246"/>
      <c r="H32" s="94"/>
    </row>
    <row r="33" spans="1:8" ht="70" customHeight="1">
      <c r="A33" s="94"/>
      <c r="B33" s="68"/>
      <c r="C33" s="8" t="s">
        <v>99</v>
      </c>
      <c r="D33" s="297"/>
      <c r="E33" s="293"/>
      <c r="F33" s="106"/>
      <c r="G33" s="244"/>
      <c r="H33" s="94"/>
    </row>
    <row r="34" spans="1:8" ht="17" customHeight="1">
      <c r="A34" s="94"/>
      <c r="B34" s="138"/>
      <c r="C34" s="137"/>
      <c r="D34" s="140"/>
      <c r="E34" s="135"/>
      <c r="F34" s="106"/>
      <c r="G34" s="244"/>
      <c r="H34" s="94"/>
    </row>
    <row r="35" spans="1:8" ht="74" customHeight="1">
      <c r="A35" s="94"/>
      <c r="B35" s="68" t="s">
        <v>158</v>
      </c>
      <c r="C35" s="14" t="s">
        <v>127</v>
      </c>
      <c r="D35" s="297">
        <f>IF(C36="Yes", "2", 0)</f>
        <v>0</v>
      </c>
      <c r="E35" s="294">
        <v>1</v>
      </c>
      <c r="F35" s="106"/>
      <c r="G35" s="246"/>
      <c r="H35" s="94"/>
    </row>
    <row r="36" spans="1:8" ht="70" customHeight="1">
      <c r="A36" s="94"/>
      <c r="B36" s="68"/>
      <c r="C36" s="8" t="s">
        <v>99</v>
      </c>
      <c r="D36" s="297"/>
      <c r="E36" s="293"/>
      <c r="F36" s="106"/>
      <c r="G36" s="244"/>
      <c r="H36" s="94"/>
    </row>
    <row r="37" spans="1:8" ht="15" customHeight="1">
      <c r="A37" s="94"/>
      <c r="B37" s="96"/>
      <c r="C37" s="113"/>
      <c r="D37" s="114"/>
      <c r="E37" s="98"/>
      <c r="F37" s="94"/>
      <c r="G37" s="243"/>
      <c r="H37" s="94"/>
    </row>
    <row r="38" spans="1:8" s="44" customFormat="1" ht="51" customHeight="1">
      <c r="A38" s="95"/>
      <c r="B38" s="48" t="s">
        <v>77</v>
      </c>
      <c r="C38" s="43"/>
      <c r="D38" s="27">
        <f>SUM(D7+D11+D14+D17+D20+D23+D26+D29+D32+D35)</f>
        <v>0</v>
      </c>
      <c r="E38" s="23">
        <f>E7+E11+E14+E17+E20+E23+E26+E29+E32+E35</f>
        <v>21</v>
      </c>
      <c r="F38" s="95"/>
      <c r="G38" s="247"/>
      <c r="H38" s="49"/>
    </row>
    <row r="39" spans="1:8" ht="18" customHeight="1">
      <c r="A39" s="94"/>
      <c r="B39" s="94"/>
      <c r="C39" s="94"/>
      <c r="D39" s="94"/>
      <c r="E39" s="94"/>
      <c r="F39" s="94"/>
      <c r="G39" s="244"/>
      <c r="H39" s="25"/>
    </row>
    <row r="40" spans="1:8" ht="75" customHeight="1">
      <c r="A40" s="37"/>
      <c r="E40" s="25"/>
    </row>
    <row r="41" spans="1:8" ht="49.75" customHeight="1">
      <c r="E41" s="25"/>
    </row>
    <row r="42" spans="1:8" ht="64.75" customHeight="1">
      <c r="E42" s="25"/>
    </row>
    <row r="43" spans="1:8" ht="48.75" customHeight="1">
      <c r="A43" s="25"/>
      <c r="B43" s="25"/>
      <c r="C43" s="25"/>
      <c r="D43" s="25"/>
      <c r="E43" s="25"/>
    </row>
    <row r="44" spans="1:8" ht="21" customHeight="1">
      <c r="A44" s="25"/>
      <c r="B44" s="25"/>
      <c r="C44" s="25"/>
      <c r="D44" s="25"/>
      <c r="E44" s="25"/>
    </row>
    <row r="45" spans="1:8">
      <c r="A45" s="25"/>
      <c r="B45" s="25"/>
      <c r="C45" s="25"/>
      <c r="D45" s="25"/>
      <c r="E45" s="25"/>
    </row>
    <row r="46" spans="1:8" ht="54.75" customHeight="1">
      <c r="A46" s="25"/>
      <c r="B46" s="25"/>
      <c r="C46" s="25"/>
      <c r="D46" s="25"/>
      <c r="E46" s="25"/>
    </row>
    <row r="47" spans="1:8">
      <c r="A47" s="25"/>
      <c r="B47" s="25"/>
      <c r="C47" s="25"/>
      <c r="D47" s="25"/>
      <c r="E47" s="25"/>
      <c r="F47" s="25"/>
      <c r="G47" s="244"/>
      <c r="H47" s="25"/>
    </row>
    <row r="48" spans="1:8">
      <c r="A48" s="25"/>
      <c r="B48" s="25"/>
      <c r="C48" s="25"/>
      <c r="D48" s="25"/>
      <c r="E48" s="25"/>
      <c r="F48" s="25"/>
      <c r="G48" s="244"/>
      <c r="H48" s="25"/>
    </row>
    <row r="49" spans="1:8">
      <c r="A49" s="25"/>
      <c r="B49" s="25"/>
      <c r="C49" s="25"/>
      <c r="D49" s="25"/>
      <c r="E49" s="25"/>
      <c r="F49" s="25"/>
      <c r="G49" s="244"/>
      <c r="H49" s="25"/>
    </row>
    <row r="50" spans="1:8">
      <c r="A50" s="25"/>
      <c r="B50" s="25"/>
      <c r="C50" s="25"/>
      <c r="D50" s="25"/>
      <c r="E50" s="25"/>
      <c r="F50" s="25"/>
      <c r="G50" s="244"/>
      <c r="H50" s="25"/>
    </row>
    <row r="51" spans="1:8">
      <c r="A51" s="25"/>
      <c r="B51" s="25"/>
      <c r="C51" s="25"/>
      <c r="D51" s="25"/>
      <c r="E51" s="25"/>
      <c r="F51" s="25"/>
      <c r="G51" s="244"/>
      <c r="H51" s="25"/>
    </row>
    <row r="52" spans="1:8">
      <c r="A52" s="25"/>
      <c r="B52" s="25"/>
      <c r="C52" s="25"/>
      <c r="D52" s="25"/>
      <c r="E52" s="25"/>
      <c r="F52" s="25"/>
      <c r="G52" s="244"/>
      <c r="H52" s="25"/>
    </row>
    <row r="53" spans="1:8">
      <c r="A53" s="25"/>
      <c r="B53" s="25"/>
      <c r="C53" s="25"/>
      <c r="D53" s="25"/>
      <c r="E53" s="25"/>
      <c r="F53" s="25"/>
      <c r="G53" s="244"/>
      <c r="H53" s="25"/>
    </row>
    <row r="54" spans="1:8">
      <c r="A54" s="25"/>
      <c r="B54" s="25"/>
      <c r="C54" s="25"/>
      <c r="D54" s="25"/>
      <c r="E54" s="25"/>
      <c r="F54" s="25"/>
      <c r="G54" s="244"/>
      <c r="H54" s="25"/>
    </row>
    <row r="55" spans="1:8">
      <c r="A55" s="25"/>
      <c r="B55" s="25"/>
      <c r="C55" s="25"/>
      <c r="D55" s="25"/>
      <c r="E55" s="25"/>
      <c r="F55" s="25"/>
      <c r="G55" s="244"/>
      <c r="H55" s="25"/>
    </row>
    <row r="56" spans="1:8">
      <c r="A56" s="25"/>
      <c r="B56" s="25"/>
      <c r="C56" s="25"/>
      <c r="D56" s="25"/>
      <c r="E56" s="25"/>
      <c r="F56" s="25"/>
      <c r="G56" s="244"/>
      <c r="H56" s="25"/>
    </row>
    <row r="57" spans="1:8">
      <c r="A57" s="25"/>
      <c r="B57" s="25"/>
      <c r="C57" s="25"/>
      <c r="D57" s="25"/>
      <c r="E57" s="25"/>
      <c r="F57" s="25"/>
      <c r="G57" s="244"/>
      <c r="H57" s="25"/>
    </row>
    <row r="58" spans="1:8">
      <c r="A58" s="25"/>
      <c r="B58" s="25"/>
      <c r="C58" s="25"/>
      <c r="D58" s="25"/>
      <c r="E58" s="25"/>
      <c r="F58" s="25"/>
      <c r="G58" s="244"/>
      <c r="H58" s="25"/>
    </row>
    <row r="59" spans="1:8">
      <c r="A59" s="25"/>
      <c r="B59" s="25"/>
      <c r="C59" s="25"/>
      <c r="D59" s="25"/>
      <c r="E59" s="25"/>
      <c r="F59" s="25"/>
      <c r="G59" s="244"/>
      <c r="H59" s="25"/>
    </row>
    <row r="60" spans="1:8">
      <c r="A60" s="25"/>
      <c r="B60" s="25"/>
      <c r="C60" s="25"/>
      <c r="D60" s="25"/>
      <c r="E60" s="25"/>
      <c r="F60" s="25"/>
      <c r="G60" s="244"/>
      <c r="H60" s="25"/>
    </row>
    <row r="61" spans="1:8">
      <c r="A61" s="25"/>
      <c r="B61" s="25"/>
      <c r="C61" s="25"/>
      <c r="D61" s="25"/>
      <c r="E61" s="25"/>
      <c r="F61" s="25"/>
      <c r="G61" s="244"/>
      <c r="H61" s="25"/>
    </row>
    <row r="62" spans="1:8">
      <c r="A62" s="25"/>
      <c r="B62" s="25"/>
      <c r="C62" s="25"/>
      <c r="D62" s="25"/>
      <c r="E62" s="25"/>
      <c r="F62" s="25"/>
      <c r="G62" s="244"/>
      <c r="H62" s="25"/>
    </row>
    <row r="63" spans="1:8">
      <c r="A63" s="25"/>
      <c r="B63" s="25"/>
      <c r="C63" s="25"/>
      <c r="D63" s="25"/>
      <c r="E63" s="25"/>
      <c r="F63" s="25"/>
      <c r="G63" s="244"/>
      <c r="H63" s="25"/>
    </row>
    <row r="64" spans="1:8">
      <c r="A64" s="25"/>
      <c r="B64" s="25"/>
      <c r="C64" s="25"/>
      <c r="D64" s="25"/>
      <c r="E64" s="25"/>
      <c r="F64" s="25"/>
      <c r="G64" s="244"/>
      <c r="H64" s="25"/>
    </row>
    <row r="65" spans="1:8">
      <c r="A65" s="25"/>
      <c r="B65" s="25"/>
      <c r="C65" s="25"/>
      <c r="D65" s="25"/>
      <c r="E65" s="25"/>
      <c r="F65" s="25"/>
      <c r="G65" s="244"/>
      <c r="H65" s="25"/>
    </row>
    <row r="66" spans="1:8">
      <c r="A66" s="25"/>
      <c r="B66" s="25"/>
      <c r="C66" s="25"/>
      <c r="D66" s="25"/>
      <c r="E66" s="25"/>
      <c r="F66" s="25"/>
      <c r="G66" s="244"/>
      <c r="H66" s="25"/>
    </row>
    <row r="67" spans="1:8">
      <c r="A67" s="25"/>
      <c r="B67" s="25"/>
      <c r="C67" s="25"/>
      <c r="D67" s="25"/>
      <c r="E67" s="25"/>
      <c r="F67" s="25"/>
      <c r="G67" s="244"/>
      <c r="H67" s="25"/>
    </row>
    <row r="68" spans="1:8">
      <c r="A68" s="25"/>
      <c r="B68" s="25"/>
      <c r="C68" s="25"/>
      <c r="D68" s="25"/>
      <c r="E68" s="25"/>
      <c r="F68" s="25"/>
      <c r="G68" s="244"/>
      <c r="H68" s="25"/>
    </row>
    <row r="69" spans="1:8">
      <c r="A69" s="25"/>
      <c r="B69" s="25"/>
      <c r="C69" s="25"/>
      <c r="D69" s="25"/>
      <c r="E69" s="25"/>
      <c r="F69" s="25"/>
      <c r="G69" s="244"/>
      <c r="H69" s="25"/>
    </row>
    <row r="70" spans="1:8">
      <c r="A70" s="25"/>
      <c r="B70" s="25"/>
      <c r="C70" s="25"/>
      <c r="D70" s="25"/>
      <c r="E70" s="25"/>
      <c r="F70" s="25"/>
      <c r="G70" s="244"/>
      <c r="H70" s="25"/>
    </row>
    <row r="71" spans="1:8">
      <c r="A71" s="25"/>
      <c r="B71" s="25"/>
      <c r="C71" s="25"/>
      <c r="D71" s="25"/>
      <c r="E71" s="25"/>
      <c r="F71" s="25"/>
      <c r="G71" s="244"/>
      <c r="H71" s="25"/>
    </row>
    <row r="72" spans="1:8">
      <c r="A72" s="25"/>
      <c r="B72" s="25"/>
      <c r="C72" s="25"/>
      <c r="D72" s="25"/>
      <c r="E72" s="25"/>
      <c r="F72" s="25"/>
      <c r="G72" s="244"/>
      <c r="H72" s="25"/>
    </row>
    <row r="73" spans="1:8">
      <c r="A73" s="25"/>
      <c r="B73" s="25"/>
      <c r="C73" s="25"/>
      <c r="D73" s="25"/>
      <c r="E73" s="25"/>
      <c r="F73" s="25"/>
      <c r="G73" s="244"/>
      <c r="H73" s="25"/>
    </row>
    <row r="74" spans="1:8">
      <c r="A74" s="25"/>
      <c r="B74" s="25"/>
      <c r="C74" s="25"/>
      <c r="D74" s="25"/>
      <c r="E74" s="25"/>
      <c r="F74" s="25"/>
      <c r="G74" s="244"/>
      <c r="H74" s="25"/>
    </row>
    <row r="75" spans="1:8">
      <c r="A75" s="25"/>
      <c r="B75" s="25"/>
      <c r="C75" s="25"/>
      <c r="D75" s="25"/>
      <c r="E75" s="25"/>
      <c r="F75" s="25"/>
      <c r="G75" s="244"/>
      <c r="H75" s="25"/>
    </row>
    <row r="76" spans="1:8">
      <c r="A76" s="25"/>
      <c r="B76" s="25"/>
      <c r="C76" s="25"/>
      <c r="D76" s="25"/>
      <c r="E76" s="25"/>
      <c r="F76" s="25"/>
      <c r="G76" s="244"/>
      <c r="H76" s="25"/>
    </row>
    <row r="77" spans="1:8">
      <c r="A77" s="25"/>
      <c r="B77" s="25"/>
      <c r="C77" s="25"/>
      <c r="D77" s="25"/>
      <c r="E77" s="25"/>
      <c r="F77" s="25"/>
      <c r="G77" s="244"/>
      <c r="H77" s="25"/>
    </row>
    <row r="78" spans="1:8">
      <c r="A78" s="25"/>
      <c r="B78" s="25"/>
      <c r="C78" s="25"/>
      <c r="D78" s="25"/>
      <c r="E78" s="25"/>
      <c r="F78" s="25"/>
      <c r="G78" s="244"/>
      <c r="H78" s="25"/>
    </row>
    <row r="79" spans="1:8">
      <c r="A79" s="25"/>
      <c r="B79" s="25"/>
      <c r="C79" s="25"/>
      <c r="D79" s="25"/>
      <c r="E79" s="25"/>
      <c r="F79" s="25"/>
      <c r="G79" s="244"/>
      <c r="H79" s="25"/>
    </row>
    <row r="80" spans="1:8">
      <c r="A80" s="25"/>
      <c r="B80" s="25"/>
      <c r="C80" s="25"/>
      <c r="D80" s="25"/>
      <c r="E80" s="25"/>
      <c r="F80" s="25"/>
      <c r="G80" s="244"/>
      <c r="H80" s="25"/>
    </row>
    <row r="81" spans="1:8">
      <c r="A81" s="25"/>
      <c r="B81" s="25"/>
      <c r="C81" s="25"/>
      <c r="D81" s="25"/>
      <c r="E81" s="25"/>
      <c r="F81" s="25"/>
      <c r="G81" s="244"/>
      <c r="H81" s="25"/>
    </row>
    <row r="82" spans="1:8">
      <c r="A82" s="25"/>
      <c r="B82" s="25"/>
      <c r="C82" s="25"/>
      <c r="D82" s="25"/>
      <c r="E82" s="25"/>
      <c r="F82" s="25"/>
      <c r="G82" s="244"/>
      <c r="H82" s="25"/>
    </row>
    <row r="83" spans="1:8">
      <c r="A83" s="25"/>
      <c r="B83" s="25"/>
      <c r="C83" s="25"/>
      <c r="D83" s="25"/>
      <c r="E83" s="25"/>
      <c r="F83" s="25"/>
      <c r="G83" s="244"/>
      <c r="H83" s="25"/>
    </row>
    <row r="84" spans="1:8">
      <c r="A84" s="25"/>
      <c r="F84" s="25"/>
      <c r="G84" s="244"/>
      <c r="H84" s="25"/>
    </row>
    <row r="85" spans="1:8">
      <c r="G85" s="244"/>
      <c r="H85" s="25"/>
    </row>
    <row r="86" spans="1:8">
      <c r="G86" s="244"/>
      <c r="H86" s="25"/>
    </row>
    <row r="87" spans="1:8">
      <c r="G87" s="244"/>
      <c r="H87" s="25"/>
    </row>
    <row r="88" spans="1:8">
      <c r="G88" s="244"/>
      <c r="H88" s="25"/>
    </row>
    <row r="89" spans="1:8">
      <c r="G89" s="244"/>
      <c r="H89" s="25"/>
    </row>
    <row r="90" spans="1:8">
      <c r="G90" s="244"/>
      <c r="H90" s="25"/>
    </row>
    <row r="91" spans="1:8">
      <c r="G91" s="244"/>
      <c r="H91" s="25"/>
    </row>
  </sheetData>
  <mergeCells count="25">
    <mergeCell ref="I7:J7"/>
    <mergeCell ref="I8:J8"/>
    <mergeCell ref="D11:D12"/>
    <mergeCell ref="E11:E12"/>
    <mergeCell ref="E20:E21"/>
    <mergeCell ref="D14:D15"/>
    <mergeCell ref="E14:E15"/>
    <mergeCell ref="D26:D27"/>
    <mergeCell ref="D29:D30"/>
    <mergeCell ref="D32:D33"/>
    <mergeCell ref="D35:D36"/>
    <mergeCell ref="E26:E27"/>
    <mergeCell ref="E29:E30"/>
    <mergeCell ref="E32:E33"/>
    <mergeCell ref="E35:E36"/>
    <mergeCell ref="B4:E4"/>
    <mergeCell ref="D7:D8"/>
    <mergeCell ref="E7:E8"/>
    <mergeCell ref="D23:D24"/>
    <mergeCell ref="E23:E24"/>
    <mergeCell ref="B23:B24"/>
    <mergeCell ref="D17:D18"/>
    <mergeCell ref="E17:E18"/>
    <mergeCell ref="B20:B21"/>
    <mergeCell ref="D20:D21"/>
  </mergeCells>
  <phoneticPr fontId="1" type="noConversion"/>
  <hyperlinks>
    <hyperlink ref="I2" location="Summary!A1" display="Click here to return to Summary page"/>
  </hyperlinks>
  <pageMargins left="0.75" right="0.75" top="1" bottom="1" header="0.5" footer="0.5"/>
  <pageSetup orientation="portrait" horizontalDpi="4294967292" verticalDpi="4294967292"/>
  <legacyDrawing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ublished="0" enableFormatConditionsCalculation="0"/>
  <dimension ref="A1:J80"/>
  <sheetViews>
    <sheetView zoomScale="70" workbookViewId="0">
      <selection activeCell="I15" sqref="I15"/>
    </sheetView>
  </sheetViews>
  <sheetFormatPr baseColWidth="10" defaultColWidth="8.6640625" defaultRowHeight="12" x14ac:dyDescent="0"/>
  <cols>
    <col min="1" max="1" width="1.6640625" style="12" customWidth="1"/>
    <col min="2" max="2" width="44.5" style="12" customWidth="1"/>
    <col min="3" max="5" width="20.6640625" style="12" customWidth="1"/>
    <col min="6" max="6" width="2.5" style="12" customWidth="1"/>
    <col min="7" max="7" width="29.6640625" style="239" customWidth="1"/>
    <col min="8" max="8" width="2.5" style="12" customWidth="1"/>
    <col min="9" max="9" width="68.1640625" style="12" customWidth="1"/>
    <col min="10" max="16384" width="8.6640625" style="12"/>
  </cols>
  <sheetData>
    <row r="1" spans="1:10" ht="12.75" customHeight="1">
      <c r="A1" s="115"/>
      <c r="B1" s="94"/>
      <c r="C1" s="94"/>
      <c r="D1" s="116"/>
      <c r="E1" s="117"/>
      <c r="F1" s="94"/>
      <c r="G1" s="96"/>
      <c r="H1" s="94"/>
    </row>
    <row r="2" spans="1:10" ht="30" customHeight="1">
      <c r="A2" s="153"/>
      <c r="B2" s="151" t="s">
        <v>24</v>
      </c>
      <c r="C2" s="154"/>
      <c r="D2" s="155"/>
      <c r="E2" s="156"/>
      <c r="F2" s="94"/>
      <c r="G2" s="185" t="s">
        <v>81</v>
      </c>
      <c r="H2" s="94"/>
      <c r="I2" s="65" t="s">
        <v>98</v>
      </c>
    </row>
    <row r="3" spans="1:10" ht="12.75" customHeight="1">
      <c r="A3" s="115"/>
      <c r="B3" s="118"/>
      <c r="C3" s="96"/>
      <c r="D3" s="119"/>
      <c r="E3" s="111"/>
      <c r="F3" s="94"/>
      <c r="G3" s="243"/>
      <c r="H3" s="94"/>
    </row>
    <row r="4" spans="1:10" ht="20.25" customHeight="1">
      <c r="A4" s="115"/>
      <c r="B4" s="288" t="s">
        <v>90</v>
      </c>
      <c r="C4" s="288"/>
      <c r="D4" s="288"/>
      <c r="E4" s="288"/>
      <c r="F4" s="94"/>
      <c r="G4" s="244"/>
      <c r="H4" s="94"/>
      <c r="I4" s="193"/>
      <c r="J4" s="193"/>
    </row>
    <row r="5" spans="1:10" ht="34" customHeight="1">
      <c r="A5" s="115"/>
      <c r="B5" s="13" t="s">
        <v>70</v>
      </c>
      <c r="C5" s="13" t="s">
        <v>72</v>
      </c>
      <c r="D5" s="53" t="s">
        <v>34</v>
      </c>
      <c r="E5" s="38" t="s">
        <v>33</v>
      </c>
      <c r="F5" s="94"/>
      <c r="G5" s="244"/>
      <c r="H5" s="94"/>
      <c r="I5" s="287" t="s">
        <v>104</v>
      </c>
      <c r="J5" s="287"/>
    </row>
    <row r="6" spans="1:10" ht="21" customHeight="1">
      <c r="A6" s="115"/>
      <c r="B6" s="69"/>
      <c r="C6" s="69"/>
      <c r="D6" s="157"/>
      <c r="E6" s="136"/>
      <c r="F6" s="94"/>
      <c r="G6" s="244"/>
      <c r="H6" s="94"/>
      <c r="I6" s="287" t="s">
        <v>76</v>
      </c>
      <c r="J6" s="287"/>
    </row>
    <row r="7" spans="1:10" ht="54.75" customHeight="1">
      <c r="A7" s="115"/>
      <c r="B7" s="13" t="s">
        <v>30</v>
      </c>
      <c r="C7" s="14" t="s">
        <v>31</v>
      </c>
      <c r="D7" s="304" t="str">
        <f>IF(C8=0,"0",(10*(C9/C8))+(10*(C10/C8))+(10*(C11/C8)))</f>
        <v>0</v>
      </c>
      <c r="E7" s="291">
        <v>10</v>
      </c>
      <c r="F7" s="94"/>
      <c r="G7" s="244"/>
      <c r="H7" s="94"/>
      <c r="I7" s="6"/>
      <c r="J7" s="6"/>
    </row>
    <row r="8" spans="1:10" ht="54.75" customHeight="1">
      <c r="A8" s="115"/>
      <c r="B8" s="13" t="s">
        <v>106</v>
      </c>
      <c r="C8" s="8">
        <v>0</v>
      </c>
      <c r="D8" s="304"/>
      <c r="E8" s="291"/>
      <c r="F8" s="94"/>
      <c r="G8" s="240"/>
      <c r="H8" s="184"/>
      <c r="I8" s="303" t="s">
        <v>114</v>
      </c>
      <c r="J8" s="193"/>
    </row>
    <row r="9" spans="1:10" ht="54.75" customHeight="1">
      <c r="A9" s="115"/>
      <c r="B9" s="13" t="s">
        <v>79</v>
      </c>
      <c r="C9" s="8">
        <v>0</v>
      </c>
      <c r="D9" s="304"/>
      <c r="E9" s="291"/>
      <c r="F9" s="94"/>
      <c r="G9" s="240"/>
      <c r="H9" s="184"/>
      <c r="I9" s="303"/>
      <c r="J9" s="193"/>
    </row>
    <row r="10" spans="1:10" ht="54.75" customHeight="1">
      <c r="A10" s="115"/>
      <c r="B10" s="13" t="s">
        <v>59</v>
      </c>
      <c r="C10" s="8">
        <v>0</v>
      </c>
      <c r="D10" s="305"/>
      <c r="E10" s="306"/>
      <c r="F10" s="94"/>
      <c r="G10" s="244"/>
      <c r="H10" s="94"/>
      <c r="I10" s="303"/>
      <c r="J10" s="6"/>
    </row>
    <row r="11" spans="1:10" ht="64" customHeight="1">
      <c r="A11" s="115"/>
      <c r="B11" s="34" t="s">
        <v>54</v>
      </c>
      <c r="C11" s="8">
        <v>0</v>
      </c>
      <c r="D11" s="305"/>
      <c r="E11" s="306"/>
      <c r="F11" s="94"/>
      <c r="G11" s="244"/>
      <c r="H11" s="94"/>
      <c r="I11" s="303"/>
      <c r="J11" s="6"/>
    </row>
    <row r="12" spans="1:10" ht="4.75" customHeight="1">
      <c r="A12" s="115"/>
      <c r="B12" s="13"/>
      <c r="C12" s="8"/>
      <c r="D12" s="305"/>
      <c r="E12" s="306"/>
      <c r="F12" s="94"/>
      <c r="G12" s="244"/>
      <c r="H12" s="94"/>
      <c r="I12" s="303"/>
      <c r="J12" s="6"/>
    </row>
    <row r="13" spans="1:10" ht="15.75" customHeight="1">
      <c r="A13" s="115"/>
      <c r="B13" s="129"/>
      <c r="C13" s="129"/>
      <c r="D13" s="156"/>
      <c r="E13" s="156"/>
      <c r="F13" s="94"/>
      <c r="G13" s="244"/>
      <c r="H13" s="94"/>
      <c r="I13" s="6"/>
      <c r="J13" s="6"/>
    </row>
    <row r="14" spans="1:10" ht="84.75" customHeight="1">
      <c r="A14" s="115"/>
      <c r="B14" s="301" t="s">
        <v>29</v>
      </c>
      <c r="C14" s="14" t="s">
        <v>97</v>
      </c>
      <c r="D14" s="289" t="str">
        <f>IF(C15="Yes", "2", "0")</f>
        <v>0</v>
      </c>
      <c r="E14" s="294" t="str">
        <f>(IF(OR(C15="yes",C15="no"),"2","0"))</f>
        <v>2</v>
      </c>
      <c r="F14" s="94"/>
      <c r="G14" s="248"/>
      <c r="H14" s="94"/>
      <c r="I14" s="6"/>
      <c r="J14" s="6"/>
    </row>
    <row r="15" spans="1:10" ht="64.75" customHeight="1">
      <c r="A15" s="115"/>
      <c r="B15" s="301"/>
      <c r="C15" s="8" t="s">
        <v>99</v>
      </c>
      <c r="D15" s="289"/>
      <c r="E15" s="293"/>
      <c r="F15" s="94"/>
      <c r="G15" s="244"/>
      <c r="H15" s="94"/>
    </row>
    <row r="16" spans="1:10" ht="15.75" customHeight="1">
      <c r="A16" s="115"/>
      <c r="B16" s="129"/>
      <c r="C16" s="129"/>
      <c r="D16" s="156"/>
      <c r="E16" s="156"/>
      <c r="F16" s="94"/>
      <c r="G16" s="244"/>
      <c r="H16" s="94"/>
    </row>
    <row r="17" spans="1:8" ht="95" customHeight="1">
      <c r="A17" s="115"/>
      <c r="B17" s="301" t="s">
        <v>122</v>
      </c>
      <c r="C17" s="14" t="s">
        <v>55</v>
      </c>
      <c r="D17" s="289" t="str">
        <f>IF(C18="Yes", "2", "0")</f>
        <v>0</v>
      </c>
      <c r="E17" s="307">
        <v>2</v>
      </c>
      <c r="F17" s="94"/>
      <c r="G17" s="244"/>
      <c r="H17" s="94"/>
    </row>
    <row r="18" spans="1:8" ht="65" customHeight="1">
      <c r="A18" s="115"/>
      <c r="B18" s="301"/>
      <c r="C18" s="8" t="s">
        <v>99</v>
      </c>
      <c r="D18" s="289"/>
      <c r="E18" s="307"/>
      <c r="F18" s="94"/>
      <c r="G18" s="244"/>
      <c r="H18" s="94"/>
    </row>
    <row r="19" spans="1:8" ht="19" customHeight="1">
      <c r="A19" s="115"/>
      <c r="B19" s="178"/>
      <c r="C19" s="137"/>
      <c r="D19" s="149"/>
      <c r="E19" s="190"/>
      <c r="F19" s="94"/>
      <c r="G19" s="244"/>
      <c r="H19" s="94"/>
    </row>
    <row r="20" spans="1:8" ht="76" customHeight="1">
      <c r="A20" s="115"/>
      <c r="B20" s="180" t="s">
        <v>17</v>
      </c>
      <c r="C20" s="14" t="s">
        <v>55</v>
      </c>
      <c r="D20" s="289" t="str">
        <f>IF(C21="Yes", "2", "0")</f>
        <v>0</v>
      </c>
      <c r="E20" s="307">
        <v>2</v>
      </c>
      <c r="F20" s="94"/>
      <c r="G20" s="244"/>
      <c r="H20" s="94"/>
    </row>
    <row r="21" spans="1:8" ht="65" customHeight="1">
      <c r="A21" s="115"/>
      <c r="B21" s="180"/>
      <c r="C21" s="8" t="s">
        <v>99</v>
      </c>
      <c r="D21" s="289"/>
      <c r="E21" s="307"/>
      <c r="F21" s="94"/>
      <c r="G21" s="244"/>
      <c r="H21" s="94"/>
    </row>
    <row r="22" spans="1:8" ht="31" customHeight="1">
      <c r="A22" s="115"/>
      <c r="B22" s="120"/>
      <c r="C22" s="107"/>
      <c r="D22" s="108"/>
      <c r="E22" s="121"/>
      <c r="F22" s="94"/>
      <c r="G22" s="243"/>
      <c r="H22" s="94"/>
    </row>
    <row r="23" spans="1:8" s="44" customFormat="1" ht="50.25" customHeight="1">
      <c r="A23" s="95"/>
      <c r="B23" s="58" t="s">
        <v>89</v>
      </c>
      <c r="C23" s="43"/>
      <c r="D23" s="27">
        <f>SUM(D7+D14+D17+D20)</f>
        <v>0</v>
      </c>
      <c r="E23" s="74">
        <f>SUM(E7+E14+E17+E20)</f>
        <v>16</v>
      </c>
      <c r="F23" s="95"/>
      <c r="G23" s="247"/>
      <c r="H23" s="49"/>
    </row>
    <row r="24" spans="1:8" ht="12" customHeight="1">
      <c r="A24" s="115"/>
      <c r="B24" s="94"/>
      <c r="C24" s="94"/>
      <c r="D24" s="117"/>
      <c r="E24" s="117"/>
      <c r="F24" s="94"/>
      <c r="G24" s="244"/>
      <c r="H24" s="25"/>
    </row>
    <row r="25" spans="1:8" ht="12" customHeight="1">
      <c r="A25" s="25"/>
      <c r="C25" s="25"/>
      <c r="D25" s="54"/>
      <c r="E25" s="55"/>
      <c r="F25" s="25"/>
      <c r="G25" s="244"/>
      <c r="H25" s="25"/>
    </row>
    <row r="26" spans="1:8">
      <c r="A26" s="36"/>
      <c r="B26" s="25"/>
      <c r="C26" s="25"/>
      <c r="D26" s="54"/>
      <c r="E26" s="55"/>
      <c r="F26" s="25"/>
      <c r="G26" s="244"/>
      <c r="H26" s="25"/>
    </row>
    <row r="27" spans="1:8">
      <c r="A27" s="36"/>
      <c r="B27" s="25"/>
      <c r="C27" s="25"/>
      <c r="D27" s="54"/>
      <c r="E27" s="55"/>
      <c r="F27" s="25"/>
      <c r="G27" s="244"/>
      <c r="H27" s="25"/>
    </row>
    <row r="28" spans="1:8">
      <c r="A28" s="36"/>
      <c r="B28" s="25"/>
      <c r="C28" s="25"/>
      <c r="D28" s="54"/>
      <c r="E28" s="55"/>
      <c r="F28" s="25"/>
      <c r="G28" s="244"/>
      <c r="H28" s="25"/>
    </row>
    <row r="29" spans="1:8">
      <c r="A29" s="36"/>
      <c r="B29" s="25"/>
      <c r="C29" s="25"/>
      <c r="F29" s="25"/>
      <c r="G29" s="244"/>
      <c r="H29" s="25"/>
    </row>
    <row r="30" spans="1:8">
      <c r="A30" s="36"/>
      <c r="B30" s="25"/>
      <c r="C30" s="25"/>
      <c r="F30" s="25"/>
      <c r="G30" s="244"/>
      <c r="H30" s="25"/>
    </row>
    <row r="31" spans="1:8" ht="12.75" customHeight="1">
      <c r="A31" s="36"/>
      <c r="B31" s="25"/>
      <c r="C31" s="52"/>
      <c r="D31" s="40"/>
      <c r="F31" s="25"/>
      <c r="G31" s="244"/>
      <c r="H31" s="25"/>
    </row>
    <row r="32" spans="1:8" ht="12.75" customHeight="1">
      <c r="A32" s="36"/>
      <c r="B32" s="25"/>
      <c r="C32" s="52"/>
      <c r="D32" s="40"/>
      <c r="F32" s="25"/>
      <c r="G32" s="244"/>
      <c r="H32" s="25"/>
    </row>
    <row r="33" spans="1:8" ht="12.75" customHeight="1">
      <c r="A33" s="36"/>
      <c r="B33" s="25"/>
      <c r="C33" s="52"/>
      <c r="D33" s="40"/>
      <c r="F33" s="25"/>
      <c r="G33" s="244"/>
      <c r="H33" s="25"/>
    </row>
    <row r="34" spans="1:8">
      <c r="A34" s="36"/>
      <c r="B34" s="25"/>
      <c r="C34" s="25"/>
      <c r="F34" s="25"/>
      <c r="G34" s="244"/>
      <c r="H34" s="25"/>
    </row>
    <row r="35" spans="1:8">
      <c r="A35" s="36"/>
      <c r="B35" s="25"/>
      <c r="C35" s="25"/>
      <c r="F35" s="25"/>
      <c r="G35" s="244"/>
      <c r="H35" s="25"/>
    </row>
    <row r="36" spans="1:8">
      <c r="A36" s="36"/>
      <c r="B36" s="25"/>
      <c r="C36" s="25"/>
      <c r="F36" s="25"/>
      <c r="G36" s="244"/>
      <c r="H36" s="25"/>
    </row>
    <row r="37" spans="1:8">
      <c r="A37" s="36"/>
      <c r="B37" s="25"/>
      <c r="C37" s="25"/>
      <c r="F37" s="25"/>
      <c r="G37" s="244"/>
      <c r="H37" s="25"/>
    </row>
    <row r="38" spans="1:8">
      <c r="A38" s="36"/>
    </row>
    <row r="39" spans="1:8">
      <c r="A39" s="36"/>
    </row>
    <row r="40" spans="1:8">
      <c r="A40" s="36"/>
    </row>
    <row r="41" spans="1:8">
      <c r="A41" s="36"/>
    </row>
    <row r="42" spans="1:8">
      <c r="A42" s="36"/>
    </row>
    <row r="43" spans="1:8">
      <c r="A43" s="36"/>
    </row>
    <row r="44" spans="1:8">
      <c r="A44" s="36"/>
    </row>
    <row r="45" spans="1:8">
      <c r="A45" s="36"/>
    </row>
    <row r="46" spans="1:8">
      <c r="A46" s="36"/>
    </row>
    <row r="47" spans="1:8">
      <c r="A47" s="36"/>
    </row>
    <row r="48" spans="1:8">
      <c r="A48" s="36"/>
    </row>
    <row r="49" spans="1:1">
      <c r="A49" s="36"/>
    </row>
    <row r="50" spans="1:1">
      <c r="A50" s="36"/>
    </row>
    <row r="51" spans="1:1">
      <c r="A51" s="36"/>
    </row>
    <row r="52" spans="1:1">
      <c r="A52" s="36"/>
    </row>
    <row r="53" spans="1:1">
      <c r="A53" s="36"/>
    </row>
    <row r="54" spans="1:1">
      <c r="A54" s="36"/>
    </row>
    <row r="55" spans="1:1">
      <c r="A55" s="36"/>
    </row>
    <row r="56" spans="1:1">
      <c r="A56" s="37"/>
    </row>
    <row r="57" spans="1:1">
      <c r="A57" s="37"/>
    </row>
    <row r="58" spans="1:1">
      <c r="A58" s="37"/>
    </row>
    <row r="59" spans="1:1">
      <c r="A59" s="37"/>
    </row>
    <row r="60" spans="1:1">
      <c r="A60" s="37"/>
    </row>
    <row r="61" spans="1:1">
      <c r="A61" s="37"/>
    </row>
    <row r="62" spans="1:1">
      <c r="A62" s="37"/>
    </row>
    <row r="63" spans="1:1">
      <c r="A63" s="37"/>
    </row>
    <row r="64" spans="1:1">
      <c r="A64" s="37"/>
    </row>
    <row r="65" spans="1:1">
      <c r="A65" s="37"/>
    </row>
    <row r="66" spans="1:1">
      <c r="A66" s="37"/>
    </row>
    <row r="67" spans="1:1">
      <c r="A67" s="37"/>
    </row>
    <row r="68" spans="1:1">
      <c r="A68" s="37"/>
    </row>
    <row r="69" spans="1:1">
      <c r="A69" s="37"/>
    </row>
    <row r="70" spans="1:1">
      <c r="A70" s="37"/>
    </row>
    <row r="71" spans="1:1">
      <c r="A71" s="37"/>
    </row>
    <row r="72" spans="1:1">
      <c r="A72" s="37"/>
    </row>
    <row r="73" spans="1:1">
      <c r="A73" s="37"/>
    </row>
    <row r="74" spans="1:1">
      <c r="A74" s="37"/>
    </row>
    <row r="75" spans="1:1">
      <c r="A75" s="37"/>
    </row>
    <row r="76" spans="1:1">
      <c r="A76" s="37"/>
    </row>
    <row r="77" spans="1:1">
      <c r="A77" s="37"/>
    </row>
    <row r="78" spans="1:1">
      <c r="A78" s="37"/>
    </row>
    <row r="79" spans="1:1">
      <c r="A79" s="37"/>
    </row>
    <row r="80" spans="1:1">
      <c r="A80" s="37"/>
    </row>
  </sheetData>
  <mergeCells count="14">
    <mergeCell ref="B14:B15"/>
    <mergeCell ref="D14:D15"/>
    <mergeCell ref="E14:E15"/>
    <mergeCell ref="D20:D21"/>
    <mergeCell ref="E20:E21"/>
    <mergeCell ref="B17:B18"/>
    <mergeCell ref="D17:D18"/>
    <mergeCell ref="E17:E18"/>
    <mergeCell ref="I8:I12"/>
    <mergeCell ref="I5:J5"/>
    <mergeCell ref="I6:J6"/>
    <mergeCell ref="B4:E4"/>
    <mergeCell ref="D7:D12"/>
    <mergeCell ref="E7:E12"/>
  </mergeCells>
  <phoneticPr fontId="1" type="noConversion"/>
  <hyperlinks>
    <hyperlink ref="I2" location="Summary!A1" display="Click here to return to Summary page"/>
  </hyperlinks>
  <pageMargins left="0.75" right="0.75" top="1" bottom="1" header="0.5" footer="0.5"/>
  <legacyDrawing r:id="rId1"/>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4"/>
  <sheetViews>
    <sheetView zoomScale="70" workbookViewId="0">
      <selection activeCell="I17" sqref="I17"/>
    </sheetView>
  </sheetViews>
  <sheetFormatPr baseColWidth="10" defaultColWidth="8.6640625" defaultRowHeight="12" x14ac:dyDescent="0"/>
  <cols>
    <col min="1" max="1" width="2.5" style="12" customWidth="1"/>
    <col min="2" max="2" width="40.6640625" style="12" customWidth="1"/>
    <col min="3" max="3" width="23.33203125" style="12" customWidth="1"/>
    <col min="4" max="5" width="20.6640625" style="12" customWidth="1"/>
    <col min="6" max="6" width="2.6640625" style="12" customWidth="1"/>
    <col min="7" max="7" width="31.1640625" style="239" customWidth="1"/>
    <col min="8" max="8" width="3.6640625" style="12" customWidth="1"/>
    <col min="9" max="9" width="78.5" style="12" customWidth="1"/>
    <col min="10" max="16384" width="8.6640625" style="12"/>
  </cols>
  <sheetData>
    <row r="1" spans="1:11" ht="15.75" customHeight="1">
      <c r="A1" s="94"/>
      <c r="B1" s="94"/>
      <c r="C1" s="94"/>
      <c r="D1" s="94"/>
      <c r="E1" s="94"/>
      <c r="F1" s="94"/>
      <c r="G1" s="96"/>
      <c r="H1" s="90"/>
    </row>
    <row r="2" spans="1:11" ht="31.5" customHeight="1">
      <c r="A2" s="143"/>
      <c r="B2" s="127" t="s">
        <v>39</v>
      </c>
      <c r="C2" s="129"/>
      <c r="D2" s="154" t="s">
        <v>62</v>
      </c>
      <c r="E2" s="129"/>
      <c r="F2" s="94"/>
      <c r="G2" s="185" t="s">
        <v>81</v>
      </c>
      <c r="H2" s="94"/>
      <c r="I2" s="158" t="s">
        <v>98</v>
      </c>
    </row>
    <row r="3" spans="1:11" ht="9.75" customHeight="1">
      <c r="A3" s="94"/>
      <c r="B3" s="104"/>
      <c r="C3" s="96"/>
      <c r="D3" s="96"/>
      <c r="E3" s="96"/>
      <c r="F3" s="94"/>
      <c r="G3" s="243"/>
      <c r="H3" s="94"/>
    </row>
    <row r="4" spans="1:11" s="44" customFormat="1" ht="105" customHeight="1">
      <c r="A4" s="95"/>
      <c r="B4" s="308" t="s">
        <v>0</v>
      </c>
      <c r="C4" s="309"/>
      <c r="D4" s="309"/>
      <c r="E4" s="309"/>
      <c r="F4" s="95"/>
      <c r="G4" s="247"/>
      <c r="H4" s="95"/>
    </row>
    <row r="5" spans="1:11" ht="20.25" customHeight="1">
      <c r="A5" s="94"/>
      <c r="B5" s="299" t="s">
        <v>91</v>
      </c>
      <c r="C5" s="299"/>
      <c r="D5" s="299"/>
      <c r="E5" s="299"/>
      <c r="F5" s="94"/>
      <c r="G5" s="244"/>
      <c r="H5" s="94"/>
    </row>
    <row r="6" spans="1:11" ht="35.25" customHeight="1">
      <c r="A6" s="94"/>
      <c r="B6" s="13" t="s">
        <v>69</v>
      </c>
      <c r="C6" s="13" t="s">
        <v>72</v>
      </c>
      <c r="D6" s="13" t="s">
        <v>34</v>
      </c>
      <c r="E6" s="13" t="s">
        <v>33</v>
      </c>
      <c r="F6" s="94"/>
      <c r="G6" s="244"/>
      <c r="H6" s="94"/>
    </row>
    <row r="7" spans="1:11" ht="18" customHeight="1">
      <c r="A7" s="94"/>
      <c r="B7" s="69"/>
      <c r="C7" s="69"/>
      <c r="D7" s="69"/>
      <c r="E7" s="69"/>
      <c r="F7" s="94"/>
      <c r="G7" s="244"/>
      <c r="H7" s="94"/>
    </row>
    <row r="8" spans="1:11" ht="65.25" customHeight="1">
      <c r="A8" s="94"/>
      <c r="B8" s="13" t="s">
        <v>20</v>
      </c>
      <c r="C8" s="29" t="s">
        <v>125</v>
      </c>
      <c r="D8" s="289" t="str">
        <f>IF(C9="Yes", "1", "0")</f>
        <v>0</v>
      </c>
      <c r="E8" s="307">
        <v>1</v>
      </c>
      <c r="F8" s="94"/>
      <c r="G8" s="240"/>
      <c r="H8" s="184"/>
      <c r="I8" s="181" t="s">
        <v>44</v>
      </c>
      <c r="K8" s="186"/>
    </row>
    <row r="9" spans="1:11" ht="45" customHeight="1">
      <c r="A9" s="94"/>
      <c r="B9" s="191" t="s">
        <v>40</v>
      </c>
      <c r="C9" s="8" t="s">
        <v>100</v>
      </c>
      <c r="D9" s="289"/>
      <c r="E9" s="307"/>
      <c r="F9" s="94"/>
      <c r="G9" s="240"/>
      <c r="H9" s="184"/>
      <c r="I9" s="181" t="s">
        <v>76</v>
      </c>
      <c r="J9" s="186"/>
      <c r="K9" s="186"/>
    </row>
    <row r="10" spans="1:11" ht="18" customHeight="1">
      <c r="A10" s="94"/>
      <c r="B10" s="69"/>
      <c r="C10" s="133"/>
      <c r="D10" s="134"/>
      <c r="E10" s="135"/>
      <c r="F10" s="94"/>
      <c r="G10" s="244"/>
      <c r="H10" s="94"/>
    </row>
    <row r="11" spans="1:11" ht="57" hidden="1" customHeight="1">
      <c r="A11" s="94"/>
      <c r="B11" s="19"/>
      <c r="C11" s="18"/>
      <c r="D11" s="16"/>
      <c r="E11" s="17"/>
      <c r="F11" s="94"/>
      <c r="G11" s="244"/>
      <c r="H11" s="94"/>
    </row>
    <row r="12" spans="1:11" ht="66.75" customHeight="1">
      <c r="A12" s="94"/>
      <c r="B12" s="13" t="s">
        <v>61</v>
      </c>
      <c r="C12" s="29" t="s">
        <v>125</v>
      </c>
      <c r="D12" s="289" t="str">
        <f>IF(C13="Yes", "1", "0")</f>
        <v>0</v>
      </c>
      <c r="E12" s="307">
        <v>1</v>
      </c>
      <c r="F12" s="94"/>
      <c r="H12" s="90"/>
    </row>
    <row r="13" spans="1:11" ht="51" customHeight="1">
      <c r="A13" s="94"/>
      <c r="B13" s="191" t="s">
        <v>40</v>
      </c>
      <c r="C13" s="8" t="s">
        <v>100</v>
      </c>
      <c r="D13" s="289"/>
      <c r="E13" s="307"/>
      <c r="F13" s="94"/>
      <c r="H13" s="94"/>
    </row>
    <row r="14" spans="1:11" ht="18" customHeight="1">
      <c r="A14" s="94"/>
      <c r="B14" s="145"/>
      <c r="C14" s="152"/>
      <c r="D14" s="140"/>
      <c r="E14" s="135"/>
      <c r="F14" s="94"/>
      <c r="G14" s="244"/>
      <c r="H14" s="94"/>
    </row>
    <row r="15" spans="1:11" ht="65.25" customHeight="1">
      <c r="A15" s="94"/>
      <c r="B15" s="13" t="s">
        <v>128</v>
      </c>
      <c r="C15" s="29" t="s">
        <v>125</v>
      </c>
      <c r="D15" s="289" t="str">
        <f>IF(C16="Yes", "1", "0")</f>
        <v>0</v>
      </c>
      <c r="E15" s="307">
        <v>1</v>
      </c>
      <c r="F15" s="94"/>
      <c r="G15" s="244"/>
      <c r="H15" s="94"/>
    </row>
    <row r="16" spans="1:11" ht="47" customHeight="1">
      <c r="A16" s="94"/>
      <c r="B16" s="191" t="s">
        <v>40</v>
      </c>
      <c r="C16" s="8" t="s">
        <v>100</v>
      </c>
      <c r="D16" s="289"/>
      <c r="E16" s="307"/>
      <c r="F16" s="94"/>
      <c r="G16" s="244"/>
      <c r="H16" s="94"/>
    </row>
    <row r="17" spans="1:8" ht="18" customHeight="1">
      <c r="A17" s="94"/>
      <c r="B17" s="145"/>
      <c r="C17" s="137"/>
      <c r="D17" s="149"/>
      <c r="E17" s="190"/>
      <c r="F17" s="94"/>
      <c r="G17" s="244"/>
      <c r="H17" s="94"/>
    </row>
    <row r="18" spans="1:8" ht="58" customHeight="1">
      <c r="A18" s="94"/>
      <c r="B18" s="13" t="s">
        <v>128</v>
      </c>
      <c r="C18" s="29" t="s">
        <v>125</v>
      </c>
      <c r="D18" s="289" t="str">
        <f>IF(C19="Yes", "1", "0")</f>
        <v>0</v>
      </c>
      <c r="E18" s="307">
        <v>1</v>
      </c>
      <c r="F18" s="94"/>
      <c r="G18" s="244"/>
      <c r="H18" s="94"/>
    </row>
    <row r="19" spans="1:8" ht="47" customHeight="1">
      <c r="A19" s="94"/>
      <c r="B19" s="191" t="s">
        <v>40</v>
      </c>
      <c r="C19" s="8" t="s">
        <v>100</v>
      </c>
      <c r="D19" s="289"/>
      <c r="E19" s="307"/>
      <c r="F19" s="94"/>
      <c r="G19" s="244"/>
      <c r="H19" s="94"/>
    </row>
    <row r="20" spans="1:8" ht="15" customHeight="1">
      <c r="A20" s="94"/>
      <c r="B20" s="96"/>
      <c r="C20" s="113"/>
      <c r="D20" s="114"/>
      <c r="E20" s="98"/>
      <c r="F20" s="94"/>
      <c r="G20" s="243"/>
      <c r="H20" s="94"/>
    </row>
    <row r="21" spans="1:8" s="44" customFormat="1" ht="51" customHeight="1">
      <c r="A21" s="95"/>
      <c r="B21" s="48" t="s">
        <v>78</v>
      </c>
      <c r="C21" s="43"/>
      <c r="D21" s="27">
        <f>SUM(D8+D12+D15+D18)</f>
        <v>0</v>
      </c>
      <c r="E21" s="79">
        <f>E8+E12+E15+E18</f>
        <v>4</v>
      </c>
      <c r="F21" s="95"/>
      <c r="G21" s="247"/>
      <c r="H21" s="49"/>
    </row>
    <row r="22" spans="1:8" ht="18" customHeight="1">
      <c r="A22" s="94"/>
      <c r="B22" s="94"/>
      <c r="C22" s="94"/>
      <c r="D22" s="94"/>
      <c r="E22" s="94"/>
      <c r="F22" s="94"/>
      <c r="G22" s="244"/>
      <c r="H22" s="25"/>
    </row>
    <row r="23" spans="1:8" ht="75" customHeight="1">
      <c r="E23" s="25"/>
    </row>
    <row r="24" spans="1:8" ht="49.75" customHeight="1">
      <c r="E24" s="25"/>
    </row>
    <row r="25" spans="1:8" ht="64.75" customHeight="1">
      <c r="E25" s="25"/>
    </row>
    <row r="26" spans="1:8" ht="48.75" customHeight="1">
      <c r="A26" s="25"/>
      <c r="B26" s="25"/>
      <c r="C26" s="25"/>
      <c r="D26" s="25"/>
      <c r="E26" s="25"/>
    </row>
    <row r="27" spans="1:8" ht="21" customHeight="1">
      <c r="A27" s="25"/>
      <c r="B27" s="25"/>
      <c r="C27" s="25"/>
      <c r="D27" s="25"/>
      <c r="E27" s="25"/>
    </row>
    <row r="28" spans="1:8">
      <c r="A28" s="25"/>
      <c r="B28" s="25"/>
      <c r="C28" s="25"/>
      <c r="D28" s="25"/>
      <c r="E28" s="25"/>
    </row>
    <row r="29" spans="1:8" ht="54.75" customHeight="1">
      <c r="A29" s="25"/>
      <c r="B29" s="25"/>
      <c r="C29" s="25"/>
      <c r="D29" s="25"/>
      <c r="E29" s="25"/>
    </row>
    <row r="30" spans="1:8">
      <c r="A30" s="25"/>
      <c r="B30" s="25"/>
      <c r="C30" s="25"/>
      <c r="D30" s="25"/>
      <c r="E30" s="25"/>
      <c r="F30" s="25"/>
      <c r="G30" s="244"/>
      <c r="H30" s="25"/>
    </row>
    <row r="31" spans="1:8">
      <c r="A31" s="25"/>
      <c r="B31" s="25"/>
      <c r="C31" s="25"/>
      <c r="D31" s="25"/>
      <c r="E31" s="25"/>
      <c r="F31" s="25"/>
      <c r="G31" s="244"/>
      <c r="H31" s="25"/>
    </row>
    <row r="32" spans="1:8">
      <c r="A32" s="25"/>
      <c r="B32" s="25"/>
      <c r="C32" s="25"/>
      <c r="D32" s="25"/>
      <c r="E32" s="25"/>
      <c r="F32" s="25"/>
      <c r="G32" s="244"/>
      <c r="H32" s="25"/>
    </row>
    <row r="33" spans="1:8">
      <c r="A33" s="25"/>
      <c r="B33" s="25"/>
      <c r="C33" s="25"/>
      <c r="D33" s="25"/>
      <c r="E33" s="25"/>
      <c r="F33" s="25"/>
      <c r="G33" s="244"/>
      <c r="H33" s="25"/>
    </row>
    <row r="34" spans="1:8">
      <c r="A34" s="25"/>
      <c r="B34" s="25"/>
      <c r="C34" s="25"/>
      <c r="D34" s="25"/>
      <c r="E34" s="25"/>
      <c r="F34" s="25"/>
      <c r="G34" s="244"/>
      <c r="H34" s="25"/>
    </row>
    <row r="35" spans="1:8">
      <c r="A35" s="25"/>
      <c r="B35" s="25"/>
      <c r="C35" s="25"/>
      <c r="D35" s="25"/>
      <c r="E35" s="25"/>
      <c r="F35" s="25"/>
      <c r="G35" s="244"/>
      <c r="H35" s="25"/>
    </row>
    <row r="36" spans="1:8">
      <c r="A36" s="25"/>
      <c r="B36" s="25"/>
      <c r="C36" s="25"/>
      <c r="D36" s="25"/>
      <c r="E36" s="25"/>
      <c r="F36" s="25"/>
      <c r="G36" s="244"/>
      <c r="H36" s="25"/>
    </row>
    <row r="37" spans="1:8">
      <c r="A37" s="25"/>
      <c r="B37" s="25"/>
      <c r="C37" s="25"/>
      <c r="D37" s="25"/>
      <c r="E37" s="25"/>
      <c r="F37" s="25"/>
      <c r="G37" s="244"/>
      <c r="H37" s="25"/>
    </row>
    <row r="38" spans="1:8">
      <c r="A38" s="25"/>
      <c r="B38" s="25"/>
      <c r="C38" s="25"/>
      <c r="D38" s="25"/>
      <c r="E38" s="25"/>
      <c r="F38" s="25"/>
      <c r="G38" s="244"/>
      <c r="H38" s="25"/>
    </row>
    <row r="39" spans="1:8">
      <c r="A39" s="25"/>
      <c r="B39" s="25"/>
      <c r="C39" s="25"/>
      <c r="D39" s="25"/>
      <c r="E39" s="25"/>
      <c r="F39" s="25"/>
      <c r="G39" s="244"/>
      <c r="H39" s="25"/>
    </row>
    <row r="40" spans="1:8">
      <c r="A40" s="25"/>
      <c r="B40" s="25"/>
      <c r="C40" s="25"/>
      <c r="D40" s="25"/>
      <c r="E40" s="25"/>
      <c r="F40" s="25"/>
      <c r="G40" s="244"/>
      <c r="H40" s="25"/>
    </row>
    <row r="41" spans="1:8">
      <c r="A41" s="25"/>
      <c r="B41" s="25"/>
      <c r="C41" s="25"/>
      <c r="D41" s="25"/>
      <c r="E41" s="25"/>
      <c r="F41" s="25"/>
      <c r="G41" s="244"/>
      <c r="H41" s="25"/>
    </row>
    <row r="42" spans="1:8">
      <c r="A42" s="25"/>
      <c r="B42" s="25"/>
      <c r="C42" s="25"/>
      <c r="D42" s="25"/>
      <c r="E42" s="25"/>
      <c r="F42" s="25"/>
      <c r="G42" s="244"/>
      <c r="H42" s="25"/>
    </row>
    <row r="43" spans="1:8">
      <c r="A43" s="25"/>
      <c r="B43" s="25"/>
      <c r="C43" s="25"/>
      <c r="D43" s="25"/>
      <c r="E43" s="25"/>
      <c r="F43" s="25"/>
      <c r="G43" s="244"/>
      <c r="H43" s="25"/>
    </row>
    <row r="44" spans="1:8">
      <c r="A44" s="25"/>
      <c r="B44" s="25"/>
      <c r="C44" s="25"/>
      <c r="D44" s="25"/>
      <c r="E44" s="25"/>
      <c r="F44" s="25"/>
      <c r="G44" s="244"/>
      <c r="H44" s="25"/>
    </row>
    <row r="45" spans="1:8">
      <c r="A45" s="25"/>
      <c r="B45" s="25"/>
      <c r="C45" s="25"/>
      <c r="D45" s="25"/>
      <c r="E45" s="25"/>
      <c r="F45" s="25"/>
      <c r="G45" s="244"/>
      <c r="H45" s="25"/>
    </row>
    <row r="46" spans="1:8">
      <c r="A46" s="25"/>
      <c r="B46" s="25"/>
      <c r="C46" s="25"/>
      <c r="D46" s="25"/>
      <c r="E46" s="25"/>
      <c r="F46" s="25"/>
      <c r="G46" s="244"/>
      <c r="H46" s="25"/>
    </row>
    <row r="47" spans="1:8">
      <c r="A47" s="25"/>
      <c r="B47" s="25"/>
      <c r="C47" s="25"/>
      <c r="D47" s="25"/>
      <c r="E47" s="25"/>
      <c r="F47" s="25"/>
      <c r="G47" s="244"/>
      <c r="H47" s="25"/>
    </row>
    <row r="48" spans="1:8">
      <c r="A48" s="25"/>
      <c r="B48" s="25"/>
      <c r="C48" s="25"/>
      <c r="D48" s="25"/>
      <c r="E48" s="25"/>
      <c r="F48" s="25"/>
      <c r="G48" s="244"/>
      <c r="H48" s="25"/>
    </row>
    <row r="49" spans="1:8">
      <c r="A49" s="25"/>
      <c r="B49" s="25"/>
      <c r="C49" s="25"/>
      <c r="D49" s="25"/>
      <c r="E49" s="25"/>
      <c r="F49" s="25"/>
      <c r="G49" s="244"/>
      <c r="H49" s="25"/>
    </row>
    <row r="50" spans="1:8">
      <c r="A50" s="25"/>
      <c r="B50" s="25"/>
      <c r="C50" s="25"/>
      <c r="D50" s="25"/>
      <c r="E50" s="25"/>
      <c r="F50" s="25"/>
      <c r="G50" s="244"/>
      <c r="H50" s="25"/>
    </row>
    <row r="51" spans="1:8">
      <c r="A51" s="25"/>
      <c r="B51" s="25"/>
      <c r="C51" s="25"/>
      <c r="D51" s="25"/>
      <c r="E51" s="25"/>
      <c r="F51" s="25"/>
      <c r="G51" s="244"/>
      <c r="H51" s="25"/>
    </row>
    <row r="52" spans="1:8">
      <c r="A52" s="25"/>
      <c r="B52" s="25"/>
      <c r="C52" s="25"/>
      <c r="D52" s="25"/>
      <c r="E52" s="25"/>
      <c r="F52" s="25"/>
      <c r="G52" s="244"/>
      <c r="H52" s="25"/>
    </row>
    <row r="53" spans="1:8">
      <c r="A53" s="25"/>
      <c r="B53" s="25"/>
      <c r="C53" s="25"/>
      <c r="D53" s="25"/>
      <c r="E53" s="25"/>
      <c r="F53" s="25"/>
      <c r="G53" s="244"/>
      <c r="H53" s="25"/>
    </row>
    <row r="54" spans="1:8">
      <c r="A54" s="25"/>
      <c r="B54" s="25"/>
      <c r="C54" s="25"/>
      <c r="D54" s="25"/>
      <c r="E54" s="25"/>
      <c r="F54" s="25"/>
      <c r="G54" s="244"/>
      <c r="H54" s="25"/>
    </row>
    <row r="55" spans="1:8">
      <c r="A55" s="25"/>
      <c r="B55" s="25"/>
      <c r="C55" s="25"/>
      <c r="D55" s="25"/>
      <c r="E55" s="25"/>
      <c r="F55" s="25"/>
      <c r="G55" s="244"/>
      <c r="H55" s="25"/>
    </row>
    <row r="56" spans="1:8">
      <c r="A56" s="25"/>
      <c r="B56" s="25"/>
      <c r="C56" s="25"/>
      <c r="D56" s="25"/>
      <c r="E56" s="25"/>
      <c r="F56" s="25"/>
      <c r="G56" s="244"/>
      <c r="H56" s="25"/>
    </row>
    <row r="57" spans="1:8">
      <c r="A57" s="25"/>
      <c r="B57" s="25"/>
      <c r="C57" s="25"/>
      <c r="D57" s="25"/>
      <c r="E57" s="25"/>
      <c r="F57" s="25"/>
      <c r="G57" s="244"/>
      <c r="H57" s="25"/>
    </row>
    <row r="58" spans="1:8">
      <c r="A58" s="25"/>
      <c r="B58" s="25"/>
      <c r="C58" s="25"/>
      <c r="D58" s="25"/>
      <c r="E58" s="25"/>
      <c r="F58" s="25"/>
      <c r="G58" s="244"/>
      <c r="H58" s="25"/>
    </row>
    <row r="59" spans="1:8">
      <c r="A59" s="25"/>
      <c r="B59" s="25"/>
      <c r="C59" s="25"/>
      <c r="D59" s="25"/>
      <c r="E59" s="25"/>
      <c r="F59" s="25"/>
      <c r="G59" s="244"/>
      <c r="H59" s="25"/>
    </row>
    <row r="60" spans="1:8">
      <c r="A60" s="25"/>
      <c r="B60" s="25"/>
      <c r="C60" s="25"/>
      <c r="D60" s="25"/>
      <c r="E60" s="25"/>
      <c r="F60" s="25"/>
      <c r="G60" s="244"/>
      <c r="H60" s="25"/>
    </row>
    <row r="61" spans="1:8">
      <c r="A61" s="25"/>
      <c r="B61" s="25"/>
      <c r="C61" s="25"/>
      <c r="D61" s="25"/>
      <c r="E61" s="25"/>
      <c r="F61" s="25"/>
      <c r="G61" s="244"/>
      <c r="H61" s="25"/>
    </row>
    <row r="62" spans="1:8">
      <c r="A62" s="25"/>
      <c r="B62" s="25"/>
      <c r="C62" s="25"/>
      <c r="D62" s="25"/>
      <c r="E62" s="25"/>
      <c r="F62" s="25"/>
      <c r="G62" s="244"/>
      <c r="H62" s="25"/>
    </row>
    <row r="63" spans="1:8">
      <c r="A63" s="25"/>
      <c r="B63" s="25"/>
      <c r="C63" s="25"/>
      <c r="D63" s="25"/>
      <c r="E63" s="25"/>
      <c r="F63" s="25"/>
      <c r="G63" s="244"/>
      <c r="H63" s="25"/>
    </row>
    <row r="64" spans="1:8">
      <c r="A64" s="25"/>
      <c r="B64" s="25"/>
      <c r="C64" s="25"/>
      <c r="D64" s="25"/>
      <c r="E64" s="25"/>
      <c r="F64" s="25"/>
      <c r="G64" s="244"/>
      <c r="H64" s="25"/>
    </row>
    <row r="65" spans="1:8">
      <c r="A65" s="25"/>
      <c r="B65" s="25"/>
      <c r="C65" s="25"/>
      <c r="D65" s="25"/>
      <c r="E65" s="25"/>
      <c r="F65" s="25"/>
      <c r="G65" s="244"/>
      <c r="H65" s="25"/>
    </row>
    <row r="66" spans="1:8">
      <c r="A66" s="25"/>
      <c r="B66" s="25"/>
      <c r="C66" s="25"/>
      <c r="D66" s="25"/>
      <c r="E66" s="25"/>
      <c r="F66" s="25"/>
      <c r="G66" s="244"/>
      <c r="H66" s="25"/>
    </row>
    <row r="67" spans="1:8">
      <c r="A67" s="25"/>
      <c r="F67" s="25"/>
      <c r="G67" s="244"/>
      <c r="H67" s="25"/>
    </row>
    <row r="68" spans="1:8">
      <c r="G68" s="244"/>
      <c r="H68" s="25"/>
    </row>
    <row r="69" spans="1:8">
      <c r="G69" s="244"/>
      <c r="H69" s="25"/>
    </row>
    <row r="70" spans="1:8">
      <c r="G70" s="244"/>
      <c r="H70" s="25"/>
    </row>
    <row r="71" spans="1:8">
      <c r="G71" s="244"/>
      <c r="H71" s="25"/>
    </row>
    <row r="72" spans="1:8">
      <c r="G72" s="244"/>
      <c r="H72" s="25"/>
    </row>
    <row r="73" spans="1:8">
      <c r="G73" s="244"/>
      <c r="H73" s="25"/>
    </row>
    <row r="74" spans="1:8">
      <c r="G74" s="244"/>
      <c r="H74" s="25"/>
    </row>
  </sheetData>
  <mergeCells count="10">
    <mergeCell ref="B4:E4"/>
    <mergeCell ref="B5:E5"/>
    <mergeCell ref="D8:D9"/>
    <mergeCell ref="E8:E9"/>
    <mergeCell ref="D18:D19"/>
    <mergeCell ref="E18:E19"/>
    <mergeCell ref="D12:D13"/>
    <mergeCell ref="E12:E13"/>
    <mergeCell ref="D15:D16"/>
    <mergeCell ref="E15:E16"/>
  </mergeCells>
  <phoneticPr fontId="1" type="noConversion"/>
  <hyperlinks>
    <hyperlink ref="I2" location="Summary!A1" display="Click here to return to Summary page"/>
  </hyperlink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Directions and Score</vt:lpstr>
      <vt:lpstr>Contact Info</vt:lpstr>
      <vt:lpstr>Recycling &amp; Events</vt:lpstr>
      <vt:lpstr>Energy</vt:lpstr>
      <vt:lpstr>Purchasing</vt:lpstr>
      <vt:lpstr>Reduction of Waste</vt:lpstr>
      <vt:lpstr>Transportation</vt:lpstr>
      <vt:lpstr>Innovation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SNAP</dc:creator>
  <cp:lastModifiedBy>Rachel Roberta Hawkins</cp:lastModifiedBy>
  <cp:lastPrinted>2009-09-29T17:53:40Z</cp:lastPrinted>
  <dcterms:created xsi:type="dcterms:W3CDTF">2009-07-20T23:47:41Z</dcterms:created>
  <dcterms:modified xsi:type="dcterms:W3CDTF">2012-03-07T18:56:17Z</dcterms:modified>
</cp:coreProperties>
</file>