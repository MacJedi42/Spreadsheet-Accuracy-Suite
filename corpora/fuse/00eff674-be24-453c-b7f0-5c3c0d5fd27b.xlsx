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90" yWindow="90" windowWidth="14610" windowHeight="8460" tabRatio="757"/>
  </bookViews>
  <sheets>
    <sheet name="Contract Calculator" sheetId="1" r:id="rId1"/>
    <sheet name="Mid Semester B Contract Hire" sheetId="5" r:id="rId2"/>
    <sheet name="UNSOM New Hire" sheetId="4" r:id="rId3"/>
    <sheet name="Academic Year" sheetId="6" r:id="rId4"/>
    <sheet name="B Term Mid Semester" sheetId="7" r:id="rId5"/>
    <sheet name="RETIREMENT PLANS" sheetId="2" state="hidden" r:id="rId6"/>
    <sheet name="Annual Updates" sheetId="8" state="hidden" r:id="rId7"/>
  </sheets>
  <externalReferences>
    <externalReference r:id="rId8"/>
  </externalReferences>
  <definedNames>
    <definedName name="days">#REF!</definedName>
    <definedName name="HOLIDAY" localSheetId="3">'[1]Mid Semester Start'!$F$9:$F$24</definedName>
    <definedName name="HOLIDAY">'Mid Semester B Contract Hire'!$G$9:$G$24</definedName>
    <definedName name="RET_CODE">'RETIREMENT PLANS'!$A$2:$A$15</definedName>
    <definedName name="RET_PLAN">'RETIREMENT PLANS'!$A$1:$C$15</definedName>
    <definedName name="RET_PLANS">'Contract Calculator'!#REF!</definedName>
    <definedName name="Yes_No">'Contract Calculator'!$E$33:$E$34</definedName>
  </definedNames>
  <calcPr calcId="145621"/>
</workbook>
</file>

<file path=xl/calcChain.xml><?xml version="1.0" encoding="utf-8"?>
<calcChain xmlns="http://schemas.openxmlformats.org/spreadsheetml/2006/main">
  <c r="D34" i="1" l="1"/>
  <c r="B17" i="6" l="1"/>
  <c r="B6" i="6"/>
  <c r="B22" i="6"/>
  <c r="B12" i="6"/>
  <c r="C10" i="1"/>
  <c r="C19" i="1"/>
  <c r="D22" i="1"/>
  <c r="G21" i="7" l="1"/>
  <c r="G19" i="7"/>
  <c r="G5" i="7"/>
  <c r="G17" i="7"/>
  <c r="G16" i="7"/>
  <c r="G15" i="7"/>
  <c r="F17" i="1"/>
  <c r="F21" i="1"/>
  <c r="F19" i="1"/>
  <c r="F16" i="1"/>
  <c r="F15" i="1"/>
  <c r="A27" i="1" l="1"/>
  <c r="D7" i="5"/>
  <c r="D42" i="5" s="1"/>
  <c r="A22" i="7" l="1"/>
  <c r="A21" i="1"/>
  <c r="I8" i="5"/>
  <c r="I9" i="5" s="1"/>
  <c r="J8" i="5"/>
  <c r="J9" i="5"/>
  <c r="G14" i="5"/>
  <c r="J14" i="5"/>
  <c r="G20" i="5"/>
  <c r="G21" i="5" s="1"/>
  <c r="C3" i="2"/>
  <c r="C4" i="2"/>
  <c r="C5" i="2"/>
  <c r="C6" i="2"/>
  <c r="C7" i="2"/>
  <c r="C8" i="2"/>
  <c r="C9" i="2"/>
  <c r="C10" i="2"/>
  <c r="C11" i="2"/>
  <c r="C12" i="2"/>
  <c r="C13" i="2"/>
  <c r="C14" i="2"/>
  <c r="C15" i="2"/>
  <c r="C2" i="2"/>
  <c r="I10" i="5" l="1"/>
  <c r="G22" i="5"/>
  <c r="G23" i="5" s="1"/>
  <c r="K16" i="5" s="1"/>
  <c r="C14" i="5"/>
  <c r="H6" i="7"/>
  <c r="G6" i="7"/>
  <c r="H5" i="7"/>
  <c r="H4" i="7"/>
  <c r="G4" i="7"/>
  <c r="B35" i="6"/>
  <c r="B33" i="6"/>
  <c r="B32" i="6"/>
  <c r="B30" i="6"/>
  <c r="A25" i="6"/>
  <c r="B18" i="6"/>
  <c r="B19" i="6"/>
  <c r="B10" i="6"/>
  <c r="B9" i="6"/>
  <c r="B8" i="6"/>
  <c r="B7" i="6"/>
  <c r="A15" i="6"/>
  <c r="A4" i="6"/>
  <c r="A2" i="6"/>
  <c r="B26" i="7"/>
  <c r="G20" i="7"/>
  <c r="C21" i="7"/>
  <c r="C25" i="7" s="1"/>
  <c r="C20" i="7"/>
  <c r="G18" i="7"/>
  <c r="C19" i="7"/>
  <c r="D16" i="7"/>
  <c r="A3" i="7"/>
  <c r="A32" i="1"/>
  <c r="C20" i="1"/>
  <c r="D6" i="5"/>
  <c r="A19" i="5" s="1"/>
  <c r="D16" i="1"/>
  <c r="F36" i="1"/>
  <c r="E36" i="1"/>
  <c r="B4" i="5"/>
  <c r="C16" i="5"/>
  <c r="C15" i="5"/>
  <c r="D5" i="5"/>
  <c r="B5" i="5"/>
  <c r="B6" i="5"/>
  <c r="B7" i="5"/>
  <c r="B8" i="5"/>
  <c r="B9" i="5"/>
  <c r="B10" i="5"/>
  <c r="L39" i="4"/>
  <c r="F37" i="4"/>
  <c r="C37" i="4"/>
  <c r="D35" i="4"/>
  <c r="E35" i="4" s="1"/>
  <c r="J35" i="4" s="1"/>
  <c r="E34" i="4"/>
  <c r="J34" i="4" s="1"/>
  <c r="E33" i="4"/>
  <c r="J33" i="4" s="1"/>
  <c r="C29" i="4"/>
  <c r="L17" i="4"/>
  <c r="F15" i="4"/>
  <c r="C15" i="4"/>
  <c r="D13" i="4"/>
  <c r="E13" i="4" s="1"/>
  <c r="J13" i="4" s="1"/>
  <c r="E12" i="4"/>
  <c r="J12" i="4" s="1"/>
  <c r="E11" i="4"/>
  <c r="J11" i="4" s="1"/>
  <c r="C7" i="4"/>
  <c r="A3" i="1"/>
  <c r="F20" i="1"/>
  <c r="F18" i="1"/>
  <c r="H16" i="1" l="1"/>
  <c r="H15" i="1"/>
  <c r="G16" i="1"/>
  <c r="G15" i="1"/>
  <c r="I15" i="1" s="1"/>
  <c r="G22" i="1" s="1"/>
  <c r="I5" i="7"/>
  <c r="K9" i="5"/>
  <c r="C26" i="1"/>
  <c r="D10" i="1"/>
  <c r="C18" i="5" s="1"/>
  <c r="D15" i="4"/>
  <c r="D37" i="4"/>
  <c r="E32" i="4"/>
  <c r="E37" i="4" s="1"/>
  <c r="L9" i="5"/>
  <c r="J10" i="5"/>
  <c r="L10" i="5" s="1"/>
  <c r="I11" i="5"/>
  <c r="I5" i="5"/>
  <c r="I4" i="5"/>
  <c r="J4" i="5" s="1"/>
  <c r="J5" i="5"/>
  <c r="F7" i="5"/>
  <c r="C35" i="5" s="1"/>
  <c r="K8" i="5"/>
  <c r="C30" i="6" s="1"/>
  <c r="B20" i="6"/>
  <c r="A34" i="6"/>
  <c r="B34" i="6"/>
  <c r="C27" i="7"/>
  <c r="A32" i="7" s="1"/>
  <c r="B11" i="6"/>
  <c r="A30" i="6"/>
  <c r="I4" i="7"/>
  <c r="J4" i="7" s="1"/>
  <c r="J5" i="7"/>
  <c r="G26" i="7"/>
  <c r="C37" i="7" s="1"/>
  <c r="C26" i="7"/>
  <c r="C22" i="7"/>
  <c r="A20" i="5"/>
  <c r="C22" i="5"/>
  <c r="E10" i="4"/>
  <c r="G11" i="4"/>
  <c r="G33" i="4"/>
  <c r="G12" i="4"/>
  <c r="G13" i="4"/>
  <c r="G34" i="4"/>
  <c r="G35" i="4"/>
  <c r="C21" i="1"/>
  <c r="C28" i="1" s="1"/>
  <c r="I16" i="1" l="1"/>
  <c r="G24" i="1" s="1"/>
  <c r="F26" i="1"/>
  <c r="C29" i="1"/>
  <c r="C30" i="1" s="1"/>
  <c r="C20" i="5"/>
  <c r="D20" i="5" s="1"/>
  <c r="C34" i="1"/>
  <c r="G32" i="4"/>
  <c r="G37" i="4" s="1"/>
  <c r="I6" i="5"/>
  <c r="J6" i="5"/>
  <c r="I12" i="5"/>
  <c r="J11" i="5"/>
  <c r="L11" i="5" s="1"/>
  <c r="C32" i="7"/>
  <c r="A33" i="7"/>
  <c r="C30" i="7"/>
  <c r="A30" i="7"/>
  <c r="J6" i="7"/>
  <c r="I6" i="7"/>
  <c r="C31" i="6"/>
  <c r="A31" i="6"/>
  <c r="G13" i="7"/>
  <c r="G23" i="7" s="1"/>
  <c r="C29" i="7"/>
  <c r="C35" i="7" s="1"/>
  <c r="C26" i="5"/>
  <c r="A27" i="5"/>
  <c r="C6" i="6"/>
  <c r="A24" i="5"/>
  <c r="A26" i="5"/>
  <c r="C24" i="5"/>
  <c r="C19" i="5"/>
  <c r="C23" i="5" s="1"/>
  <c r="L13" i="4"/>
  <c r="I13" i="4"/>
  <c r="I11" i="4"/>
  <c r="L11" i="4"/>
  <c r="L34" i="4"/>
  <c r="I34" i="4"/>
  <c r="H32" i="4"/>
  <c r="L35" i="4"/>
  <c r="I35" i="4"/>
  <c r="I33" i="4"/>
  <c r="L33" i="4"/>
  <c r="L12" i="4"/>
  <c r="I12" i="4"/>
  <c r="G10" i="4"/>
  <c r="E15" i="4"/>
  <c r="C25" i="5" l="1"/>
  <c r="C35" i="1"/>
  <c r="C31" i="5"/>
  <c r="C39" i="5"/>
  <c r="F24" i="1"/>
  <c r="G24" i="7"/>
  <c r="I13" i="5"/>
  <c r="J12" i="5"/>
  <c r="L12" i="5" s="1"/>
  <c r="D39" i="5"/>
  <c r="G22" i="7"/>
  <c r="C31" i="7"/>
  <c r="C33" i="7" s="1"/>
  <c r="C36" i="7" s="1"/>
  <c r="C7" i="6"/>
  <c r="C27" i="5"/>
  <c r="C30" i="5" s="1"/>
  <c r="C8" i="6"/>
  <c r="K12" i="4"/>
  <c r="M12" i="4" s="1"/>
  <c r="K35" i="4"/>
  <c r="M35" i="4" s="1"/>
  <c r="K34" i="4"/>
  <c r="M34" i="4"/>
  <c r="K13" i="4"/>
  <c r="M13" i="4" s="1"/>
  <c r="G15" i="4"/>
  <c r="I10" i="4"/>
  <c r="J10" i="4"/>
  <c r="J15" i="4" s="1"/>
  <c r="K33" i="4"/>
  <c r="M33" i="4" s="1"/>
  <c r="K11" i="4"/>
  <c r="M11" i="4" s="1"/>
  <c r="I32" i="4"/>
  <c r="J32" i="4"/>
  <c r="J37" i="4" s="1"/>
  <c r="L10" i="4" l="1"/>
  <c r="L15" i="4" s="1"/>
  <c r="L19" i="4" s="1"/>
  <c r="L13" i="5"/>
  <c r="J13" i="5"/>
  <c r="K13" i="5" s="1"/>
  <c r="I14" i="5"/>
  <c r="C38" i="7"/>
  <c r="C41" i="7" s="1"/>
  <c r="G25" i="7"/>
  <c r="C29" i="5"/>
  <c r="C33" i="5" s="1"/>
  <c r="F23" i="1"/>
  <c r="F22" i="1"/>
  <c r="C9" i="6"/>
  <c r="L32" i="4"/>
  <c r="L37" i="4" s="1"/>
  <c r="L41" i="4" s="1"/>
  <c r="I37" i="4"/>
  <c r="K32" i="4"/>
  <c r="K37" i="4" s="1"/>
  <c r="I15" i="4"/>
  <c r="K10" i="4"/>
  <c r="K15" i="4" s="1"/>
  <c r="F25" i="1" l="1"/>
  <c r="C32" i="1" s="1"/>
  <c r="M32" i="4"/>
  <c r="M37" i="4" s="1"/>
  <c r="M10" i="4"/>
  <c r="M15" i="4" s="1"/>
  <c r="L14" i="5"/>
  <c r="I15" i="5"/>
  <c r="K14" i="5"/>
  <c r="C42" i="5"/>
  <c r="C40" i="5"/>
  <c r="C36" i="5" s="1"/>
  <c r="A41" i="7"/>
  <c r="A33" i="6"/>
  <c r="C12" i="6"/>
  <c r="C13" i="6" s="1"/>
  <c r="C36" i="1"/>
  <c r="I16" i="5" l="1"/>
  <c r="J15" i="5"/>
  <c r="L15" i="5" s="1"/>
  <c r="C43" i="5"/>
  <c r="C44" i="5" s="1"/>
  <c r="C32" i="6"/>
  <c r="A32" i="6"/>
  <c r="C17" i="6"/>
  <c r="C33" i="6"/>
  <c r="I17" i="5" l="1"/>
  <c r="J16" i="5"/>
  <c r="L16" i="5" s="1"/>
  <c r="C19" i="6"/>
  <c r="I18" i="5" l="1"/>
  <c r="J17" i="5"/>
  <c r="L17" i="5" s="1"/>
  <c r="C20" i="6"/>
  <c r="J18" i="5" l="1"/>
  <c r="K18" i="5" s="1"/>
  <c r="L18" i="5"/>
  <c r="L20" i="5" s="1"/>
  <c r="I19" i="5"/>
  <c r="C21" i="6"/>
  <c r="J19" i="5" l="1"/>
  <c r="K19" i="5" s="1"/>
  <c r="K20" i="5" s="1"/>
  <c r="C35" i="6"/>
  <c r="A35" i="6"/>
  <c r="C25" i="6"/>
  <c r="C22" i="6"/>
  <c r="C23" i="6" s="1"/>
  <c r="A36" i="6" l="1"/>
  <c r="C36" i="6"/>
  <c r="C37" i="6" s="1"/>
</calcChain>
</file>

<file path=xl/sharedStrings.xml><?xml version="1.0" encoding="utf-8"?>
<sst xmlns="http://schemas.openxmlformats.org/spreadsheetml/2006/main" count="305" uniqueCount="195">
  <si>
    <t>RETIRE_PLAN</t>
  </si>
  <si>
    <t>EPR_REDUCE</t>
  </si>
  <si>
    <t>REDUCTION</t>
  </si>
  <si>
    <t>1</t>
  </si>
  <si>
    <t>2</t>
  </si>
  <si>
    <t>3</t>
  </si>
  <si>
    <t>5</t>
  </si>
  <si>
    <t>6</t>
  </si>
  <si>
    <t>7</t>
  </si>
  <si>
    <t>8</t>
  </si>
  <si>
    <t>G</t>
  </si>
  <si>
    <t>B</t>
  </si>
  <si>
    <t>D</t>
  </si>
  <si>
    <t>C</t>
  </si>
  <si>
    <t>4</t>
  </si>
  <si>
    <t>A</t>
  </si>
  <si>
    <t>F</t>
  </si>
  <si>
    <t>Yes</t>
  </si>
  <si>
    <t>No</t>
  </si>
  <si>
    <t>FTE:</t>
  </si>
  <si>
    <t>Reduction factor:</t>
  </si>
  <si>
    <t>2.5% Reduction:</t>
  </si>
  <si>
    <t>Base Salary:</t>
  </si>
  <si>
    <t>Stipend EPR reduced:</t>
  </si>
  <si>
    <t>Monthly Base Amount:</t>
  </si>
  <si>
    <t>Monthly Pay Rate:</t>
  </si>
  <si>
    <t>working days in the start month</t>
  </si>
  <si>
    <t>working days in the end month</t>
  </si>
  <si>
    <t>Months between start and end months</t>
  </si>
  <si>
    <t>Days worked in end month</t>
  </si>
  <si>
    <t>Pay for start month</t>
  </si>
  <si>
    <t>Pay for months between start/end</t>
  </si>
  <si>
    <t>Pay for end month</t>
  </si>
  <si>
    <t>Days worked in start month</t>
  </si>
  <si>
    <t>Last day of start month</t>
  </si>
  <si>
    <t>First day of end month</t>
  </si>
  <si>
    <t>Salary Detail Worksheet</t>
  </si>
  <si>
    <t>University of Nevada, Reno</t>
  </si>
  <si>
    <t>Name:</t>
  </si>
  <si>
    <t>Contract type:</t>
  </si>
  <si>
    <t>VP:</t>
  </si>
  <si>
    <t>Unit/Department:</t>
  </si>
  <si>
    <t>Title:</t>
  </si>
  <si>
    <t>Tenure Status:</t>
  </si>
  <si>
    <t>College/Division:</t>
  </si>
  <si>
    <t>SALARY CALCULATION</t>
  </si>
  <si>
    <t>Contract Start Date:</t>
  </si>
  <si>
    <t>Contract End Date:</t>
  </si>
  <si>
    <t>Monthly after Unpaid Leave Deduction:</t>
  </si>
  <si>
    <t>Salary Reduction Worksheet</t>
  </si>
  <si>
    <t>Before Cuts:</t>
  </si>
  <si>
    <t>Base Salary  (A)</t>
  </si>
  <si>
    <t>Salary   (A)</t>
  </si>
  <si>
    <t>Stipend</t>
  </si>
  <si>
    <t>Contract</t>
  </si>
  <si>
    <t>(B)</t>
  </si>
  <si>
    <t>(C)</t>
  </si>
  <si>
    <t>(D)</t>
  </si>
  <si>
    <t>Annual</t>
  </si>
  <si>
    <t xml:space="preserve">Annual </t>
  </si>
  <si>
    <t>Monthly</t>
  </si>
  <si>
    <t>Base Source:</t>
  </si>
  <si>
    <t>2.5% Reduction</t>
  </si>
  <si>
    <t>Adjusted Base</t>
  </si>
  <si>
    <t>FTE</t>
  </si>
  <si>
    <t>Monthly Base</t>
  </si>
  <si>
    <t>2.3 % Unpaid Leave</t>
  </si>
  <si>
    <t>Annual Adjusted</t>
  </si>
  <si>
    <t>Monthly Adjusted Pay</t>
  </si>
  <si>
    <t>State</t>
  </si>
  <si>
    <t>Practice Plan</t>
  </si>
  <si>
    <t>Hospital</t>
  </si>
  <si>
    <t>Grants</t>
  </si>
  <si>
    <t>Total</t>
  </si>
  <si>
    <t>(E) Annualized</t>
  </si>
  <si>
    <t>Adjusted Pay</t>
  </si>
  <si>
    <t>Salary Reduction Worksheet - Employer Paid PERS</t>
  </si>
  <si>
    <t xml:space="preserve">EPA Adj </t>
  </si>
  <si>
    <t>State w/EPA</t>
  </si>
  <si>
    <t>Soft w/EPA</t>
  </si>
  <si>
    <t>Other w/EPA</t>
  </si>
  <si>
    <t>Grants w/EPA</t>
  </si>
  <si>
    <t>Monthly Stipend Amount:</t>
  </si>
  <si>
    <t>Total Pay (Prorated Amount)</t>
  </si>
  <si>
    <t xml:space="preserve">   Position Number: </t>
  </si>
  <si>
    <t>Enter semester and Fiscal Year start and end dates</t>
  </si>
  <si>
    <t>Start Date</t>
  </si>
  <si>
    <t>End Date</t>
  </si>
  <si>
    <t>Wk days</t>
  </si>
  <si>
    <t>Worked</t>
  </si>
  <si>
    <t>Fall Semester:</t>
  </si>
  <si>
    <t>Spring Semester:</t>
  </si>
  <si>
    <t>Fiscal Year:</t>
  </si>
  <si>
    <t>Enter</t>
  </si>
  <si>
    <t>Holiday</t>
  </si>
  <si>
    <t>July</t>
  </si>
  <si>
    <t>Independence Day</t>
  </si>
  <si>
    <t>August</t>
  </si>
  <si>
    <t>Labor Day</t>
  </si>
  <si>
    <t>September</t>
  </si>
  <si>
    <t>Nevada Day</t>
  </si>
  <si>
    <t>October</t>
  </si>
  <si>
    <t>Veterans Day</t>
  </si>
  <si>
    <t>November</t>
  </si>
  <si>
    <t>Thanksgiving</t>
  </si>
  <si>
    <t>December</t>
  </si>
  <si>
    <t>Family Day</t>
  </si>
  <si>
    <t>January</t>
  </si>
  <si>
    <t>Christmas</t>
  </si>
  <si>
    <t>February</t>
  </si>
  <si>
    <t>New Years</t>
  </si>
  <si>
    <t>March</t>
  </si>
  <si>
    <t>Martin Luther King Day</t>
  </si>
  <si>
    <t>April</t>
  </si>
  <si>
    <t>Presidents Day</t>
  </si>
  <si>
    <t>May</t>
  </si>
  <si>
    <t>Spring Break</t>
  </si>
  <si>
    <t>June</t>
  </si>
  <si>
    <t>Memorial Day</t>
  </si>
  <si>
    <t>UNIVERSITY OF NEVADA, RENO</t>
  </si>
  <si>
    <t>"B" FACULTY CONTRACTUAL DAYS</t>
  </si>
  <si>
    <t>Contractual Days</t>
  </si>
  <si>
    <t>TOTAL FALL CONTRACTUAL DAYS:</t>
  </si>
  <si>
    <t>TOTAL SPRING CONTRACTUAL DAYS:</t>
  </si>
  <si>
    <t>Available for extra duty assignments or overload</t>
  </si>
  <si>
    <t>Days</t>
  </si>
  <si>
    <t xml:space="preserve">FTE: </t>
  </si>
  <si>
    <t xml:space="preserve">Beginning Semester </t>
  </si>
  <si>
    <t xml:space="preserve">Daily Rate (Pay Per Semester/Contractual Days in Semester) </t>
  </si>
  <si>
    <t xml:space="preserve">Fall Semester Pay </t>
  </si>
  <si>
    <t xml:space="preserve">Spring Semester Pay </t>
  </si>
  <si>
    <t xml:space="preserve">Number of Months Worked </t>
  </si>
  <si>
    <t xml:space="preserve">Base Salary: </t>
  </si>
  <si>
    <t xml:space="preserve">2.5% Salary Reduction: </t>
  </si>
  <si>
    <t xml:space="preserve">Employee Paid Retirement (EPR) Factor: </t>
  </si>
  <si>
    <t xml:space="preserve">Contract Amount: </t>
  </si>
  <si>
    <t xml:space="preserve">Pay Per Semester (Annualized Base Salary/2) </t>
  </si>
  <si>
    <t xml:space="preserve">Prorated Stipend </t>
  </si>
  <si>
    <t>"B" Contract Mid Semester Hire</t>
  </si>
  <si>
    <t>Fiscal year begin &amp; end dates</t>
  </si>
  <si>
    <t>Non Contract</t>
  </si>
  <si>
    <t xml:space="preserve">   Rank or Range: </t>
  </si>
  <si>
    <t xml:space="preserve">Retirement Plan: </t>
  </si>
  <si>
    <t xml:space="preserve">Start Date: </t>
  </si>
  <si>
    <t>Annual Stipend:</t>
  </si>
  <si>
    <t>Prorated Stipend</t>
  </si>
  <si>
    <t>2.3% Monthly Unpaid Leave Deduction:</t>
  </si>
  <si>
    <t>Excludes weekends and holidays</t>
  </si>
  <si>
    <t>"B" FACULTY NON-CONTRACTUAL DAYS</t>
  </si>
  <si>
    <t>TOTAL NON-CONTRACTUAL DAYS:</t>
  </si>
  <si>
    <t xml:space="preserve">Academic Calendar </t>
  </si>
  <si>
    <t>Contractual days exclude holidays</t>
  </si>
  <si>
    <t>TERM SEMESTER:</t>
  </si>
  <si>
    <t>Fall Semester Pay Earned</t>
  </si>
  <si>
    <t>Spring Semester Pay Earned</t>
  </si>
  <si>
    <t>Stipend Earned</t>
  </si>
  <si>
    <t>Total Pay earned:</t>
  </si>
  <si>
    <t>Observed Dt</t>
  </si>
  <si>
    <t>Report Date</t>
  </si>
  <si>
    <t>Release Date</t>
  </si>
  <si>
    <t>Fiscal Year begin and end dates:</t>
  </si>
  <si>
    <t>Monthly Base Pay after Unpaid Leave Deduction:</t>
  </si>
  <si>
    <t xml:space="preserve">Monthly Base Pay Amount: </t>
  </si>
  <si>
    <t xml:space="preserve">Monthly Stipend Amount:  </t>
  </si>
  <si>
    <t>`</t>
  </si>
  <si>
    <t>Annualized Pay after Unpaid Leave:</t>
  </si>
  <si>
    <t>Base Pay after Unpaid Leave:</t>
  </si>
  <si>
    <t>WITH EPA ADJUSTMENT OF .88594</t>
  </si>
  <si>
    <t>Furlough Exempt:</t>
  </si>
  <si>
    <t>Complete all shaded fields below.</t>
  </si>
  <si>
    <t>Salary Reduction:</t>
  </si>
  <si>
    <t>WORKSHEET RANGE NAMES</t>
  </si>
  <si>
    <t>RET_PLAN</t>
  </si>
  <si>
    <t>A:1-C:15</t>
  </si>
  <si>
    <t>RET_CODE</t>
  </si>
  <si>
    <t>A:2-A:15</t>
  </si>
  <si>
    <t>RANGE</t>
  </si>
  <si>
    <t>ANNUAL UPDATES:</t>
  </si>
  <si>
    <t>Update the EPR reduction factor in the EPR_REDUCE column.</t>
  </si>
  <si>
    <t>Range Name: Yes_No</t>
  </si>
  <si>
    <t>Additional Annual Stipend/Other:</t>
  </si>
  <si>
    <t>Salary Reduction factor:</t>
  </si>
  <si>
    <t>EPR Reduction factor:</t>
  </si>
  <si>
    <t>Edit only the cells detailed in the instructions below. This workbook is highly automated; making changes to a cell other than those detailed will damage the entire workbook’s calculations.</t>
  </si>
  <si>
    <t xml:space="preserve">2. Enter the fiscal year begin and end dates located in cells G6: H6 on the Mid Semester “B” Contract Hire worksheet. </t>
  </si>
  <si>
    <t xml:space="preserve">4. If an EPR reduction factor change is approved, edit the EPR_REDUCE column on the hidden RETIREMENT_PLANS. The manager of Benefits can provide you the new factor. </t>
  </si>
  <si>
    <t>Annual Updates</t>
  </si>
  <si>
    <r>
      <t xml:space="preserve">3. Edit the observed dates of the eleven state holidays. </t>
    </r>
    <r>
      <rPr>
        <i/>
        <u/>
        <sz val="12"/>
        <color theme="1"/>
        <rFont val="Calibri"/>
        <family val="2"/>
      </rPr>
      <t>Only edit the dates of the highlighted cells</t>
    </r>
    <r>
      <rPr>
        <sz val="12"/>
        <color theme="1"/>
        <rFont val="Calibri"/>
        <family val="2"/>
      </rPr>
      <t xml:space="preserve">. Enter the date of the Monday of the start of spring break week. The dates for Spring Break can be found on the university’s Academic Calendar. </t>
    </r>
  </si>
  <si>
    <t>Additional Stipend:</t>
  </si>
  <si>
    <t>Enter Salary plus Stipend amount paid to date:</t>
  </si>
  <si>
    <t>1. Update the faculty report date and release dates for the Fall and Spring semesters located in the hidden columns G and H on the Mid Semester “B” Contract Hire worksheet. For the Fall semester, faculty are required to report on the Monday, one week prior to the first day of classes and are released on the Friday after instruction ends. Faculty report for the Spring semester on the Tuesday, the week prior to the first day of class and are released the following Monday after instruction ends.  The first day of classes and instruction end dates can be found on the university’s Academic Calendar. Disregard the faculty reporting and release dates published in the Academic Calendar, these dates were voted by the Faculty Senate but not approved by administration.</t>
  </si>
  <si>
    <t xml:space="preserve">RET_CODES list the retirement codes
RET_PLAN is the named range used to lookup the EPR reduction factor.
HOLIDAY is located on the Mid Semester “B” Contract Hire worksheet in hidden columns G9:G24
</t>
  </si>
  <si>
    <t>Named ranges used in formulas:</t>
  </si>
  <si>
    <t>Daily Rate</t>
  </si>
  <si>
    <t>STP Daily</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</si>
</sst>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0.000000"/>
    <numFmt numFmtId="165" formatCode="#,##0.000000"/>
    <numFmt numFmtId="166" formatCode="&quot;$&quot;#,##0.00"/>
    <numFmt numFmtId="167" formatCode="#,##0.000000_);\(#,##0.000000\)"/>
  </numFmts>
  <fonts count="93" x14ac:knownFonts="1">
    <font>
      <sz val="10"/>
      <color theme="1"/>
      <name val="Calibri"/>
      <family val="2"/>
    </font>
    <font>
      <sz val="10"/>
      <color theme="1"/>
      <name val="Calibri"/>
      <family val="2"/>
    </font>
    <font>
      <sz val="10"/>
      <color indexed="8"/>
      <name val="Times New Roman"/>
      <family val="1"/>
    </font>
    <font>
      <sz val="10"/>
      <color indexed="8"/>
      <name val="Arial"/>
      <family val="2"/>
    </font>
    <font>
      <sz val="12"/>
      <color theme="1"/>
      <name val="Calibri"/>
      <family val="2"/>
    </font>
    <font>
      <b/>
      <sz val="12"/>
      <color theme="1"/>
      <name val="Calibri"/>
      <family val="2"/>
    </font>
    <font>
      <sz val="12"/>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name val="Times New Roman"/>
      <family val="1"/>
    </font>
    <font>
      <sz val="14"/>
      <color theme="1"/>
      <name val="Calibri"/>
      <family val="2"/>
    </font>
    <font>
      <b/>
      <sz val="14"/>
      <color theme="1"/>
      <name val="Calibri"/>
      <family val="2"/>
    </font>
    <font>
      <sz val="10"/>
      <name val="Times New Roman"/>
      <family val="1"/>
    </font>
    <font>
      <b/>
      <sz val="24"/>
      <color theme="1"/>
      <name val="Calibri"/>
      <family val="2"/>
    </font>
    <font>
      <sz val="18"/>
      <color theme="1"/>
      <name val="Calibri"/>
      <family val="2"/>
    </font>
    <font>
      <sz val="16"/>
      <color theme="1"/>
      <name val="Times New Roman"/>
      <family val="1"/>
    </font>
    <font>
      <b/>
      <sz val="8"/>
      <color theme="1"/>
      <name val="Calibri"/>
      <family val="2"/>
    </font>
    <font>
      <sz val="12"/>
      <name val="Times New Roman"/>
      <family val="1"/>
    </font>
    <font>
      <b/>
      <sz val="14"/>
      <color theme="1"/>
      <name val="Calibri"/>
      <family val="2"/>
      <scheme val="minor"/>
    </font>
    <font>
      <sz val="11"/>
      <color theme="1"/>
      <name val="Calibri"/>
      <family val="2"/>
      <scheme val="minor"/>
    </font>
    <font>
      <sz val="11"/>
      <color theme="4"/>
      <name val="Calibri"/>
      <family val="2"/>
      <scheme val="minor"/>
    </font>
    <font>
      <b/>
      <sz val="11"/>
      <color theme="1"/>
      <name val="Calibri"/>
      <family val="2"/>
      <scheme val="minor"/>
    </font>
    <font>
      <b/>
      <sz val="11"/>
      <color theme="1"/>
      <name val="Calibri"/>
      <family val="2"/>
    </font>
    <font>
      <b/>
      <sz val="10"/>
      <color rgb="FFFF0000"/>
      <name val="Times New Roman"/>
      <family val="1"/>
    </font>
    <font>
      <b/>
      <sz val="10"/>
      <color rgb="FFFF0000"/>
      <name val="Calibri"/>
      <family val="2"/>
    </font>
    <font>
      <b/>
      <sz val="13"/>
      <color theme="1"/>
      <name val="Calibri"/>
      <family val="2"/>
    </font>
    <font>
      <sz val="10"/>
      <name val="Arial"/>
      <family val="2"/>
    </font>
    <font>
      <b/>
      <sz val="24"/>
      <name val="Calibri"/>
      <family val="2"/>
      <scheme val="minor"/>
    </font>
    <font>
      <sz val="12"/>
      <name val="Arial"/>
      <family val="2"/>
    </font>
    <font>
      <sz val="18"/>
      <name val="Times New Roman"/>
      <family val="1"/>
    </font>
    <font>
      <b/>
      <i/>
      <sz val="12"/>
      <name val="Arial"/>
      <family val="2"/>
    </font>
    <font>
      <sz val="16"/>
      <name val="Times New Roman"/>
      <family val="1"/>
    </font>
    <font>
      <b/>
      <sz val="10"/>
      <name val="Arial"/>
      <family val="2"/>
    </font>
    <font>
      <b/>
      <sz val="12"/>
      <name val="Arial"/>
      <family val="2"/>
    </font>
    <font>
      <sz val="11"/>
      <name val="Arial"/>
      <family val="2"/>
    </font>
    <font>
      <b/>
      <u/>
      <sz val="14"/>
      <name val="Times New Roman"/>
      <family val="1"/>
    </font>
    <font>
      <b/>
      <i/>
      <u/>
      <sz val="12"/>
      <name val="Times New Roman"/>
      <family val="1"/>
    </font>
    <font>
      <b/>
      <i/>
      <u/>
      <sz val="11"/>
      <name val="Times New Roman"/>
      <family val="1"/>
    </font>
    <font>
      <sz val="11"/>
      <name val="Times New Roman"/>
      <family val="1"/>
    </font>
    <font>
      <b/>
      <i/>
      <sz val="12"/>
      <name val="Times New Roman"/>
      <family val="1"/>
    </font>
    <font>
      <b/>
      <i/>
      <u/>
      <sz val="10"/>
      <name val="Times New Roman"/>
      <family val="1"/>
    </font>
    <font>
      <b/>
      <sz val="11"/>
      <name val="Times New Roman"/>
      <family val="1"/>
    </font>
    <font>
      <b/>
      <sz val="12"/>
      <name val="Calibri"/>
      <family val="2"/>
      <scheme val="minor"/>
    </font>
    <font>
      <sz val="11"/>
      <name val="Calibri"/>
      <family val="2"/>
      <scheme val="minor"/>
    </font>
    <font>
      <sz val="10"/>
      <name val="Calibri"/>
      <family val="2"/>
      <scheme val="minor"/>
    </font>
    <font>
      <sz val="12"/>
      <name val="Calibri"/>
      <family val="2"/>
      <scheme val="minor"/>
    </font>
    <font>
      <b/>
      <sz val="12"/>
      <color theme="1"/>
      <name val="Calibri"/>
      <family val="2"/>
      <scheme val="minor"/>
    </font>
    <font>
      <sz val="11.5"/>
      <color theme="1"/>
      <name val="Calibri"/>
      <family val="2"/>
      <scheme val="minor"/>
    </font>
    <font>
      <b/>
      <sz val="14"/>
      <name val="Calibri"/>
      <family val="2"/>
      <scheme val="minor"/>
    </font>
    <font>
      <b/>
      <sz val="8"/>
      <name val="Arial"/>
      <family val="2"/>
    </font>
    <font>
      <b/>
      <i/>
      <sz val="14"/>
      <color rgb="FFFF0000"/>
      <name val="Calibri"/>
      <family val="2"/>
    </font>
    <font>
      <b/>
      <sz val="13"/>
      <name val="Calibri"/>
      <family val="2"/>
      <scheme val="minor"/>
    </font>
    <font>
      <b/>
      <i/>
      <sz val="11"/>
      <color rgb="FFFF0000"/>
      <name val="Calibri"/>
      <family val="2"/>
    </font>
    <font>
      <b/>
      <sz val="20"/>
      <name val="Times New Roman"/>
      <family val="1"/>
    </font>
    <font>
      <sz val="20"/>
      <color theme="1"/>
      <name val="Times New Roman"/>
      <family val="1"/>
    </font>
    <font>
      <sz val="12"/>
      <name val="Calibri"/>
      <family val="2"/>
    </font>
    <font>
      <sz val="8"/>
      <color rgb="FFFF0000"/>
      <name val="Calibri"/>
      <family val="2"/>
    </font>
    <font>
      <b/>
      <sz val="13"/>
      <name val="Calibri"/>
      <family val="2"/>
    </font>
    <font>
      <b/>
      <sz val="14"/>
      <color rgb="FFFF0000"/>
      <name val="Calibri"/>
      <family val="2"/>
    </font>
    <font>
      <sz val="8"/>
      <name val="Arial"/>
      <family val="2"/>
    </font>
    <font>
      <sz val="12"/>
      <color theme="0"/>
      <name val="Calibri"/>
      <family val="2"/>
      <scheme val="minor"/>
    </font>
    <font>
      <b/>
      <sz val="12"/>
      <name val="Calibri"/>
      <family val="2"/>
    </font>
    <font>
      <sz val="12"/>
      <color theme="1"/>
      <name val="Symbol"/>
      <family val="1"/>
      <charset val="2"/>
    </font>
    <font>
      <sz val="13"/>
      <name val="Arial"/>
      <family val="2"/>
    </font>
    <font>
      <i/>
      <sz val="8"/>
      <name val="Calibri"/>
      <family val="2"/>
      <scheme val="minor"/>
    </font>
    <font>
      <b/>
      <i/>
      <sz val="8"/>
      <name val="Calibri"/>
      <family val="2"/>
      <scheme val="minor"/>
    </font>
    <font>
      <b/>
      <sz val="13"/>
      <name val="Arial"/>
      <family val="2"/>
    </font>
    <font>
      <b/>
      <sz val="18"/>
      <color theme="1"/>
      <name val="Calibri"/>
      <family val="2"/>
    </font>
    <font>
      <sz val="12"/>
      <color theme="0"/>
      <name val="Calibri"/>
      <family val="2"/>
    </font>
    <font>
      <b/>
      <sz val="13"/>
      <color theme="0"/>
      <name val="Calibri"/>
      <family val="2"/>
    </font>
    <font>
      <b/>
      <i/>
      <sz val="11"/>
      <color theme="0"/>
      <name val="Calibri"/>
      <family val="2"/>
    </font>
    <font>
      <b/>
      <sz val="10"/>
      <color theme="1"/>
      <name val="Calibri"/>
      <family val="2"/>
    </font>
    <font>
      <sz val="8"/>
      <color theme="1"/>
      <name val="Calibri"/>
      <family val="2"/>
    </font>
    <font>
      <b/>
      <sz val="11"/>
      <name val="Arial"/>
      <family val="2"/>
    </font>
    <font>
      <b/>
      <u/>
      <sz val="18"/>
      <color theme="1"/>
      <name val="Calibri"/>
      <family val="2"/>
    </font>
    <font>
      <i/>
      <u/>
      <sz val="12"/>
      <color theme="1"/>
      <name val="Calibri"/>
      <family val="2"/>
    </font>
    <font>
      <b/>
      <sz val="11"/>
      <name val="Calibri"/>
      <family val="2"/>
    </font>
    <font>
      <b/>
      <sz val="14"/>
      <color rgb="FFFF0000"/>
      <name val="Calibri"/>
      <family val="2"/>
      <scheme val="minor"/>
    </font>
  </fonts>
  <fills count="30">
    <fill>
      <patternFill patternType="none"/>
    </fill>
    <fill>
      <patternFill patternType="gray125"/>
    </fill>
    <fill>
      <patternFill patternType="solid">
        <fgColor indexed="22"/>
        <bgColor indexed="0"/>
      </patternFill>
    </fill>
    <fill>
      <patternFill patternType="solid">
        <fgColor theme="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s>
  <borders count="49">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right style="medium">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s>
  <cellStyleXfs count="52">
    <xf numFmtId="0" fontId="0" fillId="0" borderId="0"/>
    <xf numFmtId="44" fontId="1" fillId="0" borderId="0" applyFont="0" applyFill="0" applyBorder="0" applyAlignment="0" applyProtection="0"/>
    <xf numFmtId="0" fontId="3" fillId="0" borderId="0"/>
    <xf numFmtId="0" fontId="6" fillId="0" borderId="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8" fillId="15"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22" borderId="0" applyNumberFormat="0" applyBorder="0" applyAlignment="0" applyProtection="0"/>
    <xf numFmtId="0" fontId="9" fillId="6" borderId="0" applyNumberFormat="0" applyBorder="0" applyAlignment="0" applyProtection="0"/>
    <xf numFmtId="0" fontId="10" fillId="23" borderId="3" applyNumberFormat="0" applyAlignment="0" applyProtection="0"/>
    <xf numFmtId="0" fontId="11" fillId="24" borderId="4" applyNumberFormat="0" applyAlignment="0" applyProtection="0"/>
    <xf numFmtId="43" fontId="6" fillId="0" borderId="0" applyFont="0" applyFill="0" applyBorder="0" applyAlignment="0" applyProtection="0"/>
    <xf numFmtId="44" fontId="6" fillId="0" borderId="0" applyFont="0" applyFill="0" applyBorder="0" applyAlignment="0" applyProtection="0"/>
    <xf numFmtId="0" fontId="12" fillId="0" borderId="0" applyNumberFormat="0" applyFill="0" applyBorder="0" applyAlignment="0" applyProtection="0"/>
    <xf numFmtId="0" fontId="13" fillId="7" borderId="0" applyNumberFormat="0" applyBorder="0" applyAlignment="0" applyProtection="0"/>
    <xf numFmtId="0" fontId="14" fillId="0" borderId="5"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7" fillId="10" borderId="3" applyNumberFormat="0" applyAlignment="0" applyProtection="0"/>
    <xf numFmtId="0" fontId="18" fillId="0" borderId="8" applyNumberFormat="0" applyFill="0" applyAlignment="0" applyProtection="0"/>
    <xf numFmtId="0" fontId="19" fillId="25" borderId="0" applyNumberFormat="0" applyBorder="0" applyAlignment="0" applyProtection="0"/>
    <xf numFmtId="0" fontId="7" fillId="26" borderId="1" applyNumberFormat="0" applyFont="0" applyAlignment="0" applyProtection="0"/>
    <xf numFmtId="0" fontId="20" fillId="23" borderId="9" applyNumberFormat="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0" borderId="0" applyNumberFormat="0" applyFill="0" applyBorder="0" applyAlignment="0" applyProtection="0"/>
    <xf numFmtId="0" fontId="32" fillId="0" borderId="0"/>
    <xf numFmtId="43" fontId="32" fillId="0" borderId="0" applyFont="0" applyFill="0" applyBorder="0" applyAlignment="0" applyProtection="0"/>
    <xf numFmtId="0" fontId="41" fillId="0" borderId="0"/>
    <xf numFmtId="0" fontId="1" fillId="0" borderId="0"/>
    <xf numFmtId="44" fontId="1" fillId="0" borderId="0" applyFont="0" applyFill="0" applyBorder="0" applyAlignment="0" applyProtection="0"/>
  </cellStyleXfs>
  <cellXfs count="398">
    <xf numFmtId="0" fontId="0" fillId="0" borderId="0" xfId="0"/>
    <xf numFmtId="49" fontId="0" fillId="0" borderId="0" xfId="0" applyNumberFormat="1"/>
    <xf numFmtId="164" fontId="0" fillId="0" borderId="0" xfId="0" applyNumberFormat="1"/>
    <xf numFmtId="14" fontId="5" fillId="4" borderId="2" xfId="0" applyNumberFormat="1" applyFont="1" applyFill="1" applyBorder="1" applyProtection="1">
      <protection locked="0"/>
    </xf>
    <xf numFmtId="0" fontId="25" fillId="3" borderId="0" xfId="0" applyFont="1" applyFill="1"/>
    <xf numFmtId="0" fontId="4" fillId="3" borderId="0" xfId="0" applyFont="1" applyFill="1"/>
    <xf numFmtId="0" fontId="0" fillId="3" borderId="0" xfId="0" applyFill="1"/>
    <xf numFmtId="49" fontId="0" fillId="3" borderId="0" xfId="0" applyNumberFormat="1" applyFill="1" applyBorder="1"/>
    <xf numFmtId="49" fontId="2" fillId="3" borderId="0" xfId="2" applyNumberFormat="1" applyFont="1" applyFill="1" applyBorder="1" applyAlignment="1">
      <alignment wrapText="1"/>
    </xf>
    <xf numFmtId="0" fontId="27" fillId="3" borderId="2" xfId="3" applyFont="1" applyFill="1" applyBorder="1"/>
    <xf numFmtId="1" fontId="1" fillId="3" borderId="2" xfId="0" applyNumberFormat="1" applyFont="1" applyFill="1" applyBorder="1"/>
    <xf numFmtId="14" fontId="1" fillId="3" borderId="2" xfId="0" applyNumberFormat="1" applyFont="1" applyFill="1" applyBorder="1"/>
    <xf numFmtId="2" fontId="1" fillId="3" borderId="2" xfId="0" applyNumberFormat="1" applyFont="1" applyFill="1" applyBorder="1"/>
    <xf numFmtId="0" fontId="25" fillId="3" borderId="16" xfId="0" applyFont="1" applyFill="1" applyBorder="1"/>
    <xf numFmtId="0" fontId="25" fillId="3" borderId="18" xfId="0" applyFont="1" applyFill="1" applyBorder="1"/>
    <xf numFmtId="0" fontId="25" fillId="3" borderId="19" xfId="0" applyFont="1" applyFill="1" applyBorder="1"/>
    <xf numFmtId="0" fontId="4" fillId="3" borderId="2" xfId="0" applyFont="1" applyFill="1" applyBorder="1"/>
    <xf numFmtId="44" fontId="4" fillId="3" borderId="2" xfId="1" applyFont="1" applyFill="1" applyBorder="1"/>
    <xf numFmtId="44" fontId="4" fillId="3" borderId="2" xfId="0" applyNumberFormat="1" applyFont="1" applyFill="1" applyBorder="1"/>
    <xf numFmtId="0" fontId="5" fillId="3" borderId="0" xfId="0" applyFont="1" applyFill="1" applyBorder="1" applyAlignment="1">
      <alignment horizontal="right"/>
    </xf>
    <xf numFmtId="0" fontId="0" fillId="3" borderId="15" xfId="0" applyFill="1" applyBorder="1"/>
    <xf numFmtId="14" fontId="26" fillId="3" borderId="16" xfId="0" applyNumberFormat="1" applyFont="1" applyFill="1" applyBorder="1" applyProtection="1">
      <protection locked="0"/>
    </xf>
    <xf numFmtId="44" fontId="26" fillId="3" borderId="16" xfId="1" applyFont="1" applyFill="1" applyBorder="1"/>
    <xf numFmtId="10" fontId="26" fillId="3" borderId="16" xfId="0" applyNumberFormat="1" applyFont="1" applyFill="1" applyBorder="1"/>
    <xf numFmtId="44" fontId="25" fillId="3" borderId="16" xfId="1" applyFont="1" applyFill="1" applyBorder="1"/>
    <xf numFmtId="0" fontId="4" fillId="3" borderId="0" xfId="0" applyFont="1" applyFill="1" applyBorder="1"/>
    <xf numFmtId="0" fontId="0" fillId="3" borderId="17" xfId="0" applyFill="1" applyBorder="1"/>
    <xf numFmtId="44" fontId="5" fillId="4" borderId="2" xfId="1" applyFont="1" applyFill="1" applyBorder="1" applyProtection="1">
      <protection locked="0"/>
    </xf>
    <xf numFmtId="10" fontId="5" fillId="4" borderId="2" xfId="0" applyNumberFormat="1" applyFont="1" applyFill="1" applyBorder="1" applyProtection="1">
      <protection locked="0"/>
    </xf>
    <xf numFmtId="44" fontId="4" fillId="4" borderId="2" xfId="1" applyFont="1" applyFill="1" applyBorder="1" applyProtection="1">
      <protection locked="0"/>
    </xf>
    <xf numFmtId="0" fontId="4" fillId="4" borderId="2" xfId="0" applyFont="1" applyFill="1" applyBorder="1" applyProtection="1">
      <protection locked="0"/>
    </xf>
    <xf numFmtId="0" fontId="4" fillId="4" borderId="2" xfId="0" applyFont="1" applyFill="1" applyBorder="1" applyAlignment="1" applyProtection="1">
      <alignment horizontal="left"/>
      <protection locked="0"/>
    </xf>
    <xf numFmtId="0" fontId="4" fillId="4" borderId="2" xfId="0" applyFont="1" applyFill="1" applyBorder="1" applyAlignment="1" applyProtection="1">
      <protection locked="0"/>
    </xf>
    <xf numFmtId="0" fontId="33" fillId="0" borderId="0" xfId="47" applyFont="1" applyAlignment="1">
      <alignment horizontal="centerContinuous"/>
    </xf>
    <xf numFmtId="43" fontId="33" fillId="0" borderId="0" xfId="48" applyFont="1" applyAlignment="1">
      <alignment horizontal="centerContinuous"/>
    </xf>
    <xf numFmtId="0" fontId="32" fillId="0" borderId="0" xfId="47"/>
    <xf numFmtId="43" fontId="34" fillId="0" borderId="0" xfId="48" applyFont="1"/>
    <xf numFmtId="0" fontId="32" fillId="0" borderId="12" xfId="47" applyBorder="1"/>
    <xf numFmtId="0" fontId="32" fillId="0" borderId="13" xfId="47" applyBorder="1"/>
    <xf numFmtId="43" fontId="34" fillId="0" borderId="14" xfId="48" applyFont="1" applyBorder="1"/>
    <xf numFmtId="0" fontId="32" fillId="0" borderId="15" xfId="47" applyBorder="1"/>
    <xf numFmtId="0" fontId="32" fillId="0" borderId="0" xfId="47" applyBorder="1"/>
    <xf numFmtId="43" fontId="34" fillId="0" borderId="16" xfId="48" applyFont="1" applyBorder="1"/>
    <xf numFmtId="43" fontId="35" fillId="0" borderId="16" xfId="48" applyFont="1" applyBorder="1" applyProtection="1">
      <protection locked="0"/>
    </xf>
    <xf numFmtId="0" fontId="32" fillId="0" borderId="24" xfId="47" applyBorder="1"/>
    <xf numFmtId="0" fontId="32" fillId="0" borderId="25" xfId="47" applyBorder="1"/>
    <xf numFmtId="43" fontId="34" fillId="0" borderId="26" xfId="48" applyFont="1" applyBorder="1"/>
    <xf numFmtId="0" fontId="34" fillId="0" borderId="0" xfId="48" applyNumberFormat="1" applyFont="1" applyAlignment="1">
      <alignment horizontal="center"/>
    </xf>
    <xf numFmtId="0" fontId="32" fillId="0" borderId="0" xfId="47" applyAlignment="1">
      <alignment horizontal="center"/>
    </xf>
    <xf numFmtId="43" fontId="36" fillId="0" borderId="0" xfId="48" applyFont="1" applyAlignment="1">
      <alignment horizontal="center"/>
    </xf>
    <xf numFmtId="0" fontId="36" fillId="0" borderId="0" xfId="47" applyFont="1" applyAlignment="1">
      <alignment horizontal="center"/>
    </xf>
    <xf numFmtId="0" fontId="36" fillId="0" borderId="15" xfId="47" applyFont="1" applyBorder="1" applyAlignment="1">
      <alignment vertical="center"/>
    </xf>
    <xf numFmtId="0" fontId="36" fillId="0" borderId="0" xfId="47" applyFont="1" applyBorder="1" applyAlignment="1">
      <alignment vertical="center"/>
    </xf>
    <xf numFmtId="43" fontId="36" fillId="0" borderId="16" xfId="48" applyFont="1" applyBorder="1" applyAlignment="1">
      <alignment vertical="center"/>
    </xf>
    <xf numFmtId="43" fontId="36" fillId="0" borderId="0" xfId="48" applyFont="1" applyAlignment="1">
      <alignment horizontal="center" vertical="center" wrapText="1"/>
    </xf>
    <xf numFmtId="0" fontId="36" fillId="0" borderId="0" xfId="47" applyFont="1" applyAlignment="1">
      <alignment horizontal="center" vertical="center" wrapText="1"/>
    </xf>
    <xf numFmtId="43" fontId="32" fillId="0" borderId="0" xfId="47" applyNumberFormat="1"/>
    <xf numFmtId="43" fontId="34" fillId="0" borderId="0" xfId="48" applyFont="1" applyAlignment="1">
      <alignment horizontal="center"/>
    </xf>
    <xf numFmtId="43" fontId="35" fillId="0" borderId="27" xfId="48" applyFont="1" applyBorder="1" applyProtection="1">
      <protection locked="0"/>
    </xf>
    <xf numFmtId="43" fontId="34" fillId="0" borderId="28" xfId="48" applyFont="1" applyBorder="1"/>
    <xf numFmtId="43" fontId="32" fillId="0" borderId="28" xfId="47" applyNumberFormat="1" applyBorder="1"/>
    <xf numFmtId="43" fontId="34" fillId="0" borderId="28" xfId="48" applyFont="1" applyBorder="1" applyAlignment="1">
      <alignment horizontal="center"/>
    </xf>
    <xf numFmtId="43" fontId="34" fillId="0" borderId="0" xfId="48" applyFont="1" applyBorder="1"/>
    <xf numFmtId="43" fontId="32" fillId="0" borderId="0" xfId="47" applyNumberFormat="1" applyBorder="1"/>
    <xf numFmtId="43" fontId="34" fillId="0" borderId="0" xfId="48" applyFont="1" applyBorder="1" applyAlignment="1">
      <alignment horizontal="center"/>
    </xf>
    <xf numFmtId="0" fontId="32" fillId="0" borderId="17" xfId="47" applyBorder="1"/>
    <xf numFmtId="0" fontId="32" fillId="0" borderId="18" xfId="47" applyBorder="1"/>
    <xf numFmtId="43" fontId="34" fillId="0" borderId="19" xfId="48" applyFont="1" applyBorder="1"/>
    <xf numFmtId="0" fontId="36" fillId="0" borderId="20" xfId="47" applyFont="1" applyBorder="1" applyAlignment="1">
      <alignment horizontal="right"/>
    </xf>
    <xf numFmtId="0" fontId="36" fillId="0" borderId="21" xfId="47" applyFont="1" applyBorder="1" applyAlignment="1">
      <alignment horizontal="right"/>
    </xf>
    <xf numFmtId="43" fontId="36" fillId="27" borderId="22" xfId="47" applyNumberFormat="1" applyFont="1" applyFill="1" applyBorder="1"/>
    <xf numFmtId="0" fontId="36" fillId="0" borderId="0" xfId="47" applyFont="1" applyAlignment="1">
      <alignment vertical="center"/>
    </xf>
    <xf numFmtId="43" fontId="36" fillId="0" borderId="0" xfId="48" applyFont="1" applyAlignment="1">
      <alignment vertical="center"/>
    </xf>
    <xf numFmtId="0" fontId="36" fillId="0" borderId="0" xfId="47" applyFont="1" applyFill="1" applyBorder="1" applyAlignment="1">
      <alignment horizontal="center"/>
    </xf>
    <xf numFmtId="44" fontId="4" fillId="3" borderId="29" xfId="1" applyFont="1" applyFill="1" applyBorder="1"/>
    <xf numFmtId="44" fontId="26" fillId="3" borderId="0" xfId="0" applyNumberFormat="1" applyFont="1" applyFill="1" applyBorder="1"/>
    <xf numFmtId="44" fontId="26" fillId="3" borderId="11" xfId="0" applyNumberFormat="1" applyFont="1" applyFill="1" applyBorder="1"/>
    <xf numFmtId="49" fontId="37" fillId="3" borderId="0" xfId="0" applyNumberFormat="1" applyFont="1" applyFill="1" applyBorder="1"/>
    <xf numFmtId="0" fontId="38" fillId="3" borderId="2" xfId="3" applyFont="1" applyFill="1" applyBorder="1"/>
    <xf numFmtId="2" fontId="39" fillId="3" borderId="2" xfId="0" applyNumberFormat="1" applyFont="1" applyFill="1" applyBorder="1"/>
    <xf numFmtId="0" fontId="40" fillId="3" borderId="15" xfId="0" applyFont="1" applyFill="1" applyBorder="1"/>
    <xf numFmtId="0" fontId="40" fillId="3" borderId="0" xfId="0" applyFont="1" applyFill="1" applyBorder="1"/>
    <xf numFmtId="0" fontId="44" fillId="3" borderId="0" xfId="49" applyFont="1" applyFill="1" applyBorder="1" applyAlignment="1">
      <alignment horizontal="center"/>
    </xf>
    <xf numFmtId="0" fontId="40" fillId="3" borderId="15" xfId="50" applyFont="1" applyFill="1" applyBorder="1"/>
    <xf numFmtId="0" fontId="41" fillId="3" borderId="0" xfId="49" applyFill="1" applyBorder="1" applyAlignment="1">
      <alignment horizontal="center"/>
    </xf>
    <xf numFmtId="0" fontId="27" fillId="3" borderId="0" xfId="49" applyFont="1" applyFill="1"/>
    <xf numFmtId="0" fontId="50" fillId="3" borderId="0" xfId="49" applyFont="1" applyFill="1"/>
    <xf numFmtId="0" fontId="24" fillId="3" borderId="0" xfId="49" applyFont="1" applyFill="1"/>
    <xf numFmtId="0" fontId="51" fillId="3" borderId="0" xfId="49" applyFont="1" applyFill="1" applyAlignment="1">
      <alignment horizontal="right"/>
    </xf>
    <xf numFmtId="0" fontId="52" fillId="3" borderId="0" xfId="49" applyFont="1" applyFill="1" applyAlignment="1">
      <alignment horizontal="left"/>
    </xf>
    <xf numFmtId="0" fontId="6" fillId="3" borderId="0" xfId="49" applyFont="1" applyFill="1"/>
    <xf numFmtId="1" fontId="54" fillId="3" borderId="0" xfId="49" applyNumberFormat="1" applyFont="1" applyFill="1"/>
    <xf numFmtId="0" fontId="56" fillId="3" borderId="0" xfId="49" applyFont="1" applyFill="1"/>
    <xf numFmtId="1" fontId="56" fillId="3" borderId="0" xfId="49" applyNumberFormat="1" applyFont="1" applyFill="1"/>
    <xf numFmtId="1" fontId="54" fillId="3" borderId="0" xfId="49" applyNumberFormat="1" applyFont="1" applyFill="1" applyAlignment="1"/>
    <xf numFmtId="0" fontId="52" fillId="3" borderId="0" xfId="49" applyFont="1" applyFill="1" applyBorder="1"/>
    <xf numFmtId="0" fontId="55" fillId="3" borderId="0" xfId="49" applyFont="1" applyFill="1"/>
    <xf numFmtId="0" fontId="6" fillId="3" borderId="0" xfId="49" applyFont="1" applyFill="1" applyBorder="1"/>
    <xf numFmtId="1" fontId="24" fillId="3" borderId="0" xfId="49" applyNumberFormat="1" applyFont="1" applyFill="1"/>
    <xf numFmtId="0" fontId="57" fillId="3" borderId="0" xfId="3" applyFont="1" applyFill="1" applyBorder="1" applyAlignment="1">
      <alignment horizontal="right"/>
    </xf>
    <xf numFmtId="0" fontId="61" fillId="3" borderId="0" xfId="0" applyFont="1" applyFill="1" applyBorder="1" applyAlignment="1">
      <alignment horizontal="right"/>
    </xf>
    <xf numFmtId="166" fontId="0" fillId="3" borderId="0" xfId="0" applyNumberFormat="1" applyFill="1"/>
    <xf numFmtId="0" fontId="60" fillId="3" borderId="0" xfId="49" applyFont="1" applyFill="1" applyBorder="1" applyAlignment="1">
      <alignment horizontal="center"/>
    </xf>
    <xf numFmtId="0" fontId="59" fillId="3" borderId="0" xfId="49" applyFont="1" applyFill="1" applyBorder="1" applyAlignment="1">
      <alignment horizontal="center"/>
    </xf>
    <xf numFmtId="0" fontId="41" fillId="3" borderId="0" xfId="49" applyFill="1"/>
    <xf numFmtId="0" fontId="41" fillId="3" borderId="0" xfId="49" applyFill="1" applyBorder="1" applyAlignment="1">
      <alignment horizontal="center"/>
    </xf>
    <xf numFmtId="0" fontId="41" fillId="3" borderId="16" xfId="49" applyFill="1" applyBorder="1" applyAlignment="1">
      <alignment horizontal="center"/>
    </xf>
    <xf numFmtId="0" fontId="46" fillId="3" borderId="0" xfId="49" applyFont="1" applyFill="1" applyBorder="1" applyAlignment="1">
      <alignment horizontal="center"/>
    </xf>
    <xf numFmtId="49" fontId="41" fillId="3" borderId="0" xfId="49" applyNumberFormat="1" applyFill="1" applyBorder="1" applyAlignment="1">
      <alignment horizontal="left"/>
    </xf>
    <xf numFmtId="49" fontId="60" fillId="3" borderId="0" xfId="49" applyNumberFormat="1" applyFont="1" applyFill="1" applyBorder="1" applyAlignment="1">
      <alignment horizontal="left"/>
    </xf>
    <xf numFmtId="0" fontId="41" fillId="3" borderId="0" xfId="49" applyFill="1" applyBorder="1"/>
    <xf numFmtId="0" fontId="43" fillId="3" borderId="0" xfId="49" applyFont="1" applyFill="1" applyBorder="1"/>
    <xf numFmtId="0" fontId="42" fillId="3" borderId="0" xfId="49" applyFont="1" applyFill="1" applyBorder="1" applyAlignment="1">
      <alignment horizontal="center"/>
    </xf>
    <xf numFmtId="0" fontId="29" fillId="3" borderId="0" xfId="50" applyFont="1" applyFill="1" applyBorder="1" applyAlignment="1">
      <alignment horizontal="center"/>
    </xf>
    <xf numFmtId="0" fontId="27" fillId="3" borderId="28" xfId="49" applyFont="1" applyFill="1" applyBorder="1"/>
    <xf numFmtId="0" fontId="6" fillId="3" borderId="28" xfId="49" applyFont="1" applyFill="1" applyBorder="1"/>
    <xf numFmtId="14" fontId="57" fillId="3" borderId="2" xfId="49" applyNumberFormat="1" applyFont="1" applyFill="1" applyBorder="1" applyProtection="1"/>
    <xf numFmtId="44" fontId="57" fillId="3" borderId="2" xfId="49" applyNumberFormat="1" applyFont="1" applyFill="1" applyBorder="1" applyProtection="1"/>
    <xf numFmtId="0" fontId="41" fillId="3" borderId="16" xfId="49" applyFill="1" applyBorder="1" applyProtection="1"/>
    <xf numFmtId="10" fontId="57" fillId="3" borderId="2" xfId="49" applyNumberFormat="1" applyFont="1" applyFill="1" applyBorder="1" applyProtection="1"/>
    <xf numFmtId="164" fontId="62" fillId="3" borderId="29" xfId="0" applyNumberFormat="1" applyFont="1" applyFill="1" applyBorder="1" applyProtection="1"/>
    <xf numFmtId="44" fontId="57" fillId="3" borderId="30" xfId="49" applyNumberFormat="1" applyFont="1" applyFill="1" applyBorder="1" applyProtection="1"/>
    <xf numFmtId="44" fontId="58" fillId="3" borderId="2" xfId="1" applyFont="1" applyFill="1" applyBorder="1" applyProtection="1"/>
    <xf numFmtId="0" fontId="58" fillId="3" borderId="2" xfId="49" applyFont="1" applyFill="1" applyBorder="1" applyProtection="1"/>
    <xf numFmtId="0" fontId="43" fillId="3" borderId="16" xfId="49" applyFont="1" applyFill="1" applyBorder="1" applyProtection="1"/>
    <xf numFmtId="44" fontId="60" fillId="3" borderId="2" xfId="1" applyFont="1" applyFill="1" applyBorder="1" applyProtection="1"/>
    <xf numFmtId="14" fontId="41" fillId="3" borderId="2" xfId="49" applyNumberFormat="1" applyFont="1" applyFill="1" applyBorder="1"/>
    <xf numFmtId="1" fontId="41" fillId="3" borderId="2" xfId="49" applyNumberFormat="1" applyFill="1" applyBorder="1"/>
    <xf numFmtId="1" fontId="47" fillId="3" borderId="2" xfId="49" applyNumberFormat="1" applyFont="1" applyFill="1" applyBorder="1" applyAlignment="1">
      <alignment horizontal="right"/>
    </xf>
    <xf numFmtId="0" fontId="41" fillId="3" borderId="2" xfId="49" applyFill="1" applyBorder="1"/>
    <xf numFmtId="1" fontId="47" fillId="3" borderId="2" xfId="49" applyNumberFormat="1" applyFont="1" applyFill="1" applyBorder="1"/>
    <xf numFmtId="0" fontId="47" fillId="3" borderId="2" xfId="49" applyFont="1" applyFill="1" applyBorder="1"/>
    <xf numFmtId="14" fontId="45" fillId="3" borderId="0" xfId="49" applyNumberFormat="1" applyFont="1" applyFill="1" applyBorder="1" applyAlignment="1">
      <alignment horizontal="center"/>
    </xf>
    <xf numFmtId="14" fontId="41" fillId="3" borderId="0" xfId="49" applyNumberFormat="1" applyFill="1"/>
    <xf numFmtId="1" fontId="41" fillId="3" borderId="0" xfId="49" applyNumberFormat="1" applyFill="1"/>
    <xf numFmtId="0" fontId="64" fillId="3" borderId="37" xfId="49" applyFont="1" applyFill="1" applyBorder="1" applyAlignment="1">
      <alignment horizontal="center" vertical="top" wrapText="1"/>
    </xf>
    <xf numFmtId="1" fontId="48" fillId="3" borderId="2" xfId="49" applyNumberFormat="1" applyFont="1" applyFill="1" applyBorder="1" applyAlignment="1">
      <alignment horizontal="center"/>
    </xf>
    <xf numFmtId="49" fontId="47" fillId="3" borderId="38" xfId="49" applyNumberFormat="1" applyFont="1" applyFill="1" applyBorder="1" applyAlignment="1">
      <alignment horizontal="right"/>
    </xf>
    <xf numFmtId="14" fontId="41" fillId="3" borderId="39" xfId="49" applyNumberFormat="1" applyFont="1" applyFill="1" applyBorder="1"/>
    <xf numFmtId="14" fontId="41" fillId="3" borderId="39" xfId="49" applyNumberFormat="1" applyFill="1" applyBorder="1"/>
    <xf numFmtId="1" fontId="41" fillId="3" borderId="39" xfId="49" applyNumberFormat="1" applyFill="1" applyBorder="1"/>
    <xf numFmtId="1" fontId="41" fillId="3" borderId="40" xfId="49" applyNumberFormat="1" applyFill="1" applyBorder="1"/>
    <xf numFmtId="0" fontId="41" fillId="3" borderId="2" xfId="49" applyFont="1" applyFill="1" applyBorder="1"/>
    <xf numFmtId="49" fontId="47" fillId="3" borderId="41" xfId="49" applyNumberFormat="1" applyFont="1" applyFill="1" applyBorder="1" applyAlignment="1">
      <alignment horizontal="right"/>
    </xf>
    <xf numFmtId="14" fontId="41" fillId="3" borderId="2" xfId="49" applyNumberFormat="1" applyFill="1" applyBorder="1"/>
    <xf numFmtId="1" fontId="41" fillId="3" borderId="31" xfId="49" applyNumberFormat="1" applyFill="1" applyBorder="1"/>
    <xf numFmtId="14" fontId="41" fillId="3" borderId="44" xfId="49" applyNumberFormat="1" applyFill="1" applyBorder="1" applyProtection="1"/>
    <xf numFmtId="49" fontId="47" fillId="3" borderId="42" xfId="49" applyNumberFormat="1" applyFont="1" applyFill="1" applyBorder="1" applyAlignment="1">
      <alignment horizontal="right"/>
    </xf>
    <xf numFmtId="14" fontId="41" fillId="3" borderId="29" xfId="49" applyNumberFormat="1" applyFill="1" applyBorder="1"/>
    <xf numFmtId="1" fontId="41" fillId="3" borderId="29" xfId="49" applyNumberFormat="1" applyFill="1" applyBorder="1"/>
    <xf numFmtId="1" fontId="41" fillId="3" borderId="43" xfId="49" applyNumberFormat="1" applyFill="1" applyBorder="1"/>
    <xf numFmtId="49" fontId="43" fillId="3" borderId="0" xfId="49" applyNumberFormat="1" applyFont="1" applyFill="1"/>
    <xf numFmtId="1" fontId="43" fillId="3" borderId="13" xfId="49" applyNumberFormat="1" applyFont="1" applyFill="1" applyBorder="1" applyAlignment="1"/>
    <xf numFmtId="1" fontId="49" fillId="3" borderId="20" xfId="49" applyNumberFormat="1" applyFont="1" applyFill="1" applyBorder="1" applyAlignment="1">
      <alignment horizontal="right"/>
    </xf>
    <xf numFmtId="1" fontId="49" fillId="3" borderId="21" xfId="49" applyNumberFormat="1" applyFont="1" applyFill="1" applyBorder="1"/>
    <xf numFmtId="1" fontId="49" fillId="3" borderId="22" xfId="49" applyNumberFormat="1" applyFont="1" applyFill="1" applyBorder="1"/>
    <xf numFmtId="0" fontId="43" fillId="3" borderId="0" xfId="49" applyFont="1" applyFill="1"/>
    <xf numFmtId="49" fontId="41" fillId="3" borderId="0" xfId="49" applyNumberFormat="1" applyFill="1"/>
    <xf numFmtId="1" fontId="43" fillId="3" borderId="0" xfId="49" applyNumberFormat="1" applyFont="1" applyFill="1"/>
    <xf numFmtId="14" fontId="43" fillId="3" borderId="0" xfId="49" applyNumberFormat="1" applyFont="1" applyFill="1"/>
    <xf numFmtId="0" fontId="65" fillId="3" borderId="16" xfId="0" applyFont="1" applyFill="1" applyBorder="1" applyAlignment="1">
      <alignment wrapText="1"/>
    </xf>
    <xf numFmtId="44" fontId="58" fillId="3" borderId="30" xfId="1" applyFont="1" applyFill="1" applyBorder="1" applyProtection="1"/>
    <xf numFmtId="3" fontId="58" fillId="3" borderId="29" xfId="49" applyNumberFormat="1" applyFont="1" applyFill="1" applyBorder="1" applyProtection="1"/>
    <xf numFmtId="1" fontId="41" fillId="3" borderId="30" xfId="49" applyNumberFormat="1" applyFill="1" applyBorder="1"/>
    <xf numFmtId="14" fontId="41" fillId="3" borderId="32" xfId="49" applyNumberFormat="1" applyFont="1" applyFill="1" applyBorder="1" applyAlignment="1">
      <alignment horizontal="center"/>
    </xf>
    <xf numFmtId="14" fontId="41" fillId="3" borderId="30" xfId="49" applyNumberFormat="1" applyFont="1" applyFill="1" applyBorder="1" applyAlignment="1">
      <alignment horizontal="center"/>
    </xf>
    <xf numFmtId="1" fontId="41" fillId="3" borderId="30" xfId="49" applyNumberFormat="1" applyFont="1" applyFill="1" applyBorder="1" applyAlignment="1">
      <alignment horizontal="center"/>
    </xf>
    <xf numFmtId="0" fontId="41" fillId="3" borderId="30" xfId="49" applyFont="1" applyFill="1" applyBorder="1" applyAlignment="1">
      <alignment horizontal="center"/>
    </xf>
    <xf numFmtId="14" fontId="47" fillId="27" borderId="32" xfId="49" applyNumberFormat="1" applyFont="1" applyFill="1" applyBorder="1" applyAlignment="1" applyProtection="1">
      <alignment horizontal="right"/>
      <protection locked="0"/>
    </xf>
    <xf numFmtId="14" fontId="47" fillId="27" borderId="30" xfId="49" applyNumberFormat="1" applyFont="1" applyFill="1" applyBorder="1" applyAlignment="1" applyProtection="1">
      <alignment horizontal="right"/>
      <protection locked="0"/>
    </xf>
    <xf numFmtId="14" fontId="47" fillId="27" borderId="33" xfId="49" applyNumberFormat="1" applyFont="1" applyFill="1" applyBorder="1" applyAlignment="1" applyProtection="1">
      <alignment horizontal="right"/>
      <protection locked="0"/>
    </xf>
    <xf numFmtId="14" fontId="47" fillId="27" borderId="2" xfId="49" applyNumberFormat="1" applyFont="1" applyFill="1" applyBorder="1" applyAlignment="1" applyProtection="1">
      <alignment horizontal="right"/>
      <protection locked="0"/>
    </xf>
    <xf numFmtId="14" fontId="41" fillId="27" borderId="28" xfId="49" applyNumberFormat="1" applyFill="1" applyBorder="1" applyProtection="1">
      <protection locked="0"/>
    </xf>
    <xf numFmtId="14" fontId="41" fillId="27" borderId="44" xfId="49" applyNumberFormat="1" applyFill="1" applyBorder="1" applyProtection="1">
      <protection locked="0"/>
    </xf>
    <xf numFmtId="14" fontId="41" fillId="27" borderId="44" xfId="49" applyNumberFormat="1" applyFont="1" applyFill="1" applyBorder="1" applyProtection="1">
      <protection locked="0"/>
    </xf>
    <xf numFmtId="14" fontId="41" fillId="27" borderId="33" xfId="49" applyNumberFormat="1" applyFill="1" applyBorder="1" applyProtection="1">
      <protection locked="0"/>
    </xf>
    <xf numFmtId="44" fontId="60" fillId="3" borderId="35" xfId="1" applyFont="1" applyFill="1" applyBorder="1" applyProtection="1"/>
    <xf numFmtId="44" fontId="70" fillId="0" borderId="2" xfId="1" applyFont="1" applyFill="1" applyBorder="1"/>
    <xf numFmtId="0" fontId="71" fillId="3" borderId="0" xfId="0" applyFont="1" applyFill="1" applyAlignment="1">
      <alignment wrapText="1"/>
    </xf>
    <xf numFmtId="0" fontId="4" fillId="3" borderId="0" xfId="0" applyFont="1" applyFill="1" applyAlignment="1">
      <alignment horizontal="right"/>
    </xf>
    <xf numFmtId="14" fontId="0" fillId="3" borderId="2" xfId="0" applyNumberFormat="1" applyFont="1" applyFill="1" applyBorder="1"/>
    <xf numFmtId="14" fontId="0" fillId="3" borderId="2" xfId="0" applyNumberFormat="1" applyFill="1" applyBorder="1"/>
    <xf numFmtId="0" fontId="40" fillId="3" borderId="0" xfId="0" applyFont="1" applyFill="1" applyBorder="1" applyAlignment="1">
      <alignment horizontal="right"/>
    </xf>
    <xf numFmtId="0" fontId="67" fillId="3" borderId="16" xfId="0" applyFont="1" applyFill="1" applyBorder="1" applyAlignment="1">
      <alignment vertical="top" wrapText="1"/>
    </xf>
    <xf numFmtId="0" fontId="0" fillId="3" borderId="16" xfId="0" applyFill="1" applyBorder="1"/>
    <xf numFmtId="0" fontId="4" fillId="3" borderId="15" xfId="0" applyFont="1" applyFill="1" applyBorder="1" applyAlignment="1"/>
    <xf numFmtId="1" fontId="75" fillId="3" borderId="0" xfId="49" applyNumberFormat="1" applyFont="1" applyFill="1" applyBorder="1" applyAlignment="1" applyProtection="1">
      <alignment horizontal="right"/>
    </xf>
    <xf numFmtId="0" fontId="74" fillId="3" borderId="16" xfId="49" applyFont="1" applyFill="1" applyBorder="1" applyAlignment="1" applyProtection="1">
      <alignment vertical="top" wrapText="1"/>
    </xf>
    <xf numFmtId="0" fontId="4" fillId="0" borderId="0" xfId="0" applyFont="1"/>
    <xf numFmtId="0" fontId="77" fillId="0" borderId="0" xfId="0" applyFont="1" applyAlignment="1">
      <alignment horizontal="left" indent="5"/>
    </xf>
    <xf numFmtId="14" fontId="41" fillId="3" borderId="33" xfId="49" applyNumberFormat="1" applyFill="1" applyBorder="1" applyProtection="1"/>
    <xf numFmtId="0" fontId="4" fillId="4" borderId="45" xfId="0" applyFont="1" applyFill="1" applyBorder="1" applyAlignment="1">
      <alignment horizontal="right"/>
    </xf>
    <xf numFmtId="44" fontId="0" fillId="4" borderId="46" xfId="0" applyNumberFormat="1" applyFill="1" applyBorder="1"/>
    <xf numFmtId="44" fontId="1" fillId="3" borderId="16" xfId="1" applyFont="1" applyFill="1" applyBorder="1" applyAlignment="1"/>
    <xf numFmtId="44" fontId="31" fillId="3" borderId="16" xfId="0" applyNumberFormat="1" applyFont="1" applyFill="1" applyBorder="1" applyAlignment="1">
      <alignment wrapText="1"/>
    </xf>
    <xf numFmtId="0" fontId="4" fillId="3" borderId="0" xfId="0" applyFont="1" applyFill="1" applyBorder="1" applyAlignment="1">
      <alignment horizontal="right"/>
    </xf>
    <xf numFmtId="0" fontId="60" fillId="3" borderId="15" xfId="49" applyFont="1" applyFill="1" applyBorder="1" applyAlignment="1" applyProtection="1">
      <alignment horizontal="right"/>
    </xf>
    <xf numFmtId="0" fontId="60" fillId="3" borderId="0" xfId="49" applyFont="1" applyFill="1" applyBorder="1" applyAlignment="1" applyProtection="1">
      <alignment horizontal="right"/>
    </xf>
    <xf numFmtId="0" fontId="39" fillId="3" borderId="16" xfId="0" applyNumberFormat="1" applyFont="1" applyFill="1" applyBorder="1" applyAlignment="1">
      <alignment vertical="top" wrapText="1"/>
    </xf>
    <xf numFmtId="14" fontId="0" fillId="3" borderId="0" xfId="0" applyNumberFormat="1" applyFont="1" applyFill="1" applyBorder="1"/>
    <xf numFmtId="14" fontId="0" fillId="3" borderId="0" xfId="0" applyNumberFormat="1" applyFill="1" applyBorder="1"/>
    <xf numFmtId="0" fontId="73" fillId="3" borderId="15" xfId="0" applyFont="1" applyFill="1" applyBorder="1" applyAlignment="1">
      <alignment vertical="top" wrapText="1"/>
    </xf>
    <xf numFmtId="0" fontId="73" fillId="3" borderId="0" xfId="0" applyFont="1" applyFill="1" applyBorder="1" applyAlignment="1">
      <alignment horizontal="right" vertical="top" wrapText="1"/>
    </xf>
    <xf numFmtId="0" fontId="73" fillId="3" borderId="0" xfId="0" applyFont="1" applyFill="1" applyBorder="1" applyAlignment="1">
      <alignment vertical="top" wrapText="1"/>
    </xf>
    <xf numFmtId="0" fontId="73" fillId="3" borderId="16" xfId="0" applyFont="1" applyFill="1" applyBorder="1" applyAlignment="1">
      <alignment vertical="top" wrapText="1"/>
    </xf>
    <xf numFmtId="0" fontId="25" fillId="3" borderId="0" xfId="0" applyFont="1" applyFill="1" applyBorder="1"/>
    <xf numFmtId="0" fontId="72" fillId="3" borderId="0" xfId="0" applyFont="1" applyFill="1" applyBorder="1" applyAlignment="1">
      <alignment horizontal="right" wrapText="1"/>
    </xf>
    <xf numFmtId="0" fontId="67" fillId="3" borderId="0" xfId="0" applyFont="1" applyFill="1" applyBorder="1" applyAlignment="1">
      <alignment vertical="top" wrapText="1"/>
    </xf>
    <xf numFmtId="0" fontId="65" fillId="3" borderId="0" xfId="0" applyFont="1" applyFill="1" applyBorder="1" applyAlignment="1">
      <alignment wrapText="1"/>
    </xf>
    <xf numFmtId="44" fontId="4" fillId="3" borderId="0" xfId="1" applyFont="1" applyFill="1" applyBorder="1"/>
    <xf numFmtId="0" fontId="70" fillId="3" borderId="0" xfId="0" applyFont="1" applyFill="1" applyBorder="1" applyAlignment="1"/>
    <xf numFmtId="0" fontId="70" fillId="3" borderId="0" xfId="0" applyFont="1" applyFill="1" applyBorder="1"/>
    <xf numFmtId="44" fontId="31" fillId="3" borderId="16" xfId="1" applyFont="1" applyFill="1" applyBorder="1" applyAlignment="1">
      <alignment wrapText="1"/>
    </xf>
    <xf numFmtId="165" fontId="4" fillId="3" borderId="2" xfId="0" applyNumberFormat="1" applyFont="1" applyFill="1" applyBorder="1" applyAlignment="1">
      <alignment horizontal="right"/>
    </xf>
    <xf numFmtId="3" fontId="58" fillId="3" borderId="2" xfId="49" applyNumberFormat="1" applyFont="1" applyFill="1" applyBorder="1" applyProtection="1"/>
    <xf numFmtId="44" fontId="4" fillId="3" borderId="11" xfId="1" applyFont="1" applyFill="1" applyBorder="1"/>
    <xf numFmtId="44" fontId="25" fillId="3" borderId="30" xfId="0" applyNumberFormat="1" applyFont="1" applyFill="1" applyBorder="1"/>
    <xf numFmtId="44" fontId="4" fillId="4" borderId="11" xfId="1" applyFont="1" applyFill="1" applyBorder="1" applyProtection="1">
      <protection locked="0"/>
    </xf>
    <xf numFmtId="0" fontId="63" fillId="3" borderId="15" xfId="49" applyFont="1" applyFill="1" applyBorder="1" applyAlignment="1" applyProtection="1">
      <alignment horizontal="right"/>
    </xf>
    <xf numFmtId="0" fontId="5" fillId="3" borderId="15" xfId="50" applyFont="1" applyFill="1" applyBorder="1"/>
    <xf numFmtId="0" fontId="5" fillId="3" borderId="0" xfId="50" applyFont="1" applyFill="1" applyBorder="1" applyAlignment="1">
      <alignment horizontal="right"/>
    </xf>
    <xf numFmtId="0" fontId="57" fillId="3" borderId="0" xfId="49" applyFont="1" applyFill="1" applyBorder="1" applyAlignment="1">
      <alignment horizontal="right"/>
    </xf>
    <xf numFmtId="0" fontId="43" fillId="3" borderId="16" xfId="49" applyFont="1" applyFill="1" applyBorder="1" applyAlignment="1">
      <alignment horizontal="center"/>
    </xf>
    <xf numFmtId="0" fontId="43" fillId="3" borderId="0" xfId="49" applyFont="1" applyFill="1" applyBorder="1" applyAlignment="1">
      <alignment horizontal="center"/>
    </xf>
    <xf numFmtId="0" fontId="78" fillId="3" borderId="0" xfId="49" applyFont="1" applyFill="1" applyBorder="1"/>
    <xf numFmtId="1" fontId="78" fillId="3" borderId="0" xfId="49" applyNumberFormat="1" applyFont="1" applyFill="1"/>
    <xf numFmtId="14" fontId="78" fillId="3" borderId="0" xfId="49" applyNumberFormat="1" applyFont="1" applyFill="1"/>
    <xf numFmtId="0" fontId="78" fillId="3" borderId="0" xfId="49" applyFont="1" applyFill="1"/>
    <xf numFmtId="1" fontId="60" fillId="3" borderId="11" xfId="49" applyNumberFormat="1" applyFont="1" applyFill="1" applyBorder="1" applyProtection="1"/>
    <xf numFmtId="0" fontId="41" fillId="3" borderId="0" xfId="49" applyFont="1" applyFill="1" applyBorder="1"/>
    <xf numFmtId="1" fontId="41" fillId="3" borderId="0" xfId="49" applyNumberFormat="1" applyFont="1" applyFill="1"/>
    <xf numFmtId="14" fontId="41" fillId="3" borderId="0" xfId="49" applyNumberFormat="1" applyFont="1" applyFill="1"/>
    <xf numFmtId="0" fontId="41" fillId="3" borderId="0" xfId="49" applyFont="1" applyFill="1"/>
    <xf numFmtId="2" fontId="41" fillId="3" borderId="16" xfId="49" applyNumberFormat="1" applyFont="1" applyFill="1" applyBorder="1" applyProtection="1"/>
    <xf numFmtId="44" fontId="66" fillId="4" borderId="11" xfId="1" applyFont="1" applyFill="1" applyBorder="1" applyProtection="1"/>
    <xf numFmtId="1" fontId="41" fillId="3" borderId="0" xfId="49" applyNumberFormat="1" applyFont="1" applyFill="1" applyBorder="1"/>
    <xf numFmtId="14" fontId="41" fillId="3" borderId="0" xfId="49" applyNumberFormat="1" applyFont="1" applyFill="1" applyBorder="1"/>
    <xf numFmtId="2" fontId="81" fillId="3" borderId="16" xfId="49" applyNumberFormat="1" applyFont="1" applyFill="1" applyBorder="1" applyProtection="1"/>
    <xf numFmtId="0" fontId="81" fillId="3" borderId="0" xfId="49" applyFont="1" applyFill="1" applyBorder="1"/>
    <xf numFmtId="1" fontId="81" fillId="3" borderId="0" xfId="49" applyNumberFormat="1" applyFont="1" applyFill="1"/>
    <xf numFmtId="14" fontId="81" fillId="3" borderId="0" xfId="49" applyNumberFormat="1" applyFont="1" applyFill="1"/>
    <xf numFmtId="0" fontId="81" fillId="3" borderId="0" xfId="49" applyFont="1" applyFill="1"/>
    <xf numFmtId="0" fontId="80" fillId="3" borderId="16" xfId="49" applyFont="1" applyFill="1" applyBorder="1" applyAlignment="1" applyProtection="1">
      <alignment horizontal="center" vertical="top" wrapText="1"/>
    </xf>
    <xf numFmtId="44" fontId="66" fillId="0" borderId="0" xfId="1" applyFont="1" applyFill="1" applyBorder="1" applyProtection="1"/>
    <xf numFmtId="44" fontId="60" fillId="3" borderId="2" xfId="1" applyFont="1" applyFill="1" applyBorder="1" applyAlignment="1" applyProtection="1">
      <alignment wrapText="1"/>
    </xf>
    <xf numFmtId="49" fontId="60" fillId="3" borderId="16" xfId="49" applyNumberFormat="1" applyFont="1" applyFill="1" applyBorder="1" applyAlignment="1">
      <alignment horizontal="left"/>
    </xf>
    <xf numFmtId="0" fontId="60" fillId="3" borderId="15" xfId="49" applyFont="1" applyFill="1" applyBorder="1" applyAlignment="1" applyProtection="1">
      <alignment horizontal="right"/>
    </xf>
    <xf numFmtId="0" fontId="60" fillId="3" borderId="0" xfId="49" applyFont="1" applyFill="1" applyBorder="1" applyAlignment="1" applyProtection="1">
      <alignment horizontal="right"/>
    </xf>
    <xf numFmtId="0" fontId="66" fillId="3" borderId="15" xfId="49" applyFont="1" applyFill="1" applyBorder="1" applyAlignment="1" applyProtection="1">
      <alignment horizontal="right"/>
    </xf>
    <xf numFmtId="0" fontId="66" fillId="3" borderId="0" xfId="49" applyFont="1" applyFill="1" applyBorder="1" applyAlignment="1" applyProtection="1">
      <alignment horizontal="right"/>
    </xf>
    <xf numFmtId="0" fontId="57" fillId="3" borderId="15" xfId="49" applyFont="1" applyFill="1" applyBorder="1" applyAlignment="1" applyProtection="1">
      <alignment horizontal="right"/>
    </xf>
    <xf numFmtId="0" fontId="53" fillId="3" borderId="0" xfId="49" applyFont="1" applyFill="1" applyBorder="1"/>
    <xf numFmtId="0" fontId="53" fillId="3" borderId="28" xfId="49" applyFont="1" applyFill="1" applyBorder="1"/>
    <xf numFmtId="1" fontId="6" fillId="3" borderId="0" xfId="49" applyNumberFormat="1" applyFont="1" applyFill="1"/>
    <xf numFmtId="1" fontId="6" fillId="3" borderId="28" xfId="49" applyNumberFormat="1" applyFont="1" applyFill="1" applyBorder="1"/>
    <xf numFmtId="49" fontId="57" fillId="3" borderId="0" xfId="49" applyNumberFormat="1" applyFont="1" applyFill="1" applyBorder="1" applyAlignment="1" applyProtection="1">
      <alignment horizontal="right"/>
    </xf>
    <xf numFmtId="44" fontId="60" fillId="3" borderId="29" xfId="1" applyFont="1" applyFill="1" applyBorder="1"/>
    <xf numFmtId="49" fontId="83" fillId="0" borderId="16" xfId="0" applyNumberFormat="1" applyFont="1" applyFill="1" applyBorder="1" applyAlignment="1" applyProtection="1">
      <alignment horizontal="right"/>
    </xf>
    <xf numFmtId="0" fontId="26" fillId="3" borderId="0" xfId="0" applyFont="1" applyFill="1" applyBorder="1" applyAlignment="1">
      <alignment horizontal="right"/>
    </xf>
    <xf numFmtId="0" fontId="4" fillId="3" borderId="0" xfId="0" applyFont="1" applyFill="1" applyBorder="1" applyAlignment="1">
      <alignment horizontal="right"/>
    </xf>
    <xf numFmtId="0" fontId="5" fillId="3" borderId="0" xfId="0" applyFont="1" applyFill="1" applyBorder="1" applyAlignment="1">
      <alignment horizontal="right"/>
    </xf>
    <xf numFmtId="0" fontId="84" fillId="3" borderId="0" xfId="0" applyFont="1" applyFill="1" applyBorder="1" applyAlignment="1">
      <alignment horizontal="right" vertical="top" wrapText="1"/>
    </xf>
    <xf numFmtId="0" fontId="85" fillId="3" borderId="16" xfId="0" applyFont="1" applyFill="1" applyBorder="1" applyAlignment="1">
      <alignment vertical="top" wrapText="1"/>
    </xf>
    <xf numFmtId="49" fontId="2" fillId="2" borderId="2" xfId="2" applyNumberFormat="1" applyFont="1" applyFill="1" applyBorder="1" applyAlignment="1">
      <alignment horizontal="center"/>
    </xf>
    <xf numFmtId="164" fontId="2" fillId="2" borderId="2" xfId="2" applyNumberFormat="1" applyFont="1" applyFill="1" applyBorder="1" applyAlignment="1">
      <alignment horizontal="center"/>
    </xf>
    <xf numFmtId="49" fontId="2" fillId="0" borderId="2" xfId="2" applyNumberFormat="1" applyFont="1" applyFill="1" applyBorder="1" applyAlignment="1">
      <alignment wrapText="1"/>
    </xf>
    <xf numFmtId="164" fontId="2" fillId="27" borderId="2" xfId="2" applyNumberFormat="1" applyFont="1" applyFill="1" applyBorder="1" applyAlignment="1" applyProtection="1">
      <alignment horizontal="right" wrapText="1"/>
      <protection locked="0"/>
    </xf>
    <xf numFmtId="164" fontId="2" fillId="0" borderId="2" xfId="2" applyNumberFormat="1" applyFont="1" applyFill="1" applyBorder="1" applyAlignment="1">
      <alignment horizontal="right" wrapText="1"/>
    </xf>
    <xf numFmtId="0" fontId="0" fillId="4" borderId="2" xfId="0" applyFill="1" applyBorder="1" applyAlignment="1">
      <alignment horizontal="center"/>
    </xf>
    <xf numFmtId="0" fontId="0" fillId="0" borderId="2" xfId="0" applyBorder="1"/>
    <xf numFmtId="0" fontId="86" fillId="4" borderId="2" xfId="0" applyFont="1" applyFill="1" applyBorder="1"/>
    <xf numFmtId="0" fontId="5" fillId="3" borderId="0" xfId="0" applyFont="1" applyFill="1" applyAlignment="1">
      <alignment horizontal="left"/>
    </xf>
    <xf numFmtId="49" fontId="4" fillId="3" borderId="2" xfId="0" applyNumberFormat="1" applyFont="1" applyFill="1" applyBorder="1" applyAlignment="1">
      <alignment horizontal="right"/>
    </xf>
    <xf numFmtId="44" fontId="26" fillId="3" borderId="36" xfId="0" applyNumberFormat="1" applyFont="1" applyFill="1" applyBorder="1"/>
    <xf numFmtId="0" fontId="5" fillId="3" borderId="0" xfId="0" applyFont="1" applyFill="1" applyBorder="1" applyAlignment="1">
      <alignment horizontal="right"/>
    </xf>
    <xf numFmtId="14" fontId="88" fillId="3" borderId="21" xfId="49" applyNumberFormat="1" applyFont="1" applyFill="1" applyBorder="1" applyAlignment="1">
      <alignment horizontal="center"/>
    </xf>
    <xf numFmtId="0" fontId="4" fillId="0" borderId="0" xfId="0" applyNumberFormat="1" applyFont="1" applyAlignment="1">
      <alignment vertical="top" wrapText="1"/>
    </xf>
    <xf numFmtId="0" fontId="89" fillId="0" borderId="0" xfId="0" applyNumberFormat="1" applyFont="1" applyAlignment="1">
      <alignment horizontal="center" vertical="center" wrapText="1"/>
    </xf>
    <xf numFmtId="0" fontId="5" fillId="0" borderId="0" xfId="0" applyNumberFormat="1" applyFont="1" applyAlignment="1">
      <alignment horizontal="center" vertical="top" wrapText="1"/>
    </xf>
    <xf numFmtId="0" fontId="91" fillId="3" borderId="0" xfId="0" applyFont="1" applyFill="1" applyBorder="1" applyAlignment="1">
      <alignment horizontal="right" wrapText="1"/>
    </xf>
    <xf numFmtId="0" fontId="76" fillId="3" borderId="16" xfId="0" applyFont="1" applyFill="1" applyBorder="1" applyAlignment="1">
      <alignment horizontal="left" wrapText="1"/>
    </xf>
    <xf numFmtId="49" fontId="5" fillId="4" borderId="2" xfId="0" applyNumberFormat="1" applyFont="1" applyFill="1" applyBorder="1" applyAlignment="1" applyProtection="1">
      <alignment horizontal="right"/>
      <protection locked="0"/>
    </xf>
    <xf numFmtId="0" fontId="5" fillId="0" borderId="0" xfId="0" applyNumberFormat="1" applyFont="1" applyAlignment="1">
      <alignment wrapText="1"/>
    </xf>
    <xf numFmtId="0" fontId="28" fillId="3" borderId="12" xfId="0" applyFont="1" applyFill="1" applyBorder="1" applyAlignment="1">
      <alignment horizontal="center"/>
    </xf>
    <xf numFmtId="0" fontId="28" fillId="3" borderId="13" xfId="0" applyFont="1" applyFill="1" applyBorder="1" applyAlignment="1">
      <alignment horizontal="center"/>
    </xf>
    <xf numFmtId="0" fontId="28" fillId="3" borderId="14" xfId="0" applyFont="1" applyFill="1" applyBorder="1" applyAlignment="1">
      <alignment horizontal="center"/>
    </xf>
    <xf numFmtId="0" fontId="69" fillId="3" borderId="15" xfId="0" applyFont="1" applyFill="1" applyBorder="1" applyAlignment="1">
      <alignment horizontal="center"/>
    </xf>
    <xf numFmtId="0" fontId="69" fillId="3" borderId="0" xfId="0" applyFont="1" applyFill="1" applyBorder="1" applyAlignment="1">
      <alignment horizontal="center"/>
    </xf>
    <xf numFmtId="0" fontId="69" fillId="3" borderId="16" xfId="0" applyFont="1" applyFill="1" applyBorder="1" applyAlignment="1">
      <alignment horizontal="center"/>
    </xf>
    <xf numFmtId="0" fontId="30" fillId="3" borderId="15" xfId="0" applyFont="1" applyFill="1" applyBorder="1" applyAlignment="1">
      <alignment horizontal="center"/>
    </xf>
    <xf numFmtId="0" fontId="30" fillId="3" borderId="0" xfId="0" applyFont="1" applyFill="1" applyBorder="1" applyAlignment="1">
      <alignment horizontal="center"/>
    </xf>
    <xf numFmtId="0" fontId="30" fillId="3" borderId="16" xfId="0" applyFont="1" applyFill="1" applyBorder="1" applyAlignment="1">
      <alignment horizontal="center"/>
    </xf>
    <xf numFmtId="0" fontId="29" fillId="4" borderId="15" xfId="0" applyFont="1" applyFill="1" applyBorder="1" applyAlignment="1">
      <alignment horizontal="center"/>
    </xf>
    <xf numFmtId="0" fontId="29" fillId="4" borderId="0" xfId="0" applyFont="1" applyFill="1" applyBorder="1" applyAlignment="1">
      <alignment horizontal="center"/>
    </xf>
    <xf numFmtId="0" fontId="29" fillId="4" borderId="16" xfId="0" applyFont="1" applyFill="1" applyBorder="1" applyAlignment="1">
      <alignment horizontal="center"/>
    </xf>
    <xf numFmtId="0" fontId="0" fillId="3" borderId="15" xfId="0" applyFill="1" applyBorder="1" applyAlignment="1">
      <alignment horizontal="center"/>
    </xf>
    <xf numFmtId="0" fontId="0" fillId="3" borderId="0" xfId="0" applyFill="1" applyBorder="1" applyAlignment="1">
      <alignment horizontal="center"/>
    </xf>
    <xf numFmtId="0" fontId="0" fillId="3" borderId="16" xfId="0" applyFill="1" applyBorder="1" applyAlignment="1">
      <alignment horizontal="center"/>
    </xf>
    <xf numFmtId="0" fontId="82" fillId="3" borderId="15" xfId="0" applyFont="1" applyFill="1" applyBorder="1" applyAlignment="1">
      <alignment horizontal="center" vertical="center"/>
    </xf>
    <xf numFmtId="0" fontId="82" fillId="3" borderId="0" xfId="0" applyFont="1" applyFill="1" applyBorder="1" applyAlignment="1">
      <alignment horizontal="center" vertical="center"/>
    </xf>
    <xf numFmtId="0" fontId="82" fillId="3" borderId="16" xfId="0" applyFont="1" applyFill="1" applyBorder="1" applyAlignment="1">
      <alignment horizontal="center" vertical="center"/>
    </xf>
    <xf numFmtId="0" fontId="26" fillId="3" borderId="15" xfId="0" applyFont="1" applyFill="1" applyBorder="1" applyAlignment="1">
      <alignment horizontal="right"/>
    </xf>
    <xf numFmtId="0" fontId="26" fillId="3" borderId="0" xfId="0" applyFont="1" applyFill="1" applyBorder="1" applyAlignment="1">
      <alignment horizontal="right"/>
    </xf>
    <xf numFmtId="14" fontId="39" fillId="3" borderId="16" xfId="0" applyNumberFormat="1" applyFont="1" applyFill="1" applyBorder="1" applyAlignment="1" applyProtection="1">
      <alignment horizontal="center" vertical="top" wrapText="1"/>
      <protection locked="0"/>
    </xf>
    <xf numFmtId="2" fontId="87" fillId="3" borderId="16" xfId="1" applyNumberFormat="1" applyFont="1" applyFill="1" applyBorder="1" applyAlignment="1">
      <alignment horizontal="center" wrapText="1"/>
    </xf>
    <xf numFmtId="0" fontId="4" fillId="4" borderId="2" xfId="0" applyFont="1" applyFill="1" applyBorder="1" applyAlignment="1">
      <alignment horizontal="center"/>
    </xf>
    <xf numFmtId="0" fontId="4" fillId="3" borderId="17" xfId="0" applyFont="1" applyFill="1" applyBorder="1" applyAlignment="1">
      <alignment horizontal="right"/>
    </xf>
    <xf numFmtId="0" fontId="4" fillId="3" borderId="18" xfId="0" applyFont="1" applyFill="1" applyBorder="1" applyAlignment="1">
      <alignment horizontal="right"/>
    </xf>
    <xf numFmtId="0" fontId="5" fillId="3" borderId="15" xfId="0" applyFont="1" applyFill="1" applyBorder="1" applyAlignment="1">
      <alignment horizontal="right" vertical="top"/>
    </xf>
    <xf numFmtId="0" fontId="5" fillId="3" borderId="0" xfId="0" applyFont="1" applyFill="1" applyBorder="1" applyAlignment="1">
      <alignment horizontal="right" vertical="top"/>
    </xf>
    <xf numFmtId="0" fontId="39" fillId="3" borderId="16" xfId="0" applyNumberFormat="1" applyFont="1" applyFill="1" applyBorder="1" applyAlignment="1">
      <alignment horizontal="center" vertical="top" wrapText="1"/>
    </xf>
    <xf numFmtId="0" fontId="70" fillId="3" borderId="15" xfId="0" applyFont="1" applyFill="1" applyBorder="1" applyAlignment="1">
      <alignment horizontal="right"/>
    </xf>
    <xf numFmtId="0" fontId="70" fillId="3" borderId="0" xfId="0" applyFont="1" applyFill="1" applyBorder="1" applyAlignment="1">
      <alignment horizontal="right"/>
    </xf>
    <xf numFmtId="0" fontId="92" fillId="3" borderId="15" xfId="0" applyFont="1" applyFill="1" applyBorder="1" applyAlignment="1">
      <alignment horizontal="center" vertical="center" wrapText="1"/>
    </xf>
    <xf numFmtId="0" fontId="92" fillId="3" borderId="0" xfId="0" applyFont="1" applyFill="1" applyBorder="1" applyAlignment="1">
      <alignment horizontal="center" vertical="center" wrapText="1"/>
    </xf>
    <xf numFmtId="0" fontId="92" fillId="3" borderId="16" xfId="0" applyFont="1" applyFill="1" applyBorder="1" applyAlignment="1">
      <alignment horizontal="center" vertical="center" wrapText="1"/>
    </xf>
    <xf numFmtId="1" fontId="45" fillId="27" borderId="20" xfId="49" applyNumberFormat="1" applyFont="1" applyFill="1" applyBorder="1" applyAlignment="1">
      <alignment horizontal="center"/>
    </xf>
    <xf numFmtId="1" fontId="45" fillId="27" borderId="21" xfId="49" applyNumberFormat="1" applyFont="1" applyFill="1" applyBorder="1" applyAlignment="1">
      <alignment horizontal="center"/>
    </xf>
    <xf numFmtId="1" fontId="45" fillId="27" borderId="22" xfId="49" applyNumberFormat="1" applyFont="1" applyFill="1" applyBorder="1" applyAlignment="1">
      <alignment horizontal="center"/>
    </xf>
    <xf numFmtId="1" fontId="43" fillId="4" borderId="20" xfId="49" applyNumberFormat="1" applyFont="1" applyFill="1" applyBorder="1" applyAlignment="1">
      <alignment horizontal="center"/>
    </xf>
    <xf numFmtId="1" fontId="43" fillId="4" borderId="21" xfId="49" applyNumberFormat="1" applyFont="1" applyFill="1" applyBorder="1" applyAlignment="1">
      <alignment horizontal="center"/>
    </xf>
    <xf numFmtId="1" fontId="43" fillId="4" borderId="22" xfId="49" applyNumberFormat="1" applyFont="1" applyFill="1" applyBorder="1" applyAlignment="1">
      <alignment horizontal="center"/>
    </xf>
    <xf numFmtId="0" fontId="60" fillId="3" borderId="15" xfId="49" applyFont="1" applyFill="1" applyBorder="1" applyAlignment="1" applyProtection="1">
      <alignment horizontal="right"/>
    </xf>
    <xf numFmtId="0" fontId="60" fillId="3" borderId="0" xfId="49" applyFont="1" applyFill="1" applyBorder="1" applyAlignment="1" applyProtection="1">
      <alignment horizontal="right"/>
    </xf>
    <xf numFmtId="0" fontId="66" fillId="3" borderId="15" xfId="49" applyFont="1" applyFill="1" applyBorder="1" applyAlignment="1" applyProtection="1">
      <alignment horizontal="right"/>
    </xf>
    <xf numFmtId="0" fontId="66" fillId="3" borderId="0" xfId="49" applyFont="1" applyFill="1" applyBorder="1" applyAlignment="1" applyProtection="1">
      <alignment horizontal="right"/>
    </xf>
    <xf numFmtId="0" fontId="57" fillId="3" borderId="15" xfId="49" applyFont="1" applyFill="1" applyBorder="1" applyAlignment="1" applyProtection="1">
      <alignment horizontal="right"/>
    </xf>
    <xf numFmtId="0" fontId="57" fillId="3" borderId="0" xfId="49" applyFont="1" applyFill="1" applyBorder="1" applyAlignment="1" applyProtection="1">
      <alignment horizontal="right"/>
    </xf>
    <xf numFmtId="0" fontId="61" fillId="3" borderId="15" xfId="0" applyFont="1" applyFill="1" applyBorder="1" applyAlignment="1" applyProtection="1">
      <alignment horizontal="right"/>
    </xf>
    <xf numFmtId="0" fontId="61" fillId="3" borderId="0" xfId="0" applyFont="1" applyFill="1" applyBorder="1" applyAlignment="1" applyProtection="1">
      <alignment horizontal="right"/>
    </xf>
    <xf numFmtId="0" fontId="60" fillId="3" borderId="15" xfId="49" applyFont="1" applyFill="1" applyBorder="1" applyAlignment="1" applyProtection="1">
      <alignment horizontal="center"/>
    </xf>
    <xf numFmtId="0" fontId="60" fillId="3" borderId="0" xfId="49" applyFont="1" applyFill="1" applyBorder="1" applyAlignment="1" applyProtection="1">
      <alignment horizontal="center"/>
    </xf>
    <xf numFmtId="0" fontId="60" fillId="3" borderId="16" xfId="49" applyFont="1" applyFill="1" applyBorder="1" applyAlignment="1" applyProtection="1">
      <alignment horizontal="center"/>
    </xf>
    <xf numFmtId="0" fontId="59" fillId="3" borderId="15" xfId="49" applyFont="1" applyFill="1" applyBorder="1" applyAlignment="1" applyProtection="1">
      <alignment horizontal="center"/>
    </xf>
    <xf numFmtId="0" fontId="59" fillId="3" borderId="0" xfId="49" applyFont="1" applyFill="1" applyBorder="1" applyAlignment="1" applyProtection="1">
      <alignment horizontal="center"/>
    </xf>
    <xf numFmtId="0" fontId="59" fillId="3" borderId="16" xfId="49" applyFont="1" applyFill="1" applyBorder="1" applyAlignment="1" applyProtection="1">
      <alignment horizontal="center"/>
    </xf>
    <xf numFmtId="0" fontId="57" fillId="3" borderId="34" xfId="49" applyFont="1" applyFill="1" applyBorder="1" applyAlignment="1" applyProtection="1">
      <alignment horizontal="right"/>
    </xf>
    <xf numFmtId="0" fontId="60" fillId="3" borderId="34" xfId="49" applyFont="1" applyFill="1" applyBorder="1" applyAlignment="1" applyProtection="1">
      <alignment horizontal="right"/>
    </xf>
    <xf numFmtId="0" fontId="75" fillId="3" borderId="15" xfId="49" applyFont="1" applyFill="1" applyBorder="1" applyAlignment="1" applyProtection="1">
      <alignment horizontal="right" wrapText="1"/>
    </xf>
    <xf numFmtId="0" fontId="75" fillId="3" borderId="0" xfId="49" applyFont="1" applyFill="1" applyBorder="1" applyAlignment="1" applyProtection="1">
      <alignment horizontal="right" wrapText="1"/>
    </xf>
    <xf numFmtId="2" fontId="79" fillId="3" borderId="23" xfId="49" applyNumberFormat="1" applyFont="1" applyFill="1" applyBorder="1" applyAlignment="1" applyProtection="1">
      <alignment horizontal="center" vertical="top" wrapText="1"/>
    </xf>
    <xf numFmtId="2" fontId="79" fillId="3" borderId="47" xfId="49" applyNumberFormat="1" applyFont="1" applyFill="1" applyBorder="1" applyAlignment="1" applyProtection="1">
      <alignment horizontal="center" vertical="top" wrapText="1"/>
    </xf>
    <xf numFmtId="0" fontId="79" fillId="3" borderId="16" xfId="49" applyFont="1" applyFill="1" applyBorder="1" applyAlignment="1" applyProtection="1">
      <alignment horizontal="center" vertical="top" wrapText="1"/>
    </xf>
    <xf numFmtId="0" fontId="42" fillId="3" borderId="12" xfId="49" applyFont="1" applyFill="1" applyBorder="1" applyAlignment="1">
      <alignment horizontal="center"/>
    </xf>
    <xf numFmtId="0" fontId="42" fillId="3" borderId="13" xfId="49" applyFont="1" applyFill="1" applyBorder="1" applyAlignment="1">
      <alignment horizontal="center"/>
    </xf>
    <xf numFmtId="0" fontId="42" fillId="3" borderId="14" xfId="49" applyFont="1" applyFill="1" applyBorder="1" applyAlignment="1">
      <alignment horizontal="center"/>
    </xf>
    <xf numFmtId="0" fontId="44" fillId="3" borderId="15" xfId="49" applyFont="1" applyFill="1" applyBorder="1" applyAlignment="1">
      <alignment horizontal="center"/>
    </xf>
    <xf numFmtId="0" fontId="44" fillId="3" borderId="0" xfId="49" applyFont="1" applyFill="1" applyBorder="1" applyAlignment="1">
      <alignment horizontal="center"/>
    </xf>
    <xf numFmtId="0" fontId="44" fillId="3" borderId="16" xfId="49" applyFont="1" applyFill="1" applyBorder="1" applyAlignment="1">
      <alignment horizontal="center"/>
    </xf>
    <xf numFmtId="0" fontId="46" fillId="3" borderId="17" xfId="49" applyFont="1" applyFill="1" applyBorder="1" applyAlignment="1">
      <alignment horizontal="center"/>
    </xf>
    <xf numFmtId="0" fontId="46" fillId="3" borderId="18" xfId="49" applyFont="1" applyFill="1" applyBorder="1" applyAlignment="1">
      <alignment horizontal="center"/>
    </xf>
    <xf numFmtId="0" fontId="46" fillId="3" borderId="19" xfId="49" applyFont="1" applyFill="1" applyBorder="1" applyAlignment="1">
      <alignment horizontal="center"/>
    </xf>
    <xf numFmtId="0" fontId="29" fillId="28" borderId="20" xfId="50" applyFont="1" applyFill="1" applyBorder="1" applyAlignment="1">
      <alignment horizontal="center" vertical="center"/>
    </xf>
    <xf numFmtId="0" fontId="29" fillId="28" borderId="21" xfId="50" applyFont="1" applyFill="1" applyBorder="1" applyAlignment="1">
      <alignment horizontal="center" vertical="center"/>
    </xf>
    <xf numFmtId="0" fontId="29" fillId="28" borderId="22" xfId="50" applyFont="1" applyFill="1" applyBorder="1" applyAlignment="1">
      <alignment horizontal="center" vertical="center"/>
    </xf>
    <xf numFmtId="0" fontId="41" fillId="3" borderId="12" xfId="49" applyFill="1" applyBorder="1" applyAlignment="1">
      <alignment horizontal="center"/>
    </xf>
    <xf numFmtId="0" fontId="41" fillId="3" borderId="13" xfId="49" applyFill="1" applyBorder="1" applyAlignment="1">
      <alignment horizontal="center"/>
    </xf>
    <xf numFmtId="0" fontId="41" fillId="3" borderId="14" xfId="49" applyFill="1" applyBorder="1" applyAlignment="1">
      <alignment horizontal="center"/>
    </xf>
    <xf numFmtId="0" fontId="60" fillId="3" borderId="17" xfId="49" applyFont="1" applyFill="1" applyBorder="1" applyAlignment="1">
      <alignment horizontal="right"/>
    </xf>
    <xf numFmtId="0" fontId="60" fillId="3" borderId="18" xfId="49" applyFont="1" applyFill="1" applyBorder="1" applyAlignment="1">
      <alignment horizontal="right"/>
    </xf>
    <xf numFmtId="0" fontId="33" fillId="0" borderId="0" xfId="47" applyFont="1" applyAlignment="1">
      <alignment horizontal="center"/>
    </xf>
    <xf numFmtId="0" fontId="32" fillId="0" borderId="0" xfId="47" applyAlignment="1">
      <alignment horizontal="center"/>
    </xf>
    <xf numFmtId="0" fontId="50" fillId="3" borderId="0" xfId="49" applyFont="1" applyFill="1" applyAlignment="1">
      <alignment horizontal="center" wrapText="1"/>
    </xf>
    <xf numFmtId="0" fontId="54" fillId="3" borderId="0" xfId="49" applyFont="1" applyFill="1" applyAlignment="1">
      <alignment horizontal="center"/>
    </xf>
    <xf numFmtId="0" fontId="54" fillId="3" borderId="0" xfId="49" applyFont="1" applyFill="1" applyAlignment="1">
      <alignment horizontal="right"/>
    </xf>
    <xf numFmtId="0" fontId="68" fillId="3" borderId="0" xfId="49" applyFont="1" applyFill="1" applyAlignment="1">
      <alignment horizontal="center"/>
    </xf>
    <xf numFmtId="0" fontId="50" fillId="3" borderId="0" xfId="49" applyFont="1" applyFill="1" applyAlignment="1">
      <alignment horizontal="center"/>
    </xf>
    <xf numFmtId="0" fontId="54" fillId="3" borderId="0" xfId="49" applyFont="1" applyFill="1" applyBorder="1" applyAlignment="1">
      <alignment horizontal="right"/>
    </xf>
    <xf numFmtId="0" fontId="4" fillId="3" borderId="15" xfId="0" applyFont="1" applyFill="1" applyBorder="1" applyAlignment="1">
      <alignment horizontal="right"/>
    </xf>
    <xf numFmtId="0" fontId="4" fillId="3" borderId="0" xfId="0" applyFont="1" applyFill="1" applyBorder="1" applyAlignment="1">
      <alignment horizontal="right"/>
    </xf>
    <xf numFmtId="0" fontId="4" fillId="3" borderId="0" xfId="0" applyFont="1" applyFill="1" applyBorder="1" applyAlignment="1">
      <alignment horizontal="center"/>
    </xf>
    <xf numFmtId="0" fontId="76" fillId="3" borderId="15" xfId="0" applyFont="1" applyFill="1" applyBorder="1" applyAlignment="1">
      <alignment horizontal="right"/>
    </xf>
    <xf numFmtId="0" fontId="76" fillId="3" borderId="0" xfId="0" applyFont="1" applyFill="1" applyBorder="1" applyAlignment="1">
      <alignment horizontal="right"/>
    </xf>
    <xf numFmtId="49" fontId="31" fillId="3" borderId="16" xfId="1" applyNumberFormat="1" applyFont="1" applyFill="1" applyBorder="1" applyAlignment="1">
      <alignment horizontal="center" wrapText="1"/>
    </xf>
    <xf numFmtId="44" fontId="31" fillId="3" borderId="16" xfId="0" applyNumberFormat="1" applyFont="1" applyFill="1" applyBorder="1" applyAlignment="1">
      <alignment horizontal="center" wrapText="1"/>
    </xf>
    <xf numFmtId="0" fontId="0" fillId="0" borderId="2" xfId="0" applyBorder="1" applyAlignment="1">
      <alignment horizontal="left" wrapText="1"/>
    </xf>
    <xf numFmtId="44" fontId="0" fillId="3" borderId="0" xfId="0" applyNumberFormat="1" applyFill="1"/>
    <xf numFmtId="1" fontId="1" fillId="3" borderId="48" xfId="0" applyNumberFormat="1" applyFont="1" applyFill="1" applyBorder="1"/>
    <xf numFmtId="0" fontId="0" fillId="3" borderId="2" xfId="0" applyFill="1" applyBorder="1"/>
    <xf numFmtId="0" fontId="4" fillId="29" borderId="2" xfId="0" applyFont="1" applyFill="1" applyBorder="1" applyAlignment="1" applyProtection="1">
      <alignment horizontal="left"/>
      <protection locked="0"/>
    </xf>
    <xf numFmtId="0" fontId="4" fillId="29" borderId="2" xfId="0" applyFont="1" applyFill="1" applyBorder="1" applyProtection="1">
      <protection locked="0"/>
    </xf>
    <xf numFmtId="0" fontId="4" fillId="29" borderId="2" xfId="0" applyFont="1" applyFill="1" applyBorder="1" applyAlignment="1" applyProtection="1">
      <protection locked="0"/>
    </xf>
    <xf numFmtId="0" fontId="4" fillId="29" borderId="31" xfId="0" applyFont="1" applyFill="1" applyBorder="1" applyAlignment="1" applyProtection="1">
      <alignment horizontal="left"/>
      <protection locked="0"/>
    </xf>
    <xf numFmtId="49" fontId="5" fillId="29" borderId="31" xfId="0" applyNumberFormat="1" applyFont="1" applyFill="1" applyBorder="1" applyAlignment="1" applyProtection="1">
      <alignment horizontal="right"/>
      <protection locked="0"/>
    </xf>
    <xf numFmtId="49" fontId="76" fillId="29" borderId="31" xfId="0" applyNumberFormat="1" applyFont="1" applyFill="1" applyBorder="1" applyAlignment="1" applyProtection="1">
      <alignment horizontal="right"/>
      <protection locked="0"/>
    </xf>
    <xf numFmtId="14" fontId="5" fillId="29" borderId="2" xfId="0" applyNumberFormat="1" applyFont="1" applyFill="1" applyBorder="1" applyProtection="1">
      <protection locked="0"/>
    </xf>
    <xf numFmtId="44" fontId="5" fillId="29" borderId="2" xfId="1" applyFont="1" applyFill="1" applyBorder="1" applyProtection="1">
      <protection locked="0"/>
    </xf>
    <xf numFmtId="10" fontId="5" fillId="29" borderId="2" xfId="0" applyNumberFormat="1" applyFont="1" applyFill="1" applyBorder="1" applyProtection="1">
      <protection locked="0"/>
    </xf>
    <xf numFmtId="44" fontId="4" fillId="29" borderId="2" xfId="1" applyFont="1" applyFill="1" applyBorder="1" applyProtection="1">
      <protection locked="0"/>
    </xf>
    <xf numFmtId="0" fontId="86" fillId="29" borderId="2" xfId="0" applyFont="1" applyFill="1" applyBorder="1" applyAlignment="1">
      <alignment horizontal="center"/>
    </xf>
    <xf numFmtId="44" fontId="4" fillId="0" borderId="0" xfId="1" applyFont="1" applyFill="1" applyBorder="1" applyProtection="1">
      <protection locked="0"/>
    </xf>
    <xf numFmtId="0" fontId="80" fillId="3" borderId="16" xfId="49" applyFont="1" applyFill="1" applyBorder="1" applyAlignment="1" applyProtection="1">
      <alignment horizontal="center" vertical="top" wrapText="1"/>
    </xf>
    <xf numFmtId="0" fontId="57" fillId="3" borderId="0" xfId="1" applyNumberFormat="1" applyFont="1" applyFill="1" applyBorder="1" applyProtection="1"/>
    <xf numFmtId="167" fontId="0" fillId="3" borderId="2" xfId="0" applyNumberFormat="1" applyFill="1" applyBorder="1"/>
    <xf numFmtId="167" fontId="86" fillId="3" borderId="2" xfId="0" applyNumberFormat="1" applyFont="1" applyFill="1" applyBorder="1"/>
    <xf numFmtId="39" fontId="58" fillId="3" borderId="2" xfId="1" applyNumberFormat="1" applyFont="1" applyFill="1" applyBorder="1" applyProtection="1"/>
    <xf numFmtId="44" fontId="31" fillId="3" borderId="23" xfId="0" applyNumberFormat="1" applyFont="1" applyFill="1" applyBorder="1" applyAlignment="1">
      <alignment horizontal="left" vertical="center" wrapText="1"/>
    </xf>
    <xf numFmtId="44" fontId="31" fillId="3" borderId="47" xfId="0" applyNumberFormat="1" applyFont="1" applyFill="1" applyBorder="1" applyAlignment="1">
      <alignment horizontal="left" vertical="center" wrapText="1"/>
    </xf>
  </cellXfs>
  <cellStyles count="52">
    <cellStyle name="20% - Accent1 2" xfId="4"/>
    <cellStyle name="20% - Accent2 2" xfId="5"/>
    <cellStyle name="20% - Accent3 2" xfId="6"/>
    <cellStyle name="20% - Accent4 2" xfId="7"/>
    <cellStyle name="20% - Accent5 2" xfId="8"/>
    <cellStyle name="20% - Accent6 2" xfId="9"/>
    <cellStyle name="40% - Accent1 2" xfId="10"/>
    <cellStyle name="40% - Accent2 2" xfId="11"/>
    <cellStyle name="40% - Accent3 2" xfId="12"/>
    <cellStyle name="40% - Accent4 2" xfId="13"/>
    <cellStyle name="40% - Accent5 2" xfId="14"/>
    <cellStyle name="40% - Accent6 2" xfId="15"/>
    <cellStyle name="60% - Accent1 2" xfId="16"/>
    <cellStyle name="60% - Accent2 2" xfId="17"/>
    <cellStyle name="60% - Accent3 2" xfId="18"/>
    <cellStyle name="60% - Accent4 2" xfId="19"/>
    <cellStyle name="60% - Accent5 2" xfId="20"/>
    <cellStyle name="60% - Accent6 2" xfId="21"/>
    <cellStyle name="Accent1 2" xfId="22"/>
    <cellStyle name="Accent2 2" xfId="23"/>
    <cellStyle name="Accent3 2" xfId="24"/>
    <cellStyle name="Accent4 2" xfId="25"/>
    <cellStyle name="Accent5 2" xfId="26"/>
    <cellStyle name="Accent6 2" xfId="27"/>
    <cellStyle name="Bad 2" xfId="28"/>
    <cellStyle name="Calculation 2" xfId="29"/>
    <cellStyle name="Check Cell 2" xfId="30"/>
    <cellStyle name="Comma 2" xfId="31"/>
    <cellStyle name="Comma 3" xfId="48"/>
    <cellStyle name="Currency" xfId="1" builtinId="4"/>
    <cellStyle name="Currency 2" xfId="32"/>
    <cellStyle name="Currency 3" xfId="51"/>
    <cellStyle name="Explanatory Text 2" xfId="33"/>
    <cellStyle name="Good 2" xfId="34"/>
    <cellStyle name="Heading 1 2" xfId="35"/>
    <cellStyle name="Heading 2 2" xfId="36"/>
    <cellStyle name="Heading 3 2" xfId="37"/>
    <cellStyle name="Heading 4 2" xfId="38"/>
    <cellStyle name="Input 2" xfId="39"/>
    <cellStyle name="Linked Cell 2" xfId="40"/>
    <cellStyle name="Neutral 2" xfId="41"/>
    <cellStyle name="Normal" xfId="0" builtinId="0"/>
    <cellStyle name="Normal 2" xfId="3"/>
    <cellStyle name="Normal 3" xfId="47"/>
    <cellStyle name="Normal 4" xfId="49"/>
    <cellStyle name="Normal 4 2" xfId="50"/>
    <cellStyle name="Normal_Sheet2" xfId="2"/>
    <cellStyle name="Note 2" xfId="42"/>
    <cellStyle name="Output 2" xfId="43"/>
    <cellStyle name="Title 2" xfId="44"/>
    <cellStyle name="Total 2" xfId="45"/>
    <cellStyle name="Warning Text 2" xfId="4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44825</xdr:colOff>
      <xdr:row>0</xdr:row>
      <xdr:rowOff>0</xdr:rowOff>
    </xdr:from>
    <xdr:to>
      <xdr:col>0</xdr:col>
      <xdr:colOff>1105510</xdr:colOff>
      <xdr:row>3</xdr:row>
      <xdr:rowOff>23481</xdr:rowOff>
    </xdr:to>
    <xdr:pic>
      <xdr:nvPicPr>
        <xdr:cNvPr id="2" name="Picture 1" descr="Nevada_Master_horiz_slogan_RGB.gif"/>
        <xdr:cNvPicPr>
          <a:picLocks noChangeAspect="1"/>
        </xdr:cNvPicPr>
      </xdr:nvPicPr>
      <xdr:blipFill>
        <a:blip xmlns:r="http://schemas.openxmlformats.org/officeDocument/2006/relationships" r:embed="rId1" cstate="print"/>
        <a:srcRect t="-2087" r="66061"/>
        <a:stretch>
          <a:fillRect/>
        </a:stretch>
      </xdr:blipFill>
      <xdr:spPr>
        <a:xfrm>
          <a:off x="44825" y="0"/>
          <a:ext cx="1060685" cy="10578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1060685</xdr:colOff>
      <xdr:row>3</xdr:row>
      <xdr:rowOff>2983</xdr:rowOff>
    </xdr:to>
    <xdr:pic>
      <xdr:nvPicPr>
        <xdr:cNvPr id="2" name="Picture 1" descr="Nevada_Master_horiz_slogan_RGB.gif"/>
        <xdr:cNvPicPr>
          <a:picLocks noChangeAspect="1"/>
        </xdr:cNvPicPr>
      </xdr:nvPicPr>
      <xdr:blipFill>
        <a:blip xmlns:r="http://schemas.openxmlformats.org/officeDocument/2006/relationships" r:embed="rId1" cstate="print"/>
        <a:srcRect t="-2087" r="66061"/>
        <a:stretch>
          <a:fillRect/>
        </a:stretch>
      </xdr:blipFill>
      <xdr:spPr>
        <a:xfrm>
          <a:off x="0" y="0"/>
          <a:ext cx="1060685" cy="9356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7334</xdr:colOff>
      <xdr:row>0</xdr:row>
      <xdr:rowOff>0</xdr:rowOff>
    </xdr:from>
    <xdr:to>
      <xdr:col>0</xdr:col>
      <xdr:colOff>1068019</xdr:colOff>
      <xdr:row>3</xdr:row>
      <xdr:rowOff>13956</xdr:rowOff>
    </xdr:to>
    <xdr:pic>
      <xdr:nvPicPr>
        <xdr:cNvPr id="2" name="Picture 1" descr="Nevada_Master_horiz_slogan_RGB.gif"/>
        <xdr:cNvPicPr>
          <a:picLocks noChangeAspect="1"/>
        </xdr:cNvPicPr>
      </xdr:nvPicPr>
      <xdr:blipFill>
        <a:blip xmlns:r="http://schemas.openxmlformats.org/officeDocument/2006/relationships" r:embed="rId1" cstate="print"/>
        <a:srcRect t="-2087" r="66061"/>
        <a:stretch>
          <a:fillRect/>
        </a:stretch>
      </xdr:blipFill>
      <xdr:spPr>
        <a:xfrm>
          <a:off x="7334" y="0"/>
          <a:ext cx="1060685" cy="10673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orir/Downloads/Mid%20Semester%20B%20Contract%20Hi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d Semester Start"/>
      <sheetName val="Academic Year"/>
    </sheetNames>
    <sheetDataSet>
      <sheetData sheetId="0">
        <row r="4">
          <cell r="F4">
            <v>40777</v>
          </cell>
        </row>
        <row r="9">
          <cell r="F9">
            <v>40728</v>
          </cell>
        </row>
        <row r="10">
          <cell r="F10">
            <v>40791</v>
          </cell>
        </row>
        <row r="11">
          <cell r="F11">
            <v>40844</v>
          </cell>
        </row>
        <row r="12">
          <cell r="F12">
            <v>40858</v>
          </cell>
        </row>
        <row r="13">
          <cell r="F13">
            <v>40871</v>
          </cell>
        </row>
        <row r="14">
          <cell r="F14">
            <v>40872</v>
          </cell>
        </row>
        <row r="15">
          <cell r="F15">
            <v>40903</v>
          </cell>
        </row>
        <row r="16">
          <cell r="F16">
            <v>40910</v>
          </cell>
        </row>
        <row r="17">
          <cell r="F17">
            <v>40924</v>
          </cell>
        </row>
        <row r="18">
          <cell r="F18">
            <v>40959</v>
          </cell>
        </row>
        <row r="19">
          <cell r="F19">
            <v>40987</v>
          </cell>
        </row>
        <row r="20">
          <cell r="F20">
            <v>40988</v>
          </cell>
        </row>
        <row r="21">
          <cell r="F21">
            <v>40989</v>
          </cell>
        </row>
        <row r="22">
          <cell r="F22">
            <v>40990</v>
          </cell>
        </row>
        <row r="23">
          <cell r="F23">
            <v>40991</v>
          </cell>
        </row>
        <row r="24">
          <cell r="F24">
            <v>41057</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tabSelected="1" zoomScaleNormal="100" workbookViewId="0">
      <selection activeCell="O23" sqref="O23"/>
    </sheetView>
  </sheetViews>
  <sheetFormatPr defaultColWidth="8.85546875" defaultRowHeight="18.75" x14ac:dyDescent="0.3"/>
  <cols>
    <col min="1" max="1" width="22.28515625" style="6" customWidth="1"/>
    <col min="2" max="2" width="40" style="4" customWidth="1"/>
    <col min="3" max="3" width="21.7109375" style="4" customWidth="1"/>
    <col min="4" max="4" width="19.85546875" style="4" customWidth="1"/>
    <col min="5" max="5" width="31.28515625" style="5" hidden="1" customWidth="1"/>
    <col min="6" max="6" width="10.42578125" style="6" hidden="1" customWidth="1"/>
    <col min="7" max="7" width="11" style="6" hidden="1" customWidth="1"/>
    <col min="8" max="8" width="10" style="6" hidden="1" customWidth="1"/>
    <col min="9" max="9" width="11" style="6" hidden="1" customWidth="1"/>
    <col min="10" max="10" width="0" style="6" hidden="1" customWidth="1"/>
    <col min="11" max="16384" width="8.85546875" style="6"/>
  </cols>
  <sheetData>
    <row r="1" spans="1:9" ht="32.85" customHeight="1" x14ac:dyDescent="0.5">
      <c r="A1" s="283" t="s">
        <v>37</v>
      </c>
      <c r="B1" s="284"/>
      <c r="C1" s="284"/>
      <c r="D1" s="285"/>
    </row>
    <row r="2" spans="1:9" ht="27.2" customHeight="1" x14ac:dyDescent="0.4">
      <c r="A2" s="286" t="s">
        <v>36</v>
      </c>
      <c r="B2" s="287"/>
      <c r="C2" s="287"/>
      <c r="D2" s="288"/>
    </row>
    <row r="3" spans="1:9" ht="21.75" customHeight="1" x14ac:dyDescent="0.3">
      <c r="A3" s="289" t="str">
        <f>TEXT(C15,"mm/dd/yyyy")&amp;" - "&amp;TEXT(C16,"mm/dd/yyyy")</f>
        <v>01/00/1900 - 01/00/1900</v>
      </c>
      <c r="B3" s="290"/>
      <c r="C3" s="290"/>
      <c r="D3" s="291"/>
    </row>
    <row r="4" spans="1:9" ht="31.15" customHeight="1" x14ac:dyDescent="0.25">
      <c r="A4" s="298" t="s">
        <v>169</v>
      </c>
      <c r="B4" s="299"/>
      <c r="C4" s="299"/>
      <c r="D4" s="300"/>
    </row>
    <row r="5" spans="1:9" ht="20.25" customHeight="1" x14ac:dyDescent="0.3">
      <c r="A5" s="80" t="s">
        <v>38</v>
      </c>
      <c r="B5" s="379"/>
      <c r="C5" s="81" t="s">
        <v>84</v>
      </c>
      <c r="D5" s="382"/>
    </row>
    <row r="6" spans="1:9" ht="19.7" customHeight="1" x14ac:dyDescent="0.3">
      <c r="A6" s="80" t="s">
        <v>39</v>
      </c>
      <c r="B6" s="380"/>
      <c r="C6" s="182" t="s">
        <v>141</v>
      </c>
      <c r="D6" s="382"/>
    </row>
    <row r="7" spans="1:9" ht="19.149999999999999" customHeight="1" x14ac:dyDescent="0.3">
      <c r="A7" s="80" t="s">
        <v>40</v>
      </c>
      <c r="B7" s="379"/>
      <c r="C7" s="182" t="s">
        <v>142</v>
      </c>
      <c r="D7" s="383"/>
    </row>
    <row r="8" spans="1:9" ht="20.25" customHeight="1" x14ac:dyDescent="0.3">
      <c r="A8" s="80" t="s">
        <v>44</v>
      </c>
      <c r="B8" s="379"/>
      <c r="C8" s="206" t="s">
        <v>168</v>
      </c>
      <c r="D8" s="384" t="s">
        <v>18</v>
      </c>
    </row>
    <row r="9" spans="1:9" ht="18.399999999999999" customHeight="1" x14ac:dyDescent="0.3">
      <c r="A9" s="80" t="s">
        <v>41</v>
      </c>
      <c r="B9" s="379"/>
      <c r="C9" s="261" t="s">
        <v>170</v>
      </c>
      <c r="D9" s="262" t="s">
        <v>18</v>
      </c>
    </row>
    <row r="10" spans="1:9" ht="17.25" customHeight="1" x14ac:dyDescent="0.3">
      <c r="A10" s="80" t="s">
        <v>42</v>
      </c>
      <c r="B10" s="381"/>
      <c r="C10" s="279" t="str">
        <f>IF(D7="8","EPR Reduction Factor: ",IF(D7="2","EPR Reduction Factor: ",IF(D7="D","EPR Reduction Factor: ","")))</f>
        <v/>
      </c>
      <c r="D10" s="280" t="str">
        <f>IF(D7="8",C20, IF(D7="2",C20, IF(D7="D",C20," ")))</f>
        <v xml:space="preserve"> </v>
      </c>
    </row>
    <row r="11" spans="1:9" ht="18.399999999999999" customHeight="1" x14ac:dyDescent="0.3">
      <c r="A11" s="80" t="s">
        <v>43</v>
      </c>
      <c r="B11" s="380"/>
      <c r="C11" s="208"/>
      <c r="D11" s="160"/>
    </row>
    <row r="12" spans="1:9" ht="10.9" customHeight="1" x14ac:dyDescent="0.25">
      <c r="A12" s="295"/>
      <c r="B12" s="296"/>
      <c r="C12" s="296"/>
      <c r="D12" s="297"/>
    </row>
    <row r="13" spans="1:9" ht="24.2" customHeight="1" x14ac:dyDescent="0.35">
      <c r="A13" s="292" t="s">
        <v>45</v>
      </c>
      <c r="B13" s="293"/>
      <c r="C13" s="293"/>
      <c r="D13" s="294"/>
      <c r="G13" s="378"/>
    </row>
    <row r="14" spans="1:9" ht="15.75" customHeight="1" x14ac:dyDescent="0.3">
      <c r="A14" s="20"/>
      <c r="B14" s="205"/>
      <c r="C14" s="205"/>
      <c r="D14" s="13"/>
      <c r="G14" s="389" t="s">
        <v>193</v>
      </c>
      <c r="H14" s="6" t="s">
        <v>194</v>
      </c>
      <c r="I14" s="6" t="s">
        <v>193</v>
      </c>
    </row>
    <row r="15" spans="1:9" ht="20.25" customHeight="1" x14ac:dyDescent="0.3">
      <c r="A15" s="20"/>
      <c r="B15" s="99" t="s">
        <v>46</v>
      </c>
      <c r="C15" s="385"/>
      <c r="D15" s="21"/>
      <c r="E15" s="9" t="s">
        <v>26</v>
      </c>
      <c r="F15" s="377">
        <f>NETWORKDAYS(DATE(YEAR(C15),MONTH(C15),1),DATE(YEAR(C15),MONTH(C15)+1,0))</f>
        <v>22</v>
      </c>
      <c r="G15" s="393">
        <f>((($C$17/12)*$C$18)*$C$20)/F15</f>
        <v>0</v>
      </c>
      <c r="H15" s="393">
        <f>(($C$22/12)*$C$20)/F15</f>
        <v>0</v>
      </c>
      <c r="I15" s="394">
        <f>G15+H15</f>
        <v>0</v>
      </c>
    </row>
    <row r="16" spans="1:9" ht="20.25" customHeight="1" x14ac:dyDescent="0.25">
      <c r="A16" s="20"/>
      <c r="B16" s="99" t="s">
        <v>47</v>
      </c>
      <c r="C16" s="385"/>
      <c r="D16" s="303" t="str">
        <f>IF(C16&lt;C15,"Date entered is less than start date","")</f>
        <v/>
      </c>
      <c r="E16" s="9" t="s">
        <v>27</v>
      </c>
      <c r="F16" s="377">
        <f>NETWORKDAYS(DATE(YEAR(C16),MONTH(C16),1),DATE(YEAR(C16),MONTH(C16)+1,0))</f>
        <v>22</v>
      </c>
      <c r="G16" s="393">
        <f t="shared" ref="G16:H16" si="0">((($C$17/12)*$C$18)*$C$20)/F16</f>
        <v>0</v>
      </c>
      <c r="H16" s="393">
        <f>(($C$22/12)*$C$20)/F16</f>
        <v>0</v>
      </c>
      <c r="I16" s="394">
        <f>G16+H16</f>
        <v>0</v>
      </c>
    </row>
    <row r="17" spans="1:7" ht="20.25" customHeight="1" x14ac:dyDescent="0.25">
      <c r="A17" s="20"/>
      <c r="B17" s="100" t="s">
        <v>22</v>
      </c>
      <c r="C17" s="386">
        <v>0</v>
      </c>
      <c r="D17" s="303"/>
      <c r="E17" s="9" t="s">
        <v>28</v>
      </c>
      <c r="F17" s="10">
        <f>(YEAR(DATE(YEAR(C16),MONTH(C16),1)-1)-YEAR(DATE(YEAR(C15),MONTH(C15)+1,0)))*12+MONTH(DATE(YEAR(C16),MONTH(C16),1)-1)-MONTH(DATE(YEAR(C15),MONTH(C15)+1,0))</f>
        <v>0</v>
      </c>
      <c r="G17" s="376"/>
    </row>
    <row r="18" spans="1:7" ht="20.25" customHeight="1" x14ac:dyDescent="0.3">
      <c r="A18" s="20"/>
      <c r="B18" s="260" t="s">
        <v>19</v>
      </c>
      <c r="C18" s="387"/>
      <c r="D18" s="23"/>
      <c r="E18" s="9" t="s">
        <v>33</v>
      </c>
      <c r="F18" s="10">
        <f>NETWORKDAYS(C15,F19)</f>
        <v>22</v>
      </c>
    </row>
    <row r="19" spans="1:7" ht="20.25" hidden="1" customHeight="1" x14ac:dyDescent="0.3">
      <c r="A19" s="20"/>
      <c r="B19" s="259" t="s">
        <v>181</v>
      </c>
      <c r="C19" s="16">
        <f>IF(D9="Yes",0.975,1)</f>
        <v>1</v>
      </c>
      <c r="D19" s="13"/>
      <c r="E19" s="9" t="s">
        <v>34</v>
      </c>
      <c r="F19" s="11">
        <f>DATE(YEAR(C15),MONTH(C15)+1,0)</f>
        <v>31</v>
      </c>
    </row>
    <row r="20" spans="1:7" ht="20.25" hidden="1" customHeight="1" x14ac:dyDescent="0.3">
      <c r="A20" s="20"/>
      <c r="B20" s="259" t="s">
        <v>182</v>
      </c>
      <c r="C20" s="213" t="str">
        <f>IF(ISNA(VLOOKUP(D7,RET_PLAN,2,FALSE)),"1",VLOOKUP(D7,RET_PLAN,2,FALSE))</f>
        <v>1</v>
      </c>
      <c r="D20" s="22"/>
      <c r="E20" s="9" t="s">
        <v>29</v>
      </c>
      <c r="F20" s="10">
        <f>NETWORKDAYS(F21,C16)</f>
        <v>0</v>
      </c>
    </row>
    <row r="21" spans="1:7" ht="20.25" hidden="1" customHeight="1" x14ac:dyDescent="0.25">
      <c r="A21" s="311" t="str">
        <f>CONCATENATE("Base pay"&amp;IF(D7="8",", EPR reduced",IF(D7="2"," EPR reduced",""))&amp;" at "&amp;TEXT('Contract Calculator'!C18,"#%")&amp;" FTE:")</f>
        <v>Base pay at % FTE:</v>
      </c>
      <c r="B21" s="312"/>
      <c r="C21" s="177">
        <f>ROUND(((C17*C18)*C19)*C20,2)</f>
        <v>0</v>
      </c>
      <c r="D21" s="212"/>
      <c r="E21" s="9" t="s">
        <v>35</v>
      </c>
      <c r="F21" s="11">
        <f>DATE(YEAR(C16),MONTH(C16),1)</f>
        <v>1</v>
      </c>
    </row>
    <row r="22" spans="1:7" ht="20.25" customHeight="1" x14ac:dyDescent="0.25">
      <c r="A22" s="20"/>
      <c r="B22" s="260" t="s">
        <v>144</v>
      </c>
      <c r="C22" s="388">
        <v>0</v>
      </c>
      <c r="D22" s="304" t="str">
        <f>IF(SUM(C22:C23)&gt;1,"*Stipend earnings are not subject to unpaid leave deduction."," ")</f>
        <v xml:space="preserve"> </v>
      </c>
      <c r="E22" s="9" t="s">
        <v>30</v>
      </c>
      <c r="F22" s="12">
        <f>((C30/F15)*F18)</f>
        <v>0</v>
      </c>
      <c r="G22" s="6">
        <f>I15*F18</f>
        <v>0</v>
      </c>
    </row>
    <row r="23" spans="1:7" ht="20.25" customHeight="1" x14ac:dyDescent="0.25">
      <c r="A23" s="20"/>
      <c r="B23" s="260" t="s">
        <v>180</v>
      </c>
      <c r="C23" s="388">
        <v>0</v>
      </c>
      <c r="D23" s="304"/>
      <c r="E23" s="9" t="s">
        <v>31</v>
      </c>
      <c r="F23" s="12">
        <f>C30*F17</f>
        <v>0</v>
      </c>
    </row>
    <row r="24" spans="1:7" ht="20.25" hidden="1" customHeight="1" x14ac:dyDescent="0.25">
      <c r="A24" s="20"/>
      <c r="B24" s="260"/>
      <c r="C24" s="390"/>
      <c r="D24" s="304"/>
      <c r="E24" s="9" t="s">
        <v>32</v>
      </c>
      <c r="F24" s="12">
        <f>C30/F16*F20</f>
        <v>0</v>
      </c>
      <c r="G24" s="6">
        <f>I16*F20</f>
        <v>0</v>
      </c>
    </row>
    <row r="25" spans="1:7" ht="20.25" hidden="1" customHeight="1" x14ac:dyDescent="0.25">
      <c r="A25" s="20"/>
      <c r="B25" s="260"/>
      <c r="C25" s="390"/>
      <c r="D25" s="304"/>
      <c r="E25" s="78" t="s">
        <v>83</v>
      </c>
      <c r="F25" s="79">
        <f>SUM(F22:F24)</f>
        <v>0</v>
      </c>
    </row>
    <row r="26" spans="1:7" ht="20.25" hidden="1" customHeight="1" x14ac:dyDescent="0.3">
      <c r="A26" s="20"/>
      <c r="B26" s="259" t="s">
        <v>23</v>
      </c>
      <c r="C26" s="25">
        <f>ROUND((C22+C23)*C20,2)</f>
        <v>0</v>
      </c>
      <c r="D26" s="13"/>
      <c r="E26" s="179" t="s">
        <v>145</v>
      </c>
      <c r="F26" s="101">
        <f>ROUND((ROUND($C$26/12,2)/$F$15)*$F$18,2)+(ROUND($C$26/12,2)*$F$17)+ROUND((ROUND($C$26/12,2)/$F$16)*$F$20,2)</f>
        <v>0</v>
      </c>
    </row>
    <row r="27" spans="1:7" ht="27" customHeight="1" x14ac:dyDescent="0.25">
      <c r="A27" s="313" t="str">
        <f>IF(MID(B6,11,1)="B",IF(AND($C$15&gt;'Mid Semester B Contract Hire'!G6,$C$15&lt;'Mid Semester B Contract Hire'!H4),"Complete all shaded fields above, then print the worksheet on the Mid Semester B Contract Hire tab.",IF(AND($C$15&gt;'Mid Semester B Contract Hire'!G5,$C$15&lt;'Mid Semester B Contract Hire'!H5),"Complete all shaded fields above, then print the worksheet on the Mid Semester B Contract Hire tab."," ")),"")</f>
        <v/>
      </c>
      <c r="B27" s="314"/>
      <c r="C27" s="314"/>
      <c r="D27" s="315"/>
      <c r="E27" s="179"/>
      <c r="F27" s="101"/>
    </row>
    <row r="28" spans="1:7" ht="20.25" customHeight="1" x14ac:dyDescent="0.25">
      <c r="A28" s="20"/>
      <c r="B28" s="259" t="s">
        <v>24</v>
      </c>
      <c r="C28" s="18">
        <f>IF(MID($B$6,11,1)="B",IF(AND($C$15&gt;'Mid Semester B Contract Hire'!G6,$C$15&lt;'Mid Semester B Contract Hire'!H4),0,IF(AND($C$15&gt;'Mid Semester B Contract Hire'!G5,$C$15&lt;'Mid Semester B Contract Hire'!H5),0,ROUND(C21/12,2))),ROUND(C21/12,2))</f>
        <v>0</v>
      </c>
      <c r="D28" s="193"/>
    </row>
    <row r="29" spans="1:7" ht="20.25" customHeight="1" x14ac:dyDescent="0.25">
      <c r="A29" s="20"/>
      <c r="B29" s="259" t="s">
        <v>82</v>
      </c>
      <c r="C29" s="17">
        <f>IF(MID($B$6,11,1)="B",IF(AND($C$15&gt;'Mid Semester B Contract Hire'!$G$6,$C$15&lt;'Mid Semester B Contract Hire'!$H$4),0,IF(AND($C$15&gt;'Mid Semester B Contract Hire'!G5,$C$15&lt;'Mid Semester B Contract Hire'!$H$5),0,ROUND($C$26/12,2))),ROUND($C$26/12,2))</f>
        <v>0</v>
      </c>
      <c r="D29" s="193"/>
    </row>
    <row r="30" spans="1:7" ht="20.25" customHeight="1" thickBot="1" x14ac:dyDescent="0.35">
      <c r="A30" s="20"/>
      <c r="B30" s="258" t="s">
        <v>25</v>
      </c>
      <c r="C30" s="273">
        <f>SUM(C28:C29)</f>
        <v>0</v>
      </c>
      <c r="D30" s="310"/>
    </row>
    <row r="31" spans="1:7" ht="16.5" customHeight="1" thickBot="1" x14ac:dyDescent="0.35">
      <c r="A31" s="20"/>
      <c r="B31" s="258"/>
      <c r="C31" s="75"/>
      <c r="D31" s="310"/>
    </row>
    <row r="32" spans="1:7" ht="20.25" customHeight="1" thickBot="1" x14ac:dyDescent="0.35">
      <c r="A32" s="301" t="str">
        <f>CONCATENATE("Contract Amount"&amp;IF(D7="8",", EPR reduced",IF(D7="2"," EPR reduced",""))&amp;" at "&amp;TEXT('Contract Calculator'!C18,"#%")&amp;" FTE:")</f>
        <v>Contract Amount at % FTE:</v>
      </c>
      <c r="B32" s="302"/>
      <c r="C32" s="76">
        <f>IF(C15&gt;E36,F25,IF(C16&lt;F36,F25,(C21+C26)))</f>
        <v>0</v>
      </c>
      <c r="D32" s="310"/>
      <c r="E32" s="271" t="s">
        <v>179</v>
      </c>
    </row>
    <row r="33" spans="1:6" ht="19.5" customHeight="1" x14ac:dyDescent="0.3">
      <c r="A33" s="308"/>
      <c r="B33" s="309"/>
      <c r="C33" s="75"/>
      <c r="D33" s="310"/>
      <c r="E33" s="272" t="s">
        <v>17</v>
      </c>
    </row>
    <row r="34" spans="1:6" ht="17.25" customHeight="1" x14ac:dyDescent="0.25">
      <c r="A34" s="20"/>
      <c r="B34" s="259" t="s">
        <v>146</v>
      </c>
      <c r="C34" s="18">
        <f>IF(B6="Letter of Appointment",0,IF(D8="Yes",0,ROUND(C28*-0.023,2)))</f>
        <v>0</v>
      </c>
      <c r="D34" s="396" t="str">
        <f>IF(D8="Yes"," ","*Deduction is taken through payroll and is not reflected in the Contract Amount.")</f>
        <v>*Deduction is taken through payroll and is not reflected in the Contract Amount.</v>
      </c>
      <c r="E34" s="272" t="s">
        <v>18</v>
      </c>
    </row>
    <row r="35" spans="1:6" ht="17.25" customHeight="1" x14ac:dyDescent="0.25">
      <c r="A35" s="20"/>
      <c r="B35" s="259" t="s">
        <v>48</v>
      </c>
      <c r="C35" s="18">
        <f>(C28+C34)+C29</f>
        <v>0</v>
      </c>
      <c r="D35" s="396"/>
      <c r="E35" s="305" t="s">
        <v>139</v>
      </c>
      <c r="F35" s="305"/>
    </row>
    <row r="36" spans="1:6" ht="17.25" customHeight="1" thickBot="1" x14ac:dyDescent="0.3">
      <c r="A36" s="306" t="s">
        <v>165</v>
      </c>
      <c r="B36" s="307"/>
      <c r="C36" s="74">
        <f>C35*12</f>
        <v>0</v>
      </c>
      <c r="D36" s="397"/>
      <c r="E36" s="180">
        <f>'Mid Semester B Contract Hire'!G6</f>
        <v>41821</v>
      </c>
      <c r="F36" s="181">
        <f>'Mid Semester B Contract Hire'!H6</f>
        <v>42185</v>
      </c>
    </row>
    <row r="37" spans="1:6" ht="17.25" customHeight="1" x14ac:dyDescent="0.3"/>
  </sheetData>
  <sheetProtection password="CA2B" sheet="1" objects="1" scenarios="1"/>
  <mergeCells count="17">
    <mergeCell ref="A32:B32"/>
    <mergeCell ref="D16:D17"/>
    <mergeCell ref="D24:D25"/>
    <mergeCell ref="E35:F35"/>
    <mergeCell ref="D34:D36"/>
    <mergeCell ref="A36:B36"/>
    <mergeCell ref="A33:B33"/>
    <mergeCell ref="D22:D23"/>
    <mergeCell ref="D30:D33"/>
    <mergeCell ref="A21:B21"/>
    <mergeCell ref="A27:D27"/>
    <mergeCell ref="A1:D1"/>
    <mergeCell ref="A2:D2"/>
    <mergeCell ref="A3:D3"/>
    <mergeCell ref="A13:D13"/>
    <mergeCell ref="A12:D12"/>
    <mergeCell ref="A4:D4"/>
  </mergeCells>
  <dataValidations count="6">
    <dataValidation type="date" allowBlank="1" showInputMessage="1" showErrorMessage="1" error="Date entered is outside current fiscal year." sqref="C15">
      <formula1>E36</formula1>
      <formula2>F36</formula2>
    </dataValidation>
    <dataValidation type="date" allowBlank="1" showInputMessage="1" showErrorMessage="1" error="Date is outside current fiscal year." sqref="C16">
      <formula1>E36</formula1>
      <formula2>F36</formula2>
    </dataValidation>
    <dataValidation type="list" allowBlank="1" showInputMessage="1" showErrorMessage="1" sqref="B6">
      <formula1>"Administrative Renewable, Academic ""A"" Renewable, Academic ""B"" Renewable, Temporary 1-year, Letter of Appointment"</formula1>
    </dataValidation>
    <dataValidation type="list" allowBlank="1" showInputMessage="1" showErrorMessage="1" sqref="B11">
      <formula1>"Tenure Track, Non-tenure Track, Tenured"</formula1>
    </dataValidation>
    <dataValidation type="list" allowBlank="1" showInputMessage="1" showErrorMessage="1" sqref="D8:D9">
      <formula1>Yes_No</formula1>
    </dataValidation>
    <dataValidation type="list" allowBlank="1" showInputMessage="1" showErrorMessage="1" sqref="D7">
      <formula1>RET_CODE</formula1>
    </dataValidation>
  </dataValidations>
  <printOptions horizontalCentered="1" verticalCentered="1"/>
  <pageMargins left="0.5" right="0.25" top="0.5" bottom="0.25" header="0.3" footer="0.3"/>
  <pageSetup scale="95" orientation="portrait" horizontalDpi="1200" verticalDpi="1200" r:id="rId1"/>
  <ignoredErrors>
    <ignoredError sqref="D22" formulaRange="1"/>
    <ignoredError sqref="D16"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6"/>
  <sheetViews>
    <sheetView topLeftCell="A13" zoomScaleNormal="100" workbookViewId="0">
      <selection activeCell="D39" sqref="D39:D40"/>
    </sheetView>
  </sheetViews>
  <sheetFormatPr defaultColWidth="8.85546875" defaultRowHeight="12.75" x14ac:dyDescent="0.2"/>
  <cols>
    <col min="1" max="1" width="21.28515625" style="104" customWidth="1"/>
    <col min="2" max="2" width="38.140625" style="104" customWidth="1"/>
    <col min="3" max="3" width="19.42578125" style="104" customWidth="1"/>
    <col min="4" max="4" width="19.140625" style="104" customWidth="1"/>
    <col min="5" max="5" width="2.140625" style="110" customWidth="1"/>
    <col min="6" max="6" width="30.85546875" style="134" hidden="1" customWidth="1"/>
    <col min="7" max="7" width="14.140625" style="133" hidden="1" customWidth="1"/>
    <col min="8" max="8" width="11.7109375" style="133" hidden="1" customWidth="1"/>
    <col min="9" max="9" width="10.5703125" style="134" hidden="1" customWidth="1"/>
    <col min="10" max="12" width="10.5703125" style="104" hidden="1" customWidth="1"/>
    <col min="13" max="13" width="0.7109375" style="104" customWidth="1"/>
    <col min="14" max="16384" width="8.85546875" style="104"/>
  </cols>
  <sheetData>
    <row r="1" spans="1:12" ht="29.45" customHeight="1" thickBot="1" x14ac:dyDescent="0.55000000000000004">
      <c r="A1" s="343" t="s">
        <v>37</v>
      </c>
      <c r="B1" s="344"/>
      <c r="C1" s="344"/>
      <c r="D1" s="345"/>
      <c r="E1" s="112"/>
      <c r="F1" s="319" t="s">
        <v>150</v>
      </c>
      <c r="G1" s="320"/>
      <c r="H1" s="320"/>
      <c r="I1" s="320"/>
      <c r="J1" s="321"/>
      <c r="L1" s="87"/>
    </row>
    <row r="2" spans="1:12" ht="22.5" customHeight="1" thickBot="1" x14ac:dyDescent="0.4">
      <c r="A2" s="346" t="s">
        <v>36</v>
      </c>
      <c r="B2" s="347"/>
      <c r="C2" s="347"/>
      <c r="D2" s="348"/>
      <c r="E2" s="82"/>
      <c r="F2" s="316" t="s">
        <v>85</v>
      </c>
      <c r="G2" s="317"/>
      <c r="H2" s="317"/>
      <c r="I2" s="317"/>
      <c r="J2" s="318"/>
      <c r="L2" s="87"/>
    </row>
    <row r="3" spans="1:12" ht="21.95" customHeight="1" thickBot="1" x14ac:dyDescent="0.35">
      <c r="A3" s="349" t="s">
        <v>138</v>
      </c>
      <c r="B3" s="350"/>
      <c r="C3" s="350"/>
      <c r="D3" s="351"/>
      <c r="E3" s="107"/>
      <c r="F3" s="163"/>
      <c r="G3" s="164" t="s">
        <v>158</v>
      </c>
      <c r="H3" s="165" t="s">
        <v>159</v>
      </c>
      <c r="I3" s="166" t="s">
        <v>88</v>
      </c>
      <c r="J3" s="167" t="s">
        <v>89</v>
      </c>
    </row>
    <row r="4" spans="1:12" ht="21.4" customHeight="1" x14ac:dyDescent="0.25">
      <c r="A4" s="219" t="s">
        <v>38</v>
      </c>
      <c r="B4" s="109">
        <f>'Contract Calculator'!B5</f>
        <v>0</v>
      </c>
      <c r="C4" s="220" t="s">
        <v>84</v>
      </c>
      <c r="D4" s="245" t="s">
        <v>164</v>
      </c>
      <c r="E4" s="84"/>
      <c r="F4" s="128" t="s">
        <v>90</v>
      </c>
      <c r="G4" s="168">
        <v>41869</v>
      </c>
      <c r="H4" s="169">
        <v>41992</v>
      </c>
      <c r="I4" s="127">
        <f>NETWORKDAYS(G4,H4,HOLIDAY)</f>
        <v>85</v>
      </c>
      <c r="J4" s="129">
        <f>IF(AND($C$14&gt;=G4,$C$14&lt;=H4),NETWORKDAYS($C$14,H4,HOLIDAY),I4)</f>
        <v>85</v>
      </c>
    </row>
    <row r="5" spans="1:12" ht="18.399999999999999" customHeight="1" x14ac:dyDescent="0.25">
      <c r="A5" s="219" t="s">
        <v>39</v>
      </c>
      <c r="B5" s="109">
        <f>'Contract Calculator'!B6</f>
        <v>0</v>
      </c>
      <c r="C5" s="220" t="s">
        <v>141</v>
      </c>
      <c r="D5" s="245">
        <f>'Contract Calculator'!D6</f>
        <v>0</v>
      </c>
      <c r="E5" s="108"/>
      <c r="F5" s="128" t="s">
        <v>91</v>
      </c>
      <c r="G5" s="170">
        <v>42017</v>
      </c>
      <c r="H5" s="171">
        <v>42142</v>
      </c>
      <c r="I5" s="127">
        <f>NETWORKDAYS(G5,H5,HOLIDAY)</f>
        <v>83</v>
      </c>
      <c r="J5" s="129">
        <f>IF(C14&gt;=G5,NETWORKDAYS(C14,H5,HOLIDAY),NETWORKDAYS(G5,H5,HOLIDAY))</f>
        <v>83</v>
      </c>
    </row>
    <row r="6" spans="1:12" ht="18.399999999999999" customHeight="1" thickBot="1" x14ac:dyDescent="0.3">
      <c r="A6" s="219" t="s">
        <v>40</v>
      </c>
      <c r="B6" s="109">
        <f>'Contract Calculator'!B7</f>
        <v>0</v>
      </c>
      <c r="C6" s="221" t="s">
        <v>142</v>
      </c>
      <c r="D6" s="245">
        <f>'Contract Calculator'!D7</f>
        <v>0</v>
      </c>
      <c r="E6" s="108"/>
      <c r="F6" s="128" t="s">
        <v>160</v>
      </c>
      <c r="G6" s="170">
        <v>41821</v>
      </c>
      <c r="H6" s="171">
        <v>42185</v>
      </c>
      <c r="I6" s="130">
        <f>SUM(I4:I5)</f>
        <v>168</v>
      </c>
      <c r="J6" s="131">
        <f>SUM(J4:J5)</f>
        <v>168</v>
      </c>
    </row>
    <row r="7" spans="1:12" ht="18.399999999999999" customHeight="1" thickBot="1" x14ac:dyDescent="0.3">
      <c r="A7" s="219" t="s">
        <v>44</v>
      </c>
      <c r="B7" s="109">
        <f>'Contract Calculator'!B8</f>
        <v>0</v>
      </c>
      <c r="C7" s="221" t="s">
        <v>168</v>
      </c>
      <c r="D7" s="245" t="str">
        <f>'Contract Calculator'!D8</f>
        <v>No</v>
      </c>
      <c r="E7" s="109"/>
      <c r="F7" s="126">
        <f>DATE(YEAR(C14),MONTH(C14),1)</f>
        <v>1</v>
      </c>
      <c r="G7" s="132" t="s">
        <v>93</v>
      </c>
      <c r="K7" s="135" t="s">
        <v>140</v>
      </c>
      <c r="L7" s="135" t="s">
        <v>54</v>
      </c>
    </row>
    <row r="8" spans="1:12" ht="18.399999999999999" customHeight="1" thickBot="1" x14ac:dyDescent="0.3">
      <c r="A8" s="219" t="s">
        <v>41</v>
      </c>
      <c r="B8" s="109">
        <f>'Contract Calculator'!B9</f>
        <v>0</v>
      </c>
      <c r="C8" s="223"/>
      <c r="D8" s="222"/>
      <c r="E8" s="84"/>
      <c r="F8" s="136" t="s">
        <v>94</v>
      </c>
      <c r="G8" s="275" t="s">
        <v>157</v>
      </c>
      <c r="H8" s="137" t="s">
        <v>95</v>
      </c>
      <c r="I8" s="138">
        <f>G6</f>
        <v>41821</v>
      </c>
      <c r="J8" s="139">
        <f>EOMONTH(I8,0)</f>
        <v>41851</v>
      </c>
      <c r="K8" s="140">
        <f>NETWORKDAYS(I8,J8,HOLIDAY)</f>
        <v>22</v>
      </c>
      <c r="L8" s="141">
        <v>0</v>
      </c>
    </row>
    <row r="9" spans="1:12" ht="18.399999999999999" customHeight="1" x14ac:dyDescent="0.25">
      <c r="A9" s="219" t="s">
        <v>42</v>
      </c>
      <c r="B9" s="109">
        <f>'Contract Calculator'!B10</f>
        <v>0</v>
      </c>
      <c r="C9" s="223"/>
      <c r="D9" s="222"/>
      <c r="E9" s="84"/>
      <c r="F9" s="142" t="s">
        <v>96</v>
      </c>
      <c r="G9" s="172">
        <v>41824</v>
      </c>
      <c r="H9" s="143" t="s">
        <v>97</v>
      </c>
      <c r="I9" s="144">
        <f>EDATE(I8,1)</f>
        <v>41852</v>
      </c>
      <c r="J9" s="144">
        <f>G4-1</f>
        <v>41868</v>
      </c>
      <c r="K9" s="127">
        <f>NETWORKDAYS(I9,J9,HOLIDAY)</f>
        <v>11</v>
      </c>
      <c r="L9" s="145">
        <f>NETWORKDAYS(G4,EOMONTH(I9,0),HOLIDAY)</f>
        <v>10</v>
      </c>
    </row>
    <row r="10" spans="1:12" ht="18.399999999999999" customHeight="1" x14ac:dyDescent="0.25">
      <c r="A10" s="219" t="s">
        <v>43</v>
      </c>
      <c r="B10" s="109">
        <f>'Contract Calculator'!B11</f>
        <v>0</v>
      </c>
      <c r="C10" s="223"/>
      <c r="D10" s="222"/>
      <c r="E10" s="84"/>
      <c r="F10" s="142" t="s">
        <v>98</v>
      </c>
      <c r="G10" s="173">
        <v>41883</v>
      </c>
      <c r="H10" s="143" t="s">
        <v>99</v>
      </c>
      <c r="I10" s="144">
        <f t="shared" ref="I10:I19" si="0">EDATE(I9,1)</f>
        <v>41883</v>
      </c>
      <c r="J10" s="144">
        <f t="shared" ref="J10:J19" si="1">EOMONTH(I10,0)</f>
        <v>41912</v>
      </c>
      <c r="K10" s="127">
        <v>0</v>
      </c>
      <c r="L10" s="145">
        <f>NETWORKDAYS(I10,J10,HOLIDAY)</f>
        <v>21</v>
      </c>
    </row>
    <row r="11" spans="1:12" ht="16.899999999999999" customHeight="1" thickBot="1" x14ac:dyDescent="0.35">
      <c r="A11" s="83"/>
      <c r="B11" s="105"/>
      <c r="C11" s="105"/>
      <c r="D11" s="106"/>
      <c r="E11" s="84"/>
      <c r="F11" s="142" t="s">
        <v>100</v>
      </c>
      <c r="G11" s="173">
        <v>41943</v>
      </c>
      <c r="H11" s="143" t="s">
        <v>101</v>
      </c>
      <c r="I11" s="144">
        <f t="shared" si="0"/>
        <v>41913</v>
      </c>
      <c r="J11" s="144">
        <f t="shared" si="1"/>
        <v>41943</v>
      </c>
      <c r="K11" s="127">
        <v>0</v>
      </c>
      <c r="L11" s="145">
        <f>NETWORKDAYS(I11,J11,HOLIDAY)</f>
        <v>22</v>
      </c>
    </row>
    <row r="12" spans="1:12" ht="19.7" customHeight="1" thickBot="1" x14ac:dyDescent="0.25">
      <c r="A12" s="352" t="s">
        <v>45</v>
      </c>
      <c r="B12" s="353"/>
      <c r="C12" s="353"/>
      <c r="D12" s="354"/>
      <c r="E12" s="84"/>
      <c r="F12" s="142" t="s">
        <v>102</v>
      </c>
      <c r="G12" s="173">
        <v>41954</v>
      </c>
      <c r="H12" s="143" t="s">
        <v>103</v>
      </c>
      <c r="I12" s="144">
        <f t="shared" si="0"/>
        <v>41944</v>
      </c>
      <c r="J12" s="144">
        <f t="shared" si="1"/>
        <v>41973</v>
      </c>
      <c r="K12" s="127">
        <v>0</v>
      </c>
      <c r="L12" s="145">
        <f>NETWORKDAYS(I12,J12,HOLIDAY)</f>
        <v>17</v>
      </c>
    </row>
    <row r="13" spans="1:12" ht="22.15" customHeight="1" x14ac:dyDescent="0.35">
      <c r="A13" s="355"/>
      <c r="B13" s="356"/>
      <c r="C13" s="356"/>
      <c r="D13" s="357"/>
      <c r="E13" s="113"/>
      <c r="F13" s="142" t="s">
        <v>104</v>
      </c>
      <c r="G13" s="173">
        <v>41970</v>
      </c>
      <c r="H13" s="143" t="s">
        <v>105</v>
      </c>
      <c r="I13" s="144">
        <f t="shared" si="0"/>
        <v>41974</v>
      </c>
      <c r="J13" s="144">
        <f t="shared" si="1"/>
        <v>42004</v>
      </c>
      <c r="K13" s="127">
        <f>NETWORKDAYS((H4+1),J13,HOLIDAY)</f>
        <v>7</v>
      </c>
      <c r="L13" s="145">
        <f>NETWORKDAYS(I13,H4,HOLIDAY)</f>
        <v>15</v>
      </c>
    </row>
    <row r="14" spans="1:12" ht="17.25" customHeight="1" x14ac:dyDescent="0.25">
      <c r="A14" s="326" t="s">
        <v>143</v>
      </c>
      <c r="B14" s="336"/>
      <c r="C14" s="116">
        <f>'Contract Calculator'!C15</f>
        <v>0</v>
      </c>
      <c r="D14" s="118"/>
      <c r="E14" s="84"/>
      <c r="F14" s="142" t="s">
        <v>106</v>
      </c>
      <c r="G14" s="146">
        <f>G13+1</f>
        <v>41971</v>
      </c>
      <c r="H14" s="143" t="s">
        <v>107</v>
      </c>
      <c r="I14" s="144">
        <f t="shared" si="0"/>
        <v>42005</v>
      </c>
      <c r="J14" s="144">
        <f>G5-1</f>
        <v>42016</v>
      </c>
      <c r="K14" s="127">
        <f>NETWORKDAYS(I14,J14,HOLIDAY)</f>
        <v>7</v>
      </c>
      <c r="L14" s="145">
        <f>NETWORKDAYS(G5,EOMONTH(I14,0),HOLIDAY)</f>
        <v>13</v>
      </c>
    </row>
    <row r="15" spans="1:12" ht="17.25" customHeight="1" x14ac:dyDescent="0.25">
      <c r="A15" s="326" t="s">
        <v>132</v>
      </c>
      <c r="B15" s="336"/>
      <c r="C15" s="117">
        <f>'Contract Calculator'!C17</f>
        <v>0</v>
      </c>
      <c r="D15" s="118"/>
      <c r="F15" s="142" t="s">
        <v>108</v>
      </c>
      <c r="G15" s="173">
        <v>41998</v>
      </c>
      <c r="H15" s="143" t="s">
        <v>109</v>
      </c>
      <c r="I15" s="144">
        <f t="shared" si="0"/>
        <v>42036</v>
      </c>
      <c r="J15" s="144">
        <f t="shared" si="1"/>
        <v>42063</v>
      </c>
      <c r="K15" s="127">
        <v>0</v>
      </c>
      <c r="L15" s="145">
        <f>NETWORKDAYS(I15,J15,HOLIDAY)</f>
        <v>19</v>
      </c>
    </row>
    <row r="16" spans="1:12" ht="17.25" customHeight="1" x14ac:dyDescent="0.25">
      <c r="A16" s="326" t="s">
        <v>126</v>
      </c>
      <c r="B16" s="336"/>
      <c r="C16" s="119">
        <f>'Contract Calculator'!C18</f>
        <v>0</v>
      </c>
      <c r="D16" s="118"/>
      <c r="F16" s="142" t="s">
        <v>110</v>
      </c>
      <c r="G16" s="173">
        <v>42005</v>
      </c>
      <c r="H16" s="143" t="s">
        <v>111</v>
      </c>
      <c r="I16" s="144">
        <f t="shared" si="0"/>
        <v>42064</v>
      </c>
      <c r="J16" s="144">
        <f t="shared" si="1"/>
        <v>42094</v>
      </c>
      <c r="K16" s="127">
        <f>NETWORKDAYS(G19,G23)</f>
        <v>5</v>
      </c>
      <c r="L16" s="145">
        <f>NETWORKDAYS(I16,J16,HOLIDAY)</f>
        <v>17</v>
      </c>
    </row>
    <row r="17" spans="1:12" ht="17.25" hidden="1" customHeight="1" x14ac:dyDescent="0.25">
      <c r="A17" s="326" t="s">
        <v>133</v>
      </c>
      <c r="B17" s="327"/>
      <c r="C17" s="117">
        <v>0</v>
      </c>
      <c r="D17" s="118"/>
      <c r="F17" s="142" t="s">
        <v>112</v>
      </c>
      <c r="G17" s="174">
        <v>42023</v>
      </c>
      <c r="H17" s="143" t="s">
        <v>113</v>
      </c>
      <c r="I17" s="144">
        <f t="shared" si="0"/>
        <v>42095</v>
      </c>
      <c r="J17" s="144">
        <f t="shared" si="1"/>
        <v>42124</v>
      </c>
      <c r="K17" s="127">
        <v>0</v>
      </c>
      <c r="L17" s="145">
        <f>NETWORKDAYS(I17,J17,HOLIDAY)</f>
        <v>22</v>
      </c>
    </row>
    <row r="18" spans="1:12" ht="17.25" customHeight="1" thickBot="1" x14ac:dyDescent="0.3">
      <c r="A18" s="328" t="s">
        <v>134</v>
      </c>
      <c r="B18" s="329"/>
      <c r="C18" s="120" t="str">
        <f>'Contract Calculator'!D10</f>
        <v xml:space="preserve"> </v>
      </c>
      <c r="D18" s="118"/>
      <c r="F18" s="142" t="s">
        <v>114</v>
      </c>
      <c r="G18" s="173">
        <v>42051</v>
      </c>
      <c r="H18" s="143" t="s">
        <v>115</v>
      </c>
      <c r="I18" s="144">
        <f t="shared" si="0"/>
        <v>42125</v>
      </c>
      <c r="J18" s="144">
        <f t="shared" si="1"/>
        <v>42155</v>
      </c>
      <c r="K18" s="127">
        <f>NETWORKDAYS(H5+1,J18,HOLIDAY)</f>
        <v>8</v>
      </c>
      <c r="L18" s="145">
        <f>NETWORKDAYS(I18,H5,HOLIDAY)</f>
        <v>12</v>
      </c>
    </row>
    <row r="19" spans="1:12" ht="17.25" customHeight="1" thickBot="1" x14ac:dyDescent="0.3">
      <c r="A19" s="326" t="str">
        <f>CONCATENATE("Annualized Base Salary"&amp;IF(D6="8",", EPR reduced",IF(D6="2"," EPR reduced",""))&amp;" at "&amp;TEXT('Contract Calculator'!C18,"#%")&amp;" FTE: ")</f>
        <v xml:space="preserve">Annualized Base Salary at % FTE: </v>
      </c>
      <c r="B19" s="336"/>
      <c r="C19" s="121">
        <f>'Contract Calculator'!C21</f>
        <v>0</v>
      </c>
      <c r="D19" s="118"/>
      <c r="F19" s="142" t="s">
        <v>116</v>
      </c>
      <c r="G19" s="173">
        <v>42079</v>
      </c>
      <c r="H19" s="147" t="s">
        <v>117</v>
      </c>
      <c r="I19" s="148">
        <f t="shared" si="0"/>
        <v>42156</v>
      </c>
      <c r="J19" s="148">
        <f t="shared" si="1"/>
        <v>42185</v>
      </c>
      <c r="K19" s="149">
        <f>NETWORKDAYS(I19,J19,HOLIDAY)</f>
        <v>22</v>
      </c>
      <c r="L19" s="150">
        <v>0</v>
      </c>
    </row>
    <row r="20" spans="1:12" s="156" customFormat="1" ht="17.25" customHeight="1" thickBot="1" x14ac:dyDescent="0.3">
      <c r="A20" s="326" t="str">
        <f>CONCATENATE("Annualized Stipend(s)"&amp;IF(D6="8",", EPR reduced",IF(D6="2"," EPR reduced",""))&amp;": ")</f>
        <v xml:space="preserve">Annualized Stipend(s): </v>
      </c>
      <c r="B20" s="336"/>
      <c r="C20" s="117">
        <f>'Contract Calculator'!C26</f>
        <v>0</v>
      </c>
      <c r="D20" s="342" t="str">
        <f>IF(SUM(C20:C21)&gt;0.01,"*Stipends are not subject to unpaid leave deduction.","")</f>
        <v/>
      </c>
      <c r="E20" s="110"/>
      <c r="F20" s="142" t="s">
        <v>116</v>
      </c>
      <c r="G20" s="190">
        <f>G19+1</f>
        <v>42080</v>
      </c>
      <c r="H20" s="151"/>
      <c r="I20" s="152"/>
      <c r="J20" s="153" t="s">
        <v>73</v>
      </c>
      <c r="K20" s="154">
        <f>SUM(K8:K19)</f>
        <v>82</v>
      </c>
      <c r="L20" s="155">
        <f>SUM(L8:L19)</f>
        <v>168</v>
      </c>
    </row>
    <row r="21" spans="1:12" ht="17.25" customHeight="1" x14ac:dyDescent="0.25">
      <c r="A21" s="250"/>
      <c r="B21" s="255"/>
      <c r="C21" s="392"/>
      <c r="D21" s="342"/>
      <c r="F21" s="142" t="s">
        <v>116</v>
      </c>
      <c r="G21" s="190">
        <f t="shared" ref="G21:G23" si="2">G20+1</f>
        <v>42081</v>
      </c>
      <c r="H21" s="157"/>
    </row>
    <row r="22" spans="1:12" ht="12.75" customHeight="1" x14ac:dyDescent="0.25">
      <c r="A22" s="338" t="s">
        <v>127</v>
      </c>
      <c r="B22" s="339"/>
      <c r="C22" s="186" t="str">
        <f>IF(AND($C$14&gt;=G6,$C$14&lt;=H4),"Fall","Spring")</f>
        <v>Spring</v>
      </c>
      <c r="D22" s="342"/>
      <c r="F22" s="142" t="s">
        <v>116</v>
      </c>
      <c r="G22" s="190">
        <f t="shared" si="2"/>
        <v>42082</v>
      </c>
      <c r="H22" s="157"/>
    </row>
    <row r="23" spans="1:12" ht="17.25" customHeight="1" x14ac:dyDescent="0.25">
      <c r="A23" s="322" t="s">
        <v>136</v>
      </c>
      <c r="B23" s="337"/>
      <c r="C23" s="122">
        <f>ROUND((C19/2),2)</f>
        <v>0</v>
      </c>
      <c r="D23" s="187"/>
      <c r="F23" s="142" t="s">
        <v>116</v>
      </c>
      <c r="G23" s="190">
        <f t="shared" si="2"/>
        <v>42083</v>
      </c>
      <c r="H23" s="157"/>
    </row>
    <row r="24" spans="1:12" ht="17.25" customHeight="1" x14ac:dyDescent="0.25">
      <c r="A24" s="322" t="str">
        <f>CONCATENATE("Contractual Days in "&amp;C22&amp;" Semester ")</f>
        <v xml:space="preserve">Contractual Days in Spring Semester </v>
      </c>
      <c r="B24" s="337"/>
      <c r="C24" s="123">
        <f>IF(C22="Fall",I4,I5)</f>
        <v>83</v>
      </c>
      <c r="D24" s="118"/>
      <c r="F24" s="142" t="s">
        <v>118</v>
      </c>
      <c r="G24" s="175">
        <v>42149</v>
      </c>
      <c r="H24" s="157"/>
    </row>
    <row r="25" spans="1:12" ht="17.25" customHeight="1" x14ac:dyDescent="0.25">
      <c r="A25" s="322" t="s">
        <v>128</v>
      </c>
      <c r="B25" s="337"/>
      <c r="C25" s="395">
        <f>ROUND(C23/C24,2)</f>
        <v>0</v>
      </c>
      <c r="D25" s="118"/>
    </row>
    <row r="26" spans="1:12" ht="17.25" customHeight="1" thickBot="1" x14ac:dyDescent="0.3">
      <c r="A26" s="322" t="str">
        <f>CONCATENATE("Number of Days Worked in "&amp;C22&amp;" Semester ")</f>
        <v xml:space="preserve">Number of Days Worked in Spring Semester </v>
      </c>
      <c r="B26" s="337"/>
      <c r="C26" s="162">
        <f>IF(C22="Fall", J4,J5)</f>
        <v>83</v>
      </c>
      <c r="D26" s="118"/>
    </row>
    <row r="27" spans="1:12" ht="17.25" customHeight="1" x14ac:dyDescent="0.25">
      <c r="A27" s="322" t="str">
        <f>CONCATENATE(C22&amp;" Semester Pay (Days Worked x Daily Rate) ")</f>
        <v xml:space="preserve">Spring Semester Pay (Days Worked x Daily Rate) </v>
      </c>
      <c r="B27" s="337"/>
      <c r="C27" s="161">
        <f>SUM(C25*C26)</f>
        <v>0</v>
      </c>
      <c r="D27" s="124"/>
      <c r="E27" s="111"/>
      <c r="H27" s="188"/>
    </row>
    <row r="28" spans="1:12" s="156" customFormat="1" ht="10.9" customHeight="1" x14ac:dyDescent="0.25">
      <c r="A28" s="330"/>
      <c r="B28" s="331"/>
      <c r="C28" s="331"/>
      <c r="D28" s="332"/>
      <c r="E28" s="102"/>
      <c r="F28" s="158"/>
      <c r="G28" s="159"/>
      <c r="H28" s="189"/>
      <c r="I28" s="158"/>
    </row>
    <row r="29" spans="1:12" s="156" customFormat="1" ht="17.25" customHeight="1" x14ac:dyDescent="0.25">
      <c r="A29" s="322" t="s">
        <v>129</v>
      </c>
      <c r="B29" s="323"/>
      <c r="C29" s="125">
        <f>IF(C22="Fall",C27,0)</f>
        <v>0</v>
      </c>
      <c r="D29" s="118"/>
      <c r="E29" s="110"/>
      <c r="F29" s="158"/>
      <c r="G29" s="159"/>
      <c r="H29" s="189"/>
      <c r="I29" s="158"/>
    </row>
    <row r="30" spans="1:12" ht="17.25" customHeight="1" x14ac:dyDescent="0.25">
      <c r="A30" s="322" t="s">
        <v>130</v>
      </c>
      <c r="B30" s="323"/>
      <c r="C30" s="125">
        <f>IF('Contract Calculator'!C16&lt;H5,0, IF(C22="Spring",C27,C23))</f>
        <v>0</v>
      </c>
      <c r="D30" s="118"/>
      <c r="H30" s="189"/>
    </row>
    <row r="31" spans="1:12" ht="17.25" customHeight="1" thickBot="1" x14ac:dyDescent="0.3">
      <c r="A31" s="322" t="s">
        <v>137</v>
      </c>
      <c r="B31" s="323"/>
      <c r="C31" s="125">
        <f>IF(C20&gt;0,'Contract Calculator'!F26,0)</f>
        <v>0</v>
      </c>
      <c r="D31" s="118"/>
      <c r="H31" s="189"/>
    </row>
    <row r="32" spans="1:12" ht="17.25" hidden="1" customHeight="1" x14ac:dyDescent="0.25">
      <c r="A32" s="246"/>
      <c r="B32" s="247"/>
      <c r="C32" s="176"/>
      <c r="D32" s="118"/>
      <c r="H32" s="189"/>
    </row>
    <row r="33" spans="1:13" ht="19.7" customHeight="1" thickBot="1" x14ac:dyDescent="0.35">
      <c r="A33" s="324" t="s">
        <v>135</v>
      </c>
      <c r="B33" s="325"/>
      <c r="C33" s="234">
        <f>SUM(C29:C31)</f>
        <v>0</v>
      </c>
      <c r="D33" s="118"/>
      <c r="H33" s="189"/>
    </row>
    <row r="34" spans="1:13" ht="18.75" customHeight="1" thickBot="1" x14ac:dyDescent="0.25">
      <c r="A34" s="333"/>
      <c r="B34" s="334"/>
      <c r="C34" s="334"/>
      <c r="D34" s="335"/>
      <c r="E34" s="103"/>
    </row>
    <row r="35" spans="1:13" s="232" customFormat="1" ht="17.25" hidden="1" customHeight="1" thickBot="1" x14ac:dyDescent="0.3">
      <c r="A35" s="322" t="s">
        <v>131</v>
      </c>
      <c r="B35" s="323"/>
      <c r="C35" s="228">
        <f>(YEAR(H6)-YEAR(F7-1))*12+MONTH(H6)-MONTH(F7-1)</f>
        <v>1385</v>
      </c>
      <c r="D35" s="233"/>
      <c r="E35" s="229"/>
      <c r="F35" s="230"/>
      <c r="G35" s="231"/>
      <c r="H35" s="231"/>
      <c r="I35" s="230"/>
      <c r="M35" s="231"/>
    </row>
    <row r="36" spans="1:13" s="241" customFormat="1" ht="21.6" customHeight="1" thickBot="1" x14ac:dyDescent="0.35">
      <c r="A36" s="248"/>
      <c r="B36" s="249" t="s">
        <v>25</v>
      </c>
      <c r="C36" s="234">
        <f>SUM(C39+C40)</f>
        <v>0</v>
      </c>
      <c r="D36" s="237"/>
      <c r="E36" s="238"/>
      <c r="F36" s="239"/>
      <c r="G36" s="240"/>
      <c r="H36" s="240"/>
      <c r="I36" s="239"/>
      <c r="M36" s="240"/>
    </row>
    <row r="37" spans="1:13" s="241" customFormat="1" ht="18" customHeight="1" thickBot="1" x14ac:dyDescent="0.35">
      <c r="A37" s="248"/>
      <c r="B37" s="249"/>
      <c r="C37" s="243"/>
      <c r="D37" s="237"/>
      <c r="E37" s="238"/>
      <c r="F37" s="239"/>
      <c r="G37" s="240"/>
      <c r="H37" s="240"/>
      <c r="I37" s="239"/>
      <c r="M37" s="240"/>
    </row>
    <row r="38" spans="1:13" s="229" customFormat="1" ht="15.75" hidden="1" customHeight="1" thickBot="1" x14ac:dyDescent="0.35">
      <c r="A38" s="246"/>
      <c r="B38" s="249"/>
      <c r="C38" s="243"/>
      <c r="D38" s="233"/>
      <c r="F38" s="235"/>
      <c r="G38" s="236"/>
      <c r="H38" s="236"/>
      <c r="I38" s="235"/>
      <c r="M38" s="236"/>
    </row>
    <row r="39" spans="1:13" s="227" customFormat="1" ht="17.25" customHeight="1" thickBot="1" x14ac:dyDescent="0.35">
      <c r="A39" s="248"/>
      <c r="B39" s="249" t="s">
        <v>163</v>
      </c>
      <c r="C39" s="234">
        <f>ROUND(C20/12,2)</f>
        <v>0</v>
      </c>
      <c r="D39" s="391" t="e">
        <f>IF(C14&gt;EOMONTH(C14,-1)+1,"*First months stipend will be prorated to $"&amp;ROUND(C39/NETWORKDAYS(EOMONTH(C14,-1)+1,EOMONTH(C14,0))*NETWORKDAYS(C14,EOMONTH(C14,0)),2),"")</f>
        <v>#NUM!</v>
      </c>
      <c r="E39" s="224"/>
      <c r="F39" s="225"/>
      <c r="G39" s="226"/>
      <c r="H39" s="226"/>
      <c r="I39" s="225"/>
    </row>
    <row r="40" spans="1:13" s="225" customFormat="1" ht="17.25" customHeight="1" thickBot="1" x14ac:dyDescent="0.35">
      <c r="A40" s="324" t="s">
        <v>162</v>
      </c>
      <c r="B40" s="325"/>
      <c r="C40" s="234">
        <f>ROUND(SUM(C29+C30)/C35,2)</f>
        <v>0</v>
      </c>
      <c r="D40" s="391"/>
      <c r="E40" s="224"/>
      <c r="G40" s="226"/>
      <c r="H40" s="226"/>
      <c r="J40" s="227"/>
      <c r="K40" s="227"/>
      <c r="L40" s="227"/>
    </row>
    <row r="41" spans="1:13" s="225" customFormat="1" ht="8.1" customHeight="1" x14ac:dyDescent="0.3">
      <c r="A41" s="248"/>
      <c r="B41" s="249"/>
      <c r="C41" s="243"/>
      <c r="D41" s="242"/>
      <c r="E41" s="224"/>
      <c r="G41" s="226"/>
      <c r="H41" s="226"/>
      <c r="J41" s="227"/>
      <c r="K41" s="227"/>
      <c r="L41" s="227"/>
    </row>
    <row r="42" spans="1:13" s="134" customFormat="1" ht="17.25" customHeight="1" x14ac:dyDescent="0.3">
      <c r="A42" s="218"/>
      <c r="B42" s="247" t="s">
        <v>146</v>
      </c>
      <c r="C42" s="244">
        <f>ROUND(SUM((C29+C30)/C35)*-0.023,2)</f>
        <v>0</v>
      </c>
      <c r="D42" s="340" t="str">
        <f>IF(D7="Yes"," ","*Deduction taken through payroll and is not reflected in the Contract Amount.")</f>
        <v>*Deduction taken through payroll and is not reflected in the Contract Amount.</v>
      </c>
      <c r="E42" s="110"/>
      <c r="G42" s="133"/>
      <c r="H42" s="133"/>
      <c r="J42" s="104"/>
      <c r="K42" s="104"/>
      <c r="L42" s="104"/>
    </row>
    <row r="43" spans="1:13" s="134" customFormat="1" ht="17.25" customHeight="1" x14ac:dyDescent="0.3">
      <c r="A43" s="218"/>
      <c r="B43" s="247" t="s">
        <v>161</v>
      </c>
      <c r="C43" s="176">
        <f>SUM(C40+C42)</f>
        <v>0</v>
      </c>
      <c r="D43" s="340"/>
      <c r="E43" s="110"/>
      <c r="G43" s="133"/>
      <c r="H43" s="133"/>
      <c r="J43" s="104"/>
      <c r="K43" s="104"/>
      <c r="L43" s="104"/>
    </row>
    <row r="44" spans="1:13" ht="17.25" customHeight="1" thickBot="1" x14ac:dyDescent="0.3">
      <c r="A44" s="358" t="s">
        <v>166</v>
      </c>
      <c r="B44" s="359"/>
      <c r="C44" s="256">
        <f>C43*C35</f>
        <v>0</v>
      </c>
      <c r="D44" s="341"/>
    </row>
    <row r="45" spans="1:13" ht="32.25" customHeight="1" x14ac:dyDescent="0.2"/>
    <row r="46" spans="1:13" ht="18.399999999999999" customHeight="1" x14ac:dyDescent="0.2"/>
  </sheetData>
  <sheetProtection password="CA2B" sheet="1" objects="1" scenarios="1"/>
  <mergeCells count="32">
    <mergeCell ref="A23:B23"/>
    <mergeCell ref="D39:D40"/>
    <mergeCell ref="D42:D44"/>
    <mergeCell ref="D20:D22"/>
    <mergeCell ref="A1:D1"/>
    <mergeCell ref="A2:D2"/>
    <mergeCell ref="A3:D3"/>
    <mergeCell ref="A24:B24"/>
    <mergeCell ref="A25:B25"/>
    <mergeCell ref="A12:D12"/>
    <mergeCell ref="A13:D13"/>
    <mergeCell ref="A14:B14"/>
    <mergeCell ref="A15:B15"/>
    <mergeCell ref="A19:B19"/>
    <mergeCell ref="A16:B16"/>
    <mergeCell ref="A44:B44"/>
    <mergeCell ref="F2:J2"/>
    <mergeCell ref="F1:J1"/>
    <mergeCell ref="A31:B31"/>
    <mergeCell ref="A35:B35"/>
    <mergeCell ref="A40:B40"/>
    <mergeCell ref="A17:B17"/>
    <mergeCell ref="A18:B18"/>
    <mergeCell ref="A28:D28"/>
    <mergeCell ref="A34:D34"/>
    <mergeCell ref="A30:B30"/>
    <mergeCell ref="A33:B33"/>
    <mergeCell ref="A20:B20"/>
    <mergeCell ref="A26:B26"/>
    <mergeCell ref="A27:B27"/>
    <mergeCell ref="A29:B29"/>
    <mergeCell ref="A22:B22"/>
  </mergeCells>
  <printOptions horizontalCentered="1" verticalCentered="1"/>
  <pageMargins left="0.5" right="0.5" top="0.5" bottom="0.25" header="0.25" footer="0.3"/>
  <pageSetup scale="96" orientation="portrait" r:id="rId1"/>
  <headerFooter alignWithMargins="0"/>
  <ignoredErrors>
    <ignoredError sqref="J14"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topLeftCell="A11" workbookViewId="0">
      <selection activeCell="G18" sqref="G18"/>
    </sheetView>
  </sheetViews>
  <sheetFormatPr defaultRowHeight="15.75" x14ac:dyDescent="0.25"/>
  <cols>
    <col min="1" max="1" width="4.5703125" style="35" customWidth="1"/>
    <col min="2" max="2" width="13" style="35" customWidth="1"/>
    <col min="3" max="3" width="14.28515625" style="35" customWidth="1"/>
    <col min="4" max="4" width="0.28515625" style="35" hidden="1" customWidth="1"/>
    <col min="5" max="5" width="14.7109375" style="35" bestFit="1" customWidth="1"/>
    <col min="6" max="6" width="8.28515625" style="35" customWidth="1"/>
    <col min="7" max="7" width="14.7109375" style="35" bestFit="1" customWidth="1"/>
    <col min="8" max="8" width="12.5703125" style="35" customWidth="1"/>
    <col min="9" max="9" width="12.140625" style="35" customWidth="1"/>
    <col min="10" max="10" width="12.7109375" style="35" customWidth="1"/>
    <col min="11" max="11" width="13.140625" style="35" customWidth="1"/>
    <col min="12" max="12" width="12.5703125" style="35" customWidth="1"/>
    <col min="13" max="13" width="12.7109375" style="35" customWidth="1"/>
    <col min="14" max="256" width="8.85546875" style="35"/>
    <col min="257" max="257" width="4.5703125" style="35" customWidth="1"/>
    <col min="258" max="258" width="13" style="35" customWidth="1"/>
    <col min="259" max="259" width="14.28515625" style="35" customWidth="1"/>
    <col min="260" max="260" width="13.5703125" style="35" customWidth="1"/>
    <col min="261" max="261" width="14.7109375" style="35" bestFit="1" customWidth="1"/>
    <col min="262" max="262" width="8.28515625" style="35" customWidth="1"/>
    <col min="263" max="263" width="14.7109375" style="35" bestFit="1" customWidth="1"/>
    <col min="264" max="264" width="12.5703125" style="35" customWidth="1"/>
    <col min="265" max="265" width="12.140625" style="35" customWidth="1"/>
    <col min="266" max="266" width="12.7109375" style="35" customWidth="1"/>
    <col min="267" max="267" width="13.140625" style="35" customWidth="1"/>
    <col min="268" max="268" width="12.5703125" style="35" customWidth="1"/>
    <col min="269" max="269" width="12.7109375" style="35" customWidth="1"/>
    <col min="270" max="512" width="8.85546875" style="35"/>
    <col min="513" max="513" width="4.5703125" style="35" customWidth="1"/>
    <col min="514" max="514" width="13" style="35" customWidth="1"/>
    <col min="515" max="515" width="14.28515625" style="35" customWidth="1"/>
    <col min="516" max="516" width="13.5703125" style="35" customWidth="1"/>
    <col min="517" max="517" width="14.7109375" style="35" bestFit="1" customWidth="1"/>
    <col min="518" max="518" width="8.28515625" style="35" customWidth="1"/>
    <col min="519" max="519" width="14.7109375" style="35" bestFit="1" customWidth="1"/>
    <col min="520" max="520" width="12.5703125" style="35" customWidth="1"/>
    <col min="521" max="521" width="12.140625" style="35" customWidth="1"/>
    <col min="522" max="522" width="12.7109375" style="35" customWidth="1"/>
    <col min="523" max="523" width="13.140625" style="35" customWidth="1"/>
    <col min="524" max="524" width="12.5703125" style="35" customWidth="1"/>
    <col min="525" max="525" width="12.7109375" style="35" customWidth="1"/>
    <col min="526" max="768" width="8.85546875" style="35"/>
    <col min="769" max="769" width="4.5703125" style="35" customWidth="1"/>
    <col min="770" max="770" width="13" style="35" customWidth="1"/>
    <col min="771" max="771" width="14.28515625" style="35" customWidth="1"/>
    <col min="772" max="772" width="13.5703125" style="35" customWidth="1"/>
    <col min="773" max="773" width="14.7109375" style="35" bestFit="1" customWidth="1"/>
    <col min="774" max="774" width="8.28515625" style="35" customWidth="1"/>
    <col min="775" max="775" width="14.7109375" style="35" bestFit="1" customWidth="1"/>
    <col min="776" max="776" width="12.5703125" style="35" customWidth="1"/>
    <col min="777" max="777" width="12.140625" style="35" customWidth="1"/>
    <col min="778" max="778" width="12.7109375" style="35" customWidth="1"/>
    <col min="779" max="779" width="13.140625" style="35" customWidth="1"/>
    <col min="780" max="780" width="12.5703125" style="35" customWidth="1"/>
    <col min="781" max="781" width="12.7109375" style="35" customWidth="1"/>
    <col min="782" max="1024" width="8.85546875" style="35"/>
    <col min="1025" max="1025" width="4.5703125" style="35" customWidth="1"/>
    <col min="1026" max="1026" width="13" style="35" customWidth="1"/>
    <col min="1027" max="1027" width="14.28515625" style="35" customWidth="1"/>
    <col min="1028" max="1028" width="13.5703125" style="35" customWidth="1"/>
    <col min="1029" max="1029" width="14.7109375" style="35" bestFit="1" customWidth="1"/>
    <col min="1030" max="1030" width="8.28515625" style="35" customWidth="1"/>
    <col min="1031" max="1031" width="14.7109375" style="35" bestFit="1" customWidth="1"/>
    <col min="1032" max="1032" width="12.5703125" style="35" customWidth="1"/>
    <col min="1033" max="1033" width="12.140625" style="35" customWidth="1"/>
    <col min="1034" max="1034" width="12.7109375" style="35" customWidth="1"/>
    <col min="1035" max="1035" width="13.140625" style="35" customWidth="1"/>
    <col min="1036" max="1036" width="12.5703125" style="35" customWidth="1"/>
    <col min="1037" max="1037" width="12.7109375" style="35" customWidth="1"/>
    <col min="1038" max="1280" width="8.85546875" style="35"/>
    <col min="1281" max="1281" width="4.5703125" style="35" customWidth="1"/>
    <col min="1282" max="1282" width="13" style="35" customWidth="1"/>
    <col min="1283" max="1283" width="14.28515625" style="35" customWidth="1"/>
    <col min="1284" max="1284" width="13.5703125" style="35" customWidth="1"/>
    <col min="1285" max="1285" width="14.7109375" style="35" bestFit="1" customWidth="1"/>
    <col min="1286" max="1286" width="8.28515625" style="35" customWidth="1"/>
    <col min="1287" max="1287" width="14.7109375" style="35" bestFit="1" customWidth="1"/>
    <col min="1288" max="1288" width="12.5703125" style="35" customWidth="1"/>
    <col min="1289" max="1289" width="12.140625" style="35" customWidth="1"/>
    <col min="1290" max="1290" width="12.7109375" style="35" customWidth="1"/>
    <col min="1291" max="1291" width="13.140625" style="35" customWidth="1"/>
    <col min="1292" max="1292" width="12.5703125" style="35" customWidth="1"/>
    <col min="1293" max="1293" width="12.7109375" style="35" customWidth="1"/>
    <col min="1294" max="1536" width="8.85546875" style="35"/>
    <col min="1537" max="1537" width="4.5703125" style="35" customWidth="1"/>
    <col min="1538" max="1538" width="13" style="35" customWidth="1"/>
    <col min="1539" max="1539" width="14.28515625" style="35" customWidth="1"/>
    <col min="1540" max="1540" width="13.5703125" style="35" customWidth="1"/>
    <col min="1541" max="1541" width="14.7109375" style="35" bestFit="1" customWidth="1"/>
    <col min="1542" max="1542" width="8.28515625" style="35" customWidth="1"/>
    <col min="1543" max="1543" width="14.7109375" style="35" bestFit="1" customWidth="1"/>
    <col min="1544" max="1544" width="12.5703125" style="35" customWidth="1"/>
    <col min="1545" max="1545" width="12.140625" style="35" customWidth="1"/>
    <col min="1546" max="1546" width="12.7109375" style="35" customWidth="1"/>
    <col min="1547" max="1547" width="13.140625" style="35" customWidth="1"/>
    <col min="1548" max="1548" width="12.5703125" style="35" customWidth="1"/>
    <col min="1549" max="1549" width="12.7109375" style="35" customWidth="1"/>
    <col min="1550" max="1792" width="8.85546875" style="35"/>
    <col min="1793" max="1793" width="4.5703125" style="35" customWidth="1"/>
    <col min="1794" max="1794" width="13" style="35" customWidth="1"/>
    <col min="1795" max="1795" width="14.28515625" style="35" customWidth="1"/>
    <col min="1796" max="1796" width="13.5703125" style="35" customWidth="1"/>
    <col min="1797" max="1797" width="14.7109375" style="35" bestFit="1" customWidth="1"/>
    <col min="1798" max="1798" width="8.28515625" style="35" customWidth="1"/>
    <col min="1799" max="1799" width="14.7109375" style="35" bestFit="1" customWidth="1"/>
    <col min="1800" max="1800" width="12.5703125" style="35" customWidth="1"/>
    <col min="1801" max="1801" width="12.140625" style="35" customWidth="1"/>
    <col min="1802" max="1802" width="12.7109375" style="35" customWidth="1"/>
    <col min="1803" max="1803" width="13.140625" style="35" customWidth="1"/>
    <col min="1804" max="1804" width="12.5703125" style="35" customWidth="1"/>
    <col min="1805" max="1805" width="12.7109375" style="35" customWidth="1"/>
    <col min="1806" max="2048" width="8.85546875" style="35"/>
    <col min="2049" max="2049" width="4.5703125" style="35" customWidth="1"/>
    <col min="2050" max="2050" width="13" style="35" customWidth="1"/>
    <col min="2051" max="2051" width="14.28515625" style="35" customWidth="1"/>
    <col min="2052" max="2052" width="13.5703125" style="35" customWidth="1"/>
    <col min="2053" max="2053" width="14.7109375" style="35" bestFit="1" customWidth="1"/>
    <col min="2054" max="2054" width="8.28515625" style="35" customWidth="1"/>
    <col min="2055" max="2055" width="14.7109375" style="35" bestFit="1" customWidth="1"/>
    <col min="2056" max="2056" width="12.5703125" style="35" customWidth="1"/>
    <col min="2057" max="2057" width="12.140625" style="35" customWidth="1"/>
    <col min="2058" max="2058" width="12.7109375" style="35" customWidth="1"/>
    <col min="2059" max="2059" width="13.140625" style="35" customWidth="1"/>
    <col min="2060" max="2060" width="12.5703125" style="35" customWidth="1"/>
    <col min="2061" max="2061" width="12.7109375" style="35" customWidth="1"/>
    <col min="2062" max="2304" width="8.85546875" style="35"/>
    <col min="2305" max="2305" width="4.5703125" style="35" customWidth="1"/>
    <col min="2306" max="2306" width="13" style="35" customWidth="1"/>
    <col min="2307" max="2307" width="14.28515625" style="35" customWidth="1"/>
    <col min="2308" max="2308" width="13.5703125" style="35" customWidth="1"/>
    <col min="2309" max="2309" width="14.7109375" style="35" bestFit="1" customWidth="1"/>
    <col min="2310" max="2310" width="8.28515625" style="35" customWidth="1"/>
    <col min="2311" max="2311" width="14.7109375" style="35" bestFit="1" customWidth="1"/>
    <col min="2312" max="2312" width="12.5703125" style="35" customWidth="1"/>
    <col min="2313" max="2313" width="12.140625" style="35" customWidth="1"/>
    <col min="2314" max="2314" width="12.7109375" style="35" customWidth="1"/>
    <col min="2315" max="2315" width="13.140625" style="35" customWidth="1"/>
    <col min="2316" max="2316" width="12.5703125" style="35" customWidth="1"/>
    <col min="2317" max="2317" width="12.7109375" style="35" customWidth="1"/>
    <col min="2318" max="2560" width="8.85546875" style="35"/>
    <col min="2561" max="2561" width="4.5703125" style="35" customWidth="1"/>
    <col min="2562" max="2562" width="13" style="35" customWidth="1"/>
    <col min="2563" max="2563" width="14.28515625" style="35" customWidth="1"/>
    <col min="2564" max="2564" width="13.5703125" style="35" customWidth="1"/>
    <col min="2565" max="2565" width="14.7109375" style="35" bestFit="1" customWidth="1"/>
    <col min="2566" max="2566" width="8.28515625" style="35" customWidth="1"/>
    <col min="2567" max="2567" width="14.7109375" style="35" bestFit="1" customWidth="1"/>
    <col min="2568" max="2568" width="12.5703125" style="35" customWidth="1"/>
    <col min="2569" max="2569" width="12.140625" style="35" customWidth="1"/>
    <col min="2570" max="2570" width="12.7109375" style="35" customWidth="1"/>
    <col min="2571" max="2571" width="13.140625" style="35" customWidth="1"/>
    <col min="2572" max="2572" width="12.5703125" style="35" customWidth="1"/>
    <col min="2573" max="2573" width="12.7109375" style="35" customWidth="1"/>
    <col min="2574" max="2816" width="8.85546875" style="35"/>
    <col min="2817" max="2817" width="4.5703125" style="35" customWidth="1"/>
    <col min="2818" max="2818" width="13" style="35" customWidth="1"/>
    <col min="2819" max="2819" width="14.28515625" style="35" customWidth="1"/>
    <col min="2820" max="2820" width="13.5703125" style="35" customWidth="1"/>
    <col min="2821" max="2821" width="14.7109375" style="35" bestFit="1" customWidth="1"/>
    <col min="2822" max="2822" width="8.28515625" style="35" customWidth="1"/>
    <col min="2823" max="2823" width="14.7109375" style="35" bestFit="1" customWidth="1"/>
    <col min="2824" max="2824" width="12.5703125" style="35" customWidth="1"/>
    <col min="2825" max="2825" width="12.140625" style="35" customWidth="1"/>
    <col min="2826" max="2826" width="12.7109375" style="35" customWidth="1"/>
    <col min="2827" max="2827" width="13.140625" style="35" customWidth="1"/>
    <col min="2828" max="2828" width="12.5703125" style="35" customWidth="1"/>
    <col min="2829" max="2829" width="12.7109375" style="35" customWidth="1"/>
    <col min="2830" max="3072" width="8.85546875" style="35"/>
    <col min="3073" max="3073" width="4.5703125" style="35" customWidth="1"/>
    <col min="3074" max="3074" width="13" style="35" customWidth="1"/>
    <col min="3075" max="3075" width="14.28515625" style="35" customWidth="1"/>
    <col min="3076" max="3076" width="13.5703125" style="35" customWidth="1"/>
    <col min="3077" max="3077" width="14.7109375" style="35" bestFit="1" customWidth="1"/>
    <col min="3078" max="3078" width="8.28515625" style="35" customWidth="1"/>
    <col min="3079" max="3079" width="14.7109375" style="35" bestFit="1" customWidth="1"/>
    <col min="3080" max="3080" width="12.5703125" style="35" customWidth="1"/>
    <col min="3081" max="3081" width="12.140625" style="35" customWidth="1"/>
    <col min="3082" max="3082" width="12.7109375" style="35" customWidth="1"/>
    <col min="3083" max="3083" width="13.140625" style="35" customWidth="1"/>
    <col min="3084" max="3084" width="12.5703125" style="35" customWidth="1"/>
    <col min="3085" max="3085" width="12.7109375" style="35" customWidth="1"/>
    <col min="3086" max="3328" width="8.85546875" style="35"/>
    <col min="3329" max="3329" width="4.5703125" style="35" customWidth="1"/>
    <col min="3330" max="3330" width="13" style="35" customWidth="1"/>
    <col min="3331" max="3331" width="14.28515625" style="35" customWidth="1"/>
    <col min="3332" max="3332" width="13.5703125" style="35" customWidth="1"/>
    <col min="3333" max="3333" width="14.7109375" style="35" bestFit="1" customWidth="1"/>
    <col min="3334" max="3334" width="8.28515625" style="35" customWidth="1"/>
    <col min="3335" max="3335" width="14.7109375" style="35" bestFit="1" customWidth="1"/>
    <col min="3336" max="3336" width="12.5703125" style="35" customWidth="1"/>
    <col min="3337" max="3337" width="12.140625" style="35" customWidth="1"/>
    <col min="3338" max="3338" width="12.7109375" style="35" customWidth="1"/>
    <col min="3339" max="3339" width="13.140625" style="35" customWidth="1"/>
    <col min="3340" max="3340" width="12.5703125" style="35" customWidth="1"/>
    <col min="3341" max="3341" width="12.7109375" style="35" customWidth="1"/>
    <col min="3342" max="3584" width="8.85546875" style="35"/>
    <col min="3585" max="3585" width="4.5703125" style="35" customWidth="1"/>
    <col min="3586" max="3586" width="13" style="35" customWidth="1"/>
    <col min="3587" max="3587" width="14.28515625" style="35" customWidth="1"/>
    <col min="3588" max="3588" width="13.5703125" style="35" customWidth="1"/>
    <col min="3589" max="3589" width="14.7109375" style="35" bestFit="1" customWidth="1"/>
    <col min="3590" max="3590" width="8.28515625" style="35" customWidth="1"/>
    <col min="3591" max="3591" width="14.7109375" style="35" bestFit="1" customWidth="1"/>
    <col min="3592" max="3592" width="12.5703125" style="35" customWidth="1"/>
    <col min="3593" max="3593" width="12.140625" style="35" customWidth="1"/>
    <col min="3594" max="3594" width="12.7109375" style="35" customWidth="1"/>
    <col min="3595" max="3595" width="13.140625" style="35" customWidth="1"/>
    <col min="3596" max="3596" width="12.5703125" style="35" customWidth="1"/>
    <col min="3597" max="3597" width="12.7109375" style="35" customWidth="1"/>
    <col min="3598" max="3840" width="8.85546875" style="35"/>
    <col min="3841" max="3841" width="4.5703125" style="35" customWidth="1"/>
    <col min="3842" max="3842" width="13" style="35" customWidth="1"/>
    <col min="3843" max="3843" width="14.28515625" style="35" customWidth="1"/>
    <col min="3844" max="3844" width="13.5703125" style="35" customWidth="1"/>
    <col min="3845" max="3845" width="14.7109375" style="35" bestFit="1" customWidth="1"/>
    <col min="3846" max="3846" width="8.28515625" style="35" customWidth="1"/>
    <col min="3847" max="3847" width="14.7109375" style="35" bestFit="1" customWidth="1"/>
    <col min="3848" max="3848" width="12.5703125" style="35" customWidth="1"/>
    <col min="3849" max="3849" width="12.140625" style="35" customWidth="1"/>
    <col min="3850" max="3850" width="12.7109375" style="35" customWidth="1"/>
    <col min="3851" max="3851" width="13.140625" style="35" customWidth="1"/>
    <col min="3852" max="3852" width="12.5703125" style="35" customWidth="1"/>
    <col min="3853" max="3853" width="12.7109375" style="35" customWidth="1"/>
    <col min="3854" max="4096" width="8.85546875" style="35"/>
    <col min="4097" max="4097" width="4.5703125" style="35" customWidth="1"/>
    <col min="4098" max="4098" width="13" style="35" customWidth="1"/>
    <col min="4099" max="4099" width="14.28515625" style="35" customWidth="1"/>
    <col min="4100" max="4100" width="13.5703125" style="35" customWidth="1"/>
    <col min="4101" max="4101" width="14.7109375" style="35" bestFit="1" customWidth="1"/>
    <col min="4102" max="4102" width="8.28515625" style="35" customWidth="1"/>
    <col min="4103" max="4103" width="14.7109375" style="35" bestFit="1" customWidth="1"/>
    <col min="4104" max="4104" width="12.5703125" style="35" customWidth="1"/>
    <col min="4105" max="4105" width="12.140625" style="35" customWidth="1"/>
    <col min="4106" max="4106" width="12.7109375" style="35" customWidth="1"/>
    <col min="4107" max="4107" width="13.140625" style="35" customWidth="1"/>
    <col min="4108" max="4108" width="12.5703125" style="35" customWidth="1"/>
    <col min="4109" max="4109" width="12.7109375" style="35" customWidth="1"/>
    <col min="4110" max="4352" width="8.85546875" style="35"/>
    <col min="4353" max="4353" width="4.5703125" style="35" customWidth="1"/>
    <col min="4354" max="4354" width="13" style="35" customWidth="1"/>
    <col min="4355" max="4355" width="14.28515625" style="35" customWidth="1"/>
    <col min="4356" max="4356" width="13.5703125" style="35" customWidth="1"/>
    <col min="4357" max="4357" width="14.7109375" style="35" bestFit="1" customWidth="1"/>
    <col min="4358" max="4358" width="8.28515625" style="35" customWidth="1"/>
    <col min="4359" max="4359" width="14.7109375" style="35" bestFit="1" customWidth="1"/>
    <col min="4360" max="4360" width="12.5703125" style="35" customWidth="1"/>
    <col min="4361" max="4361" width="12.140625" style="35" customWidth="1"/>
    <col min="4362" max="4362" width="12.7109375" style="35" customWidth="1"/>
    <col min="4363" max="4363" width="13.140625" style="35" customWidth="1"/>
    <col min="4364" max="4364" width="12.5703125" style="35" customWidth="1"/>
    <col min="4365" max="4365" width="12.7109375" style="35" customWidth="1"/>
    <col min="4366" max="4608" width="8.85546875" style="35"/>
    <col min="4609" max="4609" width="4.5703125" style="35" customWidth="1"/>
    <col min="4610" max="4610" width="13" style="35" customWidth="1"/>
    <col min="4611" max="4611" width="14.28515625" style="35" customWidth="1"/>
    <col min="4612" max="4612" width="13.5703125" style="35" customWidth="1"/>
    <col min="4613" max="4613" width="14.7109375" style="35" bestFit="1" customWidth="1"/>
    <col min="4614" max="4614" width="8.28515625" style="35" customWidth="1"/>
    <col min="4615" max="4615" width="14.7109375" style="35" bestFit="1" customWidth="1"/>
    <col min="4616" max="4616" width="12.5703125" style="35" customWidth="1"/>
    <col min="4617" max="4617" width="12.140625" style="35" customWidth="1"/>
    <col min="4618" max="4618" width="12.7109375" style="35" customWidth="1"/>
    <col min="4619" max="4619" width="13.140625" style="35" customWidth="1"/>
    <col min="4620" max="4620" width="12.5703125" style="35" customWidth="1"/>
    <col min="4621" max="4621" width="12.7109375" style="35" customWidth="1"/>
    <col min="4622" max="4864" width="8.85546875" style="35"/>
    <col min="4865" max="4865" width="4.5703125" style="35" customWidth="1"/>
    <col min="4866" max="4866" width="13" style="35" customWidth="1"/>
    <col min="4867" max="4867" width="14.28515625" style="35" customWidth="1"/>
    <col min="4868" max="4868" width="13.5703125" style="35" customWidth="1"/>
    <col min="4869" max="4869" width="14.7109375" style="35" bestFit="1" customWidth="1"/>
    <col min="4870" max="4870" width="8.28515625" style="35" customWidth="1"/>
    <col min="4871" max="4871" width="14.7109375" style="35" bestFit="1" customWidth="1"/>
    <col min="4872" max="4872" width="12.5703125" style="35" customWidth="1"/>
    <col min="4873" max="4873" width="12.140625" style="35" customWidth="1"/>
    <col min="4874" max="4874" width="12.7109375" style="35" customWidth="1"/>
    <col min="4875" max="4875" width="13.140625" style="35" customWidth="1"/>
    <col min="4876" max="4876" width="12.5703125" style="35" customWidth="1"/>
    <col min="4877" max="4877" width="12.7109375" style="35" customWidth="1"/>
    <col min="4878" max="5120" width="8.85546875" style="35"/>
    <col min="5121" max="5121" width="4.5703125" style="35" customWidth="1"/>
    <col min="5122" max="5122" width="13" style="35" customWidth="1"/>
    <col min="5123" max="5123" width="14.28515625" style="35" customWidth="1"/>
    <col min="5124" max="5124" width="13.5703125" style="35" customWidth="1"/>
    <col min="5125" max="5125" width="14.7109375" style="35" bestFit="1" customWidth="1"/>
    <col min="5126" max="5126" width="8.28515625" style="35" customWidth="1"/>
    <col min="5127" max="5127" width="14.7109375" style="35" bestFit="1" customWidth="1"/>
    <col min="5128" max="5128" width="12.5703125" style="35" customWidth="1"/>
    <col min="5129" max="5129" width="12.140625" style="35" customWidth="1"/>
    <col min="5130" max="5130" width="12.7109375" style="35" customWidth="1"/>
    <col min="5131" max="5131" width="13.140625" style="35" customWidth="1"/>
    <col min="5132" max="5132" width="12.5703125" style="35" customWidth="1"/>
    <col min="5133" max="5133" width="12.7109375" style="35" customWidth="1"/>
    <col min="5134" max="5376" width="8.85546875" style="35"/>
    <col min="5377" max="5377" width="4.5703125" style="35" customWidth="1"/>
    <col min="5378" max="5378" width="13" style="35" customWidth="1"/>
    <col min="5379" max="5379" width="14.28515625" style="35" customWidth="1"/>
    <col min="5380" max="5380" width="13.5703125" style="35" customWidth="1"/>
    <col min="5381" max="5381" width="14.7109375" style="35" bestFit="1" customWidth="1"/>
    <col min="5382" max="5382" width="8.28515625" style="35" customWidth="1"/>
    <col min="5383" max="5383" width="14.7109375" style="35" bestFit="1" customWidth="1"/>
    <col min="5384" max="5384" width="12.5703125" style="35" customWidth="1"/>
    <col min="5385" max="5385" width="12.140625" style="35" customWidth="1"/>
    <col min="5386" max="5386" width="12.7109375" style="35" customWidth="1"/>
    <col min="5387" max="5387" width="13.140625" style="35" customWidth="1"/>
    <col min="5388" max="5388" width="12.5703125" style="35" customWidth="1"/>
    <col min="5389" max="5389" width="12.7109375" style="35" customWidth="1"/>
    <col min="5390" max="5632" width="8.85546875" style="35"/>
    <col min="5633" max="5633" width="4.5703125" style="35" customWidth="1"/>
    <col min="5634" max="5634" width="13" style="35" customWidth="1"/>
    <col min="5635" max="5635" width="14.28515625" style="35" customWidth="1"/>
    <col min="5636" max="5636" width="13.5703125" style="35" customWidth="1"/>
    <col min="5637" max="5637" width="14.7109375" style="35" bestFit="1" customWidth="1"/>
    <col min="5638" max="5638" width="8.28515625" style="35" customWidth="1"/>
    <col min="5639" max="5639" width="14.7109375" style="35" bestFit="1" customWidth="1"/>
    <col min="5640" max="5640" width="12.5703125" style="35" customWidth="1"/>
    <col min="5641" max="5641" width="12.140625" style="35" customWidth="1"/>
    <col min="5642" max="5642" width="12.7109375" style="35" customWidth="1"/>
    <col min="5643" max="5643" width="13.140625" style="35" customWidth="1"/>
    <col min="5644" max="5644" width="12.5703125" style="35" customWidth="1"/>
    <col min="5645" max="5645" width="12.7109375" style="35" customWidth="1"/>
    <col min="5646" max="5888" width="8.85546875" style="35"/>
    <col min="5889" max="5889" width="4.5703125" style="35" customWidth="1"/>
    <col min="5890" max="5890" width="13" style="35" customWidth="1"/>
    <col min="5891" max="5891" width="14.28515625" style="35" customWidth="1"/>
    <col min="5892" max="5892" width="13.5703125" style="35" customWidth="1"/>
    <col min="5893" max="5893" width="14.7109375" style="35" bestFit="1" customWidth="1"/>
    <col min="5894" max="5894" width="8.28515625" style="35" customWidth="1"/>
    <col min="5895" max="5895" width="14.7109375" style="35" bestFit="1" customWidth="1"/>
    <col min="5896" max="5896" width="12.5703125" style="35" customWidth="1"/>
    <col min="5897" max="5897" width="12.140625" style="35" customWidth="1"/>
    <col min="5898" max="5898" width="12.7109375" style="35" customWidth="1"/>
    <col min="5899" max="5899" width="13.140625" style="35" customWidth="1"/>
    <col min="5900" max="5900" width="12.5703125" style="35" customWidth="1"/>
    <col min="5901" max="5901" width="12.7109375" style="35" customWidth="1"/>
    <col min="5902" max="6144" width="8.85546875" style="35"/>
    <col min="6145" max="6145" width="4.5703125" style="35" customWidth="1"/>
    <col min="6146" max="6146" width="13" style="35" customWidth="1"/>
    <col min="6147" max="6147" width="14.28515625" style="35" customWidth="1"/>
    <col min="6148" max="6148" width="13.5703125" style="35" customWidth="1"/>
    <col min="6149" max="6149" width="14.7109375" style="35" bestFit="1" customWidth="1"/>
    <col min="6150" max="6150" width="8.28515625" style="35" customWidth="1"/>
    <col min="6151" max="6151" width="14.7109375" style="35" bestFit="1" customWidth="1"/>
    <col min="6152" max="6152" width="12.5703125" style="35" customWidth="1"/>
    <col min="6153" max="6153" width="12.140625" style="35" customWidth="1"/>
    <col min="6154" max="6154" width="12.7109375" style="35" customWidth="1"/>
    <col min="6155" max="6155" width="13.140625" style="35" customWidth="1"/>
    <col min="6156" max="6156" width="12.5703125" style="35" customWidth="1"/>
    <col min="6157" max="6157" width="12.7109375" style="35" customWidth="1"/>
    <col min="6158" max="6400" width="8.85546875" style="35"/>
    <col min="6401" max="6401" width="4.5703125" style="35" customWidth="1"/>
    <col min="6402" max="6402" width="13" style="35" customWidth="1"/>
    <col min="6403" max="6403" width="14.28515625" style="35" customWidth="1"/>
    <col min="6404" max="6404" width="13.5703125" style="35" customWidth="1"/>
    <col min="6405" max="6405" width="14.7109375" style="35" bestFit="1" customWidth="1"/>
    <col min="6406" max="6406" width="8.28515625" style="35" customWidth="1"/>
    <col min="6407" max="6407" width="14.7109375" style="35" bestFit="1" customWidth="1"/>
    <col min="6408" max="6408" width="12.5703125" style="35" customWidth="1"/>
    <col min="6409" max="6409" width="12.140625" style="35" customWidth="1"/>
    <col min="6410" max="6410" width="12.7109375" style="35" customWidth="1"/>
    <col min="6411" max="6411" width="13.140625" style="35" customWidth="1"/>
    <col min="6412" max="6412" width="12.5703125" style="35" customWidth="1"/>
    <col min="6413" max="6413" width="12.7109375" style="35" customWidth="1"/>
    <col min="6414" max="6656" width="8.85546875" style="35"/>
    <col min="6657" max="6657" width="4.5703125" style="35" customWidth="1"/>
    <col min="6658" max="6658" width="13" style="35" customWidth="1"/>
    <col min="6659" max="6659" width="14.28515625" style="35" customWidth="1"/>
    <col min="6660" max="6660" width="13.5703125" style="35" customWidth="1"/>
    <col min="6661" max="6661" width="14.7109375" style="35" bestFit="1" customWidth="1"/>
    <col min="6662" max="6662" width="8.28515625" style="35" customWidth="1"/>
    <col min="6663" max="6663" width="14.7109375" style="35" bestFit="1" customWidth="1"/>
    <col min="6664" max="6664" width="12.5703125" style="35" customWidth="1"/>
    <col min="6665" max="6665" width="12.140625" style="35" customWidth="1"/>
    <col min="6666" max="6666" width="12.7109375" style="35" customWidth="1"/>
    <col min="6667" max="6667" width="13.140625" style="35" customWidth="1"/>
    <col min="6668" max="6668" width="12.5703125" style="35" customWidth="1"/>
    <col min="6669" max="6669" width="12.7109375" style="35" customWidth="1"/>
    <col min="6670" max="6912" width="8.85546875" style="35"/>
    <col min="6913" max="6913" width="4.5703125" style="35" customWidth="1"/>
    <col min="6914" max="6914" width="13" style="35" customWidth="1"/>
    <col min="6915" max="6915" width="14.28515625" style="35" customWidth="1"/>
    <col min="6916" max="6916" width="13.5703125" style="35" customWidth="1"/>
    <col min="6917" max="6917" width="14.7109375" style="35" bestFit="1" customWidth="1"/>
    <col min="6918" max="6918" width="8.28515625" style="35" customWidth="1"/>
    <col min="6919" max="6919" width="14.7109375" style="35" bestFit="1" customWidth="1"/>
    <col min="6920" max="6920" width="12.5703125" style="35" customWidth="1"/>
    <col min="6921" max="6921" width="12.140625" style="35" customWidth="1"/>
    <col min="6922" max="6922" width="12.7109375" style="35" customWidth="1"/>
    <col min="6923" max="6923" width="13.140625" style="35" customWidth="1"/>
    <col min="6924" max="6924" width="12.5703125" style="35" customWidth="1"/>
    <col min="6925" max="6925" width="12.7109375" style="35" customWidth="1"/>
    <col min="6926" max="7168" width="8.85546875" style="35"/>
    <col min="7169" max="7169" width="4.5703125" style="35" customWidth="1"/>
    <col min="7170" max="7170" width="13" style="35" customWidth="1"/>
    <col min="7171" max="7171" width="14.28515625" style="35" customWidth="1"/>
    <col min="7172" max="7172" width="13.5703125" style="35" customWidth="1"/>
    <col min="7173" max="7173" width="14.7109375" style="35" bestFit="1" customWidth="1"/>
    <col min="7174" max="7174" width="8.28515625" style="35" customWidth="1"/>
    <col min="7175" max="7175" width="14.7109375" style="35" bestFit="1" customWidth="1"/>
    <col min="7176" max="7176" width="12.5703125" style="35" customWidth="1"/>
    <col min="7177" max="7177" width="12.140625" style="35" customWidth="1"/>
    <col min="7178" max="7178" width="12.7109375" style="35" customWidth="1"/>
    <col min="7179" max="7179" width="13.140625" style="35" customWidth="1"/>
    <col min="7180" max="7180" width="12.5703125" style="35" customWidth="1"/>
    <col min="7181" max="7181" width="12.7109375" style="35" customWidth="1"/>
    <col min="7182" max="7424" width="8.85546875" style="35"/>
    <col min="7425" max="7425" width="4.5703125" style="35" customWidth="1"/>
    <col min="7426" max="7426" width="13" style="35" customWidth="1"/>
    <col min="7427" max="7427" width="14.28515625" style="35" customWidth="1"/>
    <col min="7428" max="7428" width="13.5703125" style="35" customWidth="1"/>
    <col min="7429" max="7429" width="14.7109375" style="35" bestFit="1" customWidth="1"/>
    <col min="7430" max="7430" width="8.28515625" style="35" customWidth="1"/>
    <col min="7431" max="7431" width="14.7109375" style="35" bestFit="1" customWidth="1"/>
    <col min="7432" max="7432" width="12.5703125" style="35" customWidth="1"/>
    <col min="7433" max="7433" width="12.140625" style="35" customWidth="1"/>
    <col min="7434" max="7434" width="12.7109375" style="35" customWidth="1"/>
    <col min="7435" max="7435" width="13.140625" style="35" customWidth="1"/>
    <col min="7436" max="7436" width="12.5703125" style="35" customWidth="1"/>
    <col min="7437" max="7437" width="12.7109375" style="35" customWidth="1"/>
    <col min="7438" max="7680" width="8.85546875" style="35"/>
    <col min="7681" max="7681" width="4.5703125" style="35" customWidth="1"/>
    <col min="7682" max="7682" width="13" style="35" customWidth="1"/>
    <col min="7683" max="7683" width="14.28515625" style="35" customWidth="1"/>
    <col min="7684" max="7684" width="13.5703125" style="35" customWidth="1"/>
    <col min="7685" max="7685" width="14.7109375" style="35" bestFit="1" customWidth="1"/>
    <col min="7686" max="7686" width="8.28515625" style="35" customWidth="1"/>
    <col min="7687" max="7687" width="14.7109375" style="35" bestFit="1" customWidth="1"/>
    <col min="7688" max="7688" width="12.5703125" style="35" customWidth="1"/>
    <col min="7689" max="7689" width="12.140625" style="35" customWidth="1"/>
    <col min="7690" max="7690" width="12.7109375" style="35" customWidth="1"/>
    <col min="7691" max="7691" width="13.140625" style="35" customWidth="1"/>
    <col min="7692" max="7692" width="12.5703125" style="35" customWidth="1"/>
    <col min="7693" max="7693" width="12.7109375" style="35" customWidth="1"/>
    <col min="7694" max="7936" width="8.85546875" style="35"/>
    <col min="7937" max="7937" width="4.5703125" style="35" customWidth="1"/>
    <col min="7938" max="7938" width="13" style="35" customWidth="1"/>
    <col min="7939" max="7939" width="14.28515625" style="35" customWidth="1"/>
    <col min="7940" max="7940" width="13.5703125" style="35" customWidth="1"/>
    <col min="7941" max="7941" width="14.7109375" style="35" bestFit="1" customWidth="1"/>
    <col min="7942" max="7942" width="8.28515625" style="35" customWidth="1"/>
    <col min="7943" max="7943" width="14.7109375" style="35" bestFit="1" customWidth="1"/>
    <col min="7944" max="7944" width="12.5703125" style="35" customWidth="1"/>
    <col min="7945" max="7945" width="12.140625" style="35" customWidth="1"/>
    <col min="7946" max="7946" width="12.7109375" style="35" customWidth="1"/>
    <col min="7947" max="7947" width="13.140625" style="35" customWidth="1"/>
    <col min="7948" max="7948" width="12.5703125" style="35" customWidth="1"/>
    <col min="7949" max="7949" width="12.7109375" style="35" customWidth="1"/>
    <col min="7950" max="8192" width="8.85546875" style="35"/>
    <col min="8193" max="8193" width="4.5703125" style="35" customWidth="1"/>
    <col min="8194" max="8194" width="13" style="35" customWidth="1"/>
    <col min="8195" max="8195" width="14.28515625" style="35" customWidth="1"/>
    <col min="8196" max="8196" width="13.5703125" style="35" customWidth="1"/>
    <col min="8197" max="8197" width="14.7109375" style="35" bestFit="1" customWidth="1"/>
    <col min="8198" max="8198" width="8.28515625" style="35" customWidth="1"/>
    <col min="8199" max="8199" width="14.7109375" style="35" bestFit="1" customWidth="1"/>
    <col min="8200" max="8200" width="12.5703125" style="35" customWidth="1"/>
    <col min="8201" max="8201" width="12.140625" style="35" customWidth="1"/>
    <col min="8202" max="8202" width="12.7109375" style="35" customWidth="1"/>
    <col min="8203" max="8203" width="13.140625" style="35" customWidth="1"/>
    <col min="8204" max="8204" width="12.5703125" style="35" customWidth="1"/>
    <col min="8205" max="8205" width="12.7109375" style="35" customWidth="1"/>
    <col min="8206" max="8448" width="8.85546875" style="35"/>
    <col min="8449" max="8449" width="4.5703125" style="35" customWidth="1"/>
    <col min="8450" max="8450" width="13" style="35" customWidth="1"/>
    <col min="8451" max="8451" width="14.28515625" style="35" customWidth="1"/>
    <col min="8452" max="8452" width="13.5703125" style="35" customWidth="1"/>
    <col min="8453" max="8453" width="14.7109375" style="35" bestFit="1" customWidth="1"/>
    <col min="8454" max="8454" width="8.28515625" style="35" customWidth="1"/>
    <col min="8455" max="8455" width="14.7109375" style="35" bestFit="1" customWidth="1"/>
    <col min="8456" max="8456" width="12.5703125" style="35" customWidth="1"/>
    <col min="8457" max="8457" width="12.140625" style="35" customWidth="1"/>
    <col min="8458" max="8458" width="12.7109375" style="35" customWidth="1"/>
    <col min="8459" max="8459" width="13.140625" style="35" customWidth="1"/>
    <col min="8460" max="8460" width="12.5703125" style="35" customWidth="1"/>
    <col min="8461" max="8461" width="12.7109375" style="35" customWidth="1"/>
    <col min="8462" max="8704" width="8.85546875" style="35"/>
    <col min="8705" max="8705" width="4.5703125" style="35" customWidth="1"/>
    <col min="8706" max="8706" width="13" style="35" customWidth="1"/>
    <col min="8707" max="8707" width="14.28515625" style="35" customWidth="1"/>
    <col min="8708" max="8708" width="13.5703125" style="35" customWidth="1"/>
    <col min="8709" max="8709" width="14.7109375" style="35" bestFit="1" customWidth="1"/>
    <col min="8710" max="8710" width="8.28515625" style="35" customWidth="1"/>
    <col min="8711" max="8711" width="14.7109375" style="35" bestFit="1" customWidth="1"/>
    <col min="8712" max="8712" width="12.5703125" style="35" customWidth="1"/>
    <col min="8713" max="8713" width="12.140625" style="35" customWidth="1"/>
    <col min="8714" max="8714" width="12.7109375" style="35" customWidth="1"/>
    <col min="8715" max="8715" width="13.140625" style="35" customWidth="1"/>
    <col min="8716" max="8716" width="12.5703125" style="35" customWidth="1"/>
    <col min="8717" max="8717" width="12.7109375" style="35" customWidth="1"/>
    <col min="8718" max="8960" width="8.85546875" style="35"/>
    <col min="8961" max="8961" width="4.5703125" style="35" customWidth="1"/>
    <col min="8962" max="8962" width="13" style="35" customWidth="1"/>
    <col min="8963" max="8963" width="14.28515625" style="35" customWidth="1"/>
    <col min="8964" max="8964" width="13.5703125" style="35" customWidth="1"/>
    <col min="8965" max="8965" width="14.7109375" style="35" bestFit="1" customWidth="1"/>
    <col min="8966" max="8966" width="8.28515625" style="35" customWidth="1"/>
    <col min="8967" max="8967" width="14.7109375" style="35" bestFit="1" customWidth="1"/>
    <col min="8968" max="8968" width="12.5703125" style="35" customWidth="1"/>
    <col min="8969" max="8969" width="12.140625" style="35" customWidth="1"/>
    <col min="8970" max="8970" width="12.7109375" style="35" customWidth="1"/>
    <col min="8971" max="8971" width="13.140625" style="35" customWidth="1"/>
    <col min="8972" max="8972" width="12.5703125" style="35" customWidth="1"/>
    <col min="8973" max="8973" width="12.7109375" style="35" customWidth="1"/>
    <col min="8974" max="9216" width="8.85546875" style="35"/>
    <col min="9217" max="9217" width="4.5703125" style="35" customWidth="1"/>
    <col min="9218" max="9218" width="13" style="35" customWidth="1"/>
    <col min="9219" max="9219" width="14.28515625" style="35" customWidth="1"/>
    <col min="9220" max="9220" width="13.5703125" style="35" customWidth="1"/>
    <col min="9221" max="9221" width="14.7109375" style="35" bestFit="1" customWidth="1"/>
    <col min="9222" max="9222" width="8.28515625" style="35" customWidth="1"/>
    <col min="9223" max="9223" width="14.7109375" style="35" bestFit="1" customWidth="1"/>
    <col min="9224" max="9224" width="12.5703125" style="35" customWidth="1"/>
    <col min="9225" max="9225" width="12.140625" style="35" customWidth="1"/>
    <col min="9226" max="9226" width="12.7109375" style="35" customWidth="1"/>
    <col min="9227" max="9227" width="13.140625" style="35" customWidth="1"/>
    <col min="9228" max="9228" width="12.5703125" style="35" customWidth="1"/>
    <col min="9229" max="9229" width="12.7109375" style="35" customWidth="1"/>
    <col min="9230" max="9472" width="8.85546875" style="35"/>
    <col min="9473" max="9473" width="4.5703125" style="35" customWidth="1"/>
    <col min="9474" max="9474" width="13" style="35" customWidth="1"/>
    <col min="9475" max="9475" width="14.28515625" style="35" customWidth="1"/>
    <col min="9476" max="9476" width="13.5703125" style="35" customWidth="1"/>
    <col min="9477" max="9477" width="14.7109375" style="35" bestFit="1" customWidth="1"/>
    <col min="9478" max="9478" width="8.28515625" style="35" customWidth="1"/>
    <col min="9479" max="9479" width="14.7109375" style="35" bestFit="1" customWidth="1"/>
    <col min="9480" max="9480" width="12.5703125" style="35" customWidth="1"/>
    <col min="9481" max="9481" width="12.140625" style="35" customWidth="1"/>
    <col min="9482" max="9482" width="12.7109375" style="35" customWidth="1"/>
    <col min="9483" max="9483" width="13.140625" style="35" customWidth="1"/>
    <col min="9484" max="9484" width="12.5703125" style="35" customWidth="1"/>
    <col min="9485" max="9485" width="12.7109375" style="35" customWidth="1"/>
    <col min="9486" max="9728" width="8.85546875" style="35"/>
    <col min="9729" max="9729" width="4.5703125" style="35" customWidth="1"/>
    <col min="9730" max="9730" width="13" style="35" customWidth="1"/>
    <col min="9731" max="9731" width="14.28515625" style="35" customWidth="1"/>
    <col min="9732" max="9732" width="13.5703125" style="35" customWidth="1"/>
    <col min="9733" max="9733" width="14.7109375" style="35" bestFit="1" customWidth="1"/>
    <col min="9734" max="9734" width="8.28515625" style="35" customWidth="1"/>
    <col min="9735" max="9735" width="14.7109375" style="35" bestFit="1" customWidth="1"/>
    <col min="9736" max="9736" width="12.5703125" style="35" customWidth="1"/>
    <col min="9737" max="9737" width="12.140625" style="35" customWidth="1"/>
    <col min="9738" max="9738" width="12.7109375" style="35" customWidth="1"/>
    <col min="9739" max="9739" width="13.140625" style="35" customWidth="1"/>
    <col min="9740" max="9740" width="12.5703125" style="35" customWidth="1"/>
    <col min="9741" max="9741" width="12.7109375" style="35" customWidth="1"/>
    <col min="9742" max="9984" width="8.85546875" style="35"/>
    <col min="9985" max="9985" width="4.5703125" style="35" customWidth="1"/>
    <col min="9986" max="9986" width="13" style="35" customWidth="1"/>
    <col min="9987" max="9987" width="14.28515625" style="35" customWidth="1"/>
    <col min="9988" max="9988" width="13.5703125" style="35" customWidth="1"/>
    <col min="9989" max="9989" width="14.7109375" style="35" bestFit="1" customWidth="1"/>
    <col min="9990" max="9990" width="8.28515625" style="35" customWidth="1"/>
    <col min="9991" max="9991" width="14.7109375" style="35" bestFit="1" customWidth="1"/>
    <col min="9992" max="9992" width="12.5703125" style="35" customWidth="1"/>
    <col min="9993" max="9993" width="12.140625" style="35" customWidth="1"/>
    <col min="9994" max="9994" width="12.7109375" style="35" customWidth="1"/>
    <col min="9995" max="9995" width="13.140625" style="35" customWidth="1"/>
    <col min="9996" max="9996" width="12.5703125" style="35" customWidth="1"/>
    <col min="9997" max="9997" width="12.7109375" style="35" customWidth="1"/>
    <col min="9998" max="10240" width="8.85546875" style="35"/>
    <col min="10241" max="10241" width="4.5703125" style="35" customWidth="1"/>
    <col min="10242" max="10242" width="13" style="35" customWidth="1"/>
    <col min="10243" max="10243" width="14.28515625" style="35" customWidth="1"/>
    <col min="10244" max="10244" width="13.5703125" style="35" customWidth="1"/>
    <col min="10245" max="10245" width="14.7109375" style="35" bestFit="1" customWidth="1"/>
    <col min="10246" max="10246" width="8.28515625" style="35" customWidth="1"/>
    <col min="10247" max="10247" width="14.7109375" style="35" bestFit="1" customWidth="1"/>
    <col min="10248" max="10248" width="12.5703125" style="35" customWidth="1"/>
    <col min="10249" max="10249" width="12.140625" style="35" customWidth="1"/>
    <col min="10250" max="10250" width="12.7109375" style="35" customWidth="1"/>
    <col min="10251" max="10251" width="13.140625" style="35" customWidth="1"/>
    <col min="10252" max="10252" width="12.5703125" style="35" customWidth="1"/>
    <col min="10253" max="10253" width="12.7109375" style="35" customWidth="1"/>
    <col min="10254" max="10496" width="8.85546875" style="35"/>
    <col min="10497" max="10497" width="4.5703125" style="35" customWidth="1"/>
    <col min="10498" max="10498" width="13" style="35" customWidth="1"/>
    <col min="10499" max="10499" width="14.28515625" style="35" customWidth="1"/>
    <col min="10500" max="10500" width="13.5703125" style="35" customWidth="1"/>
    <col min="10501" max="10501" width="14.7109375" style="35" bestFit="1" customWidth="1"/>
    <col min="10502" max="10502" width="8.28515625" style="35" customWidth="1"/>
    <col min="10503" max="10503" width="14.7109375" style="35" bestFit="1" customWidth="1"/>
    <col min="10504" max="10504" width="12.5703125" style="35" customWidth="1"/>
    <col min="10505" max="10505" width="12.140625" style="35" customWidth="1"/>
    <col min="10506" max="10506" width="12.7109375" style="35" customWidth="1"/>
    <col min="10507" max="10507" width="13.140625" style="35" customWidth="1"/>
    <col min="10508" max="10508" width="12.5703125" style="35" customWidth="1"/>
    <col min="10509" max="10509" width="12.7109375" style="35" customWidth="1"/>
    <col min="10510" max="10752" width="8.85546875" style="35"/>
    <col min="10753" max="10753" width="4.5703125" style="35" customWidth="1"/>
    <col min="10754" max="10754" width="13" style="35" customWidth="1"/>
    <col min="10755" max="10755" width="14.28515625" style="35" customWidth="1"/>
    <col min="10756" max="10756" width="13.5703125" style="35" customWidth="1"/>
    <col min="10757" max="10757" width="14.7109375" style="35" bestFit="1" customWidth="1"/>
    <col min="10758" max="10758" width="8.28515625" style="35" customWidth="1"/>
    <col min="10759" max="10759" width="14.7109375" style="35" bestFit="1" customWidth="1"/>
    <col min="10760" max="10760" width="12.5703125" style="35" customWidth="1"/>
    <col min="10761" max="10761" width="12.140625" style="35" customWidth="1"/>
    <col min="10762" max="10762" width="12.7109375" style="35" customWidth="1"/>
    <col min="10763" max="10763" width="13.140625" style="35" customWidth="1"/>
    <col min="10764" max="10764" width="12.5703125" style="35" customWidth="1"/>
    <col min="10765" max="10765" width="12.7109375" style="35" customWidth="1"/>
    <col min="10766" max="11008" width="8.85546875" style="35"/>
    <col min="11009" max="11009" width="4.5703125" style="35" customWidth="1"/>
    <col min="11010" max="11010" width="13" style="35" customWidth="1"/>
    <col min="11011" max="11011" width="14.28515625" style="35" customWidth="1"/>
    <col min="11012" max="11012" width="13.5703125" style="35" customWidth="1"/>
    <col min="11013" max="11013" width="14.7109375" style="35" bestFit="1" customWidth="1"/>
    <col min="11014" max="11014" width="8.28515625" style="35" customWidth="1"/>
    <col min="11015" max="11015" width="14.7109375" style="35" bestFit="1" customWidth="1"/>
    <col min="11016" max="11016" width="12.5703125" style="35" customWidth="1"/>
    <col min="11017" max="11017" width="12.140625" style="35" customWidth="1"/>
    <col min="11018" max="11018" width="12.7109375" style="35" customWidth="1"/>
    <col min="11019" max="11019" width="13.140625" style="35" customWidth="1"/>
    <col min="11020" max="11020" width="12.5703125" style="35" customWidth="1"/>
    <col min="11021" max="11021" width="12.7109375" style="35" customWidth="1"/>
    <col min="11022" max="11264" width="8.85546875" style="35"/>
    <col min="11265" max="11265" width="4.5703125" style="35" customWidth="1"/>
    <col min="11266" max="11266" width="13" style="35" customWidth="1"/>
    <col min="11267" max="11267" width="14.28515625" style="35" customWidth="1"/>
    <col min="11268" max="11268" width="13.5703125" style="35" customWidth="1"/>
    <col min="11269" max="11269" width="14.7109375" style="35" bestFit="1" customWidth="1"/>
    <col min="11270" max="11270" width="8.28515625" style="35" customWidth="1"/>
    <col min="11271" max="11271" width="14.7109375" style="35" bestFit="1" customWidth="1"/>
    <col min="11272" max="11272" width="12.5703125" style="35" customWidth="1"/>
    <col min="11273" max="11273" width="12.140625" style="35" customWidth="1"/>
    <col min="11274" max="11274" width="12.7109375" style="35" customWidth="1"/>
    <col min="11275" max="11275" width="13.140625" style="35" customWidth="1"/>
    <col min="11276" max="11276" width="12.5703125" style="35" customWidth="1"/>
    <col min="11277" max="11277" width="12.7109375" style="35" customWidth="1"/>
    <col min="11278" max="11520" width="8.85546875" style="35"/>
    <col min="11521" max="11521" width="4.5703125" style="35" customWidth="1"/>
    <col min="11522" max="11522" width="13" style="35" customWidth="1"/>
    <col min="11523" max="11523" width="14.28515625" style="35" customWidth="1"/>
    <col min="11524" max="11524" width="13.5703125" style="35" customWidth="1"/>
    <col min="11525" max="11525" width="14.7109375" style="35" bestFit="1" customWidth="1"/>
    <col min="11526" max="11526" width="8.28515625" style="35" customWidth="1"/>
    <col min="11527" max="11527" width="14.7109375" style="35" bestFit="1" customWidth="1"/>
    <col min="11528" max="11528" width="12.5703125" style="35" customWidth="1"/>
    <col min="11529" max="11529" width="12.140625" style="35" customWidth="1"/>
    <col min="11530" max="11530" width="12.7109375" style="35" customWidth="1"/>
    <col min="11531" max="11531" width="13.140625" style="35" customWidth="1"/>
    <col min="11532" max="11532" width="12.5703125" style="35" customWidth="1"/>
    <col min="11533" max="11533" width="12.7109375" style="35" customWidth="1"/>
    <col min="11534" max="11776" width="8.85546875" style="35"/>
    <col min="11777" max="11777" width="4.5703125" style="35" customWidth="1"/>
    <col min="11778" max="11778" width="13" style="35" customWidth="1"/>
    <col min="11779" max="11779" width="14.28515625" style="35" customWidth="1"/>
    <col min="11780" max="11780" width="13.5703125" style="35" customWidth="1"/>
    <col min="11781" max="11781" width="14.7109375" style="35" bestFit="1" customWidth="1"/>
    <col min="11782" max="11782" width="8.28515625" style="35" customWidth="1"/>
    <col min="11783" max="11783" width="14.7109375" style="35" bestFit="1" customWidth="1"/>
    <col min="11784" max="11784" width="12.5703125" style="35" customWidth="1"/>
    <col min="11785" max="11785" width="12.140625" style="35" customWidth="1"/>
    <col min="11786" max="11786" width="12.7109375" style="35" customWidth="1"/>
    <col min="11787" max="11787" width="13.140625" style="35" customWidth="1"/>
    <col min="11788" max="11788" width="12.5703125" style="35" customWidth="1"/>
    <col min="11789" max="11789" width="12.7109375" style="35" customWidth="1"/>
    <col min="11790" max="12032" width="8.85546875" style="35"/>
    <col min="12033" max="12033" width="4.5703125" style="35" customWidth="1"/>
    <col min="12034" max="12034" width="13" style="35" customWidth="1"/>
    <col min="12035" max="12035" width="14.28515625" style="35" customWidth="1"/>
    <col min="12036" max="12036" width="13.5703125" style="35" customWidth="1"/>
    <col min="12037" max="12037" width="14.7109375" style="35" bestFit="1" customWidth="1"/>
    <col min="12038" max="12038" width="8.28515625" style="35" customWidth="1"/>
    <col min="12039" max="12039" width="14.7109375" style="35" bestFit="1" customWidth="1"/>
    <col min="12040" max="12040" width="12.5703125" style="35" customWidth="1"/>
    <col min="12041" max="12041" width="12.140625" style="35" customWidth="1"/>
    <col min="12042" max="12042" width="12.7109375" style="35" customWidth="1"/>
    <col min="12043" max="12043" width="13.140625" style="35" customWidth="1"/>
    <col min="12044" max="12044" width="12.5703125" style="35" customWidth="1"/>
    <col min="12045" max="12045" width="12.7109375" style="35" customWidth="1"/>
    <col min="12046" max="12288" width="8.85546875" style="35"/>
    <col min="12289" max="12289" width="4.5703125" style="35" customWidth="1"/>
    <col min="12290" max="12290" width="13" style="35" customWidth="1"/>
    <col min="12291" max="12291" width="14.28515625" style="35" customWidth="1"/>
    <col min="12292" max="12292" width="13.5703125" style="35" customWidth="1"/>
    <col min="12293" max="12293" width="14.7109375" style="35" bestFit="1" customWidth="1"/>
    <col min="12294" max="12294" width="8.28515625" style="35" customWidth="1"/>
    <col min="12295" max="12295" width="14.7109375" style="35" bestFit="1" customWidth="1"/>
    <col min="12296" max="12296" width="12.5703125" style="35" customWidth="1"/>
    <col min="12297" max="12297" width="12.140625" style="35" customWidth="1"/>
    <col min="12298" max="12298" width="12.7109375" style="35" customWidth="1"/>
    <col min="12299" max="12299" width="13.140625" style="35" customWidth="1"/>
    <col min="12300" max="12300" width="12.5703125" style="35" customWidth="1"/>
    <col min="12301" max="12301" width="12.7109375" style="35" customWidth="1"/>
    <col min="12302" max="12544" width="8.85546875" style="35"/>
    <col min="12545" max="12545" width="4.5703125" style="35" customWidth="1"/>
    <col min="12546" max="12546" width="13" style="35" customWidth="1"/>
    <col min="12547" max="12547" width="14.28515625" style="35" customWidth="1"/>
    <col min="12548" max="12548" width="13.5703125" style="35" customWidth="1"/>
    <col min="12549" max="12549" width="14.7109375" style="35" bestFit="1" customWidth="1"/>
    <col min="12550" max="12550" width="8.28515625" style="35" customWidth="1"/>
    <col min="12551" max="12551" width="14.7109375" style="35" bestFit="1" customWidth="1"/>
    <col min="12552" max="12552" width="12.5703125" style="35" customWidth="1"/>
    <col min="12553" max="12553" width="12.140625" style="35" customWidth="1"/>
    <col min="12554" max="12554" width="12.7109375" style="35" customWidth="1"/>
    <col min="12555" max="12555" width="13.140625" style="35" customWidth="1"/>
    <col min="12556" max="12556" width="12.5703125" style="35" customWidth="1"/>
    <col min="12557" max="12557" width="12.7109375" style="35" customWidth="1"/>
    <col min="12558" max="12800" width="8.85546875" style="35"/>
    <col min="12801" max="12801" width="4.5703125" style="35" customWidth="1"/>
    <col min="12802" max="12802" width="13" style="35" customWidth="1"/>
    <col min="12803" max="12803" width="14.28515625" style="35" customWidth="1"/>
    <col min="12804" max="12804" width="13.5703125" style="35" customWidth="1"/>
    <col min="12805" max="12805" width="14.7109375" style="35" bestFit="1" customWidth="1"/>
    <col min="12806" max="12806" width="8.28515625" style="35" customWidth="1"/>
    <col min="12807" max="12807" width="14.7109375" style="35" bestFit="1" customWidth="1"/>
    <col min="12808" max="12808" width="12.5703125" style="35" customWidth="1"/>
    <col min="12809" max="12809" width="12.140625" style="35" customWidth="1"/>
    <col min="12810" max="12810" width="12.7109375" style="35" customWidth="1"/>
    <col min="12811" max="12811" width="13.140625" style="35" customWidth="1"/>
    <col min="12812" max="12812" width="12.5703125" style="35" customWidth="1"/>
    <col min="12813" max="12813" width="12.7109375" style="35" customWidth="1"/>
    <col min="12814" max="13056" width="8.85546875" style="35"/>
    <col min="13057" max="13057" width="4.5703125" style="35" customWidth="1"/>
    <col min="13058" max="13058" width="13" style="35" customWidth="1"/>
    <col min="13059" max="13059" width="14.28515625" style="35" customWidth="1"/>
    <col min="13060" max="13060" width="13.5703125" style="35" customWidth="1"/>
    <col min="13061" max="13061" width="14.7109375" style="35" bestFit="1" customWidth="1"/>
    <col min="13062" max="13062" width="8.28515625" style="35" customWidth="1"/>
    <col min="13063" max="13063" width="14.7109375" style="35" bestFit="1" customWidth="1"/>
    <col min="13064" max="13064" width="12.5703125" style="35" customWidth="1"/>
    <col min="13065" max="13065" width="12.140625" style="35" customWidth="1"/>
    <col min="13066" max="13066" width="12.7109375" style="35" customWidth="1"/>
    <col min="13067" max="13067" width="13.140625" style="35" customWidth="1"/>
    <col min="13068" max="13068" width="12.5703125" style="35" customWidth="1"/>
    <col min="13069" max="13069" width="12.7109375" style="35" customWidth="1"/>
    <col min="13070" max="13312" width="8.85546875" style="35"/>
    <col min="13313" max="13313" width="4.5703125" style="35" customWidth="1"/>
    <col min="13314" max="13314" width="13" style="35" customWidth="1"/>
    <col min="13315" max="13315" width="14.28515625" style="35" customWidth="1"/>
    <col min="13316" max="13316" width="13.5703125" style="35" customWidth="1"/>
    <col min="13317" max="13317" width="14.7109375" style="35" bestFit="1" customWidth="1"/>
    <col min="13318" max="13318" width="8.28515625" style="35" customWidth="1"/>
    <col min="13319" max="13319" width="14.7109375" style="35" bestFit="1" customWidth="1"/>
    <col min="13320" max="13320" width="12.5703125" style="35" customWidth="1"/>
    <col min="13321" max="13321" width="12.140625" style="35" customWidth="1"/>
    <col min="13322" max="13322" width="12.7109375" style="35" customWidth="1"/>
    <col min="13323" max="13323" width="13.140625" style="35" customWidth="1"/>
    <col min="13324" max="13324" width="12.5703125" style="35" customWidth="1"/>
    <col min="13325" max="13325" width="12.7109375" style="35" customWidth="1"/>
    <col min="13326" max="13568" width="8.85546875" style="35"/>
    <col min="13569" max="13569" width="4.5703125" style="35" customWidth="1"/>
    <col min="13570" max="13570" width="13" style="35" customWidth="1"/>
    <col min="13571" max="13571" width="14.28515625" style="35" customWidth="1"/>
    <col min="13572" max="13572" width="13.5703125" style="35" customWidth="1"/>
    <col min="13573" max="13573" width="14.7109375" style="35" bestFit="1" customWidth="1"/>
    <col min="13574" max="13574" width="8.28515625" style="35" customWidth="1"/>
    <col min="13575" max="13575" width="14.7109375" style="35" bestFit="1" customWidth="1"/>
    <col min="13576" max="13576" width="12.5703125" style="35" customWidth="1"/>
    <col min="13577" max="13577" width="12.140625" style="35" customWidth="1"/>
    <col min="13578" max="13578" width="12.7109375" style="35" customWidth="1"/>
    <col min="13579" max="13579" width="13.140625" style="35" customWidth="1"/>
    <col min="13580" max="13580" width="12.5703125" style="35" customWidth="1"/>
    <col min="13581" max="13581" width="12.7109375" style="35" customWidth="1"/>
    <col min="13582" max="13824" width="8.85546875" style="35"/>
    <col min="13825" max="13825" width="4.5703125" style="35" customWidth="1"/>
    <col min="13826" max="13826" width="13" style="35" customWidth="1"/>
    <col min="13827" max="13827" width="14.28515625" style="35" customWidth="1"/>
    <col min="13828" max="13828" width="13.5703125" style="35" customWidth="1"/>
    <col min="13829" max="13829" width="14.7109375" style="35" bestFit="1" customWidth="1"/>
    <col min="13830" max="13830" width="8.28515625" style="35" customWidth="1"/>
    <col min="13831" max="13831" width="14.7109375" style="35" bestFit="1" customWidth="1"/>
    <col min="13832" max="13832" width="12.5703125" style="35" customWidth="1"/>
    <col min="13833" max="13833" width="12.140625" style="35" customWidth="1"/>
    <col min="13834" max="13834" width="12.7109375" style="35" customWidth="1"/>
    <col min="13835" max="13835" width="13.140625" style="35" customWidth="1"/>
    <col min="13836" max="13836" width="12.5703125" style="35" customWidth="1"/>
    <col min="13837" max="13837" width="12.7109375" style="35" customWidth="1"/>
    <col min="13838" max="14080" width="8.85546875" style="35"/>
    <col min="14081" max="14081" width="4.5703125" style="35" customWidth="1"/>
    <col min="14082" max="14082" width="13" style="35" customWidth="1"/>
    <col min="14083" max="14083" width="14.28515625" style="35" customWidth="1"/>
    <col min="14084" max="14084" width="13.5703125" style="35" customWidth="1"/>
    <col min="14085" max="14085" width="14.7109375" style="35" bestFit="1" customWidth="1"/>
    <col min="14086" max="14086" width="8.28515625" style="35" customWidth="1"/>
    <col min="14087" max="14087" width="14.7109375" style="35" bestFit="1" customWidth="1"/>
    <col min="14088" max="14088" width="12.5703125" style="35" customWidth="1"/>
    <col min="14089" max="14089" width="12.140625" style="35" customWidth="1"/>
    <col min="14090" max="14090" width="12.7109375" style="35" customWidth="1"/>
    <col min="14091" max="14091" width="13.140625" style="35" customWidth="1"/>
    <col min="14092" max="14092" width="12.5703125" style="35" customWidth="1"/>
    <col min="14093" max="14093" width="12.7109375" style="35" customWidth="1"/>
    <col min="14094" max="14336" width="8.85546875" style="35"/>
    <col min="14337" max="14337" width="4.5703125" style="35" customWidth="1"/>
    <col min="14338" max="14338" width="13" style="35" customWidth="1"/>
    <col min="14339" max="14339" width="14.28515625" style="35" customWidth="1"/>
    <col min="14340" max="14340" width="13.5703125" style="35" customWidth="1"/>
    <col min="14341" max="14341" width="14.7109375" style="35" bestFit="1" customWidth="1"/>
    <col min="14342" max="14342" width="8.28515625" style="35" customWidth="1"/>
    <col min="14343" max="14343" width="14.7109375" style="35" bestFit="1" customWidth="1"/>
    <col min="14344" max="14344" width="12.5703125" style="35" customWidth="1"/>
    <col min="14345" max="14345" width="12.140625" style="35" customWidth="1"/>
    <col min="14346" max="14346" width="12.7109375" style="35" customWidth="1"/>
    <col min="14347" max="14347" width="13.140625" style="35" customWidth="1"/>
    <col min="14348" max="14348" width="12.5703125" style="35" customWidth="1"/>
    <col min="14349" max="14349" width="12.7109375" style="35" customWidth="1"/>
    <col min="14350" max="14592" width="8.85546875" style="35"/>
    <col min="14593" max="14593" width="4.5703125" style="35" customWidth="1"/>
    <col min="14594" max="14594" width="13" style="35" customWidth="1"/>
    <col min="14595" max="14595" width="14.28515625" style="35" customWidth="1"/>
    <col min="14596" max="14596" width="13.5703125" style="35" customWidth="1"/>
    <col min="14597" max="14597" width="14.7109375" style="35" bestFit="1" customWidth="1"/>
    <col min="14598" max="14598" width="8.28515625" style="35" customWidth="1"/>
    <col min="14599" max="14599" width="14.7109375" style="35" bestFit="1" customWidth="1"/>
    <col min="14600" max="14600" width="12.5703125" style="35" customWidth="1"/>
    <col min="14601" max="14601" width="12.140625" style="35" customWidth="1"/>
    <col min="14602" max="14602" width="12.7109375" style="35" customWidth="1"/>
    <col min="14603" max="14603" width="13.140625" style="35" customWidth="1"/>
    <col min="14604" max="14604" width="12.5703125" style="35" customWidth="1"/>
    <col min="14605" max="14605" width="12.7109375" style="35" customWidth="1"/>
    <col min="14606" max="14848" width="8.85546875" style="35"/>
    <col min="14849" max="14849" width="4.5703125" style="35" customWidth="1"/>
    <col min="14850" max="14850" width="13" style="35" customWidth="1"/>
    <col min="14851" max="14851" width="14.28515625" style="35" customWidth="1"/>
    <col min="14852" max="14852" width="13.5703125" style="35" customWidth="1"/>
    <col min="14853" max="14853" width="14.7109375" style="35" bestFit="1" customWidth="1"/>
    <col min="14854" max="14854" width="8.28515625" style="35" customWidth="1"/>
    <col min="14855" max="14855" width="14.7109375" style="35" bestFit="1" customWidth="1"/>
    <col min="14856" max="14856" width="12.5703125" style="35" customWidth="1"/>
    <col min="14857" max="14857" width="12.140625" style="35" customWidth="1"/>
    <col min="14858" max="14858" width="12.7109375" style="35" customWidth="1"/>
    <col min="14859" max="14859" width="13.140625" style="35" customWidth="1"/>
    <col min="14860" max="14860" width="12.5703125" style="35" customWidth="1"/>
    <col min="14861" max="14861" width="12.7109375" style="35" customWidth="1"/>
    <col min="14862" max="15104" width="8.85546875" style="35"/>
    <col min="15105" max="15105" width="4.5703125" style="35" customWidth="1"/>
    <col min="15106" max="15106" width="13" style="35" customWidth="1"/>
    <col min="15107" max="15107" width="14.28515625" style="35" customWidth="1"/>
    <col min="15108" max="15108" width="13.5703125" style="35" customWidth="1"/>
    <col min="15109" max="15109" width="14.7109375" style="35" bestFit="1" customWidth="1"/>
    <col min="15110" max="15110" width="8.28515625" style="35" customWidth="1"/>
    <col min="15111" max="15111" width="14.7109375" style="35" bestFit="1" customWidth="1"/>
    <col min="15112" max="15112" width="12.5703125" style="35" customWidth="1"/>
    <col min="15113" max="15113" width="12.140625" style="35" customWidth="1"/>
    <col min="15114" max="15114" width="12.7109375" style="35" customWidth="1"/>
    <col min="15115" max="15115" width="13.140625" style="35" customWidth="1"/>
    <col min="15116" max="15116" width="12.5703125" style="35" customWidth="1"/>
    <col min="15117" max="15117" width="12.7109375" style="35" customWidth="1"/>
    <col min="15118" max="15360" width="8.85546875" style="35"/>
    <col min="15361" max="15361" width="4.5703125" style="35" customWidth="1"/>
    <col min="15362" max="15362" width="13" style="35" customWidth="1"/>
    <col min="15363" max="15363" width="14.28515625" style="35" customWidth="1"/>
    <col min="15364" max="15364" width="13.5703125" style="35" customWidth="1"/>
    <col min="15365" max="15365" width="14.7109375" style="35" bestFit="1" customWidth="1"/>
    <col min="15366" max="15366" width="8.28515625" style="35" customWidth="1"/>
    <col min="15367" max="15367" width="14.7109375" style="35" bestFit="1" customWidth="1"/>
    <col min="15368" max="15368" width="12.5703125" style="35" customWidth="1"/>
    <col min="15369" max="15369" width="12.140625" style="35" customWidth="1"/>
    <col min="15370" max="15370" width="12.7109375" style="35" customWidth="1"/>
    <col min="15371" max="15371" width="13.140625" style="35" customWidth="1"/>
    <col min="15372" max="15372" width="12.5703125" style="35" customWidth="1"/>
    <col min="15373" max="15373" width="12.7109375" style="35" customWidth="1"/>
    <col min="15374" max="15616" width="8.85546875" style="35"/>
    <col min="15617" max="15617" width="4.5703125" style="35" customWidth="1"/>
    <col min="15618" max="15618" width="13" style="35" customWidth="1"/>
    <col min="15619" max="15619" width="14.28515625" style="35" customWidth="1"/>
    <col min="15620" max="15620" width="13.5703125" style="35" customWidth="1"/>
    <col min="15621" max="15621" width="14.7109375" style="35" bestFit="1" customWidth="1"/>
    <col min="15622" max="15622" width="8.28515625" style="35" customWidth="1"/>
    <col min="15623" max="15623" width="14.7109375" style="35" bestFit="1" customWidth="1"/>
    <col min="15624" max="15624" width="12.5703125" style="35" customWidth="1"/>
    <col min="15625" max="15625" width="12.140625" style="35" customWidth="1"/>
    <col min="15626" max="15626" width="12.7109375" style="35" customWidth="1"/>
    <col min="15627" max="15627" width="13.140625" style="35" customWidth="1"/>
    <col min="15628" max="15628" width="12.5703125" style="35" customWidth="1"/>
    <col min="15629" max="15629" width="12.7109375" style="35" customWidth="1"/>
    <col min="15630" max="15872" width="8.85546875" style="35"/>
    <col min="15873" max="15873" width="4.5703125" style="35" customWidth="1"/>
    <col min="15874" max="15874" width="13" style="35" customWidth="1"/>
    <col min="15875" max="15875" width="14.28515625" style="35" customWidth="1"/>
    <col min="15876" max="15876" width="13.5703125" style="35" customWidth="1"/>
    <col min="15877" max="15877" width="14.7109375" style="35" bestFit="1" customWidth="1"/>
    <col min="15878" max="15878" width="8.28515625" style="35" customWidth="1"/>
    <col min="15879" max="15879" width="14.7109375" style="35" bestFit="1" customWidth="1"/>
    <col min="15880" max="15880" width="12.5703125" style="35" customWidth="1"/>
    <col min="15881" max="15881" width="12.140625" style="35" customWidth="1"/>
    <col min="15882" max="15882" width="12.7109375" style="35" customWidth="1"/>
    <col min="15883" max="15883" width="13.140625" style="35" customWidth="1"/>
    <col min="15884" max="15884" width="12.5703125" style="35" customWidth="1"/>
    <col min="15885" max="15885" width="12.7109375" style="35" customWidth="1"/>
    <col min="15886" max="16128" width="8.85546875" style="35"/>
    <col min="16129" max="16129" width="4.5703125" style="35" customWidth="1"/>
    <col min="16130" max="16130" width="13" style="35" customWidth="1"/>
    <col min="16131" max="16131" width="14.28515625" style="35" customWidth="1"/>
    <col min="16132" max="16132" width="13.5703125" style="35" customWidth="1"/>
    <col min="16133" max="16133" width="14.7109375" style="35" bestFit="1" customWidth="1"/>
    <col min="16134" max="16134" width="8.28515625" style="35" customWidth="1"/>
    <col min="16135" max="16135" width="14.7109375" style="35" bestFit="1" customWidth="1"/>
    <col min="16136" max="16136" width="12.5703125" style="35" customWidth="1"/>
    <col min="16137" max="16137" width="12.140625" style="35" customWidth="1"/>
    <col min="16138" max="16138" width="12.7109375" style="35" customWidth="1"/>
    <col min="16139" max="16139" width="13.140625" style="35" customWidth="1"/>
    <col min="16140" max="16140" width="12.5703125" style="35" customWidth="1"/>
    <col min="16141" max="16141" width="12.7109375" style="35" customWidth="1"/>
    <col min="16142" max="16384" width="8.85546875" style="35"/>
  </cols>
  <sheetData>
    <row r="1" spans="1:13" ht="18.75" x14ac:dyDescent="0.3">
      <c r="A1" s="33" t="s">
        <v>49</v>
      </c>
      <c r="B1" s="33"/>
      <c r="C1" s="34"/>
      <c r="D1" s="34"/>
      <c r="E1" s="33"/>
      <c r="F1" s="34"/>
      <c r="G1" s="33"/>
      <c r="H1" s="33"/>
      <c r="I1" s="33"/>
      <c r="J1" s="33"/>
      <c r="K1" s="33"/>
      <c r="L1" s="33"/>
    </row>
    <row r="2" spans="1:13" ht="16.5" thickBot="1" x14ac:dyDescent="0.3">
      <c r="C2" s="36"/>
      <c r="D2" s="36"/>
      <c r="F2" s="36"/>
    </row>
    <row r="3" spans="1:13" x14ac:dyDescent="0.25">
      <c r="A3" s="37" t="s">
        <v>50</v>
      </c>
      <c r="B3" s="38"/>
      <c r="C3" s="39"/>
      <c r="D3" s="36"/>
      <c r="F3" s="36"/>
    </row>
    <row r="4" spans="1:13" x14ac:dyDescent="0.25">
      <c r="A4" s="40"/>
      <c r="B4" s="41"/>
      <c r="C4" s="42"/>
      <c r="D4" s="36"/>
      <c r="F4" s="36"/>
    </row>
    <row r="5" spans="1:13" x14ac:dyDescent="0.25">
      <c r="A5" s="40" t="s">
        <v>51</v>
      </c>
      <c r="B5" s="41" t="s">
        <v>52</v>
      </c>
      <c r="C5" s="43"/>
      <c r="D5" s="36"/>
      <c r="F5" s="36"/>
    </row>
    <row r="6" spans="1:13" x14ac:dyDescent="0.25">
      <c r="A6" s="40" t="s">
        <v>53</v>
      </c>
      <c r="B6" s="41"/>
      <c r="C6" s="43"/>
      <c r="D6" s="36"/>
      <c r="F6" s="36"/>
    </row>
    <row r="7" spans="1:13" ht="16.5" thickBot="1" x14ac:dyDescent="0.3">
      <c r="A7" s="44" t="s">
        <v>54</v>
      </c>
      <c r="B7" s="45"/>
      <c r="C7" s="46">
        <f>C6+C5</f>
        <v>0</v>
      </c>
      <c r="D7" s="47" t="s">
        <v>55</v>
      </c>
      <c r="F7" s="36"/>
      <c r="I7" s="48" t="s">
        <v>56</v>
      </c>
      <c r="K7" s="48" t="s">
        <v>57</v>
      </c>
    </row>
    <row r="8" spans="1:13" ht="16.5" thickTop="1" x14ac:dyDescent="0.25">
      <c r="A8" s="40"/>
      <c r="B8" s="41"/>
      <c r="C8" s="42"/>
      <c r="D8" s="49" t="s">
        <v>58</v>
      </c>
      <c r="E8" s="50" t="s">
        <v>58</v>
      </c>
      <c r="F8" s="49"/>
      <c r="G8" s="50" t="s">
        <v>58</v>
      </c>
      <c r="H8" s="50"/>
      <c r="J8" s="50" t="s">
        <v>59</v>
      </c>
      <c r="K8" s="50" t="s">
        <v>60</v>
      </c>
    </row>
    <row r="9" spans="1:13" ht="210" x14ac:dyDescent="0.25">
      <c r="A9" s="51" t="s">
        <v>61</v>
      </c>
      <c r="B9" s="52"/>
      <c r="C9" s="53"/>
      <c r="D9" s="54" t="s">
        <v>62</v>
      </c>
      <c r="E9" s="55" t="s">
        <v>63</v>
      </c>
      <c r="F9" s="54" t="s">
        <v>64</v>
      </c>
      <c r="G9" s="55" t="s">
        <v>63</v>
      </c>
      <c r="H9" s="55"/>
      <c r="I9" s="55" t="s">
        <v>65</v>
      </c>
      <c r="J9" s="55" t="s">
        <v>66</v>
      </c>
      <c r="K9" s="55" t="s">
        <v>66</v>
      </c>
      <c r="L9" s="55" t="s">
        <v>67</v>
      </c>
      <c r="M9" s="55" t="s">
        <v>68</v>
      </c>
    </row>
    <row r="10" spans="1:13" x14ac:dyDescent="0.25">
      <c r="A10" s="40"/>
      <c r="B10" s="41" t="s">
        <v>69</v>
      </c>
      <c r="C10" s="43"/>
      <c r="D10" s="36">
        <v>0</v>
      </c>
      <c r="E10" s="56">
        <f>C10+D10</f>
        <v>0</v>
      </c>
      <c r="F10" s="57">
        <v>1</v>
      </c>
      <c r="G10" s="56">
        <f>E10*F10</f>
        <v>0</v>
      </c>
      <c r="I10" s="56">
        <f>G10/12</f>
        <v>0</v>
      </c>
      <c r="J10" s="56">
        <f>G10*-0.023</f>
        <v>0</v>
      </c>
      <c r="K10" s="56">
        <f>I10*-0.023</f>
        <v>0</v>
      </c>
      <c r="L10" s="56">
        <f>G10+J10</f>
        <v>0</v>
      </c>
      <c r="M10" s="56">
        <f>I10+K10</f>
        <v>0</v>
      </c>
    </row>
    <row r="11" spans="1:13" x14ac:dyDescent="0.25">
      <c r="A11" s="40"/>
      <c r="B11" s="41" t="s">
        <v>70</v>
      </c>
      <c r="C11" s="43"/>
      <c r="D11" s="36">
        <v>0</v>
      </c>
      <c r="E11" s="56">
        <f>C11+D11</f>
        <v>0</v>
      </c>
      <c r="F11" s="57"/>
      <c r="G11" s="56">
        <f>E11*F11</f>
        <v>0</v>
      </c>
      <c r="H11" s="56"/>
      <c r="I11" s="56">
        <f>G11/12</f>
        <v>0</v>
      </c>
      <c r="J11" s="56">
        <f>E11*-0.023</f>
        <v>0</v>
      </c>
      <c r="K11" s="56">
        <f>I11*-0.023</f>
        <v>0</v>
      </c>
      <c r="L11" s="56">
        <f>G11+J11</f>
        <v>0</v>
      </c>
      <c r="M11" s="56">
        <f>I11+K11</f>
        <v>0</v>
      </c>
    </row>
    <row r="12" spans="1:13" x14ac:dyDescent="0.25">
      <c r="A12" s="40"/>
      <c r="B12" s="41" t="s">
        <v>71</v>
      </c>
      <c r="C12" s="43"/>
      <c r="D12" s="36">
        <v>0</v>
      </c>
      <c r="E12" s="56">
        <f>C12+D12</f>
        <v>0</v>
      </c>
      <c r="F12" s="57"/>
      <c r="G12" s="56">
        <f>E12*F12</f>
        <v>0</v>
      </c>
      <c r="H12" s="56"/>
      <c r="I12" s="56">
        <f>G12/12</f>
        <v>0</v>
      </c>
      <c r="J12" s="56">
        <f>E12*-0.023</f>
        <v>0</v>
      </c>
      <c r="K12" s="56">
        <f>I12*-0.023</f>
        <v>0</v>
      </c>
      <c r="L12" s="56">
        <f>G12+J12</f>
        <v>0</v>
      </c>
      <c r="M12" s="56">
        <f>I12+K12</f>
        <v>0</v>
      </c>
    </row>
    <row r="13" spans="1:13" x14ac:dyDescent="0.25">
      <c r="A13" s="40"/>
      <c r="B13" s="41" t="s">
        <v>72</v>
      </c>
      <c r="C13" s="58"/>
      <c r="D13" s="59">
        <f>C13*-0.025</f>
        <v>0</v>
      </c>
      <c r="E13" s="60">
        <f>C13+D13</f>
        <v>0</v>
      </c>
      <c r="F13" s="61"/>
      <c r="G13" s="60">
        <f>E13*F13</f>
        <v>0</v>
      </c>
      <c r="H13" s="60"/>
      <c r="I13" s="60">
        <f>G13/12</f>
        <v>0</v>
      </c>
      <c r="J13" s="60">
        <f>E13*-0.023</f>
        <v>0</v>
      </c>
      <c r="K13" s="60">
        <f>I13*-0.023</f>
        <v>0</v>
      </c>
      <c r="L13" s="60">
        <f>G13+J13</f>
        <v>0</v>
      </c>
      <c r="M13" s="60">
        <f>I13+K13</f>
        <v>0</v>
      </c>
    </row>
    <row r="14" spans="1:13" x14ac:dyDescent="0.25">
      <c r="A14" s="40"/>
      <c r="B14" s="41"/>
      <c r="C14" s="43"/>
      <c r="D14" s="62"/>
      <c r="E14" s="63"/>
      <c r="F14" s="64"/>
      <c r="G14" s="63"/>
      <c r="H14" s="63"/>
      <c r="I14" s="63"/>
      <c r="J14" s="63"/>
      <c r="K14" s="63"/>
      <c r="L14" s="63"/>
      <c r="M14" s="63"/>
    </row>
    <row r="15" spans="1:13" ht="16.5" thickBot="1" x14ac:dyDescent="0.3">
      <c r="A15" s="65" t="s">
        <v>73</v>
      </c>
      <c r="B15" s="66"/>
      <c r="C15" s="67">
        <f>SUM(C10:C13)</f>
        <v>0</v>
      </c>
      <c r="D15" s="36">
        <f>SUM(D9:D13)</f>
        <v>0</v>
      </c>
      <c r="E15" s="36">
        <f>SUM(E9:E13)</f>
        <v>0</v>
      </c>
      <c r="F15" s="36">
        <f>SUM(F9:F13)</f>
        <v>1</v>
      </c>
      <c r="G15" s="36">
        <f>SUM(G9:G13)</f>
        <v>0</v>
      </c>
      <c r="H15" s="36"/>
      <c r="I15" s="36">
        <f>SUM(I9:I13)</f>
        <v>0</v>
      </c>
      <c r="J15" s="56">
        <f>SUM(J9:J13)</f>
        <v>0</v>
      </c>
      <c r="K15" s="36">
        <f>SUM(K9:K13)</f>
        <v>0</v>
      </c>
      <c r="L15" s="56">
        <f>SUM(L9:L13)</f>
        <v>0</v>
      </c>
      <c r="M15" s="36">
        <f>SUM(M9:M13)</f>
        <v>0</v>
      </c>
    </row>
    <row r="16" spans="1:13" x14ac:dyDescent="0.25">
      <c r="C16" s="36"/>
      <c r="D16" s="36"/>
      <c r="F16" s="36"/>
    </row>
    <row r="17" spans="1:13" x14ac:dyDescent="0.25">
      <c r="C17" s="36"/>
      <c r="D17" s="36"/>
      <c r="F17" s="36"/>
      <c r="J17" s="35" t="s">
        <v>53</v>
      </c>
      <c r="L17" s="56">
        <f>C6</f>
        <v>0</v>
      </c>
    </row>
    <row r="18" spans="1:13" ht="16.5" thickBot="1" x14ac:dyDescent="0.3">
      <c r="C18" s="36"/>
      <c r="D18" s="36"/>
      <c r="F18" s="36"/>
      <c r="J18" s="35" t="s">
        <v>74</v>
      </c>
    </row>
    <row r="19" spans="1:13" ht="16.5" thickBot="1" x14ac:dyDescent="0.3">
      <c r="C19" s="36"/>
      <c r="D19" s="36"/>
      <c r="F19" s="36"/>
      <c r="J19" s="68" t="s">
        <v>75</v>
      </c>
      <c r="K19" s="69"/>
      <c r="L19" s="70">
        <f>SUM(L15:L18)</f>
        <v>0</v>
      </c>
    </row>
    <row r="20" spans="1:13" x14ac:dyDescent="0.25">
      <c r="C20" s="36"/>
      <c r="D20" s="36"/>
      <c r="F20" s="36"/>
    </row>
    <row r="21" spans="1:13" x14ac:dyDescent="0.25">
      <c r="C21" s="36"/>
      <c r="D21" s="36"/>
      <c r="F21" s="36"/>
    </row>
    <row r="22" spans="1:13" ht="18.75" x14ac:dyDescent="0.3">
      <c r="A22" s="33"/>
      <c r="B22" s="360" t="s">
        <v>76</v>
      </c>
      <c r="C22" s="361"/>
      <c r="D22" s="361"/>
      <c r="E22" s="361"/>
      <c r="F22" s="361"/>
      <c r="G22" s="361"/>
      <c r="H22" s="361"/>
      <c r="I22" s="361"/>
      <c r="J22" s="361"/>
      <c r="K22" s="361"/>
      <c r="L22" s="33"/>
    </row>
    <row r="23" spans="1:13" x14ac:dyDescent="0.25">
      <c r="C23" s="36"/>
      <c r="D23" s="36"/>
      <c r="F23" s="36"/>
    </row>
    <row r="24" spans="1:13" ht="16.5" thickBot="1" x14ac:dyDescent="0.3">
      <c r="A24" s="71" t="s">
        <v>167</v>
      </c>
      <c r="B24" s="71"/>
      <c r="C24" s="72"/>
      <c r="D24" s="72"/>
      <c r="E24" s="71"/>
      <c r="F24" s="72"/>
      <c r="G24" s="71"/>
      <c r="H24" s="71"/>
      <c r="I24" s="71"/>
      <c r="J24" s="71"/>
      <c r="K24" s="71"/>
      <c r="L24" s="71"/>
      <c r="M24" s="71"/>
    </row>
    <row r="25" spans="1:13" x14ac:dyDescent="0.25">
      <c r="A25" s="37" t="s">
        <v>50</v>
      </c>
      <c r="B25" s="38"/>
      <c r="C25" s="39"/>
      <c r="D25" s="36"/>
      <c r="F25" s="36"/>
    </row>
    <row r="26" spans="1:13" x14ac:dyDescent="0.25">
      <c r="A26" s="40"/>
      <c r="B26" s="41"/>
      <c r="C26" s="42"/>
      <c r="D26" s="36"/>
      <c r="F26" s="36"/>
    </row>
    <row r="27" spans="1:13" x14ac:dyDescent="0.25">
      <c r="A27" s="40" t="s">
        <v>51</v>
      </c>
      <c r="B27" s="41"/>
      <c r="C27" s="43"/>
      <c r="D27" s="36"/>
      <c r="F27" s="36"/>
    </row>
    <row r="28" spans="1:13" x14ac:dyDescent="0.25">
      <c r="A28" s="40" t="s">
        <v>53</v>
      </c>
      <c r="B28" s="41"/>
      <c r="C28" s="43"/>
      <c r="D28" s="36"/>
      <c r="F28" s="36"/>
    </row>
    <row r="29" spans="1:13" ht="16.5" thickBot="1" x14ac:dyDescent="0.3">
      <c r="A29" s="44" t="s">
        <v>54</v>
      </c>
      <c r="B29" s="45"/>
      <c r="C29" s="46">
        <f>C28+C27</f>
        <v>0</v>
      </c>
      <c r="D29" s="57" t="s">
        <v>55</v>
      </c>
      <c r="F29" s="36"/>
      <c r="I29" s="48" t="s">
        <v>56</v>
      </c>
      <c r="K29" s="48" t="s">
        <v>57</v>
      </c>
    </row>
    <row r="30" spans="1:13" ht="16.5" thickTop="1" x14ac:dyDescent="0.25">
      <c r="A30" s="40"/>
      <c r="B30" s="41"/>
      <c r="C30" s="42"/>
      <c r="D30" s="49" t="s">
        <v>58</v>
      </c>
      <c r="E30" s="50" t="s">
        <v>58</v>
      </c>
      <c r="F30" s="49"/>
      <c r="G30" s="50" t="s">
        <v>58</v>
      </c>
      <c r="H30" s="50">
        <v>0.88593999999999995</v>
      </c>
      <c r="I30" s="73"/>
      <c r="J30" s="50" t="s">
        <v>59</v>
      </c>
      <c r="K30" s="50" t="s">
        <v>60</v>
      </c>
    </row>
    <row r="31" spans="1:13" ht="210" x14ac:dyDescent="0.25">
      <c r="A31" s="51" t="s">
        <v>61</v>
      </c>
      <c r="B31" s="52"/>
      <c r="C31" s="53"/>
      <c r="D31" s="54" t="s">
        <v>62</v>
      </c>
      <c r="E31" s="55" t="s">
        <v>63</v>
      </c>
      <c r="F31" s="54" t="s">
        <v>64</v>
      </c>
      <c r="G31" s="55" t="s">
        <v>63</v>
      </c>
      <c r="H31" s="55" t="s">
        <v>77</v>
      </c>
      <c r="I31" s="55" t="s">
        <v>65</v>
      </c>
      <c r="J31" s="55" t="s">
        <v>66</v>
      </c>
      <c r="K31" s="55" t="s">
        <v>66</v>
      </c>
      <c r="L31" s="55" t="s">
        <v>67</v>
      </c>
      <c r="M31" s="55" t="s">
        <v>68</v>
      </c>
    </row>
    <row r="32" spans="1:13" x14ac:dyDescent="0.25">
      <c r="A32" s="40"/>
      <c r="B32" s="41" t="s">
        <v>78</v>
      </c>
      <c r="C32" s="43"/>
      <c r="D32" s="36">
        <v>0</v>
      </c>
      <c r="E32" s="56">
        <f>C32+D32</f>
        <v>0</v>
      </c>
      <c r="F32" s="57">
        <v>1</v>
      </c>
      <c r="G32" s="56">
        <f>E32*F32</f>
        <v>0</v>
      </c>
      <c r="H32" s="56">
        <f>G32*H30</f>
        <v>0</v>
      </c>
      <c r="I32" s="56">
        <f>H32/12</f>
        <v>0</v>
      </c>
      <c r="J32" s="56">
        <f>H32*-0.023</f>
        <v>0</v>
      </c>
      <c r="K32" s="56">
        <f>I32*-0.023</f>
        <v>0</v>
      </c>
      <c r="L32" s="56">
        <f>H32+J32</f>
        <v>0</v>
      </c>
      <c r="M32" s="56">
        <f>I32+K32</f>
        <v>0</v>
      </c>
    </row>
    <row r="33" spans="1:13" x14ac:dyDescent="0.25">
      <c r="A33" s="40"/>
      <c r="B33" s="41" t="s">
        <v>79</v>
      </c>
      <c r="C33" s="43"/>
      <c r="D33" s="36">
        <v>0</v>
      </c>
      <c r="E33" s="56">
        <f>C33+D33</f>
        <v>0</v>
      </c>
      <c r="F33" s="57"/>
      <c r="G33" s="56">
        <f>E33*F33</f>
        <v>0</v>
      </c>
      <c r="H33" s="56"/>
      <c r="I33" s="56">
        <f>G33/12</f>
        <v>0</v>
      </c>
      <c r="J33" s="56">
        <f>E33*-0.023</f>
        <v>0</v>
      </c>
      <c r="K33" s="56">
        <f>I33*-0.023</f>
        <v>0</v>
      </c>
      <c r="L33" s="56">
        <f>G33+J33</f>
        <v>0</v>
      </c>
      <c r="M33" s="56">
        <f>I33+K33</f>
        <v>0</v>
      </c>
    </row>
    <row r="34" spans="1:13" x14ac:dyDescent="0.25">
      <c r="A34" s="40"/>
      <c r="B34" s="41" t="s">
        <v>80</v>
      </c>
      <c r="C34" s="43"/>
      <c r="D34" s="36">
        <v>0</v>
      </c>
      <c r="E34" s="56">
        <f>C34+D34</f>
        <v>0</v>
      </c>
      <c r="F34" s="57"/>
      <c r="G34" s="56">
        <f>E34*F34</f>
        <v>0</v>
      </c>
      <c r="H34" s="56"/>
      <c r="I34" s="56">
        <f>G34/12</f>
        <v>0</v>
      </c>
      <c r="J34" s="56">
        <f>E34*-0.023</f>
        <v>0</v>
      </c>
      <c r="K34" s="56">
        <f>I34*-0.023</f>
        <v>0</v>
      </c>
      <c r="L34" s="56">
        <f>G34+J34</f>
        <v>0</v>
      </c>
      <c r="M34" s="56">
        <f>I34+K34</f>
        <v>0</v>
      </c>
    </row>
    <row r="35" spans="1:13" x14ac:dyDescent="0.25">
      <c r="A35" s="40"/>
      <c r="B35" s="41" t="s">
        <v>81</v>
      </c>
      <c r="C35" s="58"/>
      <c r="D35" s="59">
        <f>C35*-0.025</f>
        <v>0</v>
      </c>
      <c r="E35" s="60">
        <f>C35+D35</f>
        <v>0</v>
      </c>
      <c r="F35" s="61"/>
      <c r="G35" s="60">
        <f>E35*F35</f>
        <v>0</v>
      </c>
      <c r="H35" s="60"/>
      <c r="I35" s="60">
        <f>G35/12</f>
        <v>0</v>
      </c>
      <c r="J35" s="60">
        <f>E35*-0.023</f>
        <v>0</v>
      </c>
      <c r="K35" s="60">
        <f>I35*-0.023</f>
        <v>0</v>
      </c>
      <c r="L35" s="60">
        <f>G35+J35</f>
        <v>0</v>
      </c>
      <c r="M35" s="60">
        <f>I35+K35</f>
        <v>0</v>
      </c>
    </row>
    <row r="36" spans="1:13" x14ac:dyDescent="0.25">
      <c r="A36" s="40"/>
      <c r="B36" s="41"/>
      <c r="C36" s="43"/>
      <c r="D36" s="62"/>
      <c r="E36" s="63"/>
      <c r="F36" s="64"/>
      <c r="G36" s="63"/>
      <c r="H36" s="63"/>
      <c r="I36" s="63"/>
      <c r="J36" s="63"/>
      <c r="K36" s="63"/>
      <c r="L36" s="63"/>
      <c r="M36" s="63"/>
    </row>
    <row r="37" spans="1:13" ht="16.5" thickBot="1" x14ac:dyDescent="0.3">
      <c r="A37" s="65" t="s">
        <v>73</v>
      </c>
      <c r="B37" s="66"/>
      <c r="C37" s="67">
        <f>SUM(C32:C35)</f>
        <v>0</v>
      </c>
      <c r="D37" s="36">
        <f>SUM(D31:D35)</f>
        <v>0</v>
      </c>
      <c r="E37" s="36">
        <f>SUM(E31:E35)</f>
        <v>0</v>
      </c>
      <c r="F37" s="36">
        <f>SUM(F31:F35)</f>
        <v>1</v>
      </c>
      <c r="G37" s="36">
        <f>SUM(G31:G35)</f>
        <v>0</v>
      </c>
      <c r="H37" s="36"/>
      <c r="I37" s="36">
        <f>SUM(I31:I35)</f>
        <v>0</v>
      </c>
      <c r="J37" s="56">
        <f>SUM(J31:J35)</f>
        <v>0</v>
      </c>
      <c r="K37" s="36">
        <f>SUM(K31:K35)</f>
        <v>0</v>
      </c>
      <c r="L37" s="56">
        <f>SUM(L31:L35)</f>
        <v>0</v>
      </c>
      <c r="M37" s="36">
        <f>SUM(M31:M35)</f>
        <v>0</v>
      </c>
    </row>
    <row r="38" spans="1:13" x14ac:dyDescent="0.25">
      <c r="C38" s="36"/>
      <c r="D38" s="36"/>
      <c r="F38" s="36"/>
    </row>
    <row r="39" spans="1:13" x14ac:dyDescent="0.25">
      <c r="C39" s="36"/>
      <c r="D39" s="36"/>
      <c r="F39" s="36"/>
      <c r="J39" s="35" t="s">
        <v>53</v>
      </c>
      <c r="L39" s="56">
        <f>C28</f>
        <v>0</v>
      </c>
    </row>
    <row r="40" spans="1:13" ht="16.5" thickBot="1" x14ac:dyDescent="0.3">
      <c r="C40" s="36"/>
      <c r="D40" s="36"/>
      <c r="F40" s="36"/>
      <c r="J40" s="35" t="s">
        <v>74</v>
      </c>
    </row>
    <row r="41" spans="1:13" ht="16.5" thickBot="1" x14ac:dyDescent="0.3">
      <c r="C41" s="36"/>
      <c r="D41" s="36"/>
      <c r="F41" s="36"/>
      <c r="J41" s="68" t="s">
        <v>75</v>
      </c>
      <c r="K41" s="69"/>
      <c r="L41" s="70">
        <f>SUM(L37:L40)</f>
        <v>0</v>
      </c>
    </row>
    <row r="42" spans="1:13" x14ac:dyDescent="0.25">
      <c r="C42" s="36"/>
      <c r="D42" s="36"/>
      <c r="F42" s="36"/>
    </row>
    <row r="43" spans="1:13" x14ac:dyDescent="0.25">
      <c r="C43" s="36"/>
      <c r="D43" s="36"/>
      <c r="F43" s="36"/>
    </row>
  </sheetData>
  <mergeCells count="1">
    <mergeCell ref="B22:K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7"/>
  <sheetViews>
    <sheetView zoomScale="90" zoomScaleNormal="90" workbookViewId="0">
      <selection activeCell="J9" sqref="J9"/>
    </sheetView>
  </sheetViews>
  <sheetFormatPr defaultColWidth="8.85546875" defaultRowHeight="12.75" x14ac:dyDescent="0.2"/>
  <cols>
    <col min="1" max="1" width="26.85546875" style="85" customWidth="1"/>
    <col min="2" max="2" width="54.5703125" style="85" customWidth="1"/>
    <col min="3" max="3" width="5.7109375" style="85" customWidth="1"/>
    <col min="4" max="16384" width="8.85546875" style="85"/>
  </cols>
  <sheetData>
    <row r="1" spans="1:3" ht="22.5" customHeight="1" x14ac:dyDescent="0.35">
      <c r="A1" s="365" t="s">
        <v>119</v>
      </c>
      <c r="B1" s="365"/>
      <c r="C1" s="365"/>
    </row>
    <row r="2" spans="1:3" ht="25.35" customHeight="1" x14ac:dyDescent="0.35">
      <c r="A2" s="365" t="str">
        <f>TEXT('Mid Semester B Contract Hire'!G6,"yyyy")&amp;"-"&amp;TEXT('Mid Semester B Contract Hire'!H6,"yyyy")&amp;" ACADEMIC YEAR"</f>
        <v>2014-2015 ACADEMIC YEAR</v>
      </c>
      <c r="B2" s="365"/>
      <c r="C2" s="365"/>
    </row>
    <row r="3" spans="1:3" ht="37.5" customHeight="1" x14ac:dyDescent="0.3">
      <c r="A3" s="366" t="s">
        <v>120</v>
      </c>
      <c r="B3" s="366"/>
      <c r="C3" s="366"/>
    </row>
    <row r="4" spans="1:3" s="87" customFormat="1" ht="32.85" customHeight="1" x14ac:dyDescent="0.3">
      <c r="A4" s="86" t="str">
        <f>CONCATENATE("FALL "&amp;TEXT('Mid Semester B Contract Hire'!G6,"yyyy")&amp;" SEMESTER")</f>
        <v>FALL 2014 SEMESTER</v>
      </c>
      <c r="C4" s="88" t="s">
        <v>121</v>
      </c>
    </row>
    <row r="5" spans="1:3" ht="21.4" customHeight="1" x14ac:dyDescent="0.25">
      <c r="B5" s="89" t="s">
        <v>151</v>
      </c>
    </row>
    <row r="6" spans="1:3" ht="15.6" customHeight="1" x14ac:dyDescent="0.25">
      <c r="A6" s="90" t="s">
        <v>97</v>
      </c>
      <c r="B6" s="251" t="str">
        <f>CONCATENATE("Faculty Report Date - "&amp;TEXT('Mid Semester B Contract Hire'!G4,"dddd, mmmm d, yyyy"))</f>
        <v>Faculty Report Date - Monday, August 18, 2014</v>
      </c>
      <c r="C6" s="253">
        <f>'Mid Semester B Contract Hire'!L9</f>
        <v>10</v>
      </c>
    </row>
    <row r="7" spans="1:3" ht="15.6" customHeight="1" x14ac:dyDescent="0.25">
      <c r="A7" s="90" t="s">
        <v>99</v>
      </c>
      <c r="B7" s="251" t="str">
        <f>CONCATENATE("Labor Day - "&amp;TEXT('Mid Semester B Contract Hire'!G10,"dddd, mmmm d, yyyy"))</f>
        <v>Labor Day - Monday, September 1, 2014</v>
      </c>
      <c r="C7" s="253">
        <f>'Mid Semester B Contract Hire'!L10</f>
        <v>21</v>
      </c>
    </row>
    <row r="8" spans="1:3" ht="15.6" customHeight="1" x14ac:dyDescent="0.25">
      <c r="A8" s="90" t="s">
        <v>101</v>
      </c>
      <c r="B8" s="251" t="str">
        <f>CONCATENATE("Nevada Day - "&amp;TEXT('Mid Semester B Contract Hire'!G11,"dddd, mmmm d, yyyy"))</f>
        <v>Nevada Day - Friday, October 31, 2014</v>
      </c>
      <c r="C8" s="253">
        <f>'Mid Semester B Contract Hire'!L11</f>
        <v>22</v>
      </c>
    </row>
    <row r="9" spans="1:3" ht="15.6" customHeight="1" x14ac:dyDescent="0.25">
      <c r="A9" s="90" t="s">
        <v>103</v>
      </c>
      <c r="B9" s="251" t="str">
        <f>CONCATENATE("Veterans Day - "&amp;TEXT('Mid Semester B Contract Hire'!G12,"dddd, mmmm d, yyyy"))</f>
        <v>Veterans Day - Tuesday, November 11, 2014</v>
      </c>
      <c r="C9" s="253">
        <f>'Mid Semester B Contract Hire'!L12</f>
        <v>17</v>
      </c>
    </row>
    <row r="10" spans="1:3" ht="14.45" customHeight="1" x14ac:dyDescent="0.25">
      <c r="A10" s="90"/>
      <c r="B10" s="251" t="str">
        <f>CONCATENATE("Thanksgiving - "&amp;TEXT('Mid Semester B Contract Hire'!G13,"dddd, mmmm d, yyyy"))</f>
        <v>Thanksgiving - Thursday, November 27, 2014</v>
      </c>
      <c r="C10" s="90"/>
    </row>
    <row r="11" spans="1:3" ht="14.45" customHeight="1" x14ac:dyDescent="0.25">
      <c r="A11" s="90"/>
      <c r="B11" s="251" t="str">
        <f>CONCATENATE("Family Day - "&amp;TEXT('Mid Semester B Contract Hire'!G14,"dddd, mmmm d, yyyy"))</f>
        <v>Family Day - Friday, November 28, 2014</v>
      </c>
      <c r="C11" s="90"/>
    </row>
    <row r="12" spans="1:3" ht="16.7" customHeight="1" x14ac:dyDescent="0.25">
      <c r="A12" s="115" t="s">
        <v>105</v>
      </c>
      <c r="B12" s="252" t="str">
        <f>CONCATENATE("Faculty Release Date - "&amp;TEXT('Mid Semester B Contract Hire'!H4,"dddd, mmmm d, yyyy"))</f>
        <v>Faculty Release Date - Friday, December 19, 2014</v>
      </c>
      <c r="C12" s="254">
        <f>'Mid Semester B Contract Hire'!L13</f>
        <v>15</v>
      </c>
    </row>
    <row r="13" spans="1:3" s="87" customFormat="1" ht="20.25" customHeight="1" x14ac:dyDescent="0.25">
      <c r="A13" s="367" t="s">
        <v>122</v>
      </c>
      <c r="B13" s="367"/>
      <c r="C13" s="91">
        <f>SUM(C6:C12)</f>
        <v>85</v>
      </c>
    </row>
    <row r="14" spans="1:3" ht="14.45" customHeight="1" x14ac:dyDescent="0.2"/>
    <row r="15" spans="1:3" ht="20.25" customHeight="1" x14ac:dyDescent="0.3">
      <c r="A15" s="86" t="str">
        <f>CONCATENATE("SPRING "&amp;TEXT('Mid Semester B Contract Hire'!H6,"yyyy")&amp;" SEMESTER")</f>
        <v>SPRING 2015 SEMESTER</v>
      </c>
      <c r="B15" s="87"/>
      <c r="C15" s="88" t="s">
        <v>121</v>
      </c>
    </row>
    <row r="16" spans="1:3" ht="26.65" customHeight="1" x14ac:dyDescent="0.25">
      <c r="B16" s="89" t="s">
        <v>151</v>
      </c>
    </row>
    <row r="17" spans="1:3" ht="15.6" customHeight="1" x14ac:dyDescent="0.25">
      <c r="A17" s="90" t="s">
        <v>107</v>
      </c>
      <c r="B17" s="251" t="str">
        <f>CONCATENATE("Faculty Report Date - "&amp;TEXT('Mid Semester B Contract Hire'!G5,"dddd, mmmm d, yyyy"))</f>
        <v>Faculty Report Date - Tuesday, January 13, 2015</v>
      </c>
      <c r="C17" s="253">
        <f>'Mid Semester B Contract Hire'!L14</f>
        <v>13</v>
      </c>
    </row>
    <row r="18" spans="1:3" ht="15.6" customHeight="1" x14ac:dyDescent="0.25">
      <c r="A18" s="90"/>
      <c r="B18" s="251" t="str">
        <f>CONCATENATE("Martin Luther King Day - "&amp;TEXT('Mid Semester B Contract Hire'!G17,"dddd, mmmm d, yyyy"))</f>
        <v>Martin Luther King Day - Monday, January 19, 2015</v>
      </c>
      <c r="C18" s="253"/>
    </row>
    <row r="19" spans="1:3" ht="15.6" customHeight="1" x14ac:dyDescent="0.25">
      <c r="A19" s="90" t="s">
        <v>109</v>
      </c>
      <c r="B19" s="251" t="str">
        <f>CONCATENATE("President's Day - "&amp;TEXT('Mid Semester B Contract Hire'!G18,"dddd, mmmm, d, yyyy"))</f>
        <v>President's Day - Monday, February, 16, 2015</v>
      </c>
      <c r="C19" s="253">
        <f>'Mid Semester B Contract Hire'!L15</f>
        <v>19</v>
      </c>
    </row>
    <row r="20" spans="1:3" ht="15.6" customHeight="1" x14ac:dyDescent="0.25">
      <c r="A20" s="90" t="s">
        <v>111</v>
      </c>
      <c r="B20" s="251" t="str">
        <f>CONCATENATE("Spring Break - "&amp;TEXT('Mid Semester B Contract Hire'!G19,"dddd, mmmm d")&amp;" - "&amp;TEXT('Mid Semester B Contract Hire'!G23,"dddd, mmmm d, yyyy"))</f>
        <v>Spring Break - Monday, March 16 - Friday, March 20, 2015</v>
      </c>
      <c r="C20" s="253">
        <f>'Mid Semester B Contract Hire'!L16</f>
        <v>17</v>
      </c>
    </row>
    <row r="21" spans="1:3" ht="15.6" customHeight="1" x14ac:dyDescent="0.25">
      <c r="A21" s="90" t="s">
        <v>113</v>
      </c>
      <c r="B21" s="251"/>
      <c r="C21" s="253">
        <f>'Mid Semester B Contract Hire'!L17</f>
        <v>22</v>
      </c>
    </row>
    <row r="22" spans="1:3" ht="15.6" customHeight="1" x14ac:dyDescent="0.25">
      <c r="A22" s="115" t="s">
        <v>115</v>
      </c>
      <c r="B22" s="252" t="str">
        <f>CONCATENATE("Faculty Release Date - "&amp;TEXT('Mid Semester B Contract Hire'!H5,"dddd, mmmm d, yyyy"))</f>
        <v>Faculty Release Date - Monday, May 18, 2015</v>
      </c>
      <c r="C22" s="254">
        <f>'Mid Semester B Contract Hire'!L18</f>
        <v>12</v>
      </c>
    </row>
    <row r="23" spans="1:3" s="87" customFormat="1" ht="20.25" customHeight="1" x14ac:dyDescent="0.25">
      <c r="A23" s="364" t="s">
        <v>123</v>
      </c>
      <c r="B23" s="364"/>
      <c r="C23" s="91">
        <f>SUM(C17:C22)</f>
        <v>83</v>
      </c>
    </row>
    <row r="24" spans="1:3" s="92" customFormat="1" ht="10.35" customHeight="1" x14ac:dyDescent="0.2">
      <c r="C24" s="93"/>
    </row>
    <row r="25" spans="1:3" s="90" customFormat="1" ht="16.149999999999999" customHeight="1" x14ac:dyDescent="0.25">
      <c r="A25" s="364" t="str">
        <f>CONCATENATE("TOTAL CONTRACTACTUAL DAYS FOR THE  "&amp;TEXT('Mid Semester B Contract Hire'!G6,"yyyy")&amp;"-"&amp;TEXT('Mid Semester B Contract Hire'!H6,"yyyy")&amp;" ACADEMIC YEAR:")</f>
        <v>TOTAL CONTRACTACTUAL DAYS FOR THE  2014-2015 ACADEMIC YEAR:</v>
      </c>
      <c r="B25" s="364"/>
      <c r="C25" s="94">
        <f>'Mid Semester B Contract Hire'!L20</f>
        <v>168</v>
      </c>
    </row>
    <row r="27" spans="1:3" ht="25.9" customHeight="1" x14ac:dyDescent="0.3">
      <c r="A27" s="362" t="s">
        <v>148</v>
      </c>
      <c r="B27" s="362"/>
      <c r="C27" s="362"/>
    </row>
    <row r="28" spans="1:3" ht="18.399999999999999" customHeight="1" x14ac:dyDescent="0.25">
      <c r="A28" s="363" t="s">
        <v>124</v>
      </c>
      <c r="B28" s="363"/>
      <c r="C28" s="363"/>
    </row>
    <row r="29" spans="1:3" ht="21.4" customHeight="1" x14ac:dyDescent="0.25">
      <c r="B29" s="95" t="s">
        <v>147</v>
      </c>
      <c r="C29" s="96" t="s">
        <v>125</v>
      </c>
    </row>
    <row r="30" spans="1:3" ht="15.6" customHeight="1" x14ac:dyDescent="0.25">
      <c r="A30" s="90" t="str">
        <f>CONCATENATE(TEXT('Mid Semester B Contract Hire'!I8,"mmmm d")&amp;"-"&amp;TEXT('Mid Semester B Contract Hire'!J8,"d, yyyy"))</f>
        <v>July 1-31, 2014</v>
      </c>
      <c r="B30" s="85" t="str">
        <f>CONCATENATE("Independence Day - "&amp;TEXT('Mid Semester B Contract Hire'!G9,"dddd, mmmm d, yyyy"))</f>
        <v>Independence Day - Friday, July 4, 2014</v>
      </c>
      <c r="C30" s="253">
        <f>'Mid Semester B Contract Hire'!K8</f>
        <v>22</v>
      </c>
    </row>
    <row r="31" spans="1:3" ht="15.6" customHeight="1" x14ac:dyDescent="0.25">
      <c r="A31" s="90" t="str">
        <f>CONCATENATE(TEXT('Mid Semester B Contract Hire'!I9,"mmmm d")&amp;"-"&amp;TEXT('Mid Semester B Contract Hire'!G4-1,"d, yyyy"))</f>
        <v>August 1-17, 2014</v>
      </c>
      <c r="C31" s="253">
        <f>'Mid Semester B Contract Hire'!K9</f>
        <v>11</v>
      </c>
    </row>
    <row r="32" spans="1:3" ht="15.6" customHeight="1" x14ac:dyDescent="0.25">
      <c r="A32" s="90" t="str">
        <f>CONCATENATE(TEXT('Mid Semester B Contract Hire'!H4+1,"mmmm d")&amp;"-"&amp;TEXT('Mid Semester B Contract Hire'!J13,"d, yyyy"))</f>
        <v>December 20-31, 2014</v>
      </c>
      <c r="B32" s="85" t="str">
        <f>CONCATENATE("Christmas - "&amp;TEXT('Mid Semester B Contract Hire'!G15,"dddd, mmmm d, yyyy"))</f>
        <v>Christmas - Thursday, December 25, 2014</v>
      </c>
      <c r="C32" s="253">
        <f>'Mid Semester B Contract Hire'!K13</f>
        <v>7</v>
      </c>
    </row>
    <row r="33" spans="1:3" ht="15.6" customHeight="1" x14ac:dyDescent="0.25">
      <c r="A33" s="90" t="str">
        <f>CONCATENATE(TEXT('Mid Semester B Contract Hire'!I14,"mmmm d")&amp;"-"&amp;TEXT('Mid Semester B Contract Hire'!G5-1,"d, yyyy"))</f>
        <v>January 1-12, 2015</v>
      </c>
      <c r="B33" s="85" t="str">
        <f>CONCATENATE("New Year's Day - "&amp;TEXT('Mid Semester B Contract Hire'!G16,"dddd, mmmm d, yyyy"))</f>
        <v>New Year's Day - Thursday, January 1, 2015</v>
      </c>
      <c r="C33" s="253">
        <f>'Mid Semester B Contract Hire'!K14</f>
        <v>7</v>
      </c>
    </row>
    <row r="34" spans="1:3" ht="16.149999999999999" customHeight="1" x14ac:dyDescent="0.25">
      <c r="A34" s="97" t="str">
        <f>CONCATENATE(TEXT('Mid Semester B Contract Hire'!G19,"mmmm d")&amp;"-"&amp;TEXT('Mid Semester B Contract Hire'!G23,"d, yyyy"))</f>
        <v>March 16-20, 2015</v>
      </c>
      <c r="B34" s="85" t="str">
        <f>CONCATENATE("Spring Break - "&amp;TEXT('Mid Semester B Contract Hire'!G19,"dddd, mmmm d")&amp;" - "&amp;TEXT('Mid Semester B Contract Hire'!G23,"dddd, mmmm d, yyyy"))</f>
        <v>Spring Break - Monday, March 16 - Friday, March 20, 2015</v>
      </c>
      <c r="C34" s="90">
        <v>5</v>
      </c>
    </row>
    <row r="35" spans="1:3" ht="15.6" customHeight="1" x14ac:dyDescent="0.25">
      <c r="A35" s="97" t="str">
        <f>CONCATENATE(TEXT('Mid Semester B Contract Hire'!H5+1,"mmmm d")&amp;"-"&amp;TEXT('Mid Semester B Contract Hire'!J18,"d, yyyy"))</f>
        <v>May 19-31, 2015</v>
      </c>
      <c r="B35" s="85" t="str">
        <f>CONCATENATE("Memorial Day - "&amp;TEXT('Mid Semester B Contract Hire'!G24,"dddd, mmmm d, yyyy"))</f>
        <v>Memorial Day - Monday, May 25, 2015</v>
      </c>
      <c r="C35" s="253">
        <f>'Mid Semester B Contract Hire'!K18</f>
        <v>8</v>
      </c>
    </row>
    <row r="36" spans="1:3" ht="15.6" customHeight="1" x14ac:dyDescent="0.25">
      <c r="A36" s="115" t="str">
        <f>CONCATENATE(TEXT('Mid Semester B Contract Hire'!I19,"mmmm d")&amp;"-"&amp;TEXT('Mid Semester B Contract Hire'!J19,"d, yyyy"))</f>
        <v>June 1-30, 2015</v>
      </c>
      <c r="B36" s="114"/>
      <c r="C36" s="254">
        <f>'Mid Semester B Contract Hire'!K19</f>
        <v>22</v>
      </c>
    </row>
    <row r="37" spans="1:3" s="90" customFormat="1" ht="20.25" customHeight="1" x14ac:dyDescent="0.25">
      <c r="A37" s="364" t="s">
        <v>149</v>
      </c>
      <c r="B37" s="364"/>
      <c r="C37" s="98">
        <f>SUM(C30:C36)</f>
        <v>82</v>
      </c>
    </row>
  </sheetData>
  <sheetProtection password="CA2B" sheet="1" objects="1" scenarios="1"/>
  <mergeCells count="9">
    <mergeCell ref="A27:C27"/>
    <mergeCell ref="A28:C28"/>
    <mergeCell ref="A37:B37"/>
    <mergeCell ref="A1:C1"/>
    <mergeCell ref="A2:C2"/>
    <mergeCell ref="A3:C3"/>
    <mergeCell ref="A13:B13"/>
    <mergeCell ref="A23:B23"/>
    <mergeCell ref="A25:B25"/>
  </mergeCells>
  <printOptions horizontalCentered="1"/>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2"/>
  <sheetViews>
    <sheetView zoomScaleNormal="100" workbookViewId="0">
      <selection activeCell="A2" sqref="A2:D2"/>
    </sheetView>
  </sheetViews>
  <sheetFormatPr defaultColWidth="8.85546875" defaultRowHeight="18.75" x14ac:dyDescent="0.3"/>
  <cols>
    <col min="1" max="1" width="20.28515625" style="6" customWidth="1"/>
    <col min="2" max="2" width="40" style="4" customWidth="1"/>
    <col min="3" max="3" width="21.7109375" style="4" customWidth="1"/>
    <col min="4" max="4" width="19.5703125" style="4" customWidth="1"/>
    <col min="5" max="5" width="5.28515625" style="7" customWidth="1"/>
    <col min="6" max="6" width="29.85546875" style="5" hidden="1" customWidth="1"/>
    <col min="7" max="7" width="10.5703125" style="6" hidden="1" customWidth="1"/>
    <col min="8" max="8" width="9.85546875" style="6" hidden="1" customWidth="1"/>
    <col min="9" max="10" width="8.85546875" style="6" hidden="1" customWidth="1"/>
    <col min="11" max="13" width="8.85546875" style="6" customWidth="1"/>
    <col min="14" max="16384" width="8.85546875" style="6"/>
  </cols>
  <sheetData>
    <row r="1" spans="1:10" ht="32.85" customHeight="1" thickBot="1" x14ac:dyDescent="0.55000000000000004">
      <c r="A1" s="283" t="s">
        <v>37</v>
      </c>
      <c r="B1" s="284"/>
      <c r="C1" s="284"/>
      <c r="D1" s="285"/>
      <c r="F1" s="319" t="s">
        <v>150</v>
      </c>
      <c r="G1" s="320"/>
      <c r="H1" s="320"/>
      <c r="I1" s="320"/>
      <c r="J1" s="321"/>
    </row>
    <row r="2" spans="1:10" ht="27.2" customHeight="1" thickBot="1" x14ac:dyDescent="0.45">
      <c r="A2" s="286" t="s">
        <v>36</v>
      </c>
      <c r="B2" s="287"/>
      <c r="C2" s="287"/>
      <c r="D2" s="288"/>
      <c r="F2" s="316" t="s">
        <v>85</v>
      </c>
      <c r="G2" s="317"/>
      <c r="H2" s="317"/>
      <c r="I2" s="317"/>
      <c r="J2" s="318"/>
    </row>
    <row r="3" spans="1:10" ht="23.1" customHeight="1" x14ac:dyDescent="0.3">
      <c r="A3" s="289" t="str">
        <f>TEXT(C15,"mm/dd/yyyy")&amp;" - "&amp;TEXT(C16,"mm/dd/yyyy")</f>
        <v>01/00/1900 - 01/00/1900</v>
      </c>
      <c r="B3" s="290"/>
      <c r="C3" s="290"/>
      <c r="D3" s="291"/>
      <c r="F3" s="163"/>
      <c r="G3" s="164" t="s">
        <v>86</v>
      </c>
      <c r="H3" s="165" t="s">
        <v>87</v>
      </c>
      <c r="I3" s="166" t="s">
        <v>88</v>
      </c>
      <c r="J3" s="167" t="s">
        <v>89</v>
      </c>
    </row>
    <row r="4" spans="1:10" ht="27" customHeight="1" x14ac:dyDescent="0.3">
      <c r="A4" s="20"/>
      <c r="B4" s="205"/>
      <c r="C4" s="205"/>
      <c r="D4" s="13"/>
      <c r="F4" s="128" t="s">
        <v>90</v>
      </c>
      <c r="G4" s="168">
        <f>'Mid Semester B Contract Hire'!G4</f>
        <v>41869</v>
      </c>
      <c r="H4" s="169">
        <f>'Mid Semester B Contract Hire'!H4</f>
        <v>41992</v>
      </c>
      <c r="I4" s="127">
        <f>NETWORKDAYS(G4,H4,HOLIDAY)</f>
        <v>85</v>
      </c>
      <c r="J4" s="129">
        <f>IF(AND($C$15&gt;=G4,$C$15&lt;=H4),NETWORKDAYS($C$15,H4,HOLIDAY),I4)</f>
        <v>85</v>
      </c>
    </row>
    <row r="5" spans="1:10" ht="20.25" customHeight="1" x14ac:dyDescent="0.3">
      <c r="A5" s="80" t="s">
        <v>38</v>
      </c>
      <c r="B5" s="31"/>
      <c r="C5" s="81" t="s">
        <v>84</v>
      </c>
      <c r="D5" s="31"/>
      <c r="F5" s="128" t="s">
        <v>91</v>
      </c>
      <c r="G5" s="168">
        <f>'Mid Semester B Contract Hire'!G5</f>
        <v>42017</v>
      </c>
      <c r="H5" s="171">
        <f>'Mid Semester B Contract Hire'!H5</f>
        <v>42142</v>
      </c>
      <c r="I5" s="127">
        <f>NETWORKDAYS(G5,H5,HOLIDAY)</f>
        <v>83</v>
      </c>
      <c r="J5" s="129">
        <f>IF(C14&gt;=G5,NETWORKDAYS(C14,H5,HOLIDAY),NETWORKDAYS(G5,H5,HOLIDAY))</f>
        <v>83</v>
      </c>
    </row>
    <row r="6" spans="1:10" ht="19.7" customHeight="1" x14ac:dyDescent="0.3">
      <c r="A6" s="80" t="s">
        <v>39</v>
      </c>
      <c r="B6" s="30"/>
      <c r="C6" s="182" t="s">
        <v>141</v>
      </c>
      <c r="D6" s="31"/>
      <c r="F6" s="128" t="s">
        <v>92</v>
      </c>
      <c r="G6" s="170">
        <f>'Mid Semester B Contract Hire'!G6</f>
        <v>41821</v>
      </c>
      <c r="H6" s="171">
        <f>'Mid Semester B Contract Hire'!H6</f>
        <v>42185</v>
      </c>
      <c r="I6" s="130">
        <f>SUM(I4:I5)</f>
        <v>168</v>
      </c>
      <c r="J6" s="131">
        <f>SUM(J4:J5)</f>
        <v>168</v>
      </c>
    </row>
    <row r="7" spans="1:10" ht="19.149999999999999" customHeight="1" x14ac:dyDescent="0.3">
      <c r="A7" s="80" t="s">
        <v>40</v>
      </c>
      <c r="B7" s="31"/>
      <c r="C7" s="182" t="s">
        <v>142</v>
      </c>
      <c r="D7" s="281" t="s">
        <v>8</v>
      </c>
    </row>
    <row r="8" spans="1:10" ht="20.25" customHeight="1" x14ac:dyDescent="0.3">
      <c r="A8" s="80" t="s">
        <v>44</v>
      </c>
      <c r="B8" s="31"/>
      <c r="C8" s="206"/>
      <c r="D8" s="257" t="s">
        <v>18</v>
      </c>
    </row>
    <row r="9" spans="1:10" ht="18.399999999999999" customHeight="1" x14ac:dyDescent="0.3">
      <c r="A9" s="80" t="s">
        <v>41</v>
      </c>
      <c r="B9" s="31"/>
      <c r="C9" s="207"/>
      <c r="D9" s="183"/>
    </row>
    <row r="10" spans="1:10" ht="17.25" customHeight="1" x14ac:dyDescent="0.3">
      <c r="A10" s="80" t="s">
        <v>42</v>
      </c>
      <c r="B10" s="32"/>
      <c r="C10" s="208"/>
      <c r="D10" s="160"/>
    </row>
    <row r="11" spans="1:10" ht="18.399999999999999" customHeight="1" x14ac:dyDescent="0.3">
      <c r="A11" s="80" t="s">
        <v>43</v>
      </c>
      <c r="B11" s="30"/>
      <c r="C11" s="208"/>
      <c r="D11" s="160"/>
    </row>
    <row r="12" spans="1:10" ht="10.9" customHeight="1" thickBot="1" x14ac:dyDescent="0.3">
      <c r="A12" s="295"/>
      <c r="B12" s="296"/>
      <c r="C12" s="296"/>
      <c r="D12" s="297"/>
    </row>
    <row r="13" spans="1:10" ht="24.2" customHeight="1" thickBot="1" x14ac:dyDescent="0.4">
      <c r="A13" s="292" t="s">
        <v>45</v>
      </c>
      <c r="B13" s="293"/>
      <c r="C13" s="293"/>
      <c r="D13" s="294"/>
      <c r="F13" s="191" t="s">
        <v>60</v>
      </c>
      <c r="G13" s="192">
        <f>ROUND(C22/12,2)+ROUND(C25/12,2)</f>
        <v>0</v>
      </c>
    </row>
    <row r="14" spans="1:10" ht="8.65" customHeight="1" x14ac:dyDescent="0.3">
      <c r="A14" s="20"/>
      <c r="B14" s="205"/>
      <c r="C14" s="205"/>
      <c r="D14" s="13"/>
    </row>
    <row r="15" spans="1:10" ht="20.25" customHeight="1" x14ac:dyDescent="0.3">
      <c r="A15" s="20"/>
      <c r="B15" s="99" t="s">
        <v>46</v>
      </c>
      <c r="C15" s="3"/>
      <c r="D15" s="21"/>
      <c r="E15" s="77"/>
      <c r="F15" s="9" t="s">
        <v>26</v>
      </c>
      <c r="G15" s="10">
        <f>NETWORKDAYS(DATE(YEAR(C15),MONTH(C15),1),DATE(YEAR(C15),MONTH(C15)+1,0))</f>
        <v>22</v>
      </c>
    </row>
    <row r="16" spans="1:10" ht="20.25" customHeight="1" x14ac:dyDescent="0.25">
      <c r="A16" s="20"/>
      <c r="B16" s="99" t="s">
        <v>47</v>
      </c>
      <c r="C16" s="3"/>
      <c r="D16" s="303" t="str">
        <f>IF(C16&lt;C15,"Date entered is less than start date","")</f>
        <v/>
      </c>
      <c r="E16" s="77"/>
      <c r="F16" s="9" t="s">
        <v>27</v>
      </c>
      <c r="G16" s="10">
        <f>NETWORKDAYS(DATE(YEAR(C16),MONTH(C16),1),DATE(YEAR(C16),MONTH(C16)+1,0))</f>
        <v>22</v>
      </c>
    </row>
    <row r="17" spans="1:8" ht="20.25" customHeight="1" x14ac:dyDescent="0.25">
      <c r="A17" s="20"/>
      <c r="B17" s="100" t="s">
        <v>22</v>
      </c>
      <c r="C17" s="27">
        <v>0</v>
      </c>
      <c r="D17" s="303"/>
      <c r="F17" s="9" t="s">
        <v>28</v>
      </c>
      <c r="G17" s="10">
        <f>(YEAR(DATE(YEAR(C16),MONTH(C16),1)-1)-YEAR(DATE(YEAR(C15),MONTH(C15)+1,0)))*12+MONTH(DATE(YEAR(C16),MONTH(C16),1)-1)-MONTH(DATE(YEAR(C15),MONTH(C15)+1,0))</f>
        <v>0</v>
      </c>
    </row>
    <row r="18" spans="1:8" ht="20.25" customHeight="1" x14ac:dyDescent="0.3">
      <c r="A18" s="20"/>
      <c r="B18" s="19" t="s">
        <v>19</v>
      </c>
      <c r="C18" s="28">
        <v>0</v>
      </c>
      <c r="D18" s="23"/>
      <c r="E18" s="8"/>
      <c r="F18" s="9" t="s">
        <v>33</v>
      </c>
      <c r="G18" s="10">
        <f>NETWORKDAYS(C15,G19)</f>
        <v>22</v>
      </c>
    </row>
    <row r="19" spans="1:8" ht="20.25" hidden="1" customHeight="1" x14ac:dyDescent="0.3">
      <c r="A19" s="20"/>
      <c r="B19" s="195" t="s">
        <v>20</v>
      </c>
      <c r="C19" s="16">
        <f>IF(D8="Yes",0.975,1)</f>
        <v>1</v>
      </c>
      <c r="D19" s="13"/>
      <c r="E19" s="8"/>
      <c r="F19" s="9" t="s">
        <v>34</v>
      </c>
      <c r="G19" s="11">
        <f>DATE(YEAR(C15),MONTH(C15)+1,0)</f>
        <v>31</v>
      </c>
    </row>
    <row r="20" spans="1:8" ht="20.25" hidden="1" customHeight="1" x14ac:dyDescent="0.3">
      <c r="A20" s="20"/>
      <c r="B20" s="195" t="s">
        <v>21</v>
      </c>
      <c r="C20" s="17">
        <f>IF(D8="Yes",ROUND(C17*-0.025,2),0)</f>
        <v>0</v>
      </c>
      <c r="D20" s="24"/>
      <c r="E20" s="8"/>
      <c r="F20" s="9" t="s">
        <v>29</v>
      </c>
      <c r="G20" s="10">
        <f>NETWORKDAYS(G21,C16)</f>
        <v>0</v>
      </c>
    </row>
    <row r="21" spans="1:8" ht="20.25" hidden="1" customHeight="1" x14ac:dyDescent="0.3">
      <c r="A21" s="20"/>
      <c r="B21" s="195"/>
      <c r="C21" s="213">
        <f>IF(ISNA(VLOOKUP(D7,RET_PLAN,2,FALSE)),"1",VLOOKUP(D7,RET_PLAN,2,FALSE))</f>
        <v>1</v>
      </c>
      <c r="D21" s="22"/>
      <c r="E21" s="8"/>
      <c r="F21" s="9" t="s">
        <v>35</v>
      </c>
      <c r="G21" s="11">
        <f>DATE(YEAR(C16),MONTH(C16),1)</f>
        <v>1</v>
      </c>
    </row>
    <row r="22" spans="1:8" ht="20.25" hidden="1" customHeight="1" x14ac:dyDescent="0.25">
      <c r="A22" s="371" t="str">
        <f>CONCATENATE("Base pay"&amp;IF(D7="8",", EPR reduced",IF(D7="2"," EPR reduced",""))&amp;" at "&amp;TEXT('B Term Mid Semester'!C18,"#%")&amp;" FTE:")</f>
        <v>Base pay at % FTE:</v>
      </c>
      <c r="B22" s="372"/>
      <c r="C22" s="177">
        <f>ROUND(((C17*C18)*C19)*C21,2)</f>
        <v>0</v>
      </c>
      <c r="D22" s="212"/>
      <c r="E22" s="8"/>
      <c r="F22" s="9" t="s">
        <v>30</v>
      </c>
      <c r="G22" s="12">
        <f>((G13/G15)*G18)</f>
        <v>0</v>
      </c>
    </row>
    <row r="23" spans="1:8" ht="20.25" customHeight="1" x14ac:dyDescent="0.25">
      <c r="A23" s="20"/>
      <c r="B23" s="19" t="s">
        <v>144</v>
      </c>
      <c r="C23" s="29">
        <v>0</v>
      </c>
      <c r="D23" s="373"/>
      <c r="E23" s="8"/>
      <c r="F23" s="9" t="s">
        <v>31</v>
      </c>
      <c r="G23" s="12">
        <f>G13*G17</f>
        <v>0</v>
      </c>
    </row>
    <row r="24" spans="1:8" ht="20.25" customHeight="1" x14ac:dyDescent="0.25">
      <c r="A24" s="20"/>
      <c r="B24" s="274" t="s">
        <v>188</v>
      </c>
      <c r="C24" s="29">
        <v>0</v>
      </c>
      <c r="D24" s="373"/>
      <c r="E24" s="8"/>
      <c r="F24" s="9" t="s">
        <v>32</v>
      </c>
      <c r="G24" s="12">
        <f>G13/G16*G20</f>
        <v>0</v>
      </c>
      <c r="H24" s="178"/>
    </row>
    <row r="25" spans="1:8" ht="20.25" hidden="1" customHeight="1" x14ac:dyDescent="0.3">
      <c r="A25" s="20"/>
      <c r="B25" s="195" t="s">
        <v>23</v>
      </c>
      <c r="C25" s="25">
        <f>ROUND((C23+C24)*C21,2)</f>
        <v>0</v>
      </c>
      <c r="D25" s="13"/>
      <c r="E25" s="8"/>
      <c r="F25" s="78" t="s">
        <v>83</v>
      </c>
      <c r="G25" s="79">
        <f>SUM(G22:G24)</f>
        <v>0</v>
      </c>
      <c r="H25" s="101"/>
    </row>
    <row r="26" spans="1:8" ht="20.25" customHeight="1" x14ac:dyDescent="0.25">
      <c r="A26" s="185"/>
      <c r="B26" s="210" t="str">
        <f>IF(D7="8","Employee Paid Retirement (EPR) Factor: ",IF(D7="2","Employee Paid Retirement (EPR) Factor: ",IF(D7="D","Employee Paid Retirement (EPR) Factor: ","")))</f>
        <v/>
      </c>
      <c r="C26" s="211" t="str">
        <f>IF(D7="8",C21, IF(D7="2",C21, IF(D7="D",C21," ")))</f>
        <v xml:space="preserve"> </v>
      </c>
      <c r="D26" s="184"/>
      <c r="E26" s="8"/>
      <c r="F26" s="179" t="s">
        <v>145</v>
      </c>
      <c r="G26" s="101">
        <f>IF(SUM(C23+C24)&gt;0,ROUND((ROUND(C25/12,2)/G15)*G18,2)+(ROUND(C25/12,2)*G17)+ROUND((ROUND(C25/12,2)/G16)*G20,2),0)</f>
        <v>0</v>
      </c>
    </row>
    <row r="27" spans="1:8" ht="19.7" hidden="1" customHeight="1" x14ac:dyDescent="0.25">
      <c r="A27" s="201"/>
      <c r="B27" s="202" t="s">
        <v>152</v>
      </c>
      <c r="C27" s="203" t="str">
        <f>IF(AND(C16&gt;=G4,C16&lt;=H4),"Fall","Spring")</f>
        <v>Spring</v>
      </c>
      <c r="D27" s="204"/>
      <c r="E27" s="8"/>
    </row>
    <row r="28" spans="1:8" ht="19.149999999999999" hidden="1" customHeight="1" x14ac:dyDescent="0.25">
      <c r="A28" s="201"/>
      <c r="B28" s="202"/>
      <c r="C28" s="203"/>
      <c r="D28" s="204"/>
      <c r="E28" s="8"/>
    </row>
    <row r="29" spans="1:8" ht="17.850000000000001" customHeight="1" x14ac:dyDescent="0.25">
      <c r="A29" s="322" t="s">
        <v>136</v>
      </c>
      <c r="B29" s="323"/>
      <c r="C29" s="122">
        <f>(C22/2)</f>
        <v>0</v>
      </c>
      <c r="D29" s="193"/>
      <c r="E29" s="8"/>
    </row>
    <row r="30" spans="1:8" ht="17.850000000000001" customHeight="1" x14ac:dyDescent="0.25">
      <c r="A30" s="322" t="str">
        <f>CONCATENATE("Contractual Days in "&amp;C27&amp;" Semester ")</f>
        <v xml:space="preserve">Contractual Days in Spring Semester </v>
      </c>
      <c r="B30" s="323"/>
      <c r="C30" s="123">
        <f>IF(C27="Fall",I4,IF(C27="Spring",I5,0.000001))</f>
        <v>83</v>
      </c>
      <c r="D30" s="193"/>
      <c r="E30" s="8"/>
    </row>
    <row r="31" spans="1:8" ht="17.850000000000001" customHeight="1" x14ac:dyDescent="0.25">
      <c r="A31" s="322" t="s">
        <v>128</v>
      </c>
      <c r="B31" s="323"/>
      <c r="C31" s="122">
        <f>C29/C30</f>
        <v>0</v>
      </c>
      <c r="D31" s="198"/>
      <c r="E31" s="8"/>
    </row>
    <row r="32" spans="1:8" ht="17.850000000000001" customHeight="1" x14ac:dyDescent="0.25">
      <c r="A32" s="322" t="str">
        <f>CONCATENATE("Number of Days Worked in "&amp;C27&amp;" Semester ")</f>
        <v xml:space="preserve">Number of Days Worked in Spring Semester </v>
      </c>
      <c r="B32" s="323"/>
      <c r="C32" s="214">
        <f>IF(AND(C27="Fall",C16&lt;H4),NETWORKDAYS(G4,C16,HOLIDAY),IF(AND(C27="Spring",C16&lt;H5),NETWORKDAYS(G5,C16,HOLIDAY)))</f>
        <v>-30004</v>
      </c>
      <c r="D32" s="198"/>
    </row>
    <row r="33" spans="1:7" ht="17.850000000000001" customHeight="1" x14ac:dyDescent="0.25">
      <c r="A33" s="322" t="str">
        <f>CONCATENATE(C27&amp;" Semester Pay (Days Worked x Daily Rate) ")</f>
        <v xml:space="preserve">Spring Semester Pay (Days Worked x Daily Rate) </v>
      </c>
      <c r="B33" s="323"/>
      <c r="C33" s="122">
        <f>SUM(C31*C32)</f>
        <v>0</v>
      </c>
      <c r="D33" s="198"/>
    </row>
    <row r="34" spans="1:7" ht="20.25" customHeight="1" x14ac:dyDescent="0.3">
      <c r="A34" s="301"/>
      <c r="B34" s="302"/>
      <c r="C34" s="75"/>
      <c r="D34" s="198"/>
    </row>
    <row r="35" spans="1:7" ht="17.850000000000001" customHeight="1" x14ac:dyDescent="0.25">
      <c r="A35" s="322" t="s">
        <v>153</v>
      </c>
      <c r="B35" s="323"/>
      <c r="C35" s="18">
        <f>IF(C27="Fall",C33,IF(C15&lt;H4,C29,0))</f>
        <v>0</v>
      </c>
      <c r="D35" s="374"/>
      <c r="F35" s="370"/>
      <c r="G35" s="370"/>
    </row>
    <row r="36" spans="1:7" ht="17.850000000000001" customHeight="1" x14ac:dyDescent="0.25">
      <c r="A36" s="322" t="s">
        <v>154</v>
      </c>
      <c r="B36" s="323"/>
      <c r="C36" s="18">
        <f>IF(C27="Spring",C33,0)</f>
        <v>0</v>
      </c>
      <c r="D36" s="374"/>
      <c r="F36" s="199"/>
      <c r="G36" s="200"/>
    </row>
    <row r="37" spans="1:7" ht="17.850000000000001" customHeight="1" thickBot="1" x14ac:dyDescent="0.3">
      <c r="A37" s="322" t="s">
        <v>155</v>
      </c>
      <c r="B37" s="323"/>
      <c r="C37" s="74">
        <f>G26</f>
        <v>0</v>
      </c>
      <c r="D37" s="194"/>
    </row>
    <row r="38" spans="1:7" ht="17.850000000000001" customHeight="1" thickBot="1" x14ac:dyDescent="0.3">
      <c r="A38" s="196"/>
      <c r="B38" s="197" t="s">
        <v>156</v>
      </c>
      <c r="C38" s="215">
        <f>SUM(C35:C37)</f>
        <v>0</v>
      </c>
      <c r="D38" s="194"/>
    </row>
    <row r="39" spans="1:7" ht="11.65" customHeight="1" thickBot="1" x14ac:dyDescent="0.3">
      <c r="A39" s="196"/>
      <c r="B39" s="197"/>
      <c r="C39" s="209"/>
      <c r="D39" s="194"/>
    </row>
    <row r="40" spans="1:7" ht="17.850000000000001" customHeight="1" thickBot="1" x14ac:dyDescent="0.35">
      <c r="A40" s="326" t="s">
        <v>189</v>
      </c>
      <c r="B40" s="327"/>
      <c r="C40" s="217">
        <v>0</v>
      </c>
      <c r="D40" s="13"/>
    </row>
    <row r="41" spans="1:7" ht="21.95" customHeight="1" x14ac:dyDescent="0.3">
      <c r="A41" s="368" t="str">
        <f>IF(C40&gt;SUM(C35+C36+C37),"Amount employee must pay back to UNR:","Amount owed to employee:")</f>
        <v>Amount owed to employee:</v>
      </c>
      <c r="B41" s="369"/>
      <c r="C41" s="216">
        <f>IF(C40&gt;C38,C40-C38,C38-C40)</f>
        <v>0</v>
      </c>
      <c r="D41" s="13"/>
    </row>
    <row r="42" spans="1:7" ht="19.5" thickBot="1" x14ac:dyDescent="0.35">
      <c r="A42" s="26"/>
      <c r="B42" s="14"/>
      <c r="C42" s="14"/>
      <c r="D42" s="15"/>
    </row>
  </sheetData>
  <sheetProtection password="CA2B" sheet="1" objects="1" scenarios="1"/>
  <mergeCells count="23">
    <mergeCell ref="A35:B35"/>
    <mergeCell ref="A40:B40"/>
    <mergeCell ref="D35:D36"/>
    <mergeCell ref="A2:D2"/>
    <mergeCell ref="A3:D3"/>
    <mergeCell ref="A12:D12"/>
    <mergeCell ref="A13:D13"/>
    <mergeCell ref="F1:J1"/>
    <mergeCell ref="F2:J2"/>
    <mergeCell ref="A41:B41"/>
    <mergeCell ref="F35:G35"/>
    <mergeCell ref="A37:B37"/>
    <mergeCell ref="A22:B22"/>
    <mergeCell ref="D23:D24"/>
    <mergeCell ref="A33:B33"/>
    <mergeCell ref="A34:B34"/>
    <mergeCell ref="A29:B29"/>
    <mergeCell ref="A30:B30"/>
    <mergeCell ref="A31:B31"/>
    <mergeCell ref="A32:B32"/>
    <mergeCell ref="D16:D17"/>
    <mergeCell ref="A1:D1"/>
    <mergeCell ref="A36:B36"/>
  </mergeCells>
  <dataValidations count="3">
    <dataValidation type="list" allowBlank="1" showInputMessage="1" showErrorMessage="1" sqref="D7">
      <formula1>RET_CODE</formula1>
    </dataValidation>
    <dataValidation type="date" allowBlank="1" showInputMessage="1" showErrorMessage="1" error="Date is outside current fiscal year." sqref="C16">
      <formula1>F36</formula1>
      <formula2>G36</formula2>
    </dataValidation>
    <dataValidation type="date" allowBlank="1" showInputMessage="1" showErrorMessage="1" error="Date entered is outside current fiscal year." sqref="C15">
      <formula1>F36</formula1>
      <formula2>G36</formula2>
    </dataValidation>
  </dataValidations>
  <printOptions horizontalCentered="1"/>
  <pageMargins left="0.7" right="0.4" top="0.75" bottom="0.75" header="0.3" footer="0.3"/>
  <pageSetup scale="97"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I6" sqref="I6"/>
    </sheetView>
  </sheetViews>
  <sheetFormatPr defaultRowHeight="12.75" x14ac:dyDescent="0.2"/>
  <cols>
    <col min="1" max="1" width="12.7109375" style="1" bestFit="1" customWidth="1"/>
    <col min="2" max="2" width="12.7109375" style="2" bestFit="1" customWidth="1"/>
    <col min="3" max="3" width="11.42578125" style="2" bestFit="1" customWidth="1"/>
    <col min="5" max="5" width="24.5703125" customWidth="1"/>
    <col min="6" max="6" width="16.7109375" customWidth="1"/>
  </cols>
  <sheetData>
    <row r="1" spans="1:6" x14ac:dyDescent="0.2">
      <c r="A1" s="263" t="s">
        <v>0</v>
      </c>
      <c r="B1" s="264" t="s">
        <v>1</v>
      </c>
      <c r="C1" s="264" t="s">
        <v>2</v>
      </c>
      <c r="E1" s="268" t="s">
        <v>171</v>
      </c>
      <c r="F1" s="268" t="s">
        <v>176</v>
      </c>
    </row>
    <row r="2" spans="1:6" x14ac:dyDescent="0.2">
      <c r="A2" s="265" t="s">
        <v>3</v>
      </c>
      <c r="B2" s="266">
        <v>1</v>
      </c>
      <c r="C2" s="267">
        <f>1-B2</f>
        <v>0</v>
      </c>
      <c r="E2" s="269" t="s">
        <v>172</v>
      </c>
      <c r="F2" s="269" t="s">
        <v>173</v>
      </c>
    </row>
    <row r="3" spans="1:6" x14ac:dyDescent="0.2">
      <c r="A3" s="265" t="s">
        <v>4</v>
      </c>
      <c r="B3" s="266">
        <v>0.82744300000000004</v>
      </c>
      <c r="C3" s="267">
        <f t="shared" ref="C3:C15" si="0">1-B3</f>
        <v>0.17255699999999996</v>
      </c>
      <c r="E3" s="269" t="s">
        <v>174</v>
      </c>
      <c r="F3" s="269" t="s">
        <v>175</v>
      </c>
    </row>
    <row r="4" spans="1:6" x14ac:dyDescent="0.2">
      <c r="A4" s="265" t="s">
        <v>5</v>
      </c>
      <c r="B4" s="266">
        <v>1</v>
      </c>
      <c r="C4" s="267">
        <f t="shared" si="0"/>
        <v>0</v>
      </c>
    </row>
    <row r="5" spans="1:6" x14ac:dyDescent="0.2">
      <c r="A5" s="265" t="s">
        <v>6</v>
      </c>
      <c r="B5" s="266">
        <v>1</v>
      </c>
      <c r="C5" s="267">
        <f t="shared" si="0"/>
        <v>0</v>
      </c>
      <c r="E5" s="270" t="s">
        <v>177</v>
      </c>
    </row>
    <row r="6" spans="1:6" x14ac:dyDescent="0.2">
      <c r="A6" s="265" t="s">
        <v>7</v>
      </c>
      <c r="B6" s="266">
        <v>1</v>
      </c>
      <c r="C6" s="267">
        <f t="shared" si="0"/>
        <v>0</v>
      </c>
      <c r="E6" s="375" t="s">
        <v>178</v>
      </c>
    </row>
    <row r="7" spans="1:6" x14ac:dyDescent="0.2">
      <c r="A7" s="265" t="s">
        <v>8</v>
      </c>
      <c r="B7" s="266">
        <v>1</v>
      </c>
      <c r="C7" s="267">
        <f t="shared" si="0"/>
        <v>0</v>
      </c>
      <c r="E7" s="375"/>
    </row>
    <row r="8" spans="1:6" x14ac:dyDescent="0.2">
      <c r="A8" s="265" t="s">
        <v>9</v>
      </c>
      <c r="B8" s="266">
        <v>0.88593999999999995</v>
      </c>
      <c r="C8" s="267">
        <f t="shared" si="0"/>
        <v>0.11406000000000005</v>
      </c>
      <c r="E8" s="375"/>
    </row>
    <row r="9" spans="1:6" x14ac:dyDescent="0.2">
      <c r="A9" s="265" t="s">
        <v>10</v>
      </c>
      <c r="B9" s="266">
        <v>1</v>
      </c>
      <c r="C9" s="267">
        <f t="shared" si="0"/>
        <v>0</v>
      </c>
      <c r="E9" s="375"/>
    </row>
    <row r="10" spans="1:6" x14ac:dyDescent="0.2">
      <c r="A10" s="265" t="s">
        <v>11</v>
      </c>
      <c r="B10" s="266">
        <v>1</v>
      </c>
      <c r="C10" s="267">
        <f t="shared" si="0"/>
        <v>0</v>
      </c>
    </row>
    <row r="11" spans="1:6" x14ac:dyDescent="0.2">
      <c r="A11" s="265" t="s">
        <v>12</v>
      </c>
      <c r="B11" s="266">
        <v>0.88593999999999995</v>
      </c>
      <c r="C11" s="267">
        <f t="shared" si="0"/>
        <v>0.11406000000000005</v>
      </c>
    </row>
    <row r="12" spans="1:6" x14ac:dyDescent="0.2">
      <c r="A12" s="265" t="s">
        <v>13</v>
      </c>
      <c r="B12" s="266">
        <v>1</v>
      </c>
      <c r="C12" s="267">
        <f t="shared" si="0"/>
        <v>0</v>
      </c>
    </row>
    <row r="13" spans="1:6" x14ac:dyDescent="0.2">
      <c r="A13" s="265" t="s">
        <v>14</v>
      </c>
      <c r="B13" s="266">
        <v>1</v>
      </c>
      <c r="C13" s="267">
        <f t="shared" si="0"/>
        <v>0</v>
      </c>
    </row>
    <row r="14" spans="1:6" x14ac:dyDescent="0.2">
      <c r="A14" s="265" t="s">
        <v>15</v>
      </c>
      <c r="B14" s="266">
        <v>1</v>
      </c>
      <c r="C14" s="267">
        <f t="shared" si="0"/>
        <v>0</v>
      </c>
    </row>
    <row r="15" spans="1:6" x14ac:dyDescent="0.2">
      <c r="A15" s="265" t="s">
        <v>16</v>
      </c>
      <c r="B15" s="266">
        <v>1</v>
      </c>
      <c r="C15" s="267">
        <f t="shared" si="0"/>
        <v>0</v>
      </c>
    </row>
  </sheetData>
  <sheetProtection password="CA2B" sheet="1" objects="1" scenarios="1"/>
  <mergeCells count="1">
    <mergeCell ref="E6:E9"/>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A8" sqref="A8"/>
    </sheetView>
  </sheetViews>
  <sheetFormatPr defaultRowHeight="15.75" x14ac:dyDescent="0.2"/>
  <cols>
    <col min="1" max="1" width="147.28515625" style="276" customWidth="1"/>
  </cols>
  <sheetData>
    <row r="1" spans="1:1" ht="57" customHeight="1" x14ac:dyDescent="0.2">
      <c r="A1" s="277" t="s">
        <v>186</v>
      </c>
    </row>
    <row r="2" spans="1:1" ht="47.25" customHeight="1" x14ac:dyDescent="0.2">
      <c r="A2" s="278" t="s">
        <v>183</v>
      </c>
    </row>
    <row r="3" spans="1:1" ht="105" customHeight="1" x14ac:dyDescent="0.2">
      <c r="A3" s="276" t="s">
        <v>190</v>
      </c>
    </row>
    <row r="4" spans="1:1" ht="31.5" customHeight="1" x14ac:dyDescent="0.2">
      <c r="A4" s="276" t="s">
        <v>184</v>
      </c>
    </row>
    <row r="5" spans="1:1" ht="50.25" customHeight="1" x14ac:dyDescent="0.2">
      <c r="A5" s="276" t="s">
        <v>187</v>
      </c>
    </row>
    <row r="6" spans="1:1" ht="41.25" customHeight="1" x14ac:dyDescent="0.2">
      <c r="A6" s="276" t="s">
        <v>185</v>
      </c>
    </row>
    <row r="7" spans="1:1" ht="41.25" customHeight="1" x14ac:dyDescent="0.25">
      <c r="A7" s="282" t="s">
        <v>192</v>
      </c>
    </row>
    <row r="8" spans="1:1" ht="108.75" customHeight="1" x14ac:dyDescent="0.2">
      <c r="A8" s="276" t="s">
        <v>191</v>
      </c>
    </row>
  </sheetData>
  <sheetProtection password="CA2B" sheet="1" objects="1" scenarios="1"/>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Contract Calculator</vt:lpstr>
      <vt:lpstr>Mid Semester B Contract Hire</vt:lpstr>
      <vt:lpstr>UNSOM New Hire</vt:lpstr>
      <vt:lpstr>Academic Year</vt:lpstr>
      <vt:lpstr>B Term Mid Semester</vt:lpstr>
      <vt:lpstr>RETIREMENT PLANS</vt:lpstr>
      <vt:lpstr>Annual Updates</vt:lpstr>
      <vt:lpstr>HOLIDAY</vt:lpstr>
      <vt:lpstr>RET_CODE</vt:lpstr>
      <vt:lpstr>RET_PLAN</vt:lpstr>
      <vt:lpstr>Yes_No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Desktop</dc:creator>
  <cp:lastModifiedBy>Lori</cp:lastModifiedBy>
  <cp:lastPrinted>2013-10-28T19:27:11Z</cp:lastPrinted>
  <dcterms:created xsi:type="dcterms:W3CDTF">2011-10-27T15:17:19Z</dcterms:created>
  <dcterms:modified xsi:type="dcterms:W3CDTF">2014-02-10T19:33:16Z</dcterms:modified>
</cp:coreProperties>
</file>