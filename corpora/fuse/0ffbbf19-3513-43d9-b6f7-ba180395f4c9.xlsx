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8915" windowHeight="8505"/>
  </bookViews>
  <sheets>
    <sheet name="Cover" sheetId="1" r:id="rId1"/>
    <sheet name="1 | Statistics" sheetId="2" r:id="rId2"/>
    <sheet name="2 | Available" sheetId="5" r:id="rId3"/>
    <sheet name="3 | Exclusive" sheetId="6" r:id="rId4"/>
    <sheet name="4 | Old editions" sheetId="3" r:id="rId5"/>
    <sheet name="5 | Not included" sheetId="4" r:id="rId6"/>
    <sheet name="6 | Coming soon" sheetId="7" r:id="rId7"/>
  </sheets>
  <definedNames>
    <definedName name="_4___Old_editions">Cover!$G$22</definedName>
  </definedNames>
  <calcPr calcId="125725"/>
</workbook>
</file>

<file path=xl/calcChain.xml><?xml version="1.0" encoding="utf-8"?>
<calcChain xmlns="http://schemas.openxmlformats.org/spreadsheetml/2006/main">
  <c r="H16" i="2"/>
  <c r="H17"/>
  <c r="H14"/>
  <c r="H13"/>
  <c r="C35" i="6"/>
  <c r="C201" i="5"/>
</calcChain>
</file>

<file path=xl/sharedStrings.xml><?xml version="1.0" encoding="utf-8"?>
<sst xmlns="http://schemas.openxmlformats.org/spreadsheetml/2006/main" count="633" uniqueCount="313">
  <si>
    <t>Title</t>
  </si>
  <si>
    <t>Ed.</t>
  </si>
  <si>
    <t>eRef ISBN</t>
  </si>
  <si>
    <t>Library</t>
  </si>
  <si>
    <t>Dictionary of Gems and Gemology</t>
  </si>
  <si>
    <t>n/a</t>
  </si>
  <si>
    <t>Earth and Environmental Science</t>
  </si>
  <si>
    <t>Drug Discovery and Evaluation: Pharmacological Assays</t>
  </si>
  <si>
    <t>978-3-540-29837-3</t>
  </si>
  <si>
    <t>Biomedical and Life Sciences</t>
  </si>
  <si>
    <t>Drug Discovery and Evaluation: Safety and Pharmakokinetic Assays</t>
  </si>
  <si>
    <t>Encyclopedia of Cancer</t>
  </si>
  <si>
    <t>978-3-540-47648-1</t>
  </si>
  <si>
    <t>Encyclopedia of Cryptography and Security</t>
  </si>
  <si>
    <t>978-0-387-23483-0</t>
  </si>
  <si>
    <t>Computer Science</t>
  </si>
  <si>
    <t>Encyclopedia of Entomology</t>
  </si>
  <si>
    <t>978-0-306-48380-6</t>
  </si>
  <si>
    <t>Encyclopedia of Multimedia</t>
  </si>
  <si>
    <t>978-0-387-30038-2</t>
  </si>
  <si>
    <t>Encyclopedia of Optimization</t>
  </si>
  <si>
    <t>978-0-306-48332-5</t>
  </si>
  <si>
    <t>Mathematics and Statistics</t>
  </si>
  <si>
    <t>Encyclopedic Dictionary of Polymers</t>
  </si>
  <si>
    <t>978-0-387-30160-0</t>
  </si>
  <si>
    <t>Chemistry and Materials Science</t>
  </si>
  <si>
    <t>Encyclopedic Reference of Cancer</t>
  </si>
  <si>
    <t>978-3-540-30683-2</t>
  </si>
  <si>
    <t>Encyclopedic Reference of Molecular Pharmacology</t>
  </si>
  <si>
    <t>978-3-540-29832-8</t>
  </si>
  <si>
    <t>Encyclopedic Reference of Parasitology [set]</t>
  </si>
  <si>
    <t>978-3-540-29833-5</t>
  </si>
  <si>
    <t>Encyclopedic Reference of Parasitology: Biology</t>
  </si>
  <si>
    <t>978-3-540-29834-2</t>
  </si>
  <si>
    <t>Encyclopedic Reference of Parasitology: Diseases</t>
  </si>
  <si>
    <t>978-3-540-29835-9</t>
  </si>
  <si>
    <t>Formulas of Acoustics</t>
  </si>
  <si>
    <t>Engineering</t>
  </si>
  <si>
    <t>Physics and Astronomy</t>
  </si>
  <si>
    <t>Medicine</t>
  </si>
  <si>
    <t>Handbook of K-Theory</t>
  </si>
  <si>
    <t>Handbook of Nuclear Chemistry</t>
  </si>
  <si>
    <t>978-0-387-30682-7</t>
  </si>
  <si>
    <t>Historical Encyclopedia of Natural and Mathematical Sciences</t>
  </si>
  <si>
    <t>Springer Handbook of Acoustics</t>
  </si>
  <si>
    <t>Springer Handbook of Atomic, Molecular and Optical Physics</t>
  </si>
  <si>
    <t>Springer Handbook of Condensed Matter and Materials Data</t>
  </si>
  <si>
    <t>Springer Handbook of Electronic and Photonic Materials</t>
  </si>
  <si>
    <t>Springer Handbook of Engineering Statistics</t>
  </si>
  <si>
    <t>Springer Handbook of Experimental Fluid Mechanics</t>
  </si>
  <si>
    <t>Springer Handbook of Experimental Solid Mechanics</t>
  </si>
  <si>
    <t>Springer Handbook of Lasers and Optics</t>
  </si>
  <si>
    <t>Springer Handbook of Materials Measurement Methods</t>
  </si>
  <si>
    <t>Springer Handbook of Nanotechnology</t>
  </si>
  <si>
    <t>Springer Handbook of Speech Processing</t>
  </si>
  <si>
    <t>The ASCRS Textbook of Colon and Rectal Surgery</t>
  </si>
  <si>
    <t>The Springer Index of Viruses</t>
  </si>
  <si>
    <t>978-3-540-31042-6</t>
  </si>
  <si>
    <t>VDI-Wärmeatlas</t>
  </si>
  <si>
    <t>Wörterbuch Design</t>
  </si>
  <si>
    <t>978-3-540-29804-5</t>
  </si>
  <si>
    <t>Complete list of titles available on SpringerReference</t>
  </si>
  <si>
    <t>Old editions not on SpringerReference</t>
  </si>
  <si>
    <t>Titles not on SpringerReference</t>
  </si>
  <si>
    <t>Architecture</t>
  </si>
  <si>
    <t>Handbook of Neurochenistry series</t>
  </si>
  <si>
    <t>Directory of Microbicides for the Protection of Materials</t>
  </si>
  <si>
    <t>Magnetism: Fundamentals, Materials, Applications</t>
  </si>
  <si>
    <t>Linguistic Bibliography for the Year 2000</t>
  </si>
  <si>
    <t>Humanities</t>
  </si>
  <si>
    <t>Linguistic Bibliography for the Year 2001</t>
  </si>
  <si>
    <t>Linguistic Bibliography for the Year 2002</t>
  </si>
  <si>
    <t>Concise Encyclopedia of Supersymmetry</t>
  </si>
  <si>
    <t>DOCUMENT DESCRIPTION</t>
  </si>
  <si>
    <t>DIRECT LINK</t>
  </si>
  <si>
    <t>SHEET #</t>
  </si>
  <si>
    <r>
      <t xml:space="preserve">Titles available </t>
    </r>
    <r>
      <rPr>
        <b/>
        <u/>
        <sz val="12"/>
        <color theme="1"/>
        <rFont val="Calibri"/>
        <family val="2"/>
      </rPr>
      <t>only</t>
    </r>
    <r>
      <rPr>
        <b/>
        <sz val="12"/>
        <color theme="1"/>
        <rFont val="Calibri"/>
        <family val="2"/>
      </rPr>
      <t xml:space="preserve"> on SpringerReference</t>
    </r>
  </si>
  <si>
    <t>3 | Exclusive'!</t>
  </si>
  <si>
    <t>List of titles available on SpringerReference</t>
  </si>
  <si>
    <r>
      <t xml:space="preserve">List of titles available </t>
    </r>
    <r>
      <rPr>
        <b/>
        <u/>
        <sz val="20"/>
        <color rgb="FFFF0000"/>
        <rFont val="Calibri"/>
        <family val="2"/>
      </rPr>
      <t>only</t>
    </r>
    <r>
      <rPr>
        <b/>
        <sz val="20"/>
        <color rgb="FFFF0000"/>
        <rFont val="Calibri"/>
        <family val="2"/>
      </rPr>
      <t xml:space="preserve"> on SpringerReference</t>
    </r>
  </si>
  <si>
    <t>Previous Editions of MRWs not visible on SpringerReference</t>
  </si>
  <si>
    <t>MRWs not included on SpringerReference</t>
  </si>
  <si>
    <t>Statistics</t>
  </si>
  <si>
    <t>1 | Statistics'!</t>
  </si>
  <si>
    <t>2 | Available'!</t>
  </si>
  <si>
    <t>Following older editions are not on SpringerReference, as only the most recent one is visible:</t>
  </si>
  <si>
    <t>Total number of MRWs on SpringerReference</t>
  </si>
  <si>
    <t>Number of MRWs only on SpringerReference</t>
  </si>
  <si>
    <t>Number of updates (month)</t>
  </si>
  <si>
    <t>--&gt; Return to first page</t>
  </si>
  <si>
    <t>Title Springerlink</t>
  </si>
  <si>
    <t>Architecture and Design</t>
  </si>
  <si>
    <t>Design Dictionary</t>
  </si>
  <si>
    <t>Drug Discovery and Evaluation: Methods in Clinical Pharmacology</t>
  </si>
  <si>
    <t>Drug Discovery and Evaluation: Safety and Pharmacokinetic Assays</t>
  </si>
  <si>
    <t>Encyclopedia of Exercise Medicine in Health and Disease</t>
  </si>
  <si>
    <t>Encyclopedia of Genetics, Genomics, Proteomics and Informatics</t>
  </si>
  <si>
    <t>Encyclopedia of Molecular Mechanisms of Disease</t>
  </si>
  <si>
    <t>Encyclopedia of Molecular Pharmacology</t>
  </si>
  <si>
    <t>Encyclopedia of Neuroscience</t>
  </si>
  <si>
    <t>Encyclopedia of Pain</t>
  </si>
  <si>
    <t>Encyclopedia of Parasitology</t>
  </si>
  <si>
    <t>Encyclopedia of Psychopharmacology</t>
  </si>
  <si>
    <t>Encyclopedic Reference of Genomics and Proteomics in Molecular Medicine</t>
  </si>
  <si>
    <t>Encyclopedic Reference of Immunotoxicology</t>
  </si>
  <si>
    <t>Extremophiles Handbook</t>
  </si>
  <si>
    <t>Handbook of Global Environmental Pollution: Global Environmental Change</t>
  </si>
  <si>
    <t>Handbook of Hydrocarbon and Lipid Microbiology</t>
  </si>
  <si>
    <t>Molecular Microbial Ecology Manual</t>
  </si>
  <si>
    <t>Pancreatic Cancer</t>
  </si>
  <si>
    <t>Prebiotics and Probiotics Science and Technology</t>
  </si>
  <si>
    <t>The Prokaryotes. A Handbook on the Biology of Bacteria: Vol. 3: Archea and bacteria: Firmicutes, Acitomycetes</t>
  </si>
  <si>
    <t>The Prokaryotes. A Handbook on the Biology of Bacteria: Vol. 6: Proteobacteria: Gamma Subclass</t>
  </si>
  <si>
    <t>The Prokaryotes. A Handbook on the Biology of Bacteria: Vol. 7: Proteobacteria: Delta and Epsilon Subclasses. Deeply Rooting Bacteria</t>
  </si>
  <si>
    <t>Business and Economics</t>
  </si>
  <si>
    <t>Encyclopedia of Finance</t>
  </si>
  <si>
    <t>Encyclopedia of Operations Research and Management Science</t>
  </si>
  <si>
    <t>Encyclopedia of Production and Manufacturing Management</t>
  </si>
  <si>
    <t>The Concise Encyclopedia of Statistics</t>
  </si>
  <si>
    <t>Glycoscience. Chemistry and Chemical Biology</t>
  </si>
  <si>
    <t>Handbook of Hydroxyacetophenones</t>
  </si>
  <si>
    <t>Handbook of Nanophase and Nanostructured Materials</t>
  </si>
  <si>
    <t>Polymer Blends Handbook</t>
  </si>
  <si>
    <t>Soft-Matter Characterization</t>
  </si>
  <si>
    <t>Computer Science and Communications Dictionary</t>
  </si>
  <si>
    <t>Encyclopedia of Algorithms</t>
  </si>
  <si>
    <t>Encyclopedia of Biometrics</t>
  </si>
  <si>
    <t>Encyclopedia of Database Systems</t>
  </si>
  <si>
    <t>Encyclopedia of GIS</t>
  </si>
  <si>
    <t>Encyclopedia of Machine Learning</t>
  </si>
  <si>
    <t>Encyclopedia of Earth Sciences Series: Agrophysics</t>
  </si>
  <si>
    <t>Encyclopedia of Earth Sciences Series: Applied Geology</t>
  </si>
  <si>
    <t>Encyclopedia of Earth Sciences Series: Beaches and Coastal Environments</t>
  </si>
  <si>
    <t>Encyclopedia of Earth Sciences Series: Climatology</t>
  </si>
  <si>
    <t>Encyclopedia of Earth Sciences Series: Coastal Science</t>
  </si>
  <si>
    <t>Encyclopedia of Earth Sciences Series: European and Asian Regional Geology</t>
  </si>
  <si>
    <t>Encyclopedia of Earth Sciences Series: Field and General Geology</t>
  </si>
  <si>
    <t>Encyclopedia of Earth Sciences Series: Geobiology</t>
  </si>
  <si>
    <t>Encyclopedia of Earth Sciences Series: Geochemistry</t>
  </si>
  <si>
    <t>Encyclopedia of Earth Sciences Series: Geomagnetism and Paleomagnetism</t>
  </si>
  <si>
    <t>Encyclopedia of Earth Sciences Series: Geomorphology</t>
  </si>
  <si>
    <t>Encyclopedia of Earth Sciences Series: Hydrology and Water Resources</t>
  </si>
  <si>
    <t>Encyclopedia of Earth Sciences Series: Igneous and Metamorphic Petrology</t>
  </si>
  <si>
    <t>Encyclopedia of Earth Sciences Series: Mineralogy</t>
  </si>
  <si>
    <t>Encyclopedia of Earth Sciences Series: Modern Coral Reefs</t>
  </si>
  <si>
    <t>Encyclopedia of Earth Sciences Series: Natural Hazards</t>
  </si>
  <si>
    <t>Encyclopedia of Earth Sciences Series: Paleoclimatology, Ancient Environments</t>
  </si>
  <si>
    <t>Encyclopedia of Earth Sciences Series: Paleontology</t>
  </si>
  <si>
    <t>Encyclopedia of Earth Sciences Series: Planetary Sciences</t>
  </si>
  <si>
    <t>Encyclopedia of Earth Sciences Series: Sediments and Sedimentary Rocks</t>
  </si>
  <si>
    <t>Encyclopedia of Earth Sciences Series: Snow, Ice and Glaciers</t>
  </si>
  <si>
    <t>Encyclopedia of Earth Sciences Series: Soil Science</t>
  </si>
  <si>
    <t>Encyclopedia of Earth Sciences Series: Solid Earth Geophysics</t>
  </si>
  <si>
    <t>Encyclopedia of Earth Sciences Series: Structural Geology and Plate Tectonics</t>
  </si>
  <si>
    <t>Encyclopedia of Earth Sciences Series: World Climatology</t>
  </si>
  <si>
    <t>Encyclopedia of Earth Sciences Series: World Regional Geology</t>
  </si>
  <si>
    <t>Encyclopedic Dictionary of Landscape and Urban Planning</t>
  </si>
  <si>
    <t>Computational Methods in Biophysics, Biomaterials, Biotechnology and Medical Systems</t>
  </si>
  <si>
    <t>Encyclopedia of Microfluidics and Nanofluidics</t>
  </si>
  <si>
    <t>Handbook of Nuclear Engineering</t>
  </si>
  <si>
    <t>Robust Electronic Design Reference Book</t>
  </si>
  <si>
    <t>Humanities, Social Sciences and Law</t>
  </si>
  <si>
    <t>Encyclopaedia of the History of Science, Technology, and Medicine in Non-Western Cultures</t>
  </si>
  <si>
    <t>Encyclopedia of Aging and Public Health</t>
  </si>
  <si>
    <t>Encyclopedia of Child Behavior and Development</t>
  </si>
  <si>
    <t>Encyclopedia of Clinical Neuropsychology</t>
  </si>
  <si>
    <t>Encyclopedia of Cross-Cultural School Psychology</t>
  </si>
  <si>
    <t>Encyclopedia of Diasporas, Immigrant and Refugee Cultures Around the World</t>
  </si>
  <si>
    <t>Encyclopedia of Global Justice</t>
  </si>
  <si>
    <t>Encyclopedia of Immigrant Health</t>
  </si>
  <si>
    <t>Encyclopedia of Language and Education</t>
  </si>
  <si>
    <t>Encyclopedia of Medical Anthropology: Health and Illness in the World's Cultures  Topics - Vol. 1; Cultures - Vol. 2</t>
  </si>
  <si>
    <t>Encyclopedia of Medieval Philosophy</t>
  </si>
  <si>
    <t>Encyclopedia of Psychology and Religion</t>
  </si>
  <si>
    <t>Encyclopedia of Public Health</t>
  </si>
  <si>
    <t>Encyclopedia of Sex and Gender</t>
  </si>
  <si>
    <t>Encyclopedia of the History of Psychological Theories</t>
  </si>
  <si>
    <t>Encyclopedia of the Sciences of Learning</t>
  </si>
  <si>
    <t>Handbook of Clinical Psychology Competencies</t>
  </si>
  <si>
    <t>Handbook of Disease Burdens and Quality of Life Measures</t>
  </si>
  <si>
    <t>International Encyclopedia of Civil Society</t>
  </si>
  <si>
    <t>Handbook of Geomathematics</t>
  </si>
  <si>
    <t>Handbook of Mathematical Methods in Imaging</t>
  </si>
  <si>
    <t>Handbook of Number Theory: Volume 1</t>
  </si>
  <si>
    <t>Handbook of Number Theory: Volume 2</t>
  </si>
  <si>
    <t>International Encyclopedia of Statistical Science</t>
  </si>
  <si>
    <t>Atlas of Epilepsies</t>
  </si>
  <si>
    <t>Blaustein's Pathology of the Female Genital Tract</t>
  </si>
  <si>
    <t>Comprehensive Electrocardiology</t>
  </si>
  <si>
    <t>Dermatology Therapy. A to Z Essentials</t>
  </si>
  <si>
    <t>Encyclopedia of Diagnostic Imaging</t>
  </si>
  <si>
    <t>Encyclopedia of Heart Diseases</t>
  </si>
  <si>
    <t>Encyclopedia of Intensive Care Medicine</t>
  </si>
  <si>
    <t>General Surgery. Principles and International Practice</t>
  </si>
  <si>
    <t>Indian Medicinal Plants. An Illustrated Dictionary</t>
  </si>
  <si>
    <t>Nuclear Medicine</t>
  </si>
  <si>
    <t>Pediatric Nephrology</t>
  </si>
  <si>
    <t>Rheumatology and Immunology Therapy. A to Z Essentials</t>
  </si>
  <si>
    <t>Textbook of Aging Skin</t>
  </si>
  <si>
    <t>Textbook of Stereotactic and Functional Neurosurgery</t>
  </si>
  <si>
    <t>Biographical Encyclopedia of Astronomers</t>
  </si>
  <si>
    <t>Coherent-Domain Optical Methods</t>
  </si>
  <si>
    <t>Dictionary of Minor Planet Names</t>
  </si>
  <si>
    <t>Encyclopedia of Astrobiology</t>
  </si>
  <si>
    <t>Encyclopedia of Color Science and Technology</t>
  </si>
  <si>
    <t>Encyclopedia of Complexity and Systems Science</t>
  </si>
  <si>
    <t>Handbook of Physics</t>
  </si>
  <si>
    <t>Copyright</t>
  </si>
  <si>
    <t>Edition</t>
  </si>
  <si>
    <t xml:space="preserve">Statistics </t>
  </si>
  <si>
    <t>Handbook of Paleoanthropology [set]</t>
  </si>
  <si>
    <t>Handbook of Semantic Web Technologies</t>
  </si>
  <si>
    <t>Uranium Deposits of the World, Vol. 1</t>
  </si>
  <si>
    <t>Handbook of Adhesion Technology</t>
  </si>
  <si>
    <t>Encyclopedia of Science Education</t>
  </si>
  <si>
    <t>Textbook of Clinical Pediatrics</t>
  </si>
  <si>
    <t>Total number of updates (cumulative starting August 2011)</t>
  </si>
  <si>
    <t>Articles unique to SpringerReference</t>
  </si>
  <si>
    <t>Encyclopedia of Applied Electrochemistry</t>
  </si>
  <si>
    <t>Riegel's Handbook of Industrial Chemistry</t>
  </si>
  <si>
    <t>Encyclopedia of Earth Sciences Series: Environmental Geology</t>
  </si>
  <si>
    <t>Uranium Deposits of the World, Vol. 2</t>
  </si>
  <si>
    <t>New articles on SpringerReference (cumulative starting August 2011)</t>
  </si>
  <si>
    <t>New articles on SpringerReference (month)</t>
  </si>
  <si>
    <t>Total number of articles on SpringerReference</t>
  </si>
  <si>
    <t>Encyclopedia of Biophysics</t>
  </si>
  <si>
    <t>Encyclopedia of Signaling Molecules</t>
  </si>
  <si>
    <t>Encyclopedia of Systems Biology</t>
  </si>
  <si>
    <t>Handbook of the Cerebellum and Cerebellar Disorders</t>
  </si>
  <si>
    <t>Encyclopedia of Nanotechnology</t>
  </si>
  <si>
    <t>Handbook of Intelligent Vehicles</t>
  </si>
  <si>
    <t>Machine Vision Handbook</t>
  </si>
  <si>
    <t>Encyclopedia of Critical Psychology</t>
  </si>
  <si>
    <t>Handbook of Risk Theory</t>
  </si>
  <si>
    <t>Abdominal Imaging</t>
  </si>
  <si>
    <t>Handbook of Headache</t>
  </si>
  <si>
    <t>Handbook of Satellite Applications</t>
  </si>
  <si>
    <t>4 | Old editions'!A1</t>
  </si>
  <si>
    <t>5 | Not included'!A1</t>
  </si>
  <si>
    <t>6 | Coming soon'!A1</t>
  </si>
  <si>
    <t>Encyclopedia of Metagenomics</t>
  </si>
  <si>
    <t>Handbook of Health Services Research</t>
  </si>
  <si>
    <t>Atlas of Forensic Pathology</t>
  </si>
  <si>
    <t>Encyclopedia of Parallel Computing</t>
  </si>
  <si>
    <t>Handbook of Particle Detection and Imaging</t>
  </si>
  <si>
    <t>Handbook of Visual Display Technology</t>
  </si>
  <si>
    <t>Lipids, Lipophilic Components and Essential Oils from Plant Sources</t>
  </si>
  <si>
    <t xml:space="preserve">Titles going live or starting on </t>
  </si>
  <si>
    <t xml:space="preserve">SpringerReference in the next </t>
  </si>
  <si>
    <t>two months</t>
  </si>
  <si>
    <t>Titles coming in the next two months</t>
  </si>
  <si>
    <t>Previous</t>
  </si>
  <si>
    <t>Month</t>
  </si>
  <si>
    <t>Behavioral Science</t>
  </si>
  <si>
    <t>Encyclopedia of Metalloproteins</t>
  </si>
  <si>
    <t>Handbook of Marine Natural Products</t>
  </si>
  <si>
    <t>Encyclopedia of Indian Religions</t>
  </si>
  <si>
    <t>Atlas of Genetic Diagnosis and Counseling</t>
  </si>
  <si>
    <t>Handbook of Computational Chemistry</t>
  </si>
  <si>
    <t>Encyclopedia of Food and Agricultural Ethics</t>
  </si>
  <si>
    <t>Kanerva's Occupational Dermatology</t>
  </si>
  <si>
    <t>VDI-Heat Atlas</t>
  </si>
  <si>
    <t>Encyclopedia of Membranes</t>
  </si>
  <si>
    <t>Encyclopedia of Mathematics Education</t>
  </si>
  <si>
    <t>Current</t>
  </si>
  <si>
    <t>Encyclopedia of Global Archaeology</t>
  </si>
  <si>
    <t>Encyclopedia of Sciences and Religions</t>
  </si>
  <si>
    <t>Neuroscience in the 21st Century</t>
  </si>
  <si>
    <t>Host Plant Catalogue of Aphids</t>
  </si>
  <si>
    <t>Handbook of Sustainable Engineering</t>
  </si>
  <si>
    <r>
      <t xml:space="preserve">Mathematics of Complexity and Dynamical Systems [spin-off </t>
    </r>
    <r>
      <rPr>
        <i/>
        <sz val="10"/>
        <color theme="1"/>
        <rFont val="Calibri"/>
        <family val="2"/>
      </rPr>
      <t>Enc Complexity</t>
    </r>
    <r>
      <rPr>
        <sz val="10"/>
        <color theme="1"/>
        <rFont val="Calibri"/>
        <family val="2"/>
      </rPr>
      <t>]</t>
    </r>
  </si>
  <si>
    <r>
      <t xml:space="preserve">Computational Complexity: Theory, Techniques, and Applications [spin-off </t>
    </r>
    <r>
      <rPr>
        <i/>
        <sz val="10"/>
        <color theme="1"/>
        <rFont val="Calibri"/>
        <family val="2"/>
      </rPr>
      <t>Enc Complexity</t>
    </r>
    <r>
      <rPr>
        <sz val="10"/>
        <color theme="1"/>
        <rFont val="Calibri"/>
        <family val="2"/>
      </rPr>
      <t>]</t>
    </r>
  </si>
  <si>
    <r>
      <t xml:space="preserve">Following groups of titles are not included on SpringerReference: SpringerHandbooks, German-language titles, </t>
    </r>
    <r>
      <rPr>
        <b/>
        <i/>
        <sz val="11"/>
        <color theme="1"/>
        <rFont val="Calibri"/>
        <family val="2"/>
      </rPr>
      <t>Handbook of Neurochemistry</t>
    </r>
    <r>
      <rPr>
        <b/>
        <sz val="11"/>
        <color theme="1"/>
        <rFont val="Calibri"/>
        <family val="2"/>
      </rPr>
      <t xml:space="preserve"> series, Spin-Offs.                                                                                                                                    Following titles were not migrated because not suitable:</t>
    </r>
  </si>
  <si>
    <t>Encyclopedia of Earth Sciences Series: Lakes and Reservoirs</t>
  </si>
  <si>
    <t>The Prokaryotes. Prokaryotic Physiology and Biochemistry</t>
  </si>
  <si>
    <t>The Prokaryotes. A Handbook on the Biology of Bacteria: Vol. 1: Symbiotic Associations, Biotechnology, Applied Microbiology</t>
  </si>
  <si>
    <t>The Prokaryotes. A Handbook on the Biology of Bacteria: Vol. 2: Ecophysiology and Biochemistry</t>
  </si>
  <si>
    <t>The Prokaryotes. A Handbook on the Biology of Bacteria: Vol. 4: Bacteria: Firmicutes, Cyanobacteria</t>
  </si>
  <si>
    <t>The Prokaryotes. A Handbook on the Biology of Bacteria: Vol. 5: Proteobacteria: Alpha and Beta Subclasses</t>
  </si>
  <si>
    <t>Handbook of Natural Computing</t>
  </si>
  <si>
    <t>CIRP Encyclopedia of Production Engineering</t>
  </si>
  <si>
    <t>Encyclopedia of Behavioral Medicine</t>
  </si>
  <si>
    <t>Encyclopedia of Adolescence</t>
  </si>
  <si>
    <t>Encyclopedia of Sustainability Science and Technology</t>
  </si>
  <si>
    <t>Encyclopedia of Computer Vision</t>
  </si>
  <si>
    <t>Handbook of Climate Change Mitigation</t>
  </si>
  <si>
    <t>Encyclopedia of Otolaryngology, Head and Neck Surgery</t>
  </si>
  <si>
    <t>978-0-306-48244-1</t>
  </si>
  <si>
    <t>Encyclopedia of Thermal Stresses</t>
  </si>
  <si>
    <t>Handbook of Regional Science</t>
  </si>
  <si>
    <t>Handbook of Child Well-being</t>
  </si>
  <si>
    <t>Encyclopedia of Quality of Life Research</t>
  </si>
  <si>
    <t>Legal and Forensic Medicine</t>
  </si>
  <si>
    <t>Evidence-Based Neuroimaging</t>
  </si>
  <si>
    <t>Encyclopedia of Colloid and Interface Science</t>
  </si>
  <si>
    <t>Handbook of Nano-Optics and Nanophotonics</t>
  </si>
  <si>
    <t>Image-Guided Cancer Therapy</t>
  </si>
  <si>
    <t>Wetlands. Structure and Function</t>
  </si>
  <si>
    <t>Wetlands. Wetlands of the World</t>
  </si>
  <si>
    <t>Encyclopedia of Autism Spectrum Disorders</t>
  </si>
  <si>
    <t xml:space="preserve">The Comprehensive Guide to Autism </t>
  </si>
  <si>
    <t>Wetlands Encyclopedia. Volume IV. World Wetlands</t>
  </si>
  <si>
    <t>Encyclopedia of Corporate Social Responsibility</t>
  </si>
  <si>
    <t>Encyclopedia of Creativity, Invention, Innovation and Entrepreneurship</t>
  </si>
  <si>
    <t>Natural Compounds</t>
  </si>
  <si>
    <t>Encyclopedia of Earth Sciences Series: Remote Sensing</t>
  </si>
  <si>
    <t>Handbook of Unmanned Aerial Vehicles</t>
  </si>
  <si>
    <t>Handbook of the Philosophical Foundations of Business Ethics</t>
  </si>
  <si>
    <t>Encyclopedia of Applied and Computational Mathematics</t>
  </si>
  <si>
    <t>Encyclopedia of Ophthalmology</t>
  </si>
  <si>
    <t>Encyclopedia of Women's Health</t>
  </si>
  <si>
    <t>Handbook of Photonics in Biomedical Engineering</t>
  </si>
  <si>
    <r>
      <rPr>
        <b/>
        <sz val="36"/>
        <color rgb="FF000039"/>
        <rFont val="Calibri"/>
        <family val="2"/>
      </rPr>
      <t>SpringerReference</t>
    </r>
    <r>
      <rPr>
        <b/>
        <sz val="36"/>
        <color theme="1"/>
        <rFont val="Calibri"/>
        <family val="2"/>
      </rPr>
      <t xml:space="preserve">                              </t>
    </r>
    <r>
      <rPr>
        <b/>
        <sz val="40"/>
        <color rgb="FFFF6600"/>
        <rFont val="Calibri"/>
        <family val="2"/>
      </rPr>
      <t>DECEMBER</t>
    </r>
    <r>
      <rPr>
        <b/>
        <sz val="40"/>
        <color rgb="FFFF0000"/>
        <rFont val="Calibri"/>
        <family val="2"/>
      </rPr>
      <t xml:space="preserve"> </t>
    </r>
    <r>
      <rPr>
        <b/>
        <sz val="40"/>
        <color rgb="FFFF6600"/>
        <rFont val="Calibri"/>
        <family val="2"/>
      </rPr>
      <t>2012</t>
    </r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</si>
</sst>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36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20"/>
      <color rgb="FFFF0000"/>
      <name val="Calibri"/>
      <family val="2"/>
    </font>
    <font>
      <b/>
      <i/>
      <sz val="11"/>
      <color theme="1"/>
      <name val="Calibri"/>
      <family val="2"/>
    </font>
    <font>
      <u/>
      <sz val="11"/>
      <color theme="10"/>
      <name val="Calibri"/>
      <family val="2"/>
    </font>
    <font>
      <b/>
      <u/>
      <sz val="12"/>
      <color theme="1"/>
      <name val="Calibri"/>
      <family val="2"/>
    </font>
    <font>
      <b/>
      <u/>
      <sz val="20"/>
      <color rgb="FFFF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40"/>
      <color rgb="FFFF0000"/>
      <name val="Calibri"/>
      <family val="2"/>
    </font>
    <font>
      <sz val="11"/>
      <color rgb="FFFF0000"/>
      <name val="Calibri"/>
      <family val="2"/>
    </font>
    <font>
      <sz val="10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rgb="FFFF0000"/>
      <name val="Calibri"/>
      <family val="2"/>
    </font>
    <font>
      <sz val="10"/>
      <color theme="1"/>
      <name val="Calibri"/>
      <family val="2"/>
    </font>
    <font>
      <b/>
      <sz val="40"/>
      <color rgb="FFFF6600"/>
      <name val="Calibri"/>
      <family val="2"/>
    </font>
    <font>
      <b/>
      <sz val="36"/>
      <color rgb="FF000039"/>
      <name val="Calibri"/>
      <family val="2"/>
    </font>
    <font>
      <b/>
      <sz val="11"/>
      <color rgb="FFFF0000"/>
      <name val="Calibri"/>
      <family val="2"/>
    </font>
    <font>
      <i/>
      <sz val="10"/>
      <color theme="1"/>
      <name val="Calibri"/>
      <family val="2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3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indexed="10"/>
        <bgColor indexed="8"/>
      </patternFill>
    </fill>
    <fill>
      <gradientFill degree="270">
        <stop position="0">
          <color rgb="FFAFD9FF"/>
        </stop>
        <stop position="1">
          <color rgb="FF2E77B7"/>
        </stop>
      </gradientFill>
    </fill>
  </fills>
  <borders count="46">
    <border>
      <left/>
      <right/>
      <top/>
      <bottom/>
      <diagonal/>
    </border>
    <border>
      <left style="thick">
        <color rgb="FFFF6600"/>
      </left>
      <right/>
      <top style="thick">
        <color rgb="FFFF6600"/>
      </top>
      <bottom/>
      <diagonal/>
    </border>
    <border>
      <left/>
      <right/>
      <top style="thick">
        <color rgb="FFFF6600"/>
      </top>
      <bottom/>
      <diagonal/>
    </border>
    <border>
      <left/>
      <right style="thick">
        <color rgb="FFFF6600"/>
      </right>
      <top style="thick">
        <color rgb="FFFF6600"/>
      </top>
      <bottom/>
      <diagonal/>
    </border>
    <border>
      <left style="thick">
        <color rgb="FFFF6600"/>
      </left>
      <right/>
      <top/>
      <bottom/>
      <diagonal/>
    </border>
    <border>
      <left/>
      <right style="thick">
        <color rgb="FFFF6600"/>
      </right>
      <top/>
      <bottom/>
      <diagonal/>
    </border>
    <border>
      <left style="thick">
        <color rgb="FFFF6600"/>
      </left>
      <right/>
      <top/>
      <bottom style="thick">
        <color rgb="FFFF6600"/>
      </bottom>
      <diagonal/>
    </border>
    <border>
      <left/>
      <right/>
      <top/>
      <bottom style="thick">
        <color rgb="FFFF6600"/>
      </bottom>
      <diagonal/>
    </border>
    <border>
      <left/>
      <right style="thick">
        <color rgb="FFFF6600"/>
      </right>
      <top/>
      <bottom style="thick">
        <color rgb="FFFF6600"/>
      </bottom>
      <diagonal/>
    </border>
    <border>
      <left/>
      <right/>
      <top/>
      <bottom style="thin">
        <color rgb="FFFF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rgb="FFFF0000"/>
      </left>
      <right style="thin">
        <color rgb="FFFF0000"/>
      </right>
      <top style="medium">
        <color indexed="8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indexed="8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indexed="8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medium">
        <color rgb="FFFF0000"/>
      </right>
      <top style="thin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indexed="8"/>
      </top>
      <bottom style="thin">
        <color indexed="8"/>
      </bottom>
      <diagonal/>
    </border>
    <border>
      <left style="medium">
        <color rgb="FFFF0000"/>
      </left>
      <right style="medium">
        <color rgb="FFFF0000"/>
      </right>
      <top style="thin">
        <color indexed="8"/>
      </top>
      <bottom style="thin">
        <color indexed="8"/>
      </bottom>
      <diagonal/>
    </border>
    <border>
      <left style="medium">
        <color rgb="FFFF0000"/>
      </left>
      <right style="medium">
        <color rgb="FFFF0000"/>
      </right>
      <top style="thin">
        <color indexed="8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indexed="8"/>
      </top>
      <bottom/>
      <diagonal/>
    </border>
    <border>
      <left style="medium">
        <color rgb="FFFF0000"/>
      </left>
      <right style="thin">
        <color auto="1"/>
      </right>
      <top style="medium">
        <color indexed="8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theme="1"/>
      </bottom>
      <diagonal/>
    </border>
    <border>
      <left style="thin">
        <color auto="1"/>
      </left>
      <right style="medium">
        <color rgb="FFFF0000"/>
      </right>
      <top style="medium">
        <color indexed="8"/>
      </top>
      <bottom style="thin">
        <color theme="1"/>
      </bottom>
      <diagonal/>
    </border>
    <border>
      <left style="medium">
        <color rgb="FFFF0000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medium">
        <color rgb="FFFF0000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thin">
        <color auto="1"/>
      </right>
      <top style="thin">
        <color theme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thin">
        <color theme="1"/>
      </top>
      <bottom style="medium">
        <color rgb="FFFF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1" fillId="0" borderId="0" xfId="0" applyFont="1"/>
    <xf numFmtId="0" fontId="1" fillId="0" borderId="9" xfId="0" applyFont="1" applyBorder="1"/>
    <xf numFmtId="0" fontId="3" fillId="0" borderId="9" xfId="0" applyFont="1" applyBorder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7" fillId="0" borderId="0" xfId="1" applyAlignment="1" applyProtection="1"/>
    <xf numFmtId="0" fontId="7" fillId="0" borderId="0" xfId="1" quotePrefix="1" applyAlignment="1" applyProtection="1"/>
    <xf numFmtId="0" fontId="15" fillId="4" borderId="13" xfId="0" applyFont="1" applyFill="1" applyBorder="1" applyAlignment="1" applyProtection="1">
      <alignment horizontal="center" wrapText="1"/>
    </xf>
    <xf numFmtId="0" fontId="0" fillId="0" borderId="0" xfId="0" applyAlignment="1">
      <alignment vertical="top" wrapText="1"/>
    </xf>
    <xf numFmtId="0" fontId="15" fillId="4" borderId="13" xfId="0" applyFont="1" applyFill="1" applyBorder="1" applyAlignment="1" applyProtection="1">
      <alignment horizontal="center" vertical="top" wrapText="1"/>
    </xf>
    <xf numFmtId="0" fontId="14" fillId="0" borderId="0" xfId="0" applyFont="1" applyAlignment="1">
      <alignment vertical="top" wrapText="1"/>
    </xf>
    <xf numFmtId="0" fontId="16" fillId="0" borderId="0" xfId="1" quotePrefix="1" applyFont="1" applyAlignment="1" applyProtection="1">
      <alignment horizontal="right"/>
    </xf>
    <xf numFmtId="0" fontId="16" fillId="0" borderId="0" xfId="1" quotePrefix="1" applyFont="1" applyAlignment="1" applyProtection="1">
      <alignment horizontal="left"/>
    </xf>
    <xf numFmtId="0" fontId="16" fillId="0" borderId="0" xfId="1" quotePrefix="1" applyFont="1" applyAlignment="1" applyProtection="1"/>
    <xf numFmtId="0" fontId="17" fillId="0" borderId="14" xfId="0" applyFont="1" applyBorder="1"/>
    <xf numFmtId="0" fontId="17" fillId="0" borderId="20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21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22" xfId="0" applyFont="1" applyBorder="1"/>
    <xf numFmtId="0" fontId="17" fillId="0" borderId="19" xfId="0" applyFont="1" applyBorder="1"/>
    <xf numFmtId="3" fontId="1" fillId="0" borderId="10" xfId="0" applyNumberFormat="1" applyFont="1" applyBorder="1"/>
    <xf numFmtId="3" fontId="1" fillId="0" borderId="12" xfId="0" applyNumberFormat="1" applyFont="1" applyBorder="1"/>
    <xf numFmtId="0" fontId="13" fillId="0" borderId="0" xfId="0" applyFont="1"/>
    <xf numFmtId="0" fontId="16" fillId="0" borderId="9" xfId="1" quotePrefix="1" applyFont="1" applyBorder="1" applyAlignment="1" applyProtection="1"/>
    <xf numFmtId="3" fontId="1" fillId="0" borderId="11" xfId="0" applyNumberFormat="1" applyFont="1" applyBorder="1" applyAlignment="1">
      <alignment horizontal="right"/>
    </xf>
    <xf numFmtId="3" fontId="1" fillId="0" borderId="10" xfId="0" applyNumberFormat="1" applyFont="1" applyBorder="1" applyAlignment="1">
      <alignment horizontal="right"/>
    </xf>
    <xf numFmtId="0" fontId="0" fillId="0" borderId="0" xfId="0" applyAlignment="1">
      <alignment wrapText="1"/>
    </xf>
    <xf numFmtId="0" fontId="14" fillId="0" borderId="0" xfId="0" applyFont="1" applyAlignment="1">
      <alignment wrapText="1"/>
    </xf>
    <xf numFmtId="0" fontId="7" fillId="0" borderId="9" xfId="1" quotePrefix="1" applyBorder="1" applyAlignment="1" applyProtection="1"/>
    <xf numFmtId="3" fontId="0" fillId="0" borderId="10" xfId="0" applyNumberFormat="1" applyFont="1" applyBorder="1"/>
    <xf numFmtId="3" fontId="0" fillId="0" borderId="12" xfId="0" applyNumberFormat="1" applyFont="1" applyBorder="1"/>
    <xf numFmtId="3" fontId="0" fillId="0" borderId="10" xfId="0" applyNumberFormat="1" applyFont="1" applyBorder="1" applyAlignment="1">
      <alignment horizontal="right"/>
    </xf>
    <xf numFmtId="3" fontId="0" fillId="0" borderId="11" xfId="0" applyNumberFormat="1" applyFont="1" applyBorder="1" applyAlignment="1">
      <alignment horizontal="right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0" fontId="20" fillId="0" borderId="0" xfId="0" applyFont="1"/>
    <xf numFmtId="0" fontId="0" fillId="0" borderId="0" xfId="0" applyAlignment="1">
      <alignment wrapText="1"/>
    </xf>
    <xf numFmtId="0" fontId="15" fillId="4" borderId="29" xfId="0" applyFont="1" applyFill="1" applyBorder="1" applyAlignment="1" applyProtection="1">
      <alignment horizontal="center" vertical="top" wrapText="1"/>
    </xf>
    <xf numFmtId="0" fontId="15" fillId="4" borderId="29" xfId="0" applyFont="1" applyFill="1" applyBorder="1" applyAlignment="1" applyProtection="1">
      <alignment horizontal="center" wrapText="1"/>
    </xf>
    <xf numFmtId="0" fontId="17" fillId="0" borderId="23" xfId="0" applyFont="1" applyFill="1" applyBorder="1" applyAlignment="1" applyProtection="1">
      <alignment vertical="top" wrapText="1"/>
    </xf>
    <xf numFmtId="0" fontId="17" fillId="0" borderId="24" xfId="0" applyFont="1" applyFill="1" applyBorder="1" applyAlignment="1" applyProtection="1">
      <alignment vertical="top" wrapText="1"/>
    </xf>
    <xf numFmtId="0" fontId="17" fillId="0" borderId="25" xfId="0" applyFont="1" applyFill="1" applyBorder="1" applyAlignment="1" applyProtection="1">
      <alignment vertical="top" wrapText="1"/>
    </xf>
    <xf numFmtId="0" fontId="17" fillId="0" borderId="26" xfId="0" applyFont="1" applyFill="1" applyBorder="1" applyAlignment="1" applyProtection="1">
      <alignment vertical="top" wrapText="1"/>
    </xf>
    <xf numFmtId="0" fontId="17" fillId="0" borderId="27" xfId="0" applyFont="1" applyFill="1" applyBorder="1" applyAlignment="1" applyProtection="1">
      <alignment vertical="top" wrapText="1"/>
    </xf>
    <xf numFmtId="0" fontId="17" fillId="0" borderId="28" xfId="0" applyFont="1" applyFill="1" applyBorder="1" applyAlignment="1" applyProtection="1">
      <alignment vertical="top" wrapText="1"/>
    </xf>
    <xf numFmtId="0" fontId="17" fillId="0" borderId="30" xfId="0" applyFont="1" applyBorder="1"/>
    <xf numFmtId="0" fontId="17" fillId="0" borderId="31" xfId="0" applyFont="1" applyBorder="1"/>
    <xf numFmtId="0" fontId="17" fillId="0" borderId="32" xfId="0" applyFont="1" applyBorder="1"/>
    <xf numFmtId="0" fontId="0" fillId="0" borderId="0" xfId="0" applyFill="1" applyAlignment="1" applyProtection="1">
      <alignment wrapText="1"/>
    </xf>
    <xf numFmtId="0" fontId="17" fillId="0" borderId="33" xfId="0" applyFont="1" applyFill="1" applyBorder="1" applyAlignment="1" applyProtection="1">
      <alignment wrapText="1"/>
    </xf>
    <xf numFmtId="0" fontId="17" fillId="0" borderId="34" xfId="0" applyFont="1" applyFill="1" applyBorder="1" applyAlignment="1" applyProtection="1">
      <alignment wrapText="1"/>
    </xf>
    <xf numFmtId="0" fontId="17" fillId="0" borderId="35" xfId="0" applyFont="1" applyFill="1" applyBorder="1" applyAlignment="1" applyProtection="1">
      <alignment wrapText="1"/>
    </xf>
    <xf numFmtId="0" fontId="0" fillId="0" borderId="0" xfId="0" applyAlignment="1">
      <alignment wrapText="1"/>
    </xf>
    <xf numFmtId="0" fontId="17" fillId="0" borderId="36" xfId="0" applyFont="1" applyFill="1" applyBorder="1" applyAlignment="1" applyProtection="1">
      <alignment wrapText="1"/>
    </xf>
    <xf numFmtId="0" fontId="22" fillId="0" borderId="0" xfId="0" applyFont="1" applyAlignment="1">
      <alignment wrapText="1"/>
    </xf>
    <xf numFmtId="0" fontId="17" fillId="0" borderId="37" xfId="0" applyFont="1" applyFill="1" applyBorder="1" applyAlignment="1" applyProtection="1">
      <alignment wrapText="1"/>
    </xf>
    <xf numFmtId="0" fontId="17" fillId="0" borderId="38" xfId="0" applyFont="1" applyFill="1" applyBorder="1" applyAlignment="1" applyProtection="1">
      <alignment wrapText="1"/>
    </xf>
    <xf numFmtId="0" fontId="17" fillId="0" borderId="39" xfId="0" applyFont="1" applyFill="1" applyBorder="1" applyAlignment="1" applyProtection="1">
      <alignment wrapText="1"/>
    </xf>
    <xf numFmtId="0" fontId="17" fillId="0" borderId="40" xfId="0" applyFont="1" applyFill="1" applyBorder="1" applyAlignment="1" applyProtection="1">
      <alignment wrapText="1"/>
    </xf>
    <xf numFmtId="0" fontId="17" fillId="0" borderId="41" xfId="0" applyFont="1" applyFill="1" applyBorder="1" applyAlignment="1" applyProtection="1">
      <alignment wrapText="1"/>
    </xf>
    <xf numFmtId="0" fontId="17" fillId="0" borderId="42" xfId="0" applyFont="1" applyFill="1" applyBorder="1" applyAlignment="1" applyProtection="1">
      <alignment wrapText="1"/>
    </xf>
    <xf numFmtId="0" fontId="17" fillId="0" borderId="43" xfId="0" applyFont="1" applyFill="1" applyBorder="1" applyAlignment="1" applyProtection="1">
      <alignment wrapText="1"/>
    </xf>
    <xf numFmtId="0" fontId="17" fillId="0" borderId="44" xfId="0" applyFont="1" applyFill="1" applyBorder="1" applyAlignment="1" applyProtection="1">
      <alignment wrapText="1"/>
    </xf>
    <xf numFmtId="0" fontId="17" fillId="0" borderId="45" xfId="0" applyFont="1" applyFill="1" applyBorder="1" applyAlignment="1" applyProtection="1">
      <alignment wrapText="1"/>
    </xf>
    <xf numFmtId="0" fontId="2" fillId="5" borderId="1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wrapText="1"/>
    </xf>
    <xf numFmtId="0" fontId="1" fillId="2" borderId="12" xfId="0" applyFont="1" applyFill="1" applyBorder="1" applyAlignment="1"/>
    <xf numFmtId="0" fontId="0" fillId="0" borderId="12" xfId="0" applyBorder="1" applyAlignment="1"/>
    <xf numFmtId="0" fontId="10" fillId="3" borderId="10" xfId="0" applyFont="1" applyFill="1" applyBorder="1" applyAlignment="1"/>
    <xf numFmtId="0" fontId="11" fillId="3" borderId="10" xfId="0" applyFont="1" applyFill="1" applyBorder="1" applyAlignment="1"/>
    <xf numFmtId="0" fontId="0" fillId="0" borderId="10" xfId="0" applyBorder="1" applyAlignment="1"/>
    <xf numFmtId="0" fontId="10" fillId="3" borderId="11" xfId="0" applyFont="1" applyFill="1" applyBorder="1" applyAlignment="1"/>
    <xf numFmtId="0" fontId="11" fillId="3" borderId="11" xfId="0" applyFont="1" applyFill="1" applyBorder="1" applyAlignment="1"/>
    <xf numFmtId="0" fontId="0" fillId="0" borderId="11" xfId="0" applyBorder="1" applyAlignme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AFD9FF"/>
      <color rgb="FF2E77B7"/>
      <color rgb="FF000039"/>
      <color rgb="FFFF6600"/>
      <color rgb="FFFFCC66"/>
      <color rgb="FFFF9933"/>
      <color rgb="FF0066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Cov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95250</xdr:colOff>
      <xdr:row>3</xdr:row>
      <xdr:rowOff>180975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162800" cy="752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3</xdr:row>
      <xdr:rowOff>19050</xdr:rowOff>
    </xdr:to>
    <xdr:pic>
      <xdr:nvPicPr>
        <xdr:cNvPr id="2049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048000" cy="590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866775</xdr:colOff>
      <xdr:row>3</xdr:row>
      <xdr:rowOff>9524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048000" cy="5810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866775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048000" cy="590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3048000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048000" cy="590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3048000</xdr:colOff>
      <xdr:row>3</xdr:row>
      <xdr:rowOff>19050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048000" cy="590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2238374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38374" cy="590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6:J24"/>
  <sheetViews>
    <sheetView tabSelected="1" zoomScaleNormal="100" workbookViewId="0">
      <selection activeCell="C28" sqref="C28"/>
    </sheetView>
  </sheetViews>
  <sheetFormatPr defaultColWidth="11.42578125" defaultRowHeight="15"/>
  <cols>
    <col min="1" max="1" width="1.7109375" customWidth="1"/>
    <col min="2" max="2" width="20.7109375" customWidth="1"/>
    <col min="3" max="3" width="17.7109375" customWidth="1"/>
    <col min="4" max="5" width="13.7109375" customWidth="1"/>
    <col min="6" max="6" width="17.7109375" customWidth="1"/>
    <col min="7" max="7" width="20.7109375" customWidth="1"/>
    <col min="8" max="8" width="1.7109375" customWidth="1"/>
    <col min="9" max="14" width="13.7109375" customWidth="1"/>
  </cols>
  <sheetData>
    <row r="6" spans="2:7" ht="15.75" thickBot="1">
      <c r="B6" s="1"/>
      <c r="C6" s="1"/>
      <c r="D6" s="1"/>
      <c r="E6" s="1"/>
      <c r="F6" s="1"/>
      <c r="G6" s="1"/>
    </row>
    <row r="7" spans="2:7" ht="15.75" thickTop="1">
      <c r="B7" s="71" t="s">
        <v>312</v>
      </c>
      <c r="C7" s="72"/>
      <c r="D7" s="72"/>
      <c r="E7" s="72"/>
      <c r="F7" s="72"/>
      <c r="G7" s="73"/>
    </row>
    <row r="8" spans="2:7">
      <c r="B8" s="74"/>
      <c r="C8" s="75"/>
      <c r="D8" s="75"/>
      <c r="E8" s="75"/>
      <c r="F8" s="75"/>
      <c r="G8" s="76"/>
    </row>
    <row r="9" spans="2:7">
      <c r="B9" s="74"/>
      <c r="C9" s="75"/>
      <c r="D9" s="75"/>
      <c r="E9" s="75"/>
      <c r="F9" s="75"/>
      <c r="G9" s="76"/>
    </row>
    <row r="10" spans="2:7">
      <c r="B10" s="74"/>
      <c r="C10" s="75"/>
      <c r="D10" s="75"/>
      <c r="E10" s="75"/>
      <c r="F10" s="75"/>
      <c r="G10" s="76"/>
    </row>
    <row r="11" spans="2:7">
      <c r="B11" s="74"/>
      <c r="C11" s="75"/>
      <c r="D11" s="75"/>
      <c r="E11" s="75"/>
      <c r="F11" s="75"/>
      <c r="G11" s="76"/>
    </row>
    <row r="12" spans="2:7" ht="15.75" thickBot="1">
      <c r="B12" s="77"/>
      <c r="C12" s="78"/>
      <c r="D12" s="78"/>
      <c r="E12" s="78"/>
      <c r="F12" s="78"/>
      <c r="G12" s="79"/>
    </row>
    <row r="13" spans="2:7" ht="15.75" thickTop="1">
      <c r="B13" s="1"/>
      <c r="C13" s="1"/>
      <c r="D13" s="1"/>
      <c r="E13" s="1"/>
      <c r="F13" s="1"/>
      <c r="G13" s="1"/>
    </row>
    <row r="14" spans="2:7">
      <c r="B14" s="1"/>
      <c r="C14" s="1"/>
      <c r="D14" s="1"/>
      <c r="E14" s="1"/>
      <c r="F14" s="1"/>
      <c r="G14" s="1"/>
    </row>
    <row r="15" spans="2:7">
      <c r="B15" s="1"/>
      <c r="C15" s="1"/>
      <c r="D15" s="1"/>
      <c r="E15" s="1"/>
      <c r="F15" s="1"/>
      <c r="G15" s="1"/>
    </row>
    <row r="16" spans="2:7">
      <c r="B16" s="1"/>
      <c r="C16" s="1"/>
      <c r="D16" s="1"/>
      <c r="E16" s="1"/>
      <c r="F16" s="1"/>
      <c r="G16" s="1"/>
    </row>
    <row r="17" spans="2:10">
      <c r="B17" s="1"/>
      <c r="C17" s="1"/>
      <c r="D17" s="1"/>
      <c r="E17" s="1"/>
      <c r="F17" s="1"/>
      <c r="G17" s="1"/>
    </row>
    <row r="18" spans="2:10" ht="15.75">
      <c r="B18" s="5" t="s">
        <v>73</v>
      </c>
      <c r="C18" s="5"/>
      <c r="D18" s="5"/>
      <c r="E18" s="6" t="s">
        <v>75</v>
      </c>
      <c r="F18" s="5"/>
      <c r="G18" s="5" t="s">
        <v>74</v>
      </c>
    </row>
    <row r="19" spans="2:10" ht="15.75">
      <c r="B19" s="3" t="s">
        <v>82</v>
      </c>
      <c r="C19" s="2"/>
      <c r="D19" s="2"/>
      <c r="E19" s="3">
        <v>1</v>
      </c>
      <c r="F19" s="3"/>
      <c r="G19" s="28" t="s">
        <v>83</v>
      </c>
      <c r="J19" s="7"/>
    </row>
    <row r="20" spans="2:10" ht="15.75">
      <c r="B20" s="3" t="s">
        <v>61</v>
      </c>
      <c r="C20" s="2"/>
      <c r="D20" s="2"/>
      <c r="E20" s="3">
        <v>2</v>
      </c>
      <c r="F20" s="3"/>
      <c r="G20" s="28" t="s">
        <v>84</v>
      </c>
    </row>
    <row r="21" spans="2:10" ht="15.75">
      <c r="B21" s="3" t="s">
        <v>76</v>
      </c>
      <c r="C21" s="2"/>
      <c r="D21" s="2"/>
      <c r="E21" s="3">
        <v>3</v>
      </c>
      <c r="F21" s="3"/>
      <c r="G21" s="28" t="s">
        <v>77</v>
      </c>
    </row>
    <row r="22" spans="2:10" ht="15.75">
      <c r="B22" s="3" t="s">
        <v>62</v>
      </c>
      <c r="C22" s="2"/>
      <c r="D22" s="2"/>
      <c r="E22" s="3">
        <v>4</v>
      </c>
      <c r="F22" s="3"/>
      <c r="G22" s="33" t="s">
        <v>237</v>
      </c>
    </row>
    <row r="23" spans="2:10" ht="15.75">
      <c r="B23" s="3" t="s">
        <v>63</v>
      </c>
      <c r="C23" s="2"/>
      <c r="D23" s="2"/>
      <c r="E23" s="3">
        <v>5</v>
      </c>
      <c r="F23" s="3"/>
      <c r="G23" s="33" t="s">
        <v>238</v>
      </c>
    </row>
    <row r="24" spans="2:10" ht="15.75">
      <c r="B24" s="3" t="s">
        <v>250</v>
      </c>
      <c r="C24" s="2"/>
      <c r="D24" s="2"/>
      <c r="E24" s="3">
        <v>6</v>
      </c>
      <c r="F24" s="3"/>
      <c r="G24" s="33" t="s">
        <v>239</v>
      </c>
    </row>
  </sheetData>
  <mergeCells count="1">
    <mergeCell ref="B7:G12"/>
  </mergeCells>
  <hyperlinks>
    <hyperlink ref="G20" location="'2  | Available'!A1" display="'2  | Available'!A1"/>
    <hyperlink ref="G21" location="'3 | Exclusive'!A1" display="'3 | Exclusive'!A1"/>
    <hyperlink ref="G19" location="'1 | Statistics'!A1" display="'1 | Statistics'!A1"/>
    <hyperlink ref="G22" location="'4 | Old editions'!A1" display="'4 | Old editions'!A1"/>
    <hyperlink ref="G23" location="'5 | Not included'!A1" display="'5 | Not included'!A1"/>
    <hyperlink ref="G24" location="'6 | Coming soon'!A1" display="'6 | Coming soon'!A1"/>
  </hyperlinks>
  <pageMargins left="0.7" right="0.7" top="0.78740157499999996" bottom="0.78740157499999996" header="0.3" footer="0.3"/>
  <pageSetup paperSize="9"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6"/>
  <sheetViews>
    <sheetView zoomScaleNormal="100" workbookViewId="0">
      <selection activeCell="H19" sqref="H19"/>
    </sheetView>
  </sheetViews>
  <sheetFormatPr defaultColWidth="11.42578125" defaultRowHeight="15"/>
  <cols>
    <col min="5" max="5" width="16.140625" customWidth="1"/>
  </cols>
  <sheetData>
    <row r="1" spans="1:10">
      <c r="F1" s="13" t="s">
        <v>89</v>
      </c>
    </row>
    <row r="4" spans="1:10" ht="26.25">
      <c r="A4" s="4" t="s">
        <v>209</v>
      </c>
    </row>
    <row r="8" spans="1:10">
      <c r="F8" s="38" t="s">
        <v>251</v>
      </c>
      <c r="G8" s="39"/>
      <c r="H8" s="40" t="s">
        <v>264</v>
      </c>
    </row>
    <row r="9" spans="1:10">
      <c r="F9" s="38" t="s">
        <v>252</v>
      </c>
      <c r="G9" s="39"/>
      <c r="H9" s="40" t="s">
        <v>252</v>
      </c>
    </row>
    <row r="10" spans="1:10">
      <c r="A10" s="82" t="s">
        <v>87</v>
      </c>
      <c r="B10" s="83"/>
      <c r="C10" s="83"/>
      <c r="D10" s="83"/>
      <c r="E10" s="84"/>
      <c r="F10" s="34">
        <v>19</v>
      </c>
      <c r="G10" s="34"/>
      <c r="H10" s="25">
        <v>27</v>
      </c>
      <c r="J10" s="41"/>
    </row>
    <row r="11" spans="1:10" ht="15.75" thickBot="1">
      <c r="A11" s="80" t="s">
        <v>86</v>
      </c>
      <c r="B11" s="81"/>
      <c r="C11" s="81"/>
      <c r="D11" s="81"/>
      <c r="E11" s="81"/>
      <c r="F11" s="35">
        <v>184</v>
      </c>
      <c r="G11" s="35"/>
      <c r="H11" s="26">
        <v>193</v>
      </c>
      <c r="J11" s="41"/>
    </row>
    <row r="12" spans="1:10">
      <c r="A12" s="82" t="s">
        <v>217</v>
      </c>
      <c r="B12" s="83"/>
      <c r="C12" s="83"/>
      <c r="D12" s="83"/>
      <c r="E12" s="84"/>
      <c r="F12" s="34">
        <v>12001</v>
      </c>
      <c r="G12" s="34"/>
      <c r="H12" s="25">
        <v>19918</v>
      </c>
      <c r="J12" s="41"/>
    </row>
    <row r="13" spans="1:10">
      <c r="A13" s="82" t="s">
        <v>223</v>
      </c>
      <c r="B13" s="83"/>
      <c r="C13" s="83"/>
      <c r="D13" s="83"/>
      <c r="E13" s="84"/>
      <c r="F13" s="36">
        <v>659</v>
      </c>
      <c r="G13" s="36"/>
      <c r="H13" s="30">
        <f>H15-F15</f>
        <v>8764</v>
      </c>
      <c r="J13" s="41"/>
    </row>
    <row r="14" spans="1:10">
      <c r="A14" s="85" t="s">
        <v>222</v>
      </c>
      <c r="B14" s="85"/>
      <c r="C14" s="85"/>
      <c r="D14" s="85"/>
      <c r="E14" s="85"/>
      <c r="F14" s="34">
        <v>28895</v>
      </c>
      <c r="G14" s="34"/>
      <c r="H14" s="25">
        <f>F14+H13</f>
        <v>37659</v>
      </c>
      <c r="J14" s="41"/>
    </row>
    <row r="15" spans="1:10" ht="15.75" thickBot="1">
      <c r="A15" s="80" t="s">
        <v>224</v>
      </c>
      <c r="B15" s="81"/>
      <c r="C15" s="81"/>
      <c r="D15" s="81"/>
      <c r="E15" s="81"/>
      <c r="F15" s="35">
        <v>242388</v>
      </c>
      <c r="G15" s="35"/>
      <c r="H15" s="26">
        <v>251152</v>
      </c>
      <c r="J15" s="41"/>
    </row>
    <row r="16" spans="1:10">
      <c r="A16" s="85" t="s">
        <v>88</v>
      </c>
      <c r="B16" s="86"/>
      <c r="C16" s="86"/>
      <c r="D16" s="86"/>
      <c r="E16" s="87"/>
      <c r="F16" s="37">
        <v>447</v>
      </c>
      <c r="G16" s="37"/>
      <c r="H16" s="29">
        <f>H17-F17</f>
        <v>1123</v>
      </c>
      <c r="J16" s="41"/>
    </row>
    <row r="17" spans="1:14" ht="15.75" thickBot="1">
      <c r="A17" s="80" t="s">
        <v>216</v>
      </c>
      <c r="B17" s="81"/>
      <c r="C17" s="81"/>
      <c r="D17" s="81"/>
      <c r="E17" s="81"/>
      <c r="F17" s="35">
        <v>5527</v>
      </c>
      <c r="G17" s="35"/>
      <c r="H17" s="26">
        <f>5350+1300</f>
        <v>6650</v>
      </c>
      <c r="J17" s="41"/>
    </row>
    <row r="18" spans="1:14">
      <c r="H18" s="1"/>
    </row>
    <row r="21" spans="1:14">
      <c r="A21" s="15" t="s">
        <v>89</v>
      </c>
      <c r="B21" s="27"/>
    </row>
    <row r="29" spans="1:14">
      <c r="M29" s="41"/>
      <c r="N29" s="41"/>
    </row>
    <row r="30" spans="1:14">
      <c r="M30" s="41"/>
      <c r="N30" s="41"/>
    </row>
    <row r="31" spans="1:14">
      <c r="M31" s="41"/>
      <c r="N31" s="41"/>
    </row>
    <row r="32" spans="1:14">
      <c r="M32" s="41"/>
      <c r="N32" s="41"/>
    </row>
    <row r="33" spans="13:14">
      <c r="M33" s="41"/>
      <c r="N33" s="41"/>
    </row>
    <row r="34" spans="13:14">
      <c r="M34" s="41"/>
      <c r="N34" s="41"/>
    </row>
    <row r="35" spans="13:14">
      <c r="M35" s="41"/>
      <c r="N35" s="41"/>
    </row>
    <row r="36" spans="13:14">
      <c r="M36" s="41"/>
      <c r="N36" s="41"/>
    </row>
  </sheetData>
  <mergeCells count="8">
    <mergeCell ref="A17:E17"/>
    <mergeCell ref="A15:E15"/>
    <mergeCell ref="A11:E11"/>
    <mergeCell ref="A10:E10"/>
    <mergeCell ref="A12:E12"/>
    <mergeCell ref="A14:E14"/>
    <mergeCell ref="A13:E13"/>
    <mergeCell ref="A16:E16"/>
  </mergeCells>
  <hyperlinks>
    <hyperlink ref="A21" location="Cover!A1" display="--&gt; Return to first page"/>
    <hyperlink ref="F1" location="Cover!A1" display="--&gt; Return to first page"/>
  </hyperlinks>
  <pageMargins left="0.7" right="0.7" top="0.78740157499999996" bottom="0.78740157499999996" header="0.3" footer="0.3"/>
  <pageSetup paperSize="9" scale="9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1"/>
  <sheetViews>
    <sheetView zoomScaleNormal="100" workbookViewId="0">
      <selection activeCell="A5" sqref="A5"/>
    </sheetView>
  </sheetViews>
  <sheetFormatPr defaultColWidth="11.42578125" defaultRowHeight="15"/>
  <cols>
    <col min="1" max="1" width="32.7109375" style="10" customWidth="1"/>
    <col min="2" max="2" width="81.7109375" style="10" customWidth="1"/>
    <col min="3" max="3" width="12.140625" style="31" customWidth="1"/>
    <col min="4" max="16384" width="11.42578125" style="31"/>
  </cols>
  <sheetData>
    <row r="1" spans="1:3" customFormat="1">
      <c r="C1" s="13" t="s">
        <v>89</v>
      </c>
    </row>
    <row r="4" spans="1:3" customFormat="1" ht="26.25">
      <c r="A4" s="4" t="s">
        <v>78</v>
      </c>
    </row>
    <row r="6" spans="1:3" ht="15.75" thickBot="1"/>
    <row r="7" spans="1:3" ht="15" customHeight="1">
      <c r="A7" s="44" t="s">
        <v>3</v>
      </c>
      <c r="B7" s="44" t="s">
        <v>90</v>
      </c>
      <c r="C7" s="45" t="s">
        <v>207</v>
      </c>
    </row>
    <row r="8" spans="1:3" s="43" customFormat="1">
      <c r="A8" s="46" t="s">
        <v>91</v>
      </c>
      <c r="B8" s="47" t="s">
        <v>92</v>
      </c>
      <c r="C8" s="48">
        <v>2008</v>
      </c>
    </row>
    <row r="9" spans="1:3" s="59" customFormat="1">
      <c r="A9" s="46" t="s">
        <v>253</v>
      </c>
      <c r="B9" s="47" t="s">
        <v>282</v>
      </c>
      <c r="C9" s="48">
        <v>2012</v>
      </c>
    </row>
    <row r="10" spans="1:3" s="59" customFormat="1">
      <c r="A10" s="46" t="s">
        <v>253</v>
      </c>
      <c r="B10" s="47" t="s">
        <v>299</v>
      </c>
      <c r="C10" s="48">
        <v>2013</v>
      </c>
    </row>
    <row r="11" spans="1:3" s="59" customFormat="1">
      <c r="A11" s="46" t="s">
        <v>253</v>
      </c>
      <c r="B11" s="47" t="s">
        <v>164</v>
      </c>
      <c r="C11" s="48">
        <v>2011</v>
      </c>
    </row>
    <row r="12" spans="1:3" s="59" customFormat="1">
      <c r="A12" s="46" t="s">
        <v>253</v>
      </c>
      <c r="B12" s="47" t="s">
        <v>232</v>
      </c>
      <c r="C12" s="48">
        <v>2013</v>
      </c>
    </row>
    <row r="13" spans="1:3" s="59" customFormat="1">
      <c r="A13" s="46" t="s">
        <v>253</v>
      </c>
      <c r="B13" s="47" t="s">
        <v>173</v>
      </c>
      <c r="C13" s="48">
        <v>2010</v>
      </c>
    </row>
    <row r="14" spans="1:3" s="59" customFormat="1">
      <c r="A14" s="46" t="s">
        <v>253</v>
      </c>
      <c r="B14" s="47" t="s">
        <v>176</v>
      </c>
      <c r="C14" s="48">
        <v>2012</v>
      </c>
    </row>
    <row r="15" spans="1:3" s="59" customFormat="1">
      <c r="A15" s="46" t="s">
        <v>253</v>
      </c>
      <c r="B15" s="47" t="s">
        <v>178</v>
      </c>
      <c r="C15" s="48">
        <v>2010</v>
      </c>
    </row>
    <row r="16" spans="1:3" s="59" customFormat="1">
      <c r="A16" s="46" t="s">
        <v>253</v>
      </c>
      <c r="B16" s="47" t="s">
        <v>300</v>
      </c>
      <c r="C16" s="48">
        <v>2014</v>
      </c>
    </row>
    <row r="17" spans="1:3" s="59" customFormat="1">
      <c r="A17" s="46" t="s">
        <v>9</v>
      </c>
      <c r="B17" s="47" t="s">
        <v>242</v>
      </c>
      <c r="C17" s="48">
        <v>2012</v>
      </c>
    </row>
    <row r="18" spans="1:3" s="59" customFormat="1">
      <c r="A18" s="46" t="s">
        <v>9</v>
      </c>
      <c r="B18" s="47" t="s">
        <v>257</v>
      </c>
      <c r="C18" s="48">
        <v>2012</v>
      </c>
    </row>
    <row r="19" spans="1:3" s="59" customFormat="1">
      <c r="A19" s="46" t="s">
        <v>9</v>
      </c>
      <c r="B19" s="47" t="s">
        <v>93</v>
      </c>
      <c r="C19" s="48">
        <v>2011</v>
      </c>
    </row>
    <row r="20" spans="1:3" s="59" customFormat="1">
      <c r="A20" s="46" t="s">
        <v>9</v>
      </c>
      <c r="B20" s="47" t="s">
        <v>7</v>
      </c>
      <c r="C20" s="48">
        <v>2008</v>
      </c>
    </row>
    <row r="21" spans="1:3" s="59" customFormat="1">
      <c r="A21" s="46" t="s">
        <v>9</v>
      </c>
      <c r="B21" s="47" t="s">
        <v>94</v>
      </c>
      <c r="C21" s="48">
        <v>2006</v>
      </c>
    </row>
    <row r="22" spans="1:3" s="59" customFormat="1">
      <c r="A22" s="46" t="s">
        <v>9</v>
      </c>
      <c r="B22" s="47" t="s">
        <v>225</v>
      </c>
      <c r="C22" s="48">
        <v>2013</v>
      </c>
    </row>
    <row r="23" spans="1:3" s="59" customFormat="1">
      <c r="A23" s="46" t="s">
        <v>9</v>
      </c>
      <c r="B23" s="47" t="s">
        <v>11</v>
      </c>
      <c r="C23" s="48">
        <v>2012</v>
      </c>
    </row>
    <row r="24" spans="1:3" s="59" customFormat="1">
      <c r="A24" s="46" t="s">
        <v>9</v>
      </c>
      <c r="B24" s="47" t="s">
        <v>16</v>
      </c>
      <c r="C24" s="48">
        <v>2008</v>
      </c>
    </row>
    <row r="25" spans="1:3" s="59" customFormat="1">
      <c r="A25" s="46" t="s">
        <v>9</v>
      </c>
      <c r="B25" s="47" t="s">
        <v>96</v>
      </c>
      <c r="C25" s="48">
        <v>2008</v>
      </c>
    </row>
    <row r="26" spans="1:3" s="59" customFormat="1">
      <c r="A26" s="46" t="s">
        <v>9</v>
      </c>
      <c r="B26" s="47" t="s">
        <v>240</v>
      </c>
      <c r="C26" s="48">
        <v>2014</v>
      </c>
    </row>
    <row r="27" spans="1:3" s="59" customFormat="1">
      <c r="A27" s="46" t="s">
        <v>9</v>
      </c>
      <c r="B27" s="47" t="s">
        <v>254</v>
      </c>
      <c r="C27" s="48">
        <v>2013</v>
      </c>
    </row>
    <row r="28" spans="1:3" s="59" customFormat="1">
      <c r="A28" s="46" t="s">
        <v>9</v>
      </c>
      <c r="B28" s="47" t="s">
        <v>97</v>
      </c>
      <c r="C28" s="48">
        <v>2009</v>
      </c>
    </row>
    <row r="29" spans="1:3" s="59" customFormat="1">
      <c r="A29" s="46" t="s">
        <v>9</v>
      </c>
      <c r="B29" s="47" t="s">
        <v>98</v>
      </c>
      <c r="C29" s="48">
        <v>2008</v>
      </c>
    </row>
    <row r="30" spans="1:3" s="59" customFormat="1">
      <c r="A30" s="46" t="s">
        <v>9</v>
      </c>
      <c r="B30" s="47" t="s">
        <v>99</v>
      </c>
      <c r="C30" s="48">
        <v>2009</v>
      </c>
    </row>
    <row r="31" spans="1:3" s="59" customFormat="1">
      <c r="A31" s="46" t="s">
        <v>9</v>
      </c>
      <c r="B31" s="47" t="s">
        <v>100</v>
      </c>
      <c r="C31" s="48">
        <v>2013</v>
      </c>
    </row>
    <row r="32" spans="1:3" s="59" customFormat="1">
      <c r="A32" s="46" t="s">
        <v>9</v>
      </c>
      <c r="B32" s="47" t="s">
        <v>101</v>
      </c>
      <c r="C32" s="48">
        <v>2008</v>
      </c>
    </row>
    <row r="33" spans="1:3" s="59" customFormat="1">
      <c r="A33" s="46" t="s">
        <v>9</v>
      </c>
      <c r="B33" s="47" t="s">
        <v>102</v>
      </c>
      <c r="C33" s="48">
        <v>2010</v>
      </c>
    </row>
    <row r="34" spans="1:3" s="59" customFormat="1">
      <c r="A34" s="46" t="s">
        <v>9</v>
      </c>
      <c r="B34" s="47" t="s">
        <v>226</v>
      </c>
      <c r="C34" s="48">
        <v>2012</v>
      </c>
    </row>
    <row r="35" spans="1:3" s="59" customFormat="1">
      <c r="A35" s="46" t="s">
        <v>9</v>
      </c>
      <c r="B35" s="47" t="s">
        <v>227</v>
      </c>
      <c r="C35" s="48">
        <v>2013</v>
      </c>
    </row>
    <row r="36" spans="1:3" s="59" customFormat="1">
      <c r="A36" s="46" t="s">
        <v>9</v>
      </c>
      <c r="B36" s="47" t="s">
        <v>103</v>
      </c>
      <c r="C36" s="48">
        <v>2006</v>
      </c>
    </row>
    <row r="37" spans="1:3" s="59" customFormat="1">
      <c r="A37" s="46" t="s">
        <v>9</v>
      </c>
      <c r="B37" s="47" t="s">
        <v>104</v>
      </c>
      <c r="C37" s="48">
        <v>2005</v>
      </c>
    </row>
    <row r="38" spans="1:3" s="59" customFormat="1">
      <c r="A38" s="46" t="s">
        <v>9</v>
      </c>
      <c r="B38" s="47" t="s">
        <v>105</v>
      </c>
      <c r="C38" s="48">
        <v>2011</v>
      </c>
    </row>
    <row r="39" spans="1:3" s="59" customFormat="1">
      <c r="A39" s="46" t="s">
        <v>9</v>
      </c>
      <c r="B39" s="47" t="s">
        <v>106</v>
      </c>
      <c r="C39" s="48">
        <v>2014</v>
      </c>
    </row>
    <row r="40" spans="1:3" s="59" customFormat="1">
      <c r="A40" s="46" t="s">
        <v>9</v>
      </c>
      <c r="B40" s="47" t="s">
        <v>107</v>
      </c>
      <c r="C40" s="48">
        <v>2010</v>
      </c>
    </row>
    <row r="41" spans="1:3" s="59" customFormat="1">
      <c r="A41" s="46" t="s">
        <v>9</v>
      </c>
      <c r="B41" s="47" t="s">
        <v>255</v>
      </c>
      <c r="C41" s="48">
        <v>2012</v>
      </c>
    </row>
    <row r="42" spans="1:3" s="59" customFormat="1">
      <c r="A42" s="46" t="s">
        <v>9</v>
      </c>
      <c r="B42" s="47" t="s">
        <v>210</v>
      </c>
      <c r="C42" s="48">
        <v>2007</v>
      </c>
    </row>
    <row r="43" spans="1:3" s="59" customFormat="1">
      <c r="A43" s="46" t="s">
        <v>9</v>
      </c>
      <c r="B43" s="47" t="s">
        <v>228</v>
      </c>
      <c r="C43" s="48">
        <v>2013</v>
      </c>
    </row>
    <row r="44" spans="1:3" s="59" customFormat="1">
      <c r="A44" s="46" t="s">
        <v>9</v>
      </c>
      <c r="B44" s="47" t="s">
        <v>108</v>
      </c>
      <c r="C44" s="48">
        <v>2004</v>
      </c>
    </row>
    <row r="45" spans="1:3" s="59" customFormat="1">
      <c r="A45" s="46" t="s">
        <v>9</v>
      </c>
      <c r="B45" s="47" t="s">
        <v>267</v>
      </c>
      <c r="C45" s="48">
        <v>2013</v>
      </c>
    </row>
    <row r="46" spans="1:3" s="59" customFormat="1">
      <c r="A46" s="46" t="s">
        <v>9</v>
      </c>
      <c r="B46" s="47" t="s">
        <v>109</v>
      </c>
      <c r="C46" s="48">
        <v>2010</v>
      </c>
    </row>
    <row r="47" spans="1:3" s="59" customFormat="1">
      <c r="A47" s="46" t="s">
        <v>9</v>
      </c>
      <c r="B47" s="47" t="s">
        <v>110</v>
      </c>
      <c r="C47" s="48">
        <v>2009</v>
      </c>
    </row>
    <row r="48" spans="1:3" s="59" customFormat="1" ht="25.5">
      <c r="A48" s="46" t="s">
        <v>9</v>
      </c>
      <c r="B48" s="47" t="s">
        <v>275</v>
      </c>
      <c r="C48" s="48">
        <v>2006</v>
      </c>
    </row>
    <row r="49" spans="1:3" s="59" customFormat="1">
      <c r="A49" s="46" t="s">
        <v>9</v>
      </c>
      <c r="B49" s="47" t="s">
        <v>276</v>
      </c>
      <c r="C49" s="48">
        <v>2006</v>
      </c>
    </row>
    <row r="50" spans="1:3" s="59" customFormat="1" ht="25.5">
      <c r="A50" s="46" t="s">
        <v>9</v>
      </c>
      <c r="B50" s="47" t="s">
        <v>111</v>
      </c>
      <c r="C50" s="48">
        <v>2006</v>
      </c>
    </row>
    <row r="51" spans="1:3" s="59" customFormat="1">
      <c r="A51" s="46" t="s">
        <v>9</v>
      </c>
      <c r="B51" s="47" t="s">
        <v>277</v>
      </c>
      <c r="C51" s="48">
        <v>2006</v>
      </c>
    </row>
    <row r="52" spans="1:3" s="59" customFormat="1" ht="25.5">
      <c r="A52" s="46" t="s">
        <v>9</v>
      </c>
      <c r="B52" s="47" t="s">
        <v>278</v>
      </c>
      <c r="C52" s="48">
        <v>2006</v>
      </c>
    </row>
    <row r="53" spans="1:3" s="59" customFormat="1">
      <c r="A53" s="46" t="s">
        <v>9</v>
      </c>
      <c r="B53" s="47" t="s">
        <v>112</v>
      </c>
      <c r="C53" s="48">
        <v>2006</v>
      </c>
    </row>
    <row r="54" spans="1:3" s="59" customFormat="1" ht="25.5">
      <c r="A54" s="46" t="s">
        <v>9</v>
      </c>
      <c r="B54" s="47" t="s">
        <v>113</v>
      </c>
      <c r="C54" s="48">
        <v>2006</v>
      </c>
    </row>
    <row r="55" spans="1:3" s="59" customFormat="1">
      <c r="A55" s="46" t="s">
        <v>9</v>
      </c>
      <c r="B55" s="47" t="s">
        <v>56</v>
      </c>
      <c r="C55" s="48">
        <v>2011</v>
      </c>
    </row>
    <row r="56" spans="1:3" s="59" customFormat="1">
      <c r="A56" s="46" t="s">
        <v>9</v>
      </c>
      <c r="B56" s="47" t="s">
        <v>301</v>
      </c>
      <c r="C56" s="48">
        <v>2014</v>
      </c>
    </row>
    <row r="57" spans="1:3" s="59" customFormat="1">
      <c r="A57" s="46" t="s">
        <v>114</v>
      </c>
      <c r="B57" s="47" t="s">
        <v>302</v>
      </c>
      <c r="C57" s="48">
        <v>2013</v>
      </c>
    </row>
    <row r="58" spans="1:3" s="59" customFormat="1">
      <c r="A58" s="46" t="s">
        <v>114</v>
      </c>
      <c r="B58" s="47" t="s">
        <v>303</v>
      </c>
      <c r="C58" s="48">
        <v>2013</v>
      </c>
    </row>
    <row r="59" spans="1:3" s="59" customFormat="1">
      <c r="A59" s="46" t="s">
        <v>114</v>
      </c>
      <c r="B59" s="47" t="s">
        <v>115</v>
      </c>
      <c r="C59" s="48">
        <v>2006</v>
      </c>
    </row>
    <row r="60" spans="1:3" s="59" customFormat="1">
      <c r="A60" s="46" t="s">
        <v>114</v>
      </c>
      <c r="B60" s="47" t="s">
        <v>116</v>
      </c>
      <c r="C60" s="48">
        <v>2013</v>
      </c>
    </row>
    <row r="61" spans="1:3" s="59" customFormat="1">
      <c r="A61" s="46" t="s">
        <v>114</v>
      </c>
      <c r="B61" s="47" t="s">
        <v>117</v>
      </c>
      <c r="C61" s="48">
        <v>2000</v>
      </c>
    </row>
    <row r="62" spans="1:3" s="59" customFormat="1">
      <c r="A62" s="46" t="s">
        <v>25</v>
      </c>
      <c r="B62" s="47" t="s">
        <v>218</v>
      </c>
      <c r="C62" s="48">
        <v>2013</v>
      </c>
    </row>
    <row r="63" spans="1:3" s="59" customFormat="1">
      <c r="A63" s="46" t="s">
        <v>25</v>
      </c>
      <c r="B63" s="47" t="s">
        <v>294</v>
      </c>
      <c r="C63" s="48">
        <v>2013</v>
      </c>
    </row>
    <row r="64" spans="1:3" s="59" customFormat="1">
      <c r="A64" s="46" t="s">
        <v>25</v>
      </c>
      <c r="B64" s="47" t="s">
        <v>262</v>
      </c>
      <c r="C64" s="48">
        <v>2014</v>
      </c>
    </row>
    <row r="65" spans="1:3" s="59" customFormat="1">
      <c r="A65" s="46" t="s">
        <v>25</v>
      </c>
      <c r="B65" s="47" t="s">
        <v>229</v>
      </c>
      <c r="C65" s="48">
        <v>2012</v>
      </c>
    </row>
    <row r="66" spans="1:3" s="59" customFormat="1">
      <c r="A66" s="46" t="s">
        <v>25</v>
      </c>
      <c r="B66" s="47" t="s">
        <v>23</v>
      </c>
      <c r="C66" s="48">
        <v>2011</v>
      </c>
    </row>
    <row r="67" spans="1:3" s="59" customFormat="1">
      <c r="A67" s="46" t="s">
        <v>25</v>
      </c>
      <c r="B67" s="47" t="s">
        <v>119</v>
      </c>
      <c r="C67" s="48">
        <v>2008</v>
      </c>
    </row>
    <row r="68" spans="1:3" s="59" customFormat="1">
      <c r="A68" s="46" t="s">
        <v>25</v>
      </c>
      <c r="B68" s="47" t="s">
        <v>258</v>
      </c>
      <c r="C68" s="48">
        <v>2012</v>
      </c>
    </row>
    <row r="69" spans="1:3" s="59" customFormat="1">
      <c r="A69" s="46" t="s">
        <v>25</v>
      </c>
      <c r="B69" s="47" t="s">
        <v>120</v>
      </c>
      <c r="C69" s="48">
        <v>2005</v>
      </c>
    </row>
    <row r="70" spans="1:3" s="59" customFormat="1">
      <c r="A70" s="46" t="s">
        <v>25</v>
      </c>
      <c r="B70" s="47" t="s">
        <v>121</v>
      </c>
      <c r="C70" s="48">
        <v>2003</v>
      </c>
    </row>
    <row r="71" spans="1:3" s="59" customFormat="1">
      <c r="A71" s="46" t="s">
        <v>25</v>
      </c>
      <c r="B71" s="47" t="s">
        <v>41</v>
      </c>
      <c r="C71" s="48">
        <v>2011</v>
      </c>
    </row>
    <row r="72" spans="1:3" s="59" customFormat="1">
      <c r="A72" s="46" t="s">
        <v>25</v>
      </c>
      <c r="B72" s="47" t="s">
        <v>246</v>
      </c>
      <c r="C72" s="48">
        <v>2012</v>
      </c>
    </row>
    <row r="73" spans="1:3" s="59" customFormat="1">
      <c r="A73" s="46" t="s">
        <v>25</v>
      </c>
      <c r="B73" s="47" t="s">
        <v>304</v>
      </c>
      <c r="C73" s="48">
        <v>2013</v>
      </c>
    </row>
    <row r="74" spans="1:3" s="59" customFormat="1">
      <c r="A74" s="46" t="s">
        <v>25</v>
      </c>
      <c r="B74" s="47" t="s">
        <v>304</v>
      </c>
      <c r="C74" s="48">
        <v>2013</v>
      </c>
    </row>
    <row r="75" spans="1:3" s="59" customFormat="1">
      <c r="A75" s="46" t="s">
        <v>25</v>
      </c>
      <c r="B75" s="47" t="s">
        <v>304</v>
      </c>
      <c r="C75" s="48">
        <v>2013</v>
      </c>
    </row>
    <row r="76" spans="1:3" s="59" customFormat="1">
      <c r="A76" s="46" t="s">
        <v>25</v>
      </c>
      <c r="B76" s="47" t="s">
        <v>122</v>
      </c>
      <c r="C76" s="48">
        <v>2014</v>
      </c>
    </row>
    <row r="77" spans="1:3" s="59" customFormat="1">
      <c r="A77" s="46" t="s">
        <v>25</v>
      </c>
      <c r="B77" s="47" t="s">
        <v>219</v>
      </c>
      <c r="C77" s="48">
        <v>2003</v>
      </c>
    </row>
    <row r="78" spans="1:3" s="59" customFormat="1">
      <c r="A78" s="46" t="s">
        <v>15</v>
      </c>
      <c r="B78" s="47" t="s">
        <v>124</v>
      </c>
      <c r="C78" s="48">
        <v>2000</v>
      </c>
    </row>
    <row r="79" spans="1:3" s="59" customFormat="1">
      <c r="A79" s="46" t="s">
        <v>15</v>
      </c>
      <c r="B79" s="47" t="s">
        <v>125</v>
      </c>
      <c r="C79" s="48">
        <v>2008</v>
      </c>
    </row>
    <row r="80" spans="1:3" s="59" customFormat="1">
      <c r="A80" s="46" t="s">
        <v>15</v>
      </c>
      <c r="B80" s="47" t="s">
        <v>126</v>
      </c>
      <c r="C80" s="48">
        <v>2009</v>
      </c>
    </row>
    <row r="81" spans="1:3" s="59" customFormat="1">
      <c r="A81" s="46" t="s">
        <v>15</v>
      </c>
      <c r="B81" s="47" t="s">
        <v>284</v>
      </c>
      <c r="C81" s="48">
        <v>2015</v>
      </c>
    </row>
    <row r="82" spans="1:3" s="59" customFormat="1">
      <c r="A82" s="46" t="s">
        <v>15</v>
      </c>
      <c r="B82" s="47" t="s">
        <v>13</v>
      </c>
      <c r="C82" s="48">
        <v>2011</v>
      </c>
    </row>
    <row r="83" spans="1:3" s="59" customFormat="1">
      <c r="A83" s="46" t="s">
        <v>15</v>
      </c>
      <c r="B83" s="47" t="s">
        <v>127</v>
      </c>
      <c r="C83" s="48">
        <v>2010</v>
      </c>
    </row>
    <row r="84" spans="1:3" s="59" customFormat="1">
      <c r="A84" s="46" t="s">
        <v>15</v>
      </c>
      <c r="B84" s="47" t="s">
        <v>128</v>
      </c>
      <c r="C84" s="48">
        <v>2008</v>
      </c>
    </row>
    <row r="85" spans="1:3" s="59" customFormat="1">
      <c r="A85" s="46" t="s">
        <v>15</v>
      </c>
      <c r="B85" s="47" t="s">
        <v>129</v>
      </c>
      <c r="C85" s="48">
        <v>2011</v>
      </c>
    </row>
    <row r="86" spans="1:3" s="59" customFormat="1">
      <c r="A86" s="46" t="s">
        <v>15</v>
      </c>
      <c r="B86" s="47" t="s">
        <v>18</v>
      </c>
      <c r="C86" s="48">
        <v>2008</v>
      </c>
    </row>
    <row r="87" spans="1:3" s="59" customFormat="1">
      <c r="A87" s="46" t="s">
        <v>15</v>
      </c>
      <c r="B87" s="47" t="s">
        <v>243</v>
      </c>
      <c r="C87" s="48">
        <v>2011</v>
      </c>
    </row>
    <row r="88" spans="1:3" s="59" customFormat="1">
      <c r="A88" s="46" t="s">
        <v>15</v>
      </c>
      <c r="B88" s="47" t="s">
        <v>279</v>
      </c>
      <c r="C88" s="48">
        <v>2013</v>
      </c>
    </row>
    <row r="89" spans="1:3" s="59" customFormat="1">
      <c r="A89" s="46" t="s">
        <v>15</v>
      </c>
      <c r="B89" s="47" t="s">
        <v>211</v>
      </c>
      <c r="C89" s="48">
        <v>2011</v>
      </c>
    </row>
    <row r="90" spans="1:3" s="59" customFormat="1">
      <c r="A90" s="46" t="s">
        <v>6</v>
      </c>
      <c r="B90" s="47" t="s">
        <v>130</v>
      </c>
      <c r="C90" s="48">
        <v>2011</v>
      </c>
    </row>
    <row r="91" spans="1:3" s="59" customFormat="1">
      <c r="A91" s="46" t="s">
        <v>6</v>
      </c>
      <c r="B91" s="47" t="s">
        <v>131</v>
      </c>
      <c r="C91" s="48">
        <v>1984</v>
      </c>
    </row>
    <row r="92" spans="1:3" s="59" customFormat="1">
      <c r="A92" s="46" t="s">
        <v>6</v>
      </c>
      <c r="B92" s="47" t="s">
        <v>132</v>
      </c>
      <c r="C92" s="48">
        <v>1984</v>
      </c>
    </row>
    <row r="93" spans="1:3" s="59" customFormat="1">
      <c r="A93" s="46" t="s">
        <v>6</v>
      </c>
      <c r="B93" s="47" t="s">
        <v>133</v>
      </c>
      <c r="C93" s="48">
        <v>1987</v>
      </c>
    </row>
    <row r="94" spans="1:3" s="59" customFormat="1">
      <c r="A94" s="46" t="s">
        <v>6</v>
      </c>
      <c r="B94" s="47" t="s">
        <v>134</v>
      </c>
      <c r="C94" s="48">
        <v>2005</v>
      </c>
    </row>
    <row r="95" spans="1:3" s="59" customFormat="1">
      <c r="A95" s="46" t="s">
        <v>6</v>
      </c>
      <c r="B95" s="47" t="s">
        <v>220</v>
      </c>
      <c r="C95" s="48">
        <v>1999</v>
      </c>
    </row>
    <row r="96" spans="1:3" s="59" customFormat="1">
      <c r="A96" s="46" t="s">
        <v>6</v>
      </c>
      <c r="B96" s="47" t="s">
        <v>135</v>
      </c>
      <c r="C96" s="48">
        <v>1997</v>
      </c>
    </row>
    <row r="97" spans="1:3" s="59" customFormat="1">
      <c r="A97" s="46" t="s">
        <v>6</v>
      </c>
      <c r="B97" s="47" t="s">
        <v>136</v>
      </c>
      <c r="C97" s="48">
        <v>1988</v>
      </c>
    </row>
    <row r="98" spans="1:3" s="59" customFormat="1">
      <c r="A98" s="46" t="s">
        <v>6</v>
      </c>
      <c r="B98" s="47" t="s">
        <v>137</v>
      </c>
      <c r="C98" s="48">
        <v>2011</v>
      </c>
    </row>
    <row r="99" spans="1:3" s="59" customFormat="1">
      <c r="A99" s="46" t="s">
        <v>6</v>
      </c>
      <c r="B99" s="47" t="s">
        <v>138</v>
      </c>
      <c r="C99" s="48">
        <v>1999</v>
      </c>
    </row>
    <row r="100" spans="1:3" s="59" customFormat="1">
      <c r="A100" s="46" t="s">
        <v>6</v>
      </c>
      <c r="B100" s="47" t="s">
        <v>139</v>
      </c>
      <c r="C100" s="48">
        <v>2007</v>
      </c>
    </row>
    <row r="101" spans="1:3" s="59" customFormat="1">
      <c r="A101" s="46" t="s">
        <v>6</v>
      </c>
      <c r="B101" s="47" t="s">
        <v>140</v>
      </c>
      <c r="C101" s="48">
        <v>1997</v>
      </c>
    </row>
    <row r="102" spans="1:3" s="59" customFormat="1">
      <c r="A102" s="46" t="s">
        <v>6</v>
      </c>
      <c r="B102" s="47" t="s">
        <v>141</v>
      </c>
      <c r="C102" s="48">
        <v>1998</v>
      </c>
    </row>
    <row r="103" spans="1:3" s="59" customFormat="1">
      <c r="A103" s="46" t="s">
        <v>6</v>
      </c>
      <c r="B103" s="47" t="s">
        <v>142</v>
      </c>
      <c r="C103" s="48">
        <v>1990</v>
      </c>
    </row>
    <row r="104" spans="1:3" s="59" customFormat="1">
      <c r="A104" s="46" t="s">
        <v>6</v>
      </c>
      <c r="B104" s="47" t="s">
        <v>273</v>
      </c>
      <c r="C104" s="48">
        <v>2012</v>
      </c>
    </row>
    <row r="105" spans="1:3" s="59" customFormat="1">
      <c r="A105" s="46" t="s">
        <v>6</v>
      </c>
      <c r="B105" s="47" t="s">
        <v>143</v>
      </c>
      <c r="C105" s="48">
        <v>1982</v>
      </c>
    </row>
    <row r="106" spans="1:3" s="59" customFormat="1">
      <c r="A106" s="46" t="s">
        <v>6</v>
      </c>
      <c r="B106" s="47" t="s">
        <v>144</v>
      </c>
      <c r="C106" s="48">
        <v>2011</v>
      </c>
    </row>
    <row r="107" spans="1:3" s="59" customFormat="1">
      <c r="A107" s="46" t="s">
        <v>6</v>
      </c>
      <c r="B107" s="47" t="s">
        <v>145</v>
      </c>
      <c r="C107" s="48">
        <v>2013</v>
      </c>
    </row>
    <row r="108" spans="1:3" s="59" customFormat="1">
      <c r="A108" s="46" t="s">
        <v>6</v>
      </c>
      <c r="B108" s="47" t="s">
        <v>146</v>
      </c>
      <c r="C108" s="48">
        <v>2009</v>
      </c>
    </row>
    <row r="109" spans="1:3" s="59" customFormat="1">
      <c r="A109" s="46" t="s">
        <v>6</v>
      </c>
      <c r="B109" s="47" t="s">
        <v>147</v>
      </c>
      <c r="C109" s="48">
        <v>2006</v>
      </c>
    </row>
    <row r="110" spans="1:3" s="59" customFormat="1">
      <c r="A110" s="46" t="s">
        <v>6</v>
      </c>
      <c r="B110" s="47" t="s">
        <v>148</v>
      </c>
      <c r="C110" s="48">
        <v>1997</v>
      </c>
    </row>
    <row r="111" spans="1:3" s="59" customFormat="1">
      <c r="A111" s="46" t="s">
        <v>6</v>
      </c>
      <c r="B111" s="47" t="s">
        <v>305</v>
      </c>
      <c r="C111" s="48">
        <v>2013</v>
      </c>
    </row>
    <row r="112" spans="1:3" s="59" customFormat="1">
      <c r="A112" s="46" t="s">
        <v>6</v>
      </c>
      <c r="B112" s="47" t="s">
        <v>149</v>
      </c>
      <c r="C112" s="48">
        <v>2003</v>
      </c>
    </row>
    <row r="113" spans="1:3" s="59" customFormat="1">
      <c r="A113" s="46" t="s">
        <v>6</v>
      </c>
      <c r="B113" s="47" t="s">
        <v>150</v>
      </c>
      <c r="C113" s="48">
        <v>2011</v>
      </c>
    </row>
    <row r="114" spans="1:3" s="59" customFormat="1">
      <c r="A114" s="46" t="s">
        <v>6</v>
      </c>
      <c r="B114" s="47" t="s">
        <v>151</v>
      </c>
      <c r="C114" s="48">
        <v>2008</v>
      </c>
    </row>
    <row r="115" spans="1:3" s="59" customFormat="1">
      <c r="A115" s="46" t="s">
        <v>6</v>
      </c>
      <c r="B115" s="47" t="s">
        <v>152</v>
      </c>
      <c r="C115" s="48">
        <v>2011</v>
      </c>
    </row>
    <row r="116" spans="1:3" s="59" customFormat="1">
      <c r="A116" s="46" t="s">
        <v>6</v>
      </c>
      <c r="B116" s="47" t="s">
        <v>153</v>
      </c>
      <c r="C116" s="48">
        <v>1987</v>
      </c>
    </row>
    <row r="117" spans="1:3" s="59" customFormat="1">
      <c r="A117" s="46" t="s">
        <v>6</v>
      </c>
      <c r="B117" s="47" t="s">
        <v>154</v>
      </c>
      <c r="C117" s="48">
        <v>2005</v>
      </c>
    </row>
    <row r="118" spans="1:3" s="59" customFormat="1">
      <c r="A118" s="46" t="s">
        <v>6</v>
      </c>
      <c r="B118" s="47" t="s">
        <v>155</v>
      </c>
      <c r="C118" s="48">
        <v>2006</v>
      </c>
    </row>
    <row r="119" spans="1:3" s="59" customFormat="1">
      <c r="A119" s="46" t="s">
        <v>6</v>
      </c>
      <c r="B119" s="47" t="s">
        <v>156</v>
      </c>
      <c r="C119" s="48">
        <v>2010</v>
      </c>
    </row>
    <row r="120" spans="1:3" s="59" customFormat="1">
      <c r="A120" s="46" t="s">
        <v>6</v>
      </c>
      <c r="B120" s="47" t="s">
        <v>212</v>
      </c>
      <c r="C120" s="48">
        <v>2009</v>
      </c>
    </row>
    <row r="121" spans="1:3" s="59" customFormat="1">
      <c r="A121" s="46" t="s">
        <v>6</v>
      </c>
      <c r="B121" s="47" t="s">
        <v>221</v>
      </c>
      <c r="C121" s="48">
        <v>2010</v>
      </c>
    </row>
    <row r="122" spans="1:3" s="59" customFormat="1">
      <c r="A122" s="46" t="s">
        <v>37</v>
      </c>
      <c r="B122" s="47" t="s">
        <v>280</v>
      </c>
      <c r="C122" s="48">
        <v>2013</v>
      </c>
    </row>
    <row r="123" spans="1:3" s="59" customFormat="1">
      <c r="A123" s="46" t="s">
        <v>37</v>
      </c>
      <c r="B123" s="47" t="s">
        <v>157</v>
      </c>
      <c r="C123" s="48">
        <v>2003</v>
      </c>
    </row>
    <row r="124" spans="1:3" s="59" customFormat="1">
      <c r="A124" s="46" t="s">
        <v>37</v>
      </c>
      <c r="B124" s="47" t="s">
        <v>158</v>
      </c>
      <c r="C124" s="48">
        <v>2008</v>
      </c>
    </row>
    <row r="125" spans="1:3" s="59" customFormat="1">
      <c r="A125" s="46" t="s">
        <v>37</v>
      </c>
      <c r="B125" s="47" t="s">
        <v>213</v>
      </c>
      <c r="C125" s="48">
        <v>2011</v>
      </c>
    </row>
    <row r="126" spans="1:3" s="59" customFormat="1">
      <c r="A126" s="46" t="s">
        <v>37</v>
      </c>
      <c r="B126" s="47" t="s">
        <v>285</v>
      </c>
      <c r="C126" s="48">
        <v>2012</v>
      </c>
    </row>
    <row r="127" spans="1:3" s="59" customFormat="1">
      <c r="A127" s="46" t="s">
        <v>37</v>
      </c>
      <c r="B127" s="47" t="s">
        <v>230</v>
      </c>
      <c r="C127" s="48">
        <v>2012</v>
      </c>
    </row>
    <row r="128" spans="1:3" s="59" customFormat="1">
      <c r="A128" s="46" t="s">
        <v>37</v>
      </c>
      <c r="B128" s="47" t="s">
        <v>159</v>
      </c>
      <c r="C128" s="48">
        <v>2010</v>
      </c>
    </row>
    <row r="129" spans="1:3" s="59" customFormat="1">
      <c r="A129" s="46" t="s">
        <v>37</v>
      </c>
      <c r="B129" s="47" t="s">
        <v>236</v>
      </c>
      <c r="C129" s="48">
        <v>2013</v>
      </c>
    </row>
    <row r="130" spans="1:3" s="59" customFormat="1">
      <c r="A130" s="46" t="s">
        <v>37</v>
      </c>
      <c r="B130" s="47" t="s">
        <v>269</v>
      </c>
      <c r="C130" s="48">
        <v>2013</v>
      </c>
    </row>
    <row r="131" spans="1:3" s="59" customFormat="1">
      <c r="A131" s="46" t="s">
        <v>37</v>
      </c>
      <c r="B131" s="47" t="s">
        <v>306</v>
      </c>
      <c r="C131" s="48">
        <v>2013</v>
      </c>
    </row>
    <row r="132" spans="1:3" s="59" customFormat="1">
      <c r="A132" s="46" t="s">
        <v>37</v>
      </c>
      <c r="B132" s="47" t="s">
        <v>245</v>
      </c>
      <c r="C132" s="48">
        <v>2012</v>
      </c>
    </row>
    <row r="133" spans="1:3" s="59" customFormat="1">
      <c r="A133" s="46" t="s">
        <v>37</v>
      </c>
      <c r="B133" s="47" t="s">
        <v>231</v>
      </c>
      <c r="C133" s="48">
        <v>2012</v>
      </c>
    </row>
    <row r="134" spans="1:3" s="59" customFormat="1">
      <c r="A134" s="46" t="s">
        <v>37</v>
      </c>
      <c r="B134" s="47" t="s">
        <v>160</v>
      </c>
      <c r="C134" s="48">
        <v>2004</v>
      </c>
    </row>
    <row r="135" spans="1:3" s="59" customFormat="1">
      <c r="A135" s="46" t="s">
        <v>161</v>
      </c>
      <c r="B135" s="47" t="s">
        <v>162</v>
      </c>
      <c r="C135" s="48">
        <v>2008</v>
      </c>
    </row>
    <row r="136" spans="1:3" s="59" customFormat="1">
      <c r="A136" s="46" t="s">
        <v>161</v>
      </c>
      <c r="B136" s="47" t="s">
        <v>281</v>
      </c>
      <c r="C136" s="48">
        <v>2013</v>
      </c>
    </row>
    <row r="137" spans="1:3" s="59" customFormat="1">
      <c r="A137" s="46" t="s">
        <v>161</v>
      </c>
      <c r="B137" s="47" t="s">
        <v>165</v>
      </c>
      <c r="C137" s="48">
        <v>2011</v>
      </c>
    </row>
    <row r="138" spans="1:3" s="59" customFormat="1">
      <c r="A138" s="46" t="s">
        <v>161</v>
      </c>
      <c r="B138" s="47" t="s">
        <v>166</v>
      </c>
      <c r="C138" s="48">
        <v>2010</v>
      </c>
    </row>
    <row r="139" spans="1:3" s="59" customFormat="1">
      <c r="A139" s="46" t="s">
        <v>161</v>
      </c>
      <c r="B139" s="47" t="s">
        <v>167</v>
      </c>
      <c r="C139" s="48">
        <v>2005</v>
      </c>
    </row>
    <row r="140" spans="1:3" s="59" customFormat="1">
      <c r="A140" s="46" t="s">
        <v>161</v>
      </c>
      <c r="B140" s="47" t="s">
        <v>259</v>
      </c>
      <c r="C140" s="48">
        <v>2014</v>
      </c>
    </row>
    <row r="141" spans="1:3" s="59" customFormat="1">
      <c r="A141" s="46" t="s">
        <v>161</v>
      </c>
      <c r="B141" s="47" t="s">
        <v>265</v>
      </c>
      <c r="C141" s="48">
        <v>2013</v>
      </c>
    </row>
    <row r="142" spans="1:3" s="59" customFormat="1">
      <c r="A142" s="46" t="s">
        <v>161</v>
      </c>
      <c r="B142" s="47" t="s">
        <v>168</v>
      </c>
      <c r="C142" s="48">
        <v>2012</v>
      </c>
    </row>
    <row r="143" spans="1:3" s="59" customFormat="1">
      <c r="A143" s="46" t="s">
        <v>161</v>
      </c>
      <c r="B143" s="47" t="s">
        <v>256</v>
      </c>
      <c r="C143" s="48">
        <v>2014</v>
      </c>
    </row>
    <row r="144" spans="1:3" s="59" customFormat="1">
      <c r="A144" s="46" t="s">
        <v>161</v>
      </c>
      <c r="B144" s="47" t="s">
        <v>170</v>
      </c>
      <c r="C144" s="48">
        <v>2007</v>
      </c>
    </row>
    <row r="145" spans="1:3" s="59" customFormat="1">
      <c r="A145" s="46" t="s">
        <v>161</v>
      </c>
      <c r="B145" s="47" t="s">
        <v>263</v>
      </c>
      <c r="C145" s="48">
        <v>2014</v>
      </c>
    </row>
    <row r="146" spans="1:3" s="59" customFormat="1" ht="25.5">
      <c r="A146" s="46" t="s">
        <v>161</v>
      </c>
      <c r="B146" s="47" t="s">
        <v>171</v>
      </c>
      <c r="C146" s="48">
        <v>2004</v>
      </c>
    </row>
    <row r="147" spans="1:3" s="59" customFormat="1">
      <c r="A147" s="46" t="s">
        <v>161</v>
      </c>
      <c r="B147" s="47" t="s">
        <v>172</v>
      </c>
      <c r="C147" s="48">
        <v>2011</v>
      </c>
    </row>
    <row r="148" spans="1:3" s="59" customFormat="1">
      <c r="A148" s="46" t="s">
        <v>161</v>
      </c>
      <c r="B148" s="47" t="s">
        <v>214</v>
      </c>
      <c r="C148" s="48">
        <v>2013</v>
      </c>
    </row>
    <row r="149" spans="1:3" s="59" customFormat="1">
      <c r="A149" s="46" t="s">
        <v>161</v>
      </c>
      <c r="B149" s="47" t="s">
        <v>266</v>
      </c>
      <c r="C149" s="48">
        <v>2013</v>
      </c>
    </row>
    <row r="150" spans="1:3" s="59" customFormat="1">
      <c r="A150" s="46" t="s">
        <v>161</v>
      </c>
      <c r="B150" s="47" t="s">
        <v>175</v>
      </c>
      <c r="C150" s="48">
        <v>2003</v>
      </c>
    </row>
    <row r="151" spans="1:3" s="59" customFormat="1">
      <c r="A151" s="46" t="s">
        <v>161</v>
      </c>
      <c r="B151" s="47" t="s">
        <v>177</v>
      </c>
      <c r="C151" s="48">
        <v>2012</v>
      </c>
    </row>
    <row r="152" spans="1:3" s="59" customFormat="1">
      <c r="A152" s="46" t="s">
        <v>161</v>
      </c>
      <c r="B152" s="47" t="s">
        <v>233</v>
      </c>
      <c r="C152" s="48">
        <v>2012</v>
      </c>
    </row>
    <row r="153" spans="1:3" s="59" customFormat="1">
      <c r="A153" s="46" t="s">
        <v>161</v>
      </c>
      <c r="B153" s="47" t="s">
        <v>307</v>
      </c>
      <c r="C153" s="48">
        <v>2013</v>
      </c>
    </row>
    <row r="154" spans="1:3" s="59" customFormat="1">
      <c r="A154" s="46" t="s">
        <v>161</v>
      </c>
      <c r="B154" s="47" t="s">
        <v>180</v>
      </c>
      <c r="C154" s="48">
        <v>2010</v>
      </c>
    </row>
    <row r="155" spans="1:3" s="59" customFormat="1">
      <c r="A155" s="46" t="s">
        <v>22</v>
      </c>
      <c r="B155" s="47" t="s">
        <v>308</v>
      </c>
      <c r="C155" s="48">
        <v>2014</v>
      </c>
    </row>
    <row r="156" spans="1:3" s="59" customFormat="1">
      <c r="A156" s="46" t="s">
        <v>22</v>
      </c>
      <c r="B156" s="47" t="s">
        <v>20</v>
      </c>
      <c r="C156" s="48">
        <v>2008</v>
      </c>
    </row>
    <row r="157" spans="1:3" s="59" customFormat="1">
      <c r="A157" s="46" t="s">
        <v>22</v>
      </c>
      <c r="B157" s="47" t="s">
        <v>181</v>
      </c>
      <c r="C157" s="48">
        <v>2010</v>
      </c>
    </row>
    <row r="158" spans="1:3" s="59" customFormat="1">
      <c r="A158" s="46" t="s">
        <v>22</v>
      </c>
      <c r="B158" s="47" t="s">
        <v>182</v>
      </c>
      <c r="C158" s="48">
        <v>2011</v>
      </c>
    </row>
    <row r="159" spans="1:3" s="59" customFormat="1">
      <c r="A159" s="46" t="s">
        <v>22</v>
      </c>
      <c r="B159" s="47" t="s">
        <v>183</v>
      </c>
      <c r="C159" s="48">
        <v>2006</v>
      </c>
    </row>
    <row r="160" spans="1:3" s="59" customFormat="1">
      <c r="A160" s="46" t="s">
        <v>22</v>
      </c>
      <c r="B160" s="47" t="s">
        <v>184</v>
      </c>
      <c r="C160" s="48">
        <v>2005</v>
      </c>
    </row>
    <row r="161" spans="1:3" s="59" customFormat="1">
      <c r="A161" s="46" t="s">
        <v>22</v>
      </c>
      <c r="B161" s="47" t="s">
        <v>185</v>
      </c>
      <c r="C161" s="48">
        <v>2011</v>
      </c>
    </row>
    <row r="162" spans="1:3" s="59" customFormat="1">
      <c r="A162" s="46" t="s">
        <v>22</v>
      </c>
      <c r="B162" s="47" t="s">
        <v>118</v>
      </c>
      <c r="C162" s="48">
        <v>2008</v>
      </c>
    </row>
    <row r="163" spans="1:3" s="59" customFormat="1">
      <c r="A163" s="46" t="s">
        <v>39</v>
      </c>
      <c r="B163" s="47" t="s">
        <v>234</v>
      </c>
      <c r="C163" s="48">
        <v>2013</v>
      </c>
    </row>
    <row r="164" spans="1:3" s="59" customFormat="1">
      <c r="A164" s="46" t="s">
        <v>39</v>
      </c>
      <c r="B164" s="47" t="s">
        <v>186</v>
      </c>
      <c r="C164" s="48">
        <v>2011</v>
      </c>
    </row>
    <row r="165" spans="1:3" s="59" customFormat="1">
      <c r="A165" s="46" t="s">
        <v>39</v>
      </c>
      <c r="B165" s="47" t="s">
        <v>187</v>
      </c>
      <c r="C165" s="48">
        <v>2011</v>
      </c>
    </row>
    <row r="166" spans="1:3" s="59" customFormat="1">
      <c r="A166" s="46" t="s">
        <v>39</v>
      </c>
      <c r="B166" s="47" t="s">
        <v>188</v>
      </c>
      <c r="C166" s="48">
        <v>2011</v>
      </c>
    </row>
    <row r="167" spans="1:3" s="59" customFormat="1">
      <c r="A167" s="46" t="s">
        <v>39</v>
      </c>
      <c r="B167" s="47" t="s">
        <v>189</v>
      </c>
      <c r="C167" s="48">
        <v>2003</v>
      </c>
    </row>
    <row r="168" spans="1:3" s="59" customFormat="1">
      <c r="A168" s="46" t="s">
        <v>39</v>
      </c>
      <c r="B168" s="47" t="s">
        <v>163</v>
      </c>
      <c r="C168" s="48">
        <v>2008</v>
      </c>
    </row>
    <row r="169" spans="1:3" s="59" customFormat="1">
      <c r="A169" s="46" t="s">
        <v>39</v>
      </c>
      <c r="B169" s="47" t="s">
        <v>190</v>
      </c>
      <c r="C169" s="48">
        <v>2008</v>
      </c>
    </row>
    <row r="170" spans="1:3" s="59" customFormat="1">
      <c r="A170" s="46" t="s">
        <v>39</v>
      </c>
      <c r="B170" s="47" t="s">
        <v>95</v>
      </c>
      <c r="C170" s="48">
        <v>2012</v>
      </c>
    </row>
    <row r="171" spans="1:3" s="59" customFormat="1">
      <c r="A171" s="46" t="s">
        <v>39</v>
      </c>
      <c r="B171" s="47" t="s">
        <v>191</v>
      </c>
      <c r="C171" s="48">
        <v>2011</v>
      </c>
    </row>
    <row r="172" spans="1:3" s="59" customFormat="1">
      <c r="A172" s="46" t="s">
        <v>39</v>
      </c>
      <c r="B172" s="47" t="s">
        <v>169</v>
      </c>
      <c r="C172" s="48">
        <v>2012</v>
      </c>
    </row>
    <row r="173" spans="1:3" s="59" customFormat="1">
      <c r="A173" s="46" t="s">
        <v>39</v>
      </c>
      <c r="B173" s="47" t="s">
        <v>192</v>
      </c>
      <c r="C173" s="48">
        <v>2012</v>
      </c>
    </row>
    <row r="174" spans="1:3" s="59" customFormat="1">
      <c r="A174" s="46" t="s">
        <v>39</v>
      </c>
      <c r="B174" s="47" t="s">
        <v>309</v>
      </c>
      <c r="C174" s="48">
        <v>2014</v>
      </c>
    </row>
    <row r="175" spans="1:3" s="59" customFormat="1">
      <c r="A175" s="46" t="s">
        <v>39</v>
      </c>
      <c r="B175" s="47" t="s">
        <v>286</v>
      </c>
      <c r="C175" s="48">
        <v>2013</v>
      </c>
    </row>
    <row r="176" spans="1:3" s="59" customFormat="1">
      <c r="A176" s="46" t="s">
        <v>39</v>
      </c>
      <c r="B176" s="47" t="s">
        <v>174</v>
      </c>
      <c r="C176" s="48">
        <v>2008</v>
      </c>
    </row>
    <row r="177" spans="1:3" s="59" customFormat="1">
      <c r="A177" s="46" t="s">
        <v>39</v>
      </c>
      <c r="B177" s="47" t="s">
        <v>310</v>
      </c>
      <c r="C177" s="48">
        <v>2004</v>
      </c>
    </row>
    <row r="178" spans="1:3" s="59" customFormat="1">
      <c r="A178" s="46" t="s">
        <v>39</v>
      </c>
      <c r="B178" s="47" t="s">
        <v>193</v>
      </c>
      <c r="C178" s="48">
        <v>2009</v>
      </c>
    </row>
    <row r="179" spans="1:3" s="59" customFormat="1">
      <c r="A179" s="46" t="s">
        <v>39</v>
      </c>
      <c r="B179" s="47" t="s">
        <v>179</v>
      </c>
      <c r="C179" s="48">
        <v>2009</v>
      </c>
    </row>
    <row r="180" spans="1:3" s="59" customFormat="1">
      <c r="A180" s="46" t="s">
        <v>39</v>
      </c>
      <c r="B180" s="47" t="s">
        <v>235</v>
      </c>
      <c r="C180" s="48">
        <v>2011</v>
      </c>
    </row>
    <row r="181" spans="1:3" s="59" customFormat="1">
      <c r="A181" s="46" t="s">
        <v>39</v>
      </c>
      <c r="B181" s="47" t="s">
        <v>241</v>
      </c>
      <c r="C181" s="48">
        <v>2014</v>
      </c>
    </row>
    <row r="182" spans="1:3" s="59" customFormat="1">
      <c r="A182" s="46" t="s">
        <v>39</v>
      </c>
      <c r="B182" s="47" t="s">
        <v>194</v>
      </c>
      <c r="C182" s="48">
        <v>2007</v>
      </c>
    </row>
    <row r="183" spans="1:3" s="59" customFormat="1">
      <c r="A183" s="46" t="s">
        <v>39</v>
      </c>
      <c r="B183" s="47" t="s">
        <v>260</v>
      </c>
      <c r="C183" s="48">
        <v>2012</v>
      </c>
    </row>
    <row r="184" spans="1:3" s="59" customFormat="1">
      <c r="A184" s="46" t="s">
        <v>39</v>
      </c>
      <c r="B184" s="47" t="s">
        <v>195</v>
      </c>
      <c r="C184" s="48">
        <v>2014</v>
      </c>
    </row>
    <row r="185" spans="1:3" s="59" customFormat="1">
      <c r="A185" s="46" t="s">
        <v>39</v>
      </c>
      <c r="B185" s="47" t="s">
        <v>196</v>
      </c>
      <c r="C185" s="48">
        <v>2009</v>
      </c>
    </row>
    <row r="186" spans="1:3" s="59" customFormat="1">
      <c r="A186" s="46" t="s">
        <v>39</v>
      </c>
      <c r="B186" s="47" t="s">
        <v>197</v>
      </c>
      <c r="C186" s="48">
        <v>2004</v>
      </c>
    </row>
    <row r="187" spans="1:3" s="59" customFormat="1">
      <c r="A187" s="46" t="s">
        <v>39</v>
      </c>
      <c r="B187" s="47" t="s">
        <v>198</v>
      </c>
      <c r="C187" s="48">
        <v>2010</v>
      </c>
    </row>
    <row r="188" spans="1:3" s="59" customFormat="1">
      <c r="A188" s="46" t="s">
        <v>39</v>
      </c>
      <c r="B188" s="47" t="s">
        <v>215</v>
      </c>
      <c r="C188" s="48">
        <v>2012</v>
      </c>
    </row>
    <row r="189" spans="1:3" s="59" customFormat="1">
      <c r="A189" s="46" t="s">
        <v>39</v>
      </c>
      <c r="B189" s="47" t="s">
        <v>199</v>
      </c>
      <c r="C189" s="48">
        <v>2009</v>
      </c>
    </row>
    <row r="190" spans="1:3" s="59" customFormat="1">
      <c r="A190" s="46" t="s">
        <v>38</v>
      </c>
      <c r="B190" s="47" t="s">
        <v>200</v>
      </c>
      <c r="C190" s="48">
        <v>2014</v>
      </c>
    </row>
    <row r="191" spans="1:3" s="59" customFormat="1">
      <c r="A191" s="46" t="s">
        <v>38</v>
      </c>
      <c r="B191" s="47" t="s">
        <v>201</v>
      </c>
      <c r="C191" s="48">
        <v>2005</v>
      </c>
    </row>
    <row r="192" spans="1:3" s="59" customFormat="1">
      <c r="A192" s="46" t="s">
        <v>38</v>
      </c>
      <c r="B192" s="47" t="s">
        <v>202</v>
      </c>
      <c r="C192" s="48">
        <v>2003</v>
      </c>
    </row>
    <row r="193" spans="1:3" s="59" customFormat="1">
      <c r="A193" s="46" t="s">
        <v>38</v>
      </c>
      <c r="B193" s="47" t="s">
        <v>203</v>
      </c>
      <c r="C193" s="48">
        <v>2011</v>
      </c>
    </row>
    <row r="194" spans="1:3" s="59" customFormat="1">
      <c r="A194" s="46" t="s">
        <v>38</v>
      </c>
      <c r="B194" s="47" t="s">
        <v>204</v>
      </c>
      <c r="C194" s="48">
        <v>2014</v>
      </c>
    </row>
    <row r="195" spans="1:3" s="59" customFormat="1">
      <c r="A195" s="46" t="s">
        <v>38</v>
      </c>
      <c r="B195" s="47" t="s">
        <v>205</v>
      </c>
      <c r="C195" s="48">
        <v>2009</v>
      </c>
    </row>
    <row r="196" spans="1:3" s="59" customFormat="1">
      <c r="A196" s="46" t="s">
        <v>38</v>
      </c>
      <c r="B196" s="47" t="s">
        <v>283</v>
      </c>
      <c r="C196" s="48">
        <v>2012</v>
      </c>
    </row>
    <row r="197" spans="1:3" s="59" customFormat="1">
      <c r="A197" s="46" t="s">
        <v>38</v>
      </c>
      <c r="B197" s="47" t="s">
        <v>244</v>
      </c>
      <c r="C197" s="48">
        <v>2012</v>
      </c>
    </row>
    <row r="198" spans="1:3" s="59" customFormat="1">
      <c r="A198" s="46" t="s">
        <v>38</v>
      </c>
      <c r="B198" s="47" t="s">
        <v>311</v>
      </c>
      <c r="C198" s="48">
        <v>2014</v>
      </c>
    </row>
    <row r="199" spans="1:3" s="59" customFormat="1">
      <c r="A199" s="46" t="s">
        <v>38</v>
      </c>
      <c r="B199" s="47" t="s">
        <v>206</v>
      </c>
      <c r="C199" s="48">
        <v>2002</v>
      </c>
    </row>
    <row r="200" spans="1:3" s="59" customFormat="1" ht="15.75" thickBot="1">
      <c r="A200" s="49" t="s">
        <v>38</v>
      </c>
      <c r="B200" s="50" t="s">
        <v>123</v>
      </c>
      <c r="C200" s="51">
        <v>2008</v>
      </c>
    </row>
    <row r="201" spans="1:3" ht="15" customHeight="1">
      <c r="A201" s="12"/>
      <c r="B201" s="12"/>
      <c r="C201" s="61">
        <f>COUNTA(C8:C200)</f>
        <v>193</v>
      </c>
    </row>
    <row r="202" spans="1:3" ht="15" customHeight="1">
      <c r="A202" s="12"/>
      <c r="B202" s="12"/>
      <c r="C202" s="32"/>
    </row>
    <row r="203" spans="1:3" ht="15" customHeight="1">
      <c r="A203" s="12"/>
      <c r="B203" s="12"/>
      <c r="C203" s="32"/>
    </row>
    <row r="204" spans="1:3" ht="15" customHeight="1">
      <c r="A204" s="14" t="s">
        <v>89</v>
      </c>
      <c r="B204" s="12"/>
      <c r="C204" s="32"/>
    </row>
    <row r="205" spans="1:3" ht="15" customHeight="1">
      <c r="A205" s="12"/>
      <c r="B205" s="12"/>
      <c r="C205" s="32"/>
    </row>
    <row r="206" spans="1:3" ht="15" customHeight="1">
      <c r="A206" s="12"/>
      <c r="B206" s="12"/>
      <c r="C206" s="32"/>
    </row>
    <row r="207" spans="1:3" ht="15" customHeight="1">
      <c r="A207" s="12"/>
      <c r="B207" s="12"/>
      <c r="C207" s="32"/>
    </row>
    <row r="208" spans="1:3" ht="15" customHeight="1">
      <c r="A208" s="12"/>
      <c r="B208" s="12"/>
      <c r="C208" s="32"/>
    </row>
    <row r="209" spans="1:3" ht="15" customHeight="1">
      <c r="A209" s="12"/>
      <c r="B209" s="12"/>
      <c r="C209" s="32"/>
    </row>
    <row r="210" spans="1:3" ht="15" customHeight="1">
      <c r="A210" s="12"/>
      <c r="B210" s="12"/>
      <c r="C210" s="32"/>
    </row>
    <row r="211" spans="1:3" ht="15" customHeight="1">
      <c r="A211" s="12"/>
      <c r="B211" s="12"/>
      <c r="C211" s="32"/>
    </row>
    <row r="212" spans="1:3" ht="15" customHeight="1">
      <c r="A212" s="12"/>
      <c r="B212" s="12"/>
      <c r="C212" s="32"/>
    </row>
    <row r="213" spans="1:3" ht="15" customHeight="1">
      <c r="A213" s="12"/>
      <c r="B213" s="12"/>
      <c r="C213" s="32"/>
    </row>
    <row r="214" spans="1:3" ht="15" customHeight="1">
      <c r="A214" s="12"/>
      <c r="B214" s="12"/>
      <c r="C214" s="32"/>
    </row>
    <row r="215" spans="1:3" ht="15" customHeight="1">
      <c r="A215" s="12"/>
      <c r="B215" s="12"/>
      <c r="C215" s="32"/>
    </row>
    <row r="216" spans="1:3" ht="15" customHeight="1">
      <c r="A216" s="12"/>
      <c r="B216" s="12"/>
      <c r="C216" s="32"/>
    </row>
    <row r="217" spans="1:3" ht="15" customHeight="1">
      <c r="A217" s="12"/>
      <c r="B217" s="12"/>
      <c r="C217" s="32"/>
    </row>
    <row r="218" spans="1:3" ht="15" customHeight="1">
      <c r="A218" s="12"/>
      <c r="B218" s="12"/>
      <c r="C218" s="32"/>
    </row>
    <row r="219" spans="1:3" ht="15" customHeight="1">
      <c r="A219" s="12"/>
      <c r="B219" s="12"/>
      <c r="C219" s="32"/>
    </row>
    <row r="220" spans="1:3" ht="15" customHeight="1">
      <c r="A220" s="12"/>
      <c r="B220" s="12"/>
      <c r="C220" s="32"/>
    </row>
    <row r="221" spans="1:3" ht="15" customHeight="1">
      <c r="A221" s="12"/>
      <c r="B221" s="12"/>
      <c r="C221" s="32"/>
    </row>
    <row r="222" spans="1:3" ht="15" customHeight="1">
      <c r="A222" s="12"/>
      <c r="B222" s="12"/>
      <c r="C222" s="32"/>
    </row>
    <row r="223" spans="1:3" ht="15" customHeight="1">
      <c r="A223" s="12"/>
      <c r="B223" s="12"/>
      <c r="C223" s="32"/>
    </row>
    <row r="224" spans="1:3" ht="15" customHeight="1">
      <c r="A224" s="12"/>
      <c r="B224" s="12"/>
      <c r="C224" s="32"/>
    </row>
    <row r="225" spans="1:3" ht="15" customHeight="1">
      <c r="A225" s="12"/>
      <c r="B225" s="12"/>
      <c r="C225" s="32"/>
    </row>
    <row r="226" spans="1:3" ht="15" customHeight="1">
      <c r="A226" s="12"/>
      <c r="B226" s="12"/>
      <c r="C226" s="32"/>
    </row>
    <row r="227" spans="1:3" ht="15" customHeight="1">
      <c r="A227" s="12"/>
      <c r="B227" s="12"/>
      <c r="C227" s="32"/>
    </row>
    <row r="228" spans="1:3" ht="15" customHeight="1">
      <c r="A228" s="12"/>
      <c r="B228" s="12"/>
      <c r="C228" s="32"/>
    </row>
    <row r="229" spans="1:3" ht="15" customHeight="1">
      <c r="A229" s="12"/>
      <c r="B229" s="12"/>
      <c r="C229" s="32"/>
    </row>
    <row r="230" spans="1:3" ht="15" customHeight="1">
      <c r="A230" s="12"/>
      <c r="B230" s="12"/>
      <c r="C230" s="32"/>
    </row>
    <row r="231" spans="1:3" ht="15" customHeight="1">
      <c r="A231" s="12"/>
      <c r="B231" s="12"/>
      <c r="C231" s="32"/>
    </row>
    <row r="232" spans="1:3" ht="15" customHeight="1">
      <c r="A232" s="12"/>
      <c r="B232" s="12"/>
      <c r="C232" s="32"/>
    </row>
    <row r="233" spans="1:3" ht="15" customHeight="1">
      <c r="A233" s="12"/>
      <c r="B233" s="12"/>
      <c r="C233" s="32"/>
    </row>
    <row r="234" spans="1:3" ht="15" customHeight="1">
      <c r="A234" s="12"/>
      <c r="B234" s="12"/>
      <c r="C234" s="32"/>
    </row>
    <row r="235" spans="1:3" ht="15" customHeight="1">
      <c r="A235" s="12"/>
      <c r="B235" s="12"/>
      <c r="C235" s="32"/>
    </row>
    <row r="236" spans="1:3" ht="15" customHeight="1">
      <c r="A236" s="12"/>
      <c r="B236" s="12"/>
      <c r="C236" s="32"/>
    </row>
    <row r="237" spans="1:3" ht="15" customHeight="1">
      <c r="A237" s="12"/>
      <c r="B237" s="12"/>
      <c r="C237" s="32"/>
    </row>
    <row r="238" spans="1:3" ht="15" customHeight="1">
      <c r="A238" s="12"/>
      <c r="B238" s="12"/>
      <c r="C238" s="32"/>
    </row>
    <row r="239" spans="1:3" ht="15" customHeight="1">
      <c r="A239" s="12"/>
      <c r="B239" s="12"/>
      <c r="C239" s="32"/>
    </row>
    <row r="240" spans="1:3" ht="15" customHeight="1">
      <c r="A240" s="12"/>
      <c r="B240" s="12"/>
      <c r="C240" s="32"/>
    </row>
    <row r="241" spans="1:3" ht="15" customHeight="1">
      <c r="A241" s="12"/>
      <c r="B241" s="12"/>
      <c r="C241" s="32"/>
    </row>
    <row r="242" spans="1:3" ht="15" customHeight="1">
      <c r="A242" s="12"/>
      <c r="B242" s="12"/>
      <c r="C242" s="32"/>
    </row>
    <row r="243" spans="1:3" ht="15" customHeight="1">
      <c r="A243" s="12"/>
      <c r="B243" s="12"/>
      <c r="C243" s="32"/>
    </row>
    <row r="244" spans="1:3" ht="15" customHeight="1">
      <c r="A244" s="12"/>
      <c r="B244" s="12"/>
      <c r="C244" s="32"/>
    </row>
    <row r="245" spans="1:3" ht="15" customHeight="1">
      <c r="A245" s="12"/>
      <c r="B245" s="12"/>
      <c r="C245" s="32"/>
    </row>
    <row r="246" spans="1:3" ht="15" customHeight="1">
      <c r="A246" s="12"/>
      <c r="B246" s="12"/>
      <c r="C246" s="32"/>
    </row>
    <row r="247" spans="1:3" ht="15" customHeight="1">
      <c r="A247" s="12"/>
      <c r="B247" s="12"/>
      <c r="C247" s="32"/>
    </row>
    <row r="248" spans="1:3" ht="15" customHeight="1">
      <c r="A248" s="12"/>
      <c r="B248" s="12"/>
      <c r="C248" s="32"/>
    </row>
    <row r="249" spans="1:3" ht="15" customHeight="1">
      <c r="A249" s="12"/>
      <c r="B249" s="12"/>
      <c r="C249" s="32"/>
    </row>
    <row r="250" spans="1:3" ht="15" customHeight="1">
      <c r="A250" s="12"/>
      <c r="B250" s="12"/>
      <c r="C250" s="32"/>
    </row>
    <row r="251" spans="1:3" ht="15" customHeight="1">
      <c r="A251" s="12"/>
      <c r="B251" s="12"/>
      <c r="C251" s="32"/>
    </row>
    <row r="252" spans="1:3" ht="15" customHeight="1">
      <c r="A252" s="12"/>
      <c r="B252" s="12"/>
      <c r="C252" s="32"/>
    </row>
    <row r="253" spans="1:3" ht="15" customHeight="1">
      <c r="A253" s="12"/>
      <c r="B253" s="12"/>
      <c r="C253" s="32"/>
    </row>
    <row r="254" spans="1:3" ht="15" customHeight="1">
      <c r="A254" s="12"/>
      <c r="B254" s="12"/>
      <c r="C254" s="32"/>
    </row>
    <row r="255" spans="1:3" ht="15" customHeight="1">
      <c r="A255" s="12"/>
      <c r="B255" s="12"/>
      <c r="C255" s="32"/>
    </row>
    <row r="256" spans="1:3" ht="15" customHeight="1">
      <c r="A256" s="12"/>
      <c r="B256" s="12"/>
      <c r="C256" s="32"/>
    </row>
    <row r="257" spans="1:3" ht="15" customHeight="1">
      <c r="A257" s="12"/>
      <c r="B257" s="12"/>
      <c r="C257" s="32"/>
    </row>
    <row r="258" spans="1:3" ht="15" customHeight="1">
      <c r="A258" s="12"/>
      <c r="B258" s="12"/>
      <c r="C258" s="32"/>
    </row>
    <row r="259" spans="1:3" ht="15" customHeight="1">
      <c r="A259" s="12"/>
      <c r="B259" s="12"/>
      <c r="C259" s="32"/>
    </row>
    <row r="260" spans="1:3" ht="15" customHeight="1">
      <c r="A260" s="12"/>
      <c r="B260" s="12"/>
      <c r="C260" s="32"/>
    </row>
    <row r="261" spans="1:3" ht="15" customHeight="1">
      <c r="A261" s="12"/>
      <c r="B261" s="12"/>
      <c r="C261" s="32"/>
    </row>
    <row r="262" spans="1:3" ht="15" customHeight="1">
      <c r="A262" s="12"/>
      <c r="B262" s="12"/>
      <c r="C262" s="32"/>
    </row>
    <row r="263" spans="1:3" ht="15" customHeight="1">
      <c r="A263" s="12"/>
      <c r="B263" s="12"/>
      <c r="C263" s="32"/>
    </row>
    <row r="264" spans="1:3" ht="15" customHeight="1">
      <c r="A264" s="12"/>
      <c r="B264" s="12"/>
      <c r="C264" s="32"/>
    </row>
    <row r="265" spans="1:3" ht="15" customHeight="1">
      <c r="A265" s="12"/>
      <c r="B265" s="12"/>
      <c r="C265" s="32"/>
    </row>
    <row r="266" spans="1:3" ht="15" customHeight="1">
      <c r="A266" s="12"/>
      <c r="B266" s="12"/>
      <c r="C266" s="32"/>
    </row>
    <row r="267" spans="1:3" ht="15" customHeight="1">
      <c r="A267" s="12"/>
      <c r="B267" s="12"/>
      <c r="C267" s="32"/>
    </row>
    <row r="268" spans="1:3" ht="15" customHeight="1">
      <c r="A268" s="12"/>
      <c r="B268" s="12"/>
      <c r="C268" s="32"/>
    </row>
    <row r="269" spans="1:3" ht="15" customHeight="1">
      <c r="A269" s="12"/>
      <c r="B269" s="12"/>
      <c r="C269" s="32"/>
    </row>
    <row r="270" spans="1:3" ht="15" customHeight="1">
      <c r="A270" s="12"/>
      <c r="B270" s="12"/>
      <c r="C270" s="32"/>
    </row>
    <row r="271" spans="1:3" ht="15" customHeight="1">
      <c r="A271" s="12"/>
      <c r="B271" s="12"/>
      <c r="C271" s="32"/>
    </row>
    <row r="272" spans="1:3" ht="15" customHeight="1">
      <c r="A272" s="12"/>
      <c r="B272" s="12"/>
      <c r="C272" s="32"/>
    </row>
    <row r="273" spans="1:3" ht="15" customHeight="1">
      <c r="A273" s="12"/>
      <c r="B273" s="12"/>
      <c r="C273" s="32"/>
    </row>
    <row r="274" spans="1:3" ht="15" customHeight="1">
      <c r="A274" s="12"/>
      <c r="B274" s="12"/>
      <c r="C274" s="32"/>
    </row>
    <row r="275" spans="1:3" ht="15" customHeight="1">
      <c r="A275" s="12"/>
      <c r="B275" s="12"/>
      <c r="C275" s="32"/>
    </row>
    <row r="276" spans="1:3" ht="15" customHeight="1">
      <c r="A276" s="12"/>
      <c r="B276" s="12"/>
      <c r="C276" s="32"/>
    </row>
    <row r="277" spans="1:3" ht="15" customHeight="1">
      <c r="A277" s="12"/>
      <c r="B277" s="12"/>
      <c r="C277" s="32"/>
    </row>
    <row r="278" spans="1:3" ht="15" customHeight="1">
      <c r="A278" s="12"/>
      <c r="B278" s="12"/>
      <c r="C278" s="32"/>
    </row>
    <row r="279" spans="1:3" ht="15" customHeight="1">
      <c r="A279" s="12"/>
      <c r="B279" s="12"/>
      <c r="C279" s="32"/>
    </row>
    <row r="280" spans="1:3" ht="15" customHeight="1">
      <c r="A280" s="12"/>
      <c r="B280" s="12"/>
      <c r="C280" s="32"/>
    </row>
    <row r="281" spans="1:3" ht="15" customHeight="1">
      <c r="A281" s="12"/>
      <c r="B281" s="12"/>
      <c r="C281" s="32"/>
    </row>
    <row r="282" spans="1:3" ht="15" customHeight="1">
      <c r="A282" s="12"/>
      <c r="B282" s="12"/>
      <c r="C282" s="32"/>
    </row>
    <row r="283" spans="1:3" ht="15" customHeight="1">
      <c r="A283" s="12"/>
      <c r="B283" s="12"/>
      <c r="C283" s="32"/>
    </row>
    <row r="284" spans="1:3" ht="15" customHeight="1">
      <c r="A284" s="12"/>
      <c r="B284" s="12"/>
      <c r="C284" s="32"/>
    </row>
    <row r="285" spans="1:3" ht="15" customHeight="1">
      <c r="A285" s="12"/>
      <c r="B285" s="12"/>
      <c r="C285" s="32"/>
    </row>
    <row r="286" spans="1:3" ht="15" customHeight="1">
      <c r="A286" s="12"/>
      <c r="B286" s="12"/>
      <c r="C286" s="32"/>
    </row>
    <row r="287" spans="1:3" ht="15" customHeight="1">
      <c r="A287" s="12"/>
      <c r="B287" s="12"/>
      <c r="C287" s="32"/>
    </row>
    <row r="288" spans="1:3" ht="15" customHeight="1">
      <c r="A288" s="12"/>
      <c r="B288" s="12"/>
      <c r="C288" s="32"/>
    </row>
    <row r="289" spans="1:3" ht="15" customHeight="1">
      <c r="A289" s="12"/>
      <c r="B289" s="12"/>
      <c r="C289" s="32"/>
    </row>
    <row r="290" spans="1:3" ht="15" customHeight="1">
      <c r="A290" s="12"/>
      <c r="B290" s="12"/>
      <c r="C290" s="32"/>
    </row>
    <row r="291" spans="1:3" ht="15" customHeight="1">
      <c r="A291" s="12"/>
      <c r="B291" s="12"/>
      <c r="C291" s="32"/>
    </row>
    <row r="292" spans="1:3" ht="15" customHeight="1">
      <c r="A292" s="12"/>
      <c r="B292" s="12"/>
      <c r="C292" s="32"/>
    </row>
    <row r="293" spans="1:3" ht="15" customHeight="1">
      <c r="A293" s="12"/>
      <c r="B293" s="12"/>
      <c r="C293" s="32"/>
    </row>
    <row r="294" spans="1:3" ht="15" customHeight="1">
      <c r="A294" s="12"/>
      <c r="B294" s="12"/>
      <c r="C294" s="32"/>
    </row>
    <row r="295" spans="1:3" ht="15" customHeight="1">
      <c r="A295" s="12"/>
      <c r="B295" s="12"/>
      <c r="C295" s="32"/>
    </row>
    <row r="296" spans="1:3" ht="15" customHeight="1">
      <c r="A296" s="12"/>
      <c r="B296" s="12"/>
      <c r="C296" s="32"/>
    </row>
    <row r="297" spans="1:3" ht="15" customHeight="1">
      <c r="A297" s="12"/>
      <c r="B297" s="12"/>
      <c r="C297" s="32"/>
    </row>
    <row r="298" spans="1:3" ht="15" customHeight="1">
      <c r="A298" s="12"/>
      <c r="B298" s="12"/>
      <c r="C298" s="32"/>
    </row>
    <row r="299" spans="1:3" ht="15" customHeight="1">
      <c r="A299" s="12"/>
      <c r="B299" s="12"/>
      <c r="C299" s="32"/>
    </row>
    <row r="300" spans="1:3" ht="15" customHeight="1">
      <c r="A300" s="12"/>
      <c r="B300" s="12"/>
      <c r="C300" s="32"/>
    </row>
    <row r="301" spans="1:3" ht="15" customHeight="1">
      <c r="A301" s="12"/>
      <c r="B301" s="12"/>
      <c r="C301" s="32"/>
    </row>
    <row r="302" spans="1:3" ht="15" customHeight="1">
      <c r="A302" s="12"/>
      <c r="B302" s="12"/>
      <c r="C302" s="32"/>
    </row>
    <row r="303" spans="1:3" ht="15" customHeight="1">
      <c r="A303" s="12"/>
      <c r="B303" s="12"/>
      <c r="C303" s="32"/>
    </row>
    <row r="304" spans="1:3" ht="15" customHeight="1">
      <c r="A304" s="12"/>
      <c r="B304" s="12"/>
      <c r="C304" s="32"/>
    </row>
    <row r="305" spans="1:3" ht="15" customHeight="1">
      <c r="A305" s="12"/>
      <c r="B305" s="12"/>
      <c r="C305" s="32"/>
    </row>
    <row r="306" spans="1:3" ht="15" customHeight="1">
      <c r="A306" s="12"/>
      <c r="B306" s="12"/>
      <c r="C306" s="32"/>
    </row>
    <row r="307" spans="1:3" ht="15" customHeight="1">
      <c r="A307" s="12"/>
      <c r="B307" s="12"/>
      <c r="C307" s="32"/>
    </row>
    <row r="308" spans="1:3" ht="15" customHeight="1">
      <c r="A308" s="12"/>
      <c r="B308" s="12"/>
      <c r="C308" s="32"/>
    </row>
    <row r="309" spans="1:3" ht="15" customHeight="1">
      <c r="A309" s="12"/>
      <c r="B309" s="12"/>
      <c r="C309" s="32"/>
    </row>
    <row r="310" spans="1:3" ht="15" customHeight="1">
      <c r="A310" s="12"/>
      <c r="B310" s="12"/>
      <c r="C310" s="32"/>
    </row>
    <row r="311" spans="1:3" ht="15" customHeight="1">
      <c r="A311" s="12"/>
      <c r="B311" s="12"/>
      <c r="C311" s="32"/>
    </row>
    <row r="312" spans="1:3" ht="15" customHeight="1">
      <c r="A312" s="12"/>
      <c r="B312" s="12"/>
      <c r="C312" s="32"/>
    </row>
    <row r="313" spans="1:3" ht="15" customHeight="1">
      <c r="A313" s="12"/>
      <c r="B313" s="12"/>
      <c r="C313" s="32"/>
    </row>
    <row r="314" spans="1:3" ht="15" customHeight="1">
      <c r="A314" s="12"/>
      <c r="B314" s="12"/>
      <c r="C314" s="32"/>
    </row>
    <row r="315" spans="1:3" ht="15" customHeight="1">
      <c r="A315" s="12"/>
      <c r="B315" s="12"/>
      <c r="C315" s="32"/>
    </row>
    <row r="316" spans="1:3" ht="15" customHeight="1">
      <c r="A316" s="12"/>
      <c r="B316" s="12"/>
      <c r="C316" s="32"/>
    </row>
    <row r="317" spans="1:3" ht="15" customHeight="1">
      <c r="A317" s="12"/>
      <c r="B317" s="12"/>
      <c r="C317" s="32"/>
    </row>
    <row r="318" spans="1:3" ht="15" customHeight="1">
      <c r="A318" s="12"/>
      <c r="B318" s="12"/>
      <c r="C318" s="32"/>
    </row>
    <row r="319" spans="1:3" ht="15" customHeight="1">
      <c r="A319" s="12"/>
      <c r="B319" s="12"/>
      <c r="C319" s="32"/>
    </row>
    <row r="320" spans="1:3" ht="15" customHeight="1">
      <c r="A320" s="12"/>
      <c r="B320" s="12"/>
      <c r="C320" s="32"/>
    </row>
    <row r="321" spans="1:3" ht="15" customHeight="1">
      <c r="A321" s="12"/>
      <c r="B321" s="12"/>
      <c r="C321" s="32"/>
    </row>
    <row r="322" spans="1:3" ht="15" customHeight="1">
      <c r="A322" s="12"/>
      <c r="B322" s="12"/>
      <c r="C322" s="32"/>
    </row>
    <row r="323" spans="1:3" ht="15" customHeight="1">
      <c r="A323" s="12"/>
      <c r="B323" s="12"/>
      <c r="C323" s="32"/>
    </row>
    <row r="324" spans="1:3" ht="15" customHeight="1">
      <c r="A324" s="12"/>
      <c r="B324" s="12"/>
      <c r="C324" s="32"/>
    </row>
    <row r="325" spans="1:3" ht="15" customHeight="1">
      <c r="A325" s="12"/>
      <c r="B325" s="12"/>
      <c r="C325" s="32"/>
    </row>
    <row r="326" spans="1:3" ht="15" customHeight="1">
      <c r="A326" s="12"/>
      <c r="B326" s="12"/>
      <c r="C326" s="32"/>
    </row>
    <row r="327" spans="1:3" ht="15" customHeight="1">
      <c r="A327" s="12"/>
      <c r="B327" s="12"/>
      <c r="C327" s="32"/>
    </row>
    <row r="328" spans="1:3" ht="15" customHeight="1">
      <c r="A328" s="12"/>
      <c r="B328" s="12"/>
      <c r="C328" s="32"/>
    </row>
    <row r="329" spans="1:3" ht="15" customHeight="1">
      <c r="A329" s="12"/>
      <c r="B329" s="12"/>
      <c r="C329" s="32"/>
    </row>
    <row r="330" spans="1:3" ht="15" customHeight="1">
      <c r="A330" s="12"/>
      <c r="B330" s="12"/>
      <c r="C330" s="32"/>
    </row>
    <row r="331" spans="1:3" ht="15" customHeight="1">
      <c r="A331" s="12"/>
      <c r="B331" s="12"/>
      <c r="C331" s="32"/>
    </row>
    <row r="332" spans="1:3" ht="15" customHeight="1">
      <c r="A332" s="12"/>
      <c r="B332" s="12"/>
      <c r="C332" s="32"/>
    </row>
    <row r="333" spans="1:3" ht="15" customHeight="1">
      <c r="A333" s="12"/>
      <c r="B333" s="12"/>
      <c r="C333" s="32"/>
    </row>
    <row r="334" spans="1:3" ht="15" customHeight="1">
      <c r="A334" s="12"/>
      <c r="B334" s="12"/>
      <c r="C334" s="32"/>
    </row>
    <row r="335" spans="1:3" ht="15" customHeight="1">
      <c r="A335" s="12"/>
      <c r="B335" s="12"/>
      <c r="C335" s="32"/>
    </row>
    <row r="336" spans="1:3" ht="15" customHeight="1">
      <c r="A336" s="12"/>
      <c r="B336" s="12"/>
      <c r="C336" s="32"/>
    </row>
    <row r="337" spans="1:3" ht="15" customHeight="1">
      <c r="A337" s="12"/>
      <c r="B337" s="12"/>
      <c r="C337" s="32"/>
    </row>
    <row r="338" spans="1:3" ht="15" customHeight="1">
      <c r="A338" s="12"/>
      <c r="B338" s="12"/>
      <c r="C338" s="32"/>
    </row>
    <row r="339" spans="1:3" ht="15" customHeight="1">
      <c r="A339" s="12"/>
      <c r="B339" s="12"/>
      <c r="C339" s="32"/>
    </row>
    <row r="340" spans="1:3" ht="15" customHeight="1">
      <c r="A340" s="12"/>
      <c r="B340" s="12"/>
      <c r="C340" s="32"/>
    </row>
    <row r="341" spans="1:3" ht="15" customHeight="1">
      <c r="A341" s="12"/>
      <c r="B341" s="12"/>
      <c r="C341" s="32"/>
    </row>
    <row r="342" spans="1:3" ht="15" customHeight="1">
      <c r="A342" s="12"/>
      <c r="B342" s="12"/>
      <c r="C342" s="32"/>
    </row>
    <row r="343" spans="1:3" ht="15" customHeight="1">
      <c r="A343" s="12"/>
      <c r="B343" s="12"/>
      <c r="C343" s="32"/>
    </row>
    <row r="344" spans="1:3" ht="15" customHeight="1">
      <c r="A344" s="12"/>
      <c r="B344" s="12"/>
      <c r="C344" s="32"/>
    </row>
    <row r="345" spans="1:3" ht="15" customHeight="1">
      <c r="A345" s="12"/>
      <c r="B345" s="12"/>
      <c r="C345" s="32"/>
    </row>
    <row r="346" spans="1:3" ht="15" customHeight="1">
      <c r="A346" s="12"/>
      <c r="B346" s="12"/>
      <c r="C346" s="32"/>
    </row>
    <row r="347" spans="1:3" ht="15" customHeight="1">
      <c r="A347" s="12"/>
      <c r="B347" s="12"/>
      <c r="C347" s="32"/>
    </row>
    <row r="348" spans="1:3" ht="15" customHeight="1">
      <c r="A348" s="12"/>
      <c r="B348" s="12"/>
      <c r="C348" s="32"/>
    </row>
    <row r="349" spans="1:3" ht="15" customHeight="1">
      <c r="A349" s="12"/>
      <c r="B349" s="12"/>
      <c r="C349" s="32"/>
    </row>
    <row r="350" spans="1:3" ht="15" customHeight="1">
      <c r="A350" s="12"/>
      <c r="B350" s="12"/>
      <c r="C350" s="32"/>
    </row>
    <row r="351" spans="1:3" ht="15" customHeight="1">
      <c r="A351" s="12"/>
      <c r="B351" s="12"/>
      <c r="C351" s="32"/>
    </row>
    <row r="352" spans="1:3" ht="15" customHeight="1">
      <c r="A352" s="12"/>
      <c r="B352" s="12"/>
      <c r="C352" s="32"/>
    </row>
    <row r="353" spans="1:3" ht="15" customHeight="1">
      <c r="A353" s="12"/>
      <c r="B353" s="12"/>
      <c r="C353" s="32"/>
    </row>
    <row r="354" spans="1:3" ht="15" customHeight="1">
      <c r="A354" s="12"/>
      <c r="B354" s="12"/>
      <c r="C354" s="32"/>
    </row>
    <row r="355" spans="1:3" ht="15" customHeight="1">
      <c r="A355" s="12"/>
      <c r="B355" s="12"/>
      <c r="C355" s="32"/>
    </row>
    <row r="356" spans="1:3" ht="15" customHeight="1">
      <c r="A356" s="12"/>
      <c r="B356" s="12"/>
      <c r="C356" s="32"/>
    </row>
    <row r="357" spans="1:3" ht="15" customHeight="1">
      <c r="A357" s="12"/>
      <c r="B357" s="12"/>
      <c r="C357" s="32"/>
    </row>
    <row r="358" spans="1:3" ht="15" customHeight="1">
      <c r="A358" s="12"/>
      <c r="B358" s="12"/>
      <c r="C358" s="32"/>
    </row>
    <row r="359" spans="1:3" ht="15" customHeight="1">
      <c r="A359" s="12"/>
      <c r="B359" s="12"/>
      <c r="C359" s="32"/>
    </row>
    <row r="360" spans="1:3" ht="15" customHeight="1">
      <c r="A360" s="12"/>
      <c r="B360" s="12"/>
      <c r="C360" s="32"/>
    </row>
    <row r="361" spans="1:3" ht="15" customHeight="1">
      <c r="A361" s="12"/>
      <c r="B361" s="12"/>
      <c r="C361" s="32"/>
    </row>
    <row r="362" spans="1:3" ht="15" customHeight="1">
      <c r="A362" s="12"/>
      <c r="B362" s="12"/>
      <c r="C362" s="32"/>
    </row>
    <row r="363" spans="1:3" ht="15" customHeight="1">
      <c r="A363" s="12"/>
      <c r="B363" s="12"/>
      <c r="C363" s="32"/>
    </row>
    <row r="364" spans="1:3" ht="15" customHeight="1">
      <c r="A364" s="12"/>
      <c r="B364" s="12"/>
      <c r="C364" s="32"/>
    </row>
    <row r="365" spans="1:3" ht="15" customHeight="1">
      <c r="A365" s="12"/>
      <c r="B365" s="12"/>
      <c r="C365" s="32"/>
    </row>
    <row r="366" spans="1:3">
      <c r="A366" s="12"/>
      <c r="B366" s="12"/>
    </row>
    <row r="367" spans="1:3">
      <c r="A367" s="12"/>
      <c r="B367" s="12"/>
    </row>
    <row r="368" spans="1:3">
      <c r="A368" s="12"/>
      <c r="B368" s="12"/>
    </row>
    <row r="369" spans="1:2">
      <c r="A369" s="12"/>
      <c r="B369" s="12"/>
    </row>
    <row r="370" spans="1:2">
      <c r="A370" s="12"/>
      <c r="B370" s="12"/>
    </row>
    <row r="371" spans="1:2">
      <c r="A371" s="12"/>
      <c r="B371" s="12"/>
    </row>
  </sheetData>
  <sortState ref="A11:C204">
    <sortCondition ref="A11:A204"/>
    <sortCondition ref="B11:B204"/>
    <sortCondition ref="C11:C204"/>
  </sortState>
  <hyperlinks>
    <hyperlink ref="C1" location="Cover!A1" display="--&gt; Return to first page"/>
    <hyperlink ref="A52" location="Cover!A1" display="--&gt; Return to first page"/>
    <hyperlink ref="A196" location="Cover!A1" display="--&gt; Return to first page"/>
    <hyperlink ref="A204" location="Cover!A1" display="--&gt; Return to first page"/>
  </hyperlinks>
  <pageMargins left="0.7" right="0.7" top="0.78740157499999996" bottom="0.78740157499999996" header="0.3" footer="0.3"/>
  <pageSetup paperSize="9" scale="6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3"/>
  <sheetViews>
    <sheetView zoomScaleNormal="100" workbookViewId="0">
      <selection activeCell="A5" sqref="A5"/>
    </sheetView>
  </sheetViews>
  <sheetFormatPr defaultColWidth="11.42578125" defaultRowHeight="15"/>
  <cols>
    <col min="1" max="1" width="32.7109375" customWidth="1"/>
    <col min="2" max="2" width="81.7109375" customWidth="1"/>
  </cols>
  <sheetData>
    <row r="1" spans="1:3">
      <c r="C1" s="13" t="s">
        <v>89</v>
      </c>
    </row>
    <row r="4" spans="1:3" ht="26.25">
      <c r="A4" s="4" t="s">
        <v>79</v>
      </c>
    </row>
    <row r="6" spans="1:3" ht="15.75" thickBot="1"/>
    <row r="7" spans="1:3" ht="15.75" thickBot="1">
      <c r="A7" s="9" t="s">
        <v>3</v>
      </c>
      <c r="B7" s="11" t="s">
        <v>90</v>
      </c>
      <c r="C7" s="9" t="s">
        <v>208</v>
      </c>
    </row>
    <row r="8" spans="1:3" ht="15" customHeight="1">
      <c r="A8" s="62" t="s">
        <v>253</v>
      </c>
      <c r="B8" s="63" t="s">
        <v>232</v>
      </c>
      <c r="C8" s="64">
        <v>1</v>
      </c>
    </row>
    <row r="9" spans="1:3" ht="15" customHeight="1">
      <c r="A9" s="65" t="s">
        <v>253</v>
      </c>
      <c r="B9" s="66" t="s">
        <v>300</v>
      </c>
      <c r="C9" s="67">
        <v>1</v>
      </c>
    </row>
    <row r="10" spans="1:3" ht="15" customHeight="1">
      <c r="A10" s="65" t="s">
        <v>9</v>
      </c>
      <c r="B10" s="66" t="s">
        <v>240</v>
      </c>
      <c r="C10" s="67">
        <v>1</v>
      </c>
    </row>
    <row r="11" spans="1:3" ht="15" customHeight="1">
      <c r="A11" s="65" t="s">
        <v>9</v>
      </c>
      <c r="B11" s="66" t="s">
        <v>254</v>
      </c>
      <c r="C11" s="67">
        <v>1</v>
      </c>
    </row>
    <row r="12" spans="1:3" ht="15" customHeight="1">
      <c r="A12" s="65" t="s">
        <v>9</v>
      </c>
      <c r="B12" s="66" t="s">
        <v>227</v>
      </c>
      <c r="C12" s="67">
        <v>1</v>
      </c>
    </row>
    <row r="13" spans="1:3" ht="15" customHeight="1">
      <c r="A13" s="65" t="s">
        <v>9</v>
      </c>
      <c r="B13" s="66" t="s">
        <v>106</v>
      </c>
      <c r="C13" s="67">
        <v>1</v>
      </c>
    </row>
    <row r="14" spans="1:3" ht="15" customHeight="1">
      <c r="A14" s="65" t="s">
        <v>9</v>
      </c>
      <c r="B14" s="66" t="s">
        <v>301</v>
      </c>
      <c r="C14" s="67">
        <v>1</v>
      </c>
    </row>
    <row r="15" spans="1:3" ht="15" customHeight="1">
      <c r="A15" s="65" t="s">
        <v>25</v>
      </c>
      <c r="B15" s="66" t="s">
        <v>218</v>
      </c>
      <c r="C15" s="67">
        <v>1</v>
      </c>
    </row>
    <row r="16" spans="1:3" ht="15" customHeight="1">
      <c r="A16" s="65" t="s">
        <v>25</v>
      </c>
      <c r="B16" s="66" t="s">
        <v>304</v>
      </c>
      <c r="C16" s="67">
        <v>1</v>
      </c>
    </row>
    <row r="17" spans="1:3" ht="15" customHeight="1">
      <c r="A17" s="65" t="s">
        <v>25</v>
      </c>
      <c r="B17" s="66" t="s">
        <v>304</v>
      </c>
      <c r="C17" s="67">
        <v>1</v>
      </c>
    </row>
    <row r="18" spans="1:3" ht="15" customHeight="1">
      <c r="A18" s="65" t="s">
        <v>25</v>
      </c>
      <c r="B18" s="66" t="s">
        <v>304</v>
      </c>
      <c r="C18" s="67">
        <v>1</v>
      </c>
    </row>
    <row r="19" spans="1:3" ht="15" customHeight="1">
      <c r="A19" s="65" t="s">
        <v>25</v>
      </c>
      <c r="B19" s="66" t="s">
        <v>122</v>
      </c>
      <c r="C19" s="67">
        <v>2</v>
      </c>
    </row>
    <row r="20" spans="1:3" ht="15" customHeight="1">
      <c r="A20" s="65" t="s">
        <v>6</v>
      </c>
      <c r="B20" s="66" t="s">
        <v>305</v>
      </c>
      <c r="C20" s="67">
        <v>1</v>
      </c>
    </row>
    <row r="21" spans="1:3" ht="15" customHeight="1">
      <c r="A21" s="65" t="s">
        <v>37</v>
      </c>
      <c r="B21" s="66" t="s">
        <v>236</v>
      </c>
      <c r="C21" s="67">
        <v>1</v>
      </c>
    </row>
    <row r="22" spans="1:3" ht="15" customHeight="1">
      <c r="A22" s="65" t="s">
        <v>161</v>
      </c>
      <c r="B22" s="66" t="s">
        <v>259</v>
      </c>
      <c r="C22" s="67">
        <v>1</v>
      </c>
    </row>
    <row r="23" spans="1:3" ht="15" customHeight="1">
      <c r="A23" s="65" t="s">
        <v>161</v>
      </c>
      <c r="B23" s="66" t="s">
        <v>265</v>
      </c>
      <c r="C23" s="67">
        <v>1</v>
      </c>
    </row>
    <row r="24" spans="1:3" ht="15" customHeight="1">
      <c r="A24" s="65" t="s">
        <v>161</v>
      </c>
      <c r="B24" s="66" t="s">
        <v>256</v>
      </c>
      <c r="C24" s="67">
        <v>1</v>
      </c>
    </row>
    <row r="25" spans="1:3" ht="15" customHeight="1">
      <c r="A25" s="65" t="s">
        <v>161</v>
      </c>
      <c r="B25" s="66" t="s">
        <v>263</v>
      </c>
      <c r="C25" s="67">
        <v>1</v>
      </c>
    </row>
    <row r="26" spans="1:3" ht="15" customHeight="1">
      <c r="A26" s="65" t="s">
        <v>161</v>
      </c>
      <c r="B26" s="66" t="s">
        <v>214</v>
      </c>
      <c r="C26" s="67">
        <v>1</v>
      </c>
    </row>
    <row r="27" spans="1:3" ht="15" customHeight="1">
      <c r="A27" s="65" t="s">
        <v>161</v>
      </c>
      <c r="B27" s="66" t="s">
        <v>307</v>
      </c>
      <c r="C27" s="67">
        <v>1</v>
      </c>
    </row>
    <row r="28" spans="1:3" ht="15" customHeight="1">
      <c r="A28" s="65" t="s">
        <v>22</v>
      </c>
      <c r="B28" s="66" t="s">
        <v>308</v>
      </c>
      <c r="C28" s="67">
        <v>1</v>
      </c>
    </row>
    <row r="29" spans="1:3" ht="15" customHeight="1">
      <c r="A29" s="65" t="s">
        <v>39</v>
      </c>
      <c r="B29" s="66" t="s">
        <v>234</v>
      </c>
      <c r="C29" s="67">
        <v>1</v>
      </c>
    </row>
    <row r="30" spans="1:3" ht="15" customHeight="1">
      <c r="A30" s="65" t="s">
        <v>39</v>
      </c>
      <c r="B30" s="66" t="s">
        <v>309</v>
      </c>
      <c r="C30" s="67">
        <v>1</v>
      </c>
    </row>
    <row r="31" spans="1:3" ht="15" customHeight="1">
      <c r="A31" s="65" t="s">
        <v>39</v>
      </c>
      <c r="B31" s="66" t="s">
        <v>241</v>
      </c>
      <c r="C31" s="67">
        <v>1</v>
      </c>
    </row>
    <row r="32" spans="1:3" ht="15" customHeight="1">
      <c r="A32" s="65" t="s">
        <v>39</v>
      </c>
      <c r="B32" s="66" t="s">
        <v>195</v>
      </c>
      <c r="C32" s="67">
        <v>1</v>
      </c>
    </row>
    <row r="33" spans="1:3" ht="15" customHeight="1">
      <c r="A33" s="65" t="s">
        <v>38</v>
      </c>
      <c r="B33" s="66" t="s">
        <v>204</v>
      </c>
      <c r="C33" s="67">
        <v>1</v>
      </c>
    </row>
    <row r="34" spans="1:3" ht="15" customHeight="1" thickBot="1">
      <c r="A34" s="68" t="s">
        <v>9</v>
      </c>
      <c r="B34" s="69" t="s">
        <v>100</v>
      </c>
      <c r="C34" s="70">
        <v>2</v>
      </c>
    </row>
    <row r="35" spans="1:3" ht="15" customHeight="1">
      <c r="C35" s="42">
        <f>COUNTA(C8:C34)</f>
        <v>27</v>
      </c>
    </row>
    <row r="36" spans="1:3" ht="15" customHeight="1"/>
    <row r="37" spans="1:3" ht="15" customHeight="1"/>
    <row r="38" spans="1:3" ht="15" customHeight="1">
      <c r="A38" s="14" t="s">
        <v>89</v>
      </c>
    </row>
    <row r="39" spans="1:3" ht="15" customHeight="1"/>
    <row r="40" spans="1:3" ht="15" customHeight="1"/>
    <row r="41" spans="1:3" ht="15" customHeight="1"/>
    <row r="42" spans="1:3" ht="15" customHeight="1"/>
    <row r="43" spans="1:3" ht="15" customHeight="1"/>
    <row r="44" spans="1:3" ht="15" customHeight="1"/>
    <row r="45" spans="1:3" ht="15" customHeight="1"/>
    <row r="46" spans="1:3" ht="15" customHeight="1"/>
    <row r="47" spans="1:3" ht="15" customHeight="1"/>
    <row r="48" spans="1: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</sheetData>
  <sortState ref="A11:C33">
    <sortCondition ref="A11:A33"/>
    <sortCondition ref="B11:B33"/>
  </sortState>
  <hyperlinks>
    <hyperlink ref="C1" location="Cover!A1" display="--&gt; Return to first page"/>
    <hyperlink ref="A29" location="Cover!A1" display="--&gt; Return to first page"/>
    <hyperlink ref="A38" location="Cover!A1" display="--&gt; Return to first page"/>
  </hyperlinks>
  <pageMargins left="0.7" right="0.7" top="0.78740157499999996" bottom="0.78740157499999996" header="0.3" footer="0.3"/>
  <pageSetup paperSize="9"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zoomScaleNormal="100" workbookViewId="0">
      <selection activeCell="A5" sqref="A5"/>
    </sheetView>
  </sheetViews>
  <sheetFormatPr defaultColWidth="11.42578125" defaultRowHeight="15"/>
  <cols>
    <col min="1" max="1" width="60.7109375" bestFit="1" customWidth="1"/>
    <col min="2" max="2" width="3.7109375" customWidth="1"/>
    <col min="3" max="3" width="17" customWidth="1"/>
    <col min="4" max="4" width="30" bestFit="1" customWidth="1"/>
    <col min="5" max="5" width="14.85546875" customWidth="1"/>
    <col min="6" max="6" width="5" customWidth="1"/>
  </cols>
  <sheetData>
    <row r="1" spans="1:5">
      <c r="E1" s="13" t="s">
        <v>89</v>
      </c>
    </row>
    <row r="2" spans="1:5">
      <c r="A2" s="8" t="s">
        <v>89</v>
      </c>
    </row>
    <row r="4" spans="1:5" ht="26.25">
      <c r="A4" s="4" t="s">
        <v>80</v>
      </c>
    </row>
    <row r="6" spans="1:5">
      <c r="A6" s="1" t="s">
        <v>85</v>
      </c>
    </row>
    <row r="7" spans="1:5" ht="15.75" thickBot="1"/>
    <row r="8" spans="1:5" ht="15.75" thickBot="1">
      <c r="A8" s="9" t="s">
        <v>0</v>
      </c>
      <c r="B8" s="11" t="s">
        <v>1</v>
      </c>
      <c r="C8" s="9" t="s">
        <v>2</v>
      </c>
      <c r="D8" s="9" t="s">
        <v>3</v>
      </c>
      <c r="E8" s="9" t="s">
        <v>207</v>
      </c>
    </row>
    <row r="9" spans="1:5">
      <c r="A9" s="16" t="s">
        <v>4</v>
      </c>
      <c r="B9" s="17">
        <v>2</v>
      </c>
      <c r="C9" s="17" t="s">
        <v>5</v>
      </c>
      <c r="D9" s="17" t="s">
        <v>6</v>
      </c>
      <c r="E9" s="18">
        <v>2005</v>
      </c>
    </row>
    <row r="10" spans="1:5">
      <c r="A10" s="19" t="s">
        <v>7</v>
      </c>
      <c r="B10" s="20">
        <v>2</v>
      </c>
      <c r="C10" s="20" t="s">
        <v>8</v>
      </c>
      <c r="D10" s="20" t="s">
        <v>9</v>
      </c>
      <c r="E10" s="21">
        <v>2002</v>
      </c>
    </row>
    <row r="11" spans="1:5">
      <c r="A11" s="19" t="s">
        <v>10</v>
      </c>
      <c r="B11" s="20">
        <v>2</v>
      </c>
      <c r="C11" s="20" t="s">
        <v>60</v>
      </c>
      <c r="D11" s="20" t="s">
        <v>9</v>
      </c>
      <c r="E11" s="21">
        <v>2012</v>
      </c>
    </row>
    <row r="12" spans="1:5">
      <c r="A12" s="19" t="s">
        <v>11</v>
      </c>
      <c r="B12" s="20">
        <v>2</v>
      </c>
      <c r="C12" s="20" t="s">
        <v>12</v>
      </c>
      <c r="D12" s="20" t="s">
        <v>9</v>
      </c>
      <c r="E12" s="21">
        <v>2008</v>
      </c>
    </row>
    <row r="13" spans="1:5">
      <c r="A13" s="19" t="s">
        <v>13</v>
      </c>
      <c r="B13" s="20">
        <v>1</v>
      </c>
      <c r="C13" s="20" t="s">
        <v>14</v>
      </c>
      <c r="D13" s="20" t="s">
        <v>15</v>
      </c>
      <c r="E13" s="21">
        <v>2005</v>
      </c>
    </row>
    <row r="14" spans="1:5">
      <c r="A14" s="19" t="s">
        <v>16</v>
      </c>
      <c r="B14" s="20">
        <v>1</v>
      </c>
      <c r="C14" s="20" t="s">
        <v>17</v>
      </c>
      <c r="D14" s="20" t="s">
        <v>9</v>
      </c>
      <c r="E14" s="21">
        <v>2004</v>
      </c>
    </row>
    <row r="15" spans="1:5">
      <c r="A15" s="19" t="s">
        <v>18</v>
      </c>
      <c r="B15" s="20">
        <v>1</v>
      </c>
      <c r="C15" s="20" t="s">
        <v>19</v>
      </c>
      <c r="D15" s="20" t="s">
        <v>15</v>
      </c>
      <c r="E15" s="21">
        <v>2006</v>
      </c>
    </row>
    <row r="16" spans="1:5">
      <c r="A16" s="19" t="s">
        <v>20</v>
      </c>
      <c r="B16" s="20">
        <v>1</v>
      </c>
      <c r="C16" s="20" t="s">
        <v>21</v>
      </c>
      <c r="D16" s="20" t="s">
        <v>22</v>
      </c>
      <c r="E16" s="21">
        <v>2001</v>
      </c>
    </row>
    <row r="17" spans="1:5">
      <c r="A17" s="19" t="s">
        <v>23</v>
      </c>
      <c r="B17" s="20">
        <v>1</v>
      </c>
      <c r="C17" s="20" t="s">
        <v>24</v>
      </c>
      <c r="D17" s="20" t="s">
        <v>25</v>
      </c>
      <c r="E17" s="21">
        <v>2007</v>
      </c>
    </row>
    <row r="18" spans="1:5">
      <c r="A18" s="19" t="s">
        <v>26</v>
      </c>
      <c r="B18" s="20">
        <v>1</v>
      </c>
      <c r="C18" s="20" t="s">
        <v>27</v>
      </c>
      <c r="D18" s="20" t="s">
        <v>9</v>
      </c>
      <c r="E18" s="21">
        <v>2001</v>
      </c>
    </row>
    <row r="19" spans="1:5">
      <c r="A19" s="19" t="s">
        <v>11</v>
      </c>
      <c r="B19" s="20">
        <v>2</v>
      </c>
      <c r="C19" s="20" t="s">
        <v>12</v>
      </c>
      <c r="D19" s="20" t="s">
        <v>9</v>
      </c>
      <c r="E19" s="21">
        <v>2008</v>
      </c>
    </row>
    <row r="20" spans="1:5">
      <c r="A20" s="19" t="s">
        <v>28</v>
      </c>
      <c r="B20" s="20">
        <v>1</v>
      </c>
      <c r="C20" s="20" t="s">
        <v>29</v>
      </c>
      <c r="D20" s="20" t="s">
        <v>9</v>
      </c>
      <c r="E20" s="21">
        <v>2003</v>
      </c>
    </row>
    <row r="21" spans="1:5">
      <c r="A21" s="19" t="s">
        <v>30</v>
      </c>
      <c r="B21" s="20">
        <v>2</v>
      </c>
      <c r="C21" s="20" t="s">
        <v>31</v>
      </c>
      <c r="D21" s="20" t="s">
        <v>9</v>
      </c>
      <c r="E21" s="21">
        <v>2001</v>
      </c>
    </row>
    <row r="22" spans="1:5">
      <c r="A22" s="19" t="s">
        <v>32</v>
      </c>
      <c r="B22" s="20">
        <v>1</v>
      </c>
      <c r="C22" s="20" t="s">
        <v>33</v>
      </c>
      <c r="D22" s="20" t="s">
        <v>9</v>
      </c>
      <c r="E22" s="21">
        <v>2001</v>
      </c>
    </row>
    <row r="23" spans="1:5">
      <c r="A23" s="19" t="s">
        <v>34</v>
      </c>
      <c r="B23" s="20">
        <v>2</v>
      </c>
      <c r="C23" s="20" t="s">
        <v>35</v>
      </c>
      <c r="D23" s="20" t="s">
        <v>9</v>
      </c>
      <c r="E23" s="21">
        <v>2001</v>
      </c>
    </row>
    <row r="24" spans="1:5">
      <c r="A24" s="19" t="s">
        <v>41</v>
      </c>
      <c r="B24" s="20">
        <v>1</v>
      </c>
      <c r="C24" s="20" t="s">
        <v>42</v>
      </c>
      <c r="D24" s="20" t="s">
        <v>25</v>
      </c>
      <c r="E24" s="21">
        <v>2003</v>
      </c>
    </row>
    <row r="25" spans="1:5">
      <c r="A25" s="52" t="s">
        <v>122</v>
      </c>
      <c r="B25" s="53">
        <v>1</v>
      </c>
      <c r="C25" s="53" t="s">
        <v>287</v>
      </c>
      <c r="D25" s="20" t="s">
        <v>25</v>
      </c>
      <c r="E25" s="54">
        <v>2003</v>
      </c>
    </row>
    <row r="26" spans="1:5" ht="15.75" thickBot="1">
      <c r="A26" s="22" t="s">
        <v>56</v>
      </c>
      <c r="B26" s="23">
        <v>1</v>
      </c>
      <c r="C26" s="23" t="s">
        <v>57</v>
      </c>
      <c r="D26" s="23" t="s">
        <v>9</v>
      </c>
      <c r="E26" s="24">
        <v>2002</v>
      </c>
    </row>
    <row r="30" spans="1:5">
      <c r="A30" s="15" t="s">
        <v>89</v>
      </c>
    </row>
  </sheetData>
  <hyperlinks>
    <hyperlink ref="A2" location="Cover!A1" display="--&gt; Return to first page"/>
    <hyperlink ref="E1" location="Cover!A1" display="--&gt; Return to first page"/>
    <hyperlink ref="A30" location="Cover!A1" display="--&gt; Return to first page"/>
  </hyperlinks>
  <pageMargins left="0.7" right="0.7" top="0.78740157499999996" bottom="0.78740157499999996" header="0.3" footer="0.3"/>
  <pageSetup paperSize="9" scale="6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3"/>
  <sheetViews>
    <sheetView zoomScaleNormal="100" workbookViewId="0">
      <selection activeCell="A6" sqref="A6"/>
    </sheetView>
  </sheetViews>
  <sheetFormatPr defaultColWidth="11.42578125" defaultRowHeight="15"/>
  <cols>
    <col min="1" max="1" width="73.140625" customWidth="1"/>
    <col min="2" max="2" width="3.7109375" customWidth="1"/>
    <col min="3" max="3" width="30" bestFit="1" customWidth="1"/>
    <col min="4" max="4" width="5" customWidth="1"/>
  </cols>
  <sheetData>
    <row r="1" spans="1:3">
      <c r="C1" s="13" t="s">
        <v>89</v>
      </c>
    </row>
    <row r="4" spans="1:3" ht="26.25">
      <c r="A4" s="4" t="s">
        <v>81</v>
      </c>
    </row>
    <row r="7" spans="1:3" ht="50.1" customHeight="1">
      <c r="A7" s="88" t="s">
        <v>272</v>
      </c>
      <c r="B7" s="89"/>
      <c r="C7" s="89"/>
    </row>
    <row r="8" spans="1:3" ht="15.75" thickBot="1"/>
    <row r="9" spans="1:3" ht="15.75" thickBot="1">
      <c r="A9" s="9" t="s">
        <v>0</v>
      </c>
      <c r="B9" s="11" t="s">
        <v>1</v>
      </c>
      <c r="C9" s="9" t="s">
        <v>3</v>
      </c>
    </row>
    <row r="10" spans="1:3">
      <c r="A10" s="16" t="s">
        <v>271</v>
      </c>
      <c r="B10" s="17">
        <v>1</v>
      </c>
      <c r="C10" s="18" t="s">
        <v>15</v>
      </c>
    </row>
    <row r="11" spans="1:3">
      <c r="A11" s="19" t="s">
        <v>72</v>
      </c>
      <c r="B11" s="20">
        <v>1</v>
      </c>
      <c r="C11" s="21" t="s">
        <v>38</v>
      </c>
    </row>
    <row r="12" spans="1:3">
      <c r="A12" s="19" t="s">
        <v>66</v>
      </c>
      <c r="B12" s="20">
        <v>1</v>
      </c>
      <c r="C12" s="21" t="s">
        <v>25</v>
      </c>
    </row>
    <row r="13" spans="1:3">
      <c r="A13" s="19" t="s">
        <v>36</v>
      </c>
      <c r="B13" s="20">
        <v>1</v>
      </c>
      <c r="C13" s="21" t="s">
        <v>37</v>
      </c>
    </row>
    <row r="14" spans="1:3">
      <c r="A14" s="19" t="s">
        <v>40</v>
      </c>
      <c r="B14" s="20">
        <v>1</v>
      </c>
      <c r="C14" s="21" t="s">
        <v>22</v>
      </c>
    </row>
    <row r="15" spans="1:3">
      <c r="A15" s="19" t="s">
        <v>65</v>
      </c>
      <c r="B15" s="20">
        <v>3</v>
      </c>
      <c r="C15" s="21" t="s">
        <v>9</v>
      </c>
    </row>
    <row r="16" spans="1:3">
      <c r="A16" s="19" t="s">
        <v>43</v>
      </c>
      <c r="B16" s="20">
        <v>1</v>
      </c>
      <c r="C16" s="21" t="s">
        <v>6</v>
      </c>
    </row>
    <row r="17" spans="1:3">
      <c r="A17" s="19" t="s">
        <v>268</v>
      </c>
      <c r="B17" s="20">
        <v>1</v>
      </c>
      <c r="C17" s="21" t="s">
        <v>9</v>
      </c>
    </row>
    <row r="18" spans="1:3">
      <c r="A18" s="19" t="s">
        <v>68</v>
      </c>
      <c r="B18" s="20">
        <v>1</v>
      </c>
      <c r="C18" s="21" t="s">
        <v>69</v>
      </c>
    </row>
    <row r="19" spans="1:3">
      <c r="A19" s="19" t="s">
        <v>70</v>
      </c>
      <c r="B19" s="20">
        <v>1</v>
      </c>
      <c r="C19" s="21" t="s">
        <v>69</v>
      </c>
    </row>
    <row r="20" spans="1:3">
      <c r="A20" s="19" t="s">
        <v>71</v>
      </c>
      <c r="B20" s="20">
        <v>1</v>
      </c>
      <c r="C20" s="21" t="s">
        <v>69</v>
      </c>
    </row>
    <row r="21" spans="1:3">
      <c r="A21" s="19" t="s">
        <v>67</v>
      </c>
      <c r="B21" s="20">
        <v>1</v>
      </c>
      <c r="C21" s="21" t="s">
        <v>37</v>
      </c>
    </row>
    <row r="22" spans="1:3">
      <c r="A22" s="19" t="s">
        <v>270</v>
      </c>
      <c r="B22" s="20">
        <v>1</v>
      </c>
      <c r="C22" s="21" t="s">
        <v>22</v>
      </c>
    </row>
    <row r="23" spans="1:3">
      <c r="A23" s="19" t="s">
        <v>44</v>
      </c>
      <c r="B23" s="20">
        <v>1</v>
      </c>
      <c r="C23" s="21" t="s">
        <v>38</v>
      </c>
    </row>
    <row r="24" spans="1:3">
      <c r="A24" s="19" t="s">
        <v>45</v>
      </c>
      <c r="B24" s="20">
        <v>2</v>
      </c>
      <c r="C24" s="21" t="s">
        <v>38</v>
      </c>
    </row>
    <row r="25" spans="1:3">
      <c r="A25" s="19" t="s">
        <v>46</v>
      </c>
      <c r="B25" s="20">
        <v>1</v>
      </c>
      <c r="C25" s="21" t="s">
        <v>25</v>
      </c>
    </row>
    <row r="26" spans="1:3">
      <c r="A26" s="19" t="s">
        <v>47</v>
      </c>
      <c r="B26" s="20">
        <v>1</v>
      </c>
      <c r="C26" s="21" t="s">
        <v>25</v>
      </c>
    </row>
    <row r="27" spans="1:3">
      <c r="A27" s="19" t="s">
        <v>48</v>
      </c>
      <c r="B27" s="20">
        <v>1</v>
      </c>
      <c r="C27" s="21" t="s">
        <v>37</v>
      </c>
    </row>
    <row r="28" spans="1:3">
      <c r="A28" s="19" t="s">
        <v>49</v>
      </c>
      <c r="B28" s="20">
        <v>1</v>
      </c>
      <c r="C28" s="21" t="s">
        <v>37</v>
      </c>
    </row>
    <row r="29" spans="1:3">
      <c r="A29" s="19" t="s">
        <v>50</v>
      </c>
      <c r="B29" s="20">
        <v>1</v>
      </c>
      <c r="C29" s="21" t="s">
        <v>37</v>
      </c>
    </row>
    <row r="30" spans="1:3">
      <c r="A30" s="19" t="s">
        <v>51</v>
      </c>
      <c r="B30" s="20">
        <v>1</v>
      </c>
      <c r="C30" s="21" t="s">
        <v>38</v>
      </c>
    </row>
    <row r="31" spans="1:3">
      <c r="A31" s="19" t="s">
        <v>52</v>
      </c>
      <c r="B31" s="20">
        <v>1</v>
      </c>
      <c r="C31" s="21" t="s">
        <v>25</v>
      </c>
    </row>
    <row r="32" spans="1:3">
      <c r="A32" s="19" t="s">
        <v>53</v>
      </c>
      <c r="B32" s="20">
        <v>1</v>
      </c>
      <c r="C32" s="21" t="s">
        <v>37</v>
      </c>
    </row>
    <row r="33" spans="1:3">
      <c r="A33" s="19" t="s">
        <v>53</v>
      </c>
      <c r="B33" s="20">
        <v>2</v>
      </c>
      <c r="C33" s="21" t="s">
        <v>37</v>
      </c>
    </row>
    <row r="34" spans="1:3">
      <c r="A34" s="19" t="s">
        <v>54</v>
      </c>
      <c r="B34" s="20">
        <v>1</v>
      </c>
      <c r="C34" s="21" t="s">
        <v>37</v>
      </c>
    </row>
    <row r="35" spans="1:3">
      <c r="A35" s="19" t="s">
        <v>55</v>
      </c>
      <c r="B35" s="20">
        <v>1</v>
      </c>
      <c r="C35" s="21" t="s">
        <v>39</v>
      </c>
    </row>
    <row r="36" spans="1:3">
      <c r="A36" s="19" t="s">
        <v>56</v>
      </c>
      <c r="B36" s="20">
        <v>1</v>
      </c>
      <c r="C36" s="21" t="s">
        <v>9</v>
      </c>
    </row>
    <row r="37" spans="1:3">
      <c r="A37" s="19" t="s">
        <v>261</v>
      </c>
      <c r="B37" s="20">
        <v>1</v>
      </c>
      <c r="C37" s="21" t="s">
        <v>37</v>
      </c>
    </row>
    <row r="38" spans="1:3">
      <c r="A38" s="19" t="s">
        <v>58</v>
      </c>
      <c r="B38" s="20">
        <v>10</v>
      </c>
      <c r="C38" s="21" t="s">
        <v>37</v>
      </c>
    </row>
    <row r="39" spans="1:3" ht="15.75" thickBot="1">
      <c r="A39" s="22" t="s">
        <v>59</v>
      </c>
      <c r="B39" s="23">
        <v>1</v>
      </c>
      <c r="C39" s="24" t="s">
        <v>64</v>
      </c>
    </row>
    <row r="43" spans="1:3">
      <c r="A43" s="15" t="s">
        <v>89</v>
      </c>
    </row>
  </sheetData>
  <sortState ref="A13:C42">
    <sortCondition ref="A13:A42"/>
  </sortState>
  <mergeCells count="1">
    <mergeCell ref="A7:C7"/>
  </mergeCells>
  <hyperlinks>
    <hyperlink ref="C1" location="Cover!A1" display="--&gt; Return to first page"/>
    <hyperlink ref="A43" location="Cover!A1" display="--&gt; Return to first page"/>
  </hyperlinks>
  <pageMargins left="0.7" right="0.7" top="0.78740157499999996" bottom="0.78740157499999996" header="0.3" footer="0.3"/>
  <pageSetup paperSize="9" scale="7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6"/>
  <sheetViews>
    <sheetView zoomScaleNormal="100" workbookViewId="0">
      <selection activeCell="A6" sqref="A6"/>
    </sheetView>
  </sheetViews>
  <sheetFormatPr defaultColWidth="11.42578125" defaultRowHeight="15"/>
  <cols>
    <col min="1" max="1" width="60.7109375" bestFit="1" customWidth="1"/>
    <col min="2" max="2" width="5" customWidth="1"/>
  </cols>
  <sheetData>
    <row r="1" spans="1:1">
      <c r="A1" s="13" t="s">
        <v>89</v>
      </c>
    </row>
    <row r="4" spans="1:1" ht="26.25">
      <c r="A4" s="4" t="s">
        <v>247</v>
      </c>
    </row>
    <row r="5" spans="1:1" ht="26.25">
      <c r="A5" s="4" t="s">
        <v>248</v>
      </c>
    </row>
    <row r="6" spans="1:1" ht="26.25">
      <c r="A6" s="4" t="s">
        <v>249</v>
      </c>
    </row>
    <row r="8" spans="1:1" ht="15.75" thickBot="1"/>
    <row r="9" spans="1:1" ht="15.75" thickBot="1">
      <c r="A9" s="9" t="s">
        <v>0</v>
      </c>
    </row>
    <row r="10" spans="1:1">
      <c r="A10" s="56" t="s">
        <v>288</v>
      </c>
    </row>
    <row r="11" spans="1:1">
      <c r="A11" s="57" t="s">
        <v>289</v>
      </c>
    </row>
    <row r="12" spans="1:1">
      <c r="A12" s="57" t="s">
        <v>265</v>
      </c>
    </row>
    <row r="13" spans="1:1">
      <c r="A13" s="57" t="s">
        <v>290</v>
      </c>
    </row>
    <row r="14" spans="1:1">
      <c r="A14" s="57" t="s">
        <v>291</v>
      </c>
    </row>
    <row r="15" spans="1:1">
      <c r="A15" s="57" t="s">
        <v>292</v>
      </c>
    </row>
    <row r="16" spans="1:1">
      <c r="A16" s="57" t="s">
        <v>293</v>
      </c>
    </row>
    <row r="17" spans="1:1">
      <c r="A17" s="57" t="s">
        <v>294</v>
      </c>
    </row>
    <row r="18" spans="1:1">
      <c r="A18" s="57" t="s">
        <v>295</v>
      </c>
    </row>
    <row r="19" spans="1:1">
      <c r="A19" s="57" t="s">
        <v>296</v>
      </c>
    </row>
    <row r="20" spans="1:1">
      <c r="A20" s="60" t="s">
        <v>274</v>
      </c>
    </row>
    <row r="21" spans="1:1">
      <c r="A21" s="60" t="s">
        <v>297</v>
      </c>
    </row>
    <row r="22" spans="1:1" ht="15.75" thickBot="1">
      <c r="A22" s="58" t="s">
        <v>298</v>
      </c>
    </row>
    <row r="23" spans="1:1">
      <c r="A23" s="55"/>
    </row>
    <row r="24" spans="1:1">
      <c r="A24" s="55"/>
    </row>
    <row r="25" spans="1:1">
      <c r="A25" s="55"/>
    </row>
    <row r="26" spans="1:1">
      <c r="A26" s="15" t="s">
        <v>89</v>
      </c>
    </row>
  </sheetData>
  <sortState ref="A13:A20">
    <sortCondition ref="A13"/>
  </sortState>
  <hyperlinks>
    <hyperlink ref="A26" location="Cover!A1" display="--&gt; Return to first page"/>
    <hyperlink ref="A1" location="Cover!A1" display="--&gt; Return to first page"/>
  </hyperlink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Cover</vt:lpstr>
      <vt:lpstr>1 | Statistics</vt:lpstr>
      <vt:lpstr>2 | Available</vt:lpstr>
      <vt:lpstr>3 | Exclusive</vt:lpstr>
      <vt:lpstr>4 | Old editions</vt:lpstr>
      <vt:lpstr>5 | Not included</vt:lpstr>
      <vt:lpstr>6 | Coming soon</vt:lpstr>
      <vt:lpstr>_4___Old_editions</vt:lpstr>
    </vt:vector>
  </TitlesOfParts>
  <Company>Springer-SBM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Fabiani</dc:creator>
  <cp:lastModifiedBy>vvl0</cp:lastModifiedBy>
  <cp:lastPrinted>2013-01-14T13:38:44Z</cp:lastPrinted>
  <dcterms:created xsi:type="dcterms:W3CDTF">2011-10-01T11:26:16Z</dcterms:created>
  <dcterms:modified xsi:type="dcterms:W3CDTF">2013-01-14T13:50:47Z</dcterms:modified>
</cp:coreProperties>
</file>