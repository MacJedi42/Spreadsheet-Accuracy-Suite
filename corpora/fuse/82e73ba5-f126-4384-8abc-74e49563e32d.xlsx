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7235" windowHeight="10545"/>
  </bookViews>
  <sheets>
    <sheet name="Table 4.4" sheetId="1" r:id="rId1"/>
  </sheets>
  <externalReferences>
    <externalReference r:id="rId2"/>
    <externalReference r:id="rId3"/>
  </externalReferences>
  <definedNames>
    <definedName name="_xlnm.Print_Area" localSheetId="0">'Table 4.4'!$A$3:$L$63</definedName>
  </definedNames>
  <calcPr calcId="145621"/>
</workbook>
</file>

<file path=xl/calcChain.xml><?xml version="1.0" encoding="utf-8"?>
<calcChain xmlns="http://schemas.openxmlformats.org/spreadsheetml/2006/main">
  <c r="I62" i="1" l="1"/>
  <c r="E38" i="1"/>
  <c r="D38" i="1"/>
  <c r="C38" i="1"/>
  <c r="B38" i="1"/>
  <c r="E36" i="1"/>
  <c r="D36" i="1"/>
  <c r="C36" i="1"/>
  <c r="B36" i="1"/>
  <c r="E35" i="1"/>
  <c r="D35" i="1"/>
  <c r="C35" i="1"/>
  <c r="B35" i="1"/>
  <c r="E34" i="1"/>
  <c r="D34" i="1"/>
  <c r="C34" i="1"/>
  <c r="B34" i="1"/>
  <c r="F33" i="1"/>
  <c r="E33" i="1"/>
  <c r="D33" i="1"/>
  <c r="C33" i="1"/>
  <c r="B33" i="1"/>
  <c r="E28" i="1"/>
  <c r="D28" i="1"/>
  <c r="C28" i="1"/>
  <c r="B28" i="1"/>
  <c r="E26" i="1"/>
  <c r="D26" i="1"/>
  <c r="C26" i="1"/>
  <c r="B26" i="1"/>
  <c r="E25" i="1"/>
  <c r="D25" i="1"/>
  <c r="C25" i="1"/>
  <c r="B25" i="1"/>
  <c r="E24" i="1"/>
  <c r="D24" i="1"/>
  <c r="C24" i="1"/>
  <c r="B24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<sst xmlns="http://schemas.openxmlformats.org/spreadsheetml/2006/main" count="25" uniqueCount="20">
  <si>
    <t>Monthly Statistical Bulletin</t>
  </si>
  <si>
    <t>4.4 Business investment</t>
  </si>
  <si>
    <t>Quarter</t>
  </si>
  <si>
    <t>2008–09</t>
  </si>
  <si>
    <t>2009–10</t>
  </si>
  <si>
    <t>2010–11</t>
  </si>
  <si>
    <t>2011–12</t>
  </si>
  <si>
    <t>2012–13</t>
  </si>
  <si>
    <t>Chain volume measures (a) (b) – $ million</t>
  </si>
  <si>
    <t>September</t>
  </si>
  <si>
    <t>December</t>
  </si>
  <si>
    <t>March</t>
  </si>
  <si>
    <t>June</t>
  </si>
  <si>
    <t>Annual</t>
  </si>
  <si>
    <t>Annual change (b) – per cent</t>
  </si>
  <si>
    <t>(a) Reference year for chain volume measures is 2010–11.</t>
  </si>
  <si>
    <t>(b) Quarterly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</si>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</sst>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0"/>
    <numFmt numFmtId="165" formatCode="0.0"/>
    <numFmt numFmtId="166" formatCode="#0.0"/>
    <numFmt numFmtId="167" formatCode="[$-C09]d\ mmmm\ yyyy;@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color rgb="FF0070C0"/>
      <name val="Times New Roman"/>
      <family val="1"/>
    </font>
    <font>
      <sz val="12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9" fillId="0" borderId="0"/>
  </cellStyleXfs>
  <cellXfs count="4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0" fillId="0" borderId="0" xfId="0" applyProtection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0" fontId="12" fillId="0" borderId="1" xfId="0" applyFont="1" applyBorder="1"/>
    <xf numFmtId="164" fontId="11" fillId="0" borderId="1" xfId="0" applyNumberFormat="1" applyFont="1" applyBorder="1"/>
    <xf numFmtId="0" fontId="11" fillId="0" borderId="0" xfId="0" applyFont="1" applyBorder="1"/>
    <xf numFmtId="164" fontId="11" fillId="0" borderId="0" xfId="0" applyNumberFormat="1" applyFont="1" applyBorder="1"/>
    <xf numFmtId="0" fontId="7" fillId="0" borderId="0" xfId="0" applyFont="1" applyAlignment="1">
      <alignment horizontal="left"/>
    </xf>
    <xf numFmtId="164" fontId="11" fillId="0" borderId="0" xfId="0" applyNumberFormat="1" applyFont="1" applyAlignment="1">
      <alignment horizontal="centerContinuous"/>
    </xf>
    <xf numFmtId="0" fontId="13" fillId="0" borderId="0" xfId="0" applyFont="1" applyAlignment="1">
      <alignment horizontal="centerContinuous"/>
    </xf>
    <xf numFmtId="165" fontId="11" fillId="0" borderId="0" xfId="0" applyNumberFormat="1" applyFont="1"/>
    <xf numFmtId="166" fontId="11" fillId="0" borderId="0" xfId="0" applyNumberFormat="1" applyFont="1"/>
    <xf numFmtId="0" fontId="14" fillId="0" borderId="1" xfId="0" applyFont="1" applyBorder="1" applyAlignment="1">
      <alignment horizontal="left"/>
    </xf>
    <xf numFmtId="0" fontId="11" fillId="0" borderId="0" xfId="0" applyFont="1" applyAlignment="1">
      <alignment horizontal="centerContinuous"/>
    </xf>
    <xf numFmtId="0" fontId="8" fillId="0" borderId="0" xfId="2" applyFont="1"/>
    <xf numFmtId="0" fontId="8" fillId="0" borderId="0" xfId="2" applyFont="1" applyAlignment="1">
      <alignment horizontal="left"/>
    </xf>
    <xf numFmtId="0" fontId="14" fillId="0" borderId="0" xfId="1" quotePrefix="1" applyFont="1" applyAlignment="1" applyProtection="1"/>
    <xf numFmtId="0" fontId="1" fillId="0" borderId="0" xfId="1" applyAlignment="1" applyProtection="1"/>
    <xf numFmtId="0" fontId="14" fillId="0" borderId="0" xfId="1" applyFont="1" applyAlignment="1" applyProtection="1"/>
    <xf numFmtId="0" fontId="18" fillId="0" borderId="0" xfId="0" applyFont="1" applyAlignment="1">
      <alignment horizontal="left"/>
    </xf>
    <xf numFmtId="165" fontId="11" fillId="0" borderId="0" xfId="0" applyNumberFormat="1" applyFont="1" applyBorder="1"/>
    <xf numFmtId="0" fontId="8" fillId="0" borderId="0" xfId="0" applyFont="1" applyBorder="1"/>
    <xf numFmtId="0" fontId="4" fillId="0" borderId="0" xfId="0" applyFont="1" applyBorder="1"/>
    <xf numFmtId="0" fontId="8" fillId="0" borderId="0" xfId="0" applyFont="1"/>
    <xf numFmtId="167" fontId="8" fillId="0" borderId="0" xfId="0" quotePrefix="1" applyNumberFormat="1" applyFont="1" applyAlignment="1">
      <alignment horizontal="left" wrapText="1"/>
    </xf>
    <xf numFmtId="167" fontId="0" fillId="0" borderId="0" xfId="0" applyNumberFormat="1" applyAlignment="1">
      <alignment wrapText="1"/>
    </xf>
  </cellXfs>
  <cellStyles count="4">
    <cellStyle name="Hyperlink" xfId="1" builtinId="8"/>
    <cellStyle name="Normal" xfId="0" builtinId="0"/>
    <cellStyle name="Normal 2" xfId="3"/>
    <cellStyle name="Normal_Table 2.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437688465120519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48258707506"/>
          <c:y val="0.12068965517241392"/>
          <c:w val="0.80348258706467657"/>
          <c:h val="0.7344827586206896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4.4'!$A$31:$A$51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 formatCode="mmm\-yy">
                  <c:v>40057</c:v>
                </c:pt>
                <c:pt idx="6" formatCode="mmm\-yy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4.4'!$B$31:$B$51</c:f>
              <c:numCache>
                <c:formatCode>###\ ##0</c:formatCode>
                <c:ptCount val="21"/>
                <c:pt idx="0">
                  <c:v>50334</c:v>
                </c:pt>
                <c:pt idx="1">
                  <c:v>50809</c:v>
                </c:pt>
                <c:pt idx="2">
                  <c:v>50253</c:v>
                </c:pt>
                <c:pt idx="3">
                  <c:v>49388</c:v>
                </c:pt>
                <c:pt idx="4">
                  <c:v>48444</c:v>
                </c:pt>
                <c:pt idx="5">
                  <c:v>46364</c:v>
                </c:pt>
                <c:pt idx="6">
                  <c:v>48713</c:v>
                </c:pt>
                <c:pt idx="7">
                  <c:v>46820</c:v>
                </c:pt>
                <c:pt idx="8">
                  <c:v>47268</c:v>
                </c:pt>
                <c:pt idx="9">
                  <c:v>48622</c:v>
                </c:pt>
                <c:pt idx="10">
                  <c:v>50532</c:v>
                </c:pt>
                <c:pt idx="11">
                  <c:v>53246</c:v>
                </c:pt>
                <c:pt idx="12">
                  <c:v>53117</c:v>
                </c:pt>
                <c:pt idx="13">
                  <c:v>60919</c:v>
                </c:pt>
                <c:pt idx="14">
                  <c:v>59464</c:v>
                </c:pt>
                <c:pt idx="15">
                  <c:v>64200</c:v>
                </c:pt>
                <c:pt idx="16">
                  <c:v>66181</c:v>
                </c:pt>
                <c:pt idx="17">
                  <c:v>67891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22240"/>
        <c:axId val="127723776"/>
      </c:lineChart>
      <c:catAx>
        <c:axId val="12772224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72377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27723776"/>
        <c:scaling>
          <c:orientation val="minMax"/>
          <c:min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722240"/>
        <c:crosses val="autoZero"/>
        <c:crossBetween val="midCat"/>
        <c:maj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47625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39600</v>
          </cell>
          <cell r="B31">
            <v>50334</v>
          </cell>
        </row>
        <row r="32">
          <cell r="A32">
            <v>39692</v>
          </cell>
          <cell r="B32">
            <v>50809</v>
          </cell>
          <cell r="C32">
            <v>8.4735269000854032</v>
          </cell>
        </row>
        <row r="33">
          <cell r="A33">
            <v>39783</v>
          </cell>
          <cell r="B33">
            <v>50253</v>
          </cell>
          <cell r="C33">
            <v>6.504323499491349</v>
          </cell>
        </row>
        <row r="34">
          <cell r="A34">
            <v>39873</v>
          </cell>
          <cell r="B34">
            <v>49388</v>
          </cell>
          <cell r="C34">
            <v>0.62549662802307004</v>
          </cell>
        </row>
        <row r="35">
          <cell r="A35">
            <v>39965</v>
          </cell>
          <cell r="B35">
            <v>48444</v>
          </cell>
          <cell r="C35">
            <v>-3.7549171534151826</v>
          </cell>
          <cell r="F35">
            <v>198894</v>
          </cell>
          <cell r="G35">
            <v>2.8200104425684547</v>
          </cell>
        </row>
        <row r="36">
          <cell r="A36">
            <v>40057</v>
          </cell>
          <cell r="B36">
            <v>46364</v>
          </cell>
          <cell r="C36">
            <v>-8.748450077742131</v>
          </cell>
        </row>
        <row r="37">
          <cell r="A37">
            <v>40148</v>
          </cell>
          <cell r="B37">
            <v>48713</v>
          </cell>
          <cell r="C37">
            <v>-3.0644936620699226</v>
          </cell>
        </row>
        <row r="38">
          <cell r="A38">
            <v>40238</v>
          </cell>
          <cell r="B38">
            <v>46820</v>
          </cell>
          <cell r="C38">
            <v>-5.1996436381307243</v>
          </cell>
        </row>
        <row r="39">
          <cell r="A39">
            <v>40330</v>
          </cell>
          <cell r="B39">
            <v>47268</v>
          </cell>
          <cell r="C39">
            <v>-2.4275452068367565</v>
          </cell>
          <cell r="F39">
            <v>189166</v>
          </cell>
          <cell r="G39">
            <v>-4.8910474926342706</v>
          </cell>
        </row>
        <row r="40">
          <cell r="A40">
            <v>40422</v>
          </cell>
          <cell r="B40">
            <v>48622</v>
          </cell>
          <cell r="C40">
            <v>4.8701578811146673</v>
          </cell>
        </row>
        <row r="41">
          <cell r="A41">
            <v>40513</v>
          </cell>
          <cell r="B41">
            <v>50532</v>
          </cell>
          <cell r="C41">
            <v>3.7341161496931008</v>
          </cell>
        </row>
        <row r="42">
          <cell r="A42">
            <v>40603</v>
          </cell>
          <cell r="B42">
            <v>53246</v>
          </cell>
          <cell r="C42">
            <v>13.72490388722769</v>
          </cell>
        </row>
        <row r="43">
          <cell r="A43">
            <v>40695</v>
          </cell>
          <cell r="B43">
            <v>53117</v>
          </cell>
          <cell r="C43">
            <v>12.374122027587365</v>
          </cell>
          <cell r="F43">
            <v>205517</v>
          </cell>
          <cell r="G43">
            <v>8.6437309030164009</v>
          </cell>
        </row>
        <row r="44">
          <cell r="A44">
            <v>40787</v>
          </cell>
          <cell r="B44">
            <v>60919</v>
          </cell>
          <cell r="C44">
            <v>25.291020525687969</v>
          </cell>
        </row>
        <row r="45">
          <cell r="A45">
            <v>40878</v>
          </cell>
          <cell r="B45">
            <v>59464</v>
          </cell>
          <cell r="C45">
            <v>17.675928124752627</v>
          </cell>
        </row>
        <row r="46">
          <cell r="A46">
            <v>40969</v>
          </cell>
          <cell r="B46">
            <v>64200</v>
          </cell>
          <cell r="C46">
            <v>20.572437366187124</v>
          </cell>
        </row>
        <row r="47">
          <cell r="A47">
            <v>41061</v>
          </cell>
          <cell r="B47">
            <v>66181</v>
          </cell>
          <cell r="C47">
            <v>24.594762505412572</v>
          </cell>
          <cell r="F47">
            <v>250764</v>
          </cell>
          <cell r="G47">
            <v>22.016183576054527</v>
          </cell>
        </row>
        <row r="48">
          <cell r="A48">
            <v>41153</v>
          </cell>
          <cell r="B48">
            <v>67891</v>
          </cell>
          <cell r="C48">
            <v>11.44470526436745</v>
          </cell>
        </row>
        <row r="49">
          <cell r="A49">
            <v>41244</v>
          </cell>
        </row>
        <row r="50">
          <cell r="A50">
            <v>41334</v>
          </cell>
        </row>
        <row r="51">
          <cell r="A51">
            <v>41426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4a Bus inv- seas adj"/>
      <sheetName val="4.4b Bus inv -ann %"/>
      <sheetName val="4.4a Graph"/>
      <sheetName val="4.4a Raw data"/>
    </sheetNames>
    <sheetDataSet>
      <sheetData sheetId="0">
        <row r="38">
          <cell r="A38">
            <v>40974</v>
          </cell>
        </row>
      </sheetData>
      <sheetData sheetId="1"/>
      <sheetData sheetId="2" refreshError="1"/>
      <sheetData sheetId="3">
        <row r="171">
          <cell r="B171">
            <v>21957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3"/>
  <sheetViews>
    <sheetView tabSelected="1" zoomScaleNormal="100" workbookViewId="0">
      <selection activeCell="N40" sqref="N40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7"/>
      <c r="C7" s="5"/>
      <c r="D7" s="5"/>
      <c r="E7" s="5"/>
      <c r="F7" s="5"/>
      <c r="H7" s="6"/>
    </row>
    <row r="8" spans="1:11" ht="15.6" customHeight="1" x14ac:dyDescent="0.2">
      <c r="A8" s="5"/>
      <c r="B8" s="7"/>
      <c r="C8" s="5"/>
      <c r="D8" s="5"/>
      <c r="E8" s="5"/>
      <c r="F8" s="5"/>
      <c r="H8" s="6"/>
    </row>
    <row r="9" spans="1:11" ht="15.6" customHeight="1" x14ac:dyDescent="0.2">
      <c r="A9" s="5"/>
      <c r="B9" s="7"/>
      <c r="C9" s="5"/>
      <c r="D9" s="5"/>
      <c r="E9" s="5"/>
      <c r="F9" s="5"/>
      <c r="H9" s="6"/>
    </row>
    <row r="10" spans="1:11" ht="15.6" customHeight="1" x14ac:dyDescent="0.2">
      <c r="A10" s="5"/>
      <c r="B10" s="7"/>
      <c r="C10" s="5"/>
      <c r="D10" s="5"/>
      <c r="E10" s="5"/>
      <c r="F10" s="5"/>
      <c r="H10" s="6"/>
    </row>
    <row r="11" spans="1:11" ht="15.6" customHeight="1" x14ac:dyDescent="0.2">
      <c r="A11" s="5"/>
      <c r="B11" s="7"/>
      <c r="C11" s="5"/>
      <c r="D11" s="5"/>
      <c r="E11" s="5"/>
      <c r="F11" s="5"/>
      <c r="H11" s="6"/>
    </row>
    <row r="12" spans="1:11" ht="15.6" customHeight="1" x14ac:dyDescent="0.2">
      <c r="A12" s="5"/>
      <c r="B12" s="7"/>
      <c r="C12" s="5"/>
      <c r="D12" s="5"/>
      <c r="E12" s="5"/>
      <c r="F12" s="5"/>
      <c r="H12" s="6"/>
    </row>
    <row r="13" spans="1:11" ht="15.6" customHeight="1" x14ac:dyDescent="0.2">
      <c r="A13" s="5"/>
      <c r="B13" s="7"/>
      <c r="C13" s="5"/>
      <c r="D13" s="5"/>
      <c r="E13" s="5"/>
      <c r="F13" s="5"/>
      <c r="H13" s="6"/>
    </row>
    <row r="14" spans="1:11" ht="15.6" customHeight="1" x14ac:dyDescent="0.2">
      <c r="A14" s="5"/>
      <c r="B14" s="7"/>
      <c r="C14" s="5"/>
      <c r="D14" s="5"/>
      <c r="E14" s="5"/>
      <c r="F14" s="5"/>
      <c r="H14" s="6"/>
    </row>
    <row r="15" spans="1:11" ht="15.6" customHeight="1" x14ac:dyDescent="0.2">
      <c r="A15" s="5"/>
      <c r="B15" s="7"/>
      <c r="C15" s="5"/>
      <c r="D15" s="5"/>
      <c r="E15" s="5"/>
      <c r="F15" s="5"/>
      <c r="H15" s="6"/>
    </row>
    <row r="16" spans="1:11" ht="15.6" customHeight="1" x14ac:dyDescent="0.2">
      <c r="A16" s="5"/>
      <c r="B16" s="7"/>
      <c r="C16" s="5"/>
      <c r="D16" s="5"/>
      <c r="E16" s="5"/>
      <c r="F16" s="5"/>
      <c r="H16" s="6"/>
    </row>
    <row r="17" spans="1:8" ht="15.6" customHeight="1" x14ac:dyDescent="0.2">
      <c r="A17" s="5"/>
      <c r="B17" s="7"/>
      <c r="C17" s="5"/>
      <c r="D17" s="5"/>
      <c r="E17" s="5"/>
      <c r="F17" s="5"/>
      <c r="H17" s="6"/>
    </row>
    <row r="18" spans="1:8" ht="15.6" customHeight="1" x14ac:dyDescent="0.2">
      <c r="A18" s="5"/>
      <c r="B18" s="7"/>
      <c r="C18" s="5"/>
      <c r="D18" s="5"/>
      <c r="E18" s="5"/>
      <c r="F18" s="5"/>
      <c r="H18" s="6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8" ht="3" customHeight="1" x14ac:dyDescent="0.2">
      <c r="A20" s="10"/>
      <c r="B20" s="11"/>
      <c r="C20" s="11"/>
      <c r="D20" s="11"/>
      <c r="E20" s="11"/>
      <c r="H20" s="6"/>
    </row>
    <row r="21" spans="1:8" s="14" customFormat="1" ht="19.899999999999999" customHeight="1" x14ac:dyDescent="0.2">
      <c r="A21" s="12" t="s">
        <v>8</v>
      </c>
      <c r="B21" s="13"/>
      <c r="C21" s="13"/>
      <c r="D21" s="13"/>
      <c r="E21" s="13"/>
      <c r="H21" s="15"/>
    </row>
    <row r="22" spans="1:8" s="14" customFormat="1" ht="4.9000000000000004" customHeight="1" x14ac:dyDescent="0.2">
      <c r="A22" s="16"/>
      <c r="B22" s="13"/>
      <c r="C22" s="13"/>
      <c r="D22" s="13"/>
      <c r="E22" s="13"/>
      <c r="H22" s="15"/>
    </row>
    <row r="23" spans="1:8" ht="11.1" customHeight="1" x14ac:dyDescent="0.2">
      <c r="A23" s="17" t="s">
        <v>9</v>
      </c>
      <c r="B23" s="18">
        <f>IF('[1]Data 4.4'!B32=0,"",'[1]Data 4.4'!B32)</f>
        <v>50809</v>
      </c>
      <c r="C23" s="18">
        <f>IF('[1]Data 4.4'!B36=0,"",'[1]Data 4.4'!B36)</f>
        <v>46364</v>
      </c>
      <c r="D23" s="18">
        <f>IF('[1]Data 4.4'!B40=0,"",'[1]Data 4.4'!B40)</f>
        <v>48622</v>
      </c>
      <c r="E23" s="18">
        <f>IF('[1]Data 4.4'!B44=0,"",'[1]Data 4.4'!B44)</f>
        <v>60919</v>
      </c>
      <c r="F23" s="18">
        <f>IF('[1]Data 4.4'!B48=0,"",'[1]Data 4.4'!B48)</f>
        <v>67891</v>
      </c>
      <c r="H23" s="6"/>
    </row>
    <row r="24" spans="1:8" ht="11.1" customHeight="1" x14ac:dyDescent="0.2">
      <c r="A24" s="17" t="s">
        <v>10</v>
      </c>
      <c r="B24" s="18">
        <f>IF('[1]Data 4.4'!B33=0,"",'[1]Data 4.4'!B33)</f>
        <v>50253</v>
      </c>
      <c r="C24" s="18">
        <f>IF('[1]Data 4.4'!B37=0,"",'[1]Data 4.4'!B37)</f>
        <v>48713</v>
      </c>
      <c r="D24" s="18">
        <f>IF('[1]Data 4.4'!B41=0,"",'[1]Data 4.4'!B41)</f>
        <v>50532</v>
      </c>
      <c r="E24" s="18">
        <f>IF('[1]Data 4.4'!B45=0,"",'[1]Data 4.4'!B45)</f>
        <v>59464</v>
      </c>
      <c r="H24" s="6"/>
    </row>
    <row r="25" spans="1:8" ht="11.1" customHeight="1" x14ac:dyDescent="0.2">
      <c r="A25" s="17" t="s">
        <v>11</v>
      </c>
      <c r="B25" s="18">
        <f>IF('[1]Data 4.4'!B34=0,"",'[1]Data 4.4'!B34)</f>
        <v>49388</v>
      </c>
      <c r="C25" s="18">
        <f>IF('[1]Data 4.4'!B38=0,"",'[1]Data 4.4'!B38)</f>
        <v>46820</v>
      </c>
      <c r="D25" s="18">
        <f>IF('[1]Data 4.4'!B42=0,"",'[1]Data 4.4'!B42)</f>
        <v>53246</v>
      </c>
      <c r="E25" s="18">
        <f>IF('[1]Data 4.4'!B46=0,"",'[1]Data 4.4'!B46)</f>
        <v>64200</v>
      </c>
      <c r="H25" s="6"/>
    </row>
    <row r="26" spans="1:8" ht="11.1" customHeight="1" x14ac:dyDescent="0.2">
      <c r="A26" s="17" t="s">
        <v>12</v>
      </c>
      <c r="B26" s="18">
        <f>IF('[1]Data 4.4'!B35=0,"",'[1]Data 4.4'!B35)</f>
        <v>48444</v>
      </c>
      <c r="C26" s="18">
        <f>IF('[1]Data 4.4'!B39=0,"",'[1]Data 4.4'!B39)</f>
        <v>47268</v>
      </c>
      <c r="D26" s="18">
        <f>IF('[1]Data 4.4'!B43=0,"",'[1]Data 4.4'!B43)</f>
        <v>53117</v>
      </c>
      <c r="E26" s="18">
        <f>IF('[1]Data 4.4'!B47=0,"",'[1]Data 4.4'!B47)</f>
        <v>66181</v>
      </c>
      <c r="H26" s="6"/>
    </row>
    <row r="27" spans="1:8" ht="11.1" customHeight="1" x14ac:dyDescent="0.2">
      <c r="A27" s="17"/>
      <c r="H27" s="6"/>
    </row>
    <row r="28" spans="1:8" ht="11.1" customHeight="1" x14ac:dyDescent="0.2">
      <c r="A28" s="17" t="s">
        <v>13</v>
      </c>
      <c r="B28" s="18">
        <f>IF('[1]Data 4.4'!F35=0,"",'[1]Data 4.4'!F35)</f>
        <v>198894</v>
      </c>
      <c r="C28" s="18">
        <f>IF('[1]Data 4.4'!F39=0,"",'[1]Data 4.4'!F39)</f>
        <v>189166</v>
      </c>
      <c r="D28" s="18">
        <f>IF('[1]Data 4.4'!F43=0,"",'[1]Data 4.4'!F43)</f>
        <v>205517</v>
      </c>
      <c r="E28" s="18">
        <f>IF('[1]Data 4.4'!F47=0,"",'[1]Data 4.4'!F47)</f>
        <v>250764</v>
      </c>
      <c r="H28" s="6"/>
    </row>
    <row r="29" spans="1:8" ht="11.1" customHeight="1" x14ac:dyDescent="0.2">
      <c r="A29" s="19"/>
      <c r="B29" s="20"/>
      <c r="C29" s="20"/>
      <c r="D29" s="20"/>
      <c r="E29" s="20"/>
      <c r="F29" s="20"/>
      <c r="H29" s="6"/>
    </row>
    <row r="30" spans="1:8" ht="3" customHeight="1" x14ac:dyDescent="0.2">
      <c r="A30" s="21"/>
      <c r="B30" s="22"/>
      <c r="C30" s="22"/>
      <c r="D30" s="22"/>
      <c r="E30" s="22"/>
      <c r="F30" s="22"/>
      <c r="H30" s="6"/>
    </row>
    <row r="31" spans="1:8" ht="18" customHeight="1" x14ac:dyDescent="0.2">
      <c r="A31" s="23" t="s">
        <v>14</v>
      </c>
      <c r="B31" s="24"/>
      <c r="C31" s="24"/>
      <c r="D31" s="24"/>
      <c r="E31" s="24"/>
      <c r="F31" s="24"/>
      <c r="H31" s="6"/>
    </row>
    <row r="32" spans="1:8" ht="4.9000000000000004" customHeight="1" x14ac:dyDescent="0.2">
      <c r="A32" s="25"/>
      <c r="B32" s="24"/>
      <c r="C32" s="24"/>
      <c r="D32" s="24"/>
      <c r="E32" s="24"/>
      <c r="F32" s="24"/>
      <c r="H32" s="6"/>
    </row>
    <row r="33" spans="1:8" ht="11.1" customHeight="1" x14ac:dyDescent="0.2">
      <c r="A33" s="17" t="s">
        <v>9</v>
      </c>
      <c r="B33" s="26">
        <f>IF('[1]Data 4.4'!C32=0,"",'[1]Data 4.4'!C32)</f>
        <v>8.4735269000854032</v>
      </c>
      <c r="C33" s="26">
        <f>IF('[1]Data 4.4'!C36=0,"",'[1]Data 4.4'!C36)</f>
        <v>-8.748450077742131</v>
      </c>
      <c r="D33" s="26">
        <f>IF('[1]Data 4.4'!C40=0,"",'[1]Data 4.4'!C40)</f>
        <v>4.8701578811146673</v>
      </c>
      <c r="E33" s="26">
        <f>IF('[1]Data 4.4'!C44=0,"",'[1]Data 4.4'!C44)</f>
        <v>25.291020525687969</v>
      </c>
      <c r="F33" s="26">
        <f>IF('[1]Data 4.4'!C48=0,"",'[1]Data 4.4'!C48)</f>
        <v>11.44470526436745</v>
      </c>
      <c r="H33" s="6"/>
    </row>
    <row r="34" spans="1:8" ht="11.1" customHeight="1" x14ac:dyDescent="0.2">
      <c r="A34" s="17" t="s">
        <v>10</v>
      </c>
      <c r="B34" s="26">
        <f>IF('[1]Data 4.4'!C33=0,"",'[1]Data 4.4'!C33)</f>
        <v>6.504323499491349</v>
      </c>
      <c r="C34" s="26">
        <f>IF('[1]Data 4.4'!C37=0,"",'[1]Data 4.4'!C37)</f>
        <v>-3.0644936620699226</v>
      </c>
      <c r="D34" s="26">
        <f>IF('[1]Data 4.4'!C41=0,"",'[1]Data 4.4'!C41)</f>
        <v>3.7341161496931008</v>
      </c>
      <c r="E34" s="26">
        <f>IF('[1]Data 4.4'!C45=0,"",'[1]Data 4.4'!C45)</f>
        <v>17.675928124752627</v>
      </c>
      <c r="H34" s="6"/>
    </row>
    <row r="35" spans="1:8" ht="11.1" customHeight="1" x14ac:dyDescent="0.2">
      <c r="A35" s="17" t="s">
        <v>11</v>
      </c>
      <c r="B35" s="26">
        <f>IF('[1]Data 4.4'!C34=0,"",'[1]Data 4.4'!C34)</f>
        <v>0.62549662802307004</v>
      </c>
      <c r="C35" s="26">
        <f>IF('[1]Data 4.4'!C38=0,"",'[1]Data 4.4'!C38)</f>
        <v>-5.1996436381307243</v>
      </c>
      <c r="D35" s="26">
        <f>IF('[1]Data 4.4'!C42=0,"",'[1]Data 4.4'!C42)</f>
        <v>13.72490388722769</v>
      </c>
      <c r="E35" s="26">
        <f>IF('[1]Data 4.4'!C46=0,"",'[1]Data 4.4'!C46)</f>
        <v>20.572437366187124</v>
      </c>
      <c r="H35" s="6"/>
    </row>
    <row r="36" spans="1:8" ht="11.1" customHeight="1" x14ac:dyDescent="0.2">
      <c r="A36" s="17" t="s">
        <v>12</v>
      </c>
      <c r="B36" s="26">
        <f>IF('[1]Data 4.4'!C35=0,"",'[1]Data 4.4'!C35)</f>
        <v>-3.7549171534151826</v>
      </c>
      <c r="C36" s="26">
        <f>IF('[1]Data 4.4'!C39=0,"",'[1]Data 4.4'!C39)</f>
        <v>-2.4275452068367565</v>
      </c>
      <c r="D36" s="26">
        <f>IF('[1]Data 4.4'!C43=0,"",'[1]Data 4.4'!C43)</f>
        <v>12.374122027587365</v>
      </c>
      <c r="E36" s="26">
        <f>IF('[1]Data 4.4'!C47=0,"",'[1]Data 4.4'!C47)</f>
        <v>24.594762505412572</v>
      </c>
      <c r="H36" s="6"/>
    </row>
    <row r="37" spans="1:8" ht="11.1" customHeight="1" x14ac:dyDescent="0.2">
      <c r="A37" s="17"/>
      <c r="H37" s="6"/>
    </row>
    <row r="38" spans="1:8" ht="11.1" customHeight="1" x14ac:dyDescent="0.2">
      <c r="A38" s="17" t="s">
        <v>13</v>
      </c>
      <c r="B38" s="27">
        <f>IF('[1]Data 4.4'!G35 = "","",'[1]Data 4.4'!G35)</f>
        <v>2.8200104425684547</v>
      </c>
      <c r="C38" s="27">
        <f>IF('[1]Data 4.4'!G39= "","",'[1]Data 4.4'!G39)</f>
        <v>-4.8910474926342706</v>
      </c>
      <c r="D38" s="27">
        <f>IF('[1]Data 4.4'!G43 = "","",'[1]Data 4.4'!G43)</f>
        <v>8.6437309030164009</v>
      </c>
      <c r="E38" s="27">
        <f>IF('[1]Data 4.4'!G47 = "","",'[1]Data 4.4'!G47)</f>
        <v>22.016183576054527</v>
      </c>
      <c r="H38" s="6"/>
    </row>
    <row r="39" spans="1:8" ht="11.1" customHeight="1" x14ac:dyDescent="0.2">
      <c r="A39" s="28"/>
      <c r="B39" s="3"/>
      <c r="C39" s="3"/>
      <c r="D39" s="3"/>
      <c r="E39" s="3"/>
      <c r="F39" s="3"/>
      <c r="H39" s="6"/>
    </row>
    <row r="40" spans="1:8" ht="7.9" customHeight="1" x14ac:dyDescent="0.2">
      <c r="A40" s="16"/>
      <c r="B40" s="29"/>
      <c r="C40" s="29"/>
      <c r="D40" s="29"/>
      <c r="E40" s="29"/>
      <c r="F40" s="29"/>
      <c r="H40" s="6"/>
    </row>
    <row r="41" spans="1:8" ht="11.1" customHeight="1" x14ac:dyDescent="0.2">
      <c r="A41" s="30" t="s">
        <v>15</v>
      </c>
      <c r="B41" s="29"/>
      <c r="C41" s="29"/>
      <c r="D41" s="29"/>
      <c r="E41" s="29"/>
      <c r="F41" s="29"/>
      <c r="H41" s="6"/>
    </row>
    <row r="42" spans="1:8" ht="11.1" customHeight="1" x14ac:dyDescent="0.2">
      <c r="A42" s="31" t="s">
        <v>16</v>
      </c>
      <c r="B42" s="29"/>
      <c r="C42" s="29"/>
      <c r="D42" s="29"/>
      <c r="E42" s="29"/>
      <c r="F42" s="29"/>
      <c r="H42" s="6"/>
    </row>
    <row r="43" spans="1:8" ht="11.1" customHeight="1" x14ac:dyDescent="0.2">
      <c r="A43" s="31"/>
      <c r="B43" s="29"/>
      <c r="C43" s="29"/>
      <c r="D43" s="29"/>
      <c r="E43" s="29"/>
      <c r="F43" s="29"/>
      <c r="H43" s="6"/>
    </row>
    <row r="44" spans="1:8" ht="11.1" customHeight="1" x14ac:dyDescent="0.2">
      <c r="A44" s="32" t="s">
        <v>17</v>
      </c>
      <c r="B44" s="33"/>
      <c r="C44" s="26"/>
      <c r="D44" s="26"/>
      <c r="E44" s="26"/>
      <c r="F44" s="26"/>
      <c r="H44" s="6"/>
    </row>
    <row r="45" spans="1:8" ht="11.1" customHeight="1" x14ac:dyDescent="0.2">
      <c r="A45" s="34" t="s">
        <v>18</v>
      </c>
      <c r="B45" s="33"/>
      <c r="C45" s="26"/>
      <c r="D45" s="26"/>
      <c r="E45" s="26"/>
      <c r="F45" s="26"/>
      <c r="H45" s="6"/>
    </row>
    <row r="46" spans="1:8" ht="11.1" customHeight="1" x14ac:dyDescent="0.2">
      <c r="A46" s="35"/>
      <c r="B46" s="26"/>
      <c r="C46" s="26"/>
      <c r="D46" s="26"/>
      <c r="E46" s="26"/>
      <c r="F46" s="26"/>
      <c r="H46" s="6"/>
    </row>
    <row r="47" spans="1:8" ht="11.1" customHeight="1" x14ac:dyDescent="0.2">
      <c r="A47" s="21"/>
      <c r="B47" s="36"/>
      <c r="C47" s="36"/>
      <c r="D47" s="36"/>
      <c r="E47" s="36"/>
      <c r="F47" s="36"/>
      <c r="H47" s="6"/>
    </row>
    <row r="48" spans="1:8" ht="11.1" customHeight="1" x14ac:dyDescent="0.2">
      <c r="A48" s="21"/>
      <c r="B48" s="21"/>
      <c r="C48" s="21"/>
      <c r="D48" s="21"/>
      <c r="E48" s="21"/>
      <c r="F48" s="21"/>
      <c r="H48" s="6"/>
    </row>
    <row r="49" spans="1:10" ht="11.1" customHeight="1" x14ac:dyDescent="0.2">
      <c r="A49" s="21"/>
      <c r="B49" s="21"/>
      <c r="C49" s="21"/>
      <c r="D49" s="21"/>
      <c r="E49" s="21"/>
      <c r="F49" s="21"/>
      <c r="H49" s="6"/>
    </row>
    <row r="50" spans="1:10" ht="11.1" customHeight="1" x14ac:dyDescent="0.2">
      <c r="A50" s="37"/>
      <c r="B50" s="21"/>
      <c r="C50" s="21"/>
      <c r="D50" s="21"/>
      <c r="E50" s="21"/>
      <c r="F50" s="21"/>
      <c r="H50" s="6"/>
    </row>
    <row r="51" spans="1:10" ht="11.1" customHeight="1" x14ac:dyDescent="0.2">
      <c r="A51" s="37"/>
      <c r="B51" s="21"/>
      <c r="C51" s="21"/>
      <c r="D51" s="21"/>
      <c r="E51" s="21"/>
      <c r="F51" s="21"/>
      <c r="H51" s="6"/>
    </row>
    <row r="52" spans="1:10" ht="11.1" customHeight="1" x14ac:dyDescent="0.2">
      <c r="A52" s="37"/>
      <c r="B52" s="21"/>
      <c r="C52" s="21"/>
      <c r="D52" s="21"/>
      <c r="E52" s="21"/>
      <c r="F52" s="21"/>
      <c r="H52" s="6"/>
    </row>
    <row r="53" spans="1:10" ht="11.1" customHeight="1" x14ac:dyDescent="0.2">
      <c r="A53" s="37"/>
      <c r="B53" s="21"/>
      <c r="C53" s="21"/>
      <c r="D53" s="21"/>
      <c r="E53" s="21"/>
      <c r="F53" s="21"/>
      <c r="H53" s="6"/>
    </row>
    <row r="54" spans="1:10" ht="11.1" customHeight="1" x14ac:dyDescent="0.2">
      <c r="A54" s="37"/>
      <c r="B54" s="21"/>
      <c r="C54" s="21"/>
      <c r="D54" s="21"/>
      <c r="E54" s="21"/>
      <c r="F54" s="21"/>
      <c r="H54" s="6"/>
    </row>
    <row r="55" spans="1:10" ht="11.1" customHeight="1" x14ac:dyDescent="0.2">
      <c r="A55" s="37"/>
      <c r="B55" s="21"/>
      <c r="C55" s="21"/>
      <c r="D55" s="21"/>
      <c r="E55" s="21"/>
      <c r="F55" s="21"/>
      <c r="H55" s="6"/>
    </row>
    <row r="56" spans="1:10" ht="11.1" customHeight="1" x14ac:dyDescent="0.2">
      <c r="A56" s="37"/>
      <c r="B56" s="38"/>
      <c r="C56" s="38"/>
      <c r="D56" s="38"/>
      <c r="E56" s="38"/>
      <c r="F56" s="38"/>
      <c r="H56" s="6"/>
    </row>
    <row r="57" spans="1:10" ht="11.1" customHeight="1" x14ac:dyDescent="0.2">
      <c r="B57" s="5"/>
      <c r="C57" s="5"/>
      <c r="D57" s="5"/>
      <c r="E57" s="5"/>
      <c r="F57" s="5"/>
      <c r="H57" s="6"/>
    </row>
    <row r="58" spans="1:10" ht="11.1" customHeight="1" x14ac:dyDescent="0.2">
      <c r="A58" s="39"/>
      <c r="B58" s="5"/>
      <c r="C58" s="5"/>
      <c r="D58" s="5"/>
      <c r="E58" s="5"/>
      <c r="F58" s="5"/>
      <c r="H58" s="6"/>
    </row>
    <row r="59" spans="1:10" ht="11.1" customHeight="1" x14ac:dyDescent="0.2">
      <c r="A59" s="39"/>
      <c r="B59" s="5"/>
      <c r="C59" s="5"/>
      <c r="D59" s="5"/>
      <c r="E59" s="5"/>
      <c r="F59" s="5"/>
      <c r="H59" s="6"/>
    </row>
    <row r="60" spans="1:10" ht="11.1" customHeight="1" x14ac:dyDescent="0.2">
      <c r="A60" s="39"/>
      <c r="B60" s="5"/>
      <c r="C60" s="5"/>
      <c r="D60" s="5"/>
      <c r="E60" s="5"/>
      <c r="F60" s="5"/>
      <c r="H60" s="6"/>
    </row>
    <row r="61" spans="1:10" ht="11.1" customHeight="1" x14ac:dyDescent="0.2">
      <c r="A61" s="39"/>
      <c r="B61" s="5"/>
      <c r="C61" s="5"/>
      <c r="D61" s="5"/>
      <c r="E61" s="5"/>
      <c r="F61" s="5"/>
      <c r="H61" s="6"/>
      <c r="I61" s="16" t="s">
        <v>19</v>
      </c>
    </row>
    <row r="62" spans="1:10" ht="11.1" customHeight="1" x14ac:dyDescent="0.2">
      <c r="B62" s="5"/>
      <c r="C62" s="5"/>
      <c r="D62" s="5"/>
      <c r="E62" s="5"/>
      <c r="F62" s="5"/>
      <c r="H62" s="6"/>
      <c r="I62" s="40">
        <f>'[2]4.4a Bus inv- seas adj'!$A$38</f>
        <v>40974</v>
      </c>
      <c r="J62" s="41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62:J62"/>
  </mergeCells>
  <hyperlinks>
    <hyperlink ref="A44:B45" r:id="rId1" display="Source: ABS, Australian national accounts: national income, expenditure and product,"/>
    <hyperlink ref="A1" r:id="rId2"/>
  </hyperlinks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 xml:space="preserve">&amp;L&amp;"Times New Roman,Italic"Monthly statistical bulletin                      </oddHeader>
    <oddFooter>&amp;L&amp;"Times New Roman,Regular"&amp;12 22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47625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4.4</vt:lpstr>
      <vt:lpstr>'Table 4.4'!Print_Area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Sandra (DPS)</dc:creator>
  <cp:lastModifiedBy>Bailey, Sandra (DPS)</cp:lastModifiedBy>
  <dcterms:created xsi:type="dcterms:W3CDTF">2012-12-06T03:28:17Z</dcterms:created>
  <dcterms:modified xsi:type="dcterms:W3CDTF">2012-12-06T03:28:26Z</dcterms:modified>
</cp:coreProperties>
</file>